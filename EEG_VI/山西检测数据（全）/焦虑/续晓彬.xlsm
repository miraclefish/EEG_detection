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<sst xmlns="http://schemas.openxmlformats.org/spreadsheetml/2006/main" count="701" uniqueCount="522">
  <si>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</si>
  <si>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</si>
  <si>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</si>
  <si>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</si>
  <si>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</si>
  <si>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</si>
  <si>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</si>
  <si>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</si>
  <si>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</si>
  <si>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</si>
  <si>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</si>
  <si>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</si>
  <si>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</si>
  <si>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</si>
  <si>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</si>
  <si>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</si>
  <si>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</si>
  <si>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</si>
  <si>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</si>
  <si>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</si>
  <si>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</si>
  <si>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</si>
  <si>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</si>
  <si>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</si>
  <si>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</si>
  <si>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</si>
  <si>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</si>
  <si>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</si>
  <si>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</si>
  <si>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</si>
  <si>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</si>
  <si>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</si>
  <si>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</si>
  <si>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</si>
  <si>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</si>
  <si>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</si>
  <si>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</si>
  <si>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</si>
  <si>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</si>
  <si>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</si>
  <si>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</si>
  <si>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</si>
  <si>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</si>
  <si>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</si>
  <si>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</si>
  <si>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</si>
  <si>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</si>
  <si>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</si>
  <si>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</si>
  <si>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</si>
  <si>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</si>
  <si>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</si>
  <si>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</si>
  <si>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</si>
  <si>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</si>
  <si>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</si>
  <si>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</si>
  <si>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</si>
  <si>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</si>
  <si>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</si>
  <si>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</si>
  <si>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</si>
  <si>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</si>
  <si>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</si>
  <si>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</si>
  <si>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</si>
  <si>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</si>
  <si>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</si>
  <si>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</si>
  <si>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</si>
  <si>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</si>
  <si>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</si>
  <si>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</si>
  <si>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</si>
  <si>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</si>
  <si>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</si>
  <si>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</si>
  <si>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</si>
  <si>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</si>
  <si>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</si>
  <si>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</si>
  <si>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</si>
  <si>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</si>
  <si>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</si>
  <si>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</si>
  <si>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</si>
  <si>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</si>
  <si>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</si>
  <si>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</si>
  <si>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</si>
  <si>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</si>
  <si>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</si>
  <si>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</si>
  <si>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</si>
  <si>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</si>
  <si>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</si>
  <si>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</si>
  <si>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</si>
  <si>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</si>
  <si>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</si>
  <si>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</si>
  <si>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</si>
  <si>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</si>
  <si>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</si>
  <si>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</si>
  <si>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</si>
  <si>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</si>
  <si>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</si>
  <si>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</si>
  <si>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</si>
  <si>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</si>
  <si>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</si>
  <si>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</si>
  <si>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</si>
  <si>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</si>
  <si>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</si>
  <si>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</si>
  <si>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</si>
  <si>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</si>
  <si>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</si>
  <si>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</si>
  <si>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</si>
  <si>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</si>
  <si>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</si>
  <si>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</si>
  <si>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</si>
  <si>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</si>
  <si>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</si>
  <si>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</si>
  <si>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</si>
  <si>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</si>
  <si>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</si>
  <si>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</si>
  <si>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</si>
  <si>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</si>
  <si>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</si>
  <si>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</si>
  <si>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</si>
  <si>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</si>
  <si>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</si>
  <si>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</si>
  <si>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</si>
  <si>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</si>
  <si>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</si>
  <si>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</si>
  <si>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</si>
  <si>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</si>
  <si>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</si>
  <si>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</si>
  <si>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</si>
  <si>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</si>
  <si>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</si>
  <si>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</si>
  <si>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</si>
  <si>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</si>
  <si>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</si>
  <si>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</si>
  <si>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</si>
  <si>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</si>
  <si>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</si>
  <si>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</si>
  <si>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</si>
  <si>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</si>
  <si>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</si>
  <si>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</si>
  <si>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</si>
  <si>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</si>
  <si>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</si>
  <si>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</si>
  <si>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</si>
  <si>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</si>
  <si>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</si>
  <si>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</si>
  <si>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</si>
  <si>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</si>
  <si>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</si>
  <si>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</si>
  <si>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</si>
  <si>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</si>
  <si>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</si>
  <si>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</si>
  <si>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</si>
  <si>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</si>
  <si>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</si>
  <si>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</si>
  <si>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</si>
  <si>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</si>
  <si>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</si>
  <si>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</si>
  <si>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</si>
  <si>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</si>
  <si>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</si>
  <si>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</si>
  <si>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</si>
  <si>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</si>
  <si>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</si>
  <si>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</si>
  <si>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</si>
  <si>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</si>
  <si>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</si>
  <si>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</si>
  <si>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</si>
  <si>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</si>
  <si>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</si>
  <si>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</si>
  <si>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</si>
  <si>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</si>
  <si>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</si>
  <si>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</si>
  <si>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</si>
  <si>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</si>
  <si>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</si>
  <si>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</si>
  <si>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</si>
  <si>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</si>
  <si>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</si>
  <si>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</si>
  <si>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</si>
  <si>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</si>
  <si>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</si>
  <si>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</si>
  <si>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</si>
  <si>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</si>
  <si>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</si>
  <si>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</si>
  <si>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</si>
  <si>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</si>
  <si>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</si>
  <si>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</si>
  <si>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</si>
  <si>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</si>
  <si>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</si>
  <si>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</si>
  <si>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</si>
  <si>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</si>
  <si>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</si>
  <si>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</si>
  <si>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</si>
  <si>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</si>
  <si>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</si>
  <si>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</si>
  <si>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</si>
  <si>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</si>
  <si>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</si>
  <si>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</si>
  <si>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</si>
  <si>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</si>
  <si>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</si>
  <si>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</si>
  <si>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</si>
  <si>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</si>
  <si>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</si>
  <si>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</si>
  <si>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</si>
  <si>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</si>
  <si>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</si>
  <si>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</si>
  <si>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</si>
  <si>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</si>
  <si>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</si>
  <si>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</si>
  <si>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</si>
  <si>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</si>
  <si>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</si>
  <si>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</si>
  <si>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</si>
  <si>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</si>
  <si>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</si>
  <si>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</si>
  <si>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</si>
  <si>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</si>
  <si>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</si>
  <si>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</si>
  <si>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</si>
  <si>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</si>
  <si>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</si>
  <si>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</si>
  <si>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</si>
  <si>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</si>
  <si>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</si>
  <si>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</si>
  <si>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</si>
  <si>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</si>
  <si>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</si>
  <si>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</si>
  <si>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</si>
  <si>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</si>
  <si>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</si>
  <si>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</si>
  <si>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</si>
  <si>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</si>
  <si>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</si>
  <si>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</si>
  <si>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</si>
  <si>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</si>
  <si>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</si>
  <si>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</si>
  <si>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</si>
  <si>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</si>
  <si>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</si>
  <si>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</si>
  <si>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</si>
  <si>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</si>
  <si>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</si>
  <si>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</si>
  <si>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</si>
  <si>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</si>
  <si>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</si>
  <si>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</si>
  <si>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</si>
  <si>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</si>
  <si>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</si>
  <si>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</si>
  <si>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</si>
  <si>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</si>
  <si>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</si>
  <si>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</si>
  <si>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</si>
  <si>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</si>
  <si>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</si>
  <si>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</si>
  <si>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</si>
  <si>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</si>
  <si>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</si>
  <si>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</si>
  <si>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</si>
  <si>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</si>
  <si>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</si>
  <si>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</si>
  <si>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</si>
  <si>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</si>
  <si>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</si>
  <si>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</si>
  <si>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</si>
  <si>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</si>
  <si>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</si>
  <si>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</si>
  <si>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</si>
  <si>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</si>
  <si>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</si>
  <si>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</si>
  <si>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</si>
  <si>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</si>
  <si>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</si>
  <si>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</si>
  <si>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</si>
  <si>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</si>
  <si>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每秒输出帧率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</si>
  <si>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</si>
  <si>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</si>
  <si>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</si>
  <si>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</si>
  <si>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</si>
  <si>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</si>
  <si>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</si>
  <si>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</si>
  <si>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</si>
  <si>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</si>
  <si>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</si>
  <si>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[0.403568]</t>
  </si>
  <si>
    <t>1 [0.808324]</t>
  </si>
  <si>
    <t>1 [1.216892]</t>
  </si>
  <si>
    <t>1 [1.625839]</t>
  </si>
  <si>
    <t>1 [2.030154]</t>
  </si>
  <si>
    <t>1 [2.435835]</t>
  </si>
  <si>
    <t>1 [2.840115]</t>
  </si>
  <si>
    <t>1 [3.251999]</t>
  </si>
  <si>
    <t>1 [3.654929]</t>
  </si>
  <si>
    <t>1 [4.061119]</t>
  </si>
  <si>
    <t>1 [4.467042]</t>
  </si>
  <si>
    <t>1 [4.870812]</t>
  </si>
  <si>
    <t>1 [5.279337]</t>
  </si>
  <si>
    <t>1 [5.685614]</t>
  </si>
  <si>
    <t>1 [6.093751]</t>
  </si>
  <si>
    <t>1 [6.498920]</t>
  </si>
  <si>
    <t>1 [6.905605]</t>
  </si>
  <si>
    <t>1 [7.309589]</t>
  </si>
  <si>
    <t>1 [7.716428]</t>
  </si>
  <si>
    <t>1 [8.123659]</t>
  </si>
  <si>
    <t>1 [8.531382]</t>
  </si>
  <si>
    <t>1 [8.934538]</t>
  </si>
  <si>
    <t>1 [9.340093]</t>
  </si>
  <si>
    <t>1 [9.746334]</t>
  </si>
  <si>
    <t>1 [10.152915]</t>
  </si>
  <si>
    <t>1 [10.564055]</t>
  </si>
  <si>
    <t>1 [10.965583]</t>
  </si>
  <si>
    <t>1 [11.369401]</t>
  </si>
  <si>
    <t>1 [11.776565]</t>
  </si>
  <si>
    <t>1 [12.185859]</t>
  </si>
  <si>
    <t>1 [12.589905]</t>
  </si>
  <si>
    <t>1 [12.999052]</t>
  </si>
  <si>
    <t>1 [13.407078]</t>
  </si>
  <si>
    <t>1 [13.810281]</t>
  </si>
  <si>
    <t>1 [14.216496]</t>
  </si>
  <si>
    <t>1 [14.621443]</t>
  </si>
  <si>
    <t>1 [15.029500]</t>
  </si>
  <si>
    <t>1 [15.435074]</t>
  </si>
  <si>
    <t>1 [15.839930]</t>
  </si>
  <si>
    <t>1 [16.247610]</t>
  </si>
  <si>
    <t>1 [16.653280]</t>
  </si>
  <si>
    <t>1 [17.058660]</t>
  </si>
  <si>
    <t>1 [17.469129]</t>
  </si>
  <si>
    <t>1 [17.873957]</t>
  </si>
  <si>
    <t>1 [18.277648]</t>
  </si>
  <si>
    <t>1 [18.684250]</t>
  </si>
  <si>
    <t>1 [19.089324]</t>
  </si>
  <si>
    <t>1 [19.496307]</t>
  </si>
  <si>
    <t>1 [19.904537]</t>
  </si>
  <si>
    <t>1 [20.309519]</t>
  </si>
  <si>
    <t>1 [20.715520]</t>
  </si>
  <si>
    <t>1 [21.124355]</t>
  </si>
  <si>
    <t>1 [21.530366]</t>
  </si>
  <si>
    <t>1 [21.936743]</t>
  </si>
  <si>
    <t>1 [22.341808]</t>
  </si>
  <si>
    <t>1 [22.748989]</t>
  </si>
  <si>
    <t>1 [23.152923]</t>
  </si>
  <si>
    <t>1 [23.558868]</t>
  </si>
  <si>
    <t>1 [23.964858]</t>
  </si>
  <si>
    <t>1 [24.375526]</t>
  </si>
  <si>
    <t>1 [24.779454]</t>
  </si>
  <si>
    <t>1 [25.182921]</t>
  </si>
  <si>
    <t>1 [25.593295]</t>
  </si>
  <si>
    <t>1 [25.999575]</t>
  </si>
  <si>
    <t>1 [26.405122]</t>
  </si>
  <si>
    <t>1 [26.808462]</t>
  </si>
  <si>
    <t>1 [27.217652]</t>
  </si>
  <si>
    <t>1 [27.623292]</t>
  </si>
  <si>
    <t>1 [28.031137]</t>
  </si>
  <si>
    <t>1 [28.437353]</t>
  </si>
  <si>
    <t>1 [28.839143]</t>
  </si>
  <si>
    <t>1 [29.246956]</t>
  </si>
  <si>
    <t>1 [29.653461]</t>
  </si>
  <si>
    <t>2 [30.059972]</t>
  </si>
  <si>
    <t>2 [30.512066]</t>
  </si>
  <si>
    <t>2 [30.919435]</t>
  </si>
  <si>
    <t>2 [31.326657]</t>
  </si>
  <si>
    <t>2 [31.733875]</t>
  </si>
  <si>
    <t>2 [32.135468]</t>
  </si>
  <si>
    <t>2 [32.542866]</t>
  </si>
  <si>
    <t>2 [32.949236]</t>
  </si>
  <si>
    <t>2 [33.357248]</t>
  </si>
  <si>
    <t>2 [33.763169]</t>
  </si>
  <si>
    <t>2 [34.171720]</t>
  </si>
  <si>
    <t>2 [34.576077]</t>
  </si>
  <si>
    <t>2 [34.981365]</t>
  </si>
  <si>
    <t>2 [35.387561]</t>
  </si>
  <si>
    <t>2 [35.794315]</t>
  </si>
  <si>
    <t>2 [36.200078]</t>
  </si>
  <si>
    <t>2 [36.608259]</t>
  </si>
  <si>
    <t>2 [37.015279]</t>
  </si>
  <si>
    <t>2 [37.418231]</t>
  </si>
  <si>
    <t>2 [37.824982]</t>
  </si>
  <si>
    <t>2 [38.232084]</t>
  </si>
  <si>
    <t>2 [38.641291]</t>
  </si>
  <si>
    <t>2 [39.045551]</t>
  </si>
  <si>
    <t>2 [39.449862]</t>
  </si>
  <si>
    <t>2 [39.854342]</t>
  </si>
  <si>
    <t>2 [40.264449]</t>
  </si>
  <si>
    <t>2 [40.671208]</t>
  </si>
  <si>
    <t>2 [41.078312]</t>
  </si>
  <si>
    <t>2 [41.482042]</t>
  </si>
  <si>
    <t>2 [41.885858]</t>
  </si>
  <si>
    <t>2 [42.295612]</t>
  </si>
  <si>
    <t>2 [42.702571]</t>
  </si>
  <si>
    <t>2 [43.108040]</t>
  </si>
  <si>
    <t>2 [43.513352]</t>
  </si>
  <si>
    <t>2 [43.919688]</t>
  </si>
  <si>
    <t>2 [44.324805]</t>
  </si>
  <si>
    <t>2 [44.734355]</t>
  </si>
  <si>
    <t>2 [45.143655]</t>
  </si>
  <si>
    <t>2 [45.545389]</t>
  </si>
  <si>
    <t>2 [45.950909]</t>
  </si>
  <si>
    <t>2 [46.360028]</t>
  </si>
  <si>
    <t>2 [46.762908]</t>
  </si>
  <si>
    <t>2 [47.167853]</t>
  </si>
  <si>
    <t>2 [47.575821]</t>
  </si>
  <si>
    <t>2 [47.981189]</t>
  </si>
  <si>
    <t>2 [48.387604]</t>
  </si>
  <si>
    <t>2 [48.795153]</t>
  </si>
  <si>
    <t>2 [49.200690]</t>
  </si>
  <si>
    <t>2 [49.608824]</t>
  </si>
  <si>
    <t>2 [50.011375]</t>
  </si>
  <si>
    <t>2 [50.418656]</t>
  </si>
  <si>
    <t>2 [50.826913]</t>
  </si>
  <si>
    <t>2 [51.232617]</t>
  </si>
  <si>
    <t>2 [51.639936]</t>
  </si>
  <si>
    <t>2 [52.043511]</t>
  </si>
  <si>
    <t>2 [52.450198]</t>
  </si>
  <si>
    <t>2 [52.856586]</t>
  </si>
  <si>
    <t>2 [53.263494]</t>
  </si>
  <si>
    <t>2 [53.670952]</t>
  </si>
  <si>
    <t>2 [54.077735]</t>
  </si>
  <si>
    <t>2 [54.484261]</t>
  </si>
  <si>
    <t>2 [54.885986]</t>
  </si>
  <si>
    <t>2 [55.293390]</t>
  </si>
  <si>
    <t>2 [55.698981]</t>
  </si>
  <si>
    <t>2 [56.107016]</t>
  </si>
  <si>
    <t>2 [56.515734]</t>
  </si>
  <si>
    <t>2 [56.922899]</t>
  </si>
  <si>
    <t>2 [57.324587]</t>
  </si>
  <si>
    <t>2 [57.733372]</t>
  </si>
  <si>
    <t>2 [58.139744]</t>
  </si>
  <si>
    <t>2 [58.545988]</t>
  </si>
  <si>
    <t>2 [58.952437]</t>
  </si>
  <si>
    <t>2 [59.355511]</t>
  </si>
  <si>
    <t>2 [59.764702]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</si>
  <si>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</si>
  <si>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</si>
  <si>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</si>
  <si>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</si>
  <si>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</si>
  <si>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</si>
  <si>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</si>
  <si>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</si>
  <si>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</si>
  <si>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</si>
  <si>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</si>
  <si>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</si>
  <si>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</si>
  <si>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</si>
  <si>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</si>
  <si>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续晓彬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</si>
</sst>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38.963099999999997</c:v>
                </c:pt>
                <c:pt idx="1">
                  <c:v>29.771899999999999</c:v>
                </c:pt>
                <c:pt idx="2">
                  <c:v>26.429300000000001</c:v>
                </c:pt>
                <c:pt idx="3">
                  <c:v>32.151299999999999</c:v>
                </c:pt>
                <c:pt idx="4">
                  <c:v>39.851900000000001</c:v>
                </c:pt>
                <c:pt idx="5">
                  <c:v>71.170599999999993</c:v>
                </c:pt>
                <c:pt idx="6">
                  <c:v>13.744400000000001</c:v>
                </c:pt>
                <c:pt idx="7">
                  <c:v>51.867899999999999</c:v>
                </c:pt>
                <c:pt idx="8">
                  <c:v>20.431999999999999</c:v>
                </c:pt>
                <c:pt idx="9">
                  <c:v>30.633400000000002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0.43497408892605716</c:v>
                </c:pt>
                <c:pt idx="1">
                  <c:v>0.31352251717144258</c:v>
                </c:pt>
                <c:pt idx="2">
                  <c:v>0.25150339390250032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5460</c:v>
                </c:pt>
                <c:pt idx="7">
                  <c:v>0</c:v>
                </c:pt>
                <c:pt idx="8">
                  <c:v>10132</c:v>
                </c:pt>
                <c:pt idx="9">
                  <c:v>0</c:v>
                </c:pt>
                <c:pt idx="10">
                  <c:v>0</c:v>
                </c:pt>
                <c:pt idx="11">
                  <c:v>17826</c:v>
                </c:pt>
                <c:pt idx="12">
                  <c:v>0</c:v>
                </c:pt>
                <c:pt idx="13">
                  <c:v>26142</c:v>
                </c:pt>
                <c:pt idx="14">
                  <c:v>0</c:v>
                </c:pt>
                <c:pt idx="15">
                  <c:v>0</c:v>
                </c:pt>
                <c:pt idx="16">
                  <c:v>35469</c:v>
                </c:pt>
                <c:pt idx="17">
                  <c:v>0</c:v>
                </c:pt>
                <c:pt idx="18">
                  <c:v>0</c:v>
                </c:pt>
                <c:pt idx="19">
                  <c:v>47516</c:v>
                </c:pt>
                <c:pt idx="20">
                  <c:v>0</c:v>
                </c:pt>
                <c:pt idx="21">
                  <c:v>57390</c:v>
                </c:pt>
                <c:pt idx="22">
                  <c:v>0</c:v>
                </c:pt>
                <c:pt idx="23">
                  <c:v>0</c:v>
                </c:pt>
                <c:pt idx="24">
                  <c:v>67065</c:v>
                </c:pt>
                <c:pt idx="25">
                  <c:v>0</c:v>
                </c:pt>
                <c:pt idx="26">
                  <c:v>83174</c:v>
                </c:pt>
                <c:pt idx="27">
                  <c:v>0</c:v>
                </c:pt>
                <c:pt idx="28">
                  <c:v>0</c:v>
                </c:pt>
                <c:pt idx="29">
                  <c:v>95727</c:v>
                </c:pt>
                <c:pt idx="30">
                  <c:v>0</c:v>
                </c:pt>
                <c:pt idx="31">
                  <c:v>116574</c:v>
                </c:pt>
                <c:pt idx="32">
                  <c:v>0</c:v>
                </c:pt>
                <c:pt idx="33">
                  <c:v>0</c:v>
                </c:pt>
                <c:pt idx="34">
                  <c:v>128630</c:v>
                </c:pt>
                <c:pt idx="35">
                  <c:v>0</c:v>
                </c:pt>
                <c:pt idx="36">
                  <c:v>0</c:v>
                </c:pt>
                <c:pt idx="37">
                  <c:v>140494</c:v>
                </c:pt>
                <c:pt idx="38">
                  <c:v>0</c:v>
                </c:pt>
                <c:pt idx="39">
                  <c:v>161218</c:v>
                </c:pt>
                <c:pt idx="40">
                  <c:v>0</c:v>
                </c:pt>
                <c:pt idx="41">
                  <c:v>0</c:v>
                </c:pt>
                <c:pt idx="42">
                  <c:v>187230</c:v>
                </c:pt>
                <c:pt idx="43">
                  <c:v>0</c:v>
                </c:pt>
                <c:pt idx="44">
                  <c:v>209826</c:v>
                </c:pt>
                <c:pt idx="45">
                  <c:v>0</c:v>
                </c:pt>
                <c:pt idx="46">
                  <c:v>0</c:v>
                </c:pt>
                <c:pt idx="47">
                  <c:v>213260</c:v>
                </c:pt>
                <c:pt idx="48">
                  <c:v>0</c:v>
                </c:pt>
                <c:pt idx="49">
                  <c:v>211527</c:v>
                </c:pt>
                <c:pt idx="50">
                  <c:v>0</c:v>
                </c:pt>
                <c:pt idx="51">
                  <c:v>0</c:v>
                </c:pt>
                <c:pt idx="52">
                  <c:v>194076</c:v>
                </c:pt>
                <c:pt idx="53">
                  <c:v>0</c:v>
                </c:pt>
                <c:pt idx="54">
                  <c:v>0</c:v>
                </c:pt>
                <c:pt idx="55">
                  <c:v>177272</c:v>
                </c:pt>
                <c:pt idx="56">
                  <c:v>0</c:v>
                </c:pt>
                <c:pt idx="57">
                  <c:v>180358</c:v>
                </c:pt>
                <c:pt idx="58">
                  <c:v>0</c:v>
                </c:pt>
                <c:pt idx="59">
                  <c:v>0</c:v>
                </c:pt>
                <c:pt idx="60">
                  <c:v>183155</c:v>
                </c:pt>
                <c:pt idx="61">
                  <c:v>0</c:v>
                </c:pt>
                <c:pt idx="62">
                  <c:v>178230</c:v>
                </c:pt>
                <c:pt idx="63">
                  <c:v>0</c:v>
                </c:pt>
                <c:pt idx="64">
                  <c:v>0</c:v>
                </c:pt>
                <c:pt idx="65">
                  <c:v>166514</c:v>
                </c:pt>
                <c:pt idx="66">
                  <c:v>0</c:v>
                </c:pt>
                <c:pt idx="67">
                  <c:v>162640</c:v>
                </c:pt>
                <c:pt idx="68">
                  <c:v>0</c:v>
                </c:pt>
                <c:pt idx="69">
                  <c:v>0</c:v>
                </c:pt>
                <c:pt idx="70">
                  <c:v>143126</c:v>
                </c:pt>
                <c:pt idx="71">
                  <c:v>0</c:v>
                </c:pt>
                <c:pt idx="72">
                  <c:v>0</c:v>
                </c:pt>
                <c:pt idx="73">
                  <c:v>127474</c:v>
                </c:pt>
                <c:pt idx="74">
                  <c:v>0</c:v>
                </c:pt>
                <c:pt idx="75">
                  <c:v>114744</c:v>
                </c:pt>
                <c:pt idx="76">
                  <c:v>0</c:v>
                </c:pt>
                <c:pt idx="77">
                  <c:v>0</c:v>
                </c:pt>
                <c:pt idx="78">
                  <c:v>103668</c:v>
                </c:pt>
                <c:pt idx="79">
                  <c:v>0</c:v>
                </c:pt>
                <c:pt idx="80">
                  <c:v>91362</c:v>
                </c:pt>
                <c:pt idx="81">
                  <c:v>0</c:v>
                </c:pt>
                <c:pt idx="82">
                  <c:v>0</c:v>
                </c:pt>
                <c:pt idx="83">
                  <c:v>82306</c:v>
                </c:pt>
                <c:pt idx="84">
                  <c:v>0</c:v>
                </c:pt>
                <c:pt idx="85">
                  <c:v>0</c:v>
                </c:pt>
                <c:pt idx="86">
                  <c:v>68085</c:v>
                </c:pt>
                <c:pt idx="87">
                  <c:v>0</c:v>
                </c:pt>
                <c:pt idx="88">
                  <c:v>62402</c:v>
                </c:pt>
                <c:pt idx="89">
                  <c:v>0</c:v>
                </c:pt>
                <c:pt idx="90">
                  <c:v>0</c:v>
                </c:pt>
                <c:pt idx="91">
                  <c:v>59208</c:v>
                </c:pt>
                <c:pt idx="92">
                  <c:v>0</c:v>
                </c:pt>
                <c:pt idx="93">
                  <c:v>59415</c:v>
                </c:pt>
                <c:pt idx="94">
                  <c:v>0</c:v>
                </c:pt>
                <c:pt idx="95">
                  <c:v>0</c:v>
                </c:pt>
                <c:pt idx="96">
                  <c:v>57476</c:v>
                </c:pt>
                <c:pt idx="97">
                  <c:v>0</c:v>
                </c:pt>
                <c:pt idx="98">
                  <c:v>51333</c:v>
                </c:pt>
                <c:pt idx="99">
                  <c:v>0</c:v>
                </c:pt>
                <c:pt idx="100">
                  <c:v>0</c:v>
                </c:pt>
                <c:pt idx="101">
                  <c:v>47624</c:v>
                </c:pt>
                <c:pt idx="102">
                  <c:v>0</c:v>
                </c:pt>
                <c:pt idx="103">
                  <c:v>0</c:v>
                </c:pt>
                <c:pt idx="104">
                  <c:v>41931</c:v>
                </c:pt>
                <c:pt idx="105">
                  <c:v>0</c:v>
                </c:pt>
                <c:pt idx="106">
                  <c:v>39847</c:v>
                </c:pt>
                <c:pt idx="107">
                  <c:v>0</c:v>
                </c:pt>
                <c:pt idx="108">
                  <c:v>0</c:v>
                </c:pt>
                <c:pt idx="109">
                  <c:v>40472</c:v>
                </c:pt>
                <c:pt idx="110">
                  <c:v>0</c:v>
                </c:pt>
                <c:pt idx="111">
                  <c:v>35202</c:v>
                </c:pt>
                <c:pt idx="112">
                  <c:v>0</c:v>
                </c:pt>
                <c:pt idx="113">
                  <c:v>0</c:v>
                </c:pt>
                <c:pt idx="114">
                  <c:v>33035</c:v>
                </c:pt>
                <c:pt idx="115">
                  <c:v>0</c:v>
                </c:pt>
                <c:pt idx="116">
                  <c:v>30522</c:v>
                </c:pt>
                <c:pt idx="117">
                  <c:v>0</c:v>
                </c:pt>
                <c:pt idx="118">
                  <c:v>0</c:v>
                </c:pt>
                <c:pt idx="119">
                  <c:v>29223</c:v>
                </c:pt>
                <c:pt idx="120">
                  <c:v>0</c:v>
                </c:pt>
                <c:pt idx="121">
                  <c:v>0</c:v>
                </c:pt>
                <c:pt idx="122">
                  <c:v>25008</c:v>
                </c:pt>
                <c:pt idx="123">
                  <c:v>0</c:v>
                </c:pt>
                <c:pt idx="124">
                  <c:v>25358</c:v>
                </c:pt>
                <c:pt idx="125">
                  <c:v>0</c:v>
                </c:pt>
                <c:pt idx="126">
                  <c:v>0</c:v>
                </c:pt>
                <c:pt idx="127">
                  <c:v>23767</c:v>
                </c:pt>
                <c:pt idx="128">
                  <c:v>0</c:v>
                </c:pt>
                <c:pt idx="129">
                  <c:v>23391</c:v>
                </c:pt>
                <c:pt idx="130">
                  <c:v>0</c:v>
                </c:pt>
                <c:pt idx="131">
                  <c:v>0</c:v>
                </c:pt>
                <c:pt idx="132">
                  <c:v>26070</c:v>
                </c:pt>
                <c:pt idx="133">
                  <c:v>0</c:v>
                </c:pt>
                <c:pt idx="134">
                  <c:v>27316</c:v>
                </c:pt>
                <c:pt idx="135">
                  <c:v>0</c:v>
                </c:pt>
                <c:pt idx="136">
                  <c:v>0</c:v>
                </c:pt>
                <c:pt idx="137">
                  <c:v>30475</c:v>
                </c:pt>
                <c:pt idx="138">
                  <c:v>0</c:v>
                </c:pt>
                <c:pt idx="139">
                  <c:v>0</c:v>
                </c:pt>
                <c:pt idx="140">
                  <c:v>26259</c:v>
                </c:pt>
                <c:pt idx="141">
                  <c:v>0</c:v>
                </c:pt>
                <c:pt idx="142">
                  <c:v>27403</c:v>
                </c:pt>
                <c:pt idx="143">
                  <c:v>0</c:v>
                </c:pt>
                <c:pt idx="144">
                  <c:v>0</c:v>
                </c:pt>
                <c:pt idx="145">
                  <c:v>30757</c:v>
                </c:pt>
                <c:pt idx="146">
                  <c:v>0</c:v>
                </c:pt>
                <c:pt idx="147">
                  <c:v>34479</c:v>
                </c:pt>
                <c:pt idx="148">
                  <c:v>0</c:v>
                </c:pt>
                <c:pt idx="149">
                  <c:v>0</c:v>
                </c:pt>
                <c:pt idx="150">
                  <c:v>29684</c:v>
                </c:pt>
                <c:pt idx="151">
                  <c:v>0</c:v>
                </c:pt>
                <c:pt idx="152">
                  <c:v>29556</c:v>
                </c:pt>
                <c:pt idx="153">
                  <c:v>0</c:v>
                </c:pt>
                <c:pt idx="154">
                  <c:v>0</c:v>
                </c:pt>
                <c:pt idx="155">
                  <c:v>33563</c:v>
                </c:pt>
                <c:pt idx="156">
                  <c:v>0</c:v>
                </c:pt>
                <c:pt idx="157">
                  <c:v>0</c:v>
                </c:pt>
                <c:pt idx="158">
                  <c:v>29310</c:v>
                </c:pt>
                <c:pt idx="159">
                  <c:v>0</c:v>
                </c:pt>
                <c:pt idx="160">
                  <c:v>26139</c:v>
                </c:pt>
                <c:pt idx="161">
                  <c:v>0</c:v>
                </c:pt>
                <c:pt idx="162">
                  <c:v>0</c:v>
                </c:pt>
                <c:pt idx="163">
                  <c:v>24311</c:v>
                </c:pt>
                <c:pt idx="164">
                  <c:v>0</c:v>
                </c:pt>
                <c:pt idx="165">
                  <c:v>18900</c:v>
                </c:pt>
                <c:pt idx="166">
                  <c:v>0</c:v>
                </c:pt>
                <c:pt idx="167">
                  <c:v>0</c:v>
                </c:pt>
                <c:pt idx="168">
                  <c:v>16353</c:v>
                </c:pt>
                <c:pt idx="169">
                  <c:v>0</c:v>
                </c:pt>
                <c:pt idx="170">
                  <c:v>0</c:v>
                </c:pt>
                <c:pt idx="171">
                  <c:v>13942</c:v>
                </c:pt>
                <c:pt idx="172">
                  <c:v>0</c:v>
                </c:pt>
                <c:pt idx="173">
                  <c:v>11962</c:v>
                </c:pt>
                <c:pt idx="174">
                  <c:v>0</c:v>
                </c:pt>
                <c:pt idx="175">
                  <c:v>0</c:v>
                </c:pt>
                <c:pt idx="176">
                  <c:v>7485</c:v>
                </c:pt>
                <c:pt idx="177">
                  <c:v>0</c:v>
                </c:pt>
                <c:pt idx="178">
                  <c:v>7605</c:v>
                </c:pt>
                <c:pt idx="179">
                  <c:v>0</c:v>
                </c:pt>
                <c:pt idx="180">
                  <c:v>0</c:v>
                </c:pt>
                <c:pt idx="181">
                  <c:v>3865</c:v>
                </c:pt>
                <c:pt idx="182">
                  <c:v>0</c:v>
                </c:pt>
                <c:pt idx="183">
                  <c:v>2743</c:v>
                </c:pt>
                <c:pt idx="184">
                  <c:v>0</c:v>
                </c:pt>
                <c:pt idx="185">
                  <c:v>0</c:v>
                </c:pt>
                <c:pt idx="186">
                  <c:v>1070</c:v>
                </c:pt>
                <c:pt idx="187">
                  <c:v>0</c:v>
                </c:pt>
                <c:pt idx="188">
                  <c:v>0</c:v>
                </c:pt>
                <c:pt idx="189">
                  <c:v>598</c:v>
                </c:pt>
                <c:pt idx="190">
                  <c:v>0</c:v>
                </c:pt>
                <c:pt idx="191">
                  <c:v>481</c:v>
                </c:pt>
                <c:pt idx="192">
                  <c:v>0</c:v>
                </c:pt>
                <c:pt idx="193">
                  <c:v>0</c:v>
                </c:pt>
                <c:pt idx="194">
                  <c:v>416</c:v>
                </c:pt>
                <c:pt idx="195">
                  <c:v>0</c:v>
                </c:pt>
                <c:pt idx="196">
                  <c:v>141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  <c:pt idx="74">
                  <c:v>2.6836500000000001</c:v>
                </c:pt>
                <c:pt idx="75">
                  <c:v>2.6591800000000001</c:v>
                </c:pt>
                <c:pt idx="76">
                  <c:v>2.64039</c:v>
                </c:pt>
                <c:pt idx="77">
                  <c:v>2.6239800000000004</c:v>
                </c:pt>
                <c:pt idx="78">
                  <c:v>2.6131500000000001</c:v>
                </c:pt>
                <c:pt idx="79">
                  <c:v>2.6032799999999998</c:v>
                </c:pt>
                <c:pt idx="80">
                  <c:v>2.5930499999999999</c:v>
                </c:pt>
                <c:pt idx="81">
                  <c:v>2.5854400000000002</c:v>
                </c:pt>
                <c:pt idx="82">
                  <c:v>2.5804200000000002</c:v>
                </c:pt>
                <c:pt idx="83">
                  <c:v>2.5784099999999999</c:v>
                </c:pt>
                <c:pt idx="84">
                  <c:v>2.57517</c:v>
                </c:pt>
                <c:pt idx="85">
                  <c:v>2.5719799999999999</c:v>
                </c:pt>
                <c:pt idx="86">
                  <c:v>2.5686900000000001</c:v>
                </c:pt>
                <c:pt idx="87">
                  <c:v>2.5658700000000003</c:v>
                </c:pt>
                <c:pt idx="88">
                  <c:v>2.5601600000000002</c:v>
                </c:pt>
                <c:pt idx="89">
                  <c:v>2.5523400000000001</c:v>
                </c:pt>
                <c:pt idx="90">
                  <c:v>2.54623</c:v>
                </c:pt>
                <c:pt idx="91">
                  <c:v>2.5412400000000002</c:v>
                </c:pt>
                <c:pt idx="92">
                  <c:v>2.5392299999999999</c:v>
                </c:pt>
                <c:pt idx="93">
                  <c:v>2.5381499999999999</c:v>
                </c:pt>
                <c:pt idx="94">
                  <c:v>2.5370900000000001</c:v>
                </c:pt>
                <c:pt idx="95">
                  <c:v>2.5354799999999997</c:v>
                </c:pt>
                <c:pt idx="96">
                  <c:v>2.5357600000000002</c:v>
                </c:pt>
                <c:pt idx="97">
                  <c:v>2.5359400000000001</c:v>
                </c:pt>
                <c:pt idx="98">
                  <c:v>2.53565</c:v>
                </c:pt>
                <c:pt idx="99">
                  <c:v>2.5351499999999998</c:v>
                </c:pt>
                <c:pt idx="100">
                  <c:v>2.5333600000000001</c:v>
                </c:pt>
                <c:pt idx="101">
                  <c:v>2.5289899999999998</c:v>
                </c:pt>
                <c:pt idx="102">
                  <c:v>2.5212499999999998</c:v>
                </c:pt>
                <c:pt idx="103">
                  <c:v>2.5126999999999997</c:v>
                </c:pt>
                <c:pt idx="104">
                  <c:v>2.50427</c:v>
                </c:pt>
                <c:pt idx="105">
                  <c:v>2.4931900000000002</c:v>
                </c:pt>
                <c:pt idx="106">
                  <c:v>2.4812000000000003</c:v>
                </c:pt>
                <c:pt idx="107">
                  <c:v>2.47052</c:v>
                </c:pt>
                <c:pt idx="108">
                  <c:v>2.4577599999999999</c:v>
                </c:pt>
                <c:pt idx="109">
                  <c:v>2.44983</c:v>
                </c:pt>
                <c:pt idx="110">
                  <c:v>2.4452099999999999</c:v>
                </c:pt>
                <c:pt idx="111">
                  <c:v>2.4432899999999997</c:v>
                </c:pt>
                <c:pt idx="112">
                  <c:v>2.43953</c:v>
                </c:pt>
                <c:pt idx="113">
                  <c:v>2.4369700000000001</c:v>
                </c:pt>
                <c:pt idx="114">
                  <c:v>2.43546</c:v>
                </c:pt>
                <c:pt idx="115">
                  <c:v>2.43228</c:v>
                </c:pt>
                <c:pt idx="116">
                  <c:v>2.4281899999999998</c:v>
                </c:pt>
                <c:pt idx="117">
                  <c:v>2.4237600000000001</c:v>
                </c:pt>
                <c:pt idx="118">
                  <c:v>2.4184399999999999</c:v>
                </c:pt>
                <c:pt idx="119">
                  <c:v>2.4131399999999998</c:v>
                </c:pt>
                <c:pt idx="120">
                  <c:v>2.4073899999999999</c:v>
                </c:pt>
                <c:pt idx="121">
                  <c:v>2.4031700000000003</c:v>
                </c:pt>
                <c:pt idx="122">
                  <c:v>2.4022899999999998</c:v>
                </c:pt>
                <c:pt idx="123">
                  <c:v>2.40354</c:v>
                </c:pt>
                <c:pt idx="124">
                  <c:v>2.4018299999999999</c:v>
                </c:pt>
                <c:pt idx="125">
                  <c:v>2.4004700000000003</c:v>
                </c:pt>
                <c:pt idx="126">
                  <c:v>2.4005999999999998</c:v>
                </c:pt>
                <c:pt idx="127">
                  <c:v>2.4031799999999999</c:v>
                </c:pt>
                <c:pt idx="128">
                  <c:v>2.4049200000000002</c:v>
                </c:pt>
                <c:pt idx="129">
                  <c:v>2.4061599999999999</c:v>
                </c:pt>
                <c:pt idx="130">
                  <c:v>2.4106399999999999</c:v>
                </c:pt>
                <c:pt idx="131">
                  <c:v>2.4153199999999999</c:v>
                </c:pt>
                <c:pt idx="132">
                  <c:v>2.4177999999999997</c:v>
                </c:pt>
                <c:pt idx="133">
                  <c:v>2.4209100000000001</c:v>
                </c:pt>
                <c:pt idx="134">
                  <c:v>2.41934</c:v>
                </c:pt>
                <c:pt idx="135">
                  <c:v>2.4142999999999999</c:v>
                </c:pt>
                <c:pt idx="136">
                  <c:v>2.4092099999999999</c:v>
                </c:pt>
                <c:pt idx="137">
                  <c:v>2.40747</c:v>
                </c:pt>
                <c:pt idx="138">
                  <c:v>2.40923</c:v>
                </c:pt>
                <c:pt idx="139">
                  <c:v>2.4126700000000003</c:v>
                </c:pt>
                <c:pt idx="140">
                  <c:v>2.4193899999999999</c:v>
                </c:pt>
                <c:pt idx="141">
                  <c:v>2.4250600000000002</c:v>
                </c:pt>
                <c:pt idx="142">
                  <c:v>2.42821</c:v>
                </c:pt>
                <c:pt idx="143">
                  <c:v>2.43085</c:v>
                </c:pt>
                <c:pt idx="144">
                  <c:v>2.43743</c:v>
                </c:pt>
                <c:pt idx="145">
                  <c:v>2.4555899999999999</c:v>
                </c:pt>
                <c:pt idx="146">
                  <c:v>2.47336</c:v>
                </c:pt>
                <c:pt idx="147">
                  <c:v>2.4863900000000001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  <c:pt idx="74">
                  <c:v>23.963100000000001</c:v>
                </c:pt>
                <c:pt idx="75">
                  <c:v>24.588799999999999</c:v>
                </c:pt>
                <c:pt idx="76">
                  <c:v>24.947800000000001</c:v>
                </c:pt>
                <c:pt idx="77">
                  <c:v>25.238599999999998</c:v>
                </c:pt>
                <c:pt idx="78">
                  <c:v>25.445099999999996</c:v>
                </c:pt>
                <c:pt idx="79">
                  <c:v>25.643999999999998</c:v>
                </c:pt>
                <c:pt idx="80">
                  <c:v>25.916899999999998</c:v>
                </c:pt>
                <c:pt idx="81">
                  <c:v>26.2193</c:v>
                </c:pt>
                <c:pt idx="82">
                  <c:v>26.405899999999999</c:v>
                </c:pt>
                <c:pt idx="83">
                  <c:v>26.550899999999999</c:v>
                </c:pt>
                <c:pt idx="84">
                  <c:v>26.7455</c:v>
                </c:pt>
                <c:pt idx="85">
                  <c:v>26.911300000000001</c:v>
                </c:pt>
                <c:pt idx="86">
                  <c:v>27.072600000000001</c:v>
                </c:pt>
                <c:pt idx="87">
                  <c:v>27.194600000000001</c:v>
                </c:pt>
                <c:pt idx="88">
                  <c:v>27.4343</c:v>
                </c:pt>
                <c:pt idx="89">
                  <c:v>27.741399999999999</c:v>
                </c:pt>
                <c:pt idx="90">
                  <c:v>28.033200000000001</c:v>
                </c:pt>
                <c:pt idx="91">
                  <c:v>28.217500000000001</c:v>
                </c:pt>
                <c:pt idx="92">
                  <c:v>28.235500000000002</c:v>
                </c:pt>
                <c:pt idx="93">
                  <c:v>28.1995</c:v>
                </c:pt>
                <c:pt idx="94">
                  <c:v>28.099499999999999</c:v>
                </c:pt>
                <c:pt idx="95">
                  <c:v>27.9465</c:v>
                </c:pt>
                <c:pt idx="96">
                  <c:v>27.682099999999998</c:v>
                </c:pt>
                <c:pt idx="97">
                  <c:v>27.380900000000004</c:v>
                </c:pt>
                <c:pt idx="98">
                  <c:v>27.046300000000002</c:v>
                </c:pt>
                <c:pt idx="99">
                  <c:v>26.675500000000003</c:v>
                </c:pt>
                <c:pt idx="100">
                  <c:v>26.258399999999998</c:v>
                </c:pt>
                <c:pt idx="101">
                  <c:v>25.806699999999999</c:v>
                </c:pt>
                <c:pt idx="102">
                  <c:v>25.375999999999998</c:v>
                </c:pt>
                <c:pt idx="103">
                  <c:v>24.892099999999999</c:v>
                </c:pt>
                <c:pt idx="104">
                  <c:v>24.403700000000001</c:v>
                </c:pt>
                <c:pt idx="105">
                  <c:v>23.925000000000001</c:v>
                </c:pt>
                <c:pt idx="106">
                  <c:v>23.372599999999998</c:v>
                </c:pt>
                <c:pt idx="107">
                  <c:v>22.782599999999999</c:v>
                </c:pt>
                <c:pt idx="108">
                  <c:v>22.366299999999999</c:v>
                </c:pt>
                <c:pt idx="109">
                  <c:v>21.913499999999999</c:v>
                </c:pt>
                <c:pt idx="110">
                  <c:v>21.5029</c:v>
                </c:pt>
                <c:pt idx="111">
                  <c:v>21.0884</c:v>
                </c:pt>
                <c:pt idx="112">
                  <c:v>20.811399999999999</c:v>
                </c:pt>
                <c:pt idx="113">
                  <c:v>20.516400000000001</c:v>
                </c:pt>
                <c:pt idx="114">
                  <c:v>20.241700000000002</c:v>
                </c:pt>
                <c:pt idx="115">
                  <c:v>19.985099999999999</c:v>
                </c:pt>
                <c:pt idx="116">
                  <c:v>19.871200000000002</c:v>
                </c:pt>
                <c:pt idx="117">
                  <c:v>19.933799999999998</c:v>
                </c:pt>
                <c:pt idx="118">
                  <c:v>20.063600000000001</c:v>
                </c:pt>
                <c:pt idx="119">
                  <c:v>20.188600000000001</c:v>
                </c:pt>
                <c:pt idx="120">
                  <c:v>20.402000000000001</c:v>
                </c:pt>
                <c:pt idx="121">
                  <c:v>20.732999999999997</c:v>
                </c:pt>
                <c:pt idx="122">
                  <c:v>21.0852</c:v>
                </c:pt>
                <c:pt idx="123">
                  <c:v>21.442700000000002</c:v>
                </c:pt>
                <c:pt idx="124">
                  <c:v>21.436299999999999</c:v>
                </c:pt>
                <c:pt idx="125">
                  <c:v>21.442700000000002</c:v>
                </c:pt>
                <c:pt idx="126">
                  <c:v>21.553000000000001</c:v>
                </c:pt>
                <c:pt idx="127">
                  <c:v>21.727</c:v>
                </c:pt>
                <c:pt idx="128">
                  <c:v>21.9999</c:v>
                </c:pt>
                <c:pt idx="129">
                  <c:v>22.3291</c:v>
                </c:pt>
                <c:pt idx="130">
                  <c:v>22.657800000000002</c:v>
                </c:pt>
                <c:pt idx="131">
                  <c:v>23.061899999999998</c:v>
                </c:pt>
                <c:pt idx="132">
                  <c:v>23.598800000000001</c:v>
                </c:pt>
                <c:pt idx="133">
                  <c:v>24.017800000000001</c:v>
                </c:pt>
                <c:pt idx="134">
                  <c:v>24.504999999999999</c:v>
                </c:pt>
                <c:pt idx="135">
                  <c:v>25.029600000000002</c:v>
                </c:pt>
                <c:pt idx="136">
                  <c:v>25.6371</c:v>
                </c:pt>
                <c:pt idx="137">
                  <c:v>26.101999999999997</c:v>
                </c:pt>
                <c:pt idx="138">
                  <c:v>26.448700000000002</c:v>
                </c:pt>
                <c:pt idx="139">
                  <c:v>26.702199999999998</c:v>
                </c:pt>
                <c:pt idx="140">
                  <c:v>27.062999999999999</c:v>
                </c:pt>
                <c:pt idx="141">
                  <c:v>27.338800000000003</c:v>
                </c:pt>
                <c:pt idx="142">
                  <c:v>27.407299999999999</c:v>
                </c:pt>
                <c:pt idx="143">
                  <c:v>27.578099999999999</c:v>
                </c:pt>
                <c:pt idx="144">
                  <c:v>27.886300000000002</c:v>
                </c:pt>
                <c:pt idx="145">
                  <c:v>28.095300000000002</c:v>
                </c:pt>
                <c:pt idx="146">
                  <c:v>28.313600000000001</c:v>
                </c:pt>
                <c:pt idx="147">
                  <c:v>28.507900000000003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2.7037699999999996</c:v>
                </c:pt>
                <c:pt idx="1">
                  <c:v>2.6836500000000001</c:v>
                </c:pt>
                <c:pt idx="2">
                  <c:v>2.6591800000000001</c:v>
                </c:pt>
                <c:pt idx="3">
                  <c:v>2.64039</c:v>
                </c:pt>
                <c:pt idx="4">
                  <c:v>2.6239800000000004</c:v>
                </c:pt>
                <c:pt idx="5">
                  <c:v>2.6131500000000001</c:v>
                </c:pt>
                <c:pt idx="6">
                  <c:v>2.6032799999999998</c:v>
                </c:pt>
                <c:pt idx="7">
                  <c:v>2.5930499999999999</c:v>
                </c:pt>
                <c:pt idx="8">
                  <c:v>2.5854400000000002</c:v>
                </c:pt>
                <c:pt idx="9">
                  <c:v>2.5804200000000002</c:v>
                </c:pt>
                <c:pt idx="10">
                  <c:v>2.5784099999999999</c:v>
                </c:pt>
                <c:pt idx="11">
                  <c:v>2.57517</c:v>
                </c:pt>
                <c:pt idx="12">
                  <c:v>2.5719799999999999</c:v>
                </c:pt>
                <c:pt idx="13">
                  <c:v>2.5686900000000001</c:v>
                </c:pt>
                <c:pt idx="14">
                  <c:v>2.5658700000000003</c:v>
                </c:pt>
                <c:pt idx="15">
                  <c:v>2.5601600000000002</c:v>
                </c:pt>
                <c:pt idx="16">
                  <c:v>2.5523400000000001</c:v>
                </c:pt>
                <c:pt idx="17">
                  <c:v>2.54623</c:v>
                </c:pt>
                <c:pt idx="18">
                  <c:v>2.5412400000000002</c:v>
                </c:pt>
                <c:pt idx="19">
                  <c:v>2.5392299999999999</c:v>
                </c:pt>
                <c:pt idx="20">
                  <c:v>2.5381499999999999</c:v>
                </c:pt>
                <c:pt idx="21">
                  <c:v>2.5370900000000001</c:v>
                </c:pt>
                <c:pt idx="22">
                  <c:v>2.5354799999999997</c:v>
                </c:pt>
                <c:pt idx="23">
                  <c:v>2.5357600000000002</c:v>
                </c:pt>
                <c:pt idx="24">
                  <c:v>2.5359400000000001</c:v>
                </c:pt>
                <c:pt idx="25">
                  <c:v>2.53565</c:v>
                </c:pt>
                <c:pt idx="26">
                  <c:v>2.5351499999999998</c:v>
                </c:pt>
                <c:pt idx="27">
                  <c:v>2.5333600000000001</c:v>
                </c:pt>
                <c:pt idx="28">
                  <c:v>2.5289899999999998</c:v>
                </c:pt>
                <c:pt idx="29">
                  <c:v>2.5212499999999998</c:v>
                </c:pt>
                <c:pt idx="30">
                  <c:v>2.5126999999999997</c:v>
                </c:pt>
                <c:pt idx="31">
                  <c:v>2.50427</c:v>
                </c:pt>
                <c:pt idx="32">
                  <c:v>2.4931900000000002</c:v>
                </c:pt>
                <c:pt idx="33">
                  <c:v>2.4812000000000003</c:v>
                </c:pt>
                <c:pt idx="34">
                  <c:v>2.47052</c:v>
                </c:pt>
                <c:pt idx="35">
                  <c:v>2.4577599999999999</c:v>
                </c:pt>
                <c:pt idx="36">
                  <c:v>2.44983</c:v>
                </c:pt>
                <c:pt idx="37">
                  <c:v>2.4452099999999999</c:v>
                </c:pt>
                <c:pt idx="38">
                  <c:v>2.4432899999999997</c:v>
                </c:pt>
                <c:pt idx="39">
                  <c:v>2.43953</c:v>
                </c:pt>
                <c:pt idx="40">
                  <c:v>2.4369700000000001</c:v>
                </c:pt>
                <c:pt idx="41">
                  <c:v>2.43546</c:v>
                </c:pt>
                <c:pt idx="42">
                  <c:v>2.43228</c:v>
                </c:pt>
                <c:pt idx="43">
                  <c:v>2.4281899999999998</c:v>
                </c:pt>
                <c:pt idx="44">
                  <c:v>2.4237600000000001</c:v>
                </c:pt>
                <c:pt idx="45">
                  <c:v>2.4184399999999999</c:v>
                </c:pt>
                <c:pt idx="46">
                  <c:v>2.4131399999999998</c:v>
                </c:pt>
                <c:pt idx="47">
                  <c:v>2.4073899999999999</c:v>
                </c:pt>
                <c:pt idx="48">
                  <c:v>2.4031700000000003</c:v>
                </c:pt>
                <c:pt idx="49">
                  <c:v>2.4022899999999998</c:v>
                </c:pt>
                <c:pt idx="50">
                  <c:v>2.40354</c:v>
                </c:pt>
                <c:pt idx="51">
                  <c:v>2.4018299999999999</c:v>
                </c:pt>
                <c:pt idx="52">
                  <c:v>2.4004700000000003</c:v>
                </c:pt>
                <c:pt idx="53">
                  <c:v>2.4005999999999998</c:v>
                </c:pt>
                <c:pt idx="54">
                  <c:v>2.4031799999999999</c:v>
                </c:pt>
                <c:pt idx="55">
                  <c:v>2.4049200000000002</c:v>
                </c:pt>
                <c:pt idx="56">
                  <c:v>2.4061599999999999</c:v>
                </c:pt>
                <c:pt idx="57">
                  <c:v>2.4106399999999999</c:v>
                </c:pt>
                <c:pt idx="58">
                  <c:v>2.4153199999999999</c:v>
                </c:pt>
                <c:pt idx="59">
                  <c:v>2.4177999999999997</c:v>
                </c:pt>
                <c:pt idx="60">
                  <c:v>2.4209100000000001</c:v>
                </c:pt>
                <c:pt idx="61">
                  <c:v>2.41934</c:v>
                </c:pt>
                <c:pt idx="62">
                  <c:v>2.4142999999999999</c:v>
                </c:pt>
                <c:pt idx="63">
                  <c:v>2.4092099999999999</c:v>
                </c:pt>
                <c:pt idx="64">
                  <c:v>2.40747</c:v>
                </c:pt>
                <c:pt idx="65">
                  <c:v>2.40923</c:v>
                </c:pt>
                <c:pt idx="66">
                  <c:v>2.4126700000000003</c:v>
                </c:pt>
                <c:pt idx="67">
                  <c:v>2.4193899999999999</c:v>
                </c:pt>
                <c:pt idx="68">
                  <c:v>2.4250600000000002</c:v>
                </c:pt>
                <c:pt idx="69">
                  <c:v>2.42821</c:v>
                </c:pt>
                <c:pt idx="70">
                  <c:v>2.43085</c:v>
                </c:pt>
                <c:pt idx="71">
                  <c:v>2.43743</c:v>
                </c:pt>
                <c:pt idx="72">
                  <c:v>2.4555899999999999</c:v>
                </c:pt>
                <c:pt idx="73">
                  <c:v>2.47336</c:v>
                </c:pt>
                <c:pt idx="74">
                  <c:v>2.4863900000000001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23.584900000000001</c:v>
                </c:pt>
                <c:pt idx="1">
                  <c:v>23.963100000000001</c:v>
                </c:pt>
                <c:pt idx="2">
                  <c:v>24.588799999999999</c:v>
                </c:pt>
                <c:pt idx="3">
                  <c:v>24.947800000000001</c:v>
                </c:pt>
                <c:pt idx="4">
                  <c:v>25.238599999999998</c:v>
                </c:pt>
                <c:pt idx="5">
                  <c:v>25.445099999999996</c:v>
                </c:pt>
                <c:pt idx="6">
                  <c:v>25.643999999999998</c:v>
                </c:pt>
                <c:pt idx="7">
                  <c:v>25.916899999999998</c:v>
                </c:pt>
                <c:pt idx="8">
                  <c:v>26.2193</c:v>
                </c:pt>
                <c:pt idx="9">
                  <c:v>26.405899999999999</c:v>
                </c:pt>
                <c:pt idx="10">
                  <c:v>26.550899999999999</c:v>
                </c:pt>
                <c:pt idx="11">
                  <c:v>26.7455</c:v>
                </c:pt>
                <c:pt idx="12">
                  <c:v>26.911300000000001</c:v>
                </c:pt>
                <c:pt idx="13">
                  <c:v>27.072600000000001</c:v>
                </c:pt>
                <c:pt idx="14">
                  <c:v>27.194600000000001</c:v>
                </c:pt>
                <c:pt idx="15">
                  <c:v>27.4343</c:v>
                </c:pt>
                <c:pt idx="16">
                  <c:v>27.741399999999999</c:v>
                </c:pt>
                <c:pt idx="17">
                  <c:v>28.033200000000001</c:v>
                </c:pt>
                <c:pt idx="18">
                  <c:v>28.217500000000001</c:v>
                </c:pt>
                <c:pt idx="19">
                  <c:v>28.235500000000002</c:v>
                </c:pt>
                <c:pt idx="20">
                  <c:v>28.1995</c:v>
                </c:pt>
                <c:pt idx="21">
                  <c:v>28.099499999999999</c:v>
                </c:pt>
                <c:pt idx="22">
                  <c:v>27.9465</c:v>
                </c:pt>
                <c:pt idx="23">
                  <c:v>27.682099999999998</c:v>
                </c:pt>
                <c:pt idx="24">
                  <c:v>27.380900000000004</c:v>
                </c:pt>
                <c:pt idx="25">
                  <c:v>27.046300000000002</c:v>
                </c:pt>
                <c:pt idx="26">
                  <c:v>26.675500000000003</c:v>
                </c:pt>
                <c:pt idx="27">
                  <c:v>26.258399999999998</c:v>
                </c:pt>
                <c:pt idx="28">
                  <c:v>25.806699999999999</c:v>
                </c:pt>
                <c:pt idx="29">
                  <c:v>25.375999999999998</c:v>
                </c:pt>
                <c:pt idx="30">
                  <c:v>24.892099999999999</c:v>
                </c:pt>
                <c:pt idx="31">
                  <c:v>24.403700000000001</c:v>
                </c:pt>
                <c:pt idx="32">
                  <c:v>23.925000000000001</c:v>
                </c:pt>
                <c:pt idx="33">
                  <c:v>23.372599999999998</c:v>
                </c:pt>
                <c:pt idx="34">
                  <c:v>22.782599999999999</c:v>
                </c:pt>
                <c:pt idx="35">
                  <c:v>22.366299999999999</c:v>
                </c:pt>
                <c:pt idx="36">
                  <c:v>21.913499999999999</c:v>
                </c:pt>
                <c:pt idx="37">
                  <c:v>21.5029</c:v>
                </c:pt>
                <c:pt idx="38">
                  <c:v>21.0884</c:v>
                </c:pt>
                <c:pt idx="39">
                  <c:v>20.811399999999999</c:v>
                </c:pt>
                <c:pt idx="40">
                  <c:v>20.516400000000001</c:v>
                </c:pt>
                <c:pt idx="41">
                  <c:v>20.241700000000002</c:v>
                </c:pt>
                <c:pt idx="42">
                  <c:v>19.985099999999999</c:v>
                </c:pt>
                <c:pt idx="43">
                  <c:v>19.871200000000002</c:v>
                </c:pt>
                <c:pt idx="44">
                  <c:v>19.933799999999998</c:v>
                </c:pt>
                <c:pt idx="45">
                  <c:v>20.063600000000001</c:v>
                </c:pt>
                <c:pt idx="46">
                  <c:v>20.188600000000001</c:v>
                </c:pt>
                <c:pt idx="47">
                  <c:v>20.402000000000001</c:v>
                </c:pt>
                <c:pt idx="48">
                  <c:v>20.732999999999997</c:v>
                </c:pt>
                <c:pt idx="49">
                  <c:v>21.0852</c:v>
                </c:pt>
                <c:pt idx="50">
                  <c:v>21.442700000000002</c:v>
                </c:pt>
                <c:pt idx="51">
                  <c:v>21.436299999999999</c:v>
                </c:pt>
                <c:pt idx="52">
                  <c:v>21.442700000000002</c:v>
                </c:pt>
                <c:pt idx="53">
                  <c:v>21.553000000000001</c:v>
                </c:pt>
                <c:pt idx="54">
                  <c:v>21.727</c:v>
                </c:pt>
                <c:pt idx="55">
                  <c:v>21.9999</c:v>
                </c:pt>
                <c:pt idx="56">
                  <c:v>22.3291</c:v>
                </c:pt>
                <c:pt idx="57">
                  <c:v>22.657800000000002</c:v>
                </c:pt>
                <c:pt idx="58">
                  <c:v>23.061899999999998</c:v>
                </c:pt>
                <c:pt idx="59">
                  <c:v>23.598800000000001</c:v>
                </c:pt>
                <c:pt idx="60">
                  <c:v>24.017800000000001</c:v>
                </c:pt>
                <c:pt idx="61">
                  <c:v>24.504999999999999</c:v>
                </c:pt>
                <c:pt idx="62">
                  <c:v>25.029600000000002</c:v>
                </c:pt>
                <c:pt idx="63">
                  <c:v>25.6371</c:v>
                </c:pt>
                <c:pt idx="64">
                  <c:v>26.101999999999997</c:v>
                </c:pt>
                <c:pt idx="65">
                  <c:v>26.448700000000002</c:v>
                </c:pt>
                <c:pt idx="66">
                  <c:v>26.702199999999998</c:v>
                </c:pt>
                <c:pt idx="67">
                  <c:v>27.062999999999999</c:v>
                </c:pt>
                <c:pt idx="68">
                  <c:v>27.338800000000003</c:v>
                </c:pt>
                <c:pt idx="69">
                  <c:v>27.407299999999999</c:v>
                </c:pt>
                <c:pt idx="70">
                  <c:v>27.578099999999999</c:v>
                </c:pt>
                <c:pt idx="71">
                  <c:v>27.886300000000002</c:v>
                </c:pt>
                <c:pt idx="72">
                  <c:v>28.095300000000002</c:v>
                </c:pt>
                <c:pt idx="73">
                  <c:v>28.313600000000001</c:v>
                </c:pt>
                <c:pt idx="74">
                  <c:v>28.507900000000003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2.9053164864864862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30.969068918918914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2.4855559459459458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24.661333783783792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2.4855559459459458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24.661333783783792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0.38948601898365431</c:v>
                </c:pt>
                <c:pt idx="1">
                  <c:v>0.22492267871198487</c:v>
                </c:pt>
                <c:pt idx="2">
                  <c:v>0.38559130230436073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  <c:pt idx="74">
                  <c:v>30.06</c:v>
                </c:pt>
                <c:pt idx="75">
                  <c:v>30.5121</c:v>
                </c:pt>
                <c:pt idx="76">
                  <c:v>30.9194</c:v>
                </c:pt>
                <c:pt idx="77">
                  <c:v>31.326699999999999</c:v>
                </c:pt>
                <c:pt idx="78">
                  <c:v>31.733899999999998</c:v>
                </c:pt>
                <c:pt idx="79">
                  <c:v>32.1355</c:v>
                </c:pt>
                <c:pt idx="80">
                  <c:v>32.542900000000003</c:v>
                </c:pt>
                <c:pt idx="81">
                  <c:v>32.949199999999998</c:v>
                </c:pt>
                <c:pt idx="82">
                  <c:v>33.357199999999999</c:v>
                </c:pt>
                <c:pt idx="83">
                  <c:v>33.763199999999998</c:v>
                </c:pt>
                <c:pt idx="84">
                  <c:v>34.171700000000001</c:v>
                </c:pt>
                <c:pt idx="85">
                  <c:v>34.576099999999997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35.7943</c:v>
                </c:pt>
                <c:pt idx="89">
                  <c:v>36.200099999999999</c:v>
                </c:pt>
                <c:pt idx="90">
                  <c:v>36.6083</c:v>
                </c:pt>
                <c:pt idx="91">
                  <c:v>37.015300000000003</c:v>
                </c:pt>
                <c:pt idx="92">
                  <c:v>37.418199999999999</c:v>
                </c:pt>
                <c:pt idx="93">
                  <c:v>37.825000000000003</c:v>
                </c:pt>
                <c:pt idx="94">
                  <c:v>38.232100000000003</c:v>
                </c:pt>
                <c:pt idx="95">
                  <c:v>38.641300000000001</c:v>
                </c:pt>
                <c:pt idx="96">
                  <c:v>39.0456</c:v>
                </c:pt>
                <c:pt idx="97">
                  <c:v>39.4499</c:v>
                </c:pt>
                <c:pt idx="98">
                  <c:v>39.854300000000002</c:v>
                </c:pt>
                <c:pt idx="99">
                  <c:v>40.264400000000002</c:v>
                </c:pt>
                <c:pt idx="100">
                  <c:v>40.671199999999999</c:v>
                </c:pt>
                <c:pt idx="101">
                  <c:v>41.078299999999999</c:v>
                </c:pt>
                <c:pt idx="102">
                  <c:v>41.481999999999999</c:v>
                </c:pt>
                <c:pt idx="103">
                  <c:v>41.885899999999999</c:v>
                </c:pt>
                <c:pt idx="104">
                  <c:v>42.2956</c:v>
                </c:pt>
                <c:pt idx="105">
                  <c:v>42.702599999999997</c:v>
                </c:pt>
                <c:pt idx="106">
                  <c:v>43.107999999999997</c:v>
                </c:pt>
                <c:pt idx="107">
                  <c:v>43.513399999999997</c:v>
                </c:pt>
                <c:pt idx="108">
                  <c:v>43.919699999999999</c:v>
                </c:pt>
                <c:pt idx="109">
                  <c:v>44.324800000000003</c:v>
                </c:pt>
                <c:pt idx="110">
                  <c:v>44.734400000000001</c:v>
                </c:pt>
                <c:pt idx="111">
                  <c:v>45.143700000000003</c:v>
                </c:pt>
                <c:pt idx="112">
                  <c:v>45.545400000000001</c:v>
                </c:pt>
                <c:pt idx="113">
                  <c:v>45.950899999999997</c:v>
                </c:pt>
                <c:pt idx="114">
                  <c:v>46.36</c:v>
                </c:pt>
                <c:pt idx="115">
                  <c:v>46.762900000000002</c:v>
                </c:pt>
                <c:pt idx="116">
                  <c:v>47.167900000000003</c:v>
                </c:pt>
                <c:pt idx="117">
                  <c:v>47.575800000000001</c:v>
                </c:pt>
                <c:pt idx="118">
                  <c:v>47.981200000000001</c:v>
                </c:pt>
                <c:pt idx="119">
                  <c:v>48.387599999999999</c:v>
                </c:pt>
                <c:pt idx="120">
                  <c:v>48.795200000000001</c:v>
                </c:pt>
                <c:pt idx="121">
                  <c:v>49.200699999999998</c:v>
                </c:pt>
                <c:pt idx="122">
                  <c:v>49.608800000000002</c:v>
                </c:pt>
                <c:pt idx="123">
                  <c:v>50.011400000000002</c:v>
                </c:pt>
                <c:pt idx="124">
                  <c:v>50.418700000000001</c:v>
                </c:pt>
                <c:pt idx="125">
                  <c:v>50.826900000000002</c:v>
                </c:pt>
                <c:pt idx="126">
                  <c:v>51.232599999999998</c:v>
                </c:pt>
                <c:pt idx="127">
                  <c:v>51.639899999999997</c:v>
                </c:pt>
                <c:pt idx="128">
                  <c:v>52.043500000000002</c:v>
                </c:pt>
                <c:pt idx="129">
                  <c:v>52.450200000000002</c:v>
                </c:pt>
                <c:pt idx="130">
                  <c:v>52.8566</c:v>
                </c:pt>
                <c:pt idx="131">
                  <c:v>53.263500000000001</c:v>
                </c:pt>
                <c:pt idx="132">
                  <c:v>53.670999999999999</c:v>
                </c:pt>
                <c:pt idx="133">
                  <c:v>54.0777</c:v>
                </c:pt>
                <c:pt idx="134">
                  <c:v>54.484299999999998</c:v>
                </c:pt>
                <c:pt idx="135">
                  <c:v>54.886000000000003</c:v>
                </c:pt>
                <c:pt idx="136">
                  <c:v>55.293399999999998</c:v>
                </c:pt>
                <c:pt idx="137">
                  <c:v>55.698999999999998</c:v>
                </c:pt>
                <c:pt idx="138">
                  <c:v>56.106999999999999</c:v>
                </c:pt>
                <c:pt idx="139">
                  <c:v>56.515700000000002</c:v>
                </c:pt>
                <c:pt idx="140">
                  <c:v>56.922899999999998</c:v>
                </c:pt>
                <c:pt idx="141">
                  <c:v>57.324599999999997</c:v>
                </c:pt>
                <c:pt idx="142">
                  <c:v>57.733400000000003</c:v>
                </c:pt>
                <c:pt idx="143">
                  <c:v>58.139699999999998</c:v>
                </c:pt>
                <c:pt idx="144">
                  <c:v>58.545999999999999</c:v>
                </c:pt>
                <c:pt idx="145">
                  <c:v>58.952399999999997</c:v>
                </c:pt>
                <c:pt idx="146">
                  <c:v>59.355499999999999</c:v>
                </c:pt>
                <c:pt idx="147">
                  <c:v>59.764699999999998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  <c:pt idx="74">
                  <c:v>2.6836500000000001</c:v>
                </c:pt>
                <c:pt idx="75">
                  <c:v>2.6591800000000001</c:v>
                </c:pt>
                <c:pt idx="76">
                  <c:v>2.64039</c:v>
                </c:pt>
                <c:pt idx="77">
                  <c:v>2.6239800000000004</c:v>
                </c:pt>
                <c:pt idx="78">
                  <c:v>2.6131500000000001</c:v>
                </c:pt>
                <c:pt idx="79">
                  <c:v>2.6032799999999998</c:v>
                </c:pt>
                <c:pt idx="80">
                  <c:v>2.5930499999999999</c:v>
                </c:pt>
                <c:pt idx="81">
                  <c:v>2.5854400000000002</c:v>
                </c:pt>
                <c:pt idx="82">
                  <c:v>2.5804200000000002</c:v>
                </c:pt>
                <c:pt idx="83">
                  <c:v>2.5784099999999999</c:v>
                </c:pt>
                <c:pt idx="84">
                  <c:v>2.57517</c:v>
                </c:pt>
                <c:pt idx="85">
                  <c:v>2.5719799999999999</c:v>
                </c:pt>
                <c:pt idx="86">
                  <c:v>2.5686900000000001</c:v>
                </c:pt>
                <c:pt idx="87">
                  <c:v>2.5658700000000003</c:v>
                </c:pt>
                <c:pt idx="88">
                  <c:v>2.5601600000000002</c:v>
                </c:pt>
                <c:pt idx="89">
                  <c:v>2.5523400000000001</c:v>
                </c:pt>
                <c:pt idx="90">
                  <c:v>2.54623</c:v>
                </c:pt>
                <c:pt idx="91">
                  <c:v>2.5412400000000002</c:v>
                </c:pt>
                <c:pt idx="92">
                  <c:v>2.5392299999999999</c:v>
                </c:pt>
                <c:pt idx="93">
                  <c:v>2.5381499999999999</c:v>
                </c:pt>
                <c:pt idx="94">
                  <c:v>2.5370900000000001</c:v>
                </c:pt>
                <c:pt idx="95">
                  <c:v>2.5354799999999997</c:v>
                </c:pt>
                <c:pt idx="96">
                  <c:v>2.5357600000000002</c:v>
                </c:pt>
                <c:pt idx="97">
                  <c:v>2.5359400000000001</c:v>
                </c:pt>
                <c:pt idx="98">
                  <c:v>2.53565</c:v>
                </c:pt>
                <c:pt idx="99">
                  <c:v>2.5351499999999998</c:v>
                </c:pt>
                <c:pt idx="100">
                  <c:v>2.5333600000000001</c:v>
                </c:pt>
                <c:pt idx="101">
                  <c:v>2.5289899999999998</c:v>
                </c:pt>
                <c:pt idx="102">
                  <c:v>2.5212499999999998</c:v>
                </c:pt>
                <c:pt idx="103">
                  <c:v>2.5126999999999997</c:v>
                </c:pt>
                <c:pt idx="104">
                  <c:v>2.50427</c:v>
                </c:pt>
                <c:pt idx="105">
                  <c:v>2.4931900000000002</c:v>
                </c:pt>
                <c:pt idx="106">
                  <c:v>2.4812000000000003</c:v>
                </c:pt>
                <c:pt idx="107">
                  <c:v>2.47052</c:v>
                </c:pt>
                <c:pt idx="108">
                  <c:v>2.4577599999999999</c:v>
                </c:pt>
                <c:pt idx="109">
                  <c:v>2.44983</c:v>
                </c:pt>
                <c:pt idx="110">
                  <c:v>2.4452099999999999</c:v>
                </c:pt>
                <c:pt idx="111">
                  <c:v>2.4432899999999997</c:v>
                </c:pt>
                <c:pt idx="112">
                  <c:v>2.43953</c:v>
                </c:pt>
                <c:pt idx="113">
                  <c:v>2.4369700000000001</c:v>
                </c:pt>
                <c:pt idx="114">
                  <c:v>2.43546</c:v>
                </c:pt>
                <c:pt idx="115">
                  <c:v>2.43228</c:v>
                </c:pt>
                <c:pt idx="116">
                  <c:v>2.4281899999999998</c:v>
                </c:pt>
                <c:pt idx="117">
                  <c:v>2.4237600000000001</c:v>
                </c:pt>
                <c:pt idx="118">
                  <c:v>2.4184399999999999</c:v>
                </c:pt>
                <c:pt idx="119">
                  <c:v>2.4131399999999998</c:v>
                </c:pt>
                <c:pt idx="120">
                  <c:v>2.4073899999999999</c:v>
                </c:pt>
                <c:pt idx="121">
                  <c:v>2.4031700000000003</c:v>
                </c:pt>
                <c:pt idx="122">
                  <c:v>2.4022899999999998</c:v>
                </c:pt>
                <c:pt idx="123">
                  <c:v>2.40354</c:v>
                </c:pt>
                <c:pt idx="124">
                  <c:v>2.4018299999999999</c:v>
                </c:pt>
                <c:pt idx="125">
                  <c:v>2.4004700000000003</c:v>
                </c:pt>
                <c:pt idx="126">
                  <c:v>2.4005999999999998</c:v>
                </c:pt>
                <c:pt idx="127">
                  <c:v>2.4031799999999999</c:v>
                </c:pt>
                <c:pt idx="128">
                  <c:v>2.4049200000000002</c:v>
                </c:pt>
                <c:pt idx="129">
                  <c:v>2.4061599999999999</c:v>
                </c:pt>
                <c:pt idx="130">
                  <c:v>2.4106399999999999</c:v>
                </c:pt>
                <c:pt idx="131">
                  <c:v>2.4153199999999999</c:v>
                </c:pt>
                <c:pt idx="132">
                  <c:v>2.4177999999999997</c:v>
                </c:pt>
                <c:pt idx="133">
                  <c:v>2.4209100000000001</c:v>
                </c:pt>
                <c:pt idx="134">
                  <c:v>2.41934</c:v>
                </c:pt>
                <c:pt idx="135">
                  <c:v>2.4142999999999999</c:v>
                </c:pt>
                <c:pt idx="136">
                  <c:v>2.4092099999999999</c:v>
                </c:pt>
                <c:pt idx="137">
                  <c:v>2.40747</c:v>
                </c:pt>
                <c:pt idx="138">
                  <c:v>2.40923</c:v>
                </c:pt>
                <c:pt idx="139">
                  <c:v>2.4126700000000003</c:v>
                </c:pt>
                <c:pt idx="140">
                  <c:v>2.4193899999999999</c:v>
                </c:pt>
                <c:pt idx="141">
                  <c:v>2.4250600000000002</c:v>
                </c:pt>
                <c:pt idx="142">
                  <c:v>2.42821</c:v>
                </c:pt>
                <c:pt idx="143">
                  <c:v>2.43085</c:v>
                </c:pt>
                <c:pt idx="144">
                  <c:v>2.43743</c:v>
                </c:pt>
                <c:pt idx="145">
                  <c:v>2.4555899999999999</c:v>
                </c:pt>
                <c:pt idx="146">
                  <c:v>2.47336</c:v>
                </c:pt>
                <c:pt idx="147">
                  <c:v>2.4863900000000001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29.653500000000001</c:v>
                </c:pt>
                <c:pt idx="1">
                  <c:v>30.06</c:v>
                </c:pt>
                <c:pt idx="2">
                  <c:v>30.5121</c:v>
                </c:pt>
                <c:pt idx="3">
                  <c:v>30.9194</c:v>
                </c:pt>
                <c:pt idx="4">
                  <c:v>31.326699999999999</c:v>
                </c:pt>
                <c:pt idx="5">
                  <c:v>31.733899999999998</c:v>
                </c:pt>
                <c:pt idx="6">
                  <c:v>32.1355</c:v>
                </c:pt>
                <c:pt idx="7">
                  <c:v>32.542900000000003</c:v>
                </c:pt>
                <c:pt idx="8">
                  <c:v>32.949199999999998</c:v>
                </c:pt>
                <c:pt idx="9">
                  <c:v>33.357199999999999</c:v>
                </c:pt>
                <c:pt idx="10">
                  <c:v>33.763199999999998</c:v>
                </c:pt>
                <c:pt idx="11">
                  <c:v>34.171700000000001</c:v>
                </c:pt>
                <c:pt idx="12">
                  <c:v>34.576099999999997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35.7943</c:v>
                </c:pt>
                <c:pt idx="16">
                  <c:v>36.200099999999999</c:v>
                </c:pt>
                <c:pt idx="17">
                  <c:v>36.6083</c:v>
                </c:pt>
                <c:pt idx="18">
                  <c:v>37.015300000000003</c:v>
                </c:pt>
                <c:pt idx="19">
                  <c:v>37.418199999999999</c:v>
                </c:pt>
                <c:pt idx="20">
                  <c:v>37.825000000000003</c:v>
                </c:pt>
                <c:pt idx="21">
                  <c:v>38.232100000000003</c:v>
                </c:pt>
                <c:pt idx="22">
                  <c:v>38.641300000000001</c:v>
                </c:pt>
                <c:pt idx="23">
                  <c:v>39.0456</c:v>
                </c:pt>
                <c:pt idx="24">
                  <c:v>39.4499</c:v>
                </c:pt>
                <c:pt idx="25">
                  <c:v>39.854300000000002</c:v>
                </c:pt>
                <c:pt idx="26">
                  <c:v>40.264400000000002</c:v>
                </c:pt>
                <c:pt idx="27">
                  <c:v>40.671199999999999</c:v>
                </c:pt>
                <c:pt idx="28">
                  <c:v>41.078299999999999</c:v>
                </c:pt>
                <c:pt idx="29">
                  <c:v>41.481999999999999</c:v>
                </c:pt>
                <c:pt idx="30">
                  <c:v>41.885899999999999</c:v>
                </c:pt>
                <c:pt idx="31">
                  <c:v>42.2956</c:v>
                </c:pt>
                <c:pt idx="32">
                  <c:v>42.702599999999997</c:v>
                </c:pt>
                <c:pt idx="33">
                  <c:v>43.107999999999997</c:v>
                </c:pt>
                <c:pt idx="34">
                  <c:v>43.513399999999997</c:v>
                </c:pt>
                <c:pt idx="35">
                  <c:v>43.919699999999999</c:v>
                </c:pt>
                <c:pt idx="36">
                  <c:v>44.324800000000003</c:v>
                </c:pt>
                <c:pt idx="37">
                  <c:v>44.734400000000001</c:v>
                </c:pt>
                <c:pt idx="38">
                  <c:v>45.143700000000003</c:v>
                </c:pt>
                <c:pt idx="39">
                  <c:v>45.545400000000001</c:v>
                </c:pt>
                <c:pt idx="40">
                  <c:v>45.950899999999997</c:v>
                </c:pt>
                <c:pt idx="41">
                  <c:v>46.36</c:v>
                </c:pt>
                <c:pt idx="42">
                  <c:v>46.762900000000002</c:v>
                </c:pt>
                <c:pt idx="43">
                  <c:v>47.167900000000003</c:v>
                </c:pt>
                <c:pt idx="44">
                  <c:v>47.575800000000001</c:v>
                </c:pt>
                <c:pt idx="45">
                  <c:v>47.981200000000001</c:v>
                </c:pt>
                <c:pt idx="46">
                  <c:v>48.387599999999999</c:v>
                </c:pt>
                <c:pt idx="47">
                  <c:v>48.795200000000001</c:v>
                </c:pt>
                <c:pt idx="48">
                  <c:v>49.200699999999998</c:v>
                </c:pt>
                <c:pt idx="49">
                  <c:v>49.608800000000002</c:v>
                </c:pt>
                <c:pt idx="50">
                  <c:v>50.011400000000002</c:v>
                </c:pt>
                <c:pt idx="51">
                  <c:v>50.418700000000001</c:v>
                </c:pt>
                <c:pt idx="52">
                  <c:v>50.826900000000002</c:v>
                </c:pt>
                <c:pt idx="53">
                  <c:v>51.232599999999998</c:v>
                </c:pt>
                <c:pt idx="54">
                  <c:v>51.639899999999997</c:v>
                </c:pt>
                <c:pt idx="55">
                  <c:v>52.043500000000002</c:v>
                </c:pt>
                <c:pt idx="56">
                  <c:v>52.450200000000002</c:v>
                </c:pt>
                <c:pt idx="57">
                  <c:v>52.8566</c:v>
                </c:pt>
                <c:pt idx="58">
                  <c:v>53.263500000000001</c:v>
                </c:pt>
                <c:pt idx="59">
                  <c:v>53.670999999999999</c:v>
                </c:pt>
                <c:pt idx="60">
                  <c:v>54.0777</c:v>
                </c:pt>
                <c:pt idx="61">
                  <c:v>54.484299999999998</c:v>
                </c:pt>
                <c:pt idx="62">
                  <c:v>54.886000000000003</c:v>
                </c:pt>
                <c:pt idx="63">
                  <c:v>55.293399999999998</c:v>
                </c:pt>
                <c:pt idx="64">
                  <c:v>55.698999999999998</c:v>
                </c:pt>
                <c:pt idx="65">
                  <c:v>56.106999999999999</c:v>
                </c:pt>
                <c:pt idx="66">
                  <c:v>56.515700000000002</c:v>
                </c:pt>
                <c:pt idx="67">
                  <c:v>56.922899999999998</c:v>
                </c:pt>
                <c:pt idx="68">
                  <c:v>57.324599999999997</c:v>
                </c:pt>
                <c:pt idx="69">
                  <c:v>57.733400000000003</c:v>
                </c:pt>
                <c:pt idx="70">
                  <c:v>58.139699999999998</c:v>
                </c:pt>
                <c:pt idx="71">
                  <c:v>58.545999999999999</c:v>
                </c:pt>
                <c:pt idx="72">
                  <c:v>58.952399999999997</c:v>
                </c:pt>
                <c:pt idx="73">
                  <c:v>59.355499999999999</c:v>
                </c:pt>
                <c:pt idx="74">
                  <c:v>59.764699999999998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2.7037699999999996</c:v>
                </c:pt>
                <c:pt idx="1">
                  <c:v>2.6836500000000001</c:v>
                </c:pt>
                <c:pt idx="2">
                  <c:v>2.6591800000000001</c:v>
                </c:pt>
                <c:pt idx="3">
                  <c:v>2.64039</c:v>
                </c:pt>
                <c:pt idx="4">
                  <c:v>2.6239800000000004</c:v>
                </c:pt>
                <c:pt idx="5">
                  <c:v>2.6131500000000001</c:v>
                </c:pt>
                <c:pt idx="6">
                  <c:v>2.6032799999999998</c:v>
                </c:pt>
                <c:pt idx="7">
                  <c:v>2.5930499999999999</c:v>
                </c:pt>
                <c:pt idx="8">
                  <c:v>2.5854400000000002</c:v>
                </c:pt>
                <c:pt idx="9">
                  <c:v>2.5804200000000002</c:v>
                </c:pt>
                <c:pt idx="10">
                  <c:v>2.5784099999999999</c:v>
                </c:pt>
                <c:pt idx="11">
                  <c:v>2.57517</c:v>
                </c:pt>
                <c:pt idx="12">
                  <c:v>2.5719799999999999</c:v>
                </c:pt>
                <c:pt idx="13">
                  <c:v>2.5686900000000001</c:v>
                </c:pt>
                <c:pt idx="14">
                  <c:v>2.5658700000000003</c:v>
                </c:pt>
                <c:pt idx="15">
                  <c:v>2.5601600000000002</c:v>
                </c:pt>
                <c:pt idx="16">
                  <c:v>2.5523400000000001</c:v>
                </c:pt>
                <c:pt idx="17">
                  <c:v>2.54623</c:v>
                </c:pt>
                <c:pt idx="18">
                  <c:v>2.5412400000000002</c:v>
                </c:pt>
                <c:pt idx="19">
                  <c:v>2.5392299999999999</c:v>
                </c:pt>
                <c:pt idx="20">
                  <c:v>2.5381499999999999</c:v>
                </c:pt>
                <c:pt idx="21">
                  <c:v>2.5370900000000001</c:v>
                </c:pt>
                <c:pt idx="22">
                  <c:v>2.5354799999999997</c:v>
                </c:pt>
                <c:pt idx="23">
                  <c:v>2.5357600000000002</c:v>
                </c:pt>
                <c:pt idx="24">
                  <c:v>2.5359400000000001</c:v>
                </c:pt>
                <c:pt idx="25">
                  <c:v>2.53565</c:v>
                </c:pt>
                <c:pt idx="26">
                  <c:v>2.5351499999999998</c:v>
                </c:pt>
                <c:pt idx="27">
                  <c:v>2.5333600000000001</c:v>
                </c:pt>
                <c:pt idx="28">
                  <c:v>2.5289899999999998</c:v>
                </c:pt>
                <c:pt idx="29">
                  <c:v>2.5212499999999998</c:v>
                </c:pt>
                <c:pt idx="30">
                  <c:v>2.5126999999999997</c:v>
                </c:pt>
                <c:pt idx="31">
                  <c:v>2.50427</c:v>
                </c:pt>
                <c:pt idx="32">
                  <c:v>2.4931900000000002</c:v>
                </c:pt>
                <c:pt idx="33">
                  <c:v>2.4812000000000003</c:v>
                </c:pt>
                <c:pt idx="34">
                  <c:v>2.47052</c:v>
                </c:pt>
                <c:pt idx="35">
                  <c:v>2.4577599999999999</c:v>
                </c:pt>
                <c:pt idx="36">
                  <c:v>2.44983</c:v>
                </c:pt>
                <c:pt idx="37">
                  <c:v>2.4452099999999999</c:v>
                </c:pt>
                <c:pt idx="38">
                  <c:v>2.4432899999999997</c:v>
                </c:pt>
                <c:pt idx="39">
                  <c:v>2.43953</c:v>
                </c:pt>
                <c:pt idx="40">
                  <c:v>2.4369700000000001</c:v>
                </c:pt>
                <c:pt idx="41">
                  <c:v>2.43546</c:v>
                </c:pt>
                <c:pt idx="42">
                  <c:v>2.43228</c:v>
                </c:pt>
                <c:pt idx="43">
                  <c:v>2.4281899999999998</c:v>
                </c:pt>
                <c:pt idx="44">
                  <c:v>2.4237600000000001</c:v>
                </c:pt>
                <c:pt idx="45">
                  <c:v>2.4184399999999999</c:v>
                </c:pt>
                <c:pt idx="46">
                  <c:v>2.4131399999999998</c:v>
                </c:pt>
                <c:pt idx="47">
                  <c:v>2.4073899999999999</c:v>
                </c:pt>
                <c:pt idx="48">
                  <c:v>2.4031700000000003</c:v>
                </c:pt>
                <c:pt idx="49">
                  <c:v>2.4022899999999998</c:v>
                </c:pt>
                <c:pt idx="50">
                  <c:v>2.40354</c:v>
                </c:pt>
                <c:pt idx="51">
                  <c:v>2.4018299999999999</c:v>
                </c:pt>
                <c:pt idx="52">
                  <c:v>2.4004700000000003</c:v>
                </c:pt>
                <c:pt idx="53">
                  <c:v>2.4005999999999998</c:v>
                </c:pt>
                <c:pt idx="54">
                  <c:v>2.4031799999999999</c:v>
                </c:pt>
                <c:pt idx="55">
                  <c:v>2.4049200000000002</c:v>
                </c:pt>
                <c:pt idx="56">
                  <c:v>2.4061599999999999</c:v>
                </c:pt>
                <c:pt idx="57">
                  <c:v>2.4106399999999999</c:v>
                </c:pt>
                <c:pt idx="58">
                  <c:v>2.4153199999999999</c:v>
                </c:pt>
                <c:pt idx="59">
                  <c:v>2.4177999999999997</c:v>
                </c:pt>
                <c:pt idx="60">
                  <c:v>2.4209100000000001</c:v>
                </c:pt>
                <c:pt idx="61">
                  <c:v>2.41934</c:v>
                </c:pt>
                <c:pt idx="62">
                  <c:v>2.4142999999999999</c:v>
                </c:pt>
                <c:pt idx="63">
                  <c:v>2.4092099999999999</c:v>
                </c:pt>
                <c:pt idx="64">
                  <c:v>2.40747</c:v>
                </c:pt>
                <c:pt idx="65">
                  <c:v>2.40923</c:v>
                </c:pt>
                <c:pt idx="66">
                  <c:v>2.4126700000000003</c:v>
                </c:pt>
                <c:pt idx="67">
                  <c:v>2.4193899999999999</c:v>
                </c:pt>
                <c:pt idx="68">
                  <c:v>2.4250600000000002</c:v>
                </c:pt>
                <c:pt idx="69">
                  <c:v>2.42821</c:v>
                </c:pt>
                <c:pt idx="70">
                  <c:v>2.43085</c:v>
                </c:pt>
                <c:pt idx="71">
                  <c:v>2.43743</c:v>
                </c:pt>
                <c:pt idx="72">
                  <c:v>2.4555899999999999</c:v>
                </c:pt>
                <c:pt idx="73">
                  <c:v>2.47336</c:v>
                </c:pt>
                <c:pt idx="74">
                  <c:v>2.4863900000000001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14.941174999999999</c:v>
                </c:pt>
                <c:pt idx="1">
                  <c:v>44.823524999999997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2.9053164864864862</c:v>
                </c:pt>
                <c:pt idx="1">
                  <c:v>2.4855559459459458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  <c:pt idx="74">
                  <c:v>30.06</c:v>
                </c:pt>
                <c:pt idx="75">
                  <c:v>30.5121</c:v>
                </c:pt>
                <c:pt idx="76">
                  <c:v>30.9194</c:v>
                </c:pt>
                <c:pt idx="77">
                  <c:v>31.326699999999999</c:v>
                </c:pt>
                <c:pt idx="78">
                  <c:v>31.733899999999998</c:v>
                </c:pt>
                <c:pt idx="79">
                  <c:v>32.1355</c:v>
                </c:pt>
                <c:pt idx="80">
                  <c:v>32.542900000000003</c:v>
                </c:pt>
                <c:pt idx="81">
                  <c:v>32.949199999999998</c:v>
                </c:pt>
                <c:pt idx="82">
                  <c:v>33.357199999999999</c:v>
                </c:pt>
                <c:pt idx="83">
                  <c:v>33.763199999999998</c:v>
                </c:pt>
                <c:pt idx="84">
                  <c:v>34.171700000000001</c:v>
                </c:pt>
                <c:pt idx="85">
                  <c:v>34.576099999999997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35.7943</c:v>
                </c:pt>
                <c:pt idx="89">
                  <c:v>36.200099999999999</c:v>
                </c:pt>
                <c:pt idx="90">
                  <c:v>36.6083</c:v>
                </c:pt>
                <c:pt idx="91">
                  <c:v>37.015300000000003</c:v>
                </c:pt>
                <c:pt idx="92">
                  <c:v>37.418199999999999</c:v>
                </c:pt>
                <c:pt idx="93">
                  <c:v>37.825000000000003</c:v>
                </c:pt>
                <c:pt idx="94">
                  <c:v>38.232100000000003</c:v>
                </c:pt>
                <c:pt idx="95">
                  <c:v>38.641300000000001</c:v>
                </c:pt>
                <c:pt idx="96">
                  <c:v>39.0456</c:v>
                </c:pt>
                <c:pt idx="97">
                  <c:v>39.4499</c:v>
                </c:pt>
                <c:pt idx="98">
                  <c:v>39.854300000000002</c:v>
                </c:pt>
                <c:pt idx="99">
                  <c:v>40.264400000000002</c:v>
                </c:pt>
                <c:pt idx="100">
                  <c:v>40.671199999999999</c:v>
                </c:pt>
                <c:pt idx="101">
                  <c:v>41.078299999999999</c:v>
                </c:pt>
                <c:pt idx="102">
                  <c:v>41.481999999999999</c:v>
                </c:pt>
                <c:pt idx="103">
                  <c:v>41.885899999999999</c:v>
                </c:pt>
                <c:pt idx="104">
                  <c:v>42.2956</c:v>
                </c:pt>
                <c:pt idx="105">
                  <c:v>42.702599999999997</c:v>
                </c:pt>
                <c:pt idx="106">
                  <c:v>43.107999999999997</c:v>
                </c:pt>
                <c:pt idx="107">
                  <c:v>43.513399999999997</c:v>
                </c:pt>
                <c:pt idx="108">
                  <c:v>43.919699999999999</c:v>
                </c:pt>
                <c:pt idx="109">
                  <c:v>44.324800000000003</c:v>
                </c:pt>
                <c:pt idx="110">
                  <c:v>44.734400000000001</c:v>
                </c:pt>
                <c:pt idx="111">
                  <c:v>45.143700000000003</c:v>
                </c:pt>
                <c:pt idx="112">
                  <c:v>45.545400000000001</c:v>
                </c:pt>
                <c:pt idx="113">
                  <c:v>45.950899999999997</c:v>
                </c:pt>
                <c:pt idx="114">
                  <c:v>46.36</c:v>
                </c:pt>
                <c:pt idx="115">
                  <c:v>46.762900000000002</c:v>
                </c:pt>
                <c:pt idx="116">
                  <c:v>47.167900000000003</c:v>
                </c:pt>
                <c:pt idx="117">
                  <c:v>47.575800000000001</c:v>
                </c:pt>
                <c:pt idx="118">
                  <c:v>47.981200000000001</c:v>
                </c:pt>
                <c:pt idx="119">
                  <c:v>48.387599999999999</c:v>
                </c:pt>
                <c:pt idx="120">
                  <c:v>48.795200000000001</c:v>
                </c:pt>
                <c:pt idx="121">
                  <c:v>49.200699999999998</c:v>
                </c:pt>
                <c:pt idx="122">
                  <c:v>49.608800000000002</c:v>
                </c:pt>
                <c:pt idx="123">
                  <c:v>50.011400000000002</c:v>
                </c:pt>
                <c:pt idx="124">
                  <c:v>50.418700000000001</c:v>
                </c:pt>
                <c:pt idx="125">
                  <c:v>50.826900000000002</c:v>
                </c:pt>
                <c:pt idx="126">
                  <c:v>51.232599999999998</c:v>
                </c:pt>
                <c:pt idx="127">
                  <c:v>51.639899999999997</c:v>
                </c:pt>
                <c:pt idx="128">
                  <c:v>52.043500000000002</c:v>
                </c:pt>
                <c:pt idx="129">
                  <c:v>52.450200000000002</c:v>
                </c:pt>
                <c:pt idx="130">
                  <c:v>52.8566</c:v>
                </c:pt>
                <c:pt idx="131">
                  <c:v>53.263500000000001</c:v>
                </c:pt>
                <c:pt idx="132">
                  <c:v>53.670999999999999</c:v>
                </c:pt>
                <c:pt idx="133">
                  <c:v>54.0777</c:v>
                </c:pt>
                <c:pt idx="134">
                  <c:v>54.484299999999998</c:v>
                </c:pt>
                <c:pt idx="135">
                  <c:v>54.886000000000003</c:v>
                </c:pt>
                <c:pt idx="136">
                  <c:v>55.293399999999998</c:v>
                </c:pt>
                <c:pt idx="137">
                  <c:v>55.698999999999998</c:v>
                </c:pt>
                <c:pt idx="138">
                  <c:v>56.106999999999999</c:v>
                </c:pt>
                <c:pt idx="139">
                  <c:v>56.515700000000002</c:v>
                </c:pt>
                <c:pt idx="140">
                  <c:v>56.922899999999998</c:v>
                </c:pt>
                <c:pt idx="141">
                  <c:v>57.324599999999997</c:v>
                </c:pt>
                <c:pt idx="142">
                  <c:v>57.733400000000003</c:v>
                </c:pt>
                <c:pt idx="143">
                  <c:v>58.139699999999998</c:v>
                </c:pt>
                <c:pt idx="144">
                  <c:v>58.545999999999999</c:v>
                </c:pt>
                <c:pt idx="145">
                  <c:v>58.952399999999997</c:v>
                </c:pt>
                <c:pt idx="146">
                  <c:v>59.355499999999999</c:v>
                </c:pt>
                <c:pt idx="147">
                  <c:v>59.764699999999998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  <c:pt idx="74">
                  <c:v>23.963100000000001</c:v>
                </c:pt>
                <c:pt idx="75">
                  <c:v>24.588799999999999</c:v>
                </c:pt>
                <c:pt idx="76">
                  <c:v>24.947800000000001</c:v>
                </c:pt>
                <c:pt idx="77">
                  <c:v>25.238599999999998</c:v>
                </c:pt>
                <c:pt idx="78">
                  <c:v>25.445099999999996</c:v>
                </c:pt>
                <c:pt idx="79">
                  <c:v>25.643999999999998</c:v>
                </c:pt>
                <c:pt idx="80">
                  <c:v>25.916899999999998</c:v>
                </c:pt>
                <c:pt idx="81">
                  <c:v>26.2193</c:v>
                </c:pt>
                <c:pt idx="82">
                  <c:v>26.405899999999999</c:v>
                </c:pt>
                <c:pt idx="83">
                  <c:v>26.550899999999999</c:v>
                </c:pt>
                <c:pt idx="84">
                  <c:v>26.7455</c:v>
                </c:pt>
                <c:pt idx="85">
                  <c:v>26.911300000000001</c:v>
                </c:pt>
                <c:pt idx="86">
                  <c:v>27.072600000000001</c:v>
                </c:pt>
                <c:pt idx="87">
                  <c:v>27.194600000000001</c:v>
                </c:pt>
                <c:pt idx="88">
                  <c:v>27.4343</c:v>
                </c:pt>
                <c:pt idx="89">
                  <c:v>27.741399999999999</c:v>
                </c:pt>
                <c:pt idx="90">
                  <c:v>28.033200000000001</c:v>
                </c:pt>
                <c:pt idx="91">
                  <c:v>28.217500000000001</c:v>
                </c:pt>
                <c:pt idx="92">
                  <c:v>28.235500000000002</c:v>
                </c:pt>
                <c:pt idx="93">
                  <c:v>28.1995</c:v>
                </c:pt>
                <c:pt idx="94">
                  <c:v>28.099499999999999</c:v>
                </c:pt>
                <c:pt idx="95">
                  <c:v>27.9465</c:v>
                </c:pt>
                <c:pt idx="96">
                  <c:v>27.682099999999998</c:v>
                </c:pt>
                <c:pt idx="97">
                  <c:v>27.380900000000004</c:v>
                </c:pt>
                <c:pt idx="98">
                  <c:v>27.046300000000002</c:v>
                </c:pt>
                <c:pt idx="99">
                  <c:v>26.675500000000003</c:v>
                </c:pt>
                <c:pt idx="100">
                  <c:v>26.258399999999998</c:v>
                </c:pt>
                <c:pt idx="101">
                  <c:v>25.806699999999999</c:v>
                </c:pt>
                <c:pt idx="102">
                  <c:v>25.375999999999998</c:v>
                </c:pt>
                <c:pt idx="103">
                  <c:v>24.892099999999999</c:v>
                </c:pt>
                <c:pt idx="104">
                  <c:v>24.403700000000001</c:v>
                </c:pt>
                <c:pt idx="105">
                  <c:v>23.925000000000001</c:v>
                </c:pt>
                <c:pt idx="106">
                  <c:v>23.372599999999998</c:v>
                </c:pt>
                <c:pt idx="107">
                  <c:v>22.782599999999999</c:v>
                </c:pt>
                <c:pt idx="108">
                  <c:v>22.366299999999999</c:v>
                </c:pt>
                <c:pt idx="109">
                  <c:v>21.913499999999999</c:v>
                </c:pt>
                <c:pt idx="110">
                  <c:v>21.5029</c:v>
                </c:pt>
                <c:pt idx="111">
                  <c:v>21.0884</c:v>
                </c:pt>
                <c:pt idx="112">
                  <c:v>20.811399999999999</c:v>
                </c:pt>
                <c:pt idx="113">
                  <c:v>20.516400000000001</c:v>
                </c:pt>
                <c:pt idx="114">
                  <c:v>20.241700000000002</c:v>
                </c:pt>
                <c:pt idx="115">
                  <c:v>19.985099999999999</c:v>
                </c:pt>
                <c:pt idx="116">
                  <c:v>19.871200000000002</c:v>
                </c:pt>
                <c:pt idx="117">
                  <c:v>19.933799999999998</c:v>
                </c:pt>
                <c:pt idx="118">
                  <c:v>20.063600000000001</c:v>
                </c:pt>
                <c:pt idx="119">
                  <c:v>20.188600000000001</c:v>
                </c:pt>
                <c:pt idx="120">
                  <c:v>20.402000000000001</c:v>
                </c:pt>
                <c:pt idx="121">
                  <c:v>20.732999999999997</c:v>
                </c:pt>
                <c:pt idx="122">
                  <c:v>21.0852</c:v>
                </c:pt>
                <c:pt idx="123">
                  <c:v>21.442700000000002</c:v>
                </c:pt>
                <c:pt idx="124">
                  <c:v>21.436299999999999</c:v>
                </c:pt>
                <c:pt idx="125">
                  <c:v>21.442700000000002</c:v>
                </c:pt>
                <c:pt idx="126">
                  <c:v>21.553000000000001</c:v>
                </c:pt>
                <c:pt idx="127">
                  <c:v>21.727</c:v>
                </c:pt>
                <c:pt idx="128">
                  <c:v>21.9999</c:v>
                </c:pt>
                <c:pt idx="129">
                  <c:v>22.3291</c:v>
                </c:pt>
                <c:pt idx="130">
                  <c:v>22.657800000000002</c:v>
                </c:pt>
                <c:pt idx="131">
                  <c:v>23.061899999999998</c:v>
                </c:pt>
                <c:pt idx="132">
                  <c:v>23.598800000000001</c:v>
                </c:pt>
                <c:pt idx="133">
                  <c:v>24.017800000000001</c:v>
                </c:pt>
                <c:pt idx="134">
                  <c:v>24.504999999999999</c:v>
                </c:pt>
                <c:pt idx="135">
                  <c:v>25.029600000000002</c:v>
                </c:pt>
                <c:pt idx="136">
                  <c:v>25.6371</c:v>
                </c:pt>
                <c:pt idx="137">
                  <c:v>26.101999999999997</c:v>
                </c:pt>
                <c:pt idx="138">
                  <c:v>26.448700000000002</c:v>
                </c:pt>
                <c:pt idx="139">
                  <c:v>26.702199999999998</c:v>
                </c:pt>
                <c:pt idx="140">
                  <c:v>27.062999999999999</c:v>
                </c:pt>
                <c:pt idx="141">
                  <c:v>27.338800000000003</c:v>
                </c:pt>
                <c:pt idx="142">
                  <c:v>27.407299999999999</c:v>
                </c:pt>
                <c:pt idx="143">
                  <c:v>27.578099999999999</c:v>
                </c:pt>
                <c:pt idx="144">
                  <c:v>27.886300000000002</c:v>
                </c:pt>
                <c:pt idx="145">
                  <c:v>28.095300000000002</c:v>
                </c:pt>
                <c:pt idx="146">
                  <c:v>28.313600000000001</c:v>
                </c:pt>
                <c:pt idx="147">
                  <c:v>28.507900000000003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29.653500000000001</c:v>
                </c:pt>
                <c:pt idx="1">
                  <c:v>30.06</c:v>
                </c:pt>
                <c:pt idx="2">
                  <c:v>30.5121</c:v>
                </c:pt>
                <c:pt idx="3">
                  <c:v>30.9194</c:v>
                </c:pt>
                <c:pt idx="4">
                  <c:v>31.326699999999999</c:v>
                </c:pt>
                <c:pt idx="5">
                  <c:v>31.733899999999998</c:v>
                </c:pt>
                <c:pt idx="6">
                  <c:v>32.1355</c:v>
                </c:pt>
                <c:pt idx="7">
                  <c:v>32.542900000000003</c:v>
                </c:pt>
                <c:pt idx="8">
                  <c:v>32.949199999999998</c:v>
                </c:pt>
                <c:pt idx="9">
                  <c:v>33.357199999999999</c:v>
                </c:pt>
                <c:pt idx="10">
                  <c:v>33.763199999999998</c:v>
                </c:pt>
                <c:pt idx="11">
                  <c:v>34.171700000000001</c:v>
                </c:pt>
                <c:pt idx="12">
                  <c:v>34.576099999999997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35.7943</c:v>
                </c:pt>
                <c:pt idx="16">
                  <c:v>36.200099999999999</c:v>
                </c:pt>
                <c:pt idx="17">
                  <c:v>36.6083</c:v>
                </c:pt>
                <c:pt idx="18">
                  <c:v>37.015300000000003</c:v>
                </c:pt>
                <c:pt idx="19">
                  <c:v>37.418199999999999</c:v>
                </c:pt>
                <c:pt idx="20">
                  <c:v>37.825000000000003</c:v>
                </c:pt>
                <c:pt idx="21">
                  <c:v>38.232100000000003</c:v>
                </c:pt>
                <c:pt idx="22">
                  <c:v>38.641300000000001</c:v>
                </c:pt>
                <c:pt idx="23">
                  <c:v>39.0456</c:v>
                </c:pt>
                <c:pt idx="24">
                  <c:v>39.4499</c:v>
                </c:pt>
                <c:pt idx="25">
                  <c:v>39.854300000000002</c:v>
                </c:pt>
                <c:pt idx="26">
                  <c:v>40.264400000000002</c:v>
                </c:pt>
                <c:pt idx="27">
                  <c:v>40.671199999999999</c:v>
                </c:pt>
                <c:pt idx="28">
                  <c:v>41.078299999999999</c:v>
                </c:pt>
                <c:pt idx="29">
                  <c:v>41.481999999999999</c:v>
                </c:pt>
                <c:pt idx="30">
                  <c:v>41.885899999999999</c:v>
                </c:pt>
                <c:pt idx="31">
                  <c:v>42.2956</c:v>
                </c:pt>
                <c:pt idx="32">
                  <c:v>42.702599999999997</c:v>
                </c:pt>
                <c:pt idx="33">
                  <c:v>43.107999999999997</c:v>
                </c:pt>
                <c:pt idx="34">
                  <c:v>43.513399999999997</c:v>
                </c:pt>
                <c:pt idx="35">
                  <c:v>43.919699999999999</c:v>
                </c:pt>
                <c:pt idx="36">
                  <c:v>44.324800000000003</c:v>
                </c:pt>
                <c:pt idx="37">
                  <c:v>44.734400000000001</c:v>
                </c:pt>
                <c:pt idx="38">
                  <c:v>45.143700000000003</c:v>
                </c:pt>
                <c:pt idx="39">
                  <c:v>45.545400000000001</c:v>
                </c:pt>
                <c:pt idx="40">
                  <c:v>45.950899999999997</c:v>
                </c:pt>
                <c:pt idx="41">
                  <c:v>46.36</c:v>
                </c:pt>
                <c:pt idx="42">
                  <c:v>46.762900000000002</c:v>
                </c:pt>
                <c:pt idx="43">
                  <c:v>47.167900000000003</c:v>
                </c:pt>
                <c:pt idx="44">
                  <c:v>47.575800000000001</c:v>
                </c:pt>
                <c:pt idx="45">
                  <c:v>47.981200000000001</c:v>
                </c:pt>
                <c:pt idx="46">
                  <c:v>48.387599999999999</c:v>
                </c:pt>
                <c:pt idx="47">
                  <c:v>48.795200000000001</c:v>
                </c:pt>
                <c:pt idx="48">
                  <c:v>49.200699999999998</c:v>
                </c:pt>
                <c:pt idx="49">
                  <c:v>49.608800000000002</c:v>
                </c:pt>
                <c:pt idx="50">
                  <c:v>50.011400000000002</c:v>
                </c:pt>
                <c:pt idx="51">
                  <c:v>50.418700000000001</c:v>
                </c:pt>
                <c:pt idx="52">
                  <c:v>50.826900000000002</c:v>
                </c:pt>
                <c:pt idx="53">
                  <c:v>51.232599999999998</c:v>
                </c:pt>
                <c:pt idx="54">
                  <c:v>51.639899999999997</c:v>
                </c:pt>
                <c:pt idx="55">
                  <c:v>52.043500000000002</c:v>
                </c:pt>
                <c:pt idx="56">
                  <c:v>52.450200000000002</c:v>
                </c:pt>
                <c:pt idx="57">
                  <c:v>52.8566</c:v>
                </c:pt>
                <c:pt idx="58">
                  <c:v>53.263500000000001</c:v>
                </c:pt>
                <c:pt idx="59">
                  <c:v>53.670999999999999</c:v>
                </c:pt>
                <c:pt idx="60">
                  <c:v>54.0777</c:v>
                </c:pt>
                <c:pt idx="61">
                  <c:v>54.484299999999998</c:v>
                </c:pt>
                <c:pt idx="62">
                  <c:v>54.886000000000003</c:v>
                </c:pt>
                <c:pt idx="63">
                  <c:v>55.293399999999998</c:v>
                </c:pt>
                <c:pt idx="64">
                  <c:v>55.698999999999998</c:v>
                </c:pt>
                <c:pt idx="65">
                  <c:v>56.106999999999999</c:v>
                </c:pt>
                <c:pt idx="66">
                  <c:v>56.515700000000002</c:v>
                </c:pt>
                <c:pt idx="67">
                  <c:v>56.922899999999998</c:v>
                </c:pt>
                <c:pt idx="68">
                  <c:v>57.324599999999997</c:v>
                </c:pt>
                <c:pt idx="69">
                  <c:v>57.733400000000003</c:v>
                </c:pt>
                <c:pt idx="70">
                  <c:v>58.139699999999998</c:v>
                </c:pt>
                <c:pt idx="71">
                  <c:v>58.545999999999999</c:v>
                </c:pt>
                <c:pt idx="72">
                  <c:v>58.952399999999997</c:v>
                </c:pt>
                <c:pt idx="73">
                  <c:v>59.355499999999999</c:v>
                </c:pt>
                <c:pt idx="74">
                  <c:v>59.764699999999998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23.584900000000001</c:v>
                </c:pt>
                <c:pt idx="1">
                  <c:v>23.963100000000001</c:v>
                </c:pt>
                <c:pt idx="2">
                  <c:v>24.588799999999999</c:v>
                </c:pt>
                <c:pt idx="3">
                  <c:v>24.947800000000001</c:v>
                </c:pt>
                <c:pt idx="4">
                  <c:v>25.238599999999998</c:v>
                </c:pt>
                <c:pt idx="5">
                  <c:v>25.445099999999996</c:v>
                </c:pt>
                <c:pt idx="6">
                  <c:v>25.643999999999998</c:v>
                </c:pt>
                <c:pt idx="7">
                  <c:v>25.916899999999998</c:v>
                </c:pt>
                <c:pt idx="8">
                  <c:v>26.2193</c:v>
                </c:pt>
                <c:pt idx="9">
                  <c:v>26.405899999999999</c:v>
                </c:pt>
                <c:pt idx="10">
                  <c:v>26.550899999999999</c:v>
                </c:pt>
                <c:pt idx="11">
                  <c:v>26.7455</c:v>
                </c:pt>
                <c:pt idx="12">
                  <c:v>26.911300000000001</c:v>
                </c:pt>
                <c:pt idx="13">
                  <c:v>27.072600000000001</c:v>
                </c:pt>
                <c:pt idx="14">
                  <c:v>27.194600000000001</c:v>
                </c:pt>
                <c:pt idx="15">
                  <c:v>27.4343</c:v>
                </c:pt>
                <c:pt idx="16">
                  <c:v>27.741399999999999</c:v>
                </c:pt>
                <c:pt idx="17">
                  <c:v>28.033200000000001</c:v>
                </c:pt>
                <c:pt idx="18">
                  <c:v>28.217500000000001</c:v>
                </c:pt>
                <c:pt idx="19">
                  <c:v>28.235500000000002</c:v>
                </c:pt>
                <c:pt idx="20">
                  <c:v>28.1995</c:v>
                </c:pt>
                <c:pt idx="21">
                  <c:v>28.099499999999999</c:v>
                </c:pt>
                <c:pt idx="22">
                  <c:v>27.9465</c:v>
                </c:pt>
                <c:pt idx="23">
                  <c:v>27.682099999999998</c:v>
                </c:pt>
                <c:pt idx="24">
                  <c:v>27.380900000000004</c:v>
                </c:pt>
                <c:pt idx="25">
                  <c:v>27.046300000000002</c:v>
                </c:pt>
                <c:pt idx="26">
                  <c:v>26.675500000000003</c:v>
                </c:pt>
                <c:pt idx="27">
                  <c:v>26.258399999999998</c:v>
                </c:pt>
                <c:pt idx="28">
                  <c:v>25.806699999999999</c:v>
                </c:pt>
                <c:pt idx="29">
                  <c:v>25.375999999999998</c:v>
                </c:pt>
                <c:pt idx="30">
                  <c:v>24.892099999999999</c:v>
                </c:pt>
                <c:pt idx="31">
                  <c:v>24.403700000000001</c:v>
                </c:pt>
                <c:pt idx="32">
                  <c:v>23.925000000000001</c:v>
                </c:pt>
                <c:pt idx="33">
                  <c:v>23.372599999999998</c:v>
                </c:pt>
                <c:pt idx="34">
                  <c:v>22.782599999999999</c:v>
                </c:pt>
                <c:pt idx="35">
                  <c:v>22.366299999999999</c:v>
                </c:pt>
                <c:pt idx="36">
                  <c:v>21.913499999999999</c:v>
                </c:pt>
                <c:pt idx="37">
                  <c:v>21.5029</c:v>
                </c:pt>
                <c:pt idx="38">
                  <c:v>21.0884</c:v>
                </c:pt>
                <c:pt idx="39">
                  <c:v>20.811399999999999</c:v>
                </c:pt>
                <c:pt idx="40">
                  <c:v>20.516400000000001</c:v>
                </c:pt>
                <c:pt idx="41">
                  <c:v>20.241700000000002</c:v>
                </c:pt>
                <c:pt idx="42">
                  <c:v>19.985099999999999</c:v>
                </c:pt>
                <c:pt idx="43">
                  <c:v>19.871200000000002</c:v>
                </c:pt>
                <c:pt idx="44">
                  <c:v>19.933799999999998</c:v>
                </c:pt>
                <c:pt idx="45">
                  <c:v>20.063600000000001</c:v>
                </c:pt>
                <c:pt idx="46">
                  <c:v>20.188600000000001</c:v>
                </c:pt>
                <c:pt idx="47">
                  <c:v>20.402000000000001</c:v>
                </c:pt>
                <c:pt idx="48">
                  <c:v>20.732999999999997</c:v>
                </c:pt>
                <c:pt idx="49">
                  <c:v>21.0852</c:v>
                </c:pt>
                <c:pt idx="50">
                  <c:v>21.442700000000002</c:v>
                </c:pt>
                <c:pt idx="51">
                  <c:v>21.436299999999999</c:v>
                </c:pt>
                <c:pt idx="52">
                  <c:v>21.442700000000002</c:v>
                </c:pt>
                <c:pt idx="53">
                  <c:v>21.553000000000001</c:v>
                </c:pt>
                <c:pt idx="54">
                  <c:v>21.727</c:v>
                </c:pt>
                <c:pt idx="55">
                  <c:v>21.9999</c:v>
                </c:pt>
                <c:pt idx="56">
                  <c:v>22.3291</c:v>
                </c:pt>
                <c:pt idx="57">
                  <c:v>22.657800000000002</c:v>
                </c:pt>
                <c:pt idx="58">
                  <c:v>23.061899999999998</c:v>
                </c:pt>
                <c:pt idx="59">
                  <c:v>23.598800000000001</c:v>
                </c:pt>
                <c:pt idx="60">
                  <c:v>24.017800000000001</c:v>
                </c:pt>
                <c:pt idx="61">
                  <c:v>24.504999999999999</c:v>
                </c:pt>
                <c:pt idx="62">
                  <c:v>25.029600000000002</c:v>
                </c:pt>
                <c:pt idx="63">
                  <c:v>25.6371</c:v>
                </c:pt>
                <c:pt idx="64">
                  <c:v>26.101999999999997</c:v>
                </c:pt>
                <c:pt idx="65">
                  <c:v>26.448700000000002</c:v>
                </c:pt>
                <c:pt idx="66">
                  <c:v>26.702199999999998</c:v>
                </c:pt>
                <c:pt idx="67">
                  <c:v>27.062999999999999</c:v>
                </c:pt>
                <c:pt idx="68">
                  <c:v>27.338800000000003</c:v>
                </c:pt>
                <c:pt idx="69">
                  <c:v>27.407299999999999</c:v>
                </c:pt>
                <c:pt idx="70">
                  <c:v>27.578099999999999</c:v>
                </c:pt>
                <c:pt idx="71">
                  <c:v>27.886300000000002</c:v>
                </c:pt>
                <c:pt idx="72">
                  <c:v>28.095300000000002</c:v>
                </c:pt>
                <c:pt idx="73">
                  <c:v>28.313600000000001</c:v>
                </c:pt>
                <c:pt idx="74">
                  <c:v>28.507900000000003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14.941174999999999</c:v>
                </c:pt>
                <c:pt idx="1">
                  <c:v>44.823524999999997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30.969068918918914</c:v>
                </c:pt>
                <c:pt idx="1">
                  <c:v>24.661333783783792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41.2913</c:v>
                </c:pt>
                <c:pt idx="1">
                  <c:v>29.302900000000001</c:v>
                </c:pt>
                <c:pt idx="2">
                  <c:v>26.573799999999999</c:v>
                </c:pt>
                <c:pt idx="3">
                  <c:v>31.904900000000001</c:v>
                </c:pt>
                <c:pt idx="4">
                  <c:v>58.521999999999998</c:v>
                </c:pt>
                <c:pt idx="5">
                  <c:v>76.688699999999997</c:v>
                </c:pt>
                <c:pt idx="6">
                  <c:v>15.8392</c:v>
                </c:pt>
                <c:pt idx="7">
                  <c:v>67.449600000000004</c:v>
                </c:pt>
                <c:pt idx="8">
                  <c:v>20.3504</c:v>
                </c:pt>
                <c:pt idx="9">
                  <c:v>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38.7241</c:v>
                </c:pt>
                <c:pt idx="1">
                  <c:v>32.466700000000003</c:v>
                </c:pt>
                <c:pt idx="2">
                  <c:v>26.089700000000001</c:v>
                </c:pt>
                <c:pt idx="3">
                  <c:v>32.206899999999997</c:v>
                </c:pt>
                <c:pt idx="4">
                  <c:v>29.609400000000001</c:v>
                </c:pt>
                <c:pt idx="5">
                  <c:v>62.444200000000002</c:v>
                </c:pt>
                <c:pt idx="6">
                  <c:v>10.4893</c:v>
                </c:pt>
                <c:pt idx="7">
                  <c:v>47.530299999999997</c:v>
                </c:pt>
                <c:pt idx="8">
                  <c:v>20.502600000000001</c:v>
                </c:pt>
                <c:pt idx="9">
                  <c:v>32.5901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0.49252287700740166</c:v>
                </c:pt>
                <c:pt idx="1">
                  <c:v>0.29094508706742417</c:v>
                </c:pt>
                <c:pt idx="2">
                  <c:v>0.21653203592517423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907</c:v>
                </c:pt>
                <c:pt idx="7">
                  <c:v>0</c:v>
                </c:pt>
                <c:pt idx="8">
                  <c:v>2003</c:v>
                </c:pt>
                <c:pt idx="9">
                  <c:v>0</c:v>
                </c:pt>
                <c:pt idx="10">
                  <c:v>0</c:v>
                </c:pt>
                <c:pt idx="11">
                  <c:v>2840</c:v>
                </c:pt>
                <c:pt idx="12">
                  <c:v>0</c:v>
                </c:pt>
                <c:pt idx="13">
                  <c:v>5014</c:v>
                </c:pt>
                <c:pt idx="14">
                  <c:v>0</c:v>
                </c:pt>
                <c:pt idx="15">
                  <c:v>0</c:v>
                </c:pt>
                <c:pt idx="16">
                  <c:v>9776</c:v>
                </c:pt>
                <c:pt idx="17">
                  <c:v>0</c:v>
                </c:pt>
                <c:pt idx="18">
                  <c:v>0</c:v>
                </c:pt>
                <c:pt idx="19">
                  <c:v>13014</c:v>
                </c:pt>
                <c:pt idx="20">
                  <c:v>0</c:v>
                </c:pt>
                <c:pt idx="21">
                  <c:v>23382</c:v>
                </c:pt>
                <c:pt idx="22">
                  <c:v>0</c:v>
                </c:pt>
                <c:pt idx="23">
                  <c:v>0</c:v>
                </c:pt>
                <c:pt idx="24">
                  <c:v>26195</c:v>
                </c:pt>
                <c:pt idx="25">
                  <c:v>0</c:v>
                </c:pt>
                <c:pt idx="26">
                  <c:v>39474</c:v>
                </c:pt>
                <c:pt idx="27">
                  <c:v>0</c:v>
                </c:pt>
                <c:pt idx="28">
                  <c:v>0</c:v>
                </c:pt>
                <c:pt idx="29">
                  <c:v>44896</c:v>
                </c:pt>
                <c:pt idx="30">
                  <c:v>0</c:v>
                </c:pt>
                <c:pt idx="31">
                  <c:v>52135</c:v>
                </c:pt>
                <c:pt idx="32">
                  <c:v>0</c:v>
                </c:pt>
                <c:pt idx="33">
                  <c:v>0</c:v>
                </c:pt>
                <c:pt idx="34">
                  <c:v>57880</c:v>
                </c:pt>
                <c:pt idx="35">
                  <c:v>0</c:v>
                </c:pt>
                <c:pt idx="36">
                  <c:v>0</c:v>
                </c:pt>
                <c:pt idx="37">
                  <c:v>62710</c:v>
                </c:pt>
                <c:pt idx="38">
                  <c:v>0</c:v>
                </c:pt>
                <c:pt idx="39">
                  <c:v>70031</c:v>
                </c:pt>
                <c:pt idx="40">
                  <c:v>0</c:v>
                </c:pt>
                <c:pt idx="41">
                  <c:v>0</c:v>
                </c:pt>
                <c:pt idx="42">
                  <c:v>94672</c:v>
                </c:pt>
                <c:pt idx="43">
                  <c:v>0</c:v>
                </c:pt>
                <c:pt idx="44">
                  <c:v>106177</c:v>
                </c:pt>
                <c:pt idx="45">
                  <c:v>0</c:v>
                </c:pt>
                <c:pt idx="46">
                  <c:v>0</c:v>
                </c:pt>
                <c:pt idx="47">
                  <c:v>112019</c:v>
                </c:pt>
                <c:pt idx="48">
                  <c:v>0</c:v>
                </c:pt>
                <c:pt idx="49">
                  <c:v>104459</c:v>
                </c:pt>
                <c:pt idx="50">
                  <c:v>0</c:v>
                </c:pt>
                <c:pt idx="51">
                  <c:v>0</c:v>
                </c:pt>
                <c:pt idx="52">
                  <c:v>97389</c:v>
                </c:pt>
                <c:pt idx="53">
                  <c:v>0</c:v>
                </c:pt>
                <c:pt idx="54">
                  <c:v>0</c:v>
                </c:pt>
                <c:pt idx="55">
                  <c:v>92206</c:v>
                </c:pt>
                <c:pt idx="56">
                  <c:v>0</c:v>
                </c:pt>
                <c:pt idx="57">
                  <c:v>109420</c:v>
                </c:pt>
                <c:pt idx="58">
                  <c:v>0</c:v>
                </c:pt>
                <c:pt idx="59">
                  <c:v>0</c:v>
                </c:pt>
                <c:pt idx="60">
                  <c:v>118553</c:v>
                </c:pt>
                <c:pt idx="61">
                  <c:v>0</c:v>
                </c:pt>
                <c:pt idx="62">
                  <c:v>116313</c:v>
                </c:pt>
                <c:pt idx="63">
                  <c:v>0</c:v>
                </c:pt>
                <c:pt idx="64">
                  <c:v>0</c:v>
                </c:pt>
                <c:pt idx="65">
                  <c:v>117131</c:v>
                </c:pt>
                <c:pt idx="66">
                  <c:v>0</c:v>
                </c:pt>
                <c:pt idx="67">
                  <c:v>117899</c:v>
                </c:pt>
                <c:pt idx="68">
                  <c:v>0</c:v>
                </c:pt>
                <c:pt idx="69">
                  <c:v>0</c:v>
                </c:pt>
                <c:pt idx="70">
                  <c:v>101604</c:v>
                </c:pt>
                <c:pt idx="71">
                  <c:v>0</c:v>
                </c:pt>
                <c:pt idx="72">
                  <c:v>0</c:v>
                </c:pt>
                <c:pt idx="73">
                  <c:v>93905</c:v>
                </c:pt>
                <c:pt idx="74">
                  <c:v>0</c:v>
                </c:pt>
                <c:pt idx="75">
                  <c:v>83628</c:v>
                </c:pt>
                <c:pt idx="76">
                  <c:v>0</c:v>
                </c:pt>
                <c:pt idx="77">
                  <c:v>0</c:v>
                </c:pt>
                <c:pt idx="78">
                  <c:v>73264</c:v>
                </c:pt>
                <c:pt idx="79">
                  <c:v>0</c:v>
                </c:pt>
                <c:pt idx="80">
                  <c:v>66417</c:v>
                </c:pt>
                <c:pt idx="81">
                  <c:v>0</c:v>
                </c:pt>
                <c:pt idx="82">
                  <c:v>0</c:v>
                </c:pt>
                <c:pt idx="83">
                  <c:v>60562</c:v>
                </c:pt>
                <c:pt idx="84">
                  <c:v>0</c:v>
                </c:pt>
                <c:pt idx="85">
                  <c:v>0</c:v>
                </c:pt>
                <c:pt idx="86">
                  <c:v>51684</c:v>
                </c:pt>
                <c:pt idx="87">
                  <c:v>0</c:v>
                </c:pt>
                <c:pt idx="88">
                  <c:v>46049</c:v>
                </c:pt>
                <c:pt idx="89">
                  <c:v>0</c:v>
                </c:pt>
                <c:pt idx="90">
                  <c:v>0</c:v>
                </c:pt>
                <c:pt idx="91">
                  <c:v>44143</c:v>
                </c:pt>
                <c:pt idx="92">
                  <c:v>0</c:v>
                </c:pt>
                <c:pt idx="93">
                  <c:v>42092</c:v>
                </c:pt>
                <c:pt idx="94">
                  <c:v>0</c:v>
                </c:pt>
                <c:pt idx="95">
                  <c:v>0</c:v>
                </c:pt>
                <c:pt idx="96">
                  <c:v>38211</c:v>
                </c:pt>
                <c:pt idx="97">
                  <c:v>0</c:v>
                </c:pt>
                <c:pt idx="98">
                  <c:v>33739</c:v>
                </c:pt>
                <c:pt idx="99">
                  <c:v>0</c:v>
                </c:pt>
                <c:pt idx="100">
                  <c:v>0</c:v>
                </c:pt>
                <c:pt idx="101">
                  <c:v>30144</c:v>
                </c:pt>
                <c:pt idx="102">
                  <c:v>0</c:v>
                </c:pt>
                <c:pt idx="103">
                  <c:v>0</c:v>
                </c:pt>
                <c:pt idx="104">
                  <c:v>27659</c:v>
                </c:pt>
                <c:pt idx="105">
                  <c:v>0</c:v>
                </c:pt>
                <c:pt idx="106">
                  <c:v>26383</c:v>
                </c:pt>
                <c:pt idx="107">
                  <c:v>0</c:v>
                </c:pt>
                <c:pt idx="108">
                  <c:v>0</c:v>
                </c:pt>
                <c:pt idx="109">
                  <c:v>26239</c:v>
                </c:pt>
                <c:pt idx="110">
                  <c:v>0</c:v>
                </c:pt>
                <c:pt idx="111">
                  <c:v>21114</c:v>
                </c:pt>
                <c:pt idx="112">
                  <c:v>0</c:v>
                </c:pt>
                <c:pt idx="113">
                  <c:v>0</c:v>
                </c:pt>
                <c:pt idx="114">
                  <c:v>20069</c:v>
                </c:pt>
                <c:pt idx="115">
                  <c:v>0</c:v>
                </c:pt>
                <c:pt idx="116">
                  <c:v>18221</c:v>
                </c:pt>
                <c:pt idx="117">
                  <c:v>0</c:v>
                </c:pt>
                <c:pt idx="118">
                  <c:v>0</c:v>
                </c:pt>
                <c:pt idx="119">
                  <c:v>17413</c:v>
                </c:pt>
                <c:pt idx="120">
                  <c:v>0</c:v>
                </c:pt>
                <c:pt idx="121">
                  <c:v>0</c:v>
                </c:pt>
                <c:pt idx="122">
                  <c:v>14736</c:v>
                </c:pt>
                <c:pt idx="123">
                  <c:v>0</c:v>
                </c:pt>
                <c:pt idx="124">
                  <c:v>13088</c:v>
                </c:pt>
                <c:pt idx="125">
                  <c:v>0</c:v>
                </c:pt>
                <c:pt idx="126">
                  <c:v>0</c:v>
                </c:pt>
                <c:pt idx="127">
                  <c:v>10214</c:v>
                </c:pt>
                <c:pt idx="128">
                  <c:v>0</c:v>
                </c:pt>
                <c:pt idx="129">
                  <c:v>8687</c:v>
                </c:pt>
                <c:pt idx="130">
                  <c:v>0</c:v>
                </c:pt>
                <c:pt idx="131">
                  <c:v>0</c:v>
                </c:pt>
                <c:pt idx="132">
                  <c:v>11576</c:v>
                </c:pt>
                <c:pt idx="133">
                  <c:v>0</c:v>
                </c:pt>
                <c:pt idx="134">
                  <c:v>11778</c:v>
                </c:pt>
                <c:pt idx="135">
                  <c:v>0</c:v>
                </c:pt>
                <c:pt idx="136">
                  <c:v>0</c:v>
                </c:pt>
                <c:pt idx="137">
                  <c:v>12917</c:v>
                </c:pt>
                <c:pt idx="138">
                  <c:v>0</c:v>
                </c:pt>
                <c:pt idx="139">
                  <c:v>0</c:v>
                </c:pt>
                <c:pt idx="140">
                  <c:v>12646</c:v>
                </c:pt>
                <c:pt idx="141">
                  <c:v>0</c:v>
                </c:pt>
                <c:pt idx="142">
                  <c:v>12920</c:v>
                </c:pt>
                <c:pt idx="143">
                  <c:v>0</c:v>
                </c:pt>
                <c:pt idx="144">
                  <c:v>0</c:v>
                </c:pt>
                <c:pt idx="145">
                  <c:v>15226</c:v>
                </c:pt>
                <c:pt idx="146">
                  <c:v>0</c:v>
                </c:pt>
                <c:pt idx="147">
                  <c:v>17539</c:v>
                </c:pt>
                <c:pt idx="148">
                  <c:v>0</c:v>
                </c:pt>
                <c:pt idx="149">
                  <c:v>0</c:v>
                </c:pt>
                <c:pt idx="150">
                  <c:v>14804</c:v>
                </c:pt>
                <c:pt idx="151">
                  <c:v>0</c:v>
                </c:pt>
                <c:pt idx="152">
                  <c:v>13986</c:v>
                </c:pt>
                <c:pt idx="153">
                  <c:v>0</c:v>
                </c:pt>
                <c:pt idx="154">
                  <c:v>0</c:v>
                </c:pt>
                <c:pt idx="155">
                  <c:v>17425</c:v>
                </c:pt>
                <c:pt idx="156">
                  <c:v>0</c:v>
                </c:pt>
                <c:pt idx="157">
                  <c:v>0</c:v>
                </c:pt>
                <c:pt idx="158">
                  <c:v>13254</c:v>
                </c:pt>
                <c:pt idx="159">
                  <c:v>0</c:v>
                </c:pt>
                <c:pt idx="160">
                  <c:v>12593</c:v>
                </c:pt>
                <c:pt idx="161">
                  <c:v>0</c:v>
                </c:pt>
                <c:pt idx="162">
                  <c:v>0</c:v>
                </c:pt>
                <c:pt idx="163">
                  <c:v>10836</c:v>
                </c:pt>
                <c:pt idx="164">
                  <c:v>0</c:v>
                </c:pt>
                <c:pt idx="165">
                  <c:v>9724</c:v>
                </c:pt>
                <c:pt idx="166">
                  <c:v>0</c:v>
                </c:pt>
                <c:pt idx="167">
                  <c:v>0</c:v>
                </c:pt>
                <c:pt idx="168">
                  <c:v>7802</c:v>
                </c:pt>
                <c:pt idx="169">
                  <c:v>0</c:v>
                </c:pt>
                <c:pt idx="170">
                  <c:v>0</c:v>
                </c:pt>
                <c:pt idx="171">
                  <c:v>7113</c:v>
                </c:pt>
                <c:pt idx="172">
                  <c:v>0</c:v>
                </c:pt>
                <c:pt idx="173">
                  <c:v>8186</c:v>
                </c:pt>
                <c:pt idx="174">
                  <c:v>0</c:v>
                </c:pt>
                <c:pt idx="175">
                  <c:v>0</c:v>
                </c:pt>
                <c:pt idx="176">
                  <c:v>5743</c:v>
                </c:pt>
                <c:pt idx="177">
                  <c:v>0</c:v>
                </c:pt>
                <c:pt idx="178">
                  <c:v>6753</c:v>
                </c:pt>
                <c:pt idx="179">
                  <c:v>0</c:v>
                </c:pt>
                <c:pt idx="180">
                  <c:v>0</c:v>
                </c:pt>
                <c:pt idx="181">
                  <c:v>3592</c:v>
                </c:pt>
                <c:pt idx="182">
                  <c:v>0</c:v>
                </c:pt>
                <c:pt idx="183">
                  <c:v>2619</c:v>
                </c:pt>
                <c:pt idx="184">
                  <c:v>0</c:v>
                </c:pt>
                <c:pt idx="185">
                  <c:v>0</c:v>
                </c:pt>
                <c:pt idx="186">
                  <c:v>1009</c:v>
                </c:pt>
                <c:pt idx="187">
                  <c:v>0</c:v>
                </c:pt>
                <c:pt idx="188">
                  <c:v>0</c:v>
                </c:pt>
                <c:pt idx="189">
                  <c:v>537</c:v>
                </c:pt>
                <c:pt idx="190">
                  <c:v>0</c:v>
                </c:pt>
                <c:pt idx="191">
                  <c:v>481</c:v>
                </c:pt>
                <c:pt idx="192">
                  <c:v>0</c:v>
                </c:pt>
                <c:pt idx="193">
                  <c:v>0</c:v>
                </c:pt>
                <c:pt idx="194">
                  <c:v>416</c:v>
                </c:pt>
                <c:pt idx="195">
                  <c:v>0</c:v>
                </c:pt>
                <c:pt idx="196">
                  <c:v>141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4565</c:v>
                </c:pt>
                <c:pt idx="7">
                  <c:v>0</c:v>
                </c:pt>
                <c:pt idx="8">
                  <c:v>8204</c:v>
                </c:pt>
                <c:pt idx="9">
                  <c:v>0</c:v>
                </c:pt>
                <c:pt idx="10">
                  <c:v>0</c:v>
                </c:pt>
                <c:pt idx="11">
                  <c:v>15053</c:v>
                </c:pt>
                <c:pt idx="12">
                  <c:v>0</c:v>
                </c:pt>
                <c:pt idx="13">
                  <c:v>21281</c:v>
                </c:pt>
                <c:pt idx="14">
                  <c:v>0</c:v>
                </c:pt>
                <c:pt idx="15">
                  <c:v>0</c:v>
                </c:pt>
                <c:pt idx="16">
                  <c:v>25820</c:v>
                </c:pt>
                <c:pt idx="17">
                  <c:v>0</c:v>
                </c:pt>
                <c:pt idx="18">
                  <c:v>0</c:v>
                </c:pt>
                <c:pt idx="19">
                  <c:v>34903</c:v>
                </c:pt>
                <c:pt idx="20">
                  <c:v>0</c:v>
                </c:pt>
                <c:pt idx="21">
                  <c:v>34596</c:v>
                </c:pt>
                <c:pt idx="22">
                  <c:v>0</c:v>
                </c:pt>
                <c:pt idx="23">
                  <c:v>0</c:v>
                </c:pt>
                <c:pt idx="24">
                  <c:v>41456</c:v>
                </c:pt>
                <c:pt idx="25">
                  <c:v>0</c:v>
                </c:pt>
                <c:pt idx="26">
                  <c:v>44343</c:v>
                </c:pt>
                <c:pt idx="27">
                  <c:v>0</c:v>
                </c:pt>
                <c:pt idx="28">
                  <c:v>0</c:v>
                </c:pt>
                <c:pt idx="29">
                  <c:v>51423</c:v>
                </c:pt>
                <c:pt idx="30">
                  <c:v>0</c:v>
                </c:pt>
                <c:pt idx="31">
                  <c:v>65224</c:v>
                </c:pt>
                <c:pt idx="32">
                  <c:v>0</c:v>
                </c:pt>
                <c:pt idx="33">
                  <c:v>0</c:v>
                </c:pt>
                <c:pt idx="34">
                  <c:v>71550</c:v>
                </c:pt>
                <c:pt idx="35">
                  <c:v>0</c:v>
                </c:pt>
                <c:pt idx="36">
                  <c:v>0</c:v>
                </c:pt>
                <c:pt idx="37">
                  <c:v>78724</c:v>
                </c:pt>
                <c:pt idx="38">
                  <c:v>0</c:v>
                </c:pt>
                <c:pt idx="39">
                  <c:v>92706</c:v>
                </c:pt>
                <c:pt idx="40">
                  <c:v>0</c:v>
                </c:pt>
                <c:pt idx="41">
                  <c:v>0</c:v>
                </c:pt>
                <c:pt idx="42">
                  <c:v>94359</c:v>
                </c:pt>
                <c:pt idx="43">
                  <c:v>0</c:v>
                </c:pt>
                <c:pt idx="44">
                  <c:v>105661</c:v>
                </c:pt>
                <c:pt idx="45">
                  <c:v>0</c:v>
                </c:pt>
                <c:pt idx="46">
                  <c:v>0</c:v>
                </c:pt>
                <c:pt idx="47">
                  <c:v>102796</c:v>
                </c:pt>
                <c:pt idx="48">
                  <c:v>0</c:v>
                </c:pt>
                <c:pt idx="49">
                  <c:v>108835</c:v>
                </c:pt>
                <c:pt idx="50">
                  <c:v>0</c:v>
                </c:pt>
                <c:pt idx="51">
                  <c:v>0</c:v>
                </c:pt>
                <c:pt idx="52">
                  <c:v>99064</c:v>
                </c:pt>
                <c:pt idx="53">
                  <c:v>0</c:v>
                </c:pt>
                <c:pt idx="54">
                  <c:v>0</c:v>
                </c:pt>
                <c:pt idx="55">
                  <c:v>88599</c:v>
                </c:pt>
                <c:pt idx="56">
                  <c:v>0</c:v>
                </c:pt>
                <c:pt idx="57">
                  <c:v>74661</c:v>
                </c:pt>
                <c:pt idx="58">
                  <c:v>0</c:v>
                </c:pt>
                <c:pt idx="59">
                  <c:v>0</c:v>
                </c:pt>
                <c:pt idx="60">
                  <c:v>68165</c:v>
                </c:pt>
                <c:pt idx="61">
                  <c:v>0</c:v>
                </c:pt>
                <c:pt idx="62">
                  <c:v>65029</c:v>
                </c:pt>
                <c:pt idx="63">
                  <c:v>0</c:v>
                </c:pt>
                <c:pt idx="64">
                  <c:v>0</c:v>
                </c:pt>
                <c:pt idx="65">
                  <c:v>52040</c:v>
                </c:pt>
                <c:pt idx="66">
                  <c:v>0</c:v>
                </c:pt>
                <c:pt idx="67">
                  <c:v>45889</c:v>
                </c:pt>
                <c:pt idx="68">
                  <c:v>0</c:v>
                </c:pt>
                <c:pt idx="69">
                  <c:v>0</c:v>
                </c:pt>
                <c:pt idx="70">
                  <c:v>42752</c:v>
                </c:pt>
                <c:pt idx="71">
                  <c:v>0</c:v>
                </c:pt>
                <c:pt idx="72">
                  <c:v>0</c:v>
                </c:pt>
                <c:pt idx="73">
                  <c:v>34728</c:v>
                </c:pt>
                <c:pt idx="74">
                  <c:v>0</c:v>
                </c:pt>
                <c:pt idx="75">
                  <c:v>31823</c:v>
                </c:pt>
                <c:pt idx="76">
                  <c:v>0</c:v>
                </c:pt>
                <c:pt idx="77">
                  <c:v>0</c:v>
                </c:pt>
                <c:pt idx="78">
                  <c:v>31684</c:v>
                </c:pt>
                <c:pt idx="79">
                  <c:v>0</c:v>
                </c:pt>
                <c:pt idx="80">
                  <c:v>25670</c:v>
                </c:pt>
                <c:pt idx="81">
                  <c:v>0</c:v>
                </c:pt>
                <c:pt idx="82">
                  <c:v>0</c:v>
                </c:pt>
                <c:pt idx="83">
                  <c:v>22545</c:v>
                </c:pt>
                <c:pt idx="84">
                  <c:v>0</c:v>
                </c:pt>
                <c:pt idx="85">
                  <c:v>0</c:v>
                </c:pt>
                <c:pt idx="86">
                  <c:v>17376</c:v>
                </c:pt>
                <c:pt idx="87">
                  <c:v>0</c:v>
                </c:pt>
                <c:pt idx="88">
                  <c:v>16750</c:v>
                </c:pt>
                <c:pt idx="89">
                  <c:v>0</c:v>
                </c:pt>
                <c:pt idx="90">
                  <c:v>0</c:v>
                </c:pt>
                <c:pt idx="91">
                  <c:v>15738</c:v>
                </c:pt>
                <c:pt idx="92">
                  <c:v>0</c:v>
                </c:pt>
                <c:pt idx="93">
                  <c:v>17983</c:v>
                </c:pt>
                <c:pt idx="94">
                  <c:v>0</c:v>
                </c:pt>
                <c:pt idx="95">
                  <c:v>0</c:v>
                </c:pt>
                <c:pt idx="96">
                  <c:v>19889</c:v>
                </c:pt>
                <c:pt idx="97">
                  <c:v>0</c:v>
                </c:pt>
                <c:pt idx="98">
                  <c:v>18176</c:v>
                </c:pt>
                <c:pt idx="99">
                  <c:v>0</c:v>
                </c:pt>
                <c:pt idx="100">
                  <c:v>0</c:v>
                </c:pt>
                <c:pt idx="101">
                  <c:v>17707</c:v>
                </c:pt>
                <c:pt idx="102">
                  <c:v>0</c:v>
                </c:pt>
                <c:pt idx="103">
                  <c:v>0</c:v>
                </c:pt>
                <c:pt idx="104">
                  <c:v>14745</c:v>
                </c:pt>
                <c:pt idx="105">
                  <c:v>0</c:v>
                </c:pt>
                <c:pt idx="106">
                  <c:v>13846</c:v>
                </c:pt>
                <c:pt idx="107">
                  <c:v>0</c:v>
                </c:pt>
                <c:pt idx="108">
                  <c:v>0</c:v>
                </c:pt>
                <c:pt idx="109">
                  <c:v>14363</c:v>
                </c:pt>
                <c:pt idx="110">
                  <c:v>0</c:v>
                </c:pt>
                <c:pt idx="111">
                  <c:v>14948</c:v>
                </c:pt>
                <c:pt idx="112">
                  <c:v>0</c:v>
                </c:pt>
                <c:pt idx="113">
                  <c:v>0</c:v>
                </c:pt>
                <c:pt idx="114">
                  <c:v>13127</c:v>
                </c:pt>
                <c:pt idx="115">
                  <c:v>0</c:v>
                </c:pt>
                <c:pt idx="116">
                  <c:v>12566</c:v>
                </c:pt>
                <c:pt idx="117">
                  <c:v>0</c:v>
                </c:pt>
                <c:pt idx="118">
                  <c:v>0</c:v>
                </c:pt>
                <c:pt idx="119">
                  <c:v>12035</c:v>
                </c:pt>
                <c:pt idx="120">
                  <c:v>0</c:v>
                </c:pt>
                <c:pt idx="121">
                  <c:v>0</c:v>
                </c:pt>
                <c:pt idx="122">
                  <c:v>10724</c:v>
                </c:pt>
                <c:pt idx="123">
                  <c:v>0</c:v>
                </c:pt>
                <c:pt idx="124">
                  <c:v>12449</c:v>
                </c:pt>
                <c:pt idx="125">
                  <c:v>0</c:v>
                </c:pt>
                <c:pt idx="126">
                  <c:v>0</c:v>
                </c:pt>
                <c:pt idx="127">
                  <c:v>13842</c:v>
                </c:pt>
                <c:pt idx="128">
                  <c:v>0</c:v>
                </c:pt>
                <c:pt idx="129">
                  <c:v>15064</c:v>
                </c:pt>
                <c:pt idx="130">
                  <c:v>0</c:v>
                </c:pt>
                <c:pt idx="131">
                  <c:v>0</c:v>
                </c:pt>
                <c:pt idx="132">
                  <c:v>14718</c:v>
                </c:pt>
                <c:pt idx="133">
                  <c:v>0</c:v>
                </c:pt>
                <c:pt idx="134">
                  <c:v>15721</c:v>
                </c:pt>
                <c:pt idx="135">
                  <c:v>0</c:v>
                </c:pt>
                <c:pt idx="136">
                  <c:v>0</c:v>
                </c:pt>
                <c:pt idx="137">
                  <c:v>17994</c:v>
                </c:pt>
                <c:pt idx="138">
                  <c:v>0</c:v>
                </c:pt>
                <c:pt idx="139">
                  <c:v>0</c:v>
                </c:pt>
                <c:pt idx="140">
                  <c:v>13883</c:v>
                </c:pt>
                <c:pt idx="141">
                  <c:v>0</c:v>
                </c:pt>
                <c:pt idx="142">
                  <c:v>14929</c:v>
                </c:pt>
                <c:pt idx="143">
                  <c:v>0</c:v>
                </c:pt>
                <c:pt idx="144">
                  <c:v>0</c:v>
                </c:pt>
                <c:pt idx="145">
                  <c:v>15937</c:v>
                </c:pt>
                <c:pt idx="146">
                  <c:v>0</c:v>
                </c:pt>
                <c:pt idx="147">
                  <c:v>17833</c:v>
                </c:pt>
                <c:pt idx="148">
                  <c:v>0</c:v>
                </c:pt>
                <c:pt idx="149">
                  <c:v>0</c:v>
                </c:pt>
                <c:pt idx="150">
                  <c:v>15322</c:v>
                </c:pt>
                <c:pt idx="151">
                  <c:v>0</c:v>
                </c:pt>
                <c:pt idx="152">
                  <c:v>16142</c:v>
                </c:pt>
                <c:pt idx="153">
                  <c:v>0</c:v>
                </c:pt>
                <c:pt idx="154">
                  <c:v>0</c:v>
                </c:pt>
                <c:pt idx="155">
                  <c:v>17187</c:v>
                </c:pt>
                <c:pt idx="156">
                  <c:v>0</c:v>
                </c:pt>
                <c:pt idx="157">
                  <c:v>0</c:v>
                </c:pt>
                <c:pt idx="158">
                  <c:v>16365</c:v>
                </c:pt>
                <c:pt idx="159">
                  <c:v>0</c:v>
                </c:pt>
                <c:pt idx="160">
                  <c:v>13627</c:v>
                </c:pt>
                <c:pt idx="161">
                  <c:v>0</c:v>
                </c:pt>
                <c:pt idx="162">
                  <c:v>0</c:v>
                </c:pt>
                <c:pt idx="163">
                  <c:v>13627</c:v>
                </c:pt>
                <c:pt idx="164">
                  <c:v>0</c:v>
                </c:pt>
                <c:pt idx="165">
                  <c:v>9397</c:v>
                </c:pt>
                <c:pt idx="166">
                  <c:v>0</c:v>
                </c:pt>
                <c:pt idx="167">
                  <c:v>0</c:v>
                </c:pt>
                <c:pt idx="168">
                  <c:v>8700</c:v>
                </c:pt>
                <c:pt idx="169">
                  <c:v>0</c:v>
                </c:pt>
                <c:pt idx="170">
                  <c:v>0</c:v>
                </c:pt>
                <c:pt idx="171">
                  <c:v>7125</c:v>
                </c:pt>
                <c:pt idx="172">
                  <c:v>0</c:v>
                </c:pt>
                <c:pt idx="173">
                  <c:v>4496</c:v>
                </c:pt>
                <c:pt idx="174">
                  <c:v>0</c:v>
                </c:pt>
                <c:pt idx="175">
                  <c:v>0</c:v>
                </c:pt>
                <c:pt idx="176">
                  <c:v>2086</c:v>
                </c:pt>
                <c:pt idx="177">
                  <c:v>0</c:v>
                </c:pt>
                <c:pt idx="178">
                  <c:v>1426</c:v>
                </c:pt>
                <c:pt idx="179">
                  <c:v>0</c:v>
                </c:pt>
                <c:pt idx="180">
                  <c:v>0</c:v>
                </c:pt>
                <c:pt idx="181">
                  <c:v>546</c:v>
                </c:pt>
                <c:pt idx="182">
                  <c:v>0</c:v>
                </c:pt>
                <c:pt idx="183">
                  <c:v>124</c:v>
                </c:pt>
                <c:pt idx="184">
                  <c:v>0</c:v>
                </c:pt>
                <c:pt idx="185">
                  <c:v>0</c:v>
                </c:pt>
                <c:pt idx="186">
                  <c:v>121</c:v>
                </c:pt>
                <c:pt idx="187">
                  <c:v>0</c:v>
                </c:pt>
                <c:pt idx="188">
                  <c:v>0</c:v>
                </c:pt>
                <c:pt idx="189">
                  <c:v>184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0.20685064320375796</c:v>
                </c:pt>
                <c:pt idx="1">
                  <c:v>0.29365991991597917</c:v>
                </c:pt>
                <c:pt idx="2">
                  <c:v>0.49948943688026287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0.38904667838422174</c:v>
                </c:pt>
                <c:pt idx="1">
                  <c:v>0.33568047367957149</c:v>
                </c:pt>
                <c:pt idx="2">
                  <c:v>0.27527284793620677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14.413872500000002</c:v>
                </c:pt>
                <c:pt idx="1">
                  <c:v>8.2219250000000006</c:v>
                </c:pt>
                <c:pt idx="2">
                  <c:v>22.049399999999999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  <c:pt idx="74">
                  <c:v>30.06</c:v>
                </c:pt>
                <c:pt idx="75">
                  <c:v>30.5121</c:v>
                </c:pt>
                <c:pt idx="76">
                  <c:v>30.9194</c:v>
                </c:pt>
                <c:pt idx="77">
                  <c:v>31.326699999999999</c:v>
                </c:pt>
                <c:pt idx="78">
                  <c:v>31.733899999999998</c:v>
                </c:pt>
                <c:pt idx="79">
                  <c:v>32.1355</c:v>
                </c:pt>
                <c:pt idx="80">
                  <c:v>32.542900000000003</c:v>
                </c:pt>
                <c:pt idx="81">
                  <c:v>32.949199999999998</c:v>
                </c:pt>
                <c:pt idx="82">
                  <c:v>33.357199999999999</c:v>
                </c:pt>
                <c:pt idx="83">
                  <c:v>33.763199999999998</c:v>
                </c:pt>
                <c:pt idx="84">
                  <c:v>34.171700000000001</c:v>
                </c:pt>
                <c:pt idx="85">
                  <c:v>34.576099999999997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35.7943</c:v>
                </c:pt>
                <c:pt idx="89">
                  <c:v>36.200099999999999</c:v>
                </c:pt>
                <c:pt idx="90">
                  <c:v>36.6083</c:v>
                </c:pt>
                <c:pt idx="91">
                  <c:v>37.015300000000003</c:v>
                </c:pt>
                <c:pt idx="92">
                  <c:v>37.418199999999999</c:v>
                </c:pt>
                <c:pt idx="93">
                  <c:v>37.825000000000003</c:v>
                </c:pt>
                <c:pt idx="94">
                  <c:v>38.232100000000003</c:v>
                </c:pt>
                <c:pt idx="95">
                  <c:v>38.641300000000001</c:v>
                </c:pt>
                <c:pt idx="96">
                  <c:v>39.0456</c:v>
                </c:pt>
                <c:pt idx="97">
                  <c:v>39.4499</c:v>
                </c:pt>
                <c:pt idx="98">
                  <c:v>39.854300000000002</c:v>
                </c:pt>
                <c:pt idx="99">
                  <c:v>40.264400000000002</c:v>
                </c:pt>
                <c:pt idx="100">
                  <c:v>40.671199999999999</c:v>
                </c:pt>
                <c:pt idx="101">
                  <c:v>41.078299999999999</c:v>
                </c:pt>
                <c:pt idx="102">
                  <c:v>41.481999999999999</c:v>
                </c:pt>
                <c:pt idx="103">
                  <c:v>41.885899999999999</c:v>
                </c:pt>
                <c:pt idx="104">
                  <c:v>42.2956</c:v>
                </c:pt>
                <c:pt idx="105">
                  <c:v>42.702599999999997</c:v>
                </c:pt>
                <c:pt idx="106">
                  <c:v>43.107999999999997</c:v>
                </c:pt>
                <c:pt idx="107">
                  <c:v>43.513399999999997</c:v>
                </c:pt>
                <c:pt idx="108">
                  <c:v>43.919699999999999</c:v>
                </c:pt>
                <c:pt idx="109">
                  <c:v>44.324800000000003</c:v>
                </c:pt>
                <c:pt idx="110">
                  <c:v>44.734400000000001</c:v>
                </c:pt>
                <c:pt idx="111">
                  <c:v>45.143700000000003</c:v>
                </c:pt>
                <c:pt idx="112">
                  <c:v>45.545400000000001</c:v>
                </c:pt>
                <c:pt idx="113">
                  <c:v>45.950899999999997</c:v>
                </c:pt>
                <c:pt idx="114">
                  <c:v>46.36</c:v>
                </c:pt>
                <c:pt idx="115">
                  <c:v>46.762900000000002</c:v>
                </c:pt>
                <c:pt idx="116">
                  <c:v>47.167900000000003</c:v>
                </c:pt>
                <c:pt idx="117">
                  <c:v>47.575800000000001</c:v>
                </c:pt>
                <c:pt idx="118">
                  <c:v>47.981200000000001</c:v>
                </c:pt>
                <c:pt idx="119">
                  <c:v>48.387599999999999</c:v>
                </c:pt>
                <c:pt idx="120">
                  <c:v>48.795200000000001</c:v>
                </c:pt>
                <c:pt idx="121">
                  <c:v>49.200699999999998</c:v>
                </c:pt>
                <c:pt idx="122">
                  <c:v>49.608800000000002</c:v>
                </c:pt>
                <c:pt idx="123">
                  <c:v>50.011400000000002</c:v>
                </c:pt>
                <c:pt idx="124">
                  <c:v>50.418700000000001</c:v>
                </c:pt>
                <c:pt idx="125">
                  <c:v>50.826900000000002</c:v>
                </c:pt>
                <c:pt idx="126">
                  <c:v>51.232599999999998</c:v>
                </c:pt>
                <c:pt idx="127">
                  <c:v>51.639899999999997</c:v>
                </c:pt>
                <c:pt idx="128">
                  <c:v>52.043500000000002</c:v>
                </c:pt>
                <c:pt idx="129">
                  <c:v>52.450200000000002</c:v>
                </c:pt>
                <c:pt idx="130">
                  <c:v>52.8566</c:v>
                </c:pt>
                <c:pt idx="131">
                  <c:v>53.263500000000001</c:v>
                </c:pt>
                <c:pt idx="132">
                  <c:v>53.670999999999999</c:v>
                </c:pt>
                <c:pt idx="133">
                  <c:v>54.0777</c:v>
                </c:pt>
                <c:pt idx="134">
                  <c:v>54.484299999999998</c:v>
                </c:pt>
                <c:pt idx="135">
                  <c:v>54.886000000000003</c:v>
                </c:pt>
                <c:pt idx="136">
                  <c:v>55.293399999999998</c:v>
                </c:pt>
                <c:pt idx="137">
                  <c:v>55.698999999999998</c:v>
                </c:pt>
                <c:pt idx="138">
                  <c:v>56.106999999999999</c:v>
                </c:pt>
                <c:pt idx="139">
                  <c:v>56.515700000000002</c:v>
                </c:pt>
                <c:pt idx="140">
                  <c:v>56.922899999999998</c:v>
                </c:pt>
                <c:pt idx="141">
                  <c:v>57.324599999999997</c:v>
                </c:pt>
                <c:pt idx="142">
                  <c:v>57.733400000000003</c:v>
                </c:pt>
                <c:pt idx="143">
                  <c:v>58.139699999999998</c:v>
                </c:pt>
                <c:pt idx="144">
                  <c:v>58.545999999999999</c:v>
                </c:pt>
                <c:pt idx="145">
                  <c:v>58.952399999999997</c:v>
                </c:pt>
                <c:pt idx="146">
                  <c:v>59.355499999999999</c:v>
                </c:pt>
                <c:pt idx="147">
                  <c:v>59.764699999999998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  <c:pt idx="74">
                  <c:v>2.6836500000000001</c:v>
                </c:pt>
                <c:pt idx="75">
                  <c:v>2.6591800000000001</c:v>
                </c:pt>
                <c:pt idx="76">
                  <c:v>2.64039</c:v>
                </c:pt>
                <c:pt idx="77">
                  <c:v>2.6239800000000004</c:v>
                </c:pt>
                <c:pt idx="78">
                  <c:v>2.6131500000000001</c:v>
                </c:pt>
                <c:pt idx="79">
                  <c:v>2.6032799999999998</c:v>
                </c:pt>
                <c:pt idx="80">
                  <c:v>2.5930499999999999</c:v>
                </c:pt>
                <c:pt idx="81">
                  <c:v>2.5854400000000002</c:v>
                </c:pt>
                <c:pt idx="82">
                  <c:v>2.5804200000000002</c:v>
                </c:pt>
                <c:pt idx="83">
                  <c:v>2.5784099999999999</c:v>
                </c:pt>
                <c:pt idx="84">
                  <c:v>2.57517</c:v>
                </c:pt>
                <c:pt idx="85">
                  <c:v>2.5719799999999999</c:v>
                </c:pt>
                <c:pt idx="86">
                  <c:v>2.5686900000000001</c:v>
                </c:pt>
                <c:pt idx="87">
                  <c:v>2.5658700000000003</c:v>
                </c:pt>
                <c:pt idx="88">
                  <c:v>2.5601600000000002</c:v>
                </c:pt>
                <c:pt idx="89">
                  <c:v>2.5523400000000001</c:v>
                </c:pt>
                <c:pt idx="90">
                  <c:v>2.54623</c:v>
                </c:pt>
                <c:pt idx="91">
                  <c:v>2.5412400000000002</c:v>
                </c:pt>
                <c:pt idx="92">
                  <c:v>2.5392299999999999</c:v>
                </c:pt>
                <c:pt idx="93">
                  <c:v>2.5381499999999999</c:v>
                </c:pt>
                <c:pt idx="94">
                  <c:v>2.5370900000000001</c:v>
                </c:pt>
                <c:pt idx="95">
                  <c:v>2.5354799999999997</c:v>
                </c:pt>
                <c:pt idx="96">
                  <c:v>2.5357600000000002</c:v>
                </c:pt>
                <c:pt idx="97">
                  <c:v>2.5359400000000001</c:v>
                </c:pt>
                <c:pt idx="98">
                  <c:v>2.53565</c:v>
                </c:pt>
                <c:pt idx="99">
                  <c:v>2.5351499999999998</c:v>
                </c:pt>
                <c:pt idx="100">
                  <c:v>2.5333600000000001</c:v>
                </c:pt>
                <c:pt idx="101">
                  <c:v>2.5289899999999998</c:v>
                </c:pt>
                <c:pt idx="102">
                  <c:v>2.5212499999999998</c:v>
                </c:pt>
                <c:pt idx="103">
                  <c:v>2.5126999999999997</c:v>
                </c:pt>
                <c:pt idx="104">
                  <c:v>2.50427</c:v>
                </c:pt>
                <c:pt idx="105">
                  <c:v>2.4931900000000002</c:v>
                </c:pt>
                <c:pt idx="106">
                  <c:v>2.4812000000000003</c:v>
                </c:pt>
                <c:pt idx="107">
                  <c:v>2.47052</c:v>
                </c:pt>
                <c:pt idx="108">
                  <c:v>2.4577599999999999</c:v>
                </c:pt>
                <c:pt idx="109">
                  <c:v>2.44983</c:v>
                </c:pt>
                <c:pt idx="110">
                  <c:v>2.4452099999999999</c:v>
                </c:pt>
                <c:pt idx="111">
                  <c:v>2.4432899999999997</c:v>
                </c:pt>
                <c:pt idx="112">
                  <c:v>2.43953</c:v>
                </c:pt>
                <c:pt idx="113">
                  <c:v>2.4369700000000001</c:v>
                </c:pt>
                <c:pt idx="114">
                  <c:v>2.43546</c:v>
                </c:pt>
                <c:pt idx="115">
                  <c:v>2.43228</c:v>
                </c:pt>
                <c:pt idx="116">
                  <c:v>2.4281899999999998</c:v>
                </c:pt>
                <c:pt idx="117">
                  <c:v>2.4237600000000001</c:v>
                </c:pt>
                <c:pt idx="118">
                  <c:v>2.4184399999999999</c:v>
                </c:pt>
                <c:pt idx="119">
                  <c:v>2.4131399999999998</c:v>
                </c:pt>
                <c:pt idx="120">
                  <c:v>2.4073899999999999</c:v>
                </c:pt>
                <c:pt idx="121">
                  <c:v>2.4031700000000003</c:v>
                </c:pt>
                <c:pt idx="122">
                  <c:v>2.4022899999999998</c:v>
                </c:pt>
                <c:pt idx="123">
                  <c:v>2.40354</c:v>
                </c:pt>
                <c:pt idx="124">
                  <c:v>2.4018299999999999</c:v>
                </c:pt>
                <c:pt idx="125">
                  <c:v>2.4004700000000003</c:v>
                </c:pt>
                <c:pt idx="126">
                  <c:v>2.4005999999999998</c:v>
                </c:pt>
                <c:pt idx="127">
                  <c:v>2.4031799999999999</c:v>
                </c:pt>
                <c:pt idx="128">
                  <c:v>2.4049200000000002</c:v>
                </c:pt>
                <c:pt idx="129">
                  <c:v>2.4061599999999999</c:v>
                </c:pt>
                <c:pt idx="130">
                  <c:v>2.4106399999999999</c:v>
                </c:pt>
                <c:pt idx="131">
                  <c:v>2.4153199999999999</c:v>
                </c:pt>
                <c:pt idx="132">
                  <c:v>2.4177999999999997</c:v>
                </c:pt>
                <c:pt idx="133">
                  <c:v>2.4209100000000001</c:v>
                </c:pt>
                <c:pt idx="134">
                  <c:v>2.41934</c:v>
                </c:pt>
                <c:pt idx="135">
                  <c:v>2.4142999999999999</c:v>
                </c:pt>
                <c:pt idx="136">
                  <c:v>2.4092099999999999</c:v>
                </c:pt>
                <c:pt idx="137">
                  <c:v>2.40747</c:v>
                </c:pt>
                <c:pt idx="138">
                  <c:v>2.40923</c:v>
                </c:pt>
                <c:pt idx="139">
                  <c:v>2.4126700000000003</c:v>
                </c:pt>
                <c:pt idx="140">
                  <c:v>2.4193899999999999</c:v>
                </c:pt>
                <c:pt idx="141">
                  <c:v>2.4250600000000002</c:v>
                </c:pt>
                <c:pt idx="142">
                  <c:v>2.42821</c:v>
                </c:pt>
                <c:pt idx="143">
                  <c:v>2.43085</c:v>
                </c:pt>
                <c:pt idx="144">
                  <c:v>2.43743</c:v>
                </c:pt>
                <c:pt idx="145">
                  <c:v>2.4555899999999999</c:v>
                </c:pt>
                <c:pt idx="146">
                  <c:v>2.47336</c:v>
                </c:pt>
                <c:pt idx="147">
                  <c:v>2.4863900000000001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29.653500000000001</c:v>
                </c:pt>
                <c:pt idx="1">
                  <c:v>30.06</c:v>
                </c:pt>
                <c:pt idx="2">
                  <c:v>30.5121</c:v>
                </c:pt>
                <c:pt idx="3">
                  <c:v>30.9194</c:v>
                </c:pt>
                <c:pt idx="4">
                  <c:v>31.326699999999999</c:v>
                </c:pt>
                <c:pt idx="5">
                  <c:v>31.733899999999998</c:v>
                </c:pt>
                <c:pt idx="6">
                  <c:v>32.1355</c:v>
                </c:pt>
                <c:pt idx="7">
                  <c:v>32.542900000000003</c:v>
                </c:pt>
                <c:pt idx="8">
                  <c:v>32.949199999999998</c:v>
                </c:pt>
                <c:pt idx="9">
                  <c:v>33.357199999999999</c:v>
                </c:pt>
                <c:pt idx="10">
                  <c:v>33.763199999999998</c:v>
                </c:pt>
                <c:pt idx="11">
                  <c:v>34.171700000000001</c:v>
                </c:pt>
                <c:pt idx="12">
                  <c:v>34.576099999999997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35.7943</c:v>
                </c:pt>
                <c:pt idx="16">
                  <c:v>36.200099999999999</c:v>
                </c:pt>
                <c:pt idx="17">
                  <c:v>36.6083</c:v>
                </c:pt>
                <c:pt idx="18">
                  <c:v>37.015300000000003</c:v>
                </c:pt>
                <c:pt idx="19">
                  <c:v>37.418199999999999</c:v>
                </c:pt>
                <c:pt idx="20">
                  <c:v>37.825000000000003</c:v>
                </c:pt>
                <c:pt idx="21">
                  <c:v>38.232100000000003</c:v>
                </c:pt>
                <c:pt idx="22">
                  <c:v>38.641300000000001</c:v>
                </c:pt>
                <c:pt idx="23">
                  <c:v>39.0456</c:v>
                </c:pt>
                <c:pt idx="24">
                  <c:v>39.4499</c:v>
                </c:pt>
                <c:pt idx="25">
                  <c:v>39.854300000000002</c:v>
                </c:pt>
                <c:pt idx="26">
                  <c:v>40.264400000000002</c:v>
                </c:pt>
                <c:pt idx="27">
                  <c:v>40.671199999999999</c:v>
                </c:pt>
                <c:pt idx="28">
                  <c:v>41.078299999999999</c:v>
                </c:pt>
                <c:pt idx="29">
                  <c:v>41.481999999999999</c:v>
                </c:pt>
                <c:pt idx="30">
                  <c:v>41.885899999999999</c:v>
                </c:pt>
                <c:pt idx="31">
                  <c:v>42.2956</c:v>
                </c:pt>
                <c:pt idx="32">
                  <c:v>42.702599999999997</c:v>
                </c:pt>
                <c:pt idx="33">
                  <c:v>43.107999999999997</c:v>
                </c:pt>
                <c:pt idx="34">
                  <c:v>43.513399999999997</c:v>
                </c:pt>
                <c:pt idx="35">
                  <c:v>43.919699999999999</c:v>
                </c:pt>
                <c:pt idx="36">
                  <c:v>44.324800000000003</c:v>
                </c:pt>
                <c:pt idx="37">
                  <c:v>44.734400000000001</c:v>
                </c:pt>
                <c:pt idx="38">
                  <c:v>45.143700000000003</c:v>
                </c:pt>
                <c:pt idx="39">
                  <c:v>45.545400000000001</c:v>
                </c:pt>
                <c:pt idx="40">
                  <c:v>45.950899999999997</c:v>
                </c:pt>
                <c:pt idx="41">
                  <c:v>46.36</c:v>
                </c:pt>
                <c:pt idx="42">
                  <c:v>46.762900000000002</c:v>
                </c:pt>
                <c:pt idx="43">
                  <c:v>47.167900000000003</c:v>
                </c:pt>
                <c:pt idx="44">
                  <c:v>47.575800000000001</c:v>
                </c:pt>
                <c:pt idx="45">
                  <c:v>47.981200000000001</c:v>
                </c:pt>
                <c:pt idx="46">
                  <c:v>48.387599999999999</c:v>
                </c:pt>
                <c:pt idx="47">
                  <c:v>48.795200000000001</c:v>
                </c:pt>
                <c:pt idx="48">
                  <c:v>49.200699999999998</c:v>
                </c:pt>
                <c:pt idx="49">
                  <c:v>49.608800000000002</c:v>
                </c:pt>
                <c:pt idx="50">
                  <c:v>50.011400000000002</c:v>
                </c:pt>
                <c:pt idx="51">
                  <c:v>50.418700000000001</c:v>
                </c:pt>
                <c:pt idx="52">
                  <c:v>50.826900000000002</c:v>
                </c:pt>
                <c:pt idx="53">
                  <c:v>51.232599999999998</c:v>
                </c:pt>
                <c:pt idx="54">
                  <c:v>51.639899999999997</c:v>
                </c:pt>
                <c:pt idx="55">
                  <c:v>52.043500000000002</c:v>
                </c:pt>
                <c:pt idx="56">
                  <c:v>52.450200000000002</c:v>
                </c:pt>
                <c:pt idx="57">
                  <c:v>52.8566</c:v>
                </c:pt>
                <c:pt idx="58">
                  <c:v>53.263500000000001</c:v>
                </c:pt>
                <c:pt idx="59">
                  <c:v>53.670999999999999</c:v>
                </c:pt>
                <c:pt idx="60">
                  <c:v>54.0777</c:v>
                </c:pt>
                <c:pt idx="61">
                  <c:v>54.484299999999998</c:v>
                </c:pt>
                <c:pt idx="62">
                  <c:v>54.886000000000003</c:v>
                </c:pt>
                <c:pt idx="63">
                  <c:v>55.293399999999998</c:v>
                </c:pt>
                <c:pt idx="64">
                  <c:v>55.698999999999998</c:v>
                </c:pt>
                <c:pt idx="65">
                  <c:v>56.106999999999999</c:v>
                </c:pt>
                <c:pt idx="66">
                  <c:v>56.515700000000002</c:v>
                </c:pt>
                <c:pt idx="67">
                  <c:v>56.922899999999998</c:v>
                </c:pt>
                <c:pt idx="68">
                  <c:v>57.324599999999997</c:v>
                </c:pt>
                <c:pt idx="69">
                  <c:v>57.733400000000003</c:v>
                </c:pt>
                <c:pt idx="70">
                  <c:v>58.139699999999998</c:v>
                </c:pt>
                <c:pt idx="71">
                  <c:v>58.545999999999999</c:v>
                </c:pt>
                <c:pt idx="72">
                  <c:v>58.952399999999997</c:v>
                </c:pt>
                <c:pt idx="73">
                  <c:v>59.355499999999999</c:v>
                </c:pt>
                <c:pt idx="74">
                  <c:v>59.764699999999998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2.7037699999999996</c:v>
                </c:pt>
                <c:pt idx="1">
                  <c:v>2.6836500000000001</c:v>
                </c:pt>
                <c:pt idx="2">
                  <c:v>2.6591800000000001</c:v>
                </c:pt>
                <c:pt idx="3">
                  <c:v>2.64039</c:v>
                </c:pt>
                <c:pt idx="4">
                  <c:v>2.6239800000000004</c:v>
                </c:pt>
                <c:pt idx="5">
                  <c:v>2.6131500000000001</c:v>
                </c:pt>
                <c:pt idx="6">
                  <c:v>2.6032799999999998</c:v>
                </c:pt>
                <c:pt idx="7">
                  <c:v>2.5930499999999999</c:v>
                </c:pt>
                <c:pt idx="8">
                  <c:v>2.5854400000000002</c:v>
                </c:pt>
                <c:pt idx="9">
                  <c:v>2.5804200000000002</c:v>
                </c:pt>
                <c:pt idx="10">
                  <c:v>2.5784099999999999</c:v>
                </c:pt>
                <c:pt idx="11">
                  <c:v>2.57517</c:v>
                </c:pt>
                <c:pt idx="12">
                  <c:v>2.5719799999999999</c:v>
                </c:pt>
                <c:pt idx="13">
                  <c:v>2.5686900000000001</c:v>
                </c:pt>
                <c:pt idx="14">
                  <c:v>2.5658700000000003</c:v>
                </c:pt>
                <c:pt idx="15">
                  <c:v>2.5601600000000002</c:v>
                </c:pt>
                <c:pt idx="16">
                  <c:v>2.5523400000000001</c:v>
                </c:pt>
                <c:pt idx="17">
                  <c:v>2.54623</c:v>
                </c:pt>
                <c:pt idx="18">
                  <c:v>2.5412400000000002</c:v>
                </c:pt>
                <c:pt idx="19">
                  <c:v>2.5392299999999999</c:v>
                </c:pt>
                <c:pt idx="20">
                  <c:v>2.5381499999999999</c:v>
                </c:pt>
                <c:pt idx="21">
                  <c:v>2.5370900000000001</c:v>
                </c:pt>
                <c:pt idx="22">
                  <c:v>2.5354799999999997</c:v>
                </c:pt>
                <c:pt idx="23">
                  <c:v>2.5357600000000002</c:v>
                </c:pt>
                <c:pt idx="24">
                  <c:v>2.5359400000000001</c:v>
                </c:pt>
                <c:pt idx="25">
                  <c:v>2.53565</c:v>
                </c:pt>
                <c:pt idx="26">
                  <c:v>2.5351499999999998</c:v>
                </c:pt>
                <c:pt idx="27">
                  <c:v>2.5333600000000001</c:v>
                </c:pt>
                <c:pt idx="28">
                  <c:v>2.5289899999999998</c:v>
                </c:pt>
                <c:pt idx="29">
                  <c:v>2.5212499999999998</c:v>
                </c:pt>
                <c:pt idx="30">
                  <c:v>2.5126999999999997</c:v>
                </c:pt>
                <c:pt idx="31">
                  <c:v>2.50427</c:v>
                </c:pt>
                <c:pt idx="32">
                  <c:v>2.4931900000000002</c:v>
                </c:pt>
                <c:pt idx="33">
                  <c:v>2.4812000000000003</c:v>
                </c:pt>
                <c:pt idx="34">
                  <c:v>2.47052</c:v>
                </c:pt>
                <c:pt idx="35">
                  <c:v>2.4577599999999999</c:v>
                </c:pt>
                <c:pt idx="36">
                  <c:v>2.44983</c:v>
                </c:pt>
                <c:pt idx="37">
                  <c:v>2.4452099999999999</c:v>
                </c:pt>
                <c:pt idx="38">
                  <c:v>2.4432899999999997</c:v>
                </c:pt>
                <c:pt idx="39">
                  <c:v>2.43953</c:v>
                </c:pt>
                <c:pt idx="40">
                  <c:v>2.4369700000000001</c:v>
                </c:pt>
                <c:pt idx="41">
                  <c:v>2.43546</c:v>
                </c:pt>
                <c:pt idx="42">
                  <c:v>2.43228</c:v>
                </c:pt>
                <c:pt idx="43">
                  <c:v>2.4281899999999998</c:v>
                </c:pt>
                <c:pt idx="44">
                  <c:v>2.4237600000000001</c:v>
                </c:pt>
                <c:pt idx="45">
                  <c:v>2.4184399999999999</c:v>
                </c:pt>
                <c:pt idx="46">
                  <c:v>2.4131399999999998</c:v>
                </c:pt>
                <c:pt idx="47">
                  <c:v>2.4073899999999999</c:v>
                </c:pt>
                <c:pt idx="48">
                  <c:v>2.4031700000000003</c:v>
                </c:pt>
                <c:pt idx="49">
                  <c:v>2.4022899999999998</c:v>
                </c:pt>
                <c:pt idx="50">
                  <c:v>2.40354</c:v>
                </c:pt>
                <c:pt idx="51">
                  <c:v>2.4018299999999999</c:v>
                </c:pt>
                <c:pt idx="52">
                  <c:v>2.4004700000000003</c:v>
                </c:pt>
                <c:pt idx="53">
                  <c:v>2.4005999999999998</c:v>
                </c:pt>
                <c:pt idx="54">
                  <c:v>2.4031799999999999</c:v>
                </c:pt>
                <c:pt idx="55">
                  <c:v>2.4049200000000002</c:v>
                </c:pt>
                <c:pt idx="56">
                  <c:v>2.4061599999999999</c:v>
                </c:pt>
                <c:pt idx="57">
                  <c:v>2.4106399999999999</c:v>
                </c:pt>
                <c:pt idx="58">
                  <c:v>2.4153199999999999</c:v>
                </c:pt>
                <c:pt idx="59">
                  <c:v>2.4177999999999997</c:v>
                </c:pt>
                <c:pt idx="60">
                  <c:v>2.4209100000000001</c:v>
                </c:pt>
                <c:pt idx="61">
                  <c:v>2.41934</c:v>
                </c:pt>
                <c:pt idx="62">
                  <c:v>2.4142999999999999</c:v>
                </c:pt>
                <c:pt idx="63">
                  <c:v>2.4092099999999999</c:v>
                </c:pt>
                <c:pt idx="64">
                  <c:v>2.40747</c:v>
                </c:pt>
                <c:pt idx="65">
                  <c:v>2.40923</c:v>
                </c:pt>
                <c:pt idx="66">
                  <c:v>2.4126700000000003</c:v>
                </c:pt>
                <c:pt idx="67">
                  <c:v>2.4193899999999999</c:v>
                </c:pt>
                <c:pt idx="68">
                  <c:v>2.4250600000000002</c:v>
                </c:pt>
                <c:pt idx="69">
                  <c:v>2.42821</c:v>
                </c:pt>
                <c:pt idx="70">
                  <c:v>2.43085</c:v>
                </c:pt>
                <c:pt idx="71">
                  <c:v>2.43743</c:v>
                </c:pt>
                <c:pt idx="72">
                  <c:v>2.4555899999999999</c:v>
                </c:pt>
                <c:pt idx="73">
                  <c:v>2.47336</c:v>
                </c:pt>
                <c:pt idx="74">
                  <c:v>2.4863900000000001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14.941174999999999</c:v>
                </c:pt>
                <c:pt idx="1">
                  <c:v>44.823524999999997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2.9053164864864862</c:v>
                </c:pt>
                <c:pt idx="1">
                  <c:v>2.4855559459459458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  <c:pt idx="74">
                  <c:v>30.06</c:v>
                </c:pt>
                <c:pt idx="75">
                  <c:v>30.5121</c:v>
                </c:pt>
                <c:pt idx="76">
                  <c:v>30.9194</c:v>
                </c:pt>
                <c:pt idx="77">
                  <c:v>31.326699999999999</c:v>
                </c:pt>
                <c:pt idx="78">
                  <c:v>31.733899999999998</c:v>
                </c:pt>
                <c:pt idx="79">
                  <c:v>32.1355</c:v>
                </c:pt>
                <c:pt idx="80">
                  <c:v>32.542900000000003</c:v>
                </c:pt>
                <c:pt idx="81">
                  <c:v>32.949199999999998</c:v>
                </c:pt>
                <c:pt idx="82">
                  <c:v>33.357199999999999</c:v>
                </c:pt>
                <c:pt idx="83">
                  <c:v>33.763199999999998</c:v>
                </c:pt>
                <c:pt idx="84">
                  <c:v>34.171700000000001</c:v>
                </c:pt>
                <c:pt idx="85">
                  <c:v>34.576099999999997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35.7943</c:v>
                </c:pt>
                <c:pt idx="89">
                  <c:v>36.200099999999999</c:v>
                </c:pt>
                <c:pt idx="90">
                  <c:v>36.6083</c:v>
                </c:pt>
                <c:pt idx="91">
                  <c:v>37.015300000000003</c:v>
                </c:pt>
                <c:pt idx="92">
                  <c:v>37.418199999999999</c:v>
                </c:pt>
                <c:pt idx="93">
                  <c:v>37.825000000000003</c:v>
                </c:pt>
                <c:pt idx="94">
                  <c:v>38.232100000000003</c:v>
                </c:pt>
                <c:pt idx="95">
                  <c:v>38.641300000000001</c:v>
                </c:pt>
                <c:pt idx="96">
                  <c:v>39.0456</c:v>
                </c:pt>
                <c:pt idx="97">
                  <c:v>39.4499</c:v>
                </c:pt>
                <c:pt idx="98">
                  <c:v>39.854300000000002</c:v>
                </c:pt>
                <c:pt idx="99">
                  <c:v>40.264400000000002</c:v>
                </c:pt>
                <c:pt idx="100">
                  <c:v>40.671199999999999</c:v>
                </c:pt>
                <c:pt idx="101">
                  <c:v>41.078299999999999</c:v>
                </c:pt>
                <c:pt idx="102">
                  <c:v>41.481999999999999</c:v>
                </c:pt>
                <c:pt idx="103">
                  <c:v>41.885899999999999</c:v>
                </c:pt>
                <c:pt idx="104">
                  <c:v>42.2956</c:v>
                </c:pt>
                <c:pt idx="105">
                  <c:v>42.702599999999997</c:v>
                </c:pt>
                <c:pt idx="106">
                  <c:v>43.107999999999997</c:v>
                </c:pt>
                <c:pt idx="107">
                  <c:v>43.513399999999997</c:v>
                </c:pt>
                <c:pt idx="108">
                  <c:v>43.919699999999999</c:v>
                </c:pt>
                <c:pt idx="109">
                  <c:v>44.324800000000003</c:v>
                </c:pt>
                <c:pt idx="110">
                  <c:v>44.734400000000001</c:v>
                </c:pt>
                <c:pt idx="111">
                  <c:v>45.143700000000003</c:v>
                </c:pt>
                <c:pt idx="112">
                  <c:v>45.545400000000001</c:v>
                </c:pt>
                <c:pt idx="113">
                  <c:v>45.950899999999997</c:v>
                </c:pt>
                <c:pt idx="114">
                  <c:v>46.36</c:v>
                </c:pt>
                <c:pt idx="115">
                  <c:v>46.762900000000002</c:v>
                </c:pt>
                <c:pt idx="116">
                  <c:v>47.167900000000003</c:v>
                </c:pt>
                <c:pt idx="117">
                  <c:v>47.575800000000001</c:v>
                </c:pt>
                <c:pt idx="118">
                  <c:v>47.981200000000001</c:v>
                </c:pt>
                <c:pt idx="119">
                  <c:v>48.387599999999999</c:v>
                </c:pt>
                <c:pt idx="120">
                  <c:v>48.795200000000001</c:v>
                </c:pt>
                <c:pt idx="121">
                  <c:v>49.200699999999998</c:v>
                </c:pt>
                <c:pt idx="122">
                  <c:v>49.608800000000002</c:v>
                </c:pt>
                <c:pt idx="123">
                  <c:v>50.011400000000002</c:v>
                </c:pt>
                <c:pt idx="124">
                  <c:v>50.418700000000001</c:v>
                </c:pt>
                <c:pt idx="125">
                  <c:v>50.826900000000002</c:v>
                </c:pt>
                <c:pt idx="126">
                  <c:v>51.232599999999998</c:v>
                </c:pt>
                <c:pt idx="127">
                  <c:v>51.639899999999997</c:v>
                </c:pt>
                <c:pt idx="128">
                  <c:v>52.043500000000002</c:v>
                </c:pt>
                <c:pt idx="129">
                  <c:v>52.450200000000002</c:v>
                </c:pt>
                <c:pt idx="130">
                  <c:v>52.8566</c:v>
                </c:pt>
                <c:pt idx="131">
                  <c:v>53.263500000000001</c:v>
                </c:pt>
                <c:pt idx="132">
                  <c:v>53.670999999999999</c:v>
                </c:pt>
                <c:pt idx="133">
                  <c:v>54.0777</c:v>
                </c:pt>
                <c:pt idx="134">
                  <c:v>54.484299999999998</c:v>
                </c:pt>
                <c:pt idx="135">
                  <c:v>54.886000000000003</c:v>
                </c:pt>
                <c:pt idx="136">
                  <c:v>55.293399999999998</c:v>
                </c:pt>
                <c:pt idx="137">
                  <c:v>55.698999999999998</c:v>
                </c:pt>
                <c:pt idx="138">
                  <c:v>56.106999999999999</c:v>
                </c:pt>
                <c:pt idx="139">
                  <c:v>56.515700000000002</c:v>
                </c:pt>
                <c:pt idx="140">
                  <c:v>56.922899999999998</c:v>
                </c:pt>
                <c:pt idx="141">
                  <c:v>57.324599999999997</c:v>
                </c:pt>
                <c:pt idx="142">
                  <c:v>57.733400000000003</c:v>
                </c:pt>
                <c:pt idx="143">
                  <c:v>58.139699999999998</c:v>
                </c:pt>
                <c:pt idx="144">
                  <c:v>58.545999999999999</c:v>
                </c:pt>
                <c:pt idx="145">
                  <c:v>58.952399999999997</c:v>
                </c:pt>
                <c:pt idx="146">
                  <c:v>59.355499999999999</c:v>
                </c:pt>
                <c:pt idx="147">
                  <c:v>59.764699999999998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  <c:pt idx="74">
                  <c:v>23.963100000000001</c:v>
                </c:pt>
                <c:pt idx="75">
                  <c:v>24.588799999999999</c:v>
                </c:pt>
                <c:pt idx="76">
                  <c:v>24.947800000000001</c:v>
                </c:pt>
                <c:pt idx="77">
                  <c:v>25.238599999999998</c:v>
                </c:pt>
                <c:pt idx="78">
                  <c:v>25.445099999999996</c:v>
                </c:pt>
                <c:pt idx="79">
                  <c:v>25.643999999999998</c:v>
                </c:pt>
                <c:pt idx="80">
                  <c:v>25.916899999999998</c:v>
                </c:pt>
                <c:pt idx="81">
                  <c:v>26.2193</c:v>
                </c:pt>
                <c:pt idx="82">
                  <c:v>26.405899999999999</c:v>
                </c:pt>
                <c:pt idx="83">
                  <c:v>26.550899999999999</c:v>
                </c:pt>
                <c:pt idx="84">
                  <c:v>26.7455</c:v>
                </c:pt>
                <c:pt idx="85">
                  <c:v>26.911300000000001</c:v>
                </c:pt>
                <c:pt idx="86">
                  <c:v>27.072600000000001</c:v>
                </c:pt>
                <c:pt idx="87">
                  <c:v>27.194600000000001</c:v>
                </c:pt>
                <c:pt idx="88">
                  <c:v>27.4343</c:v>
                </c:pt>
                <c:pt idx="89">
                  <c:v>27.741399999999999</c:v>
                </c:pt>
                <c:pt idx="90">
                  <c:v>28.033200000000001</c:v>
                </c:pt>
                <c:pt idx="91">
                  <c:v>28.217500000000001</c:v>
                </c:pt>
                <c:pt idx="92">
                  <c:v>28.235500000000002</c:v>
                </c:pt>
                <c:pt idx="93">
                  <c:v>28.1995</c:v>
                </c:pt>
                <c:pt idx="94">
                  <c:v>28.099499999999999</c:v>
                </c:pt>
                <c:pt idx="95">
                  <c:v>27.9465</c:v>
                </c:pt>
                <c:pt idx="96">
                  <c:v>27.682099999999998</c:v>
                </c:pt>
                <c:pt idx="97">
                  <c:v>27.380900000000004</c:v>
                </c:pt>
                <c:pt idx="98">
                  <c:v>27.046300000000002</c:v>
                </c:pt>
                <c:pt idx="99">
                  <c:v>26.675500000000003</c:v>
                </c:pt>
                <c:pt idx="100">
                  <c:v>26.258399999999998</c:v>
                </c:pt>
                <c:pt idx="101">
                  <c:v>25.806699999999999</c:v>
                </c:pt>
                <c:pt idx="102">
                  <c:v>25.375999999999998</c:v>
                </c:pt>
                <c:pt idx="103">
                  <c:v>24.892099999999999</c:v>
                </c:pt>
                <c:pt idx="104">
                  <c:v>24.403700000000001</c:v>
                </c:pt>
                <c:pt idx="105">
                  <c:v>23.925000000000001</c:v>
                </c:pt>
                <c:pt idx="106">
                  <c:v>23.372599999999998</c:v>
                </c:pt>
                <c:pt idx="107">
                  <c:v>22.782599999999999</c:v>
                </c:pt>
                <c:pt idx="108">
                  <c:v>22.366299999999999</c:v>
                </c:pt>
                <c:pt idx="109">
                  <c:v>21.913499999999999</c:v>
                </c:pt>
                <c:pt idx="110">
                  <c:v>21.5029</c:v>
                </c:pt>
                <c:pt idx="111">
                  <c:v>21.0884</c:v>
                </c:pt>
                <c:pt idx="112">
                  <c:v>20.811399999999999</c:v>
                </c:pt>
                <c:pt idx="113">
                  <c:v>20.516400000000001</c:v>
                </c:pt>
                <c:pt idx="114">
                  <c:v>20.241700000000002</c:v>
                </c:pt>
                <c:pt idx="115">
                  <c:v>19.985099999999999</c:v>
                </c:pt>
                <c:pt idx="116">
                  <c:v>19.871200000000002</c:v>
                </c:pt>
                <c:pt idx="117">
                  <c:v>19.933799999999998</c:v>
                </c:pt>
                <c:pt idx="118">
                  <c:v>20.063600000000001</c:v>
                </c:pt>
                <c:pt idx="119">
                  <c:v>20.188600000000001</c:v>
                </c:pt>
                <c:pt idx="120">
                  <c:v>20.402000000000001</c:v>
                </c:pt>
                <c:pt idx="121">
                  <c:v>20.732999999999997</c:v>
                </c:pt>
                <c:pt idx="122">
                  <c:v>21.0852</c:v>
                </c:pt>
                <c:pt idx="123">
                  <c:v>21.442700000000002</c:v>
                </c:pt>
                <c:pt idx="124">
                  <c:v>21.436299999999999</c:v>
                </c:pt>
                <c:pt idx="125">
                  <c:v>21.442700000000002</c:v>
                </c:pt>
                <c:pt idx="126">
                  <c:v>21.553000000000001</c:v>
                </c:pt>
                <c:pt idx="127">
                  <c:v>21.727</c:v>
                </c:pt>
                <c:pt idx="128">
                  <c:v>21.9999</c:v>
                </c:pt>
                <c:pt idx="129">
                  <c:v>22.3291</c:v>
                </c:pt>
                <c:pt idx="130">
                  <c:v>22.657800000000002</c:v>
                </c:pt>
                <c:pt idx="131">
                  <c:v>23.061899999999998</c:v>
                </c:pt>
                <c:pt idx="132">
                  <c:v>23.598800000000001</c:v>
                </c:pt>
                <c:pt idx="133">
                  <c:v>24.017800000000001</c:v>
                </c:pt>
                <c:pt idx="134">
                  <c:v>24.504999999999999</c:v>
                </c:pt>
                <c:pt idx="135">
                  <c:v>25.029600000000002</c:v>
                </c:pt>
                <c:pt idx="136">
                  <c:v>25.6371</c:v>
                </c:pt>
                <c:pt idx="137">
                  <c:v>26.101999999999997</c:v>
                </c:pt>
                <c:pt idx="138">
                  <c:v>26.448700000000002</c:v>
                </c:pt>
                <c:pt idx="139">
                  <c:v>26.702199999999998</c:v>
                </c:pt>
                <c:pt idx="140">
                  <c:v>27.062999999999999</c:v>
                </c:pt>
                <c:pt idx="141">
                  <c:v>27.338800000000003</c:v>
                </c:pt>
                <c:pt idx="142">
                  <c:v>27.407299999999999</c:v>
                </c:pt>
                <c:pt idx="143">
                  <c:v>27.578099999999999</c:v>
                </c:pt>
                <c:pt idx="144">
                  <c:v>27.886300000000002</c:v>
                </c:pt>
                <c:pt idx="145">
                  <c:v>28.095300000000002</c:v>
                </c:pt>
                <c:pt idx="146">
                  <c:v>28.313600000000001</c:v>
                </c:pt>
                <c:pt idx="147">
                  <c:v>28.507900000000003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0.40356799999999998</c:v>
                </c:pt>
                <c:pt idx="2">
                  <c:v>0.80832400000000004</c:v>
                </c:pt>
                <c:pt idx="3">
                  <c:v>1.21689</c:v>
                </c:pt>
                <c:pt idx="4">
                  <c:v>1.62584</c:v>
                </c:pt>
                <c:pt idx="5">
                  <c:v>2.0301499999999999</c:v>
                </c:pt>
                <c:pt idx="6">
                  <c:v>2.4358399999999998</c:v>
                </c:pt>
                <c:pt idx="7">
                  <c:v>2.8401200000000002</c:v>
                </c:pt>
                <c:pt idx="8">
                  <c:v>3.2519999999999998</c:v>
                </c:pt>
                <c:pt idx="9">
                  <c:v>3.6549299999999998</c:v>
                </c:pt>
                <c:pt idx="10">
                  <c:v>4.0611199999999998</c:v>
                </c:pt>
                <c:pt idx="11">
                  <c:v>4.4670399999999999</c:v>
                </c:pt>
                <c:pt idx="12">
                  <c:v>4.8708099999999996</c:v>
                </c:pt>
                <c:pt idx="13">
                  <c:v>5.2793400000000004</c:v>
                </c:pt>
                <c:pt idx="14">
                  <c:v>5.6856099999999996</c:v>
                </c:pt>
                <c:pt idx="15">
                  <c:v>6.09375</c:v>
                </c:pt>
                <c:pt idx="16">
                  <c:v>6.49892</c:v>
                </c:pt>
                <c:pt idx="17">
                  <c:v>6.9056100000000002</c:v>
                </c:pt>
                <c:pt idx="18">
                  <c:v>7.30959</c:v>
                </c:pt>
                <c:pt idx="19">
                  <c:v>7.7164299999999999</c:v>
                </c:pt>
                <c:pt idx="20">
                  <c:v>8.1236599999999992</c:v>
                </c:pt>
                <c:pt idx="21">
                  <c:v>8.5313800000000004</c:v>
                </c:pt>
                <c:pt idx="22">
                  <c:v>8.9345400000000001</c:v>
                </c:pt>
                <c:pt idx="23">
                  <c:v>9.34009</c:v>
                </c:pt>
                <c:pt idx="24">
                  <c:v>9.7463300000000004</c:v>
                </c:pt>
                <c:pt idx="25">
                  <c:v>10.152900000000001</c:v>
                </c:pt>
                <c:pt idx="26">
                  <c:v>10.5641</c:v>
                </c:pt>
                <c:pt idx="27">
                  <c:v>10.9656</c:v>
                </c:pt>
                <c:pt idx="28">
                  <c:v>11.369400000000001</c:v>
                </c:pt>
                <c:pt idx="29">
                  <c:v>11.7766</c:v>
                </c:pt>
                <c:pt idx="30">
                  <c:v>12.1859</c:v>
                </c:pt>
                <c:pt idx="31">
                  <c:v>12.5899</c:v>
                </c:pt>
                <c:pt idx="32">
                  <c:v>12.9991</c:v>
                </c:pt>
                <c:pt idx="33">
                  <c:v>13.4071</c:v>
                </c:pt>
                <c:pt idx="34">
                  <c:v>13.8103</c:v>
                </c:pt>
                <c:pt idx="35">
                  <c:v>14.2165</c:v>
                </c:pt>
                <c:pt idx="36">
                  <c:v>14.6214</c:v>
                </c:pt>
                <c:pt idx="37">
                  <c:v>15.029500000000001</c:v>
                </c:pt>
                <c:pt idx="38">
                  <c:v>15.4351</c:v>
                </c:pt>
                <c:pt idx="39">
                  <c:v>15.8399</c:v>
                </c:pt>
                <c:pt idx="40">
                  <c:v>16.247599999999998</c:v>
                </c:pt>
                <c:pt idx="41">
                  <c:v>16.653300000000002</c:v>
                </c:pt>
                <c:pt idx="42">
                  <c:v>17.058700000000002</c:v>
                </c:pt>
                <c:pt idx="43">
                  <c:v>17.469100000000001</c:v>
                </c:pt>
                <c:pt idx="44">
                  <c:v>17.873999999999999</c:v>
                </c:pt>
                <c:pt idx="45">
                  <c:v>18.2776</c:v>
                </c:pt>
                <c:pt idx="46">
                  <c:v>18.684200000000001</c:v>
                </c:pt>
                <c:pt idx="47">
                  <c:v>19.089300000000001</c:v>
                </c:pt>
                <c:pt idx="48">
                  <c:v>19.496300000000002</c:v>
                </c:pt>
                <c:pt idx="49">
                  <c:v>19.904499999999999</c:v>
                </c:pt>
                <c:pt idx="50">
                  <c:v>20.3095</c:v>
                </c:pt>
                <c:pt idx="51">
                  <c:v>20.715499999999999</c:v>
                </c:pt>
                <c:pt idx="52">
                  <c:v>21.124400000000001</c:v>
                </c:pt>
                <c:pt idx="53">
                  <c:v>21.5304</c:v>
                </c:pt>
                <c:pt idx="54">
                  <c:v>21.936699999999998</c:v>
                </c:pt>
                <c:pt idx="55">
                  <c:v>22.341799999999999</c:v>
                </c:pt>
                <c:pt idx="56">
                  <c:v>22.748999999999999</c:v>
                </c:pt>
                <c:pt idx="57">
                  <c:v>23.152899999999999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24.375499999999999</c:v>
                </c:pt>
                <c:pt idx="61">
                  <c:v>24.779499999999999</c:v>
                </c:pt>
                <c:pt idx="62">
                  <c:v>25.1829</c:v>
                </c:pt>
                <c:pt idx="63">
                  <c:v>25.593299999999999</c:v>
                </c:pt>
                <c:pt idx="64">
                  <c:v>25.999600000000001</c:v>
                </c:pt>
                <c:pt idx="65">
                  <c:v>26.405100000000001</c:v>
                </c:pt>
                <c:pt idx="66">
                  <c:v>26.808499999999999</c:v>
                </c:pt>
                <c:pt idx="67">
                  <c:v>27.217700000000001</c:v>
                </c:pt>
                <c:pt idx="68">
                  <c:v>27.6233</c:v>
                </c:pt>
                <c:pt idx="69">
                  <c:v>28.031099999999999</c:v>
                </c:pt>
                <c:pt idx="70">
                  <c:v>28.4374</c:v>
                </c:pt>
                <c:pt idx="71">
                  <c:v>28.839099999999998</c:v>
                </c:pt>
                <c:pt idx="72">
                  <c:v>29.247</c:v>
                </c:pt>
                <c:pt idx="73">
                  <c:v>29.653500000000001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29.653500000000001</c:v>
                </c:pt>
                <c:pt idx="1">
                  <c:v>30.06</c:v>
                </c:pt>
                <c:pt idx="2">
                  <c:v>30.5121</c:v>
                </c:pt>
                <c:pt idx="3">
                  <c:v>30.9194</c:v>
                </c:pt>
                <c:pt idx="4">
                  <c:v>31.326699999999999</c:v>
                </c:pt>
                <c:pt idx="5">
                  <c:v>31.733899999999998</c:v>
                </c:pt>
                <c:pt idx="6">
                  <c:v>32.1355</c:v>
                </c:pt>
                <c:pt idx="7">
                  <c:v>32.542900000000003</c:v>
                </c:pt>
                <c:pt idx="8">
                  <c:v>32.949199999999998</c:v>
                </c:pt>
                <c:pt idx="9">
                  <c:v>33.357199999999999</c:v>
                </c:pt>
                <c:pt idx="10">
                  <c:v>33.763199999999998</c:v>
                </c:pt>
                <c:pt idx="11">
                  <c:v>34.171700000000001</c:v>
                </c:pt>
                <c:pt idx="12">
                  <c:v>34.576099999999997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35.7943</c:v>
                </c:pt>
                <c:pt idx="16">
                  <c:v>36.200099999999999</c:v>
                </c:pt>
                <c:pt idx="17">
                  <c:v>36.6083</c:v>
                </c:pt>
                <c:pt idx="18">
                  <c:v>37.015300000000003</c:v>
                </c:pt>
                <c:pt idx="19">
                  <c:v>37.418199999999999</c:v>
                </c:pt>
                <c:pt idx="20">
                  <c:v>37.825000000000003</c:v>
                </c:pt>
                <c:pt idx="21">
                  <c:v>38.232100000000003</c:v>
                </c:pt>
                <c:pt idx="22">
                  <c:v>38.641300000000001</c:v>
                </c:pt>
                <c:pt idx="23">
                  <c:v>39.0456</c:v>
                </c:pt>
                <c:pt idx="24">
                  <c:v>39.4499</c:v>
                </c:pt>
                <c:pt idx="25">
                  <c:v>39.854300000000002</c:v>
                </c:pt>
                <c:pt idx="26">
                  <c:v>40.264400000000002</c:v>
                </c:pt>
                <c:pt idx="27">
                  <c:v>40.671199999999999</c:v>
                </c:pt>
                <c:pt idx="28">
                  <c:v>41.078299999999999</c:v>
                </c:pt>
                <c:pt idx="29">
                  <c:v>41.481999999999999</c:v>
                </c:pt>
                <c:pt idx="30">
                  <c:v>41.885899999999999</c:v>
                </c:pt>
                <c:pt idx="31">
                  <c:v>42.2956</c:v>
                </c:pt>
                <c:pt idx="32">
                  <c:v>42.702599999999997</c:v>
                </c:pt>
                <c:pt idx="33">
                  <c:v>43.107999999999997</c:v>
                </c:pt>
                <c:pt idx="34">
                  <c:v>43.513399999999997</c:v>
                </c:pt>
                <c:pt idx="35">
                  <c:v>43.919699999999999</c:v>
                </c:pt>
                <c:pt idx="36">
                  <c:v>44.324800000000003</c:v>
                </c:pt>
                <c:pt idx="37">
                  <c:v>44.734400000000001</c:v>
                </c:pt>
                <c:pt idx="38">
                  <c:v>45.143700000000003</c:v>
                </c:pt>
                <c:pt idx="39">
                  <c:v>45.545400000000001</c:v>
                </c:pt>
                <c:pt idx="40">
                  <c:v>45.950899999999997</c:v>
                </c:pt>
                <c:pt idx="41">
                  <c:v>46.36</c:v>
                </c:pt>
                <c:pt idx="42">
                  <c:v>46.762900000000002</c:v>
                </c:pt>
                <c:pt idx="43">
                  <c:v>47.167900000000003</c:v>
                </c:pt>
                <c:pt idx="44">
                  <c:v>47.575800000000001</c:v>
                </c:pt>
                <c:pt idx="45">
                  <c:v>47.981200000000001</c:v>
                </c:pt>
                <c:pt idx="46">
                  <c:v>48.387599999999999</c:v>
                </c:pt>
                <c:pt idx="47">
                  <c:v>48.795200000000001</c:v>
                </c:pt>
                <c:pt idx="48">
                  <c:v>49.200699999999998</c:v>
                </c:pt>
                <c:pt idx="49">
                  <c:v>49.608800000000002</c:v>
                </c:pt>
                <c:pt idx="50">
                  <c:v>50.011400000000002</c:v>
                </c:pt>
                <c:pt idx="51">
                  <c:v>50.418700000000001</c:v>
                </c:pt>
                <c:pt idx="52">
                  <c:v>50.826900000000002</c:v>
                </c:pt>
                <c:pt idx="53">
                  <c:v>51.232599999999998</c:v>
                </c:pt>
                <c:pt idx="54">
                  <c:v>51.639899999999997</c:v>
                </c:pt>
                <c:pt idx="55">
                  <c:v>52.043500000000002</c:v>
                </c:pt>
                <c:pt idx="56">
                  <c:v>52.450200000000002</c:v>
                </c:pt>
                <c:pt idx="57">
                  <c:v>52.8566</c:v>
                </c:pt>
                <c:pt idx="58">
                  <c:v>53.263500000000001</c:v>
                </c:pt>
                <c:pt idx="59">
                  <c:v>53.670999999999999</c:v>
                </c:pt>
                <c:pt idx="60">
                  <c:v>54.0777</c:v>
                </c:pt>
                <c:pt idx="61">
                  <c:v>54.484299999999998</c:v>
                </c:pt>
                <c:pt idx="62">
                  <c:v>54.886000000000003</c:v>
                </c:pt>
                <c:pt idx="63">
                  <c:v>55.293399999999998</c:v>
                </c:pt>
                <c:pt idx="64">
                  <c:v>55.698999999999998</c:v>
                </c:pt>
                <c:pt idx="65">
                  <c:v>56.106999999999999</c:v>
                </c:pt>
                <c:pt idx="66">
                  <c:v>56.515700000000002</c:v>
                </c:pt>
                <c:pt idx="67">
                  <c:v>56.922899999999998</c:v>
                </c:pt>
                <c:pt idx="68">
                  <c:v>57.324599999999997</c:v>
                </c:pt>
                <c:pt idx="69">
                  <c:v>57.733400000000003</c:v>
                </c:pt>
                <c:pt idx="70">
                  <c:v>58.139699999999998</c:v>
                </c:pt>
                <c:pt idx="71">
                  <c:v>58.545999999999999</c:v>
                </c:pt>
                <c:pt idx="72">
                  <c:v>58.952399999999997</c:v>
                </c:pt>
                <c:pt idx="73">
                  <c:v>59.355499999999999</c:v>
                </c:pt>
                <c:pt idx="74">
                  <c:v>59.764699999999998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23.584900000000001</c:v>
                </c:pt>
                <c:pt idx="1">
                  <c:v>23.963100000000001</c:v>
                </c:pt>
                <c:pt idx="2">
                  <c:v>24.588799999999999</c:v>
                </c:pt>
                <c:pt idx="3">
                  <c:v>24.947800000000001</c:v>
                </c:pt>
                <c:pt idx="4">
                  <c:v>25.238599999999998</c:v>
                </c:pt>
                <c:pt idx="5">
                  <c:v>25.445099999999996</c:v>
                </c:pt>
                <c:pt idx="6">
                  <c:v>25.643999999999998</c:v>
                </c:pt>
                <c:pt idx="7">
                  <c:v>25.916899999999998</c:v>
                </c:pt>
                <c:pt idx="8">
                  <c:v>26.2193</c:v>
                </c:pt>
                <c:pt idx="9">
                  <c:v>26.405899999999999</c:v>
                </c:pt>
                <c:pt idx="10">
                  <c:v>26.550899999999999</c:v>
                </c:pt>
                <c:pt idx="11">
                  <c:v>26.7455</c:v>
                </c:pt>
                <c:pt idx="12">
                  <c:v>26.911300000000001</c:v>
                </c:pt>
                <c:pt idx="13">
                  <c:v>27.072600000000001</c:v>
                </c:pt>
                <c:pt idx="14">
                  <c:v>27.194600000000001</c:v>
                </c:pt>
                <c:pt idx="15">
                  <c:v>27.4343</c:v>
                </c:pt>
                <c:pt idx="16">
                  <c:v>27.741399999999999</c:v>
                </c:pt>
                <c:pt idx="17">
                  <c:v>28.033200000000001</c:v>
                </c:pt>
                <c:pt idx="18">
                  <c:v>28.217500000000001</c:v>
                </c:pt>
                <c:pt idx="19">
                  <c:v>28.235500000000002</c:v>
                </c:pt>
                <c:pt idx="20">
                  <c:v>28.1995</c:v>
                </c:pt>
                <c:pt idx="21">
                  <c:v>28.099499999999999</c:v>
                </c:pt>
                <c:pt idx="22">
                  <c:v>27.9465</c:v>
                </c:pt>
                <c:pt idx="23">
                  <c:v>27.682099999999998</c:v>
                </c:pt>
                <c:pt idx="24">
                  <c:v>27.380900000000004</c:v>
                </c:pt>
                <c:pt idx="25">
                  <c:v>27.046300000000002</c:v>
                </c:pt>
                <c:pt idx="26">
                  <c:v>26.675500000000003</c:v>
                </c:pt>
                <c:pt idx="27">
                  <c:v>26.258399999999998</c:v>
                </c:pt>
                <c:pt idx="28">
                  <c:v>25.806699999999999</c:v>
                </c:pt>
                <c:pt idx="29">
                  <c:v>25.375999999999998</c:v>
                </c:pt>
                <c:pt idx="30">
                  <c:v>24.892099999999999</c:v>
                </c:pt>
                <c:pt idx="31">
                  <c:v>24.403700000000001</c:v>
                </c:pt>
                <c:pt idx="32">
                  <c:v>23.925000000000001</c:v>
                </c:pt>
                <c:pt idx="33">
                  <c:v>23.372599999999998</c:v>
                </c:pt>
                <c:pt idx="34">
                  <c:v>22.782599999999999</c:v>
                </c:pt>
                <c:pt idx="35">
                  <c:v>22.366299999999999</c:v>
                </c:pt>
                <c:pt idx="36">
                  <c:v>21.913499999999999</c:v>
                </c:pt>
                <c:pt idx="37">
                  <c:v>21.5029</c:v>
                </c:pt>
                <c:pt idx="38">
                  <c:v>21.0884</c:v>
                </c:pt>
                <c:pt idx="39">
                  <c:v>20.811399999999999</c:v>
                </c:pt>
                <c:pt idx="40">
                  <c:v>20.516400000000001</c:v>
                </c:pt>
                <c:pt idx="41">
                  <c:v>20.241700000000002</c:v>
                </c:pt>
                <c:pt idx="42">
                  <c:v>19.985099999999999</c:v>
                </c:pt>
                <c:pt idx="43">
                  <c:v>19.871200000000002</c:v>
                </c:pt>
                <c:pt idx="44">
                  <c:v>19.933799999999998</c:v>
                </c:pt>
                <c:pt idx="45">
                  <c:v>20.063600000000001</c:v>
                </c:pt>
                <c:pt idx="46">
                  <c:v>20.188600000000001</c:v>
                </c:pt>
                <c:pt idx="47">
                  <c:v>20.402000000000001</c:v>
                </c:pt>
                <c:pt idx="48">
                  <c:v>20.732999999999997</c:v>
                </c:pt>
                <c:pt idx="49">
                  <c:v>21.0852</c:v>
                </c:pt>
                <c:pt idx="50">
                  <c:v>21.442700000000002</c:v>
                </c:pt>
                <c:pt idx="51">
                  <c:v>21.436299999999999</c:v>
                </c:pt>
                <c:pt idx="52">
                  <c:v>21.442700000000002</c:v>
                </c:pt>
                <c:pt idx="53">
                  <c:v>21.553000000000001</c:v>
                </c:pt>
                <c:pt idx="54">
                  <c:v>21.727</c:v>
                </c:pt>
                <c:pt idx="55">
                  <c:v>21.9999</c:v>
                </c:pt>
                <c:pt idx="56">
                  <c:v>22.3291</c:v>
                </c:pt>
                <c:pt idx="57">
                  <c:v>22.657800000000002</c:v>
                </c:pt>
                <c:pt idx="58">
                  <c:v>23.061899999999998</c:v>
                </c:pt>
                <c:pt idx="59">
                  <c:v>23.598800000000001</c:v>
                </c:pt>
                <c:pt idx="60">
                  <c:v>24.017800000000001</c:v>
                </c:pt>
                <c:pt idx="61">
                  <c:v>24.504999999999999</c:v>
                </c:pt>
                <c:pt idx="62">
                  <c:v>25.029600000000002</c:v>
                </c:pt>
                <c:pt idx="63">
                  <c:v>25.6371</c:v>
                </c:pt>
                <c:pt idx="64">
                  <c:v>26.101999999999997</c:v>
                </c:pt>
                <c:pt idx="65">
                  <c:v>26.448700000000002</c:v>
                </c:pt>
                <c:pt idx="66">
                  <c:v>26.702199999999998</c:v>
                </c:pt>
                <c:pt idx="67">
                  <c:v>27.062999999999999</c:v>
                </c:pt>
                <c:pt idx="68">
                  <c:v>27.338800000000003</c:v>
                </c:pt>
                <c:pt idx="69">
                  <c:v>27.407299999999999</c:v>
                </c:pt>
                <c:pt idx="70">
                  <c:v>27.578099999999999</c:v>
                </c:pt>
                <c:pt idx="71">
                  <c:v>27.886300000000002</c:v>
                </c:pt>
                <c:pt idx="72">
                  <c:v>28.095300000000002</c:v>
                </c:pt>
                <c:pt idx="73">
                  <c:v>28.313600000000001</c:v>
                </c:pt>
                <c:pt idx="74">
                  <c:v>28.507900000000003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14.941174999999999</c:v>
                </c:pt>
                <c:pt idx="1">
                  <c:v>44.823524999999997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30.969068918918914</c:v>
                </c:pt>
                <c:pt idx="1">
                  <c:v>24.661333783783792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  <c:pt idx="74">
                  <c:v>2.6836500000000001</c:v>
                </c:pt>
                <c:pt idx="75">
                  <c:v>2.6591800000000001</c:v>
                </c:pt>
                <c:pt idx="76">
                  <c:v>2.64039</c:v>
                </c:pt>
                <c:pt idx="77">
                  <c:v>2.6239800000000004</c:v>
                </c:pt>
                <c:pt idx="78">
                  <c:v>2.6131500000000001</c:v>
                </c:pt>
                <c:pt idx="79">
                  <c:v>2.6032799999999998</c:v>
                </c:pt>
                <c:pt idx="80">
                  <c:v>2.5930499999999999</c:v>
                </c:pt>
                <c:pt idx="81">
                  <c:v>2.5854400000000002</c:v>
                </c:pt>
                <c:pt idx="82">
                  <c:v>2.5804200000000002</c:v>
                </c:pt>
                <c:pt idx="83">
                  <c:v>2.5784099999999999</c:v>
                </c:pt>
                <c:pt idx="84">
                  <c:v>2.57517</c:v>
                </c:pt>
                <c:pt idx="85">
                  <c:v>2.5719799999999999</c:v>
                </c:pt>
                <c:pt idx="86">
                  <c:v>2.5686900000000001</c:v>
                </c:pt>
                <c:pt idx="87">
                  <c:v>2.5658700000000003</c:v>
                </c:pt>
                <c:pt idx="88">
                  <c:v>2.5601600000000002</c:v>
                </c:pt>
                <c:pt idx="89">
                  <c:v>2.5523400000000001</c:v>
                </c:pt>
                <c:pt idx="90">
                  <c:v>2.54623</c:v>
                </c:pt>
                <c:pt idx="91">
                  <c:v>2.5412400000000002</c:v>
                </c:pt>
                <c:pt idx="92">
                  <c:v>2.5392299999999999</c:v>
                </c:pt>
                <c:pt idx="93">
                  <c:v>2.5381499999999999</c:v>
                </c:pt>
                <c:pt idx="94">
                  <c:v>2.5370900000000001</c:v>
                </c:pt>
                <c:pt idx="95">
                  <c:v>2.5354799999999997</c:v>
                </c:pt>
                <c:pt idx="96">
                  <c:v>2.5357600000000002</c:v>
                </c:pt>
                <c:pt idx="97">
                  <c:v>2.5359400000000001</c:v>
                </c:pt>
                <c:pt idx="98">
                  <c:v>2.53565</c:v>
                </c:pt>
                <c:pt idx="99">
                  <c:v>2.5351499999999998</c:v>
                </c:pt>
                <c:pt idx="100">
                  <c:v>2.5333600000000001</c:v>
                </c:pt>
                <c:pt idx="101">
                  <c:v>2.5289899999999998</c:v>
                </c:pt>
                <c:pt idx="102">
                  <c:v>2.5212499999999998</c:v>
                </c:pt>
                <c:pt idx="103">
                  <c:v>2.5126999999999997</c:v>
                </c:pt>
                <c:pt idx="104">
                  <c:v>2.50427</c:v>
                </c:pt>
                <c:pt idx="105">
                  <c:v>2.4931900000000002</c:v>
                </c:pt>
                <c:pt idx="106">
                  <c:v>2.4812000000000003</c:v>
                </c:pt>
                <c:pt idx="107">
                  <c:v>2.47052</c:v>
                </c:pt>
                <c:pt idx="108">
                  <c:v>2.4577599999999999</c:v>
                </c:pt>
                <c:pt idx="109">
                  <c:v>2.44983</c:v>
                </c:pt>
                <c:pt idx="110">
                  <c:v>2.4452099999999999</c:v>
                </c:pt>
                <c:pt idx="111">
                  <c:v>2.4432899999999997</c:v>
                </c:pt>
                <c:pt idx="112">
                  <c:v>2.43953</c:v>
                </c:pt>
                <c:pt idx="113">
                  <c:v>2.4369700000000001</c:v>
                </c:pt>
                <c:pt idx="114">
                  <c:v>2.43546</c:v>
                </c:pt>
                <c:pt idx="115">
                  <c:v>2.43228</c:v>
                </c:pt>
                <c:pt idx="116">
                  <c:v>2.4281899999999998</c:v>
                </c:pt>
                <c:pt idx="117">
                  <c:v>2.4237600000000001</c:v>
                </c:pt>
                <c:pt idx="118">
                  <c:v>2.4184399999999999</c:v>
                </c:pt>
                <c:pt idx="119">
                  <c:v>2.4131399999999998</c:v>
                </c:pt>
                <c:pt idx="120">
                  <c:v>2.4073899999999999</c:v>
                </c:pt>
                <c:pt idx="121">
                  <c:v>2.4031700000000003</c:v>
                </c:pt>
                <c:pt idx="122">
                  <c:v>2.4022899999999998</c:v>
                </c:pt>
                <c:pt idx="123">
                  <c:v>2.40354</c:v>
                </c:pt>
                <c:pt idx="124">
                  <c:v>2.4018299999999999</c:v>
                </c:pt>
                <c:pt idx="125">
                  <c:v>2.4004700000000003</c:v>
                </c:pt>
                <c:pt idx="126">
                  <c:v>2.4005999999999998</c:v>
                </c:pt>
                <c:pt idx="127">
                  <c:v>2.4031799999999999</c:v>
                </c:pt>
                <c:pt idx="128">
                  <c:v>2.4049200000000002</c:v>
                </c:pt>
                <c:pt idx="129">
                  <c:v>2.4061599999999999</c:v>
                </c:pt>
                <c:pt idx="130">
                  <c:v>2.4106399999999999</c:v>
                </c:pt>
                <c:pt idx="131">
                  <c:v>2.4153199999999999</c:v>
                </c:pt>
                <c:pt idx="132">
                  <c:v>2.4177999999999997</c:v>
                </c:pt>
                <c:pt idx="133">
                  <c:v>2.4209100000000001</c:v>
                </c:pt>
                <c:pt idx="134">
                  <c:v>2.41934</c:v>
                </c:pt>
                <c:pt idx="135">
                  <c:v>2.4142999999999999</c:v>
                </c:pt>
                <c:pt idx="136">
                  <c:v>2.4092099999999999</c:v>
                </c:pt>
                <c:pt idx="137">
                  <c:v>2.40747</c:v>
                </c:pt>
                <c:pt idx="138">
                  <c:v>2.40923</c:v>
                </c:pt>
                <c:pt idx="139">
                  <c:v>2.4126700000000003</c:v>
                </c:pt>
                <c:pt idx="140">
                  <c:v>2.4193899999999999</c:v>
                </c:pt>
                <c:pt idx="141">
                  <c:v>2.4250600000000002</c:v>
                </c:pt>
                <c:pt idx="142">
                  <c:v>2.42821</c:v>
                </c:pt>
                <c:pt idx="143">
                  <c:v>2.43085</c:v>
                </c:pt>
                <c:pt idx="144">
                  <c:v>2.43743</c:v>
                </c:pt>
                <c:pt idx="145">
                  <c:v>2.4555899999999999</c:v>
                </c:pt>
                <c:pt idx="146">
                  <c:v>2.47336</c:v>
                </c:pt>
                <c:pt idx="147">
                  <c:v>2.4863900000000001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  <c:pt idx="74">
                  <c:v>23.963100000000001</c:v>
                </c:pt>
                <c:pt idx="75">
                  <c:v>24.588799999999999</c:v>
                </c:pt>
                <c:pt idx="76">
                  <c:v>24.947800000000001</c:v>
                </c:pt>
                <c:pt idx="77">
                  <c:v>25.238599999999998</c:v>
                </c:pt>
                <c:pt idx="78">
                  <c:v>25.445099999999996</c:v>
                </c:pt>
                <c:pt idx="79">
                  <c:v>25.643999999999998</c:v>
                </c:pt>
                <c:pt idx="80">
                  <c:v>25.916899999999998</c:v>
                </c:pt>
                <c:pt idx="81">
                  <c:v>26.2193</c:v>
                </c:pt>
                <c:pt idx="82">
                  <c:v>26.405899999999999</c:v>
                </c:pt>
                <c:pt idx="83">
                  <c:v>26.550899999999999</c:v>
                </c:pt>
                <c:pt idx="84">
                  <c:v>26.7455</c:v>
                </c:pt>
                <c:pt idx="85">
                  <c:v>26.911300000000001</c:v>
                </c:pt>
                <c:pt idx="86">
                  <c:v>27.072600000000001</c:v>
                </c:pt>
                <c:pt idx="87">
                  <c:v>27.194600000000001</c:v>
                </c:pt>
                <c:pt idx="88">
                  <c:v>27.4343</c:v>
                </c:pt>
                <c:pt idx="89">
                  <c:v>27.741399999999999</c:v>
                </c:pt>
                <c:pt idx="90">
                  <c:v>28.033200000000001</c:v>
                </c:pt>
                <c:pt idx="91">
                  <c:v>28.217500000000001</c:v>
                </c:pt>
                <c:pt idx="92">
                  <c:v>28.235500000000002</c:v>
                </c:pt>
                <c:pt idx="93">
                  <c:v>28.1995</c:v>
                </c:pt>
                <c:pt idx="94">
                  <c:v>28.099499999999999</c:v>
                </c:pt>
                <c:pt idx="95">
                  <c:v>27.9465</c:v>
                </c:pt>
                <c:pt idx="96">
                  <c:v>27.682099999999998</c:v>
                </c:pt>
                <c:pt idx="97">
                  <c:v>27.380900000000004</c:v>
                </c:pt>
                <c:pt idx="98">
                  <c:v>27.046300000000002</c:v>
                </c:pt>
                <c:pt idx="99">
                  <c:v>26.675500000000003</c:v>
                </c:pt>
                <c:pt idx="100">
                  <c:v>26.258399999999998</c:v>
                </c:pt>
                <c:pt idx="101">
                  <c:v>25.806699999999999</c:v>
                </c:pt>
                <c:pt idx="102">
                  <c:v>25.375999999999998</c:v>
                </c:pt>
                <c:pt idx="103">
                  <c:v>24.892099999999999</c:v>
                </c:pt>
                <c:pt idx="104">
                  <c:v>24.403700000000001</c:v>
                </c:pt>
                <c:pt idx="105">
                  <c:v>23.925000000000001</c:v>
                </c:pt>
                <c:pt idx="106">
                  <c:v>23.372599999999998</c:v>
                </c:pt>
                <c:pt idx="107">
                  <c:v>22.782599999999999</c:v>
                </c:pt>
                <c:pt idx="108">
                  <c:v>22.366299999999999</c:v>
                </c:pt>
                <c:pt idx="109">
                  <c:v>21.913499999999999</c:v>
                </c:pt>
                <c:pt idx="110">
                  <c:v>21.5029</c:v>
                </c:pt>
                <c:pt idx="111">
                  <c:v>21.0884</c:v>
                </c:pt>
                <c:pt idx="112">
                  <c:v>20.811399999999999</c:v>
                </c:pt>
                <c:pt idx="113">
                  <c:v>20.516400000000001</c:v>
                </c:pt>
                <c:pt idx="114">
                  <c:v>20.241700000000002</c:v>
                </c:pt>
                <c:pt idx="115">
                  <c:v>19.985099999999999</c:v>
                </c:pt>
                <c:pt idx="116">
                  <c:v>19.871200000000002</c:v>
                </c:pt>
                <c:pt idx="117">
                  <c:v>19.933799999999998</c:v>
                </c:pt>
                <c:pt idx="118">
                  <c:v>20.063600000000001</c:v>
                </c:pt>
                <c:pt idx="119">
                  <c:v>20.188600000000001</c:v>
                </c:pt>
                <c:pt idx="120">
                  <c:v>20.402000000000001</c:v>
                </c:pt>
                <c:pt idx="121">
                  <c:v>20.732999999999997</c:v>
                </c:pt>
                <c:pt idx="122">
                  <c:v>21.0852</c:v>
                </c:pt>
                <c:pt idx="123">
                  <c:v>21.442700000000002</c:v>
                </c:pt>
                <c:pt idx="124">
                  <c:v>21.436299999999999</c:v>
                </c:pt>
                <c:pt idx="125">
                  <c:v>21.442700000000002</c:v>
                </c:pt>
                <c:pt idx="126">
                  <c:v>21.553000000000001</c:v>
                </c:pt>
                <c:pt idx="127">
                  <c:v>21.727</c:v>
                </c:pt>
                <c:pt idx="128">
                  <c:v>21.9999</c:v>
                </c:pt>
                <c:pt idx="129">
                  <c:v>22.3291</c:v>
                </c:pt>
                <c:pt idx="130">
                  <c:v>22.657800000000002</c:v>
                </c:pt>
                <c:pt idx="131">
                  <c:v>23.061899999999998</c:v>
                </c:pt>
                <c:pt idx="132">
                  <c:v>23.598800000000001</c:v>
                </c:pt>
                <c:pt idx="133">
                  <c:v>24.017800000000001</c:v>
                </c:pt>
                <c:pt idx="134">
                  <c:v>24.504999999999999</c:v>
                </c:pt>
                <c:pt idx="135">
                  <c:v>25.029600000000002</c:v>
                </c:pt>
                <c:pt idx="136">
                  <c:v>25.6371</c:v>
                </c:pt>
                <c:pt idx="137">
                  <c:v>26.101999999999997</c:v>
                </c:pt>
                <c:pt idx="138">
                  <c:v>26.448700000000002</c:v>
                </c:pt>
                <c:pt idx="139">
                  <c:v>26.702199999999998</c:v>
                </c:pt>
                <c:pt idx="140">
                  <c:v>27.062999999999999</c:v>
                </c:pt>
                <c:pt idx="141">
                  <c:v>27.338800000000003</c:v>
                </c:pt>
                <c:pt idx="142">
                  <c:v>27.407299999999999</c:v>
                </c:pt>
                <c:pt idx="143">
                  <c:v>27.578099999999999</c:v>
                </c:pt>
                <c:pt idx="144">
                  <c:v>27.886300000000002</c:v>
                </c:pt>
                <c:pt idx="145">
                  <c:v>28.095300000000002</c:v>
                </c:pt>
                <c:pt idx="146">
                  <c:v>28.313600000000001</c:v>
                </c:pt>
                <c:pt idx="147">
                  <c:v>28.507900000000003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2.2683400000000002</c:v>
                </c:pt>
                <c:pt idx="1">
                  <c:v>2.3033100000000002</c:v>
                </c:pt>
                <c:pt idx="2">
                  <c:v>2.339</c:v>
                </c:pt>
                <c:pt idx="3">
                  <c:v>2.37662</c:v>
                </c:pt>
                <c:pt idx="4">
                  <c:v>2.4163000000000001</c:v>
                </c:pt>
                <c:pt idx="5">
                  <c:v>2.45566</c:v>
                </c:pt>
                <c:pt idx="6">
                  <c:v>2.4970500000000002</c:v>
                </c:pt>
                <c:pt idx="7">
                  <c:v>2.5385299999999997</c:v>
                </c:pt>
                <c:pt idx="8">
                  <c:v>2.5764199999999997</c:v>
                </c:pt>
                <c:pt idx="9">
                  <c:v>2.60961</c:v>
                </c:pt>
                <c:pt idx="10">
                  <c:v>2.6402900000000002</c:v>
                </c:pt>
                <c:pt idx="11">
                  <c:v>2.67178</c:v>
                </c:pt>
                <c:pt idx="12">
                  <c:v>2.7043099999999995</c:v>
                </c:pt>
                <c:pt idx="13">
                  <c:v>2.7376800000000001</c:v>
                </c:pt>
                <c:pt idx="14">
                  <c:v>2.7689900000000001</c:v>
                </c:pt>
                <c:pt idx="15">
                  <c:v>2.7993099999999997</c:v>
                </c:pt>
                <c:pt idx="16">
                  <c:v>2.8281200000000002</c:v>
                </c:pt>
                <c:pt idx="17">
                  <c:v>2.8557500000000005</c:v>
                </c:pt>
                <c:pt idx="18">
                  <c:v>2.88497</c:v>
                </c:pt>
                <c:pt idx="19">
                  <c:v>2.9142400000000004</c:v>
                </c:pt>
                <c:pt idx="20">
                  <c:v>2.94259</c:v>
                </c:pt>
                <c:pt idx="21">
                  <c:v>2.9701599999999999</c:v>
                </c:pt>
                <c:pt idx="22">
                  <c:v>2.9972599999999998</c:v>
                </c:pt>
                <c:pt idx="23">
                  <c:v>3.0225900000000001</c:v>
                </c:pt>
                <c:pt idx="24">
                  <c:v>3.0459399999999999</c:v>
                </c:pt>
                <c:pt idx="25">
                  <c:v>3.0675300000000001</c:v>
                </c:pt>
                <c:pt idx="26">
                  <c:v>3.0862699999999998</c:v>
                </c:pt>
                <c:pt idx="27">
                  <c:v>3.10154</c:v>
                </c:pt>
                <c:pt idx="28">
                  <c:v>3.1128800000000001</c:v>
                </c:pt>
                <c:pt idx="29">
                  <c:v>3.1228800000000003</c:v>
                </c:pt>
                <c:pt idx="30">
                  <c:v>3.1310100000000003</c:v>
                </c:pt>
                <c:pt idx="31">
                  <c:v>3.13469</c:v>
                </c:pt>
                <c:pt idx="32">
                  <c:v>3.13828</c:v>
                </c:pt>
                <c:pt idx="33">
                  <c:v>3.1415700000000002</c:v>
                </c:pt>
                <c:pt idx="34">
                  <c:v>3.1467099999999997</c:v>
                </c:pt>
                <c:pt idx="35">
                  <c:v>3.1519900000000001</c:v>
                </c:pt>
                <c:pt idx="36">
                  <c:v>3.1550600000000002</c:v>
                </c:pt>
                <c:pt idx="37">
                  <c:v>3.1576300000000002</c:v>
                </c:pt>
                <c:pt idx="38">
                  <c:v>3.15849</c:v>
                </c:pt>
                <c:pt idx="39">
                  <c:v>3.15923</c:v>
                </c:pt>
                <c:pt idx="40">
                  <c:v>3.1585200000000002</c:v>
                </c:pt>
                <c:pt idx="41">
                  <c:v>3.1549399999999999</c:v>
                </c:pt>
                <c:pt idx="42">
                  <c:v>3.14967</c:v>
                </c:pt>
                <c:pt idx="43">
                  <c:v>3.1415700000000002</c:v>
                </c:pt>
                <c:pt idx="44">
                  <c:v>3.1307800000000001</c:v>
                </c:pt>
                <c:pt idx="45">
                  <c:v>3.1195499999999998</c:v>
                </c:pt>
                <c:pt idx="46">
                  <c:v>3.10684</c:v>
                </c:pt>
                <c:pt idx="47">
                  <c:v>3.0926100000000001</c:v>
                </c:pt>
                <c:pt idx="48">
                  <c:v>3.0796700000000001</c:v>
                </c:pt>
                <c:pt idx="49">
                  <c:v>3.0698799999999999</c:v>
                </c:pt>
                <c:pt idx="50">
                  <c:v>3.0628799999999998</c:v>
                </c:pt>
                <c:pt idx="51">
                  <c:v>3.0554399999999999</c:v>
                </c:pt>
                <c:pt idx="52">
                  <c:v>3.0464400000000005</c:v>
                </c:pt>
                <c:pt idx="53">
                  <c:v>3.04087</c:v>
                </c:pt>
                <c:pt idx="54">
                  <c:v>3.0255799999999997</c:v>
                </c:pt>
                <c:pt idx="55">
                  <c:v>3.0189300000000001</c:v>
                </c:pt>
                <c:pt idx="56">
                  <c:v>3.00387</c:v>
                </c:pt>
                <c:pt idx="57">
                  <c:v>2.98861</c:v>
                </c:pt>
                <c:pt idx="58">
                  <c:v>2.9786899999999998</c:v>
                </c:pt>
                <c:pt idx="59">
                  <c:v>2.9634500000000004</c:v>
                </c:pt>
                <c:pt idx="60">
                  <c:v>2.9425800000000004</c:v>
                </c:pt>
                <c:pt idx="61">
                  <c:v>2.92455</c:v>
                </c:pt>
                <c:pt idx="62">
                  <c:v>2.9093299999999997</c:v>
                </c:pt>
                <c:pt idx="63">
                  <c:v>2.8828999999999998</c:v>
                </c:pt>
                <c:pt idx="64">
                  <c:v>2.8668300000000002</c:v>
                </c:pt>
                <c:pt idx="65">
                  <c:v>2.8466499999999999</c:v>
                </c:pt>
                <c:pt idx="66">
                  <c:v>2.8283700000000001</c:v>
                </c:pt>
                <c:pt idx="67">
                  <c:v>2.8047699999999995</c:v>
                </c:pt>
                <c:pt idx="68">
                  <c:v>2.78607</c:v>
                </c:pt>
                <c:pt idx="69">
                  <c:v>2.76885</c:v>
                </c:pt>
                <c:pt idx="70">
                  <c:v>2.7521800000000001</c:v>
                </c:pt>
                <c:pt idx="71">
                  <c:v>2.7392799999999999</c:v>
                </c:pt>
                <c:pt idx="72">
                  <c:v>2.7179199999999999</c:v>
                </c:pt>
                <c:pt idx="73">
                  <c:v>2.7037699999999996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58.427700000000002</c:v>
                </c:pt>
                <c:pt idx="1">
                  <c:v>57.222899999999996</c:v>
                </c:pt>
                <c:pt idx="2">
                  <c:v>55.972100000000005</c:v>
                </c:pt>
                <c:pt idx="3">
                  <c:v>54.591599999999993</c:v>
                </c:pt>
                <c:pt idx="4">
                  <c:v>53.196600000000004</c:v>
                </c:pt>
                <c:pt idx="5">
                  <c:v>51.859000000000002</c:v>
                </c:pt>
                <c:pt idx="6">
                  <c:v>50.443599999999996</c:v>
                </c:pt>
                <c:pt idx="7">
                  <c:v>49.032399999999996</c:v>
                </c:pt>
                <c:pt idx="8">
                  <c:v>47.784599999999998</c:v>
                </c:pt>
                <c:pt idx="9">
                  <c:v>46.725100000000005</c:v>
                </c:pt>
                <c:pt idx="10">
                  <c:v>45.721600000000002</c:v>
                </c:pt>
                <c:pt idx="11">
                  <c:v>44.6325</c:v>
                </c:pt>
                <c:pt idx="12">
                  <c:v>43.4895</c:v>
                </c:pt>
                <c:pt idx="13">
                  <c:v>42.328400000000002</c:v>
                </c:pt>
                <c:pt idx="14">
                  <c:v>41.183100000000003</c:v>
                </c:pt>
                <c:pt idx="15">
                  <c:v>40.119799999999998</c:v>
                </c:pt>
                <c:pt idx="16">
                  <c:v>39.102499999999999</c:v>
                </c:pt>
                <c:pt idx="17">
                  <c:v>38.063299999999998</c:v>
                </c:pt>
                <c:pt idx="18">
                  <c:v>36.9636</c:v>
                </c:pt>
                <c:pt idx="19">
                  <c:v>35.886499999999998</c:v>
                </c:pt>
                <c:pt idx="20">
                  <c:v>34.878999999999998</c:v>
                </c:pt>
                <c:pt idx="21">
                  <c:v>33.9054</c:v>
                </c:pt>
                <c:pt idx="22">
                  <c:v>33.0075</c:v>
                </c:pt>
                <c:pt idx="23">
                  <c:v>32.1462</c:v>
                </c:pt>
                <c:pt idx="24">
                  <c:v>31.2376</c:v>
                </c:pt>
                <c:pt idx="25">
                  <c:v>30.380700000000001</c:v>
                </c:pt>
                <c:pt idx="26">
                  <c:v>29.557299999999998</c:v>
                </c:pt>
                <c:pt idx="27">
                  <c:v>28.809699999999999</c:v>
                </c:pt>
                <c:pt idx="28">
                  <c:v>28.103400000000001</c:v>
                </c:pt>
                <c:pt idx="29">
                  <c:v>27.369500000000002</c:v>
                </c:pt>
                <c:pt idx="30">
                  <c:v>26.642100000000003</c:v>
                </c:pt>
                <c:pt idx="31">
                  <c:v>26.014700000000001</c:v>
                </c:pt>
                <c:pt idx="32">
                  <c:v>25.4924</c:v>
                </c:pt>
                <c:pt idx="33">
                  <c:v>25.121600000000001</c:v>
                </c:pt>
                <c:pt idx="34">
                  <c:v>24.796499999999998</c:v>
                </c:pt>
                <c:pt idx="35">
                  <c:v>24.590199999999999</c:v>
                </c:pt>
                <c:pt idx="36">
                  <c:v>24.457899999999999</c:v>
                </c:pt>
                <c:pt idx="37">
                  <c:v>24.34</c:v>
                </c:pt>
                <c:pt idx="38">
                  <c:v>24.149899999999999</c:v>
                </c:pt>
                <c:pt idx="39">
                  <c:v>23.9955</c:v>
                </c:pt>
                <c:pt idx="40">
                  <c:v>23.7864</c:v>
                </c:pt>
                <c:pt idx="41">
                  <c:v>23.600199999999997</c:v>
                </c:pt>
                <c:pt idx="42">
                  <c:v>23.443200000000001</c:v>
                </c:pt>
                <c:pt idx="43">
                  <c:v>23.3734</c:v>
                </c:pt>
                <c:pt idx="44">
                  <c:v>23.416399999999999</c:v>
                </c:pt>
                <c:pt idx="45">
                  <c:v>23.4878</c:v>
                </c:pt>
                <c:pt idx="46">
                  <c:v>23.6098</c:v>
                </c:pt>
                <c:pt idx="47">
                  <c:v>23.691699999999997</c:v>
                </c:pt>
                <c:pt idx="48">
                  <c:v>23.747</c:v>
                </c:pt>
                <c:pt idx="49">
                  <c:v>23.735099999999999</c:v>
                </c:pt>
                <c:pt idx="50">
                  <c:v>23.743200000000002</c:v>
                </c:pt>
                <c:pt idx="51">
                  <c:v>23.7347</c:v>
                </c:pt>
                <c:pt idx="52">
                  <c:v>23.7668</c:v>
                </c:pt>
                <c:pt idx="53">
                  <c:v>23.8523</c:v>
                </c:pt>
                <c:pt idx="54">
                  <c:v>23.922999999999998</c:v>
                </c:pt>
                <c:pt idx="55">
                  <c:v>24.0044</c:v>
                </c:pt>
                <c:pt idx="56">
                  <c:v>23.9117</c:v>
                </c:pt>
                <c:pt idx="57">
                  <c:v>23.883900000000001</c:v>
                </c:pt>
                <c:pt idx="58">
                  <c:v>23.781099999999999</c:v>
                </c:pt>
                <c:pt idx="59">
                  <c:v>23.613500000000002</c:v>
                </c:pt>
                <c:pt idx="60">
                  <c:v>23.355600000000003</c:v>
                </c:pt>
                <c:pt idx="61">
                  <c:v>23.135400000000001</c:v>
                </c:pt>
                <c:pt idx="62">
                  <c:v>23.037199999999999</c:v>
                </c:pt>
                <c:pt idx="63">
                  <c:v>23.010999999999999</c:v>
                </c:pt>
                <c:pt idx="64">
                  <c:v>23.069600000000001</c:v>
                </c:pt>
                <c:pt idx="65">
                  <c:v>23.100100000000001</c:v>
                </c:pt>
                <c:pt idx="66">
                  <c:v>23.132400000000001</c:v>
                </c:pt>
                <c:pt idx="67">
                  <c:v>23.270399999999999</c:v>
                </c:pt>
                <c:pt idx="68">
                  <c:v>23.363900000000001</c:v>
                </c:pt>
                <c:pt idx="69">
                  <c:v>23.416600000000003</c:v>
                </c:pt>
                <c:pt idx="70">
                  <c:v>23.458000000000002</c:v>
                </c:pt>
                <c:pt idx="71">
                  <c:v>23.4054</c:v>
                </c:pt>
                <c:pt idx="72">
                  <c:v>23.5215</c:v>
                </c:pt>
                <c:pt idx="73">
                  <c:v>23.584900000000001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2.7037699999999996</c:v>
                </c:pt>
                <c:pt idx="1">
                  <c:v>2.6836500000000001</c:v>
                </c:pt>
                <c:pt idx="2">
                  <c:v>2.6591800000000001</c:v>
                </c:pt>
                <c:pt idx="3">
                  <c:v>2.64039</c:v>
                </c:pt>
                <c:pt idx="4">
                  <c:v>2.6239800000000004</c:v>
                </c:pt>
                <c:pt idx="5">
                  <c:v>2.6131500000000001</c:v>
                </c:pt>
                <c:pt idx="6">
                  <c:v>2.6032799999999998</c:v>
                </c:pt>
                <c:pt idx="7">
                  <c:v>2.5930499999999999</c:v>
                </c:pt>
                <c:pt idx="8">
                  <c:v>2.5854400000000002</c:v>
                </c:pt>
                <c:pt idx="9">
                  <c:v>2.5804200000000002</c:v>
                </c:pt>
                <c:pt idx="10">
                  <c:v>2.5784099999999999</c:v>
                </c:pt>
                <c:pt idx="11">
                  <c:v>2.57517</c:v>
                </c:pt>
                <c:pt idx="12">
                  <c:v>2.5719799999999999</c:v>
                </c:pt>
                <c:pt idx="13">
                  <c:v>2.5686900000000001</c:v>
                </c:pt>
                <c:pt idx="14">
                  <c:v>2.5658700000000003</c:v>
                </c:pt>
                <c:pt idx="15">
                  <c:v>2.5601600000000002</c:v>
                </c:pt>
                <c:pt idx="16">
                  <c:v>2.5523400000000001</c:v>
                </c:pt>
                <c:pt idx="17">
                  <c:v>2.54623</c:v>
                </c:pt>
                <c:pt idx="18">
                  <c:v>2.5412400000000002</c:v>
                </c:pt>
                <c:pt idx="19">
                  <c:v>2.5392299999999999</c:v>
                </c:pt>
                <c:pt idx="20">
                  <c:v>2.5381499999999999</c:v>
                </c:pt>
                <c:pt idx="21">
                  <c:v>2.5370900000000001</c:v>
                </c:pt>
                <c:pt idx="22">
                  <c:v>2.5354799999999997</c:v>
                </c:pt>
                <c:pt idx="23">
                  <c:v>2.5357600000000002</c:v>
                </c:pt>
                <c:pt idx="24">
                  <c:v>2.5359400000000001</c:v>
                </c:pt>
                <c:pt idx="25">
                  <c:v>2.53565</c:v>
                </c:pt>
                <c:pt idx="26">
                  <c:v>2.5351499999999998</c:v>
                </c:pt>
                <c:pt idx="27">
                  <c:v>2.5333600000000001</c:v>
                </c:pt>
                <c:pt idx="28">
                  <c:v>2.5289899999999998</c:v>
                </c:pt>
                <c:pt idx="29">
                  <c:v>2.5212499999999998</c:v>
                </c:pt>
                <c:pt idx="30">
                  <c:v>2.5126999999999997</c:v>
                </c:pt>
                <c:pt idx="31">
                  <c:v>2.50427</c:v>
                </c:pt>
                <c:pt idx="32">
                  <c:v>2.4931900000000002</c:v>
                </c:pt>
                <c:pt idx="33">
                  <c:v>2.4812000000000003</c:v>
                </c:pt>
                <c:pt idx="34">
                  <c:v>2.47052</c:v>
                </c:pt>
                <c:pt idx="35">
                  <c:v>2.4577599999999999</c:v>
                </c:pt>
                <c:pt idx="36">
                  <c:v>2.44983</c:v>
                </c:pt>
                <c:pt idx="37">
                  <c:v>2.4452099999999999</c:v>
                </c:pt>
                <c:pt idx="38">
                  <c:v>2.4432899999999997</c:v>
                </c:pt>
                <c:pt idx="39">
                  <c:v>2.43953</c:v>
                </c:pt>
                <c:pt idx="40">
                  <c:v>2.4369700000000001</c:v>
                </c:pt>
                <c:pt idx="41">
                  <c:v>2.43546</c:v>
                </c:pt>
                <c:pt idx="42">
                  <c:v>2.43228</c:v>
                </c:pt>
                <c:pt idx="43">
                  <c:v>2.4281899999999998</c:v>
                </c:pt>
                <c:pt idx="44">
                  <c:v>2.4237600000000001</c:v>
                </c:pt>
                <c:pt idx="45">
                  <c:v>2.4184399999999999</c:v>
                </c:pt>
                <c:pt idx="46">
                  <c:v>2.4131399999999998</c:v>
                </c:pt>
                <c:pt idx="47">
                  <c:v>2.4073899999999999</c:v>
                </c:pt>
                <c:pt idx="48">
                  <c:v>2.4031700000000003</c:v>
                </c:pt>
                <c:pt idx="49">
                  <c:v>2.4022899999999998</c:v>
                </c:pt>
                <c:pt idx="50">
                  <c:v>2.40354</c:v>
                </c:pt>
                <c:pt idx="51">
                  <c:v>2.4018299999999999</c:v>
                </c:pt>
                <c:pt idx="52">
                  <c:v>2.4004700000000003</c:v>
                </c:pt>
                <c:pt idx="53">
                  <c:v>2.4005999999999998</c:v>
                </c:pt>
                <c:pt idx="54">
                  <c:v>2.4031799999999999</c:v>
                </c:pt>
                <c:pt idx="55">
                  <c:v>2.4049200000000002</c:v>
                </c:pt>
                <c:pt idx="56">
                  <c:v>2.4061599999999999</c:v>
                </c:pt>
                <c:pt idx="57">
                  <c:v>2.4106399999999999</c:v>
                </c:pt>
                <c:pt idx="58">
                  <c:v>2.4153199999999999</c:v>
                </c:pt>
                <c:pt idx="59">
                  <c:v>2.4177999999999997</c:v>
                </c:pt>
                <c:pt idx="60">
                  <c:v>2.4209100000000001</c:v>
                </c:pt>
                <c:pt idx="61">
                  <c:v>2.41934</c:v>
                </c:pt>
                <c:pt idx="62">
                  <c:v>2.4142999999999999</c:v>
                </c:pt>
                <c:pt idx="63">
                  <c:v>2.4092099999999999</c:v>
                </c:pt>
                <c:pt idx="64">
                  <c:v>2.40747</c:v>
                </c:pt>
                <c:pt idx="65">
                  <c:v>2.40923</c:v>
                </c:pt>
                <c:pt idx="66">
                  <c:v>2.4126700000000003</c:v>
                </c:pt>
                <c:pt idx="67">
                  <c:v>2.4193899999999999</c:v>
                </c:pt>
                <c:pt idx="68">
                  <c:v>2.4250600000000002</c:v>
                </c:pt>
                <c:pt idx="69">
                  <c:v>2.42821</c:v>
                </c:pt>
                <c:pt idx="70">
                  <c:v>2.43085</c:v>
                </c:pt>
                <c:pt idx="71">
                  <c:v>2.43743</c:v>
                </c:pt>
                <c:pt idx="72">
                  <c:v>2.4555899999999999</c:v>
                </c:pt>
                <c:pt idx="73">
                  <c:v>2.47336</c:v>
                </c:pt>
                <c:pt idx="74">
                  <c:v>2.4863900000000001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23.584900000000001</c:v>
                </c:pt>
                <c:pt idx="1">
                  <c:v>23.963100000000001</c:v>
                </c:pt>
                <c:pt idx="2">
                  <c:v>24.588799999999999</c:v>
                </c:pt>
                <c:pt idx="3">
                  <c:v>24.947800000000001</c:v>
                </c:pt>
                <c:pt idx="4">
                  <c:v>25.238599999999998</c:v>
                </c:pt>
                <c:pt idx="5">
                  <c:v>25.445099999999996</c:v>
                </c:pt>
                <c:pt idx="6">
                  <c:v>25.643999999999998</c:v>
                </c:pt>
                <c:pt idx="7">
                  <c:v>25.916899999999998</c:v>
                </c:pt>
                <c:pt idx="8">
                  <c:v>26.2193</c:v>
                </c:pt>
                <c:pt idx="9">
                  <c:v>26.405899999999999</c:v>
                </c:pt>
                <c:pt idx="10">
                  <c:v>26.550899999999999</c:v>
                </c:pt>
                <c:pt idx="11">
                  <c:v>26.7455</c:v>
                </c:pt>
                <c:pt idx="12">
                  <c:v>26.911300000000001</c:v>
                </c:pt>
                <c:pt idx="13">
                  <c:v>27.072600000000001</c:v>
                </c:pt>
                <c:pt idx="14">
                  <c:v>27.194600000000001</c:v>
                </c:pt>
                <c:pt idx="15">
                  <c:v>27.4343</c:v>
                </c:pt>
                <c:pt idx="16">
                  <c:v>27.741399999999999</c:v>
                </c:pt>
                <c:pt idx="17">
                  <c:v>28.033200000000001</c:v>
                </c:pt>
                <c:pt idx="18">
                  <c:v>28.217500000000001</c:v>
                </c:pt>
                <c:pt idx="19">
                  <c:v>28.235500000000002</c:v>
                </c:pt>
                <c:pt idx="20">
                  <c:v>28.1995</c:v>
                </c:pt>
                <c:pt idx="21">
                  <c:v>28.099499999999999</c:v>
                </c:pt>
                <c:pt idx="22">
                  <c:v>27.9465</c:v>
                </c:pt>
                <c:pt idx="23">
                  <c:v>27.682099999999998</c:v>
                </c:pt>
                <c:pt idx="24">
                  <c:v>27.380900000000004</c:v>
                </c:pt>
                <c:pt idx="25">
                  <c:v>27.046300000000002</c:v>
                </c:pt>
                <c:pt idx="26">
                  <c:v>26.675500000000003</c:v>
                </c:pt>
                <c:pt idx="27">
                  <c:v>26.258399999999998</c:v>
                </c:pt>
                <c:pt idx="28">
                  <c:v>25.806699999999999</c:v>
                </c:pt>
                <c:pt idx="29">
                  <c:v>25.375999999999998</c:v>
                </c:pt>
                <c:pt idx="30">
                  <c:v>24.892099999999999</c:v>
                </c:pt>
                <c:pt idx="31">
                  <c:v>24.403700000000001</c:v>
                </c:pt>
                <c:pt idx="32">
                  <c:v>23.925000000000001</c:v>
                </c:pt>
                <c:pt idx="33">
                  <c:v>23.372599999999998</c:v>
                </c:pt>
                <c:pt idx="34">
                  <c:v>22.782599999999999</c:v>
                </c:pt>
                <c:pt idx="35">
                  <c:v>22.366299999999999</c:v>
                </c:pt>
                <c:pt idx="36">
                  <c:v>21.913499999999999</c:v>
                </c:pt>
                <c:pt idx="37">
                  <c:v>21.5029</c:v>
                </c:pt>
                <c:pt idx="38">
                  <c:v>21.0884</c:v>
                </c:pt>
                <c:pt idx="39">
                  <c:v>20.811399999999999</c:v>
                </c:pt>
                <c:pt idx="40">
                  <c:v>20.516400000000001</c:v>
                </c:pt>
                <c:pt idx="41">
                  <c:v>20.241700000000002</c:v>
                </c:pt>
                <c:pt idx="42">
                  <c:v>19.985099999999999</c:v>
                </c:pt>
                <c:pt idx="43">
                  <c:v>19.871200000000002</c:v>
                </c:pt>
                <c:pt idx="44">
                  <c:v>19.933799999999998</c:v>
                </c:pt>
                <c:pt idx="45">
                  <c:v>20.063600000000001</c:v>
                </c:pt>
                <c:pt idx="46">
                  <c:v>20.188600000000001</c:v>
                </c:pt>
                <c:pt idx="47">
                  <c:v>20.402000000000001</c:v>
                </c:pt>
                <c:pt idx="48">
                  <c:v>20.732999999999997</c:v>
                </c:pt>
                <c:pt idx="49">
                  <c:v>21.0852</c:v>
                </c:pt>
                <c:pt idx="50">
                  <c:v>21.442700000000002</c:v>
                </c:pt>
                <c:pt idx="51">
                  <c:v>21.436299999999999</c:v>
                </c:pt>
                <c:pt idx="52">
                  <c:v>21.442700000000002</c:v>
                </c:pt>
                <c:pt idx="53">
                  <c:v>21.553000000000001</c:v>
                </c:pt>
                <c:pt idx="54">
                  <c:v>21.727</c:v>
                </c:pt>
                <c:pt idx="55">
                  <c:v>21.9999</c:v>
                </c:pt>
                <c:pt idx="56">
                  <c:v>22.3291</c:v>
                </c:pt>
                <c:pt idx="57">
                  <c:v>22.657800000000002</c:v>
                </c:pt>
                <c:pt idx="58">
                  <c:v>23.061899999999998</c:v>
                </c:pt>
                <c:pt idx="59">
                  <c:v>23.598800000000001</c:v>
                </c:pt>
                <c:pt idx="60">
                  <c:v>24.017800000000001</c:v>
                </c:pt>
                <c:pt idx="61">
                  <c:v>24.504999999999999</c:v>
                </c:pt>
                <c:pt idx="62">
                  <c:v>25.029600000000002</c:v>
                </c:pt>
                <c:pt idx="63">
                  <c:v>25.6371</c:v>
                </c:pt>
                <c:pt idx="64">
                  <c:v>26.101999999999997</c:v>
                </c:pt>
                <c:pt idx="65">
                  <c:v>26.448700000000002</c:v>
                </c:pt>
                <c:pt idx="66">
                  <c:v>26.702199999999998</c:v>
                </c:pt>
                <c:pt idx="67">
                  <c:v>27.062999999999999</c:v>
                </c:pt>
                <c:pt idx="68">
                  <c:v>27.338800000000003</c:v>
                </c:pt>
                <c:pt idx="69">
                  <c:v>27.407299999999999</c:v>
                </c:pt>
                <c:pt idx="70">
                  <c:v>27.578099999999999</c:v>
                </c:pt>
                <c:pt idx="71">
                  <c:v>27.886300000000002</c:v>
                </c:pt>
                <c:pt idx="72">
                  <c:v>28.095300000000002</c:v>
                </c:pt>
                <c:pt idx="73">
                  <c:v>28.313600000000001</c:v>
                </c:pt>
                <c:pt idx="74">
                  <c:v>28.507900000000003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2.2683400000000002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58.427700000000002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2.9053164864864862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30.969068918918914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2.4855559459459458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24.661333783783792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2.4855559459459458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24.661333783783792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521</v>
      </c>
      <c r="D5" s="151"/>
      <c r="E5" s="151"/>
      <c r="F5" s="152"/>
      <c r="G5" s="48" t="str">
        <f>lang!B27</f>
        <v>编号</v>
      </c>
      <c r="H5" s="150">
        <v>10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520</v>
      </c>
      <c r="D6" s="188"/>
      <c r="E6" s="188"/>
      <c r="F6" s="189"/>
      <c r="G6" s="49" t="str">
        <f>lang!B28</f>
        <v xml:space="preserve"> 日期</v>
      </c>
      <c r="H6" s="172">
        <f>FH_info!A2</f>
        <v>43628.404340277775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50</v>
      </c>
      <c r="D7" s="191"/>
      <c r="E7" s="191"/>
      <c r="F7" s="192"/>
      <c r="G7" s="50" t="str">
        <f>lang!B29</f>
        <v>误差率（%）</v>
      </c>
      <c r="H7" s="175">
        <f>M!B17*1</f>
        <v>20.248899999999999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38.963099999999997</v>
      </c>
      <c r="O8" s="59">
        <f>M!C5*1</f>
        <v>6.7627699999999997</v>
      </c>
      <c r="P8" s="59">
        <f>M!D5*1</f>
        <v>17.3569</v>
      </c>
      <c r="Q8" s="59">
        <f>M!E5*1</f>
        <v>20</v>
      </c>
      <c r="R8" s="59">
        <f>M!F5*1</f>
        <v>18.4329</v>
      </c>
      <c r="S8" s="59">
        <f>M!G5*1</f>
        <v>50</v>
      </c>
      <c r="T8" s="59">
        <f>M!H5*1</f>
        <v>46.669699999999999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29.771899999999999</v>
      </c>
      <c r="O9" s="59">
        <f>M!C6*1</f>
        <v>2.4554200000000002</v>
      </c>
      <c r="P9" s="59">
        <f>M!D6*1</f>
        <v>8.2474500000000006</v>
      </c>
      <c r="Q9" s="59">
        <f>M!E6*1</f>
        <v>20</v>
      </c>
      <c r="R9" s="59">
        <f>M!F6*1</f>
        <v>25.0808</v>
      </c>
      <c r="S9" s="59">
        <f>M!G6*1</f>
        <v>40</v>
      </c>
      <c r="T9" s="59">
        <f>M!H6*1</f>
        <v>35.573700000000002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18.4329</v>
      </c>
      <c r="D10" s="99">
        <f>N8</f>
        <v>38.963099999999997</v>
      </c>
      <c r="E10" s="100">
        <f>T8</f>
        <v>46.669699999999999</v>
      </c>
      <c r="F10" s="91">
        <f>P8</f>
        <v>17.3569</v>
      </c>
      <c r="G10" s="81" t="str">
        <f>CONCATENATE(M9,"
(20 ~ 40)")</f>
        <v>压力
(20 ~ 40)</v>
      </c>
      <c r="H10" s="98">
        <f>R9</f>
        <v>25.0808</v>
      </c>
      <c r="I10" s="108">
        <f>N9</f>
        <v>29.771899999999999</v>
      </c>
      <c r="J10" s="98">
        <f>T9</f>
        <v>35.573700000000002</v>
      </c>
      <c r="K10" s="92">
        <f>P9</f>
        <v>8.2474500000000006</v>
      </c>
      <c r="L10" s="6"/>
      <c r="M10" s="27" t="str">
        <f>lang!B16</f>
        <v>焦虑</v>
      </c>
      <c r="N10" s="59">
        <f>M!B7*1</f>
        <v>26.429300000000001</v>
      </c>
      <c r="O10" s="59">
        <f>M!C7*1</f>
        <v>5.1984500000000002</v>
      </c>
      <c r="P10" s="59">
        <f>M!D7*1</f>
        <v>19.6693</v>
      </c>
      <c r="Q10" s="59">
        <f>M!E7*1</f>
        <v>15</v>
      </c>
      <c r="R10" s="59">
        <f>M!F7*1</f>
        <v>8.5849700000000002</v>
      </c>
      <c r="S10" s="59">
        <f>M!G7*1</f>
        <v>40</v>
      </c>
      <c r="T10" s="59">
        <f>M!H7*1</f>
        <v>38.337400000000002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8.5849700000000002</v>
      </c>
      <c r="D11" s="102">
        <f>N10</f>
        <v>26.429300000000001</v>
      </c>
      <c r="E11" s="103">
        <f>T10</f>
        <v>38.337400000000002</v>
      </c>
      <c r="F11" s="94">
        <f>P10</f>
        <v>19.6693</v>
      </c>
      <c r="G11" s="52" t="str">
        <f>CONCATENATE(M11,"
(20 ~ 50)")</f>
        <v>可疑
(20 ~ 50)</v>
      </c>
      <c r="H11" s="101">
        <f>R11</f>
        <v>17.341799999999999</v>
      </c>
      <c r="I11" s="104">
        <f>N11</f>
        <v>32.151299999999999</v>
      </c>
      <c r="J11" s="101">
        <f>T11</f>
        <v>36.433799999999998</v>
      </c>
      <c r="K11" s="95">
        <f>P11</f>
        <v>11.1488</v>
      </c>
      <c r="L11" s="4"/>
      <c r="M11" s="27" t="str">
        <f>lang!B17</f>
        <v>可疑</v>
      </c>
      <c r="N11" s="59">
        <f>M!B8*1</f>
        <v>32.151299999999999</v>
      </c>
      <c r="O11" s="59">
        <f>M!C8*1</f>
        <v>3.5844999999999998</v>
      </c>
      <c r="P11" s="59">
        <f>M!D8*1</f>
        <v>11.1488</v>
      </c>
      <c r="Q11" s="59">
        <f>M!E8*1</f>
        <v>20</v>
      </c>
      <c r="R11" s="59">
        <f>M!F8*1</f>
        <v>17.341799999999999</v>
      </c>
      <c r="S11" s="59">
        <f>M!G8*1</f>
        <v>50</v>
      </c>
      <c r="T11" s="59">
        <f>M!H8*1</f>
        <v>36.433799999999998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14.1896</v>
      </c>
      <c r="D12" s="104">
        <f>N12</f>
        <v>39.851900000000001</v>
      </c>
      <c r="E12" s="101">
        <f>T12</f>
        <v>77.463300000000004</v>
      </c>
      <c r="F12" s="93">
        <f>P12</f>
        <v>42.224299999999999</v>
      </c>
      <c r="G12" s="52" t="str">
        <f>CONCATENATE(M13,"
(40 ~ 100)")</f>
        <v>自信
(40 ~ 100)</v>
      </c>
      <c r="H12" s="101">
        <f>R13</f>
        <v>52.886699999999998</v>
      </c>
      <c r="I12" s="104">
        <f>N13</f>
        <v>71.170599999999993</v>
      </c>
      <c r="J12" s="101">
        <f>T13</f>
        <v>81.397400000000005</v>
      </c>
      <c r="K12" s="95">
        <f>P13</f>
        <v>10.667</v>
      </c>
      <c r="L12" s="4"/>
      <c r="M12" s="27" t="str">
        <f>lang!B18</f>
        <v>平衡</v>
      </c>
      <c r="N12" s="59">
        <f>M!B9*1</f>
        <v>39.851900000000001</v>
      </c>
      <c r="O12" s="59">
        <f>M!C9*1</f>
        <v>16.827200000000001</v>
      </c>
      <c r="P12" s="59">
        <f>M!D9*1</f>
        <v>42.224299999999999</v>
      </c>
      <c r="Q12" s="59">
        <f>M!E9*1</f>
        <v>50</v>
      </c>
      <c r="R12" s="59">
        <f>M!F9*1</f>
        <v>14.1896</v>
      </c>
      <c r="S12" s="59">
        <f>M!G9*1</f>
        <v>100</v>
      </c>
      <c r="T12" s="59">
        <f>M!H9*1</f>
        <v>77.463300000000004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6.2273300000000003</v>
      </c>
      <c r="D13" s="102">
        <f>N14</f>
        <v>13.744400000000001</v>
      </c>
      <c r="E13" s="103">
        <f>T14</f>
        <v>17.9682</v>
      </c>
      <c r="F13" s="94">
        <f>P14</f>
        <v>22.912400000000002</v>
      </c>
      <c r="G13" s="52" t="str">
        <f>CONCATENATE(M15,"
(50 ~ 100)")</f>
        <v>自我调节
(50 ~ 100)</v>
      </c>
      <c r="H13" s="101">
        <f>R15</f>
        <v>38.758699999999997</v>
      </c>
      <c r="I13" s="104">
        <f>N15</f>
        <v>51.867899999999999</v>
      </c>
      <c r="J13" s="101">
        <f>T15</f>
        <v>79.161699999999996</v>
      </c>
      <c r="K13" s="95">
        <f>P15</f>
        <v>21.899899999999999</v>
      </c>
      <c r="L13" s="4"/>
      <c r="M13" s="27" t="str">
        <f>lang!B19</f>
        <v>自信</v>
      </c>
      <c r="N13" s="59">
        <f>M!B10*1</f>
        <v>71.170599999999993</v>
      </c>
      <c r="O13" s="59">
        <f>M!C10*1</f>
        <v>7.5917500000000002</v>
      </c>
      <c r="P13" s="59">
        <f>M!D10*1</f>
        <v>10.667</v>
      </c>
      <c r="Q13" s="59">
        <f>M!E10*1</f>
        <v>40</v>
      </c>
      <c r="R13" s="59">
        <f>M!F10*1</f>
        <v>52.886699999999998</v>
      </c>
      <c r="S13" s="59">
        <f>M!G10*1</f>
        <v>100</v>
      </c>
      <c r="T13" s="59">
        <f>M!H10*1</f>
        <v>81.397400000000005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13.6485</v>
      </c>
      <c r="D14" s="106">
        <f>N16</f>
        <v>20.431999999999999</v>
      </c>
      <c r="E14" s="107">
        <f>T16</f>
        <v>29.929500000000001</v>
      </c>
      <c r="F14" s="96">
        <f>P16</f>
        <v>14.992800000000001</v>
      </c>
      <c r="G14" s="112" t="str">
        <f>CONCATENATE(M17,"
(10 ~ 50)")</f>
        <v>神经质
(10 ~ 50)</v>
      </c>
      <c r="H14" s="105">
        <f>R17</f>
        <v>2.5353400000000001</v>
      </c>
      <c r="I14" s="106">
        <f>N17</f>
        <v>30.633400000000002</v>
      </c>
      <c r="J14" s="107">
        <f>T17</f>
        <v>41.4377</v>
      </c>
      <c r="K14" s="97">
        <f>P17</f>
        <v>33.3705</v>
      </c>
      <c r="M14" s="27" t="str">
        <f>lang!B20</f>
        <v>活力</v>
      </c>
      <c r="N14" s="59">
        <f>M!B11*1</f>
        <v>13.744400000000001</v>
      </c>
      <c r="O14" s="59">
        <f>M!C11*1</f>
        <v>3.1491600000000002</v>
      </c>
      <c r="P14" s="59">
        <f>M!D11*1</f>
        <v>22.912400000000002</v>
      </c>
      <c r="Q14" s="59">
        <f>M!E11*1</f>
        <v>10</v>
      </c>
      <c r="R14" s="59">
        <f>M!F11*1</f>
        <v>6.2273300000000003</v>
      </c>
      <c r="S14" s="59">
        <f>M!G11*1</f>
        <v>50</v>
      </c>
      <c r="T14" s="59">
        <f>M!H11*1</f>
        <v>17.9682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51.867899999999999</v>
      </c>
      <c r="O15" s="59">
        <f>M!C12*1</f>
        <v>11.359</v>
      </c>
      <c r="P15" s="59">
        <f>M!D12*1</f>
        <v>21.899899999999999</v>
      </c>
      <c r="Q15" s="59">
        <f>M!E12*1</f>
        <v>50</v>
      </c>
      <c r="R15" s="59">
        <f>M!F12*1</f>
        <v>38.758699999999997</v>
      </c>
      <c r="S15" s="59">
        <f>M!G12*1</f>
        <v>100</v>
      </c>
      <c r="T15" s="59">
        <f>M!H12*1</f>
        <v>79.161699999999996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20.431999999999999</v>
      </c>
      <c r="O16" s="59">
        <f>M!C13*1</f>
        <v>3.0633400000000002</v>
      </c>
      <c r="P16" s="59">
        <f>M!D13*1</f>
        <v>14.992800000000001</v>
      </c>
      <c r="Q16" s="59">
        <f>M!E13*1</f>
        <v>10</v>
      </c>
      <c r="R16" s="59">
        <f>M!F13*1</f>
        <v>13.6485</v>
      </c>
      <c r="S16" s="59">
        <f>M!G13*1</f>
        <v>25</v>
      </c>
      <c r="T16" s="59">
        <f>M!H13*1</f>
        <v>29.929500000000001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30.633400000000002</v>
      </c>
      <c r="O17" s="59">
        <f>M!C14*1</f>
        <v>10.2225</v>
      </c>
      <c r="P17" s="59">
        <f>M!D14*1</f>
        <v>33.3705</v>
      </c>
      <c r="Q17" s="59">
        <f>M!E14*1</f>
        <v>10</v>
      </c>
      <c r="R17" s="59">
        <f>M!F14*1</f>
        <v>2.5353400000000001</v>
      </c>
      <c r="S17" s="59">
        <f>M!G14*1</f>
        <v>50</v>
      </c>
      <c r="T17" s="59">
        <f>M!H14*1</f>
        <v>41.4377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44.158699999999996</v>
      </c>
      <c r="O18" s="22">
        <f>N18/(N18+N19+N20)</f>
        <v>0.43497408892605716</v>
      </c>
      <c r="P18" s="65">
        <f>SUM(P12:P15)/4</f>
        <v>24.425900000000002</v>
      </c>
      <c r="Q18" s="22">
        <f>P18/(P18+P19+P20)</f>
        <v>0.38948601898365431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31.828899999999997</v>
      </c>
      <c r="O19" s="22">
        <f>N19/(N18+N19+N20)</f>
        <v>0.31352251717144258</v>
      </c>
      <c r="P19" s="18">
        <f>SUM(P8:P11)/4</f>
        <v>14.105612500000001</v>
      </c>
      <c r="Q19" s="22">
        <f>P19/(P18+P19+P20)</f>
        <v>0.22492267871198487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25.532699999999998</v>
      </c>
      <c r="O20" s="22">
        <f>N20/(N18+N19+N20)</f>
        <v>0.25150339390250032</v>
      </c>
      <c r="P20" s="18">
        <f>(P16+P17)/2</f>
        <v>24.181650000000001</v>
      </c>
      <c r="Q20" s="22">
        <f>P20/(P18+P19+P20)</f>
        <v>0.38559130230436073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-2.110129729729715E-2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1.3242981050595175</v>
      </c>
      <c r="D25" s="44" t="str">
        <f>lang!B11</f>
        <v>频率方差</v>
      </c>
      <c r="E25" s="142">
        <f ca="1">FH!L3</f>
        <v>0.69993077365992595</v>
      </c>
      <c r="F25" s="143"/>
      <c r="G25" s="134" t="str">
        <f>lang!B12</f>
        <v>生理变化率</v>
      </c>
      <c r="H25" s="135"/>
      <c r="I25" s="62" t="str">
        <f ca="1">CONCATENATE(info!M7,"-",info!M8)</f>
        <v>19.9-58.4</v>
      </c>
      <c r="J25" s="42" t="str">
        <f>lang!B13</f>
        <v>千卡l/分钟</v>
      </c>
      <c r="K25" s="41" t="str">
        <f ca="1">CONCATENATE(info!M5,"-",info!M6)</f>
        <v>2.3-3.2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40.133299999999998</v>
      </c>
      <c r="F28" s="164"/>
      <c r="G28" s="178" t="str">
        <f>lang!B33</f>
        <v>稳定性</v>
      </c>
      <c r="H28" s="179"/>
      <c r="I28" s="180"/>
      <c r="J28" s="181">
        <f>M!B19*100</f>
        <v>66.913600000000002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43628.404340277775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-2.5671999999999997</v>
      </c>
      <c r="O7" s="59">
        <f t="shared" ref="O7:T7" si="2">AG7-X7</f>
        <v>-7.9580299999999999</v>
      </c>
      <c r="P7" s="59">
        <f t="shared" si="2"/>
        <v>-19.05818</v>
      </c>
      <c r="Q7" s="59">
        <f t="shared" si="2"/>
        <v>0</v>
      </c>
      <c r="R7" s="59">
        <f t="shared" si="2"/>
        <v>17.617099999999997</v>
      </c>
      <c r="S7" s="59">
        <f t="shared" si="2"/>
        <v>0</v>
      </c>
      <c r="T7" s="59">
        <f t="shared" si="2"/>
        <v>-3.7113999999999976</v>
      </c>
      <c r="U7" s="14"/>
      <c r="V7" s="27" t="str">
        <f>M7</f>
        <v>攻击性</v>
      </c>
      <c r="W7" s="59">
        <f>'M1'!B5*1</f>
        <v>41.2913</v>
      </c>
      <c r="X7" s="59">
        <f>'M1'!C5*1</f>
        <v>9.2956500000000002</v>
      </c>
      <c r="Y7" s="59">
        <f>'M1'!D5*1</f>
        <v>22.5124</v>
      </c>
      <c r="Z7" s="59">
        <f>'M1'!E5*1</f>
        <v>20</v>
      </c>
      <c r="AA7" s="59">
        <f>'M1'!F5*1</f>
        <v>18.4329</v>
      </c>
      <c r="AB7" s="59">
        <f>'M1'!G5*1</f>
        <v>50</v>
      </c>
      <c r="AC7" s="59">
        <f>'M1'!H5*1</f>
        <v>46.669699999999999</v>
      </c>
      <c r="AE7" s="27" t="str">
        <f>V7</f>
        <v>攻击性</v>
      </c>
      <c r="AF7" s="59">
        <f>'M2'!B5*1</f>
        <v>38.7241</v>
      </c>
      <c r="AG7" s="59">
        <f>'M2'!C5*1</f>
        <v>1.33762</v>
      </c>
      <c r="AH7" s="59">
        <f>'M2'!D5*1</f>
        <v>3.4542199999999998</v>
      </c>
      <c r="AI7" s="59">
        <f>'M2'!E5*1</f>
        <v>20</v>
      </c>
      <c r="AJ7" s="59">
        <f>'M2'!F5*1</f>
        <v>36.049999999999997</v>
      </c>
      <c r="AK7" s="59">
        <f>'M2'!G5*1</f>
        <v>50</v>
      </c>
      <c r="AL7" s="59">
        <f>'M2'!H5*1</f>
        <v>42.958300000000001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3.1638000000000019</v>
      </c>
      <c r="O8" s="59">
        <f t="shared" ref="O8:O16" si="5">AG8-X8</f>
        <v>1.7416800000000001</v>
      </c>
      <c r="P8" s="59">
        <f t="shared" ref="P8:P16" si="6">AH8-Y8</f>
        <v>4.9874100000000006</v>
      </c>
      <c r="Q8" s="59">
        <f t="shared" ref="Q8:Q16" si="7">AI8-Z8</f>
        <v>0</v>
      </c>
      <c r="R8" s="59">
        <f t="shared" ref="R8:R16" si="8">AJ8-AA8</f>
        <v>0.50169999999999959</v>
      </c>
      <c r="S8" s="59">
        <f t="shared" ref="S8:S16" si="9">AK8-AB8</f>
        <v>0</v>
      </c>
      <c r="T8" s="59">
        <f t="shared" ref="T8:T16" si="10">AL8-AC8</f>
        <v>4.9674000000000014</v>
      </c>
      <c r="U8" s="15"/>
      <c r="V8" s="27" t="str">
        <f t="shared" ref="V8:V16" si="11">M8</f>
        <v>压力</v>
      </c>
      <c r="W8" s="59">
        <f>'M1'!B6*1</f>
        <v>29.302900000000001</v>
      </c>
      <c r="X8" s="59">
        <f>'M1'!C6*1</f>
        <v>1.1339600000000001</v>
      </c>
      <c r="Y8" s="59">
        <f>'M1'!D6*1</f>
        <v>3.8697900000000001</v>
      </c>
      <c r="Z8" s="59">
        <f>'M1'!E6*1</f>
        <v>20</v>
      </c>
      <c r="AA8" s="59">
        <f>'M1'!F6*1</f>
        <v>25.0808</v>
      </c>
      <c r="AB8" s="59">
        <f>'M1'!G6*1</f>
        <v>40</v>
      </c>
      <c r="AC8" s="59">
        <f>'M1'!H6*1</f>
        <v>30.606300000000001</v>
      </c>
      <c r="AE8" s="27" t="str">
        <f t="shared" ref="AE8:AE16" si="12">V8</f>
        <v>压力</v>
      </c>
      <c r="AF8" s="59">
        <f>'M2'!B6*1</f>
        <v>32.466700000000003</v>
      </c>
      <c r="AG8" s="59">
        <f>'M2'!C6*1</f>
        <v>2.8756400000000002</v>
      </c>
      <c r="AH8" s="59">
        <f>'M2'!D6*1</f>
        <v>8.8572000000000006</v>
      </c>
      <c r="AI8" s="59">
        <f>'M2'!E6*1</f>
        <v>20</v>
      </c>
      <c r="AJ8" s="59">
        <f>'M2'!F6*1</f>
        <v>25.5825</v>
      </c>
      <c r="AK8" s="59">
        <f>'M2'!G6*1</f>
        <v>40</v>
      </c>
      <c r="AL8" s="59">
        <f>'M2'!H6*1</f>
        <v>35.573700000000002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17.617099999999997</v>
      </c>
      <c r="D9" s="78">
        <f>N7</f>
        <v>-2.5671999999999997</v>
      </c>
      <c r="E9" s="79">
        <f>T7</f>
        <v>-3.7113999999999976</v>
      </c>
      <c r="F9" s="79">
        <f>P7</f>
        <v>-19.05818</v>
      </c>
      <c r="G9" s="80" t="str">
        <f>CONCATENATE(M8,"
(20 ~ 40)")</f>
        <v>压力
(20 ~ 40)</v>
      </c>
      <c r="H9" s="77">
        <f>R8</f>
        <v>0.50169999999999959</v>
      </c>
      <c r="I9" s="81">
        <f>N8</f>
        <v>3.1638000000000019</v>
      </c>
      <c r="J9" s="77">
        <f>T8</f>
        <v>4.9674000000000014</v>
      </c>
      <c r="K9" s="82">
        <f>P8</f>
        <v>4.9874100000000006</v>
      </c>
      <c r="L9" s="6"/>
      <c r="M9" s="27" t="str">
        <f>lang!B16</f>
        <v>焦虑</v>
      </c>
      <c r="N9" s="59">
        <f t="shared" si="4"/>
        <v>-0.48409999999999798</v>
      </c>
      <c r="O9" s="59">
        <f t="shared" si="5"/>
        <v>-1.7832499999999998</v>
      </c>
      <c r="P9" s="59">
        <f t="shared" si="6"/>
        <v>-6.4171999999999976</v>
      </c>
      <c r="Q9" s="59">
        <f t="shared" si="7"/>
        <v>0</v>
      </c>
      <c r="R9" s="59">
        <f t="shared" si="8"/>
        <v>9.3548300000000015</v>
      </c>
      <c r="S9" s="59">
        <f t="shared" si="9"/>
        <v>0</v>
      </c>
      <c r="T9" s="59">
        <f t="shared" si="10"/>
        <v>-1.3411000000000044</v>
      </c>
      <c r="U9" s="14"/>
      <c r="V9" s="27" t="str">
        <f t="shared" si="11"/>
        <v>焦虑</v>
      </c>
      <c r="W9" s="59">
        <f>'M1'!B7*1</f>
        <v>26.573799999999999</v>
      </c>
      <c r="X9" s="59">
        <f>'M1'!C7*1</f>
        <v>5.98447</v>
      </c>
      <c r="Y9" s="59">
        <f>'M1'!D7*1</f>
        <v>22.520199999999999</v>
      </c>
      <c r="Z9" s="59">
        <f>'M1'!E7*1</f>
        <v>15</v>
      </c>
      <c r="AA9" s="59">
        <f>'M1'!F7*1</f>
        <v>8.5849700000000002</v>
      </c>
      <c r="AB9" s="59">
        <f>'M1'!G7*1</f>
        <v>40</v>
      </c>
      <c r="AC9" s="59">
        <f>'M1'!H7*1</f>
        <v>38.337400000000002</v>
      </c>
      <c r="AE9" s="27" t="str">
        <f t="shared" si="12"/>
        <v>焦虑</v>
      </c>
      <c r="AF9" s="59">
        <f>'M2'!B7*1</f>
        <v>26.089700000000001</v>
      </c>
      <c r="AG9" s="59">
        <f>'M2'!C7*1</f>
        <v>4.2012200000000002</v>
      </c>
      <c r="AH9" s="59">
        <f>'M2'!D7*1</f>
        <v>16.103000000000002</v>
      </c>
      <c r="AI9" s="59">
        <f>'M2'!E7*1</f>
        <v>15</v>
      </c>
      <c r="AJ9" s="59">
        <f>'M2'!F7*1</f>
        <v>17.939800000000002</v>
      </c>
      <c r="AK9" s="59">
        <f>'M2'!G7*1</f>
        <v>40</v>
      </c>
      <c r="AL9" s="59">
        <f>'M2'!H7*1</f>
        <v>36.996299999999998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9.3548300000000015</v>
      </c>
      <c r="D10" s="51">
        <f>N9</f>
        <v>-0.48409999999999798</v>
      </c>
      <c r="E10" s="53">
        <f>T9</f>
        <v>-1.3411000000000044</v>
      </c>
      <c r="F10" s="53">
        <f>P9</f>
        <v>-6.4171999999999976</v>
      </c>
      <c r="G10" s="73" t="str">
        <f>CONCATENATE(M10,"
(20 ~ 50)")</f>
        <v>可疑
(20 ~ 50)</v>
      </c>
      <c r="H10" s="24">
        <f>R10</f>
        <v>12.338100000000001</v>
      </c>
      <c r="I10" s="52">
        <f>N10</f>
        <v>0.30199999999999605</v>
      </c>
      <c r="J10" s="24">
        <f>T10</f>
        <v>-1.1345999999999989</v>
      </c>
      <c r="K10" s="25">
        <f>P10</f>
        <v>-9.9245200000000011</v>
      </c>
      <c r="L10" s="4"/>
      <c r="M10" s="27" t="str">
        <f>lang!B17</f>
        <v>可疑</v>
      </c>
      <c r="N10" s="59">
        <f t="shared" si="4"/>
        <v>0.30199999999999605</v>
      </c>
      <c r="O10" s="59">
        <f t="shared" si="5"/>
        <v>-3.1528900000000002</v>
      </c>
      <c r="P10" s="59">
        <f t="shared" si="6"/>
        <v>-9.9245200000000011</v>
      </c>
      <c r="Q10" s="59">
        <f t="shared" si="7"/>
        <v>0</v>
      </c>
      <c r="R10" s="59">
        <f t="shared" si="8"/>
        <v>12.338100000000001</v>
      </c>
      <c r="S10" s="59">
        <f t="shared" si="9"/>
        <v>0</v>
      </c>
      <c r="T10" s="59">
        <f t="shared" si="10"/>
        <v>-1.1345999999999989</v>
      </c>
      <c r="U10" s="14"/>
      <c r="V10" s="27" t="str">
        <f t="shared" si="11"/>
        <v>可疑</v>
      </c>
      <c r="W10" s="59">
        <f>'M1'!B8*1</f>
        <v>31.904900000000001</v>
      </c>
      <c r="X10" s="59">
        <f>'M1'!C8*1</f>
        <v>4.5936000000000003</v>
      </c>
      <c r="Y10" s="59">
        <f>'M1'!D8*1</f>
        <v>14.3978</v>
      </c>
      <c r="Z10" s="59">
        <f>'M1'!E8*1</f>
        <v>20</v>
      </c>
      <c r="AA10" s="59">
        <f>'M1'!F8*1</f>
        <v>17.341799999999999</v>
      </c>
      <c r="AB10" s="59">
        <f>'M1'!G8*1</f>
        <v>50</v>
      </c>
      <c r="AC10" s="59">
        <f>'M1'!H8*1</f>
        <v>36.433799999999998</v>
      </c>
      <c r="AE10" s="27" t="str">
        <f t="shared" si="12"/>
        <v>可疑</v>
      </c>
      <c r="AF10" s="59">
        <f>'M2'!B8*1</f>
        <v>32.206899999999997</v>
      </c>
      <c r="AG10" s="59">
        <f>'M2'!C8*1</f>
        <v>1.4407099999999999</v>
      </c>
      <c r="AH10" s="59">
        <f>'M2'!D8*1</f>
        <v>4.4732799999999999</v>
      </c>
      <c r="AI10" s="59">
        <f>'M2'!E8*1</f>
        <v>20</v>
      </c>
      <c r="AJ10" s="59">
        <f>'M2'!F8*1</f>
        <v>29.6799</v>
      </c>
      <c r="AK10" s="59">
        <f>'M2'!G8*1</f>
        <v>50</v>
      </c>
      <c r="AL10" s="59">
        <f>'M2'!H8*1</f>
        <v>35.299199999999999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-8.5485999999999986</v>
      </c>
      <c r="D11" s="52">
        <f>N11</f>
        <v>-28.912599999999998</v>
      </c>
      <c r="E11" s="24">
        <f>T11</f>
        <v>-33.137500000000003</v>
      </c>
      <c r="F11" s="24">
        <f>P11</f>
        <v>2.8765999999999998</v>
      </c>
      <c r="G11" s="73" t="str">
        <f>CONCATENATE(M12,"
(40 ~ 100)")</f>
        <v>自信
(40 ~ 100)</v>
      </c>
      <c r="H11" s="24">
        <f>R12</f>
        <v>-11.209300000000006</v>
      </c>
      <c r="I11" s="52">
        <f>N12</f>
        <v>-14.244499999999995</v>
      </c>
      <c r="J11" s="24">
        <f>T12</f>
        <v>-6.2112000000000052</v>
      </c>
      <c r="K11" s="25">
        <f>P12</f>
        <v>3.9195900000000004</v>
      </c>
      <c r="L11" s="4"/>
      <c r="M11" s="27" t="str">
        <f>lang!B18</f>
        <v>平衡</v>
      </c>
      <c r="N11" s="59">
        <f t="shared" si="4"/>
        <v>-28.912599999999998</v>
      </c>
      <c r="O11" s="59">
        <f t="shared" si="5"/>
        <v>-5.55464</v>
      </c>
      <c r="P11" s="59">
        <f t="shared" si="6"/>
        <v>2.8765999999999998</v>
      </c>
      <c r="Q11" s="59">
        <f t="shared" si="7"/>
        <v>0</v>
      </c>
      <c r="R11" s="59">
        <f t="shared" si="8"/>
        <v>-8.5485999999999986</v>
      </c>
      <c r="S11" s="59">
        <f t="shared" si="9"/>
        <v>0</v>
      </c>
      <c r="T11" s="59">
        <f t="shared" si="10"/>
        <v>-33.137500000000003</v>
      </c>
      <c r="U11" s="14"/>
      <c r="V11" s="27" t="str">
        <f t="shared" si="11"/>
        <v>平衡</v>
      </c>
      <c r="W11" s="59">
        <f>'M1'!B9*1</f>
        <v>58.521999999999998</v>
      </c>
      <c r="X11" s="59">
        <f>'M1'!C9*1</f>
        <v>12.9671</v>
      </c>
      <c r="Y11" s="59">
        <f>'M1'!D9*1</f>
        <v>22.157599999999999</v>
      </c>
      <c r="Z11" s="59">
        <f>'M1'!E9*1</f>
        <v>50</v>
      </c>
      <c r="AA11" s="59">
        <f>'M1'!F9*1</f>
        <v>22.738199999999999</v>
      </c>
      <c r="AB11" s="59">
        <f>'M1'!G9*1</f>
        <v>100</v>
      </c>
      <c r="AC11" s="59">
        <f>'M1'!H9*1</f>
        <v>77.463300000000004</v>
      </c>
      <c r="AE11" s="27" t="str">
        <f t="shared" si="12"/>
        <v>平衡</v>
      </c>
      <c r="AF11" s="59">
        <f>'M2'!B9*1</f>
        <v>29.609400000000001</v>
      </c>
      <c r="AG11" s="59">
        <f>'M2'!C9*1</f>
        <v>7.4124600000000003</v>
      </c>
      <c r="AH11" s="59">
        <f>'M2'!D9*1</f>
        <v>25.034199999999998</v>
      </c>
      <c r="AI11" s="59">
        <f>'M2'!E9*1</f>
        <v>50</v>
      </c>
      <c r="AJ11" s="59">
        <f>'M2'!F9*1</f>
        <v>14.1896</v>
      </c>
      <c r="AK11" s="59">
        <f>'M2'!G9*1</f>
        <v>100</v>
      </c>
      <c r="AL11" s="59">
        <f>'M2'!H9*1</f>
        <v>44.325800000000001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-7.1849699999999999</v>
      </c>
      <c r="D12" s="51">
        <f>N13</f>
        <v>-5.3498999999999999</v>
      </c>
      <c r="E12" s="53">
        <f>T13</f>
        <v>-3.8061999999999987</v>
      </c>
      <c r="F12" s="53">
        <f>P13</f>
        <v>10.397620000000002</v>
      </c>
      <c r="G12" s="73" t="str">
        <f>CONCATENATE(M14,"
(50 ~ 100)")</f>
        <v>自我调节
(50 ~ 100)</v>
      </c>
      <c r="H12" s="24">
        <f>R14</f>
        <v>-9.9459000000000017</v>
      </c>
      <c r="I12" s="52">
        <f>N14</f>
        <v>-19.919300000000007</v>
      </c>
      <c r="J12" s="24">
        <f>T14</f>
        <v>-25.617399999999996</v>
      </c>
      <c r="K12" s="25">
        <f>P14</f>
        <v>-4.126240000000001</v>
      </c>
      <c r="L12" s="4"/>
      <c r="M12" s="27" t="str">
        <f>lang!B19</f>
        <v>自信</v>
      </c>
      <c r="N12" s="59">
        <f t="shared" si="4"/>
        <v>-14.244499999999995</v>
      </c>
      <c r="O12" s="59">
        <f t="shared" si="5"/>
        <v>1.8434200000000005</v>
      </c>
      <c r="P12" s="59">
        <f t="shared" si="6"/>
        <v>3.9195900000000004</v>
      </c>
      <c r="Q12" s="59">
        <f t="shared" si="7"/>
        <v>0</v>
      </c>
      <c r="R12" s="59">
        <f t="shared" si="8"/>
        <v>-11.209300000000006</v>
      </c>
      <c r="S12" s="59">
        <f t="shared" si="9"/>
        <v>0</v>
      </c>
      <c r="T12" s="59">
        <f t="shared" si="10"/>
        <v>-6.2112000000000052</v>
      </c>
      <c r="U12" s="15"/>
      <c r="V12" s="27" t="str">
        <f t="shared" si="11"/>
        <v>自信</v>
      </c>
      <c r="W12" s="59">
        <f>'M1'!B10*1</f>
        <v>76.688699999999997</v>
      </c>
      <c r="X12" s="59">
        <f>'M1'!C10*1</f>
        <v>3.2525499999999998</v>
      </c>
      <c r="Y12" s="59">
        <f>'M1'!D10*1</f>
        <v>4.2412400000000003</v>
      </c>
      <c r="Z12" s="59">
        <f>'M1'!E10*1</f>
        <v>40</v>
      </c>
      <c r="AA12" s="59">
        <f>'M1'!F10*1</f>
        <v>64.096000000000004</v>
      </c>
      <c r="AB12" s="59">
        <f>'M1'!G10*1</f>
        <v>100</v>
      </c>
      <c r="AC12" s="59">
        <f>'M1'!H10*1</f>
        <v>81.397400000000005</v>
      </c>
      <c r="AE12" s="27" t="str">
        <f t="shared" si="12"/>
        <v>自信</v>
      </c>
      <c r="AF12" s="59">
        <f>'M2'!B10*1</f>
        <v>62.444200000000002</v>
      </c>
      <c r="AG12" s="59">
        <f>'M2'!C10*1</f>
        <v>5.0959700000000003</v>
      </c>
      <c r="AH12" s="59">
        <f>'M2'!D10*1</f>
        <v>8.1608300000000007</v>
      </c>
      <c r="AI12" s="59">
        <f>'M2'!E10*1</f>
        <v>40</v>
      </c>
      <c r="AJ12" s="59">
        <f>'M2'!F10*1</f>
        <v>52.886699999999998</v>
      </c>
      <c r="AK12" s="59">
        <f>'M2'!G10*1</f>
        <v>100</v>
      </c>
      <c r="AL12" s="59">
        <f>'M2'!H10*1</f>
        <v>75.186199999999999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2.3980000000000015</v>
      </c>
      <c r="D13" s="55">
        <f>N15</f>
        <v>0.15220000000000056</v>
      </c>
      <c r="E13" s="56">
        <f>T15</f>
        <v>3.5822000000000003</v>
      </c>
      <c r="F13" s="56">
        <f>P15</f>
        <v>2.2939000000000007</v>
      </c>
      <c r="G13" s="74" t="str">
        <f>CONCATENATE(M16,"
(10 ~ 50)")</f>
        <v>神经质
(10 ~ 50)</v>
      </c>
      <c r="H13" s="54">
        <f>R16</f>
        <v>-0.38868999999999998</v>
      </c>
      <c r="I13" s="55">
        <f>N16</f>
        <v>4.9100999999999999</v>
      </c>
      <c r="J13" s="56">
        <f>T16</f>
        <v>-7.9485000000000028</v>
      </c>
      <c r="K13" s="57">
        <f>P16</f>
        <v>-12.029100000000003</v>
      </c>
      <c r="M13" s="27" t="str">
        <f>lang!B20</f>
        <v>活力</v>
      </c>
      <c r="N13" s="59">
        <f t="shared" si="4"/>
        <v>-5.3498999999999999</v>
      </c>
      <c r="O13" s="59">
        <f t="shared" si="5"/>
        <v>0.72439999999999993</v>
      </c>
      <c r="P13" s="59">
        <f t="shared" si="6"/>
        <v>10.397620000000002</v>
      </c>
      <c r="Q13" s="59">
        <f t="shared" si="7"/>
        <v>0</v>
      </c>
      <c r="R13" s="59">
        <f t="shared" si="8"/>
        <v>-7.1849699999999999</v>
      </c>
      <c r="S13" s="59">
        <f t="shared" si="9"/>
        <v>0</v>
      </c>
      <c r="T13" s="59">
        <f t="shared" si="10"/>
        <v>-3.8061999999999987</v>
      </c>
      <c r="U13" s="14"/>
      <c r="V13" s="27" t="str">
        <f t="shared" si="11"/>
        <v>活力</v>
      </c>
      <c r="W13" s="59">
        <f>'M1'!B11*1</f>
        <v>15.8392</v>
      </c>
      <c r="X13" s="59">
        <f>'M1'!C11*1</f>
        <v>1.0843</v>
      </c>
      <c r="Y13" s="59">
        <f>'M1'!D11*1</f>
        <v>6.8456799999999998</v>
      </c>
      <c r="Z13" s="59">
        <f>'M1'!E11*1</f>
        <v>10</v>
      </c>
      <c r="AA13" s="59">
        <f>'M1'!F11*1</f>
        <v>13.4123</v>
      </c>
      <c r="AB13" s="59">
        <f>'M1'!G11*1</f>
        <v>50</v>
      </c>
      <c r="AC13" s="59">
        <f>'M1'!H11*1</f>
        <v>17.9682</v>
      </c>
      <c r="AE13" s="27" t="str">
        <f t="shared" si="12"/>
        <v>活力</v>
      </c>
      <c r="AF13" s="59">
        <f>'M2'!B11*1</f>
        <v>10.4893</v>
      </c>
      <c r="AG13" s="59">
        <f>'M2'!C11*1</f>
        <v>1.8087</v>
      </c>
      <c r="AH13" s="59">
        <f>'M2'!D11*1</f>
        <v>17.243300000000001</v>
      </c>
      <c r="AI13" s="59">
        <f>'M2'!E11*1</f>
        <v>10</v>
      </c>
      <c r="AJ13" s="59">
        <f>'M2'!F11*1</f>
        <v>6.2273300000000003</v>
      </c>
      <c r="AK13" s="59">
        <f>'M2'!G11*1</f>
        <v>50</v>
      </c>
      <c r="AL13" s="59">
        <f>'M2'!H11*1</f>
        <v>14.162000000000001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-19.919300000000007</v>
      </c>
      <c r="O14" s="59">
        <f t="shared" si="5"/>
        <v>-4.2207299999999996</v>
      </c>
      <c r="P14" s="59">
        <f t="shared" si="6"/>
        <v>-4.126240000000001</v>
      </c>
      <c r="Q14" s="59">
        <f t="shared" si="7"/>
        <v>0</v>
      </c>
      <c r="R14" s="59">
        <f t="shared" si="8"/>
        <v>-9.9459000000000017</v>
      </c>
      <c r="S14" s="59">
        <f t="shared" si="9"/>
        <v>0</v>
      </c>
      <c r="T14" s="59">
        <f t="shared" si="10"/>
        <v>-25.617399999999996</v>
      </c>
      <c r="U14" s="14"/>
      <c r="V14" s="27" t="str">
        <f t="shared" si="11"/>
        <v>自我调节</v>
      </c>
      <c r="W14" s="59">
        <f>'M1'!B12*1</f>
        <v>67.449600000000004</v>
      </c>
      <c r="X14" s="59">
        <f>'M1'!C12*1</f>
        <v>7.6510699999999998</v>
      </c>
      <c r="Y14" s="59">
        <f>'M1'!D12*1</f>
        <v>11.343400000000001</v>
      </c>
      <c r="Z14" s="59">
        <f>'M1'!E12*1</f>
        <v>50</v>
      </c>
      <c r="AA14" s="59">
        <f>'M1'!F12*1</f>
        <v>48.704599999999999</v>
      </c>
      <c r="AB14" s="59">
        <f>'M1'!G12*1</f>
        <v>100</v>
      </c>
      <c r="AC14" s="59">
        <f>'M1'!H12*1</f>
        <v>79.161699999999996</v>
      </c>
      <c r="AE14" s="27" t="str">
        <f t="shared" si="12"/>
        <v>自我调节</v>
      </c>
      <c r="AF14" s="59">
        <f>'M2'!B12*1</f>
        <v>47.530299999999997</v>
      </c>
      <c r="AG14" s="59">
        <f>'M2'!C12*1</f>
        <v>3.4303400000000002</v>
      </c>
      <c r="AH14" s="59">
        <f>'M2'!D12*1</f>
        <v>7.2171599999999998</v>
      </c>
      <c r="AI14" s="59">
        <f>'M2'!E12*1</f>
        <v>50</v>
      </c>
      <c r="AJ14" s="59">
        <f>'M2'!F12*1</f>
        <v>38.758699999999997</v>
      </c>
      <c r="AK14" s="59">
        <f>'M2'!G12*1</f>
        <v>100</v>
      </c>
      <c r="AL14" s="59">
        <f>'M2'!H12*1</f>
        <v>53.5443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0.15220000000000056</v>
      </c>
      <c r="O15" s="59">
        <f t="shared" si="5"/>
        <v>0.49101000000000017</v>
      </c>
      <c r="P15" s="59">
        <f t="shared" si="6"/>
        <v>2.2939000000000007</v>
      </c>
      <c r="Q15" s="59">
        <f t="shared" si="7"/>
        <v>0</v>
      </c>
      <c r="R15" s="59">
        <f t="shared" si="8"/>
        <v>2.3980000000000015</v>
      </c>
      <c r="S15" s="59">
        <f t="shared" si="9"/>
        <v>0</v>
      </c>
      <c r="T15" s="59">
        <f t="shared" si="10"/>
        <v>3.5822000000000003</v>
      </c>
      <c r="U15" s="14"/>
      <c r="V15" s="27" t="str">
        <f t="shared" si="11"/>
        <v>抑郁</v>
      </c>
      <c r="W15" s="59">
        <f>'M1'!B13*1</f>
        <v>20.3504</v>
      </c>
      <c r="X15" s="59">
        <f>'M1'!C13*1</f>
        <v>2.7679999999999998</v>
      </c>
      <c r="Y15" s="59">
        <f>'M1'!D13*1</f>
        <v>13.601699999999999</v>
      </c>
      <c r="Z15" s="59">
        <f>'M1'!E13*1</f>
        <v>10</v>
      </c>
      <c r="AA15" s="59">
        <f>'M1'!F13*1</f>
        <v>13.6485</v>
      </c>
      <c r="AB15" s="59">
        <f>'M1'!G13*1</f>
        <v>25</v>
      </c>
      <c r="AC15" s="59">
        <f>'M1'!H13*1</f>
        <v>26.347300000000001</v>
      </c>
      <c r="AE15" s="27" t="str">
        <f t="shared" si="12"/>
        <v>抑郁</v>
      </c>
      <c r="AF15" s="59">
        <f>'M2'!B13*1</f>
        <v>20.502600000000001</v>
      </c>
      <c r="AG15" s="59">
        <f>'M2'!C13*1</f>
        <v>3.25901</v>
      </c>
      <c r="AH15" s="59">
        <f>'M2'!D13*1</f>
        <v>15.8956</v>
      </c>
      <c r="AI15" s="59">
        <f>'M2'!E13*1</f>
        <v>10</v>
      </c>
      <c r="AJ15" s="59">
        <f>'M2'!F13*1</f>
        <v>16.046500000000002</v>
      </c>
      <c r="AK15" s="59">
        <f>'M2'!G13*1</f>
        <v>25</v>
      </c>
      <c r="AL15" s="59">
        <f>'M2'!H13*1</f>
        <v>29.929500000000001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4.9100999999999999</v>
      </c>
      <c r="O16" s="59">
        <f t="shared" si="5"/>
        <v>-1.9448500000000006</v>
      </c>
      <c r="P16" s="59">
        <f t="shared" si="6"/>
        <v>-12.029100000000003</v>
      </c>
      <c r="Q16" s="59">
        <f t="shared" si="7"/>
        <v>0</v>
      </c>
      <c r="R16" s="59">
        <f t="shared" si="8"/>
        <v>-0.38868999999999998</v>
      </c>
      <c r="S16" s="59">
        <f t="shared" si="9"/>
        <v>0</v>
      </c>
      <c r="T16" s="59">
        <f t="shared" si="10"/>
        <v>-7.9485000000000028</v>
      </c>
      <c r="U16" s="15"/>
      <c r="V16" s="27" t="str">
        <f t="shared" si="11"/>
        <v>神经质</v>
      </c>
      <c r="W16" s="59">
        <f>'M1'!B14*1</f>
        <v>27.68</v>
      </c>
      <c r="X16" s="59">
        <f>'M1'!C14*1</f>
        <v>11.1363</v>
      </c>
      <c r="Y16" s="59">
        <f>'M1'!D14*1</f>
        <v>40.232300000000002</v>
      </c>
      <c r="Z16" s="59">
        <f>'M1'!E14*1</f>
        <v>10</v>
      </c>
      <c r="AA16" s="59">
        <f>'M1'!F14*1</f>
        <v>2.9240300000000001</v>
      </c>
      <c r="AB16" s="59">
        <f>'M1'!G14*1</f>
        <v>50</v>
      </c>
      <c r="AC16" s="59">
        <f>'M1'!H14*1</f>
        <v>41.4377</v>
      </c>
      <c r="AE16" s="27" t="str">
        <f t="shared" si="12"/>
        <v>神经质</v>
      </c>
      <c r="AF16" s="59">
        <f>'M2'!B14*1</f>
        <v>32.5901</v>
      </c>
      <c r="AG16" s="59">
        <f>'M2'!C14*1</f>
        <v>9.1914499999999997</v>
      </c>
      <c r="AH16" s="59">
        <f>'M2'!D14*1</f>
        <v>28.203199999999999</v>
      </c>
      <c r="AI16" s="59">
        <f>'M2'!E14*1</f>
        <v>10</v>
      </c>
      <c r="AJ16" s="59">
        <f>'M2'!F14*1</f>
        <v>2.5353400000000001</v>
      </c>
      <c r="AK16" s="59">
        <f>'M2'!G14*1</f>
        <v>50</v>
      </c>
      <c r="AL16" s="59">
        <f>'M2'!H14*1</f>
        <v>33.489199999999997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-17.106574999999999</v>
      </c>
      <c r="O17" s="22">
        <f>N17/(N17+N18+N19)</f>
        <v>1.1820627012534723</v>
      </c>
      <c r="P17" s="65">
        <f>SUM(P11:P14)/4</f>
        <v>3.2668925000000004</v>
      </c>
      <c r="Q17" s="22">
        <f>P17/(P17+P18+P19)</f>
        <v>-0.35494924395604877</v>
      </c>
      <c r="R17" s="14"/>
      <c r="S17" s="14"/>
      <c r="T17" s="14"/>
      <c r="U17" s="14"/>
      <c r="V17" s="21" t="str">
        <f>M17</f>
        <v>Positive</v>
      </c>
      <c r="W17" s="65">
        <f>SUM(W11:W14)/4</f>
        <v>54.624875000000003</v>
      </c>
      <c r="X17" s="22">
        <f>W17/(W17+W18+W19)</f>
        <v>0.49252287700740166</v>
      </c>
      <c r="Y17" s="65">
        <f>SUM(Y11:Y14)/4</f>
        <v>11.146980000000001</v>
      </c>
      <c r="Z17" s="22">
        <f>Y17/(Y17+Y18+Y19)</f>
        <v>0.20685064320375796</v>
      </c>
      <c r="AA17" s="14"/>
      <c r="AB17" s="14"/>
      <c r="AC17" s="14"/>
      <c r="AE17" s="21" t="str">
        <f>V17</f>
        <v>Positive</v>
      </c>
      <c r="AF17" s="65">
        <f>SUM(AF11:AF14)/4</f>
        <v>37.518299999999996</v>
      </c>
      <c r="AG17" s="22">
        <f>AF17/(AF17+AF18+AF19)</f>
        <v>0.38904667838422174</v>
      </c>
      <c r="AH17" s="65">
        <f>SUM(AH11:AH14)/4</f>
        <v>14.413872500000002</v>
      </c>
      <c r="AI17" s="22">
        <f>AH17/(AH17+AH18+AH19)</f>
        <v>0.3225648157871519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0.10362500000000008</v>
      </c>
      <c r="O18" s="22">
        <f>N18/(N17+N18+N19)</f>
        <v>-7.1604776185408923E-3</v>
      </c>
      <c r="P18" s="18">
        <f>SUM(P7:P10)/4</f>
        <v>-7.6031224999999996</v>
      </c>
      <c r="Q18" s="22">
        <f>P18/(P17+P18+P19)</f>
        <v>0.82608245697714966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32.268225000000001</v>
      </c>
      <c r="X18" s="22">
        <f>W18/(W17+W18+W19)</f>
        <v>0.29094508706742417</v>
      </c>
      <c r="Y18" s="18">
        <f>SUM(Y7:Y10)/4</f>
        <v>15.8250475</v>
      </c>
      <c r="Z18" s="22">
        <f>Y18/(Y17+Y18+Y19)</f>
        <v>0.29365991991597917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32.371849999999995</v>
      </c>
      <c r="AG18" s="22">
        <f>AF18/(AF17+AF18+AF19)</f>
        <v>0.33568047367957149</v>
      </c>
      <c r="AH18" s="18">
        <f>SUM(AH7:AH10)/4</f>
        <v>8.2219250000000006</v>
      </c>
      <c r="AI18" s="22">
        <f>AH18/(AH17+AH18+AH19)</f>
        <v>0.18399661319612609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2.5311500000000002</v>
      </c>
      <c r="O19" s="22">
        <f>N19/(N17+N18+N19)</f>
        <v>-0.17490222363493141</v>
      </c>
      <c r="P19" s="18">
        <f>(P15+P16)/2</f>
        <v>-4.8676000000000013</v>
      </c>
      <c r="Q19" s="22">
        <f>P19/(P17+P18+P19)</f>
        <v>0.52886678697889911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24.0152</v>
      </c>
      <c r="X19" s="22">
        <f>W19/(W17+W18+W19)</f>
        <v>0.21653203592517423</v>
      </c>
      <c r="Y19" s="18">
        <f>(Y15+Y16)/2</f>
        <v>26.917000000000002</v>
      </c>
      <c r="Z19" s="22">
        <f>Y19/(Y17+Y18+Y19)</f>
        <v>0.49948943688026287</v>
      </c>
      <c r="AA19" s="14"/>
      <c r="AB19" s="14"/>
      <c r="AC19" s="14"/>
      <c r="AE19" s="21" t="str">
        <f t="shared" si="14"/>
        <v>Physiological</v>
      </c>
      <c r="AF19" s="18">
        <f>(AF15+AF16)/2</f>
        <v>26.54635</v>
      </c>
      <c r="AG19" s="22">
        <f>AF19/(AF17+AF18+AF19)</f>
        <v>0.27527284793620677</v>
      </c>
      <c r="AH19" s="18">
        <f>(AH15+AH16)/2</f>
        <v>22.049399999999999</v>
      </c>
      <c r="AI19" s="22">
        <f>AH19/(AH17+AH18+AH19)</f>
        <v>0.49343857101672201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1.38/1.26</v>
      </c>
      <c r="D24" s="44" t="str">
        <f>lang!B11</f>
        <v>频率方差</v>
      </c>
      <c r="E24" s="142" t="str">
        <f ca="1">CONCATENATE(ROUND('FH1'!L3,2),"/",ROUND('FH2'!L3,2))</f>
        <v>0.66/0.75</v>
      </c>
      <c r="F24" s="143"/>
      <c r="G24" s="134" t="str">
        <f>lang!B12</f>
        <v>生理变化率</v>
      </c>
      <c r="H24" s="135"/>
      <c r="I24" s="62" t="str">
        <f ca="1">CONCATENATE(info!M7,"-",info!M8)</f>
        <v>19.9-58.4</v>
      </c>
      <c r="J24" s="42" t="str">
        <f>lang!B13</f>
        <v>千卡l/分钟</v>
      </c>
      <c r="K24" s="41" t="str">
        <f ca="1">CONCATENATE(info!M5,"-",info!M6)</f>
        <v>2.3-3.2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9.3246000000000002</v>
      </c>
      <c r="F27" s="164"/>
      <c r="G27" s="178" t="str">
        <f>lang!B33</f>
        <v>稳定性</v>
      </c>
      <c r="H27" s="179"/>
      <c r="I27" s="180"/>
      <c r="J27" s="181">
        <f>dM!B19*100</f>
        <v>-1.9806000000000101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-0.81959525349665241</v>
      </c>
      <c r="C2">
        <f t="array" aca="1" ref="C2" ca="1">CORREL(FT_E02,FT_PH02)</f>
        <v>0.47289137356959327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2.2683400000000002</v>
      </c>
      <c r="G2" s="61">
        <f>IF(FT!B2&lt;&gt;"",FT!B2*100,"")</f>
        <v>58.427700000000002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2.3033100000000002</v>
      </c>
      <c r="G3" s="61">
        <f>IF(FT!B3&lt;&gt;"",FT!B3*100,"")</f>
        <v>57.222899999999996</v>
      </c>
      <c r="H3" s="61">
        <f t="shared" ref="H3:H66" si="1">(IF(F3&lt;&gt;"",1,""))</f>
        <v>1</v>
      </c>
      <c r="I3" t="str">
        <f>IF(FT!B3&lt;&gt;"",FT!E3,"")</f>
        <v>1 [0.403568]</v>
      </c>
      <c r="J3">
        <f>IF(FT!B3&lt;&gt;"",FT!C3,"")</f>
        <v>0.40356799999999998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0.30969068918918913</v>
      </c>
      <c r="V3">
        <f ca="1">AVERAGE(OFFSET(FT!B2,info!$L$3/2,0,info!$L$3/2,1))</f>
        <v>0.24661333783783793</v>
      </c>
      <c r="W3">
        <f ca="1">AVERAGE(OFFSET(FT!A2,0,0,info!$L$3/2,1))</f>
        <v>0.29053164864864861</v>
      </c>
      <c r="X3">
        <f ca="1">AVERAGE(OFFSET(FT!A2,info!$L$3/2,0,info!$L$3/2,1))</f>
        <v>0.24855559459459456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2.339</v>
      </c>
      <c r="G4" s="61">
        <f>IF(FT!B4&lt;&gt;"",FT!B4*100,"")</f>
        <v>55.972100000000005</v>
      </c>
      <c r="H4" s="61">
        <f t="shared" si="1"/>
        <v>1</v>
      </c>
      <c r="I4" t="str">
        <f>IF(FT!B4&lt;&gt;"",FT!E4,"")</f>
        <v>1 [0.808324]</v>
      </c>
      <c r="J4">
        <f>IF(FT!B4&lt;&gt;"",FT!C4,"")</f>
        <v>0.80832400000000004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14.941174999999999</v>
      </c>
      <c r="V4">
        <f>U4*3</f>
        <v>44.823524999999997</v>
      </c>
      <c r="W4">
        <f>U4</f>
        <v>14.941174999999999</v>
      </c>
      <c r="X4">
        <f>V4</f>
        <v>44.823524999999997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2.37662</v>
      </c>
      <c r="G5" s="61">
        <f>IF(FT!B5&lt;&gt;"",FT!B5*100,"")</f>
        <v>54.591599999999993</v>
      </c>
      <c r="H5" s="61">
        <f t="shared" si="1"/>
        <v>1</v>
      </c>
      <c r="I5" t="str">
        <f>IF(FT!B5&lt;&gt;"",FT!E5,"")</f>
        <v>1 [1.216892]</v>
      </c>
      <c r="J5">
        <f>IF(FT!B5&lt;&gt;"",FT!C5,"")</f>
        <v>1.21689</v>
      </c>
      <c r="K5" t="s">
        <v>53</v>
      </c>
      <c r="L5" s="63">
        <f ca="1">MIN(FT_E)</f>
        <v>2.2683400000000002</v>
      </c>
      <c r="M5" s="63">
        <f ca="1">ROUND(L5,1)</f>
        <v>2.2999999999999998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30.969068918918914</v>
      </c>
      <c r="V5">
        <f ca="1">V3*100</f>
        <v>24.661333783783792</v>
      </c>
      <c r="W5">
        <f ca="1">W3*10</f>
        <v>2.9053164864864862</v>
      </c>
      <c r="X5">
        <f ca="1">X3*10</f>
        <v>2.4855559459459458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2.4163000000000001</v>
      </c>
      <c r="G6" s="61">
        <f>IF(FT!B6&lt;&gt;"",FT!B6*100,"")</f>
        <v>53.196600000000004</v>
      </c>
      <c r="H6" s="61">
        <f t="shared" si="1"/>
        <v>1</v>
      </c>
      <c r="I6" t="str">
        <f>IF(FT!B6&lt;&gt;"",FT!E6,"")</f>
        <v>1 [1.625839]</v>
      </c>
      <c r="J6">
        <f>IF(FT!B6&lt;&gt;"",FT!C6,"")</f>
        <v>1.62584</v>
      </c>
      <c r="K6" t="s">
        <v>54</v>
      </c>
      <c r="L6" s="63">
        <f ca="1">MAX(FT_E)</f>
        <v>3.15923</v>
      </c>
      <c r="M6" s="63">
        <f ca="1">ROUND(L6,1)</f>
        <v>3.2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2.45566</v>
      </c>
      <c r="G7" s="61">
        <f>IF(FT!B7&lt;&gt;"",FT!B7*100,"")</f>
        <v>51.859000000000002</v>
      </c>
      <c r="H7" s="61">
        <f t="shared" si="1"/>
        <v>1</v>
      </c>
      <c r="I7" t="str">
        <f>IF(FT!B7&lt;&gt;"",FT!E7,"")</f>
        <v>1 [2.030154]</v>
      </c>
      <c r="J7">
        <f>IF(FT!B7&lt;&gt;"",FT!C7,"")</f>
        <v>2.0301499999999999</v>
      </c>
      <c r="K7" t="s">
        <v>55</v>
      </c>
      <c r="L7" s="63">
        <f ca="1">MIN(FT_PH)</f>
        <v>19.871200000000002</v>
      </c>
      <c r="M7" s="63">
        <f ca="1">ROUND(L7,1)</f>
        <v>19.899999999999999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5460</v>
      </c>
      <c r="D8" s="61">
        <f>FH!B8*1</f>
        <v>5460</v>
      </c>
      <c r="E8">
        <f t="shared" si="3"/>
        <v>6</v>
      </c>
      <c r="F8" s="61">
        <f>IF(FT!A8&lt;&gt;"",FT!A8*10,"")</f>
        <v>2.4970500000000002</v>
      </c>
      <c r="G8" s="61">
        <f>IF(FT!B8&lt;&gt;"",FT!B8*100,"")</f>
        <v>50.443599999999996</v>
      </c>
      <c r="H8" s="61">
        <f t="shared" si="1"/>
        <v>1</v>
      </c>
      <c r="I8" t="str">
        <f>IF(FT!B8&lt;&gt;"",FT!E8,"")</f>
        <v>1 [2.435835]</v>
      </c>
      <c r="J8">
        <f>IF(FT!B8&lt;&gt;"",FT!C8,"")</f>
        <v>2.4358399999999998</v>
      </c>
      <c r="K8" t="s">
        <v>56</v>
      </c>
      <c r="L8" s="63">
        <f ca="1">MAX(FT_PH)</f>
        <v>58.427700000000002</v>
      </c>
      <c r="M8" s="63">
        <f ca="1">ROUND(L8,1)</f>
        <v>58.4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2.5385299999999997</v>
      </c>
      <c r="G9" s="61">
        <f>IF(FT!B9&lt;&gt;"",FT!B9*100,"")</f>
        <v>49.032399999999996</v>
      </c>
      <c r="H9" s="61">
        <f t="shared" si="1"/>
        <v>1</v>
      </c>
      <c r="I9" t="str">
        <f>IF(FT!B9&lt;&gt;"",FT!E9,"")</f>
        <v>1 [2.840115]</v>
      </c>
      <c r="J9">
        <f>IF(FT!B9&lt;&gt;"",FT!C9,"")</f>
        <v>2.8401200000000002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10132</v>
      </c>
      <c r="D10" s="61">
        <f>FH!B10*1</f>
        <v>10132</v>
      </c>
      <c r="E10">
        <f t="shared" si="3"/>
        <v>8</v>
      </c>
      <c r="F10" s="61">
        <f>IF(FT!A10&lt;&gt;"",FT!A10*10,"")</f>
        <v>2.5764199999999997</v>
      </c>
      <c r="G10" s="61">
        <f>IF(FT!B10&lt;&gt;"",FT!B10*100,"")</f>
        <v>47.784599999999998</v>
      </c>
      <c r="H10" s="61">
        <f t="shared" si="1"/>
        <v>1</v>
      </c>
      <c r="I10" t="str">
        <f>IF(FT!B10&lt;&gt;"",FT!E10,"")</f>
        <v>1 [3.251999]</v>
      </c>
      <c r="J10">
        <f>IF(FT!B10&lt;&gt;"",FT!C10,"")</f>
        <v>3.2519999999999998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2.60961</v>
      </c>
      <c r="G11" s="61">
        <f>IF(FT!B11&lt;&gt;"",FT!B11*100,"")</f>
        <v>46.725100000000005</v>
      </c>
      <c r="H11" s="61">
        <f t="shared" si="1"/>
        <v>1</v>
      </c>
      <c r="I11" t="str">
        <f>IF(FT!B11&lt;&gt;"",FT!E11,"")</f>
        <v>1 [3.654929]</v>
      </c>
      <c r="J11">
        <f>IF(FT!B11&lt;&gt;"",FT!C11,"")</f>
        <v>3.6549299999999998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2.6402900000000002</v>
      </c>
      <c r="G12" s="61">
        <f>IF(FT!B12&lt;&gt;"",FT!B12*100,"")</f>
        <v>45.721600000000002</v>
      </c>
      <c r="H12" s="61">
        <f t="shared" si="1"/>
        <v>1</v>
      </c>
      <c r="I12" t="str">
        <f>IF(FT!B12&lt;&gt;"",FT!E12,"")</f>
        <v>1 [4.061119]</v>
      </c>
      <c r="J12">
        <f>IF(FT!B12&lt;&gt;"",FT!C12,"")</f>
        <v>4.0611199999999998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17826</v>
      </c>
      <c r="D13" s="61">
        <f>FH!B13*1</f>
        <v>17826</v>
      </c>
      <c r="E13">
        <f t="shared" si="3"/>
        <v>11</v>
      </c>
      <c r="F13" s="61">
        <f>IF(FT!A13&lt;&gt;"",FT!A13*10,"")</f>
        <v>2.67178</v>
      </c>
      <c r="G13" s="61">
        <f>IF(FT!B13&lt;&gt;"",FT!B13*100,"")</f>
        <v>44.6325</v>
      </c>
      <c r="H13" s="61">
        <f t="shared" si="1"/>
        <v>1</v>
      </c>
      <c r="I13" t="str">
        <f>IF(FT!B13&lt;&gt;"",FT!E13,"")</f>
        <v>1 [4.467042]</v>
      </c>
      <c r="J13">
        <f>IF(FT!B13&lt;&gt;"",FT!C13,"")</f>
        <v>4.4670399999999999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2.7043099999999995</v>
      </c>
      <c r="G14" s="61">
        <f>IF(FT!B14&lt;&gt;"",FT!B14*100,"")</f>
        <v>43.4895</v>
      </c>
      <c r="H14" s="61">
        <f t="shared" si="1"/>
        <v>1</v>
      </c>
      <c r="I14" t="str">
        <f>IF(FT!B14&lt;&gt;"",FT!E14,"")</f>
        <v>1 [4.870812]</v>
      </c>
      <c r="J14">
        <f>IF(FT!B14&lt;&gt;"",FT!C14,"")</f>
        <v>4.8708099999999996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26142</v>
      </c>
      <c r="D15" s="61">
        <f>FH!B15*1</f>
        <v>26142</v>
      </c>
      <c r="E15">
        <f t="shared" si="3"/>
        <v>13</v>
      </c>
      <c r="F15" s="61">
        <f>IF(FT!A15&lt;&gt;"",FT!A15*10,"")</f>
        <v>2.7376800000000001</v>
      </c>
      <c r="G15" s="61">
        <f>IF(FT!B15&lt;&gt;"",FT!B15*100,"")</f>
        <v>42.328400000000002</v>
      </c>
      <c r="H15" s="61">
        <f t="shared" si="1"/>
        <v>1</v>
      </c>
      <c r="I15" t="str">
        <f>IF(FT!B15&lt;&gt;"",FT!E15,"")</f>
        <v>1 [5.279337]</v>
      </c>
      <c r="J15">
        <f>IF(FT!B15&lt;&gt;"",FT!C15,"")</f>
        <v>5.2793400000000004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2.7689900000000001</v>
      </c>
      <c r="G16" s="61">
        <f>IF(FT!B16&lt;&gt;"",FT!B16*100,"")</f>
        <v>41.183100000000003</v>
      </c>
      <c r="H16" s="61">
        <f t="shared" si="1"/>
        <v>1</v>
      </c>
      <c r="I16" t="str">
        <f>IF(FT!B16&lt;&gt;"",FT!E16,"")</f>
        <v>1 [5.685614]</v>
      </c>
      <c r="J16">
        <f>IF(FT!B16&lt;&gt;"",FT!C16,"")</f>
        <v>5.6856099999999996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2.7993099999999997</v>
      </c>
      <c r="G17" s="61">
        <f>IF(FT!B17&lt;&gt;"",FT!B17*100,"")</f>
        <v>40.119799999999998</v>
      </c>
      <c r="H17" s="61">
        <f t="shared" si="1"/>
        <v>1</v>
      </c>
      <c r="I17" t="str">
        <f>IF(FT!B17&lt;&gt;"",FT!E17,"")</f>
        <v>1 [6.093751]</v>
      </c>
      <c r="J17">
        <f>IF(FT!B17&lt;&gt;"",FT!C17,"")</f>
        <v>6.09375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35469</v>
      </c>
      <c r="D18" s="61">
        <f>FH!B18*1</f>
        <v>35469</v>
      </c>
      <c r="E18">
        <f t="shared" si="3"/>
        <v>16</v>
      </c>
      <c r="F18" s="61">
        <f>IF(FT!A18&lt;&gt;"",FT!A18*10,"")</f>
        <v>2.8281200000000002</v>
      </c>
      <c r="G18" s="61">
        <f>IF(FT!B18&lt;&gt;"",FT!B18*100,"")</f>
        <v>39.102499999999999</v>
      </c>
      <c r="H18" s="61">
        <f t="shared" si="1"/>
        <v>1</v>
      </c>
      <c r="I18" t="str">
        <f>IF(FT!B18&lt;&gt;"",FT!E18,"")</f>
        <v>1 [6.498920]</v>
      </c>
      <c r="J18">
        <f>IF(FT!B18&lt;&gt;"",FT!C18,"")</f>
        <v>6.49892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2.8557500000000005</v>
      </c>
      <c r="G19" s="61">
        <f>IF(FT!B19&lt;&gt;"",FT!B19*100,"")</f>
        <v>38.063299999999998</v>
      </c>
      <c r="H19" s="61">
        <f t="shared" si="1"/>
        <v>1</v>
      </c>
      <c r="I19" t="str">
        <f>IF(FT!B19&lt;&gt;"",FT!E19,"")</f>
        <v>1 [6.905605]</v>
      </c>
      <c r="J19">
        <f>IF(FT!B19&lt;&gt;"",FT!C19,"")</f>
        <v>6.9056100000000002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2.88497</v>
      </c>
      <c r="G20" s="61">
        <f>IF(FT!B20&lt;&gt;"",FT!B20*100,"")</f>
        <v>36.9636</v>
      </c>
      <c r="H20" s="61">
        <f t="shared" si="1"/>
        <v>1</v>
      </c>
      <c r="I20" t="str">
        <f>IF(FT!B20&lt;&gt;"",FT!E20,"")</f>
        <v>1 [7.309589]</v>
      </c>
      <c r="J20">
        <f>IF(FT!B20&lt;&gt;"",FT!C20,"")</f>
        <v>7.30959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47516</v>
      </c>
      <c r="D21" s="61">
        <f>FH!B21*1</f>
        <v>47516</v>
      </c>
      <c r="E21">
        <f t="shared" si="3"/>
        <v>19</v>
      </c>
      <c r="F21" s="61">
        <f>IF(FT!A21&lt;&gt;"",FT!A21*10,"")</f>
        <v>2.9142400000000004</v>
      </c>
      <c r="G21" s="61">
        <f>IF(FT!B21&lt;&gt;"",FT!B21*100,"")</f>
        <v>35.886499999999998</v>
      </c>
      <c r="H21" s="61">
        <f t="shared" si="1"/>
        <v>1</v>
      </c>
      <c r="I21" t="str">
        <f>IF(FT!B21&lt;&gt;"",FT!E21,"")</f>
        <v>1 [7.716428]</v>
      </c>
      <c r="J21">
        <f>IF(FT!B21&lt;&gt;"",FT!C21,"")</f>
        <v>7.7164299999999999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2.94259</v>
      </c>
      <c r="G22" s="61">
        <f>IF(FT!B22&lt;&gt;"",FT!B22*100,"")</f>
        <v>34.878999999999998</v>
      </c>
      <c r="H22" s="61">
        <f t="shared" si="1"/>
        <v>1</v>
      </c>
      <c r="I22" t="str">
        <f>IF(FT!B22&lt;&gt;"",FT!E22,"")</f>
        <v>1 [8.123659]</v>
      </c>
      <c r="J22">
        <f>IF(FT!B22&lt;&gt;"",FT!C22,"")</f>
        <v>8.1236599999999992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57390</v>
      </c>
      <c r="D23" s="61">
        <f>FH!B23*1</f>
        <v>57390</v>
      </c>
      <c r="E23">
        <f t="shared" si="3"/>
        <v>21</v>
      </c>
      <c r="F23" s="61">
        <f>IF(FT!A23&lt;&gt;"",FT!A23*10,"")</f>
        <v>2.9701599999999999</v>
      </c>
      <c r="G23" s="61">
        <f>IF(FT!B23&lt;&gt;"",FT!B23*100,"")</f>
        <v>33.9054</v>
      </c>
      <c r="H23" s="61">
        <f t="shared" si="1"/>
        <v>1</v>
      </c>
      <c r="I23" t="str">
        <f>IF(FT!B23&lt;&gt;"",FT!E23,"")</f>
        <v>1 [8.531382]</v>
      </c>
      <c r="J23">
        <f>IF(FT!B23&lt;&gt;"",FT!C23,"")</f>
        <v>8.5313800000000004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2.9972599999999998</v>
      </c>
      <c r="G24" s="61">
        <f>IF(FT!B24&lt;&gt;"",FT!B24*100,"")</f>
        <v>33.0075</v>
      </c>
      <c r="H24" s="61">
        <f t="shared" si="1"/>
        <v>1</v>
      </c>
      <c r="I24" t="str">
        <f>IF(FT!B24&lt;&gt;"",FT!E24,"")</f>
        <v>1 [8.934538]</v>
      </c>
      <c r="J24">
        <f>IF(FT!B24&lt;&gt;"",FT!C24,"")</f>
        <v>8.9345400000000001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3.0225900000000001</v>
      </c>
      <c r="G25" s="61">
        <f>IF(FT!B25&lt;&gt;"",FT!B25*100,"")</f>
        <v>32.1462</v>
      </c>
      <c r="H25" s="61">
        <f t="shared" si="1"/>
        <v>1</v>
      </c>
      <c r="I25" t="str">
        <f>IF(FT!B25&lt;&gt;"",FT!E25,"")</f>
        <v>1 [9.340093]</v>
      </c>
      <c r="J25">
        <f>IF(FT!B25&lt;&gt;"",FT!C25,"")</f>
        <v>9.34009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67065</v>
      </c>
      <c r="D26" s="61">
        <f>FH!B26*1</f>
        <v>67065</v>
      </c>
      <c r="E26">
        <f t="shared" si="3"/>
        <v>24</v>
      </c>
      <c r="F26" s="61">
        <f>IF(FT!A26&lt;&gt;"",FT!A26*10,"")</f>
        <v>3.0459399999999999</v>
      </c>
      <c r="G26" s="61">
        <f>IF(FT!B26&lt;&gt;"",FT!B26*100,"")</f>
        <v>31.2376</v>
      </c>
      <c r="H26" s="61">
        <f t="shared" si="1"/>
        <v>1</v>
      </c>
      <c r="I26" t="str">
        <f>IF(FT!B26&lt;&gt;"",FT!E26,"")</f>
        <v>1 [9.746334]</v>
      </c>
      <c r="J26">
        <f>IF(FT!B26&lt;&gt;"",FT!C26,"")</f>
        <v>9.7463300000000004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3.0675300000000001</v>
      </c>
      <c r="G27" s="61">
        <f>IF(FT!B27&lt;&gt;"",FT!B27*100,"")</f>
        <v>30.380700000000001</v>
      </c>
      <c r="H27" s="61">
        <f t="shared" si="1"/>
        <v>1</v>
      </c>
      <c r="I27" t="str">
        <f>IF(FT!B27&lt;&gt;"",FT!E27,"")</f>
        <v>1 [10.152915]</v>
      </c>
      <c r="J27">
        <f>IF(FT!B27&lt;&gt;"",FT!C27,"")</f>
        <v>10.152900000000001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83174</v>
      </c>
      <c r="D28" s="61">
        <f>FH!B28*1</f>
        <v>83174</v>
      </c>
      <c r="E28">
        <f t="shared" si="3"/>
        <v>26</v>
      </c>
      <c r="F28" s="61">
        <f>IF(FT!A28&lt;&gt;"",FT!A28*10,"")</f>
        <v>3.0862699999999998</v>
      </c>
      <c r="G28" s="61">
        <f>IF(FT!B28&lt;&gt;"",FT!B28*100,"")</f>
        <v>29.557299999999998</v>
      </c>
      <c r="H28" s="61">
        <f t="shared" si="1"/>
        <v>1</v>
      </c>
      <c r="I28" t="str">
        <f>IF(FT!B28&lt;&gt;"",FT!E28,"")</f>
        <v>1 [10.564055]</v>
      </c>
      <c r="J28">
        <f>IF(FT!B28&lt;&gt;"",FT!C28,"")</f>
        <v>10.5641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3.10154</v>
      </c>
      <c r="G29" s="61">
        <f>IF(FT!B29&lt;&gt;"",FT!B29*100,"")</f>
        <v>28.809699999999999</v>
      </c>
      <c r="H29" s="61">
        <f t="shared" si="1"/>
        <v>1</v>
      </c>
      <c r="I29" t="str">
        <f>IF(FT!B29&lt;&gt;"",FT!E29,"")</f>
        <v>1 [10.965583]</v>
      </c>
      <c r="J29">
        <f>IF(FT!B29&lt;&gt;"",FT!C29,"")</f>
        <v>10.9656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3.1128800000000001</v>
      </c>
      <c r="G30" s="61">
        <f>IF(FT!B30&lt;&gt;"",FT!B30*100,"")</f>
        <v>28.103400000000001</v>
      </c>
      <c r="H30" s="61">
        <f t="shared" si="1"/>
        <v>1</v>
      </c>
      <c r="I30" t="str">
        <f>IF(FT!B30&lt;&gt;"",FT!E30,"")</f>
        <v>1 [11.369401]</v>
      </c>
      <c r="J30">
        <f>IF(FT!B30&lt;&gt;"",FT!C30,"")</f>
        <v>11.369400000000001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95727</v>
      </c>
      <c r="D31" s="61">
        <f>FH!B31*1</f>
        <v>95727</v>
      </c>
      <c r="E31">
        <f t="shared" si="3"/>
        <v>29</v>
      </c>
      <c r="F31" s="61">
        <f>IF(FT!A31&lt;&gt;"",FT!A31*10,"")</f>
        <v>3.1228800000000003</v>
      </c>
      <c r="G31" s="61">
        <f>IF(FT!B31&lt;&gt;"",FT!B31*100,"")</f>
        <v>27.369500000000002</v>
      </c>
      <c r="H31" s="61">
        <f t="shared" si="1"/>
        <v>1</v>
      </c>
      <c r="I31" t="str">
        <f>IF(FT!B31&lt;&gt;"",FT!E31,"")</f>
        <v>1 [11.776565]</v>
      </c>
      <c r="J31">
        <f>IF(FT!B31&lt;&gt;"",FT!C31,"")</f>
        <v>11.7766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3.1310100000000003</v>
      </c>
      <c r="G32" s="61">
        <f>IF(FT!B32&lt;&gt;"",FT!B32*100,"")</f>
        <v>26.642100000000003</v>
      </c>
      <c r="H32" s="61">
        <f t="shared" si="1"/>
        <v>1</v>
      </c>
      <c r="I32" t="str">
        <f>IF(FT!B32&lt;&gt;"",FT!E32,"")</f>
        <v>1 [12.185859]</v>
      </c>
      <c r="J32">
        <f>IF(FT!B32&lt;&gt;"",FT!C32,"")</f>
        <v>12.1859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116574</v>
      </c>
      <c r="D33" s="61">
        <f>FH!B33*1</f>
        <v>116574</v>
      </c>
      <c r="E33">
        <f t="shared" si="3"/>
        <v>31</v>
      </c>
      <c r="F33" s="61">
        <f>IF(FT!A33&lt;&gt;"",FT!A33*10,"")</f>
        <v>3.13469</v>
      </c>
      <c r="G33" s="61">
        <f>IF(FT!B33&lt;&gt;"",FT!B33*100,"")</f>
        <v>26.014700000000001</v>
      </c>
      <c r="H33" s="61">
        <f t="shared" si="1"/>
        <v>1</v>
      </c>
      <c r="I33" t="str">
        <f>IF(FT!B33&lt;&gt;"",FT!E33,"")</f>
        <v>1 [12.589905]</v>
      </c>
      <c r="J33">
        <f>IF(FT!B33&lt;&gt;"",FT!C33,"")</f>
        <v>12.5899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3.13828</v>
      </c>
      <c r="G34" s="61">
        <f>IF(FT!B34&lt;&gt;"",FT!B34*100,"")</f>
        <v>25.4924</v>
      </c>
      <c r="H34" s="61">
        <f t="shared" si="1"/>
        <v>1</v>
      </c>
      <c r="I34" t="str">
        <f>IF(FT!B34&lt;&gt;"",FT!E34,"")</f>
        <v>1 [12.999052]</v>
      </c>
      <c r="J34">
        <f>IF(FT!B34&lt;&gt;"",FT!C34,"")</f>
        <v>12.9991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3.1415700000000002</v>
      </c>
      <c r="G35" s="61">
        <f>IF(FT!B35&lt;&gt;"",FT!B35*100,"")</f>
        <v>25.121600000000001</v>
      </c>
      <c r="H35" s="61">
        <f t="shared" si="1"/>
        <v>1</v>
      </c>
      <c r="I35" t="str">
        <f>IF(FT!B35&lt;&gt;"",FT!E35,"")</f>
        <v>1 [13.407078]</v>
      </c>
      <c r="J35">
        <f>IF(FT!B35&lt;&gt;"",FT!C35,"")</f>
        <v>13.4071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128630</v>
      </c>
      <c r="D36" s="61">
        <f>FH!B36*1</f>
        <v>128630</v>
      </c>
      <c r="E36">
        <f t="shared" si="3"/>
        <v>34</v>
      </c>
      <c r="F36" s="61">
        <f>IF(FT!A36&lt;&gt;"",FT!A36*10,"")</f>
        <v>3.1467099999999997</v>
      </c>
      <c r="G36" s="61">
        <f>IF(FT!B36&lt;&gt;"",FT!B36*100,"")</f>
        <v>24.796499999999998</v>
      </c>
      <c r="H36" s="61">
        <f t="shared" si="1"/>
        <v>1</v>
      </c>
      <c r="I36" t="str">
        <f>IF(FT!B36&lt;&gt;"",FT!E36,"")</f>
        <v>1 [13.810281]</v>
      </c>
      <c r="J36">
        <f>IF(FT!B36&lt;&gt;"",FT!C36,"")</f>
        <v>13.8103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3.1519900000000001</v>
      </c>
      <c r="G37" s="61">
        <f>IF(FT!B37&lt;&gt;"",FT!B37*100,"")</f>
        <v>24.590199999999999</v>
      </c>
      <c r="H37" s="61">
        <f t="shared" si="1"/>
        <v>1</v>
      </c>
      <c r="I37" t="str">
        <f>IF(FT!B37&lt;&gt;"",FT!E37,"")</f>
        <v>1 [14.216496]</v>
      </c>
      <c r="J37">
        <f>IF(FT!B37&lt;&gt;"",FT!C37,"")</f>
        <v>14.2165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3.1550600000000002</v>
      </c>
      <c r="G38" s="61">
        <f>IF(FT!B38&lt;&gt;"",FT!B38*100,"")</f>
        <v>24.457899999999999</v>
      </c>
      <c r="H38" s="61">
        <f t="shared" si="1"/>
        <v>1</v>
      </c>
      <c r="I38" t="str">
        <f>IF(FT!B38&lt;&gt;"",FT!E38,"")</f>
        <v>1 [14.621443]</v>
      </c>
      <c r="J38">
        <f>IF(FT!B38&lt;&gt;"",FT!C38,"")</f>
        <v>14.6214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140494</v>
      </c>
      <c r="D39" s="61">
        <f>FH!B39*1</f>
        <v>140494</v>
      </c>
      <c r="E39">
        <f t="shared" si="3"/>
        <v>37</v>
      </c>
      <c r="F39" s="61">
        <f>IF(FT!A39&lt;&gt;"",FT!A39*10,"")</f>
        <v>3.1576300000000002</v>
      </c>
      <c r="G39" s="61">
        <f>IF(FT!B39&lt;&gt;"",FT!B39*100,"")</f>
        <v>24.34</v>
      </c>
      <c r="H39" s="61">
        <f t="shared" si="1"/>
        <v>1</v>
      </c>
      <c r="I39" t="str">
        <f>IF(FT!B39&lt;&gt;"",FT!E39,"")</f>
        <v>1 [15.029500]</v>
      </c>
      <c r="J39">
        <f>IF(FT!B39&lt;&gt;"",FT!C39,"")</f>
        <v>15.029500000000001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3.15849</v>
      </c>
      <c r="G40" s="61">
        <f>IF(FT!B40&lt;&gt;"",FT!B40*100,"")</f>
        <v>24.149899999999999</v>
      </c>
      <c r="H40" s="61">
        <f t="shared" si="1"/>
        <v>1</v>
      </c>
      <c r="I40" t="str">
        <f>IF(FT!B40&lt;&gt;"",FT!E40,"")</f>
        <v>1 [15.435074]</v>
      </c>
      <c r="J40">
        <f>IF(FT!B40&lt;&gt;"",FT!C40,"")</f>
        <v>15.4351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161218</v>
      </c>
      <c r="D41" s="61">
        <f>FH!B41*1</f>
        <v>161218</v>
      </c>
      <c r="E41">
        <f t="shared" si="3"/>
        <v>39</v>
      </c>
      <c r="F41" s="61">
        <f>IF(FT!A41&lt;&gt;"",FT!A41*10,"")</f>
        <v>3.15923</v>
      </c>
      <c r="G41" s="61">
        <f>IF(FT!B41&lt;&gt;"",FT!B41*100,"")</f>
        <v>23.9955</v>
      </c>
      <c r="H41" s="61">
        <f t="shared" si="1"/>
        <v>1</v>
      </c>
      <c r="I41" t="str">
        <f>IF(FT!B41&lt;&gt;"",FT!E41,"")</f>
        <v>1 [15.839930]</v>
      </c>
      <c r="J41">
        <f>IF(FT!B41&lt;&gt;"",FT!C41,"")</f>
        <v>15.8399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3.1585200000000002</v>
      </c>
      <c r="G42" s="61">
        <f>IF(FT!B42&lt;&gt;"",FT!B42*100,"")</f>
        <v>23.7864</v>
      </c>
      <c r="H42" s="61">
        <f t="shared" si="1"/>
        <v>1</v>
      </c>
      <c r="I42" t="str">
        <f>IF(FT!B42&lt;&gt;"",FT!E42,"")</f>
        <v>1 [16.247610]</v>
      </c>
      <c r="J42">
        <f>IF(FT!B42&lt;&gt;"",FT!C42,"")</f>
        <v>16.247599999999998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3.1549399999999999</v>
      </c>
      <c r="G43" s="61">
        <f>IF(FT!B43&lt;&gt;"",FT!B43*100,"")</f>
        <v>23.600199999999997</v>
      </c>
      <c r="H43" s="61">
        <f t="shared" si="1"/>
        <v>1</v>
      </c>
      <c r="I43" t="str">
        <f>IF(FT!B43&lt;&gt;"",FT!E43,"")</f>
        <v>1 [16.653280]</v>
      </c>
      <c r="J43">
        <f>IF(FT!B43&lt;&gt;"",FT!C43,"")</f>
        <v>16.653300000000002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187230</v>
      </c>
      <c r="D44" s="61">
        <f>FH!B44*1</f>
        <v>187230</v>
      </c>
      <c r="E44">
        <f t="shared" si="3"/>
        <v>42</v>
      </c>
      <c r="F44" s="61">
        <f>IF(FT!A44&lt;&gt;"",FT!A44*10,"")</f>
        <v>3.14967</v>
      </c>
      <c r="G44" s="61">
        <f>IF(FT!B44&lt;&gt;"",FT!B44*100,"")</f>
        <v>23.443200000000001</v>
      </c>
      <c r="H44" s="61">
        <f t="shared" si="1"/>
        <v>1</v>
      </c>
      <c r="I44" t="str">
        <f>IF(FT!B44&lt;&gt;"",FT!E44,"")</f>
        <v>1 [17.058660]</v>
      </c>
      <c r="J44">
        <f>IF(FT!B44&lt;&gt;"",FT!C44,"")</f>
        <v>17.058700000000002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3.1415700000000002</v>
      </c>
      <c r="G45" s="61">
        <f>IF(FT!B45&lt;&gt;"",FT!B45*100,"")</f>
        <v>23.3734</v>
      </c>
      <c r="H45" s="61">
        <f t="shared" si="1"/>
        <v>1</v>
      </c>
      <c r="I45" t="str">
        <f>IF(FT!B45&lt;&gt;"",FT!E45,"")</f>
        <v>1 [17.469129]</v>
      </c>
      <c r="J45">
        <f>IF(FT!B45&lt;&gt;"",FT!C45,"")</f>
        <v>17.469100000000001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209826</v>
      </c>
      <c r="D46" s="61">
        <f>FH!B46*1</f>
        <v>209826</v>
      </c>
      <c r="E46">
        <f t="shared" si="3"/>
        <v>44</v>
      </c>
      <c r="F46" s="61">
        <f>IF(FT!A46&lt;&gt;"",FT!A46*10,"")</f>
        <v>3.1307800000000001</v>
      </c>
      <c r="G46" s="61">
        <f>IF(FT!B46&lt;&gt;"",FT!B46*100,"")</f>
        <v>23.416399999999999</v>
      </c>
      <c r="H46" s="61">
        <f t="shared" si="1"/>
        <v>1</v>
      </c>
      <c r="I46" t="str">
        <f>IF(FT!B46&lt;&gt;"",FT!E46,"")</f>
        <v>1 [17.873957]</v>
      </c>
      <c r="J46">
        <f>IF(FT!B46&lt;&gt;"",FT!C46,"")</f>
        <v>17.873999999999999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3.1195499999999998</v>
      </c>
      <c r="G47" s="61">
        <f>IF(FT!B47&lt;&gt;"",FT!B47*100,"")</f>
        <v>23.4878</v>
      </c>
      <c r="H47" s="61">
        <f t="shared" si="1"/>
        <v>1</v>
      </c>
      <c r="I47" t="str">
        <f>IF(FT!B47&lt;&gt;"",FT!E47,"")</f>
        <v>1 [18.277648]</v>
      </c>
      <c r="J47">
        <f>IF(FT!B47&lt;&gt;"",FT!C47,"")</f>
        <v>18.2776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3.10684</v>
      </c>
      <c r="G48" s="61">
        <f>IF(FT!B48&lt;&gt;"",FT!B48*100,"")</f>
        <v>23.6098</v>
      </c>
      <c r="H48" s="61">
        <f t="shared" si="1"/>
        <v>1</v>
      </c>
      <c r="I48" t="str">
        <f>IF(FT!B48&lt;&gt;"",FT!E48,"")</f>
        <v>1 [18.684250]</v>
      </c>
      <c r="J48">
        <f>IF(FT!B48&lt;&gt;"",FT!C48,"")</f>
        <v>18.684200000000001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213260</v>
      </c>
      <c r="D49" s="61">
        <f>FH!B49*1</f>
        <v>213260</v>
      </c>
      <c r="E49">
        <f t="shared" si="3"/>
        <v>47</v>
      </c>
      <c r="F49" s="61">
        <f>IF(FT!A49&lt;&gt;"",FT!A49*10,"")</f>
        <v>3.0926100000000001</v>
      </c>
      <c r="G49" s="61">
        <f>IF(FT!B49&lt;&gt;"",FT!B49*100,"")</f>
        <v>23.691699999999997</v>
      </c>
      <c r="H49" s="61">
        <f t="shared" si="1"/>
        <v>1</v>
      </c>
      <c r="I49" t="str">
        <f>IF(FT!B49&lt;&gt;"",FT!E49,"")</f>
        <v>1 [19.089324]</v>
      </c>
      <c r="J49">
        <f>IF(FT!B49&lt;&gt;"",FT!C49,"")</f>
        <v>19.089300000000001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3.0796700000000001</v>
      </c>
      <c r="G50" s="61">
        <f>IF(FT!B50&lt;&gt;"",FT!B50*100,"")</f>
        <v>23.747</v>
      </c>
      <c r="H50" s="61">
        <f t="shared" si="1"/>
        <v>1</v>
      </c>
      <c r="I50" t="str">
        <f>IF(FT!B50&lt;&gt;"",FT!E50,"")</f>
        <v>1 [19.496307]</v>
      </c>
      <c r="J50">
        <f>IF(FT!B50&lt;&gt;"",FT!C50,"")</f>
        <v>19.496300000000002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211527</v>
      </c>
      <c r="D51" s="61">
        <f>FH!B51*1</f>
        <v>211527</v>
      </c>
      <c r="E51">
        <f t="shared" si="3"/>
        <v>49</v>
      </c>
      <c r="F51" s="61">
        <f>IF(FT!A51&lt;&gt;"",FT!A51*10,"")</f>
        <v>3.0698799999999999</v>
      </c>
      <c r="G51" s="61">
        <f>IF(FT!B51&lt;&gt;"",FT!B51*100,"")</f>
        <v>23.735099999999999</v>
      </c>
      <c r="H51" s="61">
        <f t="shared" si="1"/>
        <v>1</v>
      </c>
      <c r="I51" t="str">
        <f>IF(FT!B51&lt;&gt;"",FT!E51,"")</f>
        <v>1 [19.904537]</v>
      </c>
      <c r="J51">
        <f>IF(FT!B51&lt;&gt;"",FT!C51,"")</f>
        <v>19.904499999999999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3.0628799999999998</v>
      </c>
      <c r="G52" s="61">
        <f>IF(FT!B52&lt;&gt;"",FT!B52*100,"")</f>
        <v>23.743200000000002</v>
      </c>
      <c r="H52" s="61">
        <f t="shared" si="1"/>
        <v>1</v>
      </c>
      <c r="I52" t="str">
        <f>IF(FT!B52&lt;&gt;"",FT!E52,"")</f>
        <v>1 [20.309519]</v>
      </c>
      <c r="J52">
        <f>IF(FT!B52&lt;&gt;"",FT!C52,"")</f>
        <v>20.3095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3.0554399999999999</v>
      </c>
      <c r="G53" s="61">
        <f>IF(FT!B53&lt;&gt;"",FT!B53*100,"")</f>
        <v>23.7347</v>
      </c>
      <c r="H53" s="61">
        <f t="shared" si="1"/>
        <v>1</v>
      </c>
      <c r="I53" t="str">
        <f>IF(FT!B53&lt;&gt;"",FT!E53,"")</f>
        <v>1 [20.715520]</v>
      </c>
      <c r="J53">
        <f>IF(FT!B53&lt;&gt;"",FT!C53,"")</f>
        <v>20.715499999999999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194076</v>
      </c>
      <c r="D54" s="61">
        <f>FH!B54*1</f>
        <v>194076</v>
      </c>
      <c r="E54">
        <f t="shared" si="3"/>
        <v>52</v>
      </c>
      <c r="F54" s="61">
        <f>IF(FT!A54&lt;&gt;"",FT!A54*10,"")</f>
        <v>3.0464400000000005</v>
      </c>
      <c r="G54" s="61">
        <f>IF(FT!B54&lt;&gt;"",FT!B54*100,"")</f>
        <v>23.7668</v>
      </c>
      <c r="H54" s="61">
        <f t="shared" si="1"/>
        <v>1</v>
      </c>
      <c r="I54" t="str">
        <f>IF(FT!B54&lt;&gt;"",FT!E54,"")</f>
        <v>1 [21.124355]</v>
      </c>
      <c r="J54">
        <f>IF(FT!B54&lt;&gt;"",FT!C54,"")</f>
        <v>21.124400000000001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3.04087</v>
      </c>
      <c r="G55" s="61">
        <f>IF(FT!B55&lt;&gt;"",FT!B55*100,"")</f>
        <v>23.8523</v>
      </c>
      <c r="H55" s="61">
        <f t="shared" si="1"/>
        <v>1</v>
      </c>
      <c r="I55" t="str">
        <f>IF(FT!B55&lt;&gt;"",FT!E55,"")</f>
        <v>1 [21.530366]</v>
      </c>
      <c r="J55">
        <f>IF(FT!B55&lt;&gt;"",FT!C55,"")</f>
        <v>21.5304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3.0255799999999997</v>
      </c>
      <c r="G56" s="61">
        <f>IF(FT!B56&lt;&gt;"",FT!B56*100,"")</f>
        <v>23.922999999999998</v>
      </c>
      <c r="H56" s="61">
        <f t="shared" si="1"/>
        <v>1</v>
      </c>
      <c r="I56" t="str">
        <f>IF(FT!B56&lt;&gt;"",FT!E56,"")</f>
        <v>1 [21.936743]</v>
      </c>
      <c r="J56">
        <f>IF(FT!B56&lt;&gt;"",FT!C56,"")</f>
        <v>21.936699999999998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177272</v>
      </c>
      <c r="D57" s="61">
        <f>FH!B57*1</f>
        <v>177272</v>
      </c>
      <c r="E57">
        <f t="shared" si="3"/>
        <v>55</v>
      </c>
      <c r="F57" s="61">
        <f>IF(FT!A57&lt;&gt;"",FT!A57*10,"")</f>
        <v>3.0189300000000001</v>
      </c>
      <c r="G57" s="61">
        <f>IF(FT!B57&lt;&gt;"",FT!B57*100,"")</f>
        <v>24.0044</v>
      </c>
      <c r="H57" s="61">
        <f t="shared" si="1"/>
        <v>1</v>
      </c>
      <c r="I57" t="str">
        <f>IF(FT!B57&lt;&gt;"",FT!E57,"")</f>
        <v>1 [22.341808]</v>
      </c>
      <c r="J57">
        <f>IF(FT!B57&lt;&gt;"",FT!C57,"")</f>
        <v>22.341799999999999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3.00387</v>
      </c>
      <c r="G58" s="61">
        <f>IF(FT!B58&lt;&gt;"",FT!B58*100,"")</f>
        <v>23.9117</v>
      </c>
      <c r="H58" s="61">
        <f t="shared" si="1"/>
        <v>1</v>
      </c>
      <c r="I58" t="str">
        <f>IF(FT!B58&lt;&gt;"",FT!E58,"")</f>
        <v>1 [22.748989]</v>
      </c>
      <c r="J58">
        <f>IF(FT!B58&lt;&gt;"",FT!C58,"")</f>
        <v>22.748999999999999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180358</v>
      </c>
      <c r="D59" s="61">
        <f>FH!B59*1</f>
        <v>180358</v>
      </c>
      <c r="E59">
        <f t="shared" si="3"/>
        <v>57</v>
      </c>
      <c r="F59" s="61">
        <f>IF(FT!A59&lt;&gt;"",FT!A59*10,"")</f>
        <v>2.98861</v>
      </c>
      <c r="G59" s="61">
        <f>IF(FT!B59&lt;&gt;"",FT!B59*100,"")</f>
        <v>23.883900000000001</v>
      </c>
      <c r="H59" s="61">
        <f t="shared" si="1"/>
        <v>1</v>
      </c>
      <c r="I59" t="str">
        <f>IF(FT!B59&lt;&gt;"",FT!E59,"")</f>
        <v>1 [23.152923]</v>
      </c>
      <c r="J59">
        <f>IF(FT!B59&lt;&gt;"",FT!C59,"")</f>
        <v>23.152899999999999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2.9786899999999998</v>
      </c>
      <c r="G60" s="61">
        <f>IF(FT!B60&lt;&gt;"",FT!B60*100,"")</f>
        <v>23.781099999999999</v>
      </c>
      <c r="H60" s="61">
        <f t="shared" si="1"/>
        <v>1</v>
      </c>
      <c r="I60" t="str">
        <f>IF(FT!B60&lt;&gt;"",FT!E60,"")</f>
        <v>1 [23.558868]</v>
      </c>
      <c r="J60">
        <f>IF(FT!B60&lt;&gt;"",FT!C60,"")</f>
        <v>23.558900000000001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2.9634500000000004</v>
      </c>
      <c r="G61" s="61">
        <f>IF(FT!B61&lt;&gt;"",FT!B61*100,"")</f>
        <v>23.613500000000002</v>
      </c>
      <c r="H61" s="61">
        <f t="shared" si="1"/>
        <v>1</v>
      </c>
      <c r="I61" t="str">
        <f>IF(FT!B61&lt;&gt;"",FT!E61,"")</f>
        <v>1 [23.964858]</v>
      </c>
      <c r="J61">
        <f>IF(FT!B61&lt;&gt;"",FT!C61,"")</f>
        <v>23.9649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183155</v>
      </c>
      <c r="D62" s="61">
        <f>FH!B62*1</f>
        <v>183155</v>
      </c>
      <c r="E62">
        <f t="shared" si="3"/>
        <v>60</v>
      </c>
      <c r="F62" s="61">
        <f>IF(FT!A62&lt;&gt;"",FT!A62*10,"")</f>
        <v>2.9425800000000004</v>
      </c>
      <c r="G62" s="61">
        <f>IF(FT!B62&lt;&gt;"",FT!B62*100,"")</f>
        <v>23.355600000000003</v>
      </c>
      <c r="H62" s="61">
        <f t="shared" si="1"/>
        <v>1</v>
      </c>
      <c r="I62" t="str">
        <f>IF(FT!B62&lt;&gt;"",FT!E62,"")</f>
        <v>1 [24.375526]</v>
      </c>
      <c r="J62">
        <f>IF(FT!B62&lt;&gt;"",FT!C62,"")</f>
        <v>24.375499999999999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2.92455</v>
      </c>
      <c r="G63" s="61">
        <f>IF(FT!B63&lt;&gt;"",FT!B63*100,"")</f>
        <v>23.135400000000001</v>
      </c>
      <c r="H63" s="61">
        <f t="shared" si="1"/>
        <v>1</v>
      </c>
      <c r="I63" t="str">
        <f>IF(FT!B63&lt;&gt;"",FT!E63,"")</f>
        <v>1 [24.779454]</v>
      </c>
      <c r="J63">
        <f>IF(FT!B63&lt;&gt;"",FT!C63,"")</f>
        <v>24.779499999999999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178230</v>
      </c>
      <c r="D64" s="61">
        <f>FH!B64*1</f>
        <v>178230</v>
      </c>
      <c r="E64">
        <f t="shared" si="3"/>
        <v>62</v>
      </c>
      <c r="F64" s="61">
        <f>IF(FT!A64&lt;&gt;"",FT!A64*10,"")</f>
        <v>2.9093299999999997</v>
      </c>
      <c r="G64" s="61">
        <f>IF(FT!B64&lt;&gt;"",FT!B64*100,"")</f>
        <v>23.037199999999999</v>
      </c>
      <c r="H64" s="61">
        <f t="shared" si="1"/>
        <v>1</v>
      </c>
      <c r="I64" t="str">
        <f>IF(FT!B64&lt;&gt;"",FT!E64,"")</f>
        <v>1 [25.182921]</v>
      </c>
      <c r="J64">
        <f>IF(FT!B64&lt;&gt;"",FT!C64,"")</f>
        <v>25.1829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2.8828999999999998</v>
      </c>
      <c r="G65" s="61">
        <f>IF(FT!B65&lt;&gt;"",FT!B65*100,"")</f>
        <v>23.010999999999999</v>
      </c>
      <c r="H65" s="61">
        <f t="shared" si="1"/>
        <v>1</v>
      </c>
      <c r="I65" t="str">
        <f>IF(FT!B65&lt;&gt;"",FT!E65,"")</f>
        <v>1 [25.593295]</v>
      </c>
      <c r="J65">
        <f>IF(FT!B65&lt;&gt;"",FT!C65,"")</f>
        <v>25.593299999999999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2.8668300000000002</v>
      </c>
      <c r="G66" s="61">
        <f>IF(FT!B66&lt;&gt;"",FT!B66*100,"")</f>
        <v>23.069600000000001</v>
      </c>
      <c r="H66" s="61">
        <f t="shared" si="1"/>
        <v>1</v>
      </c>
      <c r="I66" t="str">
        <f>IF(FT!B66&lt;&gt;"",FT!E66,"")</f>
        <v>1 [25.999575]</v>
      </c>
      <c r="J66">
        <f>IF(FT!B66&lt;&gt;"",FT!C66,"")</f>
        <v>25.999600000000001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166514</v>
      </c>
      <c r="D67" s="61">
        <f>FH!B67*1</f>
        <v>166514</v>
      </c>
      <c r="E67">
        <f t="shared" si="3"/>
        <v>65</v>
      </c>
      <c r="F67" s="61">
        <f>IF(FT!A67&lt;&gt;"",FT!A67*10,"")</f>
        <v>2.8466499999999999</v>
      </c>
      <c r="G67" s="61">
        <f>IF(FT!B67&lt;&gt;"",FT!B67*100,"")</f>
        <v>23.100100000000001</v>
      </c>
      <c r="H67" s="61">
        <f t="shared" ref="H67:H130" si="9">(IF(F67&lt;&gt;"",1,""))</f>
        <v>1</v>
      </c>
      <c r="I67" t="str">
        <f>IF(FT!B67&lt;&gt;"",FT!E67,"")</f>
        <v>1 [26.405122]</v>
      </c>
      <c r="J67">
        <f>IF(FT!B67&lt;&gt;"",FT!C67,"")</f>
        <v>26.405100000000001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2.8283700000000001</v>
      </c>
      <c r="G68" s="61">
        <f>IF(FT!B68&lt;&gt;"",FT!B68*100,"")</f>
        <v>23.132400000000001</v>
      </c>
      <c r="H68" s="61">
        <f t="shared" si="9"/>
        <v>1</v>
      </c>
      <c r="I68" t="str">
        <f>IF(FT!B68&lt;&gt;"",FT!E68,"")</f>
        <v>1 [26.808462]</v>
      </c>
      <c r="J68">
        <f>IF(FT!B68&lt;&gt;"",FT!C68,"")</f>
        <v>26.808499999999999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162640</v>
      </c>
      <c r="D69" s="61">
        <f>FH!B69*1</f>
        <v>162640</v>
      </c>
      <c r="E69">
        <f t="shared" si="11"/>
        <v>67</v>
      </c>
      <c r="F69" s="61">
        <f>IF(FT!A69&lt;&gt;"",FT!A69*10,"")</f>
        <v>2.8047699999999995</v>
      </c>
      <c r="G69" s="61">
        <f>IF(FT!B69&lt;&gt;"",FT!B69*100,"")</f>
        <v>23.270399999999999</v>
      </c>
      <c r="H69" s="61">
        <f t="shared" si="9"/>
        <v>1</v>
      </c>
      <c r="I69" t="str">
        <f>IF(FT!B69&lt;&gt;"",FT!E69,"")</f>
        <v>1 [27.217652]</v>
      </c>
      <c r="J69">
        <f>IF(FT!B69&lt;&gt;"",FT!C69,"")</f>
        <v>27.217700000000001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2.78607</v>
      </c>
      <c r="G70" s="61">
        <f>IF(FT!B70&lt;&gt;"",FT!B70*100,"")</f>
        <v>23.363900000000001</v>
      </c>
      <c r="H70" s="61">
        <f t="shared" si="9"/>
        <v>1</v>
      </c>
      <c r="I70" t="str">
        <f>IF(FT!B70&lt;&gt;"",FT!E70,"")</f>
        <v>1 [27.623292]</v>
      </c>
      <c r="J70">
        <f>IF(FT!B70&lt;&gt;"",FT!C70,"")</f>
        <v>27.6233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2.76885</v>
      </c>
      <c r="G71" s="61">
        <f>IF(FT!B71&lt;&gt;"",FT!B71*100,"")</f>
        <v>23.416600000000003</v>
      </c>
      <c r="H71" s="61">
        <f t="shared" si="9"/>
        <v>1</v>
      </c>
      <c r="I71" t="str">
        <f>IF(FT!B71&lt;&gt;"",FT!E71,"")</f>
        <v>1 [28.031137]</v>
      </c>
      <c r="J71">
        <f>IF(FT!B71&lt;&gt;"",FT!C71,"")</f>
        <v>28.031099999999999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143126</v>
      </c>
      <c r="D72" s="61">
        <f>FH!B72*1</f>
        <v>143126</v>
      </c>
      <c r="E72">
        <f t="shared" si="11"/>
        <v>70</v>
      </c>
      <c r="F72" s="61">
        <f>IF(FT!A72&lt;&gt;"",FT!A72*10,"")</f>
        <v>2.7521800000000001</v>
      </c>
      <c r="G72" s="61">
        <f>IF(FT!B72&lt;&gt;"",FT!B72*100,"")</f>
        <v>23.458000000000002</v>
      </c>
      <c r="H72" s="61">
        <f t="shared" si="9"/>
        <v>1</v>
      </c>
      <c r="I72" t="str">
        <f>IF(FT!B72&lt;&gt;"",FT!E72,"")</f>
        <v>1 [28.437353]</v>
      </c>
      <c r="J72">
        <f>IF(FT!B72&lt;&gt;"",FT!C72,"")</f>
        <v>28.4374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2.7392799999999999</v>
      </c>
      <c r="G73" s="61">
        <f>IF(FT!B73&lt;&gt;"",FT!B73*100,"")</f>
        <v>23.4054</v>
      </c>
      <c r="H73" s="61">
        <f t="shared" si="9"/>
        <v>1</v>
      </c>
      <c r="I73" t="str">
        <f>IF(FT!B73&lt;&gt;"",FT!E73,"")</f>
        <v>1 [28.839143]</v>
      </c>
      <c r="J73">
        <f>IF(FT!B73&lt;&gt;"",FT!C73,"")</f>
        <v>28.839099999999998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2.7179199999999999</v>
      </c>
      <c r="G74" s="61">
        <f>IF(FT!B74&lt;&gt;"",FT!B74*100,"")</f>
        <v>23.5215</v>
      </c>
      <c r="H74" s="61">
        <f t="shared" si="9"/>
        <v>1</v>
      </c>
      <c r="I74" t="str">
        <f>IF(FT!B74&lt;&gt;"",FT!E74,"")</f>
        <v>1 [29.246956]</v>
      </c>
      <c r="J74">
        <f>IF(FT!B74&lt;&gt;"",FT!C74,"")</f>
        <v>29.247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127474</v>
      </c>
      <c r="D75" s="61">
        <f>FH!B75*1</f>
        <v>127474</v>
      </c>
      <c r="E75">
        <f t="shared" si="11"/>
        <v>73</v>
      </c>
      <c r="F75" s="61">
        <f>IF(FT!A75&lt;&gt;"",FT!A75*10,"")</f>
        <v>2.7037699999999996</v>
      </c>
      <c r="G75" s="61">
        <f>IF(FT!B75&lt;&gt;"",FT!B75*100,"")</f>
        <v>23.584900000000001</v>
      </c>
      <c r="H75" s="61">
        <f t="shared" si="9"/>
        <v>1</v>
      </c>
      <c r="I75" t="str">
        <f>IF(FT!B75&lt;&gt;"",FT!E75,"")</f>
        <v>1 [29.653461]</v>
      </c>
      <c r="J75">
        <f>IF(FT!B75&lt;&gt;"",FT!C75,"")</f>
        <v>29.653500000000001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2.6836500000000001</v>
      </c>
      <c r="G76" s="61">
        <f>IF(FT!B76&lt;&gt;"",FT!B76*100,"")</f>
        <v>23.963100000000001</v>
      </c>
      <c r="H76" s="61">
        <f t="shared" si="9"/>
        <v>1</v>
      </c>
      <c r="I76" t="str">
        <f>IF(FT!B76&lt;&gt;"",FT!E76,"")</f>
        <v>2 [30.059972]</v>
      </c>
      <c r="J76">
        <f>IF(FT!B76&lt;&gt;"",FT!C76,"")</f>
        <v>30.06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114744</v>
      </c>
      <c r="D77" s="61">
        <f>FH!B77*1</f>
        <v>114744</v>
      </c>
      <c r="E77">
        <f t="shared" si="11"/>
        <v>75</v>
      </c>
      <c r="F77" s="61">
        <f>IF(FT!A77&lt;&gt;"",FT!A77*10,"")</f>
        <v>2.6591800000000001</v>
      </c>
      <c r="G77" s="61">
        <f>IF(FT!B77&lt;&gt;"",FT!B77*100,"")</f>
        <v>24.588799999999999</v>
      </c>
      <c r="H77" s="61">
        <f t="shared" si="9"/>
        <v>1</v>
      </c>
      <c r="I77" t="str">
        <f>IF(FT!B77&lt;&gt;"",FT!E77,"")</f>
        <v>2 [30.512066]</v>
      </c>
      <c r="J77">
        <f>IF(FT!B77&lt;&gt;"",FT!C77,"")</f>
        <v>30.5121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2.64039</v>
      </c>
      <c r="G78" s="61">
        <f>IF(FT!B78&lt;&gt;"",FT!B78*100,"")</f>
        <v>24.947800000000001</v>
      </c>
      <c r="H78" s="61">
        <f t="shared" si="9"/>
        <v>1</v>
      </c>
      <c r="I78" t="str">
        <f>IF(FT!B78&lt;&gt;"",FT!E78,"")</f>
        <v>2 [30.919435]</v>
      </c>
      <c r="J78">
        <f>IF(FT!B78&lt;&gt;"",FT!C78,"")</f>
        <v>30.9194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2.6239800000000004</v>
      </c>
      <c r="G79" s="61">
        <f>IF(FT!B79&lt;&gt;"",FT!B79*100,"")</f>
        <v>25.238599999999998</v>
      </c>
      <c r="H79" s="61">
        <f t="shared" si="9"/>
        <v>1</v>
      </c>
      <c r="I79" t="str">
        <f>IF(FT!B79&lt;&gt;"",FT!E79,"")</f>
        <v>2 [31.326657]</v>
      </c>
      <c r="J79">
        <f>IF(FT!B79&lt;&gt;"",FT!C79,"")</f>
        <v>31.326699999999999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103668</v>
      </c>
      <c r="D80" s="61">
        <f>FH!B80*1</f>
        <v>103668</v>
      </c>
      <c r="E80">
        <f t="shared" si="11"/>
        <v>78</v>
      </c>
      <c r="F80" s="61">
        <f>IF(FT!A80&lt;&gt;"",FT!A80*10,"")</f>
        <v>2.6131500000000001</v>
      </c>
      <c r="G80" s="61">
        <f>IF(FT!B80&lt;&gt;"",FT!B80*100,"")</f>
        <v>25.445099999999996</v>
      </c>
      <c r="H80" s="61">
        <f t="shared" si="9"/>
        <v>1</v>
      </c>
      <c r="I80" t="str">
        <f>IF(FT!B80&lt;&gt;"",FT!E80,"")</f>
        <v>2 [31.733875]</v>
      </c>
      <c r="J80">
        <f>IF(FT!B80&lt;&gt;"",FT!C80,"")</f>
        <v>31.733899999999998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2.6032799999999998</v>
      </c>
      <c r="G81" s="61">
        <f>IF(FT!B81&lt;&gt;"",FT!B81*100,"")</f>
        <v>25.643999999999998</v>
      </c>
      <c r="H81" s="61">
        <f t="shared" si="9"/>
        <v>1</v>
      </c>
      <c r="I81" t="str">
        <f>IF(FT!B81&lt;&gt;"",FT!E81,"")</f>
        <v>2 [32.135468]</v>
      </c>
      <c r="J81">
        <f>IF(FT!B81&lt;&gt;"",FT!C81,"")</f>
        <v>32.1355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91362</v>
      </c>
      <c r="D82" s="61">
        <f>FH!B82*1</f>
        <v>91362</v>
      </c>
      <c r="E82">
        <f t="shared" si="11"/>
        <v>80</v>
      </c>
      <c r="F82" s="61">
        <f>IF(FT!A82&lt;&gt;"",FT!A82*10,"")</f>
        <v>2.5930499999999999</v>
      </c>
      <c r="G82" s="61">
        <f>IF(FT!B82&lt;&gt;"",FT!B82*100,"")</f>
        <v>25.916899999999998</v>
      </c>
      <c r="H82" s="61">
        <f t="shared" si="9"/>
        <v>1</v>
      </c>
      <c r="I82" t="str">
        <f>IF(FT!B82&lt;&gt;"",FT!E82,"")</f>
        <v>2 [32.542866]</v>
      </c>
      <c r="J82">
        <f>IF(FT!B82&lt;&gt;"",FT!C82,"")</f>
        <v>32.542900000000003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2.5854400000000002</v>
      </c>
      <c r="G83" s="61">
        <f>IF(FT!B83&lt;&gt;"",FT!B83*100,"")</f>
        <v>26.2193</v>
      </c>
      <c r="H83" s="61">
        <f t="shared" si="9"/>
        <v>1</v>
      </c>
      <c r="I83" t="str">
        <f>IF(FT!B83&lt;&gt;"",FT!E83,"")</f>
        <v>2 [32.949236]</v>
      </c>
      <c r="J83">
        <f>IF(FT!B83&lt;&gt;"",FT!C83,"")</f>
        <v>32.949199999999998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2.5804200000000002</v>
      </c>
      <c r="G84" s="61">
        <f>IF(FT!B84&lt;&gt;"",FT!B84*100,"")</f>
        <v>26.405899999999999</v>
      </c>
      <c r="H84" s="61">
        <f t="shared" si="9"/>
        <v>1</v>
      </c>
      <c r="I84" t="str">
        <f>IF(FT!B84&lt;&gt;"",FT!E84,"")</f>
        <v>2 [33.357248]</v>
      </c>
      <c r="J84">
        <f>IF(FT!B84&lt;&gt;"",FT!C84,"")</f>
        <v>33.357199999999999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82306</v>
      </c>
      <c r="D85" s="61">
        <f>FH!B85*1</f>
        <v>82306</v>
      </c>
      <c r="E85">
        <f t="shared" si="11"/>
        <v>83</v>
      </c>
      <c r="F85" s="61">
        <f>IF(FT!A85&lt;&gt;"",FT!A85*10,"")</f>
        <v>2.5784099999999999</v>
      </c>
      <c r="G85" s="61">
        <f>IF(FT!B85&lt;&gt;"",FT!B85*100,"")</f>
        <v>26.550899999999999</v>
      </c>
      <c r="H85" s="61">
        <f t="shared" si="9"/>
        <v>1</v>
      </c>
      <c r="I85" t="str">
        <f>IF(FT!B85&lt;&gt;"",FT!E85,"")</f>
        <v>2 [33.763169]</v>
      </c>
      <c r="J85">
        <f>IF(FT!B85&lt;&gt;"",FT!C85,"")</f>
        <v>33.763199999999998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2.57517</v>
      </c>
      <c r="G86" s="61">
        <f>IF(FT!B86&lt;&gt;"",FT!B86*100,"")</f>
        <v>26.7455</v>
      </c>
      <c r="H86" s="61">
        <f t="shared" si="9"/>
        <v>1</v>
      </c>
      <c r="I86" t="str">
        <f>IF(FT!B86&lt;&gt;"",FT!E86,"")</f>
        <v>2 [34.171720]</v>
      </c>
      <c r="J86">
        <f>IF(FT!B86&lt;&gt;"",FT!C86,"")</f>
        <v>34.171700000000001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2.5719799999999999</v>
      </c>
      <c r="G87" s="61">
        <f>IF(FT!B87&lt;&gt;"",FT!B87*100,"")</f>
        <v>26.911300000000001</v>
      </c>
      <c r="H87" s="61">
        <f t="shared" si="9"/>
        <v>1</v>
      </c>
      <c r="I87" t="str">
        <f>IF(FT!B87&lt;&gt;"",FT!E87,"")</f>
        <v>2 [34.576077]</v>
      </c>
      <c r="J87">
        <f>IF(FT!B87&lt;&gt;"",FT!C87,"")</f>
        <v>34.576099999999997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68085</v>
      </c>
      <c r="D88" s="61">
        <f>FH!B88*1</f>
        <v>68085</v>
      </c>
      <c r="E88">
        <f t="shared" si="11"/>
        <v>86</v>
      </c>
      <c r="F88" s="61">
        <f>IF(FT!A88&lt;&gt;"",FT!A88*10,"")</f>
        <v>2.5686900000000001</v>
      </c>
      <c r="G88" s="61">
        <f>IF(FT!B88&lt;&gt;"",FT!B88*100,"")</f>
        <v>27.072600000000001</v>
      </c>
      <c r="H88" s="61">
        <f t="shared" si="9"/>
        <v>1</v>
      </c>
      <c r="I88" t="str">
        <f>IF(FT!B88&lt;&gt;"",FT!E88,"")</f>
        <v>2 [34.981365]</v>
      </c>
      <c r="J88">
        <f>IF(FT!B88&lt;&gt;"",FT!C88,"")</f>
        <v>34.981400000000001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2.5658700000000003</v>
      </c>
      <c r="G89" s="61">
        <f>IF(FT!B89&lt;&gt;"",FT!B89*100,"")</f>
        <v>27.194600000000001</v>
      </c>
      <c r="H89" s="61">
        <f t="shared" si="9"/>
        <v>1</v>
      </c>
      <c r="I89" t="str">
        <f>IF(FT!B89&lt;&gt;"",FT!E89,"")</f>
        <v>2 [35.387561]</v>
      </c>
      <c r="J89">
        <f>IF(FT!B89&lt;&gt;"",FT!C89,"")</f>
        <v>35.387599999999999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62402</v>
      </c>
      <c r="D90" s="61">
        <f>FH!B90*1</f>
        <v>62402</v>
      </c>
      <c r="E90">
        <f t="shared" si="11"/>
        <v>88</v>
      </c>
      <c r="F90" s="61">
        <f>IF(FT!A90&lt;&gt;"",FT!A90*10,"")</f>
        <v>2.5601600000000002</v>
      </c>
      <c r="G90" s="61">
        <f>IF(FT!B90&lt;&gt;"",FT!B90*100,"")</f>
        <v>27.4343</v>
      </c>
      <c r="H90" s="61">
        <f t="shared" si="9"/>
        <v>1</v>
      </c>
      <c r="I90" t="str">
        <f>IF(FT!B90&lt;&gt;"",FT!E90,"")</f>
        <v>2 [35.794315]</v>
      </c>
      <c r="J90">
        <f>IF(FT!B90&lt;&gt;"",FT!C90,"")</f>
        <v>35.7943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2.5523400000000001</v>
      </c>
      <c r="G91" s="61">
        <f>IF(FT!B91&lt;&gt;"",FT!B91*100,"")</f>
        <v>27.741399999999999</v>
      </c>
      <c r="H91" s="61">
        <f t="shared" si="9"/>
        <v>1</v>
      </c>
      <c r="I91" t="str">
        <f>IF(FT!B91&lt;&gt;"",FT!E91,"")</f>
        <v>2 [36.200078]</v>
      </c>
      <c r="J91">
        <f>IF(FT!B91&lt;&gt;"",FT!C91,"")</f>
        <v>36.200099999999999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2.54623</v>
      </c>
      <c r="G92" s="61">
        <f>IF(FT!B92&lt;&gt;"",FT!B92*100,"")</f>
        <v>28.033200000000001</v>
      </c>
      <c r="H92" s="61">
        <f t="shared" si="9"/>
        <v>1</v>
      </c>
      <c r="I92" t="str">
        <f>IF(FT!B92&lt;&gt;"",FT!E92,"")</f>
        <v>2 [36.608259]</v>
      </c>
      <c r="J92">
        <f>IF(FT!B92&lt;&gt;"",FT!C92,"")</f>
        <v>36.6083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59208</v>
      </c>
      <c r="D93" s="61">
        <f>FH!B93*1</f>
        <v>59208</v>
      </c>
      <c r="E93">
        <f t="shared" si="11"/>
        <v>91</v>
      </c>
      <c r="F93" s="61">
        <f>IF(FT!A93&lt;&gt;"",FT!A93*10,"")</f>
        <v>2.5412400000000002</v>
      </c>
      <c r="G93" s="61">
        <f>IF(FT!B93&lt;&gt;"",FT!B93*100,"")</f>
        <v>28.217500000000001</v>
      </c>
      <c r="H93" s="61">
        <f t="shared" si="9"/>
        <v>1</v>
      </c>
      <c r="I93" t="str">
        <f>IF(FT!B93&lt;&gt;"",FT!E93,"")</f>
        <v>2 [37.015279]</v>
      </c>
      <c r="J93">
        <f>IF(FT!B93&lt;&gt;"",FT!C93,"")</f>
        <v>37.015300000000003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2.5392299999999999</v>
      </c>
      <c r="G94" s="61">
        <f>IF(FT!B94&lt;&gt;"",FT!B94*100,"")</f>
        <v>28.235500000000002</v>
      </c>
      <c r="H94" s="61">
        <f t="shared" si="9"/>
        <v>1</v>
      </c>
      <c r="I94" t="str">
        <f>IF(FT!B94&lt;&gt;"",FT!E94,"")</f>
        <v>2 [37.418231]</v>
      </c>
      <c r="J94">
        <f>IF(FT!B94&lt;&gt;"",FT!C94,"")</f>
        <v>37.418199999999999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59415</v>
      </c>
      <c r="D95" s="61">
        <f>FH!B95*1</f>
        <v>59415</v>
      </c>
      <c r="E95">
        <f t="shared" si="11"/>
        <v>93</v>
      </c>
      <c r="F95" s="61">
        <f>IF(FT!A95&lt;&gt;"",FT!A95*10,"")</f>
        <v>2.5381499999999999</v>
      </c>
      <c r="G95" s="61">
        <f>IF(FT!B95&lt;&gt;"",FT!B95*100,"")</f>
        <v>28.1995</v>
      </c>
      <c r="H95" s="61">
        <f t="shared" si="9"/>
        <v>1</v>
      </c>
      <c r="I95" t="str">
        <f>IF(FT!B95&lt;&gt;"",FT!E95,"")</f>
        <v>2 [37.824982]</v>
      </c>
      <c r="J95">
        <f>IF(FT!B95&lt;&gt;"",FT!C95,"")</f>
        <v>37.825000000000003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2.5370900000000001</v>
      </c>
      <c r="G96" s="61">
        <f>IF(FT!B96&lt;&gt;"",FT!B96*100,"")</f>
        <v>28.099499999999999</v>
      </c>
      <c r="H96" s="61">
        <f t="shared" si="9"/>
        <v>1</v>
      </c>
      <c r="I96" t="str">
        <f>IF(FT!B96&lt;&gt;"",FT!E96,"")</f>
        <v>2 [38.232084]</v>
      </c>
      <c r="J96">
        <f>IF(FT!B96&lt;&gt;"",FT!C96,"")</f>
        <v>38.232100000000003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2.5354799999999997</v>
      </c>
      <c r="G97" s="61">
        <f>IF(FT!B97&lt;&gt;"",FT!B97*100,"")</f>
        <v>27.9465</v>
      </c>
      <c r="H97" s="61">
        <f t="shared" si="9"/>
        <v>1</v>
      </c>
      <c r="I97" t="str">
        <f>IF(FT!B97&lt;&gt;"",FT!E97,"")</f>
        <v>2 [38.641291]</v>
      </c>
      <c r="J97">
        <f>IF(FT!B97&lt;&gt;"",FT!C97,"")</f>
        <v>38.641300000000001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57476</v>
      </c>
      <c r="D98" s="61">
        <f>FH!B98*1</f>
        <v>57476</v>
      </c>
      <c r="E98">
        <f t="shared" si="11"/>
        <v>96</v>
      </c>
      <c r="F98" s="61">
        <f>IF(FT!A98&lt;&gt;"",FT!A98*10,"")</f>
        <v>2.5357600000000002</v>
      </c>
      <c r="G98" s="61">
        <f>IF(FT!B98&lt;&gt;"",FT!B98*100,"")</f>
        <v>27.682099999999998</v>
      </c>
      <c r="H98" s="61">
        <f t="shared" si="9"/>
        <v>1</v>
      </c>
      <c r="I98" t="str">
        <f>IF(FT!B98&lt;&gt;"",FT!E98,"")</f>
        <v>2 [39.045551]</v>
      </c>
      <c r="J98">
        <f>IF(FT!B98&lt;&gt;"",FT!C98,"")</f>
        <v>39.0456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2.5359400000000001</v>
      </c>
      <c r="G99" s="61">
        <f>IF(FT!B99&lt;&gt;"",FT!B99*100,"")</f>
        <v>27.380900000000004</v>
      </c>
      <c r="H99" s="61">
        <f t="shared" si="9"/>
        <v>1</v>
      </c>
      <c r="I99" t="str">
        <f>IF(FT!B99&lt;&gt;"",FT!E99,"")</f>
        <v>2 [39.449862]</v>
      </c>
      <c r="J99">
        <f>IF(FT!B99&lt;&gt;"",FT!C99,"")</f>
        <v>39.4499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51333</v>
      </c>
      <c r="D100" s="61">
        <f>FH!B100*1</f>
        <v>51333</v>
      </c>
      <c r="E100">
        <f t="shared" si="11"/>
        <v>98</v>
      </c>
      <c r="F100" s="61">
        <f>IF(FT!A100&lt;&gt;"",FT!A100*10,"")</f>
        <v>2.53565</v>
      </c>
      <c r="G100" s="61">
        <f>IF(FT!B100&lt;&gt;"",FT!B100*100,"")</f>
        <v>27.046300000000002</v>
      </c>
      <c r="H100" s="61">
        <f t="shared" si="9"/>
        <v>1</v>
      </c>
      <c r="I100" t="str">
        <f>IF(FT!B100&lt;&gt;"",FT!E100,"")</f>
        <v>2 [39.854342]</v>
      </c>
      <c r="J100">
        <f>IF(FT!B100&lt;&gt;"",FT!C100,"")</f>
        <v>39.854300000000002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2.5351499999999998</v>
      </c>
      <c r="G101" s="61">
        <f>IF(FT!B101&lt;&gt;"",FT!B101*100,"")</f>
        <v>26.675500000000003</v>
      </c>
      <c r="H101" s="61">
        <f t="shared" si="9"/>
        <v>1</v>
      </c>
      <c r="I101" t="str">
        <f>IF(FT!B101&lt;&gt;"",FT!E101,"")</f>
        <v>2 [40.264449]</v>
      </c>
      <c r="J101">
        <f>IF(FT!B101&lt;&gt;"",FT!C101,"")</f>
        <v>40.264400000000002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2.5333600000000001</v>
      </c>
      <c r="G102" s="61">
        <f>IF(FT!B102&lt;&gt;"",FT!B102*100,"")</f>
        <v>26.258399999999998</v>
      </c>
      <c r="H102" s="61">
        <f t="shared" si="9"/>
        <v>1</v>
      </c>
      <c r="I102" t="str">
        <f>IF(FT!B102&lt;&gt;"",FT!E102,"")</f>
        <v>2 [40.671208]</v>
      </c>
      <c r="J102">
        <f>IF(FT!B102&lt;&gt;"",FT!C102,"")</f>
        <v>40.671199999999999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47624</v>
      </c>
      <c r="D103" s="61">
        <f>FH!B103*1</f>
        <v>47624</v>
      </c>
      <c r="E103">
        <f t="shared" si="11"/>
        <v>101</v>
      </c>
      <c r="F103" s="61">
        <f>IF(FT!A103&lt;&gt;"",FT!A103*10,"")</f>
        <v>2.5289899999999998</v>
      </c>
      <c r="G103" s="61">
        <f>IF(FT!B103&lt;&gt;"",FT!B103*100,"")</f>
        <v>25.806699999999999</v>
      </c>
      <c r="H103" s="61">
        <f t="shared" si="9"/>
        <v>1</v>
      </c>
      <c r="I103" t="str">
        <f>IF(FT!B103&lt;&gt;"",FT!E103,"")</f>
        <v>2 [41.078312]</v>
      </c>
      <c r="J103">
        <f>IF(FT!B103&lt;&gt;"",FT!C103,"")</f>
        <v>41.078299999999999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2.5212499999999998</v>
      </c>
      <c r="G104" s="61">
        <f>IF(FT!B104&lt;&gt;"",FT!B104*100,"")</f>
        <v>25.375999999999998</v>
      </c>
      <c r="H104" s="61">
        <f t="shared" si="9"/>
        <v>1</v>
      </c>
      <c r="I104" t="str">
        <f>IF(FT!B104&lt;&gt;"",FT!E104,"")</f>
        <v>2 [41.482042]</v>
      </c>
      <c r="J104">
        <f>IF(FT!B104&lt;&gt;"",FT!C104,"")</f>
        <v>41.481999999999999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2.5126999999999997</v>
      </c>
      <c r="G105" s="61">
        <f>IF(FT!B105&lt;&gt;"",FT!B105*100,"")</f>
        <v>24.892099999999999</v>
      </c>
      <c r="H105" s="61">
        <f t="shared" si="9"/>
        <v>1</v>
      </c>
      <c r="I105" t="str">
        <f>IF(FT!B105&lt;&gt;"",FT!E105,"")</f>
        <v>2 [41.885858]</v>
      </c>
      <c r="J105">
        <f>IF(FT!B105&lt;&gt;"",FT!C105,"")</f>
        <v>41.885899999999999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41931</v>
      </c>
      <c r="D106" s="61">
        <f>FH!B106*1</f>
        <v>41931</v>
      </c>
      <c r="E106">
        <f t="shared" si="11"/>
        <v>104</v>
      </c>
      <c r="F106" s="61">
        <f>IF(FT!A106&lt;&gt;"",FT!A106*10,"")</f>
        <v>2.50427</v>
      </c>
      <c r="G106" s="61">
        <f>IF(FT!B106&lt;&gt;"",FT!B106*100,"")</f>
        <v>24.403700000000001</v>
      </c>
      <c r="H106" s="61">
        <f t="shared" si="9"/>
        <v>1</v>
      </c>
      <c r="I106" t="str">
        <f>IF(FT!B106&lt;&gt;"",FT!E106,"")</f>
        <v>2 [42.295612]</v>
      </c>
      <c r="J106">
        <f>IF(FT!B106&lt;&gt;"",FT!C106,"")</f>
        <v>42.2956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2.4931900000000002</v>
      </c>
      <c r="G107" s="61">
        <f>IF(FT!B107&lt;&gt;"",FT!B107*100,"")</f>
        <v>23.925000000000001</v>
      </c>
      <c r="H107" s="61">
        <f t="shared" si="9"/>
        <v>1</v>
      </c>
      <c r="I107" t="str">
        <f>IF(FT!B107&lt;&gt;"",FT!E107,"")</f>
        <v>2 [42.702571]</v>
      </c>
      <c r="J107">
        <f>IF(FT!B107&lt;&gt;"",FT!C107,"")</f>
        <v>42.702599999999997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39847</v>
      </c>
      <c r="D108" s="61">
        <f>FH!B108*1</f>
        <v>39847</v>
      </c>
      <c r="E108">
        <f t="shared" si="11"/>
        <v>106</v>
      </c>
      <c r="F108" s="61">
        <f>IF(FT!A108&lt;&gt;"",FT!A108*10,"")</f>
        <v>2.4812000000000003</v>
      </c>
      <c r="G108" s="61">
        <f>IF(FT!B108&lt;&gt;"",FT!B108*100,"")</f>
        <v>23.372599999999998</v>
      </c>
      <c r="H108" s="61">
        <f t="shared" si="9"/>
        <v>1</v>
      </c>
      <c r="I108" t="str">
        <f>IF(FT!B108&lt;&gt;"",FT!E108,"")</f>
        <v>2 [43.108040]</v>
      </c>
      <c r="J108">
        <f>IF(FT!B108&lt;&gt;"",FT!C108,"")</f>
        <v>43.107999999999997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2.47052</v>
      </c>
      <c r="G109" s="61">
        <f>IF(FT!B109&lt;&gt;"",FT!B109*100,"")</f>
        <v>22.782599999999999</v>
      </c>
      <c r="H109" s="61">
        <f t="shared" si="9"/>
        <v>1</v>
      </c>
      <c r="I109" t="str">
        <f>IF(FT!B109&lt;&gt;"",FT!E109,"")</f>
        <v>2 [43.513352]</v>
      </c>
      <c r="J109">
        <f>IF(FT!B109&lt;&gt;"",FT!C109,"")</f>
        <v>43.513399999999997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2.4577599999999999</v>
      </c>
      <c r="G110" s="61">
        <f>IF(FT!B110&lt;&gt;"",FT!B110*100,"")</f>
        <v>22.366299999999999</v>
      </c>
      <c r="H110" s="61">
        <f t="shared" si="9"/>
        <v>1</v>
      </c>
      <c r="I110" t="str">
        <f>IF(FT!B110&lt;&gt;"",FT!E110,"")</f>
        <v>2 [43.919688]</v>
      </c>
      <c r="J110">
        <f>IF(FT!B110&lt;&gt;"",FT!C110,"")</f>
        <v>43.919699999999999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40472</v>
      </c>
      <c r="D111" s="61">
        <f>FH!B111*1</f>
        <v>40472</v>
      </c>
      <c r="E111">
        <f t="shared" si="11"/>
        <v>109</v>
      </c>
      <c r="F111" s="61">
        <f>IF(FT!A111&lt;&gt;"",FT!A111*10,"")</f>
        <v>2.44983</v>
      </c>
      <c r="G111" s="61">
        <f>IF(FT!B111&lt;&gt;"",FT!B111*100,"")</f>
        <v>21.913499999999999</v>
      </c>
      <c r="H111" s="61">
        <f t="shared" si="9"/>
        <v>1</v>
      </c>
      <c r="I111" t="str">
        <f>IF(FT!B111&lt;&gt;"",FT!E111,"")</f>
        <v>2 [44.324805]</v>
      </c>
      <c r="J111">
        <f>IF(FT!B111&lt;&gt;"",FT!C111,"")</f>
        <v>44.324800000000003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2.4452099999999999</v>
      </c>
      <c r="G112" s="61">
        <f>IF(FT!B112&lt;&gt;"",FT!B112*100,"")</f>
        <v>21.5029</v>
      </c>
      <c r="H112" s="61">
        <f t="shared" si="9"/>
        <v>1</v>
      </c>
      <c r="I112" t="str">
        <f>IF(FT!B112&lt;&gt;"",FT!E112,"")</f>
        <v>2 [44.734355]</v>
      </c>
      <c r="J112">
        <f>IF(FT!B112&lt;&gt;"",FT!C112,"")</f>
        <v>44.734400000000001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35202</v>
      </c>
      <c r="D113" s="61">
        <f>FH!B113*1</f>
        <v>35202</v>
      </c>
      <c r="E113">
        <f t="shared" si="11"/>
        <v>111</v>
      </c>
      <c r="F113" s="61">
        <f>IF(FT!A113&lt;&gt;"",FT!A113*10,"")</f>
        <v>2.4432899999999997</v>
      </c>
      <c r="G113" s="61">
        <f>IF(FT!B113&lt;&gt;"",FT!B113*100,"")</f>
        <v>21.0884</v>
      </c>
      <c r="H113" s="61">
        <f t="shared" si="9"/>
        <v>1</v>
      </c>
      <c r="I113" t="str">
        <f>IF(FT!B113&lt;&gt;"",FT!E113,"")</f>
        <v>2 [45.143655]</v>
      </c>
      <c r="J113">
        <f>IF(FT!B113&lt;&gt;"",FT!C113,"")</f>
        <v>45.143700000000003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2.43953</v>
      </c>
      <c r="G114" s="61">
        <f>IF(FT!B114&lt;&gt;"",FT!B114*100,"")</f>
        <v>20.811399999999999</v>
      </c>
      <c r="H114" s="61">
        <f t="shared" si="9"/>
        <v>1</v>
      </c>
      <c r="I114" t="str">
        <f>IF(FT!B114&lt;&gt;"",FT!E114,"")</f>
        <v>2 [45.545389]</v>
      </c>
      <c r="J114">
        <f>IF(FT!B114&lt;&gt;"",FT!C114,"")</f>
        <v>45.545400000000001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2.4369700000000001</v>
      </c>
      <c r="G115" s="61">
        <f>IF(FT!B115&lt;&gt;"",FT!B115*100,"")</f>
        <v>20.516400000000001</v>
      </c>
      <c r="H115" s="61">
        <f t="shared" si="9"/>
        <v>1</v>
      </c>
      <c r="I115" t="str">
        <f>IF(FT!B115&lt;&gt;"",FT!E115,"")</f>
        <v>2 [45.950909]</v>
      </c>
      <c r="J115">
        <f>IF(FT!B115&lt;&gt;"",FT!C115,"")</f>
        <v>45.950899999999997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33035</v>
      </c>
      <c r="D116" s="61">
        <f>FH!B116*1</f>
        <v>33035</v>
      </c>
      <c r="E116">
        <f t="shared" si="11"/>
        <v>114</v>
      </c>
      <c r="F116" s="61">
        <f>IF(FT!A116&lt;&gt;"",FT!A116*10,"")</f>
        <v>2.43546</v>
      </c>
      <c r="G116" s="61">
        <f>IF(FT!B116&lt;&gt;"",FT!B116*100,"")</f>
        <v>20.241700000000002</v>
      </c>
      <c r="H116" s="61">
        <f t="shared" si="9"/>
        <v>1</v>
      </c>
      <c r="I116" t="str">
        <f>IF(FT!B116&lt;&gt;"",FT!E116,"")</f>
        <v>2 [46.360028]</v>
      </c>
      <c r="J116">
        <f>IF(FT!B116&lt;&gt;"",FT!C116,"")</f>
        <v>46.36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2.43228</v>
      </c>
      <c r="G117" s="61">
        <f>IF(FT!B117&lt;&gt;"",FT!B117*100,"")</f>
        <v>19.985099999999999</v>
      </c>
      <c r="H117" s="61">
        <f t="shared" si="9"/>
        <v>1</v>
      </c>
      <c r="I117" t="str">
        <f>IF(FT!B117&lt;&gt;"",FT!E117,"")</f>
        <v>2 [46.762908]</v>
      </c>
      <c r="J117">
        <f>IF(FT!B117&lt;&gt;"",FT!C117,"")</f>
        <v>46.762900000000002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30522</v>
      </c>
      <c r="D118" s="61">
        <f>FH!B118*1</f>
        <v>30522</v>
      </c>
      <c r="E118">
        <f t="shared" si="11"/>
        <v>116</v>
      </c>
      <c r="F118" s="61">
        <f>IF(FT!A118&lt;&gt;"",FT!A118*10,"")</f>
        <v>2.4281899999999998</v>
      </c>
      <c r="G118" s="61">
        <f>IF(FT!B118&lt;&gt;"",FT!B118*100,"")</f>
        <v>19.871200000000002</v>
      </c>
      <c r="H118" s="61">
        <f t="shared" si="9"/>
        <v>1</v>
      </c>
      <c r="I118" t="str">
        <f>IF(FT!B118&lt;&gt;"",FT!E118,"")</f>
        <v>2 [47.167853]</v>
      </c>
      <c r="J118">
        <f>IF(FT!B118&lt;&gt;"",FT!C118,"")</f>
        <v>47.167900000000003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2.4237600000000001</v>
      </c>
      <c r="G119" s="61">
        <f>IF(FT!B119&lt;&gt;"",FT!B119*100,"")</f>
        <v>19.933799999999998</v>
      </c>
      <c r="H119" s="61">
        <f t="shared" si="9"/>
        <v>1</v>
      </c>
      <c r="I119" t="str">
        <f>IF(FT!B119&lt;&gt;"",FT!E119,"")</f>
        <v>2 [47.575821]</v>
      </c>
      <c r="J119">
        <f>IF(FT!B119&lt;&gt;"",FT!C119,"")</f>
        <v>47.575800000000001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2.4184399999999999</v>
      </c>
      <c r="G120" s="61">
        <f>IF(FT!B120&lt;&gt;"",FT!B120*100,"")</f>
        <v>20.063600000000001</v>
      </c>
      <c r="H120" s="61">
        <f t="shared" si="9"/>
        <v>1</v>
      </c>
      <c r="I120" t="str">
        <f>IF(FT!B120&lt;&gt;"",FT!E120,"")</f>
        <v>2 [47.981189]</v>
      </c>
      <c r="J120">
        <f>IF(FT!B120&lt;&gt;"",FT!C120,"")</f>
        <v>47.981200000000001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29223</v>
      </c>
      <c r="D121" s="61">
        <f>FH!B121*1</f>
        <v>29223</v>
      </c>
      <c r="E121">
        <f t="shared" si="11"/>
        <v>119</v>
      </c>
      <c r="F121" s="61">
        <f>IF(FT!A121&lt;&gt;"",FT!A121*10,"")</f>
        <v>2.4131399999999998</v>
      </c>
      <c r="G121" s="61">
        <f>IF(FT!B121&lt;&gt;"",FT!B121*100,"")</f>
        <v>20.188600000000001</v>
      </c>
      <c r="H121" s="61">
        <f t="shared" si="9"/>
        <v>1</v>
      </c>
      <c r="I121" t="str">
        <f>IF(FT!B121&lt;&gt;"",FT!E121,"")</f>
        <v>2 [48.387604]</v>
      </c>
      <c r="J121">
        <f>IF(FT!B121&lt;&gt;"",FT!C121,"")</f>
        <v>48.387599999999999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2.4073899999999999</v>
      </c>
      <c r="G122" s="61">
        <f>IF(FT!B122&lt;&gt;"",FT!B122*100,"")</f>
        <v>20.402000000000001</v>
      </c>
      <c r="H122" s="61">
        <f t="shared" si="9"/>
        <v>1</v>
      </c>
      <c r="I122" t="str">
        <f>IF(FT!B122&lt;&gt;"",FT!E122,"")</f>
        <v>2 [48.795153]</v>
      </c>
      <c r="J122">
        <f>IF(FT!B122&lt;&gt;"",FT!C122,"")</f>
        <v>48.795200000000001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2.4031700000000003</v>
      </c>
      <c r="G123" s="61">
        <f>IF(FT!B123&lt;&gt;"",FT!B123*100,"")</f>
        <v>20.732999999999997</v>
      </c>
      <c r="H123" s="61">
        <f t="shared" si="9"/>
        <v>1</v>
      </c>
      <c r="I123" t="str">
        <f>IF(FT!B123&lt;&gt;"",FT!E123,"")</f>
        <v>2 [49.200690]</v>
      </c>
      <c r="J123">
        <f>IF(FT!B123&lt;&gt;"",FT!C123,"")</f>
        <v>49.200699999999998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25008</v>
      </c>
      <c r="D124" s="61">
        <f>FH!B124*1</f>
        <v>25008</v>
      </c>
      <c r="E124">
        <f t="shared" si="11"/>
        <v>122</v>
      </c>
      <c r="F124" s="61">
        <f>IF(FT!A124&lt;&gt;"",FT!A124*10,"")</f>
        <v>2.4022899999999998</v>
      </c>
      <c r="G124" s="61">
        <f>IF(FT!B124&lt;&gt;"",FT!B124*100,"")</f>
        <v>21.0852</v>
      </c>
      <c r="H124" s="61">
        <f t="shared" si="9"/>
        <v>1</v>
      </c>
      <c r="I124" t="str">
        <f>IF(FT!B124&lt;&gt;"",FT!E124,"")</f>
        <v>2 [49.608824]</v>
      </c>
      <c r="J124">
        <f>IF(FT!B124&lt;&gt;"",FT!C124,"")</f>
        <v>49.608800000000002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2.40354</v>
      </c>
      <c r="G125" s="61">
        <f>IF(FT!B125&lt;&gt;"",FT!B125*100,"")</f>
        <v>21.442700000000002</v>
      </c>
      <c r="H125" s="61">
        <f t="shared" si="9"/>
        <v>1</v>
      </c>
      <c r="I125" t="str">
        <f>IF(FT!B125&lt;&gt;"",FT!E125,"")</f>
        <v>2 [50.011375]</v>
      </c>
      <c r="J125">
        <f>IF(FT!B125&lt;&gt;"",FT!C125,"")</f>
        <v>50.011400000000002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25358</v>
      </c>
      <c r="D126" s="61">
        <f>FH!B126*1</f>
        <v>25358</v>
      </c>
      <c r="E126">
        <f t="shared" si="11"/>
        <v>124</v>
      </c>
      <c r="F126" s="61">
        <f>IF(FT!A126&lt;&gt;"",FT!A126*10,"")</f>
        <v>2.4018299999999999</v>
      </c>
      <c r="G126" s="61">
        <f>IF(FT!B126&lt;&gt;"",FT!B126*100,"")</f>
        <v>21.436299999999999</v>
      </c>
      <c r="H126" s="61">
        <f t="shared" si="9"/>
        <v>1</v>
      </c>
      <c r="I126" t="str">
        <f>IF(FT!B126&lt;&gt;"",FT!E126,"")</f>
        <v>2 [50.418656]</v>
      </c>
      <c r="J126">
        <f>IF(FT!B126&lt;&gt;"",FT!C126,"")</f>
        <v>50.418700000000001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2.4004700000000003</v>
      </c>
      <c r="G127" s="61">
        <f>IF(FT!B127&lt;&gt;"",FT!B127*100,"")</f>
        <v>21.442700000000002</v>
      </c>
      <c r="H127" s="61">
        <f t="shared" si="9"/>
        <v>1</v>
      </c>
      <c r="I127" t="str">
        <f>IF(FT!B127&lt;&gt;"",FT!E127,"")</f>
        <v>2 [50.826913]</v>
      </c>
      <c r="J127">
        <f>IF(FT!B127&lt;&gt;"",FT!C127,"")</f>
        <v>50.826900000000002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2.4005999999999998</v>
      </c>
      <c r="G128" s="61">
        <f>IF(FT!B128&lt;&gt;"",FT!B128*100,"")</f>
        <v>21.553000000000001</v>
      </c>
      <c r="H128" s="61">
        <f t="shared" si="9"/>
        <v>1</v>
      </c>
      <c r="I128" t="str">
        <f>IF(FT!B128&lt;&gt;"",FT!E128,"")</f>
        <v>2 [51.232617]</v>
      </c>
      <c r="J128">
        <f>IF(FT!B128&lt;&gt;"",FT!C128,"")</f>
        <v>51.232599999999998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23767</v>
      </c>
      <c r="D129" s="61">
        <f>FH!B129*1</f>
        <v>23767</v>
      </c>
      <c r="E129">
        <f t="shared" si="11"/>
        <v>127</v>
      </c>
      <c r="F129" s="61">
        <f>IF(FT!A129&lt;&gt;"",FT!A129*10,"")</f>
        <v>2.4031799999999999</v>
      </c>
      <c r="G129" s="61">
        <f>IF(FT!B129&lt;&gt;"",FT!B129*100,"")</f>
        <v>21.727</v>
      </c>
      <c r="H129" s="61">
        <f t="shared" si="9"/>
        <v>1</v>
      </c>
      <c r="I129" t="str">
        <f>IF(FT!B129&lt;&gt;"",FT!E129,"")</f>
        <v>2 [51.639936]</v>
      </c>
      <c r="J129">
        <f>IF(FT!B129&lt;&gt;"",FT!C129,"")</f>
        <v>51.639899999999997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2.4049200000000002</v>
      </c>
      <c r="G130" s="61">
        <f>IF(FT!B130&lt;&gt;"",FT!B130*100,"")</f>
        <v>21.9999</v>
      </c>
      <c r="H130" s="61">
        <f t="shared" si="9"/>
        <v>1</v>
      </c>
      <c r="I130" t="str">
        <f>IF(FT!B130&lt;&gt;"",FT!E130,"")</f>
        <v>2 [52.043511]</v>
      </c>
      <c r="J130">
        <f>IF(FT!B130&lt;&gt;"",FT!C130,"")</f>
        <v>52.043500000000002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23391</v>
      </c>
      <c r="D131" s="61">
        <f>FH!B131*1</f>
        <v>23391</v>
      </c>
      <c r="E131">
        <f t="shared" si="11"/>
        <v>129</v>
      </c>
      <c r="F131" s="61">
        <f>IF(FT!A131&lt;&gt;"",FT!A131*10,"")</f>
        <v>2.4061599999999999</v>
      </c>
      <c r="G131" s="61">
        <f>IF(FT!B131&lt;&gt;"",FT!B131*100,"")</f>
        <v>22.3291</v>
      </c>
      <c r="H131" s="61">
        <f t="shared" ref="H131:H194" si="13">(IF(F131&lt;&gt;"",1,""))</f>
        <v>1</v>
      </c>
      <c r="I131" t="str">
        <f>IF(FT!B131&lt;&gt;"",FT!E131,"")</f>
        <v>2 [52.450198]</v>
      </c>
      <c r="J131">
        <f>IF(FT!B131&lt;&gt;"",FT!C131,"")</f>
        <v>52.450200000000002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2.4106399999999999</v>
      </c>
      <c r="G132" s="61">
        <f>IF(FT!B132&lt;&gt;"",FT!B132*100,"")</f>
        <v>22.657800000000002</v>
      </c>
      <c r="H132" s="61">
        <f t="shared" si="13"/>
        <v>1</v>
      </c>
      <c r="I132" t="str">
        <f>IF(FT!B132&lt;&gt;"",FT!E132,"")</f>
        <v>2 [52.856586]</v>
      </c>
      <c r="J132">
        <f>IF(FT!B132&lt;&gt;"",FT!C132,"")</f>
        <v>52.8566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2.4153199999999999</v>
      </c>
      <c r="G133" s="61">
        <f>IF(FT!B133&lt;&gt;"",FT!B133*100,"")</f>
        <v>23.061899999999998</v>
      </c>
      <c r="H133" s="61">
        <f t="shared" si="13"/>
        <v>1</v>
      </c>
      <c r="I133" t="str">
        <f>IF(FT!B133&lt;&gt;"",FT!E133,"")</f>
        <v>2 [53.263494]</v>
      </c>
      <c r="J133">
        <f>IF(FT!B133&lt;&gt;"",FT!C133,"")</f>
        <v>53.263500000000001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26070</v>
      </c>
      <c r="D134" s="61">
        <f>FH!B134*1</f>
        <v>26070</v>
      </c>
      <c r="E134">
        <f t="shared" si="15"/>
        <v>132</v>
      </c>
      <c r="F134" s="61">
        <f>IF(FT!A134&lt;&gt;"",FT!A134*10,"")</f>
        <v>2.4177999999999997</v>
      </c>
      <c r="G134" s="61">
        <f>IF(FT!B134&lt;&gt;"",FT!B134*100,"")</f>
        <v>23.598800000000001</v>
      </c>
      <c r="H134" s="61">
        <f t="shared" si="13"/>
        <v>1</v>
      </c>
      <c r="I134" t="str">
        <f>IF(FT!B134&lt;&gt;"",FT!E134,"")</f>
        <v>2 [53.670952]</v>
      </c>
      <c r="J134">
        <f>IF(FT!B134&lt;&gt;"",FT!C134,"")</f>
        <v>53.670999999999999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2.4209100000000001</v>
      </c>
      <c r="G135" s="61">
        <f>IF(FT!B135&lt;&gt;"",FT!B135*100,"")</f>
        <v>24.017800000000001</v>
      </c>
      <c r="H135" s="61">
        <f t="shared" si="13"/>
        <v>1</v>
      </c>
      <c r="I135" t="str">
        <f>IF(FT!B135&lt;&gt;"",FT!E135,"")</f>
        <v>2 [54.077735]</v>
      </c>
      <c r="J135">
        <f>IF(FT!B135&lt;&gt;"",FT!C135,"")</f>
        <v>54.0777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27316</v>
      </c>
      <c r="D136" s="61">
        <f>FH!B136*1</f>
        <v>27316</v>
      </c>
      <c r="E136">
        <f t="shared" si="15"/>
        <v>134</v>
      </c>
      <c r="F136" s="61">
        <f>IF(FT!A136&lt;&gt;"",FT!A136*10,"")</f>
        <v>2.41934</v>
      </c>
      <c r="G136" s="61">
        <f>IF(FT!B136&lt;&gt;"",FT!B136*100,"")</f>
        <v>24.504999999999999</v>
      </c>
      <c r="H136" s="61">
        <f t="shared" si="13"/>
        <v>1</v>
      </c>
      <c r="I136" t="str">
        <f>IF(FT!B136&lt;&gt;"",FT!E136,"")</f>
        <v>2 [54.484261]</v>
      </c>
      <c r="J136">
        <f>IF(FT!B136&lt;&gt;"",FT!C136,"")</f>
        <v>54.484299999999998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2.4142999999999999</v>
      </c>
      <c r="G137" s="61">
        <f>IF(FT!B137&lt;&gt;"",FT!B137*100,"")</f>
        <v>25.029600000000002</v>
      </c>
      <c r="H137" s="61">
        <f t="shared" si="13"/>
        <v>1</v>
      </c>
      <c r="I137" t="str">
        <f>IF(FT!B137&lt;&gt;"",FT!E137,"")</f>
        <v>2 [54.885986]</v>
      </c>
      <c r="J137">
        <f>IF(FT!B137&lt;&gt;"",FT!C137,"")</f>
        <v>54.886000000000003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2.4092099999999999</v>
      </c>
      <c r="G138" s="61">
        <f>IF(FT!B138&lt;&gt;"",FT!B138*100,"")</f>
        <v>25.6371</v>
      </c>
      <c r="H138" s="61">
        <f t="shared" si="13"/>
        <v>1</v>
      </c>
      <c r="I138" t="str">
        <f>IF(FT!B138&lt;&gt;"",FT!E138,"")</f>
        <v>2 [55.293390]</v>
      </c>
      <c r="J138">
        <f>IF(FT!B138&lt;&gt;"",FT!C138,"")</f>
        <v>55.293399999999998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30475</v>
      </c>
      <c r="D139" s="61">
        <f>FH!B139*1</f>
        <v>30475</v>
      </c>
      <c r="E139">
        <f t="shared" si="15"/>
        <v>137</v>
      </c>
      <c r="F139" s="61">
        <f>IF(FT!A139&lt;&gt;"",FT!A139*10,"")</f>
        <v>2.40747</v>
      </c>
      <c r="G139" s="61">
        <f>IF(FT!B139&lt;&gt;"",FT!B139*100,"")</f>
        <v>26.101999999999997</v>
      </c>
      <c r="H139" s="61">
        <f t="shared" si="13"/>
        <v>1</v>
      </c>
      <c r="I139" t="str">
        <f>IF(FT!B139&lt;&gt;"",FT!E139,"")</f>
        <v>2 [55.698981]</v>
      </c>
      <c r="J139">
        <f>IF(FT!B139&lt;&gt;"",FT!C139,"")</f>
        <v>55.698999999999998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2.40923</v>
      </c>
      <c r="G140" s="61">
        <f>IF(FT!B140&lt;&gt;"",FT!B140*100,"")</f>
        <v>26.448700000000002</v>
      </c>
      <c r="H140" s="61">
        <f t="shared" si="13"/>
        <v>1</v>
      </c>
      <c r="I140" t="str">
        <f>IF(FT!B140&lt;&gt;"",FT!E140,"")</f>
        <v>2 [56.107016]</v>
      </c>
      <c r="J140">
        <f>IF(FT!B140&lt;&gt;"",FT!C140,"")</f>
        <v>56.106999999999999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2.4126700000000003</v>
      </c>
      <c r="G141" s="61">
        <f>IF(FT!B141&lt;&gt;"",FT!B141*100,"")</f>
        <v>26.702199999999998</v>
      </c>
      <c r="H141" s="61">
        <f t="shared" si="13"/>
        <v>1</v>
      </c>
      <c r="I141" t="str">
        <f>IF(FT!B141&lt;&gt;"",FT!E141,"")</f>
        <v>2 [56.515734]</v>
      </c>
      <c r="J141">
        <f>IF(FT!B141&lt;&gt;"",FT!C141,"")</f>
        <v>56.515700000000002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26259</v>
      </c>
      <c r="D142" s="61">
        <f>FH!B142*1</f>
        <v>26259</v>
      </c>
      <c r="E142">
        <f t="shared" si="15"/>
        <v>140</v>
      </c>
      <c r="F142" s="61">
        <f>IF(FT!A142&lt;&gt;"",FT!A142*10,"")</f>
        <v>2.4193899999999999</v>
      </c>
      <c r="G142" s="61">
        <f>IF(FT!B142&lt;&gt;"",FT!B142*100,"")</f>
        <v>27.062999999999999</v>
      </c>
      <c r="H142" s="61">
        <f t="shared" si="13"/>
        <v>1</v>
      </c>
      <c r="I142" t="str">
        <f>IF(FT!B142&lt;&gt;"",FT!E142,"")</f>
        <v>2 [56.922899]</v>
      </c>
      <c r="J142">
        <f>IF(FT!B142&lt;&gt;"",FT!C142,"")</f>
        <v>56.922899999999998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2.4250600000000002</v>
      </c>
      <c r="G143" s="61">
        <f>IF(FT!B143&lt;&gt;"",FT!B143*100,"")</f>
        <v>27.338800000000003</v>
      </c>
      <c r="H143" s="61">
        <f t="shared" si="13"/>
        <v>1</v>
      </c>
      <c r="I143" t="str">
        <f>IF(FT!B143&lt;&gt;"",FT!E143,"")</f>
        <v>2 [57.324587]</v>
      </c>
      <c r="J143">
        <f>IF(FT!B143&lt;&gt;"",FT!C143,"")</f>
        <v>57.324599999999997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27403</v>
      </c>
      <c r="D144" s="61">
        <f>FH!B144*1</f>
        <v>27403</v>
      </c>
      <c r="E144">
        <f t="shared" si="15"/>
        <v>142</v>
      </c>
      <c r="F144" s="61">
        <f>IF(FT!A144&lt;&gt;"",FT!A144*10,"")</f>
        <v>2.42821</v>
      </c>
      <c r="G144" s="61">
        <f>IF(FT!B144&lt;&gt;"",FT!B144*100,"")</f>
        <v>27.407299999999999</v>
      </c>
      <c r="H144" s="61">
        <f t="shared" si="13"/>
        <v>1</v>
      </c>
      <c r="I144" t="str">
        <f>IF(FT!B144&lt;&gt;"",FT!E144,"")</f>
        <v>2 [57.733372]</v>
      </c>
      <c r="J144">
        <f>IF(FT!B144&lt;&gt;"",FT!C144,"")</f>
        <v>57.733400000000003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2.43085</v>
      </c>
      <c r="G145" s="61">
        <f>IF(FT!B145&lt;&gt;"",FT!B145*100,"")</f>
        <v>27.578099999999999</v>
      </c>
      <c r="H145" s="61">
        <f t="shared" si="13"/>
        <v>1</v>
      </c>
      <c r="I145" t="str">
        <f>IF(FT!B145&lt;&gt;"",FT!E145,"")</f>
        <v>2 [58.139744]</v>
      </c>
      <c r="J145">
        <f>IF(FT!B145&lt;&gt;"",FT!C145,"")</f>
        <v>58.139699999999998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2.43743</v>
      </c>
      <c r="G146" s="61">
        <f>IF(FT!B146&lt;&gt;"",FT!B146*100,"")</f>
        <v>27.886300000000002</v>
      </c>
      <c r="H146" s="61">
        <f t="shared" si="13"/>
        <v>1</v>
      </c>
      <c r="I146" t="str">
        <f>IF(FT!B146&lt;&gt;"",FT!E146,"")</f>
        <v>2 [58.545988]</v>
      </c>
      <c r="J146">
        <f>IF(FT!B146&lt;&gt;"",FT!C146,"")</f>
        <v>58.545999999999999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30757</v>
      </c>
      <c r="D147" s="61">
        <f>FH!B147*1</f>
        <v>30757</v>
      </c>
      <c r="E147">
        <f t="shared" si="15"/>
        <v>145</v>
      </c>
      <c r="F147" s="61">
        <f>IF(FT!A147&lt;&gt;"",FT!A147*10,"")</f>
        <v>2.4555899999999999</v>
      </c>
      <c r="G147" s="61">
        <f>IF(FT!B147&lt;&gt;"",FT!B147*100,"")</f>
        <v>28.095300000000002</v>
      </c>
      <c r="H147" s="61">
        <f t="shared" si="13"/>
        <v>1</v>
      </c>
      <c r="I147" t="str">
        <f>IF(FT!B147&lt;&gt;"",FT!E147,"")</f>
        <v>2 [58.952437]</v>
      </c>
      <c r="J147">
        <f>IF(FT!B147&lt;&gt;"",FT!C147,"")</f>
        <v>58.952399999999997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2.47336</v>
      </c>
      <c r="G148" s="61">
        <f>IF(FT!B148&lt;&gt;"",FT!B148*100,"")</f>
        <v>28.313600000000001</v>
      </c>
      <c r="H148" s="61">
        <f t="shared" si="13"/>
        <v>1</v>
      </c>
      <c r="I148" t="str">
        <f>IF(FT!B148&lt;&gt;"",FT!E148,"")</f>
        <v>2 [59.355511]</v>
      </c>
      <c r="J148">
        <f>IF(FT!B148&lt;&gt;"",FT!C148,"")</f>
        <v>59.355499999999999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34479</v>
      </c>
      <c r="D149" s="61">
        <f>FH!B149*1</f>
        <v>34479</v>
      </c>
      <c r="E149">
        <f t="shared" si="15"/>
        <v>147</v>
      </c>
      <c r="F149" s="61">
        <f>IF(FT!A149&lt;&gt;"",FT!A149*10,"")</f>
        <v>2.4863900000000001</v>
      </c>
      <c r="G149" s="61">
        <f>IF(FT!B149&lt;&gt;"",FT!B149*100,"")</f>
        <v>28.507900000000003</v>
      </c>
      <c r="H149" s="61">
        <f t="shared" si="13"/>
        <v>1</v>
      </c>
      <c r="I149" t="str">
        <f>IF(FT!B149&lt;&gt;"",FT!E149,"")</f>
        <v>2 [59.764702]</v>
      </c>
      <c r="J149">
        <f>IF(FT!B149&lt;&gt;"",FT!C149,"")</f>
        <v>59.764699999999998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29684</v>
      </c>
      <c r="D152" s="61">
        <f>FH!B152*1</f>
        <v>29684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29556</v>
      </c>
      <c r="D154" s="61">
        <f>FH!B154*1</f>
        <v>29556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33563</v>
      </c>
      <c r="D157" s="61">
        <f>FH!B157*1</f>
        <v>33563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29310</v>
      </c>
      <c r="D160" s="61">
        <f>FH!B160*1</f>
        <v>29310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26139</v>
      </c>
      <c r="D162" s="61">
        <f>FH!B162*1</f>
        <v>26139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24311</v>
      </c>
      <c r="D165" s="61">
        <f>FH!B165*1</f>
        <v>24311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18900</v>
      </c>
      <c r="D167" s="61">
        <f>FH!B167*1</f>
        <v>18900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16353</v>
      </c>
      <c r="D170" s="61">
        <f>FH!B170*1</f>
        <v>16353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13942</v>
      </c>
      <c r="D173" s="61">
        <f>FH!B173*1</f>
        <v>13942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11962</v>
      </c>
      <c r="D175" s="61">
        <f>FH!B175*1</f>
        <v>11962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7485</v>
      </c>
      <c r="D178" s="61">
        <f>FH!B178*1</f>
        <v>7485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7605</v>
      </c>
      <c r="D180" s="61">
        <f>FH!B180*1</f>
        <v>7605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3865</v>
      </c>
      <c r="D183" s="61">
        <f>FH!B183*1</f>
        <v>3865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2743</v>
      </c>
      <c r="D185" s="61">
        <f>FH!B185*1</f>
        <v>2743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1070</v>
      </c>
      <c r="D188" s="61">
        <f>FH!B188*1</f>
        <v>1070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598</v>
      </c>
      <c r="D191" s="61">
        <f>FH!B191*1</f>
        <v>598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481</v>
      </c>
      <c r="D193" s="61">
        <f>FH!B193*1</f>
        <v>481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416</v>
      </c>
      <c r="D196" s="61">
        <f>FH!B196*1</f>
        <v>416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141</v>
      </c>
      <c r="D198" s="61">
        <f>FH!B198*1</f>
        <v>141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38.963099999999997</v>
      </c>
      <c r="C5" s="66">
        <v>6.7627699999999997</v>
      </c>
      <c r="D5" s="66">
        <v>17.3569</v>
      </c>
      <c r="E5" s="66">
        <v>20</v>
      </c>
      <c r="F5" s="66">
        <v>18.4329</v>
      </c>
      <c r="G5" s="66">
        <v>50</v>
      </c>
      <c r="H5" s="66">
        <v>46.669699999999999</v>
      </c>
    </row>
    <row r="6" spans="1:8">
      <c r="A6" s="58" t="s">
        <v>303</v>
      </c>
      <c r="B6" s="66">
        <v>29.771899999999999</v>
      </c>
      <c r="C6" s="66">
        <v>2.4554200000000002</v>
      </c>
      <c r="D6" s="66">
        <v>8.2474500000000006</v>
      </c>
      <c r="E6" s="66">
        <v>20</v>
      </c>
      <c r="F6" s="66">
        <v>25.0808</v>
      </c>
      <c r="G6" s="66">
        <v>40</v>
      </c>
      <c r="H6" s="66">
        <v>35.573700000000002</v>
      </c>
    </row>
    <row r="7" spans="1:8">
      <c r="A7" s="58" t="s">
        <v>304</v>
      </c>
      <c r="B7" s="66">
        <v>26.429300000000001</v>
      </c>
      <c r="C7" s="66">
        <v>5.1984500000000002</v>
      </c>
      <c r="D7" s="66">
        <v>19.6693</v>
      </c>
      <c r="E7" s="66">
        <v>15</v>
      </c>
      <c r="F7" s="66">
        <v>8.5849700000000002</v>
      </c>
      <c r="G7" s="66">
        <v>40</v>
      </c>
      <c r="H7" s="66">
        <v>38.337400000000002</v>
      </c>
    </row>
    <row r="8" spans="1:8">
      <c r="A8" s="58" t="s">
        <v>305</v>
      </c>
      <c r="B8" s="66">
        <v>32.151299999999999</v>
      </c>
      <c r="C8" s="66">
        <v>3.5844999999999998</v>
      </c>
      <c r="D8" s="66">
        <v>11.1488</v>
      </c>
      <c r="E8" s="66">
        <v>20</v>
      </c>
      <c r="F8" s="66">
        <v>17.341799999999999</v>
      </c>
      <c r="G8" s="66">
        <v>50</v>
      </c>
      <c r="H8" s="66">
        <v>36.433799999999998</v>
      </c>
    </row>
    <row r="9" spans="1:8">
      <c r="A9" s="58" t="s">
        <v>306</v>
      </c>
      <c r="B9" s="66">
        <v>39.851900000000001</v>
      </c>
      <c r="C9" s="66">
        <v>16.827200000000001</v>
      </c>
      <c r="D9" s="66">
        <v>42.224299999999999</v>
      </c>
      <c r="E9" s="66">
        <v>50</v>
      </c>
      <c r="F9" s="66">
        <v>14.1896</v>
      </c>
      <c r="G9" s="66">
        <v>100</v>
      </c>
      <c r="H9" s="66">
        <v>77.463300000000004</v>
      </c>
    </row>
    <row r="10" spans="1:8">
      <c r="A10" s="58" t="s">
        <v>307</v>
      </c>
      <c r="B10" s="66">
        <v>71.170599999999993</v>
      </c>
      <c r="C10" s="66">
        <v>7.5917500000000002</v>
      </c>
      <c r="D10" s="66">
        <v>10.667</v>
      </c>
      <c r="E10" s="66">
        <v>40</v>
      </c>
      <c r="F10" s="66">
        <v>52.886699999999998</v>
      </c>
      <c r="G10" s="66">
        <v>100</v>
      </c>
      <c r="H10" s="66">
        <v>81.397400000000005</v>
      </c>
    </row>
    <row r="11" spans="1:8">
      <c r="A11" s="58" t="s">
        <v>308</v>
      </c>
      <c r="B11" s="66">
        <v>13.744400000000001</v>
      </c>
      <c r="C11" s="66">
        <v>3.1491600000000002</v>
      </c>
      <c r="D11" s="66">
        <v>22.912400000000002</v>
      </c>
      <c r="E11" s="66">
        <v>10</v>
      </c>
      <c r="F11" s="66">
        <v>6.2273300000000003</v>
      </c>
      <c r="G11" s="66">
        <v>50</v>
      </c>
      <c r="H11" s="66">
        <v>17.9682</v>
      </c>
    </row>
    <row r="12" spans="1:8">
      <c r="A12" s="58" t="s">
        <v>309</v>
      </c>
      <c r="B12" s="66">
        <v>51.867899999999999</v>
      </c>
      <c r="C12" s="66">
        <v>11.359</v>
      </c>
      <c r="D12" s="66">
        <v>21.899899999999999</v>
      </c>
      <c r="E12" s="66">
        <v>50</v>
      </c>
      <c r="F12" s="66">
        <v>38.758699999999997</v>
      </c>
      <c r="G12" s="66">
        <v>100</v>
      </c>
      <c r="H12" s="66">
        <v>79.161699999999996</v>
      </c>
    </row>
    <row r="13" spans="1:8">
      <c r="A13" s="58" t="s">
        <v>310</v>
      </c>
      <c r="B13" s="66">
        <v>20.431999999999999</v>
      </c>
      <c r="C13" s="66">
        <v>3.0633400000000002</v>
      </c>
      <c r="D13" s="66">
        <v>14.992800000000001</v>
      </c>
      <c r="E13" s="66">
        <v>10</v>
      </c>
      <c r="F13" s="66">
        <v>13.6485</v>
      </c>
      <c r="G13" s="66">
        <v>25</v>
      </c>
      <c r="H13" s="66">
        <v>29.929500000000001</v>
      </c>
    </row>
    <row r="14" spans="1:8">
      <c r="A14" s="58" t="s">
        <v>311</v>
      </c>
      <c r="B14" s="66">
        <v>30.633400000000002</v>
      </c>
      <c r="C14" s="66">
        <v>10.2225</v>
      </c>
      <c r="D14" s="66">
        <v>33.3705</v>
      </c>
      <c r="E14" s="66">
        <v>10</v>
      </c>
      <c r="F14" s="66">
        <v>2.5353400000000001</v>
      </c>
      <c r="G14" s="66">
        <v>50</v>
      </c>
      <c r="H14" s="66">
        <v>41.4377</v>
      </c>
    </row>
    <row r="15" spans="1:8">
      <c r="A15" s="58" t="s">
        <v>312</v>
      </c>
      <c r="B15" s="66">
        <v>1.46748E-2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0.21878400000000001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20.248899999999999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0.401333</v>
      </c>
      <c r="C18" s="66">
        <v>1.47095E-2</v>
      </c>
      <c r="D18" s="66">
        <v>3.6651599999999999E-2</v>
      </c>
      <c r="E18" s="66">
        <v>0</v>
      </c>
      <c r="F18" s="66">
        <v>0.38662299999999999</v>
      </c>
      <c r="G18" s="66">
        <v>0</v>
      </c>
      <c r="H18" s="66">
        <v>0.41604200000000002</v>
      </c>
    </row>
    <row r="19" spans="1:8">
      <c r="A19" s="58" t="s">
        <v>316</v>
      </c>
      <c r="B19" s="66">
        <v>0.66913599999999995</v>
      </c>
      <c r="C19" s="66">
        <v>3.6746099999999997E-2</v>
      </c>
      <c r="D19" s="66">
        <v>5.4915699999999998E-2</v>
      </c>
      <c r="E19" s="66">
        <v>0</v>
      </c>
      <c r="F19" s="66">
        <v>0.63239000000000001</v>
      </c>
      <c r="G19" s="66">
        <v>0</v>
      </c>
      <c r="H19" s="66">
        <v>0.70588200000000001</v>
      </c>
    </row>
    <row r="20" spans="1:8">
      <c r="A20" s="58" t="s">
        <v>317</v>
      </c>
      <c r="B20" s="66">
        <v>3.5606199999999998E-4</v>
      </c>
      <c r="C20" s="66">
        <v>2.4791199999999999E-2</v>
      </c>
      <c r="D20" s="66">
        <v>69.626000000000005</v>
      </c>
      <c r="E20" s="66">
        <v>0</v>
      </c>
      <c r="F20" s="66">
        <v>0</v>
      </c>
      <c r="G20" s="66">
        <v>0</v>
      </c>
      <c r="H20" s="66">
        <v>0.18956100000000001</v>
      </c>
    </row>
    <row r="21" spans="1:8">
      <c r="A21" s="58" t="s">
        <v>318</v>
      </c>
      <c r="B21" s="66">
        <v>5.5178499999999998E-2</v>
      </c>
      <c r="C21" s="66">
        <v>0.119105</v>
      </c>
      <c r="D21" s="66">
        <v>2.1585299999999998</v>
      </c>
      <c r="E21" s="66">
        <v>0</v>
      </c>
      <c r="F21" s="196">
        <v>5.1815299999999998E-5</v>
      </c>
      <c r="G21" s="66">
        <v>0</v>
      </c>
      <c r="H21" s="66">
        <v>0.76261100000000004</v>
      </c>
    </row>
    <row r="22" spans="1:8">
      <c r="A22" s="58" t="s">
        <v>319</v>
      </c>
      <c r="B22" s="66">
        <v>51.183799999999998</v>
      </c>
      <c r="C22" s="66">
        <v>14.0306</v>
      </c>
      <c r="D22" s="66">
        <v>0.27412199999999998</v>
      </c>
      <c r="E22" s="66">
        <v>0</v>
      </c>
      <c r="F22" s="66">
        <v>22.1525</v>
      </c>
      <c r="G22" s="66">
        <v>0</v>
      </c>
      <c r="H22" s="66">
        <v>89.834400000000002</v>
      </c>
    </row>
    <row r="23" spans="1:8">
      <c r="A23" s="58" t="s">
        <v>320</v>
      </c>
      <c r="B23" s="66">
        <v>22.5091</v>
      </c>
      <c r="C23" s="66">
        <v>1.78328</v>
      </c>
      <c r="D23" s="66">
        <v>7.9224900000000001E-2</v>
      </c>
      <c r="E23" s="66">
        <v>0</v>
      </c>
      <c r="F23" s="66">
        <v>19.087700000000002</v>
      </c>
      <c r="G23" s="66">
        <v>0</v>
      </c>
      <c r="H23" s="66">
        <v>27.081600000000002</v>
      </c>
    </row>
    <row r="24" spans="1:8">
      <c r="A24" s="58" t="s">
        <v>321</v>
      </c>
      <c r="B24" s="66">
        <v>4.7426300000000003E-3</v>
      </c>
      <c r="C24" s="66">
        <v>1.2702099999999999E-2</v>
      </c>
      <c r="D24" s="66">
        <v>2.67828</v>
      </c>
      <c r="E24" s="66">
        <v>0</v>
      </c>
      <c r="F24" s="196">
        <v>3.3143099999999998E-5</v>
      </c>
      <c r="G24" s="66">
        <v>0</v>
      </c>
      <c r="H24" s="66">
        <v>5.6726100000000002E-2</v>
      </c>
    </row>
    <row r="25" spans="1:8">
      <c r="A25" s="58" t="s">
        <v>322</v>
      </c>
      <c r="B25" s="66">
        <v>9.2325500000000005E-2</v>
      </c>
      <c r="C25" s="66">
        <v>6.2446700000000001E-2</v>
      </c>
      <c r="D25" s="66">
        <v>0.67637599999999998</v>
      </c>
      <c r="E25" s="66">
        <v>0</v>
      </c>
      <c r="F25" s="66">
        <v>1.6449499999999999E-2</v>
      </c>
      <c r="G25" s="66">
        <v>0</v>
      </c>
      <c r="H25" s="66">
        <v>0.558647</v>
      </c>
    </row>
    <row r="26" spans="1:8">
      <c r="A26" s="58" t="s">
        <v>323</v>
      </c>
      <c r="B26" s="66">
        <v>1.1817200000000001E-4</v>
      </c>
      <c r="C26" s="66">
        <v>1.65486E-3</v>
      </c>
      <c r="D26" s="66">
        <v>14.0038</v>
      </c>
      <c r="E26" s="66">
        <v>0</v>
      </c>
      <c r="F26" s="66">
        <v>0</v>
      </c>
      <c r="G26" s="66">
        <v>0</v>
      </c>
      <c r="H26" s="66">
        <v>1.0980200000000001E-2</v>
      </c>
    </row>
    <row r="27" spans="1:8">
      <c r="A27" s="58" t="s">
        <v>324</v>
      </c>
      <c r="B27" s="196">
        <v>-6.5651299999999996E-6</v>
      </c>
      <c r="C27" s="66">
        <v>1.26348E-3</v>
      </c>
      <c r="D27" s="66">
        <v>-192.453</v>
      </c>
      <c r="E27" s="66">
        <v>0</v>
      </c>
      <c r="F27" s="66">
        <v>-5.52784E-3</v>
      </c>
      <c r="G27" s="66">
        <v>0</v>
      </c>
      <c r="H27" s="66">
        <v>7.7205900000000003E-3</v>
      </c>
    </row>
    <row r="28" spans="1:8">
      <c r="A28" s="58" t="s">
        <v>325</v>
      </c>
      <c r="B28" s="66">
        <v>6.6080699999999997E-3</v>
      </c>
      <c r="C28" s="66">
        <v>8.6573699999999993E-3</v>
      </c>
      <c r="D28" s="66">
        <v>1.31012</v>
      </c>
      <c r="E28" s="66">
        <v>0</v>
      </c>
      <c r="F28" s="196">
        <v>4.2317700000000003E-5</v>
      </c>
      <c r="G28" s="66">
        <v>0</v>
      </c>
      <c r="H28" s="66">
        <v>5.4218799999999998E-2</v>
      </c>
    </row>
    <row r="29" spans="1:8">
      <c r="A29" s="58" t="s">
        <v>326</v>
      </c>
      <c r="B29" s="66">
        <v>67.735399999999998</v>
      </c>
      <c r="C29" s="66">
        <v>9.6748600000000007</v>
      </c>
      <c r="D29" s="66">
        <v>0.14283299999999999</v>
      </c>
      <c r="E29" s="66">
        <v>0</v>
      </c>
      <c r="F29" s="66">
        <v>39.374200000000002</v>
      </c>
      <c r="G29" s="66">
        <v>0</v>
      </c>
      <c r="H29" s="66">
        <v>87.2303</v>
      </c>
    </row>
    <row r="30" spans="1:8">
      <c r="A30" s="58" t="s">
        <v>327</v>
      </c>
      <c r="B30" s="66">
        <v>23.8672</v>
      </c>
      <c r="C30" s="66">
        <v>1.56921</v>
      </c>
      <c r="D30" s="66">
        <v>6.5747600000000003E-2</v>
      </c>
      <c r="E30" s="66">
        <v>0</v>
      </c>
      <c r="F30" s="66">
        <v>21.239599999999999</v>
      </c>
      <c r="G30" s="66">
        <v>0</v>
      </c>
      <c r="H30" s="66">
        <v>28.1296</v>
      </c>
    </row>
    <row r="31" spans="1:8">
      <c r="A31" s="58" t="s">
        <v>328</v>
      </c>
      <c r="B31" s="66">
        <v>251.15</v>
      </c>
      <c r="C31" s="66">
        <v>49.386699999999998</v>
      </c>
      <c r="D31" s="66">
        <v>0.19664200000000001</v>
      </c>
      <c r="E31" s="66">
        <v>0</v>
      </c>
      <c r="F31" s="66">
        <v>94.7</v>
      </c>
      <c r="G31" s="66">
        <v>0</v>
      </c>
      <c r="H31" s="66">
        <v>300.28800000000001</v>
      </c>
    </row>
    <row r="32" spans="1:8">
      <c r="A32" s="58" t="s">
        <v>329</v>
      </c>
      <c r="B32" s="66">
        <v>0.264293</v>
      </c>
      <c r="C32" s="66">
        <v>5.1984500000000003E-2</v>
      </c>
      <c r="D32" s="66">
        <v>0.19669300000000001</v>
      </c>
      <c r="E32" s="66">
        <v>0.15</v>
      </c>
      <c r="F32" s="66">
        <v>8.5849700000000001E-2</v>
      </c>
      <c r="G32" s="66">
        <v>0.4</v>
      </c>
      <c r="H32" s="66">
        <v>0.38337399999999999</v>
      </c>
    </row>
    <row r="33" spans="1:8">
      <c r="A33" s="58" t="s">
        <v>330</v>
      </c>
      <c r="B33" s="66">
        <v>0.36850500000000003</v>
      </c>
      <c r="C33" s="66">
        <v>5.2122099999999998E-2</v>
      </c>
      <c r="D33" s="66">
        <v>0.14144200000000001</v>
      </c>
      <c r="E33" s="66">
        <v>0</v>
      </c>
      <c r="F33" s="66">
        <v>0.28245799999999999</v>
      </c>
      <c r="G33" s="66">
        <v>0</v>
      </c>
      <c r="H33" s="66">
        <v>0.46988999999999997</v>
      </c>
    </row>
    <row r="34" spans="1:8">
      <c r="A34" s="58" t="s">
        <v>331</v>
      </c>
      <c r="B34" s="66">
        <v>0.20432</v>
      </c>
      <c r="C34" s="66">
        <v>3.0633400000000002E-2</v>
      </c>
      <c r="D34" s="66">
        <v>0.14992800000000001</v>
      </c>
      <c r="E34" s="66">
        <v>0.1</v>
      </c>
      <c r="F34" s="66">
        <v>0.136485</v>
      </c>
      <c r="G34" s="66">
        <v>0.25</v>
      </c>
      <c r="H34" s="66">
        <v>0.29929499999999998</v>
      </c>
    </row>
    <row r="35" spans="1:8">
      <c r="A35" s="58" t="s">
        <v>332</v>
      </c>
      <c r="B35" s="66">
        <v>8.7134400000000001E-2</v>
      </c>
      <c r="C35" s="66">
        <v>2.2690700000000001E-2</v>
      </c>
      <c r="D35" s="66">
        <v>0.260411</v>
      </c>
      <c r="E35" s="66">
        <v>0</v>
      </c>
      <c r="F35" s="66">
        <v>4.3128899999999998E-2</v>
      </c>
      <c r="G35" s="66">
        <v>0</v>
      </c>
      <c r="H35" s="66">
        <v>0.157469</v>
      </c>
    </row>
    <row r="36" spans="1:8">
      <c r="A36" s="58" t="s">
        <v>333</v>
      </c>
      <c r="B36" s="66">
        <v>0.17651700000000001</v>
      </c>
      <c r="C36" s="66">
        <v>0.101087</v>
      </c>
      <c r="D36" s="66">
        <v>0.57267299999999999</v>
      </c>
      <c r="E36" s="66">
        <v>0</v>
      </c>
      <c r="F36" s="66">
        <v>1.4803999999999999E-2</v>
      </c>
      <c r="G36" s="66">
        <v>0</v>
      </c>
      <c r="H36" s="66">
        <v>0.49563699999999999</v>
      </c>
    </row>
    <row r="37" spans="1:8">
      <c r="A37" s="58" t="s">
        <v>334</v>
      </c>
      <c r="B37" s="66">
        <v>0.306334</v>
      </c>
      <c r="C37" s="66">
        <v>0.102225</v>
      </c>
      <c r="D37" s="66">
        <v>0.33370499999999997</v>
      </c>
      <c r="E37" s="66">
        <v>0.1</v>
      </c>
      <c r="F37" s="66">
        <v>2.5353400000000002E-2</v>
      </c>
      <c r="G37" s="66">
        <v>0.5</v>
      </c>
      <c r="H37" s="66">
        <v>0.414377</v>
      </c>
    </row>
    <row r="38" spans="1:8">
      <c r="A38" s="58" t="s">
        <v>335</v>
      </c>
      <c r="B38" s="66">
        <v>-12.210100000000001</v>
      </c>
      <c r="C38" s="66">
        <v>33.561799999999998</v>
      </c>
      <c r="D38" s="66">
        <v>-2.7486799999999998</v>
      </c>
      <c r="E38" s="66">
        <v>0</v>
      </c>
      <c r="F38" s="66">
        <v>-174.01400000000001</v>
      </c>
      <c r="G38" s="66">
        <v>0</v>
      </c>
      <c r="H38" s="66">
        <v>106.06100000000001</v>
      </c>
    </row>
    <row r="39" spans="1:8">
      <c r="A39" s="58" t="s">
        <v>336</v>
      </c>
      <c r="B39" s="66">
        <v>-4.5952700000000002</v>
      </c>
      <c r="C39" s="66">
        <v>3.8921899999999998</v>
      </c>
      <c r="D39" s="66">
        <v>-0.84699999999999998</v>
      </c>
      <c r="E39" s="66">
        <v>0</v>
      </c>
      <c r="F39" s="66">
        <v>-16.376000000000001</v>
      </c>
      <c r="G39" s="66">
        <v>0</v>
      </c>
      <c r="H39" s="66">
        <v>3.3180499999999999</v>
      </c>
    </row>
    <row r="40" spans="1:8">
      <c r="A40" s="58" t="s">
        <v>337</v>
      </c>
      <c r="B40" s="66">
        <v>-2.4053100000000001</v>
      </c>
      <c r="C40" s="66">
        <v>3.4398200000000001</v>
      </c>
      <c r="D40" s="66">
        <v>-1.4300900000000001</v>
      </c>
      <c r="E40" s="66">
        <v>0</v>
      </c>
      <c r="F40" s="66">
        <v>-11.136200000000001</v>
      </c>
      <c r="G40" s="66">
        <v>0</v>
      </c>
      <c r="H40" s="66">
        <v>-0.57171799999999995</v>
      </c>
    </row>
    <row r="41" spans="1:8">
      <c r="A41" s="58" t="s">
        <v>338</v>
      </c>
      <c r="B41" s="66">
        <v>-4.9577999999999997E-2</v>
      </c>
      <c r="C41" s="66">
        <v>0.26520300000000002</v>
      </c>
      <c r="D41" s="66">
        <v>-5.3491999999999997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-5.4189599999999997E-2</v>
      </c>
      <c r="C42" s="66">
        <v>0.115969</v>
      </c>
      <c r="D42" s="66">
        <v>-2.1400600000000001</v>
      </c>
      <c r="E42" s="66">
        <v>0</v>
      </c>
      <c r="F42" s="66">
        <v>-0.384463</v>
      </c>
      <c r="G42" s="66">
        <v>0</v>
      </c>
      <c r="H42" s="66">
        <v>0.26698</v>
      </c>
    </row>
    <row r="43" spans="1:8">
      <c r="A43" s="58" t="s">
        <v>340</v>
      </c>
      <c r="B43" s="66">
        <v>-0.107428</v>
      </c>
      <c r="C43" s="66">
        <v>8.0460799999999999E-2</v>
      </c>
      <c r="D43" s="66">
        <v>-0.74897400000000003</v>
      </c>
      <c r="E43" s="66">
        <v>0</v>
      </c>
      <c r="F43" s="66">
        <v>-0.24693100000000001</v>
      </c>
      <c r="G43" s="66">
        <v>0</v>
      </c>
      <c r="H43" s="66">
        <v>3.7978600000000001E-2</v>
      </c>
    </row>
    <row r="44" spans="1:8">
      <c r="A44" s="58" t="s">
        <v>341</v>
      </c>
      <c r="B44" s="66">
        <v>-16.433499999999999</v>
      </c>
      <c r="C44" s="66">
        <v>15.7171</v>
      </c>
      <c r="D44" s="66">
        <v>-0.95640599999999998</v>
      </c>
      <c r="E44" s="66">
        <v>0</v>
      </c>
      <c r="F44" s="66">
        <v>-44.241</v>
      </c>
      <c r="G44" s="66">
        <v>0</v>
      </c>
      <c r="H44" s="66">
        <v>19.135300000000001</v>
      </c>
    </row>
    <row r="45" spans="1:8">
      <c r="A45" s="58" t="s">
        <v>342</v>
      </c>
      <c r="B45" s="66">
        <v>55.936900000000001</v>
      </c>
      <c r="C45" s="66">
        <v>6.1724899999999998</v>
      </c>
      <c r="D45" s="66">
        <v>0.110347</v>
      </c>
      <c r="E45" s="66">
        <v>0</v>
      </c>
      <c r="F45" s="66">
        <v>41.139699999999998</v>
      </c>
      <c r="G45" s="66">
        <v>0</v>
      </c>
      <c r="H45" s="66">
        <v>70.869100000000003</v>
      </c>
    </row>
    <row r="46" spans="1:8">
      <c r="A46" s="58" t="s">
        <v>343</v>
      </c>
      <c r="B46" s="66">
        <v>30.978200000000001</v>
      </c>
      <c r="C46" s="66">
        <v>5.0399700000000003</v>
      </c>
      <c r="D46" s="66">
        <v>0.16269400000000001</v>
      </c>
      <c r="E46" s="66">
        <v>0</v>
      </c>
      <c r="F46" s="66">
        <v>14.3513</v>
      </c>
      <c r="G46" s="66">
        <v>0</v>
      </c>
      <c r="H46" s="66">
        <v>35.365099999999998</v>
      </c>
    </row>
    <row r="47" spans="1:8">
      <c r="A47" s="58" t="s">
        <v>344</v>
      </c>
      <c r="B47" s="66">
        <v>0.49647799999999997</v>
      </c>
      <c r="C47" s="66">
        <v>0.180031</v>
      </c>
      <c r="D47" s="66">
        <v>0.36261500000000002</v>
      </c>
      <c r="E47" s="66">
        <v>0</v>
      </c>
      <c r="F47" s="66">
        <v>0.22745799999999999</v>
      </c>
      <c r="G47" s="66">
        <v>0</v>
      </c>
      <c r="H47" s="66">
        <v>1.1037399999999999</v>
      </c>
    </row>
    <row r="48" spans="1:8">
      <c r="A48" s="58" t="s">
        <v>345</v>
      </c>
      <c r="B48" s="66">
        <v>0.43176399999999998</v>
      </c>
      <c r="C48" s="66">
        <v>0.21244299999999999</v>
      </c>
      <c r="D48" s="66">
        <v>0.49203599999999997</v>
      </c>
      <c r="E48" s="66">
        <v>0</v>
      </c>
      <c r="F48" s="66">
        <v>0.258189</v>
      </c>
      <c r="G48" s="66">
        <v>0</v>
      </c>
      <c r="H48" s="66">
        <v>1.3365100000000001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-2.5671999999999997</v>
      </c>
      <c r="C5" s="66">
        <f>'M2'!C5-'M1'!C5</f>
        <v>-7.9580299999999999</v>
      </c>
      <c r="D5" s="66">
        <f>'M2'!D5-'M1'!D5</f>
        <v>-19.05818</v>
      </c>
      <c r="E5" s="66">
        <f>'M2'!E5-'M1'!E5</f>
        <v>0</v>
      </c>
      <c r="F5" s="66">
        <f>'M2'!F5-'M1'!F5</f>
        <v>17.617099999999997</v>
      </c>
      <c r="G5" s="66">
        <f>'M2'!G5-'M1'!G5</f>
        <v>0</v>
      </c>
      <c r="H5" s="66">
        <f>'M2'!H5-'M1'!H5</f>
        <v>-3.7113999999999976</v>
      </c>
    </row>
    <row r="6" spans="1:8">
      <c r="A6" s="66" t="s">
        <v>244</v>
      </c>
      <c r="B6" s="66">
        <f>'M2'!B6-'M1'!B6</f>
        <v>3.1638000000000019</v>
      </c>
      <c r="C6" s="66">
        <f>'M2'!C6-'M1'!C6</f>
        <v>1.7416800000000001</v>
      </c>
      <c r="D6" s="66">
        <f>'M2'!D6-'M1'!D6</f>
        <v>4.9874100000000006</v>
      </c>
      <c r="E6" s="66">
        <f>'M2'!E6-'M1'!E6</f>
        <v>0</v>
      </c>
      <c r="F6" s="66">
        <f>'M2'!F6-'M1'!F6</f>
        <v>0.50169999999999959</v>
      </c>
      <c r="G6" s="66">
        <f>'M2'!G6-'M1'!G6</f>
        <v>0</v>
      </c>
      <c r="H6" s="66">
        <f>'M2'!H6-'M1'!H6</f>
        <v>4.9674000000000014</v>
      </c>
    </row>
    <row r="7" spans="1:8">
      <c r="A7" s="66" t="s">
        <v>245</v>
      </c>
      <c r="B7" s="66">
        <f>'M2'!B7-'M1'!B7</f>
        <v>-0.48409999999999798</v>
      </c>
      <c r="C7" s="66">
        <f>'M2'!C7-'M1'!C7</f>
        <v>-1.7832499999999998</v>
      </c>
      <c r="D7" s="66">
        <f>'M2'!D7-'M1'!D7</f>
        <v>-6.4171999999999976</v>
      </c>
      <c r="E7" s="66">
        <f>'M2'!E7-'M1'!E7</f>
        <v>0</v>
      </c>
      <c r="F7" s="66">
        <f>'M2'!F7-'M1'!F7</f>
        <v>9.3548300000000015</v>
      </c>
      <c r="G7" s="66">
        <f>'M2'!G7-'M1'!G7</f>
        <v>0</v>
      </c>
      <c r="H7" s="66">
        <f>'M2'!H7-'M1'!H7</f>
        <v>-1.3411000000000044</v>
      </c>
    </row>
    <row r="8" spans="1:8">
      <c r="A8" s="66" t="s">
        <v>246</v>
      </c>
      <c r="B8" s="66">
        <f>'M2'!B8-'M1'!B8</f>
        <v>0.30199999999999605</v>
      </c>
      <c r="C8" s="66">
        <f>'M2'!C8-'M1'!C8</f>
        <v>-3.1528900000000002</v>
      </c>
      <c r="D8" s="66">
        <f>'M2'!D8-'M1'!D8</f>
        <v>-9.9245200000000011</v>
      </c>
      <c r="E8" s="66">
        <f>'M2'!E8-'M1'!E8</f>
        <v>0</v>
      </c>
      <c r="F8" s="66">
        <f>'M2'!F8-'M1'!F8</f>
        <v>12.338100000000001</v>
      </c>
      <c r="G8" s="66">
        <f>'M2'!G8-'M1'!G8</f>
        <v>0</v>
      </c>
      <c r="H8" s="66">
        <f>'M2'!H8-'M1'!H8</f>
        <v>-1.1345999999999989</v>
      </c>
    </row>
    <row r="9" spans="1:8">
      <c r="A9" s="66" t="s">
        <v>247</v>
      </c>
      <c r="B9" s="66">
        <f>'M2'!B9-'M1'!B9</f>
        <v>-28.912599999999998</v>
      </c>
      <c r="C9" s="66">
        <f>'M2'!C9-'M1'!C9</f>
        <v>-5.55464</v>
      </c>
      <c r="D9" s="66">
        <f>'M2'!D9-'M1'!D9</f>
        <v>2.8765999999999998</v>
      </c>
      <c r="E9" s="66">
        <f>'M2'!E9-'M1'!E9</f>
        <v>0</v>
      </c>
      <c r="F9" s="66">
        <f>'M2'!F9-'M1'!F9</f>
        <v>-8.5485999999999986</v>
      </c>
      <c r="G9" s="66">
        <f>'M2'!G9-'M1'!G9</f>
        <v>0</v>
      </c>
      <c r="H9" s="66">
        <f>'M2'!H9-'M1'!H9</f>
        <v>-33.137500000000003</v>
      </c>
    </row>
    <row r="10" spans="1:8">
      <c r="A10" s="66" t="s">
        <v>248</v>
      </c>
      <c r="B10" s="66">
        <f>'M2'!B10-'M1'!B10</f>
        <v>-14.244499999999995</v>
      </c>
      <c r="C10" s="66">
        <f>'M2'!C10-'M1'!C10</f>
        <v>1.8434200000000005</v>
      </c>
      <c r="D10" s="66">
        <f>'M2'!D10-'M1'!D10</f>
        <v>3.9195900000000004</v>
      </c>
      <c r="E10" s="66">
        <f>'M2'!E10-'M1'!E10</f>
        <v>0</v>
      </c>
      <c r="F10" s="66">
        <f>'M2'!F10-'M1'!F10</f>
        <v>-11.209300000000006</v>
      </c>
      <c r="G10" s="66">
        <f>'M2'!G10-'M1'!G10</f>
        <v>0</v>
      </c>
      <c r="H10" s="66">
        <f>'M2'!H10-'M1'!H10</f>
        <v>-6.2112000000000052</v>
      </c>
    </row>
    <row r="11" spans="1:8">
      <c r="A11" s="66" t="s">
        <v>249</v>
      </c>
      <c r="B11" s="66">
        <f>'M2'!B11-'M1'!B11</f>
        <v>-5.3498999999999999</v>
      </c>
      <c r="C11" s="66">
        <f>'M2'!C11-'M1'!C11</f>
        <v>0.72439999999999993</v>
      </c>
      <c r="D11" s="66">
        <f>'M2'!D11-'M1'!D11</f>
        <v>10.397620000000002</v>
      </c>
      <c r="E11" s="66">
        <f>'M2'!E11-'M1'!E11</f>
        <v>0</v>
      </c>
      <c r="F11" s="66">
        <f>'M2'!F11-'M1'!F11</f>
        <v>-7.1849699999999999</v>
      </c>
      <c r="G11" s="66">
        <f>'M2'!G11-'M1'!G11</f>
        <v>0</v>
      </c>
      <c r="H11" s="66">
        <f>'M2'!H11-'M1'!H11</f>
        <v>-3.8061999999999987</v>
      </c>
    </row>
    <row r="12" spans="1:8">
      <c r="A12" s="66" t="s">
        <v>250</v>
      </c>
      <c r="B12" s="66">
        <f>'M2'!B12-'M1'!B12</f>
        <v>-19.919300000000007</v>
      </c>
      <c r="C12" s="66">
        <f>'M2'!C12-'M1'!C12</f>
        <v>-4.2207299999999996</v>
      </c>
      <c r="D12" s="66">
        <f>'M2'!D12-'M1'!D12</f>
        <v>-4.126240000000001</v>
      </c>
      <c r="E12" s="66">
        <f>'M2'!E12-'M1'!E12</f>
        <v>0</v>
      </c>
      <c r="F12" s="66">
        <f>'M2'!F12-'M1'!F12</f>
        <v>-9.9459000000000017</v>
      </c>
      <c r="G12" s="66">
        <f>'M2'!G12-'M1'!G12</f>
        <v>0</v>
      </c>
      <c r="H12" s="66">
        <f>'M2'!H12-'M1'!H12</f>
        <v>-25.617399999999996</v>
      </c>
    </row>
    <row r="13" spans="1:8">
      <c r="A13" s="66" t="s">
        <v>251</v>
      </c>
      <c r="B13" s="66">
        <f>'M2'!B13-'M1'!B13</f>
        <v>0.15220000000000056</v>
      </c>
      <c r="C13" s="66">
        <f>'M2'!C13-'M1'!C13</f>
        <v>0.49101000000000017</v>
      </c>
      <c r="D13" s="66">
        <f>'M2'!D13-'M1'!D13</f>
        <v>2.2939000000000007</v>
      </c>
      <c r="E13" s="66">
        <f>'M2'!E13-'M1'!E13</f>
        <v>0</v>
      </c>
      <c r="F13" s="66">
        <f>'M2'!F13-'M1'!F13</f>
        <v>2.3980000000000015</v>
      </c>
      <c r="G13" s="66">
        <f>'M2'!G13-'M1'!G13</f>
        <v>0</v>
      </c>
      <c r="H13" s="66">
        <f>'M2'!H13-'M1'!H13</f>
        <v>3.5822000000000003</v>
      </c>
    </row>
    <row r="14" spans="1:8">
      <c r="A14" s="66" t="s">
        <v>252</v>
      </c>
      <c r="B14" s="66">
        <f>'M2'!B14-'M1'!B14</f>
        <v>4.9100999999999999</v>
      </c>
      <c r="C14" s="66">
        <f>'M2'!C14-'M1'!C14</f>
        <v>-1.9448500000000006</v>
      </c>
      <c r="D14" s="66">
        <f>'M2'!D14-'M1'!D14</f>
        <v>-12.029100000000003</v>
      </c>
      <c r="E14" s="66">
        <f>'M2'!E14-'M1'!E14</f>
        <v>0</v>
      </c>
      <c r="F14" s="66">
        <f>'M2'!F14-'M1'!F14</f>
        <v>-0.38868999999999998</v>
      </c>
      <c r="G14" s="66">
        <f>'M2'!G14-'M1'!G14</f>
        <v>0</v>
      </c>
      <c r="H14" s="66">
        <f>'M2'!H14-'M1'!H14</f>
        <v>-7.9485000000000028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9.3245999999999996E-2</v>
      </c>
      <c r="C18" s="66">
        <f>'M2'!C18-'M1'!C18</f>
        <v>1.47095E-2</v>
      </c>
      <c r="D18" s="66">
        <f>'M2'!D18-'M1'!D18</f>
        <v>3.6651599999999999E-2</v>
      </c>
      <c r="E18" s="66">
        <f>'M2'!E18-'M1'!E18</f>
        <v>0</v>
      </c>
      <c r="F18" s="66">
        <f>'M2'!F18-'M1'!F18</f>
        <v>0.38662299999999999</v>
      </c>
      <c r="G18" s="66">
        <f>'M2'!G18-'M1'!G18</f>
        <v>0</v>
      </c>
      <c r="H18" s="66">
        <f>'M2'!H18-'M1'!H18</f>
        <v>0.41604200000000002</v>
      </c>
    </row>
    <row r="19" spans="1:8">
      <c r="A19" s="66" t="s">
        <v>256</v>
      </c>
      <c r="B19" s="66">
        <f>'M2'!B19-'M1'!B19</f>
        <v>-1.9806000000000101E-2</v>
      </c>
      <c r="C19" s="66">
        <f>'M2'!C19-'M1'!C19</f>
        <v>3.6746099999999997E-2</v>
      </c>
      <c r="D19" s="66">
        <f>'M2'!D19-'M1'!D19</f>
        <v>5.4915699999999998E-2</v>
      </c>
      <c r="E19" s="66">
        <f>'M2'!E19-'M1'!E19</f>
        <v>0</v>
      </c>
      <c r="F19" s="66">
        <f>'M2'!F19-'M1'!F19</f>
        <v>0.63239000000000001</v>
      </c>
      <c r="G19" s="66">
        <f>'M2'!G19-'M1'!G19</f>
        <v>0</v>
      </c>
      <c r="H19" s="66">
        <f>'M2'!H19-'M1'!H19</f>
        <v>0.70588200000000001</v>
      </c>
    </row>
    <row r="20" spans="1:8">
      <c r="A20" s="66" t="s">
        <v>63</v>
      </c>
      <c r="B20" s="66">
        <f>'M2'!B20-'M1'!B20</f>
        <v>-4.8729399999999999E-4</v>
      </c>
      <c r="C20" s="66">
        <f>'M2'!C20-'M1'!C20</f>
        <v>-7.6984000000000011E-3</v>
      </c>
      <c r="D20" s="66">
        <f>'M2'!D20-'M1'!D20</f>
        <v>72.4709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-2.8435000000000016E-2</v>
      </c>
    </row>
    <row r="21" spans="1:8">
      <c r="A21" s="66" t="s">
        <v>64</v>
      </c>
      <c r="B21" s="66">
        <f>'M2'!B21-'M1'!B21</f>
        <v>-3.3060699999999998E-2</v>
      </c>
      <c r="C21" s="66">
        <f>'M2'!C21-'M1'!C21</f>
        <v>-6.4133300000000004E-2</v>
      </c>
      <c r="D21" s="66">
        <f>'M2'!D21-'M1'!D21</f>
        <v>-2.8920000000000057E-2</v>
      </c>
      <c r="E21" s="66">
        <f>'M2'!E21-'M1'!E21</f>
        <v>0</v>
      </c>
      <c r="F21" s="66">
        <f>'M2'!F21-'M1'!F21</f>
        <v>-1.773387E-4</v>
      </c>
      <c r="G21" s="66">
        <f>'M2'!G21-'M1'!G21</f>
        <v>0</v>
      </c>
      <c r="H21" s="66">
        <f>'M2'!H21-'M1'!H21</f>
        <v>-0.32158400000000004</v>
      </c>
    </row>
    <row r="22" spans="1:8">
      <c r="A22" s="66" t="s">
        <v>65</v>
      </c>
      <c r="B22" s="66">
        <f>'M2'!B22-'M1'!B22</f>
        <v>-3.7608999999999995</v>
      </c>
      <c r="C22" s="66">
        <f>'M2'!C22-'M1'!C22</f>
        <v>0.10040000000000049</v>
      </c>
      <c r="D22" s="66">
        <f>'M2'!D22-'M1'!D22</f>
        <v>2.2006999999999999E-2</v>
      </c>
      <c r="E22" s="66">
        <f>'M2'!E22-'M1'!E22</f>
        <v>0</v>
      </c>
      <c r="F22" s="66">
        <f>'M2'!F22-'M1'!F22</f>
        <v>5.5122999999999998</v>
      </c>
      <c r="G22" s="66">
        <f>'M2'!G22-'M1'!G22</f>
        <v>0</v>
      </c>
      <c r="H22" s="66">
        <f>'M2'!H22-'M1'!H22</f>
        <v>3.2085000000000008</v>
      </c>
    </row>
    <row r="23" spans="1:8">
      <c r="A23" s="66" t="s">
        <v>66</v>
      </c>
      <c r="B23" s="66">
        <f>'M2'!B23-'M1'!B23</f>
        <v>-2.5949999999999989</v>
      </c>
      <c r="C23" s="66">
        <f>'M2'!C23-'M1'!C23</f>
        <v>-9.6329999999999805E-2</v>
      </c>
      <c r="D23" s="66">
        <f>'M2'!D23-'M1'!D23</f>
        <v>2.6788999999999979E-3</v>
      </c>
      <c r="E23" s="66">
        <f>'M2'!E23-'M1'!E23</f>
        <v>0</v>
      </c>
      <c r="F23" s="66">
        <f>'M2'!F23-'M1'!F23</f>
        <v>-1.4497</v>
      </c>
      <c r="G23" s="66">
        <f>'M2'!G23-'M1'!G23</f>
        <v>0</v>
      </c>
      <c r="H23" s="66">
        <f>'M2'!H23-'M1'!H23</f>
        <v>-1.9811000000000014</v>
      </c>
    </row>
    <row r="24" spans="1:8">
      <c r="A24" s="66" t="s">
        <v>67</v>
      </c>
      <c r="B24" s="66">
        <f>'M2'!B24-'M1'!B24</f>
        <v>-4.00468E-3</v>
      </c>
      <c r="C24" s="66">
        <f>'M2'!C24-'M1'!C24</f>
        <v>-3.5335000000000002E-3</v>
      </c>
      <c r="D24" s="66">
        <f>'M2'!D24-'M1'!D24</f>
        <v>1.2510800000000002</v>
      </c>
      <c r="E24" s="66">
        <f>'M2'!E24-'M1'!E24</f>
        <v>0</v>
      </c>
      <c r="F24" s="66">
        <f>'M2'!F24-'M1'!F24</f>
        <v>-2.5198000000000025E-6</v>
      </c>
      <c r="G24" s="66">
        <f>'M2'!G24-'M1'!G24</f>
        <v>0</v>
      </c>
      <c r="H24" s="66">
        <f>'M2'!H24-'M1'!H24</f>
        <v>-1.5789299999999999E-2</v>
      </c>
    </row>
    <row r="25" spans="1:8">
      <c r="A25" s="66" t="s">
        <v>68</v>
      </c>
      <c r="B25" s="66">
        <f>'M2'!B25-'M1'!B25</f>
        <v>-6.7570999999999992E-2</v>
      </c>
      <c r="C25" s="66">
        <f>'M2'!C25-'M1'!C25</f>
        <v>-3.1927199999999996E-2</v>
      </c>
      <c r="D25" s="66">
        <f>'M2'!D25-'M1'!D25</f>
        <v>1.7871000000000026E-2</v>
      </c>
      <c r="E25" s="66">
        <f>'M2'!E25-'M1'!E25</f>
        <v>0</v>
      </c>
      <c r="F25" s="66">
        <f>'M2'!F25-'M1'!F25</f>
        <v>3.7692000000000003E-3</v>
      </c>
      <c r="G25" s="66">
        <f>'M2'!G25-'M1'!G25</f>
        <v>0</v>
      </c>
      <c r="H25" s="66">
        <f>'M2'!H25-'M1'!H25</f>
        <v>-0.40135100000000001</v>
      </c>
    </row>
    <row r="26" spans="1:8">
      <c r="A26" s="66" t="s">
        <v>69</v>
      </c>
      <c r="B26" s="66">
        <f>'M2'!B26-'M1'!B26</f>
        <v>-1.608456E-4</v>
      </c>
      <c r="C26" s="66">
        <f>'M2'!C26-'M1'!C26</f>
        <v>-5.0478999999999997E-4</v>
      </c>
      <c r="D26" s="66">
        <f>'M2'!D26-'M1'!D26</f>
        <v>18.849730000000001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-2.9510500000000002E-3</v>
      </c>
    </row>
    <row r="27" spans="1:8">
      <c r="A27" s="66" t="s">
        <v>70</v>
      </c>
      <c r="B27" s="66">
        <f>'M2'!B27-'M1'!B27</f>
        <v>1.3130239999999999E-5</v>
      </c>
      <c r="C27" s="66">
        <f>'M2'!C27-'M1'!C27</f>
        <v>-3.6005E-4</v>
      </c>
      <c r="D27" s="66">
        <f>'M2'!D27-'M1'!D27</f>
        <v>-238.65240000000003</v>
      </c>
      <c r="E27" s="66">
        <f>'M2'!E27-'M1'!E27</f>
        <v>0</v>
      </c>
      <c r="F27" s="66">
        <f>'M2'!F27-'M1'!F27</f>
        <v>1.9039000000000035E-4</v>
      </c>
      <c r="G27" s="66">
        <f>'M2'!G27-'M1'!G27</f>
        <v>0</v>
      </c>
      <c r="H27" s="66">
        <f>'M2'!H27-'M1'!H27</f>
        <v>-1.2047000000000004E-3</v>
      </c>
    </row>
    <row r="28" spans="1:8">
      <c r="A28" s="66" t="s">
        <v>71</v>
      </c>
      <c r="B28" s="66">
        <f>'M2'!B28-'M1'!B28</f>
        <v>-3.6490799999999999E-3</v>
      </c>
      <c r="C28" s="66">
        <f>'M2'!C28-'M1'!C28</f>
        <v>-4.0055900000000007E-3</v>
      </c>
      <c r="D28" s="66">
        <f>'M2'!D28-'M1'!D28</f>
        <v>1.0140000000000038E-2</v>
      </c>
      <c r="E28" s="66">
        <f>'M2'!E28-'M1'!E28</f>
        <v>0</v>
      </c>
      <c r="F28" s="66">
        <f>'M2'!F28-'M1'!F28</f>
        <v>-4.8828099999999994E-5</v>
      </c>
      <c r="G28" s="66">
        <f>'M2'!G28-'M1'!G28</f>
        <v>0</v>
      </c>
      <c r="H28" s="66">
        <f>'M2'!H28-'M1'!H28</f>
        <v>-2.0097699999999996E-2</v>
      </c>
    </row>
    <row r="29" spans="1:8">
      <c r="A29" s="66" t="s">
        <v>72</v>
      </c>
      <c r="B29" s="66">
        <f>'M2'!B29-'M1'!B29</f>
        <v>0.86090000000000089</v>
      </c>
      <c r="C29" s="66">
        <f>'M2'!C29-'M1'!C29</f>
        <v>0.40258000000000038</v>
      </c>
      <c r="D29" s="66">
        <f>'M2'!D29-'M1'!D29</f>
        <v>4.1349999999999998E-3</v>
      </c>
      <c r="E29" s="66">
        <f>'M2'!E29-'M1'!E29</f>
        <v>0</v>
      </c>
      <c r="F29" s="66">
        <f>'M2'!F29-'M1'!F29</f>
        <v>8.3111999999999995</v>
      </c>
      <c r="G29" s="66">
        <f>'M2'!G29-'M1'!G29</f>
        <v>0</v>
      </c>
      <c r="H29" s="66">
        <f>'M2'!H29-'M1'!H29</f>
        <v>1.5930000000000035</v>
      </c>
    </row>
    <row r="30" spans="1:8">
      <c r="A30" s="66" t="s">
        <v>73</v>
      </c>
      <c r="B30" s="66">
        <f>'M2'!B30-'M1'!B30</f>
        <v>-2.0798999999999985</v>
      </c>
      <c r="C30" s="66">
        <f>'M2'!C30-'M1'!C30</f>
        <v>-0.43066000000000004</v>
      </c>
      <c r="D30" s="66">
        <f>'M2'!D30-'M1'!D30</f>
        <v>-1.2951900000000002E-2</v>
      </c>
      <c r="E30" s="66">
        <f>'M2'!E30-'M1'!E30</f>
        <v>0</v>
      </c>
      <c r="F30" s="66">
        <f>'M2'!F30-'M1'!F30</f>
        <v>-0.10539999999999949</v>
      </c>
      <c r="G30" s="66">
        <f>'M2'!G30-'M1'!G30</f>
        <v>0</v>
      </c>
      <c r="H30" s="66">
        <f>'M2'!H30-'M1'!H30</f>
        <v>-1.0986000000000011</v>
      </c>
    </row>
    <row r="31" spans="1:8">
      <c r="A31" s="66" t="s">
        <v>74</v>
      </c>
      <c r="B31" s="66">
        <f>'M2'!B31-'M1'!B31</f>
        <v>9.632000000000005</v>
      </c>
      <c r="C31" s="66">
        <f>'M2'!C31-'M1'!C31</f>
        <v>-46.700100000000006</v>
      </c>
      <c r="D31" s="66">
        <f>'M2'!D31-'M1'!D31</f>
        <v>-0.19334420000000002</v>
      </c>
      <c r="E31" s="66">
        <f>'M2'!E31-'M1'!E31</f>
        <v>0</v>
      </c>
      <c r="F31" s="66">
        <f>'M2'!F31-'M1'!F31</f>
        <v>129.13299999999998</v>
      </c>
      <c r="G31" s="66">
        <f>'M2'!G31-'M1'!G31</f>
        <v>0</v>
      </c>
      <c r="H31" s="66">
        <f>'M2'!H31-'M1'!H31</f>
        <v>3.646000000000015</v>
      </c>
    </row>
    <row r="32" spans="1:8">
      <c r="A32" s="66" t="s">
        <v>75</v>
      </c>
      <c r="B32" s="66">
        <f>'M2'!B32-'M1'!B32</f>
        <v>-4.8409999999999842E-3</v>
      </c>
      <c r="C32" s="66">
        <f>'M2'!C32-'M1'!C32</f>
        <v>-1.7832500000000001E-2</v>
      </c>
      <c r="D32" s="66">
        <f>'M2'!D32-'M1'!D32</f>
        <v>-6.4172000000000007E-2</v>
      </c>
      <c r="E32" s="66">
        <f>'M2'!E32-'M1'!E32</f>
        <v>0</v>
      </c>
      <c r="F32" s="66">
        <f>'M2'!F32-'M1'!F32</f>
        <v>9.3548300000000001E-2</v>
      </c>
      <c r="G32" s="66">
        <f>'M2'!G32-'M1'!G32</f>
        <v>0</v>
      </c>
      <c r="H32" s="66">
        <f>'M2'!H32-'M1'!H32</f>
        <v>-1.3411000000000006E-2</v>
      </c>
    </row>
    <row r="33" spans="1:8">
      <c r="A33" s="66" t="s">
        <v>76</v>
      </c>
      <c r="B33" s="66">
        <f>'M2'!B33-'M1'!B33</f>
        <v>8.5556000000000021E-2</v>
      </c>
      <c r="C33" s="66">
        <f>'M2'!C33-'M1'!C33</f>
        <v>-1.0623000000000021E-3</v>
      </c>
      <c r="D33" s="66">
        <f>'M2'!D33-'M1'!D33</f>
        <v>-2.8878299999999996E-2</v>
      </c>
      <c r="E33" s="66">
        <f>'M2'!E33-'M1'!E33</f>
        <v>0</v>
      </c>
      <c r="F33" s="66">
        <f>'M2'!F33-'M1'!F33</f>
        <v>6.6524000000000028E-2</v>
      </c>
      <c r="G33" s="66">
        <f>'M2'!G33-'M1'!G33</f>
        <v>0</v>
      </c>
      <c r="H33" s="66">
        <f>'M2'!H33-'M1'!H33</f>
        <v>7.2545999999999999E-2</v>
      </c>
    </row>
    <row r="34" spans="1:8">
      <c r="A34" s="66" t="s">
        <v>77</v>
      </c>
      <c r="B34" s="66">
        <f>'M2'!B34-'M1'!B34</f>
        <v>1.5220000000000233E-3</v>
      </c>
      <c r="C34" s="66">
        <f>'M2'!C34-'M1'!C34</f>
        <v>4.9100999999999971E-3</v>
      </c>
      <c r="D34" s="66">
        <f>'M2'!D34-'M1'!D34</f>
        <v>2.2938999999999987E-2</v>
      </c>
      <c r="E34" s="66">
        <f>'M2'!E34-'M1'!E34</f>
        <v>0</v>
      </c>
      <c r="F34" s="66">
        <f>'M2'!F34-'M1'!F34</f>
        <v>2.3980000000000001E-2</v>
      </c>
      <c r="G34" s="66">
        <f>'M2'!G34-'M1'!G34</f>
        <v>0</v>
      </c>
      <c r="H34" s="66">
        <f>'M2'!H34-'M1'!H34</f>
        <v>3.5821999999999965E-2</v>
      </c>
    </row>
    <row r="35" spans="1:8">
      <c r="A35" s="66" t="s">
        <v>78</v>
      </c>
      <c r="B35" s="66">
        <f>'M2'!B35-'M1'!B35</f>
        <v>1.370200000000002E-3</v>
      </c>
      <c r="C35" s="66">
        <f>'M2'!C35-'M1'!C35</f>
        <v>1.0015999999999983E-3</v>
      </c>
      <c r="D35" s="66">
        <f>'M2'!D35-'M1'!D35</f>
        <v>7.4239999999999862E-3</v>
      </c>
      <c r="E35" s="66">
        <f>'M2'!E35-'M1'!E35</f>
        <v>0</v>
      </c>
      <c r="F35" s="66">
        <f>'M2'!F35-'M1'!F35</f>
        <v>-3.1202999999999995E-3</v>
      </c>
      <c r="G35" s="66">
        <f>'M2'!G35-'M1'!G35</f>
        <v>0</v>
      </c>
      <c r="H35" s="66">
        <f>'M2'!H35-'M1'!H35</f>
        <v>-8.654999999999996E-3</v>
      </c>
    </row>
    <row r="36" spans="1:8">
      <c r="A36" s="66" t="s">
        <v>79</v>
      </c>
      <c r="B36" s="66">
        <f>'M2'!B36-'M1'!B36</f>
        <v>1.4852999999999977E-2</v>
      </c>
      <c r="C36" s="66">
        <f>'M2'!C36-'M1'!C36</f>
        <v>4.0618000000000043E-3</v>
      </c>
      <c r="D36" s="66">
        <f>'M2'!D36-'M1'!D36</f>
        <v>-2.3576999999999959E-2</v>
      </c>
      <c r="E36" s="66">
        <f>'M2'!E36-'M1'!E36</f>
        <v>0</v>
      </c>
      <c r="F36" s="66">
        <f>'M2'!F36-'M1'!F36</f>
        <v>2.55769E-2</v>
      </c>
      <c r="G36" s="66">
        <f>'M2'!G36-'M1'!G36</f>
        <v>0</v>
      </c>
      <c r="H36" s="66">
        <f>'M2'!H36-'M1'!H36</f>
        <v>1.8199999999999883E-3</v>
      </c>
    </row>
    <row r="37" spans="1:8">
      <c r="A37" s="66" t="s">
        <v>80</v>
      </c>
      <c r="B37" s="66">
        <f>'M2'!B37-'M1'!B37</f>
        <v>4.9101000000000006E-2</v>
      </c>
      <c r="C37" s="66">
        <f>'M2'!C37-'M1'!C37</f>
        <v>-1.9448500000000007E-2</v>
      </c>
      <c r="D37" s="66">
        <f>'M2'!D37-'M1'!D37</f>
        <v>-0.12029099999999998</v>
      </c>
      <c r="E37" s="66">
        <f>'M2'!E37-'M1'!E37</f>
        <v>0</v>
      </c>
      <c r="F37" s="66">
        <f>'M2'!F37-'M1'!F37</f>
        <v>-3.8868999999999987E-3</v>
      </c>
      <c r="G37" s="66">
        <f>'M2'!G37-'M1'!G37</f>
        <v>0</v>
      </c>
      <c r="H37" s="66">
        <f>'M2'!H37-'M1'!H37</f>
        <v>-7.9484999999999972E-2</v>
      </c>
    </row>
    <row r="38" spans="1:8">
      <c r="A38" s="66" t="s">
        <v>81</v>
      </c>
      <c r="B38" s="66">
        <f>'M2'!B38-'M1'!B38</f>
        <v>9.1936500000000017</v>
      </c>
      <c r="C38" s="66">
        <f>'M2'!C38-'M1'!C38</f>
        <v>1.5140000000000029</v>
      </c>
      <c r="D38" s="66">
        <f>'M2'!D38-'M1'!D38</f>
        <v>-1.9970100000000002</v>
      </c>
      <c r="E38" s="66">
        <f>'M2'!E38-'M1'!E38</f>
        <v>0</v>
      </c>
      <c r="F38" s="66">
        <f>'M2'!F38-'M1'!F38</f>
        <v>-67.26100000000001</v>
      </c>
      <c r="G38" s="66">
        <f>'M2'!G38-'M1'!G38</f>
        <v>0</v>
      </c>
      <c r="H38" s="66">
        <f>'M2'!H38-'M1'!H38</f>
        <v>24.088300000000004</v>
      </c>
    </row>
    <row r="39" spans="1:8">
      <c r="A39" s="66" t="s">
        <v>82</v>
      </c>
      <c r="B39" s="66">
        <f>'M2'!B39-'M1'!B39</f>
        <v>2.6871299999999998</v>
      </c>
      <c r="C39" s="66">
        <f>'M2'!C39-'M1'!C39</f>
        <v>-0.46994999999999987</v>
      </c>
      <c r="D39" s="66">
        <f>'M2'!D39-'M1'!D39</f>
        <v>-0.41500599999999999</v>
      </c>
      <c r="E39" s="66">
        <f>'M2'!E39-'M1'!E39</f>
        <v>0</v>
      </c>
      <c r="F39" s="66">
        <f>'M2'!F39-'M1'!F39</f>
        <v>1.4766000000000012</v>
      </c>
      <c r="G39" s="66">
        <f>'M2'!G39-'M1'!G39</f>
        <v>0</v>
      </c>
      <c r="H39" s="66">
        <f>'M2'!H39-'M1'!H39</f>
        <v>2.7107730000000001</v>
      </c>
    </row>
    <row r="40" spans="1:8">
      <c r="A40" s="66" t="s">
        <v>83</v>
      </c>
      <c r="B40" s="66">
        <f>'M2'!B40-'M1'!B40</f>
        <v>4.5376300000000001</v>
      </c>
      <c r="C40" s="66">
        <f>'M2'!C40-'M1'!C40</f>
        <v>-2.864277</v>
      </c>
      <c r="D40" s="66">
        <f>'M2'!D40-'M1'!D40</f>
        <v>0.18067699999999998</v>
      </c>
      <c r="E40" s="66">
        <f>'M2'!E40-'M1'!E40</f>
        <v>0</v>
      </c>
      <c r="F40" s="66">
        <f>'M2'!F40-'M1'!F40</f>
        <v>7.8770700000000007</v>
      </c>
      <c r="G40" s="66">
        <f>'M2'!G40-'M1'!G40</f>
        <v>0</v>
      </c>
      <c r="H40" s="66">
        <f>'M2'!H40-'M1'!H40</f>
        <v>0.59401199999999998</v>
      </c>
    </row>
    <row r="41" spans="1:8">
      <c r="A41" s="66" t="s">
        <v>84</v>
      </c>
      <c r="B41" s="66">
        <f>'M2'!B41-'M1'!B41</f>
        <v>6.5650899999999998E-2</v>
      </c>
      <c r="C41" s="66">
        <f>'M2'!C41-'M1'!C41</f>
        <v>1.2472000000000039E-2</v>
      </c>
      <c r="D41" s="66">
        <f>'M2'!D41-'M1'!D41</f>
        <v>-21.0672</v>
      </c>
      <c r="E41" s="66">
        <f>'M2'!E41-'M1'!E41</f>
        <v>0</v>
      </c>
      <c r="F41" s="66">
        <f>'M2'!F41-'M1'!F41</f>
        <v>0.15890400000000005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0.10927323400000001</v>
      </c>
      <c r="C42" s="66">
        <f>'M2'!C42-'M1'!C42</f>
        <v>3.3243000000000023E-3</v>
      </c>
      <c r="D42" s="66">
        <f>'M2'!D42-'M1'!D42</f>
        <v>131.492458</v>
      </c>
      <c r="E42" s="66">
        <f>'M2'!E42-'M1'!E42</f>
        <v>0</v>
      </c>
      <c r="F42" s="66">
        <f>'M2'!F42-'M1'!F42</f>
        <v>0.11582999999999999</v>
      </c>
      <c r="G42" s="66">
        <f>'M2'!G42-'M1'!G42</f>
        <v>0</v>
      </c>
      <c r="H42" s="66">
        <f>'M2'!H42-'M1'!H42</f>
        <v>0.1780206</v>
      </c>
    </row>
    <row r="43" spans="1:8">
      <c r="A43" s="66" t="s">
        <v>86</v>
      </c>
      <c r="B43" s="66">
        <f>'M2'!B43-'M1'!B43</f>
        <v>0.1058965</v>
      </c>
      <c r="C43" s="66">
        <f>'M2'!C43-'M1'!C43</f>
        <v>-1.1040400000000006E-2</v>
      </c>
      <c r="D43" s="66">
        <f>'M2'!D43-'M1'!D43</f>
        <v>-0.39258100000000007</v>
      </c>
      <c r="E43" s="66">
        <f>'M2'!E43-'M1'!E43</f>
        <v>0</v>
      </c>
      <c r="F43" s="66">
        <f>'M2'!F43-'M1'!F43</f>
        <v>3.7219000000000002E-2</v>
      </c>
      <c r="G43" s="66">
        <f>'M2'!G43-'M1'!G43</f>
        <v>0</v>
      </c>
      <c r="H43" s="66">
        <f>'M2'!H43-'M1'!H43</f>
        <v>3.48066E-2</v>
      </c>
    </row>
    <row r="44" spans="1:8">
      <c r="A44" s="66" t="s">
        <v>87</v>
      </c>
      <c r="B44" s="66">
        <f>'M2'!B44-'M1'!B44</f>
        <v>13.008279999999999</v>
      </c>
      <c r="C44" s="66">
        <f>'M2'!C44-'M1'!C44</f>
        <v>8.5109700000000004</v>
      </c>
      <c r="D44" s="66">
        <f>'M2'!D44-'M1'!D44</f>
        <v>-1.8440079999999999</v>
      </c>
      <c r="E44" s="66">
        <f>'M2'!E44-'M1'!E44</f>
        <v>0</v>
      </c>
      <c r="F44" s="66">
        <f>'M2'!F44-'M1'!F44</f>
        <v>0.54500000000000171</v>
      </c>
      <c r="G44" s="66">
        <f>'M2'!G44-'M1'!G44</f>
        <v>0</v>
      </c>
      <c r="H44" s="66">
        <f>'M2'!H44-'M1'!H44</f>
        <v>24.07375</v>
      </c>
    </row>
    <row r="45" spans="1:8">
      <c r="A45" s="66" t="s">
        <v>88</v>
      </c>
      <c r="B45" s="66">
        <f>'M2'!B45-'M1'!B45</f>
        <v>0.95609999999999928</v>
      </c>
      <c r="C45" s="66">
        <f>'M2'!C45-'M1'!C45</f>
        <v>0.13334000000000046</v>
      </c>
      <c r="D45" s="66">
        <f>'M2'!D45-'M1'!D45</f>
        <v>4.9600000000001032E-4</v>
      </c>
      <c r="E45" s="66">
        <f>'M2'!E45-'M1'!E45</f>
        <v>0</v>
      </c>
      <c r="F45" s="66">
        <f>'M2'!F45-'M1'!F45</f>
        <v>2.9800000000001603E-2</v>
      </c>
      <c r="G45" s="66">
        <f>'M2'!G45-'M1'!G45</f>
        <v>0</v>
      </c>
      <c r="H45" s="66">
        <f>'M2'!H45-'M1'!H45</f>
        <v>-1.2087999999999965</v>
      </c>
    </row>
    <row r="46" spans="1:8">
      <c r="A46" s="66" t="s">
        <v>89</v>
      </c>
      <c r="B46" s="66">
        <f>'M2'!B46-'M1'!B46</f>
        <v>-0.49249999999999972</v>
      </c>
      <c r="C46" s="66">
        <f>'M2'!C46-'M1'!C46</f>
        <v>-6.1292759999999999</v>
      </c>
      <c r="D46" s="66">
        <f>'M2'!D46-'M1'!D46</f>
        <v>-0.19444349999999999</v>
      </c>
      <c r="E46" s="66">
        <f>'M2'!E46-'M1'!E46</f>
        <v>0</v>
      </c>
      <c r="F46" s="66">
        <f>'M2'!F46-'M1'!F46</f>
        <v>15.132900000000001</v>
      </c>
      <c r="G46" s="66">
        <f>'M2'!G46-'M1'!G46</f>
        <v>0</v>
      </c>
      <c r="H46" s="66">
        <f>'M2'!H46-'M1'!H46</f>
        <v>-1.7271999999999963</v>
      </c>
    </row>
    <row r="47" spans="1:8">
      <c r="A47" s="66" t="s">
        <v>90</v>
      </c>
      <c r="B47" s="66">
        <f>'M2'!B47-'M1'!B47</f>
        <v>-0.22076500000000004</v>
      </c>
      <c r="C47" s="66">
        <f>'M2'!C47-'M1'!C47</f>
        <v>-3.8891000000000009E-2</v>
      </c>
      <c r="D47" s="66">
        <f>'M2'!D47-'M1'!D47</f>
        <v>6.775500000000001E-2</v>
      </c>
      <c r="E47" s="66">
        <f>'M2'!E47-'M1'!E47</f>
        <v>0</v>
      </c>
      <c r="F47" s="66">
        <f>'M2'!F47-'M1'!F47</f>
        <v>-6.5738000000000019E-2</v>
      </c>
      <c r="G47" s="66">
        <f>'M2'!G47-'M1'!G47</f>
        <v>0</v>
      </c>
      <c r="H47" s="66">
        <f>'M2'!H47-'M1'!H47</f>
        <v>-0.28116199999999991</v>
      </c>
    </row>
    <row r="48" spans="1:8">
      <c r="A48" s="66" t="s">
        <v>91</v>
      </c>
      <c r="B48" s="66">
        <f>'M2'!B48-'M1'!B48</f>
        <v>-0.16779099999999997</v>
      </c>
      <c r="C48" s="66">
        <f>'M2'!C48-'M1'!C48</f>
        <v>-0.17579629999999999</v>
      </c>
      <c r="D48" s="66">
        <f>'M2'!D48-'M1'!D48</f>
        <v>-0.28959099999999999</v>
      </c>
      <c r="E48" s="66">
        <f>'M2'!E48-'M1'!E48</f>
        <v>0</v>
      </c>
      <c r="F48" s="66">
        <f>'M2'!F48-'M1'!F48</f>
        <v>-0.15499299999999999</v>
      </c>
      <c r="G48" s="66">
        <f>'M2'!G48-'M1'!G48</f>
        <v>0</v>
      </c>
      <c r="H48" s="66">
        <f>'M2'!H48-'M1'!H48</f>
        <v>-0.90309600000000012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347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41.2913</v>
      </c>
      <c r="C5" s="66">
        <v>9.2956500000000002</v>
      </c>
      <c r="D5" s="66">
        <v>22.5124</v>
      </c>
      <c r="E5" s="66">
        <v>20</v>
      </c>
      <c r="F5" s="66">
        <v>18.4329</v>
      </c>
      <c r="G5" s="66">
        <v>50</v>
      </c>
      <c r="H5" s="66">
        <v>46.669699999999999</v>
      </c>
    </row>
    <row r="6" spans="1:8">
      <c r="A6" s="66" t="s">
        <v>303</v>
      </c>
      <c r="B6" s="66">
        <v>29.302900000000001</v>
      </c>
      <c r="C6" s="66">
        <v>1.1339600000000001</v>
      </c>
      <c r="D6" s="66">
        <v>3.8697900000000001</v>
      </c>
      <c r="E6" s="66">
        <v>20</v>
      </c>
      <c r="F6" s="66">
        <v>25.0808</v>
      </c>
      <c r="G6" s="66">
        <v>40</v>
      </c>
      <c r="H6" s="66">
        <v>30.606300000000001</v>
      </c>
    </row>
    <row r="7" spans="1:8">
      <c r="A7" s="66" t="s">
        <v>304</v>
      </c>
      <c r="B7" s="66">
        <v>26.573799999999999</v>
      </c>
      <c r="C7" s="66">
        <v>5.98447</v>
      </c>
      <c r="D7" s="66">
        <v>22.520199999999999</v>
      </c>
      <c r="E7" s="66">
        <v>15</v>
      </c>
      <c r="F7" s="66">
        <v>8.5849700000000002</v>
      </c>
      <c r="G7" s="66">
        <v>40</v>
      </c>
      <c r="H7" s="66">
        <v>38.337400000000002</v>
      </c>
    </row>
    <row r="8" spans="1:8">
      <c r="A8" s="66" t="s">
        <v>305</v>
      </c>
      <c r="B8" s="66">
        <v>31.904900000000001</v>
      </c>
      <c r="C8" s="66">
        <v>4.5936000000000003</v>
      </c>
      <c r="D8" s="66">
        <v>14.3978</v>
      </c>
      <c r="E8" s="66">
        <v>20</v>
      </c>
      <c r="F8" s="66">
        <v>17.341799999999999</v>
      </c>
      <c r="G8" s="66">
        <v>50</v>
      </c>
      <c r="H8" s="66">
        <v>36.433799999999998</v>
      </c>
    </row>
    <row r="9" spans="1:8">
      <c r="A9" s="66" t="s">
        <v>306</v>
      </c>
      <c r="B9" s="66">
        <v>58.521999999999998</v>
      </c>
      <c r="C9" s="66">
        <v>12.9671</v>
      </c>
      <c r="D9" s="66">
        <v>22.157599999999999</v>
      </c>
      <c r="E9" s="66">
        <v>50</v>
      </c>
      <c r="F9" s="66">
        <v>22.738199999999999</v>
      </c>
      <c r="G9" s="66">
        <v>100</v>
      </c>
      <c r="H9" s="66">
        <v>77.463300000000004</v>
      </c>
    </row>
    <row r="10" spans="1:8">
      <c r="A10" s="66" t="s">
        <v>307</v>
      </c>
      <c r="B10" s="66">
        <v>76.688699999999997</v>
      </c>
      <c r="C10" s="66">
        <v>3.2525499999999998</v>
      </c>
      <c r="D10" s="66">
        <v>4.2412400000000003</v>
      </c>
      <c r="E10" s="66">
        <v>40</v>
      </c>
      <c r="F10" s="66">
        <v>64.096000000000004</v>
      </c>
      <c r="G10" s="66">
        <v>100</v>
      </c>
      <c r="H10" s="66">
        <v>81.397400000000005</v>
      </c>
    </row>
    <row r="11" spans="1:8">
      <c r="A11" s="66" t="s">
        <v>308</v>
      </c>
      <c r="B11" s="66">
        <v>15.8392</v>
      </c>
      <c r="C11" s="66">
        <v>1.0843</v>
      </c>
      <c r="D11" s="66">
        <v>6.8456799999999998</v>
      </c>
      <c r="E11" s="66">
        <v>10</v>
      </c>
      <c r="F11" s="66">
        <v>13.4123</v>
      </c>
      <c r="G11" s="66">
        <v>50</v>
      </c>
      <c r="H11" s="66">
        <v>17.9682</v>
      </c>
    </row>
    <row r="12" spans="1:8">
      <c r="A12" s="66" t="s">
        <v>309</v>
      </c>
      <c r="B12" s="66">
        <v>67.449600000000004</v>
      </c>
      <c r="C12" s="66">
        <v>7.6510699999999998</v>
      </c>
      <c r="D12" s="66">
        <v>11.343400000000001</v>
      </c>
      <c r="E12" s="66">
        <v>50</v>
      </c>
      <c r="F12" s="66">
        <v>48.704599999999999</v>
      </c>
      <c r="G12" s="66">
        <v>100</v>
      </c>
      <c r="H12" s="66">
        <v>79.161699999999996</v>
      </c>
    </row>
    <row r="13" spans="1:8">
      <c r="A13" s="66" t="s">
        <v>310</v>
      </c>
      <c r="B13" s="66">
        <v>20.3504</v>
      </c>
      <c r="C13" s="66">
        <v>2.7679999999999998</v>
      </c>
      <c r="D13" s="66">
        <v>13.601699999999999</v>
      </c>
      <c r="E13" s="66">
        <v>10</v>
      </c>
      <c r="F13" s="66">
        <v>13.6485</v>
      </c>
      <c r="G13" s="66">
        <v>25</v>
      </c>
      <c r="H13" s="66">
        <v>26.347300000000001</v>
      </c>
    </row>
    <row r="14" spans="1:8">
      <c r="A14" s="66" t="s">
        <v>311</v>
      </c>
      <c r="B14" s="66">
        <v>27.68</v>
      </c>
      <c r="C14" s="66">
        <v>11.1363</v>
      </c>
      <c r="D14" s="66">
        <v>40.232300000000002</v>
      </c>
      <c r="E14" s="66">
        <v>10</v>
      </c>
      <c r="F14" s="66">
        <v>2.9240300000000001</v>
      </c>
      <c r="G14" s="66">
        <v>50</v>
      </c>
      <c r="H14" s="66">
        <v>41.4377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0.308087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0.68894200000000005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6.6577499999999996E-4</v>
      </c>
      <c r="C20" s="66">
        <v>2.8190300000000001E-2</v>
      </c>
      <c r="D20" s="66">
        <v>42.342100000000002</v>
      </c>
      <c r="E20" s="66">
        <v>0</v>
      </c>
      <c r="F20" s="66">
        <v>0</v>
      </c>
      <c r="G20" s="66">
        <v>0</v>
      </c>
      <c r="H20" s="66">
        <v>0.18956100000000001</v>
      </c>
    </row>
    <row r="21" spans="1:8">
      <c r="A21" s="66" t="s">
        <v>318</v>
      </c>
      <c r="B21" s="66">
        <v>7.4950900000000001E-2</v>
      </c>
      <c r="C21" s="66">
        <v>0.142649</v>
      </c>
      <c r="D21" s="66">
        <v>1.90324</v>
      </c>
      <c r="E21" s="66">
        <v>0</v>
      </c>
      <c r="F21" s="66">
        <v>2.29154E-4</v>
      </c>
      <c r="G21" s="66">
        <v>0</v>
      </c>
      <c r="H21" s="66">
        <v>0.76261100000000004</v>
      </c>
    </row>
    <row r="22" spans="1:8">
      <c r="A22" s="66" t="s">
        <v>319</v>
      </c>
      <c r="B22" s="66">
        <v>53.249899999999997</v>
      </c>
      <c r="C22" s="66">
        <v>13.9993</v>
      </c>
      <c r="D22" s="66">
        <v>0.26289800000000002</v>
      </c>
      <c r="E22" s="66">
        <v>0</v>
      </c>
      <c r="F22" s="66">
        <v>22.1525</v>
      </c>
      <c r="G22" s="66">
        <v>0</v>
      </c>
      <c r="H22" s="66">
        <v>86.625900000000001</v>
      </c>
    </row>
    <row r="23" spans="1:8">
      <c r="A23" s="66" t="s">
        <v>320</v>
      </c>
      <c r="B23" s="66">
        <v>23.773099999999999</v>
      </c>
      <c r="C23" s="66">
        <v>1.4021999999999999</v>
      </c>
      <c r="D23" s="66">
        <v>5.89825E-2</v>
      </c>
      <c r="E23" s="66">
        <v>0</v>
      </c>
      <c r="F23" s="66">
        <v>20.537400000000002</v>
      </c>
      <c r="G23" s="66">
        <v>0</v>
      </c>
      <c r="H23" s="66">
        <v>27.081600000000002</v>
      </c>
    </row>
    <row r="24" spans="1:8">
      <c r="A24" s="66" t="s">
        <v>321</v>
      </c>
      <c r="B24" s="66">
        <v>7.3417100000000004E-3</v>
      </c>
      <c r="C24" s="66">
        <v>1.4131700000000001E-2</v>
      </c>
      <c r="D24" s="66">
        <v>1.9248499999999999</v>
      </c>
      <c r="E24" s="66">
        <v>0</v>
      </c>
      <c r="F24" s="196">
        <v>3.56629E-5</v>
      </c>
      <c r="G24" s="66">
        <v>0</v>
      </c>
      <c r="H24" s="66">
        <v>5.6726100000000002E-2</v>
      </c>
    </row>
    <row r="25" spans="1:8">
      <c r="A25" s="66" t="s">
        <v>322</v>
      </c>
      <c r="B25" s="66">
        <v>0.13453999999999999</v>
      </c>
      <c r="C25" s="66">
        <v>6.5952899999999995E-2</v>
      </c>
      <c r="D25" s="66">
        <v>0.49020999999999998</v>
      </c>
      <c r="E25" s="66">
        <v>0</v>
      </c>
      <c r="F25" s="66">
        <v>1.6449499999999999E-2</v>
      </c>
      <c r="G25" s="66">
        <v>0</v>
      </c>
      <c r="H25" s="66">
        <v>0.558647</v>
      </c>
    </row>
    <row r="26" spans="1:8">
      <c r="A26" s="66" t="s">
        <v>323</v>
      </c>
      <c r="B26" s="66">
        <v>2.10084E-4</v>
      </c>
      <c r="C26" s="66">
        <v>1.8715699999999999E-3</v>
      </c>
      <c r="D26" s="66">
        <v>8.9086700000000008</v>
      </c>
      <c r="E26" s="66">
        <v>0</v>
      </c>
      <c r="F26" s="66">
        <v>0</v>
      </c>
      <c r="G26" s="66">
        <v>0</v>
      </c>
      <c r="H26" s="66">
        <v>1.0980200000000001E-2</v>
      </c>
    </row>
    <row r="27" spans="1:8">
      <c r="A27" s="66" t="s">
        <v>324</v>
      </c>
      <c r="B27" s="196">
        <v>-1.64128E-5</v>
      </c>
      <c r="C27" s="66">
        <v>1.4293000000000001E-3</v>
      </c>
      <c r="D27" s="66">
        <v>-87.084599999999995</v>
      </c>
      <c r="E27" s="66">
        <v>0</v>
      </c>
      <c r="F27" s="66">
        <v>-5.52784E-3</v>
      </c>
      <c r="G27" s="66">
        <v>0</v>
      </c>
      <c r="H27" s="66">
        <v>7.7205900000000003E-3</v>
      </c>
    </row>
    <row r="28" spans="1:8">
      <c r="A28" s="66" t="s">
        <v>325</v>
      </c>
      <c r="B28" s="66">
        <v>9.0527300000000002E-3</v>
      </c>
      <c r="C28" s="66">
        <v>1.0073E-2</v>
      </c>
      <c r="D28" s="66">
        <v>1.1127</v>
      </c>
      <c r="E28" s="66">
        <v>0</v>
      </c>
      <c r="F28" s="196">
        <v>9.1145799999999997E-5</v>
      </c>
      <c r="G28" s="66">
        <v>0</v>
      </c>
      <c r="H28" s="66">
        <v>5.4218799999999998E-2</v>
      </c>
    </row>
    <row r="29" spans="1:8">
      <c r="A29" s="66" t="s">
        <v>326</v>
      </c>
      <c r="B29" s="66">
        <v>67.2136</v>
      </c>
      <c r="C29" s="66">
        <v>9.4568999999999992</v>
      </c>
      <c r="D29" s="66">
        <v>0.14069899999999999</v>
      </c>
      <c r="E29" s="66">
        <v>0</v>
      </c>
      <c r="F29" s="66">
        <v>39.374200000000002</v>
      </c>
      <c r="G29" s="66">
        <v>0</v>
      </c>
      <c r="H29" s="66">
        <v>85.637299999999996</v>
      </c>
    </row>
    <row r="30" spans="1:8">
      <c r="A30" s="66" t="s">
        <v>327</v>
      </c>
      <c r="B30" s="66">
        <v>25.3322</v>
      </c>
      <c r="C30" s="66">
        <v>1.57728</v>
      </c>
      <c r="D30" s="66">
        <v>6.2264E-2</v>
      </c>
      <c r="E30" s="66">
        <v>0</v>
      </c>
      <c r="F30" s="66">
        <v>21.344999999999999</v>
      </c>
      <c r="G30" s="66">
        <v>0</v>
      </c>
      <c r="H30" s="66">
        <v>28.1296</v>
      </c>
    </row>
    <row r="31" spans="1:8">
      <c r="A31" s="66" t="s">
        <v>328</v>
      </c>
      <c r="B31" s="66">
        <v>244.6</v>
      </c>
      <c r="C31" s="66">
        <v>62.317300000000003</v>
      </c>
      <c r="D31" s="66">
        <v>0.25477300000000003</v>
      </c>
      <c r="E31" s="66">
        <v>0</v>
      </c>
      <c r="F31" s="66">
        <v>94.7</v>
      </c>
      <c r="G31" s="66">
        <v>0</v>
      </c>
      <c r="H31" s="66">
        <v>296.642</v>
      </c>
    </row>
    <row r="32" spans="1:8">
      <c r="A32" s="66" t="s">
        <v>329</v>
      </c>
      <c r="B32" s="66">
        <v>0.26573799999999997</v>
      </c>
      <c r="C32" s="66">
        <v>5.9844700000000001E-2</v>
      </c>
      <c r="D32" s="66">
        <v>0.22520200000000001</v>
      </c>
      <c r="E32" s="66">
        <v>0.15</v>
      </c>
      <c r="F32" s="66">
        <v>8.5849700000000001E-2</v>
      </c>
      <c r="G32" s="66">
        <v>0.4</v>
      </c>
      <c r="H32" s="66">
        <v>0.38337399999999999</v>
      </c>
    </row>
    <row r="33" spans="1:8">
      <c r="A33" s="66" t="s">
        <v>330</v>
      </c>
      <c r="B33" s="66">
        <v>0.30407899999999999</v>
      </c>
      <c r="C33" s="66">
        <v>3.6215400000000002E-2</v>
      </c>
      <c r="D33" s="66">
        <v>0.119099</v>
      </c>
      <c r="E33" s="66">
        <v>0</v>
      </c>
      <c r="F33" s="66">
        <v>0.28245799999999999</v>
      </c>
      <c r="G33" s="66">
        <v>0</v>
      </c>
      <c r="H33" s="66">
        <v>0.39734399999999997</v>
      </c>
    </row>
    <row r="34" spans="1:8">
      <c r="A34" s="66" t="s">
        <v>331</v>
      </c>
      <c r="B34" s="66">
        <v>0.20350399999999999</v>
      </c>
      <c r="C34" s="66">
        <v>2.768E-2</v>
      </c>
      <c r="D34" s="66">
        <v>0.136017</v>
      </c>
      <c r="E34" s="66">
        <v>0.1</v>
      </c>
      <c r="F34" s="66">
        <v>0.136485</v>
      </c>
      <c r="G34" s="66">
        <v>0.25</v>
      </c>
      <c r="H34" s="66">
        <v>0.26347300000000001</v>
      </c>
    </row>
    <row r="35" spans="1:8">
      <c r="A35" s="66" t="s">
        <v>332</v>
      </c>
      <c r="B35" s="66">
        <v>8.6129200000000003E-2</v>
      </c>
      <c r="C35" s="66">
        <v>2.21265E-2</v>
      </c>
      <c r="D35" s="66">
        <v>0.25689899999999999</v>
      </c>
      <c r="E35" s="66">
        <v>0</v>
      </c>
      <c r="F35" s="66">
        <v>4.6249199999999997E-2</v>
      </c>
      <c r="G35" s="66">
        <v>0</v>
      </c>
      <c r="H35" s="66">
        <v>0.157469</v>
      </c>
    </row>
    <row r="36" spans="1:8">
      <c r="A36" s="66" t="s">
        <v>333</v>
      </c>
      <c r="B36" s="66">
        <v>0.17310900000000001</v>
      </c>
      <c r="C36" s="66">
        <v>9.89902E-2</v>
      </c>
      <c r="D36" s="66">
        <v>0.57183600000000001</v>
      </c>
      <c r="E36" s="66">
        <v>0</v>
      </c>
      <c r="F36" s="66">
        <v>1.4803999999999999E-2</v>
      </c>
      <c r="G36" s="66">
        <v>0</v>
      </c>
      <c r="H36" s="66">
        <v>0.49381700000000001</v>
      </c>
    </row>
    <row r="37" spans="1:8">
      <c r="A37" s="66" t="s">
        <v>334</v>
      </c>
      <c r="B37" s="66">
        <v>0.27679999999999999</v>
      </c>
      <c r="C37" s="66">
        <v>0.111363</v>
      </c>
      <c r="D37" s="66">
        <v>0.40232299999999999</v>
      </c>
      <c r="E37" s="66">
        <v>0.1</v>
      </c>
      <c r="F37" s="66">
        <v>2.92403E-2</v>
      </c>
      <c r="G37" s="66">
        <v>0.5</v>
      </c>
      <c r="H37" s="66">
        <v>0.414377</v>
      </c>
    </row>
    <row r="38" spans="1:8">
      <c r="A38" s="66" t="s">
        <v>335</v>
      </c>
      <c r="B38" s="66">
        <v>-18.196300000000001</v>
      </c>
      <c r="C38" s="66">
        <v>32.586599999999997</v>
      </c>
      <c r="D38" s="66">
        <v>-1.7908299999999999</v>
      </c>
      <c r="E38" s="66">
        <v>0</v>
      </c>
      <c r="F38" s="66">
        <v>-106.753</v>
      </c>
      <c r="G38" s="66">
        <v>0</v>
      </c>
      <c r="H38" s="66">
        <v>81.972700000000003</v>
      </c>
    </row>
    <row r="39" spans="1:8">
      <c r="A39" s="66" t="s">
        <v>336</v>
      </c>
      <c r="B39" s="66">
        <v>-5.8056099999999997</v>
      </c>
      <c r="C39" s="66">
        <v>3.8114599999999998</v>
      </c>
      <c r="D39" s="66">
        <v>-0.65651400000000004</v>
      </c>
      <c r="E39" s="66">
        <v>0</v>
      </c>
      <c r="F39" s="66">
        <v>-16.376000000000001</v>
      </c>
      <c r="G39" s="66">
        <v>0</v>
      </c>
      <c r="H39" s="66">
        <v>0.60727699999999996</v>
      </c>
    </row>
    <row r="40" spans="1:8">
      <c r="A40" s="66" t="s">
        <v>337</v>
      </c>
      <c r="B40" s="66">
        <v>-6.2884700000000002</v>
      </c>
      <c r="C40" s="66">
        <v>3.5310600000000001</v>
      </c>
      <c r="D40" s="66">
        <v>-0.56151399999999996</v>
      </c>
      <c r="E40" s="66">
        <v>0</v>
      </c>
      <c r="F40" s="66">
        <v>-11.136200000000001</v>
      </c>
      <c r="G40" s="66">
        <v>0</v>
      </c>
      <c r="H40" s="66">
        <v>-1.1657299999999999</v>
      </c>
    </row>
    <row r="41" spans="1:8">
      <c r="A41" s="66" t="s">
        <v>338</v>
      </c>
      <c r="B41" s="66">
        <v>-7.6720999999999998E-2</v>
      </c>
      <c r="C41" s="66">
        <v>0.25796599999999997</v>
      </c>
      <c r="D41" s="66">
        <v>-3.3624000000000001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-0.10849300000000001</v>
      </c>
      <c r="C42" s="66">
        <v>9.8561700000000002E-2</v>
      </c>
      <c r="D42" s="66">
        <v>-0.90845799999999999</v>
      </c>
      <c r="E42" s="66">
        <v>0</v>
      </c>
      <c r="F42" s="66">
        <v>-0.384463</v>
      </c>
      <c r="G42" s="66">
        <v>0</v>
      </c>
      <c r="H42" s="66">
        <v>8.8959399999999994E-2</v>
      </c>
    </row>
    <row r="43" spans="1:8">
      <c r="A43" s="66" t="s">
        <v>340</v>
      </c>
      <c r="B43" s="66">
        <v>-0.18245500000000001</v>
      </c>
      <c r="C43" s="66">
        <v>7.0806400000000005E-2</v>
      </c>
      <c r="D43" s="66">
        <v>-0.38807599999999998</v>
      </c>
      <c r="E43" s="66">
        <v>0</v>
      </c>
      <c r="F43" s="66">
        <v>-0.24693100000000001</v>
      </c>
      <c r="G43" s="66">
        <v>0</v>
      </c>
      <c r="H43" s="66">
        <v>3.1719999999999999E-3</v>
      </c>
    </row>
    <row r="44" spans="1:8">
      <c r="A44" s="66" t="s">
        <v>341</v>
      </c>
      <c r="B44" s="66">
        <v>-20.684699999999999</v>
      </c>
      <c r="C44" s="66">
        <v>8.9753299999999996</v>
      </c>
      <c r="D44" s="66">
        <v>-0.43391200000000002</v>
      </c>
      <c r="E44" s="66">
        <v>0</v>
      </c>
      <c r="F44" s="66">
        <v>-44.241</v>
      </c>
      <c r="G44" s="66">
        <v>0</v>
      </c>
      <c r="H44" s="66">
        <v>-4.9384499999999996</v>
      </c>
    </row>
    <row r="45" spans="1:8">
      <c r="A45" s="66" t="s">
        <v>342</v>
      </c>
      <c r="B45" s="66">
        <v>55.503399999999999</v>
      </c>
      <c r="C45" s="66">
        <v>6.1159299999999996</v>
      </c>
      <c r="D45" s="66">
        <v>0.11019</v>
      </c>
      <c r="E45" s="66">
        <v>0</v>
      </c>
      <c r="F45" s="66">
        <v>41.139699999999998</v>
      </c>
      <c r="G45" s="66">
        <v>0</v>
      </c>
      <c r="H45" s="66">
        <v>70.869100000000003</v>
      </c>
    </row>
    <row r="46" spans="1:8">
      <c r="A46" s="66" t="s">
        <v>343</v>
      </c>
      <c r="B46" s="66">
        <v>31.4617</v>
      </c>
      <c r="C46" s="66">
        <v>6.8670400000000003</v>
      </c>
      <c r="D46" s="66">
        <v>0.21826599999999999</v>
      </c>
      <c r="E46" s="66">
        <v>0</v>
      </c>
      <c r="F46" s="66">
        <v>14.3513</v>
      </c>
      <c r="G46" s="66">
        <v>0</v>
      </c>
      <c r="H46" s="66">
        <v>35.365099999999998</v>
      </c>
    </row>
    <row r="47" spans="1:8">
      <c r="A47" s="66" t="s">
        <v>344</v>
      </c>
      <c r="B47" s="66">
        <v>0.60332600000000003</v>
      </c>
      <c r="C47" s="66">
        <v>0.177123</v>
      </c>
      <c r="D47" s="66">
        <v>0.29357800000000001</v>
      </c>
      <c r="E47" s="66">
        <v>0</v>
      </c>
      <c r="F47" s="66">
        <v>0.29319600000000001</v>
      </c>
      <c r="G47" s="66">
        <v>0</v>
      </c>
      <c r="H47" s="66">
        <v>1.1037399999999999</v>
      </c>
    </row>
    <row r="48" spans="1:8">
      <c r="A48" s="66" t="s">
        <v>345</v>
      </c>
      <c r="B48" s="66">
        <v>0.53367399999999998</v>
      </c>
      <c r="C48" s="66">
        <v>0.222132</v>
      </c>
      <c r="D48" s="66">
        <v>0.41623199999999999</v>
      </c>
      <c r="E48" s="66">
        <v>0</v>
      </c>
      <c r="F48" s="66">
        <v>0.41318199999999999</v>
      </c>
      <c r="G48" s="66">
        <v>0</v>
      </c>
      <c r="H48" s="66">
        <v>1.3365100000000001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347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38.7241</v>
      </c>
      <c r="C5" s="66">
        <v>1.33762</v>
      </c>
      <c r="D5" s="66">
        <v>3.4542199999999998</v>
      </c>
      <c r="E5" s="66">
        <v>20</v>
      </c>
      <c r="F5" s="66">
        <v>36.049999999999997</v>
      </c>
      <c r="G5" s="66">
        <v>50</v>
      </c>
      <c r="H5" s="66">
        <v>42.958300000000001</v>
      </c>
    </row>
    <row r="6" spans="1:8">
      <c r="A6" s="66" t="s">
        <v>303</v>
      </c>
      <c r="B6" s="66">
        <v>32.466700000000003</v>
      </c>
      <c r="C6" s="66">
        <v>2.8756400000000002</v>
      </c>
      <c r="D6" s="66">
        <v>8.8572000000000006</v>
      </c>
      <c r="E6" s="66">
        <v>20</v>
      </c>
      <c r="F6" s="66">
        <v>25.5825</v>
      </c>
      <c r="G6" s="66">
        <v>40</v>
      </c>
      <c r="H6" s="66">
        <v>35.573700000000002</v>
      </c>
    </row>
    <row r="7" spans="1:8">
      <c r="A7" s="66" t="s">
        <v>304</v>
      </c>
      <c r="B7" s="66">
        <v>26.089700000000001</v>
      </c>
      <c r="C7" s="66">
        <v>4.2012200000000002</v>
      </c>
      <c r="D7" s="66">
        <v>16.103000000000002</v>
      </c>
      <c r="E7" s="66">
        <v>15</v>
      </c>
      <c r="F7" s="66">
        <v>17.939800000000002</v>
      </c>
      <c r="G7" s="66">
        <v>40</v>
      </c>
      <c r="H7" s="66">
        <v>36.996299999999998</v>
      </c>
    </row>
    <row r="8" spans="1:8">
      <c r="A8" s="66" t="s">
        <v>305</v>
      </c>
      <c r="B8" s="66">
        <v>32.206899999999997</v>
      </c>
      <c r="C8" s="66">
        <v>1.4407099999999999</v>
      </c>
      <c r="D8" s="66">
        <v>4.4732799999999999</v>
      </c>
      <c r="E8" s="66">
        <v>20</v>
      </c>
      <c r="F8" s="66">
        <v>29.6799</v>
      </c>
      <c r="G8" s="66">
        <v>50</v>
      </c>
      <c r="H8" s="66">
        <v>35.299199999999999</v>
      </c>
    </row>
    <row r="9" spans="1:8">
      <c r="A9" s="66" t="s">
        <v>306</v>
      </c>
      <c r="B9" s="66">
        <v>29.609400000000001</v>
      </c>
      <c r="C9" s="66">
        <v>7.4124600000000003</v>
      </c>
      <c r="D9" s="66">
        <v>25.034199999999998</v>
      </c>
      <c r="E9" s="66">
        <v>50</v>
      </c>
      <c r="F9" s="66">
        <v>14.1896</v>
      </c>
      <c r="G9" s="66">
        <v>100</v>
      </c>
      <c r="H9" s="66">
        <v>44.325800000000001</v>
      </c>
    </row>
    <row r="10" spans="1:8">
      <c r="A10" s="66" t="s">
        <v>307</v>
      </c>
      <c r="B10" s="66">
        <v>62.444200000000002</v>
      </c>
      <c r="C10" s="66">
        <v>5.0959700000000003</v>
      </c>
      <c r="D10" s="66">
        <v>8.1608300000000007</v>
      </c>
      <c r="E10" s="66">
        <v>40</v>
      </c>
      <c r="F10" s="66">
        <v>52.886699999999998</v>
      </c>
      <c r="G10" s="66">
        <v>100</v>
      </c>
      <c r="H10" s="66">
        <v>75.186199999999999</v>
      </c>
    </row>
    <row r="11" spans="1:8">
      <c r="A11" s="66" t="s">
        <v>308</v>
      </c>
      <c r="B11" s="66">
        <v>10.4893</v>
      </c>
      <c r="C11" s="66">
        <v>1.8087</v>
      </c>
      <c r="D11" s="66">
        <v>17.243300000000001</v>
      </c>
      <c r="E11" s="66">
        <v>10</v>
      </c>
      <c r="F11" s="66">
        <v>6.2273300000000003</v>
      </c>
      <c r="G11" s="66">
        <v>50</v>
      </c>
      <c r="H11" s="66">
        <v>14.162000000000001</v>
      </c>
    </row>
    <row r="12" spans="1:8">
      <c r="A12" s="66" t="s">
        <v>309</v>
      </c>
      <c r="B12" s="66">
        <v>47.530299999999997</v>
      </c>
      <c r="C12" s="66">
        <v>3.4303400000000002</v>
      </c>
      <c r="D12" s="66">
        <v>7.2171599999999998</v>
      </c>
      <c r="E12" s="66">
        <v>50</v>
      </c>
      <c r="F12" s="66">
        <v>38.758699999999997</v>
      </c>
      <c r="G12" s="66">
        <v>100</v>
      </c>
      <c r="H12" s="66">
        <v>53.5443</v>
      </c>
    </row>
    <row r="13" spans="1:8">
      <c r="A13" s="66" t="s">
        <v>310</v>
      </c>
      <c r="B13" s="66">
        <v>20.502600000000001</v>
      </c>
      <c r="C13" s="66">
        <v>3.25901</v>
      </c>
      <c r="D13" s="66">
        <v>15.8956</v>
      </c>
      <c r="E13" s="66">
        <v>10</v>
      </c>
      <c r="F13" s="66">
        <v>16.046500000000002</v>
      </c>
      <c r="G13" s="66">
        <v>25</v>
      </c>
      <c r="H13" s="66">
        <v>29.929500000000001</v>
      </c>
    </row>
    <row r="14" spans="1:8">
      <c r="A14" s="66" t="s">
        <v>311</v>
      </c>
      <c r="B14" s="66">
        <v>32.5901</v>
      </c>
      <c r="C14" s="66">
        <v>9.1914499999999997</v>
      </c>
      <c r="D14" s="66">
        <v>28.203199999999999</v>
      </c>
      <c r="E14" s="66">
        <v>10</v>
      </c>
      <c r="F14" s="66">
        <v>2.5353400000000001</v>
      </c>
      <c r="G14" s="66">
        <v>50</v>
      </c>
      <c r="H14" s="66">
        <v>33.489199999999997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0.401333</v>
      </c>
      <c r="C18" s="66">
        <v>1.47095E-2</v>
      </c>
      <c r="D18" s="66">
        <v>3.6651599999999999E-2</v>
      </c>
      <c r="E18" s="66">
        <v>0</v>
      </c>
      <c r="F18" s="66">
        <v>0.38662299999999999</v>
      </c>
      <c r="G18" s="66">
        <v>0</v>
      </c>
      <c r="H18" s="66">
        <v>0.41604200000000002</v>
      </c>
    </row>
    <row r="19" spans="1:8">
      <c r="A19" s="66" t="s">
        <v>316</v>
      </c>
      <c r="B19" s="66">
        <v>0.66913599999999995</v>
      </c>
      <c r="C19" s="66">
        <v>3.6746099999999997E-2</v>
      </c>
      <c r="D19" s="66">
        <v>5.4915699999999998E-2</v>
      </c>
      <c r="E19" s="66">
        <v>0</v>
      </c>
      <c r="F19" s="66">
        <v>0.63239000000000001</v>
      </c>
      <c r="G19" s="66">
        <v>0</v>
      </c>
      <c r="H19" s="66">
        <v>0.70588200000000001</v>
      </c>
    </row>
    <row r="20" spans="1:8">
      <c r="A20" s="66" t="s">
        <v>317</v>
      </c>
      <c r="B20" s="66">
        <v>1.78481E-4</v>
      </c>
      <c r="C20" s="66">
        <v>2.04919E-2</v>
      </c>
      <c r="D20" s="66">
        <v>114.813</v>
      </c>
      <c r="E20" s="66">
        <v>0</v>
      </c>
      <c r="F20" s="66">
        <v>0</v>
      </c>
      <c r="G20" s="66">
        <v>0</v>
      </c>
      <c r="H20" s="66">
        <v>0.16112599999999999</v>
      </c>
    </row>
    <row r="21" spans="1:8">
      <c r="A21" s="66" t="s">
        <v>318</v>
      </c>
      <c r="B21" s="66">
        <v>4.1890200000000002E-2</v>
      </c>
      <c r="C21" s="66">
        <v>7.8515699999999994E-2</v>
      </c>
      <c r="D21" s="66">
        <v>1.87432</v>
      </c>
      <c r="E21" s="66">
        <v>0</v>
      </c>
      <c r="F21" s="196">
        <v>5.1815299999999998E-5</v>
      </c>
      <c r="G21" s="66">
        <v>0</v>
      </c>
      <c r="H21" s="66">
        <v>0.441027</v>
      </c>
    </row>
    <row r="22" spans="1:8">
      <c r="A22" s="66" t="s">
        <v>319</v>
      </c>
      <c r="B22" s="66">
        <v>49.488999999999997</v>
      </c>
      <c r="C22" s="66">
        <v>14.0997</v>
      </c>
      <c r="D22" s="66">
        <v>0.28490500000000002</v>
      </c>
      <c r="E22" s="66">
        <v>0</v>
      </c>
      <c r="F22" s="66">
        <v>27.6648</v>
      </c>
      <c r="G22" s="66">
        <v>0</v>
      </c>
      <c r="H22" s="66">
        <v>89.834400000000002</v>
      </c>
    </row>
    <row r="23" spans="1:8">
      <c r="A23" s="66" t="s">
        <v>320</v>
      </c>
      <c r="B23" s="66">
        <v>21.178100000000001</v>
      </c>
      <c r="C23" s="66">
        <v>1.3058700000000001</v>
      </c>
      <c r="D23" s="66">
        <v>6.1661399999999998E-2</v>
      </c>
      <c r="E23" s="66">
        <v>0</v>
      </c>
      <c r="F23" s="66">
        <v>19.087700000000002</v>
      </c>
      <c r="G23" s="66">
        <v>0</v>
      </c>
      <c r="H23" s="66">
        <v>25.1005</v>
      </c>
    </row>
    <row r="24" spans="1:8">
      <c r="A24" s="66" t="s">
        <v>348</v>
      </c>
      <c r="B24" s="66">
        <v>3.3370299999999999E-3</v>
      </c>
      <c r="C24" s="66">
        <v>1.05982E-2</v>
      </c>
      <c r="D24" s="66">
        <v>3.1759300000000001</v>
      </c>
      <c r="E24" s="66">
        <v>0</v>
      </c>
      <c r="F24" s="196">
        <v>3.3143099999999998E-5</v>
      </c>
      <c r="G24" s="66">
        <v>0</v>
      </c>
      <c r="H24" s="66">
        <v>4.0936800000000002E-2</v>
      </c>
    </row>
    <row r="25" spans="1:8">
      <c r="A25" s="66" t="s">
        <v>322</v>
      </c>
      <c r="B25" s="66">
        <v>6.6969000000000001E-2</v>
      </c>
      <c r="C25" s="66">
        <v>3.4025699999999999E-2</v>
      </c>
      <c r="D25" s="66">
        <v>0.508081</v>
      </c>
      <c r="E25" s="66">
        <v>0</v>
      </c>
      <c r="F25" s="66">
        <v>2.0218699999999999E-2</v>
      </c>
      <c r="G25" s="66">
        <v>0</v>
      </c>
      <c r="H25" s="66">
        <v>0.15729599999999999</v>
      </c>
    </row>
    <row r="26" spans="1:8">
      <c r="A26" s="66" t="s">
        <v>323</v>
      </c>
      <c r="B26" s="196">
        <v>4.9238399999999999E-5</v>
      </c>
      <c r="C26" s="66">
        <v>1.3667799999999999E-3</v>
      </c>
      <c r="D26" s="66">
        <v>27.758400000000002</v>
      </c>
      <c r="E26" s="66">
        <v>0</v>
      </c>
      <c r="F26" s="66">
        <v>0</v>
      </c>
      <c r="G26" s="66">
        <v>0</v>
      </c>
      <c r="H26" s="66">
        <v>8.0291500000000005E-3</v>
      </c>
    </row>
    <row r="27" spans="1:8">
      <c r="A27" s="66" t="s">
        <v>324</v>
      </c>
      <c r="B27" s="196">
        <v>-3.2825599999999999E-6</v>
      </c>
      <c r="C27" s="66">
        <v>1.0692500000000001E-3</v>
      </c>
      <c r="D27" s="66">
        <v>-325.73700000000002</v>
      </c>
      <c r="E27" s="66">
        <v>0</v>
      </c>
      <c r="F27" s="66">
        <v>-5.3374499999999997E-3</v>
      </c>
      <c r="G27" s="66">
        <v>0</v>
      </c>
      <c r="H27" s="66">
        <v>6.5158899999999999E-3</v>
      </c>
    </row>
    <row r="28" spans="1:8">
      <c r="A28" s="66" t="s">
        <v>325</v>
      </c>
      <c r="B28" s="66">
        <v>5.4036500000000003E-3</v>
      </c>
      <c r="C28" s="66">
        <v>6.0674099999999996E-3</v>
      </c>
      <c r="D28" s="66">
        <v>1.1228400000000001</v>
      </c>
      <c r="E28" s="66">
        <v>0</v>
      </c>
      <c r="F28" s="196">
        <v>4.2317700000000003E-5</v>
      </c>
      <c r="G28" s="66">
        <v>0</v>
      </c>
      <c r="H28" s="66">
        <v>3.4121100000000001E-2</v>
      </c>
    </row>
    <row r="29" spans="1:8">
      <c r="A29" s="66" t="s">
        <v>326</v>
      </c>
      <c r="B29" s="66">
        <v>68.0745</v>
      </c>
      <c r="C29" s="66">
        <v>9.8594799999999996</v>
      </c>
      <c r="D29" s="66">
        <v>0.14483399999999999</v>
      </c>
      <c r="E29" s="66">
        <v>0</v>
      </c>
      <c r="F29" s="66">
        <v>47.685400000000001</v>
      </c>
      <c r="G29" s="66">
        <v>0</v>
      </c>
      <c r="H29" s="66">
        <v>87.2303</v>
      </c>
    </row>
    <row r="30" spans="1:8">
      <c r="A30" s="66" t="s">
        <v>327</v>
      </c>
      <c r="B30" s="66">
        <v>23.252300000000002</v>
      </c>
      <c r="C30" s="66">
        <v>1.14662</v>
      </c>
      <c r="D30" s="66">
        <v>4.9312099999999998E-2</v>
      </c>
      <c r="E30" s="66">
        <v>0</v>
      </c>
      <c r="F30" s="66">
        <v>21.239599999999999</v>
      </c>
      <c r="G30" s="66">
        <v>0</v>
      </c>
      <c r="H30" s="66">
        <v>27.030999999999999</v>
      </c>
    </row>
    <row r="31" spans="1:8">
      <c r="A31" s="66" t="s">
        <v>328</v>
      </c>
      <c r="B31" s="66">
        <v>254.232</v>
      </c>
      <c r="C31" s="66">
        <v>15.6172</v>
      </c>
      <c r="D31" s="66">
        <v>6.1428799999999999E-2</v>
      </c>
      <c r="E31" s="66">
        <v>0</v>
      </c>
      <c r="F31" s="66">
        <v>223.833</v>
      </c>
      <c r="G31" s="66">
        <v>0</v>
      </c>
      <c r="H31" s="66">
        <v>300.28800000000001</v>
      </c>
    </row>
    <row r="32" spans="1:8">
      <c r="A32" s="66" t="s">
        <v>329</v>
      </c>
      <c r="B32" s="66">
        <v>0.26089699999999999</v>
      </c>
      <c r="C32" s="66">
        <v>4.20122E-2</v>
      </c>
      <c r="D32" s="66">
        <v>0.16103000000000001</v>
      </c>
      <c r="E32" s="66">
        <v>0.15</v>
      </c>
      <c r="F32" s="66">
        <v>0.179398</v>
      </c>
      <c r="G32" s="66">
        <v>0.4</v>
      </c>
      <c r="H32" s="66">
        <v>0.36996299999999999</v>
      </c>
    </row>
    <row r="33" spans="1:8">
      <c r="A33" s="66" t="s">
        <v>330</v>
      </c>
      <c r="B33" s="66">
        <v>0.38963500000000001</v>
      </c>
      <c r="C33" s="66">
        <v>3.51531E-2</v>
      </c>
      <c r="D33" s="66">
        <v>9.0220700000000001E-2</v>
      </c>
      <c r="E33" s="66">
        <v>0</v>
      </c>
      <c r="F33" s="66">
        <v>0.34898200000000001</v>
      </c>
      <c r="G33" s="66">
        <v>0</v>
      </c>
      <c r="H33" s="66">
        <v>0.46988999999999997</v>
      </c>
    </row>
    <row r="34" spans="1:8">
      <c r="A34" s="66" t="s">
        <v>331</v>
      </c>
      <c r="B34" s="66">
        <v>0.20502600000000001</v>
      </c>
      <c r="C34" s="66">
        <v>3.2590099999999997E-2</v>
      </c>
      <c r="D34" s="66">
        <v>0.15895599999999999</v>
      </c>
      <c r="E34" s="66">
        <v>0.1</v>
      </c>
      <c r="F34" s="66">
        <v>0.160465</v>
      </c>
      <c r="G34" s="66">
        <v>0.25</v>
      </c>
      <c r="H34" s="66">
        <v>0.29929499999999998</v>
      </c>
    </row>
    <row r="35" spans="1:8">
      <c r="A35" s="66" t="s">
        <v>332</v>
      </c>
      <c r="B35" s="66">
        <v>8.7499400000000005E-2</v>
      </c>
      <c r="C35" s="66">
        <v>2.3128099999999999E-2</v>
      </c>
      <c r="D35" s="66">
        <v>0.26432299999999997</v>
      </c>
      <c r="E35" s="66">
        <v>0</v>
      </c>
      <c r="F35" s="66">
        <v>4.3128899999999998E-2</v>
      </c>
      <c r="G35" s="66">
        <v>0</v>
      </c>
      <c r="H35" s="66">
        <v>0.148814</v>
      </c>
    </row>
    <row r="36" spans="1:8">
      <c r="A36" s="66" t="s">
        <v>333</v>
      </c>
      <c r="B36" s="66">
        <v>0.18796199999999999</v>
      </c>
      <c r="C36" s="66">
        <v>0.103052</v>
      </c>
      <c r="D36" s="66">
        <v>0.54825900000000005</v>
      </c>
      <c r="E36" s="66">
        <v>0</v>
      </c>
      <c r="F36" s="66">
        <v>4.0380899999999997E-2</v>
      </c>
      <c r="G36" s="66">
        <v>0</v>
      </c>
      <c r="H36" s="66">
        <v>0.49563699999999999</v>
      </c>
    </row>
    <row r="37" spans="1:8">
      <c r="A37" s="66" t="s">
        <v>334</v>
      </c>
      <c r="B37" s="66">
        <v>0.325901</v>
      </c>
      <c r="C37" s="66">
        <v>9.1914499999999996E-2</v>
      </c>
      <c r="D37" s="66">
        <v>0.282032</v>
      </c>
      <c r="E37" s="66">
        <v>0.1</v>
      </c>
      <c r="F37" s="66">
        <v>2.5353400000000002E-2</v>
      </c>
      <c r="G37" s="66">
        <v>0.5</v>
      </c>
      <c r="H37" s="66">
        <v>0.33489200000000002</v>
      </c>
    </row>
    <row r="38" spans="1:8">
      <c r="A38" s="66" t="s">
        <v>335</v>
      </c>
      <c r="B38" s="66">
        <v>-9.0026499999999992</v>
      </c>
      <c r="C38" s="66">
        <v>34.1006</v>
      </c>
      <c r="D38" s="66">
        <v>-3.7878400000000001</v>
      </c>
      <c r="E38" s="66">
        <v>0</v>
      </c>
      <c r="F38" s="66">
        <v>-174.01400000000001</v>
      </c>
      <c r="G38" s="66">
        <v>0</v>
      </c>
      <c r="H38" s="66">
        <v>106.06100000000001</v>
      </c>
    </row>
    <row r="39" spans="1:8">
      <c r="A39" s="66" t="s">
        <v>336</v>
      </c>
      <c r="B39" s="66">
        <v>-3.1184799999999999</v>
      </c>
      <c r="C39" s="66">
        <v>3.34151</v>
      </c>
      <c r="D39" s="66">
        <v>-1.07152</v>
      </c>
      <c r="E39" s="66">
        <v>0</v>
      </c>
      <c r="F39" s="66">
        <v>-14.8994</v>
      </c>
      <c r="G39" s="66">
        <v>0</v>
      </c>
      <c r="H39" s="66">
        <v>3.3180499999999999</v>
      </c>
    </row>
    <row r="40" spans="1:8">
      <c r="A40" s="66" t="s">
        <v>337</v>
      </c>
      <c r="B40" s="66">
        <v>-1.75084</v>
      </c>
      <c r="C40" s="66">
        <v>0.66678300000000001</v>
      </c>
      <c r="D40" s="66">
        <v>-0.38083699999999998</v>
      </c>
      <c r="E40" s="66">
        <v>0</v>
      </c>
      <c r="F40" s="66">
        <v>-3.2591299999999999</v>
      </c>
      <c r="G40" s="66">
        <v>0</v>
      </c>
      <c r="H40" s="66">
        <v>-0.57171799999999995</v>
      </c>
    </row>
    <row r="41" spans="1:8">
      <c r="A41" s="66" t="s">
        <v>338</v>
      </c>
      <c r="B41" s="66">
        <v>-1.1070099999999999E-2</v>
      </c>
      <c r="C41" s="66">
        <v>0.27043800000000001</v>
      </c>
      <c r="D41" s="66">
        <v>-24.429600000000001</v>
      </c>
      <c r="E41" s="66">
        <v>0</v>
      </c>
      <c r="F41" s="66">
        <v>-0.84109599999999995</v>
      </c>
      <c r="G41" s="66">
        <v>0</v>
      </c>
      <c r="H41" s="66">
        <v>1</v>
      </c>
    </row>
    <row r="42" spans="1:8">
      <c r="A42" s="66" t="s">
        <v>339</v>
      </c>
      <c r="B42" s="66">
        <v>7.8023399999999998E-4</v>
      </c>
      <c r="C42" s="66">
        <v>0.101886</v>
      </c>
      <c r="D42" s="66">
        <v>130.584</v>
      </c>
      <c r="E42" s="66">
        <v>0</v>
      </c>
      <c r="F42" s="66">
        <v>-0.26863300000000001</v>
      </c>
      <c r="G42" s="66">
        <v>0</v>
      </c>
      <c r="H42" s="66">
        <v>0.26698</v>
      </c>
    </row>
    <row r="43" spans="1:8">
      <c r="A43" s="66" t="s">
        <v>340</v>
      </c>
      <c r="B43" s="66">
        <v>-7.6558500000000002E-2</v>
      </c>
      <c r="C43" s="66">
        <v>5.9766E-2</v>
      </c>
      <c r="D43" s="66">
        <v>-0.78065700000000005</v>
      </c>
      <c r="E43" s="66">
        <v>0</v>
      </c>
      <c r="F43" s="66">
        <v>-0.20971200000000001</v>
      </c>
      <c r="G43" s="66">
        <v>0</v>
      </c>
      <c r="H43" s="66">
        <v>3.7978600000000001E-2</v>
      </c>
    </row>
    <row r="44" spans="1:8">
      <c r="A44" s="66" t="s">
        <v>341</v>
      </c>
      <c r="B44" s="66">
        <v>-7.6764200000000002</v>
      </c>
      <c r="C44" s="66">
        <v>17.4863</v>
      </c>
      <c r="D44" s="66">
        <v>-2.2779199999999999</v>
      </c>
      <c r="E44" s="66">
        <v>0</v>
      </c>
      <c r="F44" s="66">
        <v>-43.695999999999998</v>
      </c>
      <c r="G44" s="66">
        <v>0</v>
      </c>
      <c r="H44" s="66">
        <v>19.135300000000001</v>
      </c>
    </row>
    <row r="45" spans="1:8">
      <c r="A45" s="66" t="s">
        <v>342</v>
      </c>
      <c r="B45" s="66">
        <v>56.459499999999998</v>
      </c>
      <c r="C45" s="66">
        <v>6.2492700000000001</v>
      </c>
      <c r="D45" s="66">
        <v>0.11068600000000001</v>
      </c>
      <c r="E45" s="66">
        <v>0</v>
      </c>
      <c r="F45" s="66">
        <v>41.169499999999999</v>
      </c>
      <c r="G45" s="66">
        <v>0</v>
      </c>
      <c r="H45" s="66">
        <v>69.660300000000007</v>
      </c>
    </row>
    <row r="46" spans="1:8">
      <c r="A46" s="66" t="s">
        <v>343</v>
      </c>
      <c r="B46" s="66">
        <v>30.969200000000001</v>
      </c>
      <c r="C46" s="66">
        <v>0.73776399999999998</v>
      </c>
      <c r="D46" s="66">
        <v>2.38225E-2</v>
      </c>
      <c r="E46" s="66">
        <v>0</v>
      </c>
      <c r="F46" s="66">
        <v>29.484200000000001</v>
      </c>
      <c r="G46" s="66">
        <v>0</v>
      </c>
      <c r="H46" s="66">
        <v>33.637900000000002</v>
      </c>
    </row>
    <row r="47" spans="1:8">
      <c r="A47" s="66" t="s">
        <v>344</v>
      </c>
      <c r="B47" s="66">
        <v>0.38256099999999998</v>
      </c>
      <c r="C47" s="66">
        <v>0.13823199999999999</v>
      </c>
      <c r="D47" s="66">
        <v>0.36133300000000002</v>
      </c>
      <c r="E47" s="66">
        <v>0</v>
      </c>
      <c r="F47" s="66">
        <v>0.22745799999999999</v>
      </c>
      <c r="G47" s="66">
        <v>0</v>
      </c>
      <c r="H47" s="66">
        <v>0.82257800000000003</v>
      </c>
    </row>
    <row r="48" spans="1:8">
      <c r="A48" s="66" t="s">
        <v>345</v>
      </c>
      <c r="B48" s="66">
        <v>0.36588300000000001</v>
      </c>
      <c r="C48" s="66">
        <v>4.63357E-2</v>
      </c>
      <c r="D48" s="66">
        <v>0.126641</v>
      </c>
      <c r="E48" s="66">
        <v>0</v>
      </c>
      <c r="F48" s="66">
        <v>0.258189</v>
      </c>
      <c r="G48" s="66">
        <v>0</v>
      </c>
      <c r="H48" s="66">
        <v>0.43341400000000002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68.589862877594385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1.3242981050595175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0.69993077365992595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5460</v>
      </c>
      <c r="B8" s="66">
        <v>5460</v>
      </c>
      <c r="D8">
        <f t="shared" si="0"/>
        <v>2.5602550876863923E-2</v>
      </c>
      <c r="E8">
        <f t="shared" si="0"/>
        <v>2.5602550876863923E-2</v>
      </c>
      <c r="G8">
        <f t="shared" ca="1" si="1"/>
        <v>6</v>
      </c>
      <c r="H8">
        <f t="shared" ca="1" si="2"/>
        <v>0.15361530526118355</v>
      </c>
      <c r="I8">
        <f t="shared" ca="1" si="3"/>
        <v>100.29776097391415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10132</v>
      </c>
      <c r="B10" s="66">
        <v>10132</v>
      </c>
      <c r="D10">
        <f t="shared" si="0"/>
        <v>4.7510081590546753E-2</v>
      </c>
      <c r="E10">
        <f t="shared" si="0"/>
        <v>4.7510081590546753E-2</v>
      </c>
      <c r="G10">
        <f t="shared" ca="1" si="1"/>
        <v>8</v>
      </c>
      <c r="H10">
        <f t="shared" ca="1" si="2"/>
        <v>0.38008065272437402</v>
      </c>
      <c r="I10">
        <f t="shared" ca="1" si="3"/>
        <v>174.41575631193049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17826</v>
      </c>
      <c r="B13" s="66">
        <v>17826</v>
      </c>
      <c r="D13">
        <f t="shared" si="0"/>
        <v>8.3588108412266715E-2</v>
      </c>
      <c r="E13">
        <f t="shared" si="0"/>
        <v>8.3588108412266715E-2</v>
      </c>
      <c r="G13">
        <f t="shared" ca="1" si="1"/>
        <v>11</v>
      </c>
      <c r="H13">
        <f t="shared" ca="1" si="2"/>
        <v>0.91946919253493387</v>
      </c>
      <c r="I13">
        <f t="shared" ca="1" si="3"/>
        <v>277.22767725496089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26142</v>
      </c>
      <c r="B15" s="66">
        <v>26142</v>
      </c>
      <c r="D15">
        <f t="shared" si="0"/>
        <v>0.122582762824721</v>
      </c>
      <c r="E15">
        <f t="shared" si="0"/>
        <v>0.122582762824721</v>
      </c>
      <c r="G15">
        <f t="shared" ca="1" si="1"/>
        <v>13</v>
      </c>
      <c r="H15">
        <f t="shared" ca="1" si="2"/>
        <v>1.593575916721373</v>
      </c>
      <c r="I15">
        <f t="shared" ca="1" si="3"/>
        <v>378.80928110694867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35469</v>
      </c>
      <c r="B18" s="66">
        <v>35469</v>
      </c>
      <c r="D18">
        <f t="shared" si="0"/>
        <v>0.16631810935008909</v>
      </c>
      <c r="E18">
        <f t="shared" si="0"/>
        <v>0.16631810935008909</v>
      </c>
      <c r="G18">
        <f t="shared" ca="1" si="1"/>
        <v>16</v>
      </c>
      <c r="H18">
        <f t="shared" ca="1" si="2"/>
        <v>2.6610897496014254</v>
      </c>
      <c r="I18">
        <f t="shared" ca="1" si="3"/>
        <v>459.9849434806639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47516</v>
      </c>
      <c r="B21" s="66">
        <v>47516</v>
      </c>
      <c r="D21">
        <f t="shared" si="0"/>
        <v>0.22280784019506705</v>
      </c>
      <c r="E21">
        <f t="shared" si="0"/>
        <v>0.22280784019506705</v>
      </c>
      <c r="G21">
        <f t="shared" ca="1" si="1"/>
        <v>19</v>
      </c>
      <c r="H21">
        <f t="shared" ca="1" si="2"/>
        <v>4.2333489637062742</v>
      </c>
      <c r="I21">
        <f t="shared" ca="1" si="3"/>
        <v>547.91890289968887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57390</v>
      </c>
      <c r="B23" s="66">
        <v>57390</v>
      </c>
      <c r="D23">
        <f t="shared" si="0"/>
        <v>0.26910813092000374</v>
      </c>
      <c r="E23">
        <f t="shared" si="0"/>
        <v>0.26910813092000374</v>
      </c>
      <c r="G23">
        <f t="shared" ca="1" si="1"/>
        <v>21</v>
      </c>
      <c r="H23">
        <f t="shared" ca="1" si="2"/>
        <v>5.6512707493200782</v>
      </c>
      <c r="I23">
        <f t="shared" ca="1" si="3"/>
        <v>609.47476247475231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67065</v>
      </c>
      <c r="B26" s="66">
        <v>67065</v>
      </c>
      <c r="D26">
        <f t="shared" si="0"/>
        <v>0.31447528838038075</v>
      </c>
      <c r="E26">
        <f t="shared" si="0"/>
        <v>0.31447528838038075</v>
      </c>
      <c r="G26">
        <f t="shared" ca="1" si="1"/>
        <v>24</v>
      </c>
      <c r="H26">
        <f t="shared" ca="1" si="2"/>
        <v>7.5474069211291379</v>
      </c>
      <c r="I26">
        <f t="shared" ca="1" si="3"/>
        <v>625.25733854591886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83174</v>
      </c>
      <c r="B28" s="66">
        <v>83174</v>
      </c>
      <c r="D28">
        <f t="shared" si="0"/>
        <v>0.39001219169089374</v>
      </c>
      <c r="E28">
        <f t="shared" si="0"/>
        <v>0.39001219169089374</v>
      </c>
      <c r="G28">
        <f t="shared" ca="1" si="1"/>
        <v>26</v>
      </c>
      <c r="H28">
        <f t="shared" ca="1" si="2"/>
        <v>10.140316983963237</v>
      </c>
      <c r="I28">
        <f t="shared" ca="1" si="3"/>
        <v>707.44171823805902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95727</v>
      </c>
      <c r="B31" s="66">
        <v>95727</v>
      </c>
      <c r="D31">
        <f t="shared" si="0"/>
        <v>0.44887461314826971</v>
      </c>
      <c r="E31">
        <f t="shared" si="0"/>
        <v>0.44887461314826971</v>
      </c>
      <c r="G31">
        <f t="shared" ca="1" si="1"/>
        <v>29</v>
      </c>
      <c r="H31">
        <f t="shared" ca="1" si="2"/>
        <v>13.017363781299821</v>
      </c>
      <c r="I31">
        <f t="shared" ca="1" si="3"/>
        <v>703.54687596716531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116574</v>
      </c>
      <c r="B33" s="66">
        <v>116574</v>
      </c>
      <c r="D33">
        <f t="shared" si="0"/>
        <v>0.54662852855669142</v>
      </c>
      <c r="E33">
        <f t="shared" si="0"/>
        <v>0.54662852855669142</v>
      </c>
      <c r="G33">
        <f t="shared" ca="1" si="1"/>
        <v>31</v>
      </c>
      <c r="H33">
        <f t="shared" ca="1" si="2"/>
        <v>16.945484385257434</v>
      </c>
      <c r="I33">
        <f t="shared" ca="1" si="3"/>
        <v>772.38490343364992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128630</v>
      </c>
      <c r="B36" s="66">
        <v>128630</v>
      </c>
      <c r="D36">
        <f t="shared" si="0"/>
        <v>0.60316046140860924</v>
      </c>
      <c r="E36">
        <f t="shared" si="0"/>
        <v>0.60316046140860924</v>
      </c>
      <c r="G36">
        <f t="shared" ca="1" si="1"/>
        <v>34</v>
      </c>
      <c r="H36">
        <f t="shared" ca="1" si="2"/>
        <v>20.507455687892715</v>
      </c>
      <c r="I36">
        <f t="shared" ca="1" si="3"/>
        <v>721.65652961066917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140494</v>
      </c>
      <c r="B39" s="66">
        <v>140494</v>
      </c>
      <c r="D39">
        <f t="shared" si="0"/>
        <v>0.65879208477914286</v>
      </c>
      <c r="E39">
        <f t="shared" si="0"/>
        <v>0.65879208477914286</v>
      </c>
      <c r="G39">
        <f t="shared" ca="1" si="1"/>
        <v>37</v>
      </c>
      <c r="H39">
        <f t="shared" ca="1" si="2"/>
        <v>24.375307136828287</v>
      </c>
      <c r="I39">
        <f t="shared" ca="1" si="3"/>
        <v>657.42142609595362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161218</v>
      </c>
      <c r="B41" s="66">
        <v>161218</v>
      </c>
      <c r="D41">
        <f t="shared" si="0"/>
        <v>0.75596923942605265</v>
      </c>
      <c r="E41">
        <f t="shared" si="0"/>
        <v>0.75596923942605265</v>
      </c>
      <c r="G41">
        <f t="shared" ca="1" si="1"/>
        <v>39</v>
      </c>
      <c r="H41">
        <f t="shared" ca="1" si="2"/>
        <v>29.482800337616055</v>
      </c>
      <c r="I41">
        <f t="shared" ca="1" si="3"/>
        <v>661.89641601915025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187230</v>
      </c>
      <c r="B44" s="66">
        <v>187230</v>
      </c>
      <c r="D44">
        <f t="shared" si="0"/>
        <v>0.8779424177060865</v>
      </c>
      <c r="E44">
        <f t="shared" si="0"/>
        <v>0.8779424177060865</v>
      </c>
      <c r="G44">
        <f t="shared" ca="1" si="1"/>
        <v>42</v>
      </c>
      <c r="H44">
        <f t="shared" ca="1" si="2"/>
        <v>36.873581543655632</v>
      </c>
      <c r="I44">
        <f t="shared" ca="1" si="3"/>
        <v>620.7235574117002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209826</v>
      </c>
      <c r="B46" s="66">
        <v>209826</v>
      </c>
      <c r="D46">
        <f t="shared" si="0"/>
        <v>0.98389758979649256</v>
      </c>
      <c r="E46">
        <f t="shared" si="0"/>
        <v>0.98389758979649256</v>
      </c>
      <c r="G46">
        <f t="shared" ca="1" si="1"/>
        <v>44</v>
      </c>
      <c r="H46">
        <f t="shared" ca="1" si="2"/>
        <v>43.291493951045673</v>
      </c>
      <c r="I46">
        <f t="shared" ca="1" si="3"/>
        <v>594.92485114491637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213260</v>
      </c>
      <c r="B49" s="66">
        <v>213260</v>
      </c>
      <c r="D49">
        <f t="shared" si="0"/>
        <v>1</v>
      </c>
      <c r="E49">
        <f t="shared" si="0"/>
        <v>1</v>
      </c>
      <c r="G49">
        <f t="shared" ca="1" si="1"/>
        <v>47</v>
      </c>
      <c r="H49">
        <f t="shared" ca="1" si="2"/>
        <v>47</v>
      </c>
      <c r="I49">
        <f t="shared" ca="1" si="3"/>
        <v>466.12217907332808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211527</v>
      </c>
      <c r="B51" s="66">
        <v>211527</v>
      </c>
      <c r="D51">
        <f t="shared" si="0"/>
        <v>0.99187376910813096</v>
      </c>
      <c r="E51">
        <f t="shared" si="0"/>
        <v>0.99187376910813096</v>
      </c>
      <c r="G51">
        <f t="shared" ca="1" si="1"/>
        <v>49</v>
      </c>
      <c r="H51">
        <f t="shared" ca="1" si="2"/>
        <v>48.601814686298418</v>
      </c>
      <c r="I51">
        <f t="shared" ca="1" si="3"/>
        <v>380.64418303108056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194076</v>
      </c>
      <c r="B54" s="66">
        <v>194076</v>
      </c>
      <c r="D54">
        <f t="shared" si="0"/>
        <v>0.91004407765169282</v>
      </c>
      <c r="E54">
        <f t="shared" si="0"/>
        <v>0.91004407765169282</v>
      </c>
      <c r="G54">
        <f t="shared" ca="1" si="1"/>
        <v>52</v>
      </c>
      <c r="H54">
        <f t="shared" ca="1" si="2"/>
        <v>47.322292037888026</v>
      </c>
      <c r="I54">
        <f t="shared" ca="1" si="3"/>
        <v>250.46556197840732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177272</v>
      </c>
      <c r="B57" s="66">
        <v>177272</v>
      </c>
      <c r="D57">
        <f t="shared" si="0"/>
        <v>0.83124824158304422</v>
      </c>
      <c r="E57">
        <f t="shared" si="0"/>
        <v>0.83124824158304422</v>
      </c>
      <c r="G57">
        <f t="shared" ca="1" si="1"/>
        <v>55</v>
      </c>
      <c r="H57">
        <f t="shared" ca="1" si="2"/>
        <v>45.718653287067433</v>
      </c>
      <c r="I57">
        <f t="shared" ca="1" si="3"/>
        <v>153.51856033056563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180358</v>
      </c>
      <c r="B59" s="66">
        <v>180358</v>
      </c>
      <c r="D59">
        <f t="shared" si="0"/>
        <v>0.8457188408515427</v>
      </c>
      <c r="E59">
        <f t="shared" si="0"/>
        <v>0.8457188408515427</v>
      </c>
      <c r="G59">
        <f t="shared" ca="1" si="1"/>
        <v>57</v>
      </c>
      <c r="H59">
        <f t="shared" ca="1" si="2"/>
        <v>48.205973928537937</v>
      </c>
      <c r="I59">
        <f t="shared" ca="1" si="3"/>
        <v>113.60111692658701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183155</v>
      </c>
      <c r="B62" s="66">
        <v>183155</v>
      </c>
      <c r="D62">
        <f t="shared" si="0"/>
        <v>0.85883428678608276</v>
      </c>
      <c r="E62">
        <f t="shared" si="0"/>
        <v>0.85883428678608276</v>
      </c>
      <c r="G62">
        <f t="shared" ca="1" si="1"/>
        <v>60</v>
      </c>
      <c r="H62">
        <f t="shared" ca="1" si="2"/>
        <v>51.530057207164965</v>
      </c>
      <c r="I62">
        <f t="shared" ca="1" si="3"/>
        <v>63.369727042973913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178230</v>
      </c>
      <c r="B64" s="66">
        <v>178230</v>
      </c>
      <c r="D64">
        <f t="shared" si="0"/>
        <v>0.83574041076620087</v>
      </c>
      <c r="E64">
        <f t="shared" si="0"/>
        <v>0.83574041076620087</v>
      </c>
      <c r="G64">
        <f t="shared" ca="1" si="1"/>
        <v>62</v>
      </c>
      <c r="H64">
        <f t="shared" ca="1" si="2"/>
        <v>51.815905467504457</v>
      </c>
      <c r="I64">
        <f t="shared" ca="1" si="3"/>
        <v>36.293107737174573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166514</v>
      </c>
      <c r="B67" s="66">
        <v>166514</v>
      </c>
      <c r="D67">
        <f t="shared" ref="D67:E130" si="4">IFERROR( A67/MAX(A$2:A$257), 0 )</f>
        <v>0.78080277595423431</v>
      </c>
      <c r="E67">
        <f t="shared" si="4"/>
        <v>0.78080277595423431</v>
      </c>
      <c r="G67">
        <f t="shared" ref="G67:G130" ca="1" si="5">CELL("row",D67)-2</f>
        <v>65</v>
      </c>
      <c r="H67">
        <f t="shared" ref="H67:H130" ca="1" si="6">D67*G67</f>
        <v>50.752180437025231</v>
      </c>
      <c r="I67">
        <f t="shared" ref="I67:I130" ca="1" si="7">D67*((G67-$L$1)^2)</f>
        <v>10.062295540772315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162640</v>
      </c>
      <c r="B69" s="66">
        <v>162640</v>
      </c>
      <c r="D69">
        <f t="shared" si="4"/>
        <v>0.76263715652255459</v>
      </c>
      <c r="E69">
        <f t="shared" si="4"/>
        <v>0.76263715652255459</v>
      </c>
      <c r="G69">
        <f t="shared" ca="1" si="5"/>
        <v>67</v>
      </c>
      <c r="H69">
        <f t="shared" ca="1" si="6"/>
        <v>51.096689487011155</v>
      </c>
      <c r="I69">
        <f t="shared" ca="1" si="7"/>
        <v>1.9276904623841824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143126</v>
      </c>
      <c r="B72" s="66">
        <v>143126</v>
      </c>
      <c r="D72">
        <f t="shared" si="4"/>
        <v>0.67113382725311821</v>
      </c>
      <c r="E72">
        <f t="shared" si="4"/>
        <v>0.67113382725311821</v>
      </c>
      <c r="G72">
        <f t="shared" ca="1" si="5"/>
        <v>70</v>
      </c>
      <c r="H72">
        <f t="shared" ca="1" si="6"/>
        <v>46.979367907718277</v>
      </c>
      <c r="I72">
        <f t="shared" ca="1" si="7"/>
        <v>1.3345406920883236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127474</v>
      </c>
      <c r="B75" s="66">
        <v>127474</v>
      </c>
      <c r="D75">
        <f t="shared" si="4"/>
        <v>0.59773984807277503</v>
      </c>
      <c r="E75">
        <f t="shared" si="4"/>
        <v>0.59773984807277503</v>
      </c>
      <c r="G75">
        <f t="shared" ca="1" si="5"/>
        <v>73</v>
      </c>
      <c r="H75">
        <f t="shared" ca="1" si="6"/>
        <v>43.635008909312575</v>
      </c>
      <c r="I75">
        <f t="shared" ca="1" si="7"/>
        <v>11.625627268841608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114744</v>
      </c>
      <c r="B77" s="66">
        <v>114744</v>
      </c>
      <c r="D77">
        <f t="shared" si="4"/>
        <v>0.53804745381224794</v>
      </c>
      <c r="E77">
        <f t="shared" si="4"/>
        <v>0.53804745381224794</v>
      </c>
      <c r="G77">
        <f t="shared" ca="1" si="5"/>
        <v>75</v>
      </c>
      <c r="H77">
        <f t="shared" ca="1" si="6"/>
        <v>40.353559035918593</v>
      </c>
      <c r="I77">
        <f t="shared" ca="1" si="7"/>
        <v>22.1082934356903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103668</v>
      </c>
      <c r="B80" s="66">
        <v>103668</v>
      </c>
      <c r="D80">
        <f t="shared" si="4"/>
        <v>0.48611085060489545</v>
      </c>
      <c r="E80">
        <f t="shared" si="4"/>
        <v>0.48611085060489545</v>
      </c>
      <c r="G80">
        <f t="shared" ca="1" si="5"/>
        <v>78</v>
      </c>
      <c r="H80">
        <f t="shared" ca="1" si="6"/>
        <v>37.916646347181846</v>
      </c>
      <c r="I80">
        <f t="shared" ca="1" si="7"/>
        <v>43.045446698478784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91362</v>
      </c>
      <c r="B82" s="66">
        <v>91362</v>
      </c>
      <c r="D82">
        <f t="shared" si="4"/>
        <v>0.42840663978242521</v>
      </c>
      <c r="E82">
        <f t="shared" si="4"/>
        <v>0.42840663978242521</v>
      </c>
      <c r="G82">
        <f t="shared" ca="1" si="5"/>
        <v>80</v>
      </c>
      <c r="H82">
        <f t="shared" ca="1" si="6"/>
        <v>34.272531182594015</v>
      </c>
      <c r="I82">
        <f t="shared" ca="1" si="7"/>
        <v>55.774787010194316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82306</v>
      </c>
      <c r="B85" s="66">
        <v>82306</v>
      </c>
      <c r="D85">
        <f t="shared" si="4"/>
        <v>0.38594204257713588</v>
      </c>
      <c r="E85">
        <f t="shared" si="4"/>
        <v>0.38594204257713588</v>
      </c>
      <c r="G85">
        <f t="shared" ca="1" si="5"/>
        <v>83</v>
      </c>
      <c r="H85">
        <f t="shared" ca="1" si="6"/>
        <v>32.033189533902281</v>
      </c>
      <c r="I85">
        <f t="shared" ca="1" si="7"/>
        <v>80.141657050421713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68085</v>
      </c>
      <c r="B88" s="66">
        <v>68085</v>
      </c>
      <c r="D88">
        <f t="shared" si="4"/>
        <v>0.31925818250023447</v>
      </c>
      <c r="E88">
        <f t="shared" si="4"/>
        <v>0.31925818250023447</v>
      </c>
      <c r="G88">
        <f t="shared" ca="1" si="5"/>
        <v>86</v>
      </c>
      <c r="H88">
        <f t="shared" ca="1" si="6"/>
        <v>27.456203695020164</v>
      </c>
      <c r="I88">
        <f t="shared" ca="1" si="7"/>
        <v>96.771265443911076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62402</v>
      </c>
      <c r="B90" s="66">
        <v>62402</v>
      </c>
      <c r="D90">
        <f t="shared" si="4"/>
        <v>0.29260995967363779</v>
      </c>
      <c r="E90">
        <f t="shared" si="4"/>
        <v>0.29260995967363779</v>
      </c>
      <c r="G90">
        <f t="shared" ca="1" si="5"/>
        <v>88</v>
      </c>
      <c r="H90">
        <f t="shared" ca="1" si="6"/>
        <v>25.749676451280124</v>
      </c>
      <c r="I90">
        <f t="shared" ca="1" si="7"/>
        <v>110.2418039432943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59208</v>
      </c>
      <c r="B93" s="66">
        <v>59208</v>
      </c>
      <c r="D93">
        <f t="shared" si="4"/>
        <v>0.27763293632186065</v>
      </c>
      <c r="E93">
        <f t="shared" si="4"/>
        <v>0.27763293632186065</v>
      </c>
      <c r="G93">
        <f t="shared" ca="1" si="5"/>
        <v>91</v>
      </c>
      <c r="H93">
        <f t="shared" ca="1" si="6"/>
        <v>25.26459720528932</v>
      </c>
      <c r="I93">
        <f t="shared" ca="1" si="7"/>
        <v>139.43121573662233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59415</v>
      </c>
      <c r="B95" s="66">
        <v>59415</v>
      </c>
      <c r="D95">
        <f t="shared" si="4"/>
        <v>0.27860358248147798</v>
      </c>
      <c r="E95">
        <f t="shared" si="4"/>
        <v>0.27860358248147798</v>
      </c>
      <c r="G95">
        <f t="shared" ca="1" si="5"/>
        <v>93</v>
      </c>
      <c r="H95">
        <f t="shared" ca="1" si="6"/>
        <v>25.910133170777453</v>
      </c>
      <c r="I95">
        <f t="shared" ca="1" si="7"/>
        <v>166.00728034039628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57476</v>
      </c>
      <c r="B98" s="66">
        <v>57476</v>
      </c>
      <c r="D98">
        <f t="shared" si="4"/>
        <v>0.26951139454187378</v>
      </c>
      <c r="E98">
        <f t="shared" si="4"/>
        <v>0.26951139454187378</v>
      </c>
      <c r="G98">
        <f t="shared" ca="1" si="5"/>
        <v>96</v>
      </c>
      <c r="H98">
        <f t="shared" ca="1" si="6"/>
        <v>25.873093876019883</v>
      </c>
      <c r="I98">
        <f t="shared" ca="1" si="7"/>
        <v>202.48811969737574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51333</v>
      </c>
      <c r="B100" s="66">
        <v>51333</v>
      </c>
      <c r="D100">
        <f t="shared" si="4"/>
        <v>0.24070618024946075</v>
      </c>
      <c r="E100">
        <f t="shared" si="4"/>
        <v>0.24070618024946075</v>
      </c>
      <c r="G100">
        <f t="shared" ca="1" si="5"/>
        <v>98</v>
      </c>
      <c r="H100">
        <f t="shared" ca="1" si="6"/>
        <v>23.589205664447153</v>
      </c>
      <c r="I100">
        <f t="shared" ca="1" si="7"/>
        <v>208.20029469485505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47624</v>
      </c>
      <c r="B103" s="66">
        <v>47624</v>
      </c>
      <c r="D103">
        <f t="shared" si="4"/>
        <v>0.22331426427834569</v>
      </c>
      <c r="E103">
        <f t="shared" si="4"/>
        <v>0.22331426427834569</v>
      </c>
      <c r="G103">
        <f t="shared" ca="1" si="5"/>
        <v>101</v>
      </c>
      <c r="H103">
        <f t="shared" ca="1" si="6"/>
        <v>22.554740692112915</v>
      </c>
      <c r="I103">
        <f t="shared" ca="1" si="7"/>
        <v>234.57309692615704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41931</v>
      </c>
      <c r="B106" s="66">
        <v>41931</v>
      </c>
      <c r="D106">
        <f t="shared" si="4"/>
        <v>0.19661915033292696</v>
      </c>
      <c r="E106">
        <f t="shared" si="4"/>
        <v>0.19661915033292696</v>
      </c>
      <c r="G106">
        <f t="shared" ca="1" si="5"/>
        <v>104</v>
      </c>
      <c r="H106">
        <f t="shared" ca="1" si="6"/>
        <v>20.448391634624404</v>
      </c>
      <c r="I106">
        <f t="shared" ca="1" si="7"/>
        <v>246.5363898255508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39847</v>
      </c>
      <c r="B108" s="66">
        <v>39847</v>
      </c>
      <c r="D108">
        <f t="shared" si="4"/>
        <v>0.18684704117040232</v>
      </c>
      <c r="E108">
        <f t="shared" si="4"/>
        <v>0.18684704117040232</v>
      </c>
      <c r="G108">
        <f t="shared" ca="1" si="5"/>
        <v>106</v>
      </c>
      <c r="H108">
        <f t="shared" ca="1" si="6"/>
        <v>19.805786364062648</v>
      </c>
      <c r="I108">
        <f t="shared" ca="1" si="7"/>
        <v>261.49586453944244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40472</v>
      </c>
      <c r="B111" s="66">
        <v>40472</v>
      </c>
      <c r="D111">
        <f t="shared" si="4"/>
        <v>0.18977773609678328</v>
      </c>
      <c r="E111">
        <f t="shared" si="4"/>
        <v>0.18977773609678328</v>
      </c>
      <c r="G111">
        <f t="shared" ca="1" si="5"/>
        <v>109</v>
      </c>
      <c r="H111">
        <f t="shared" ca="1" si="6"/>
        <v>20.685773234549377</v>
      </c>
      <c r="I111">
        <f t="shared" ca="1" si="7"/>
        <v>309.90309230088974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35202</v>
      </c>
      <c r="B113" s="66">
        <v>35202</v>
      </c>
      <c r="D113">
        <f t="shared" si="4"/>
        <v>0.16506611647753916</v>
      </c>
      <c r="E113">
        <f t="shared" si="4"/>
        <v>0.16506611647753916</v>
      </c>
      <c r="G113">
        <f t="shared" ca="1" si="5"/>
        <v>111</v>
      </c>
      <c r="H113">
        <f t="shared" ca="1" si="6"/>
        <v>18.322338929006847</v>
      </c>
      <c r="I113">
        <f t="shared" ca="1" si="7"/>
        <v>296.89117397333479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33035</v>
      </c>
      <c r="B116" s="66">
        <v>33035</v>
      </c>
      <c r="D116">
        <f t="shared" si="4"/>
        <v>0.15490481102879114</v>
      </c>
      <c r="E116">
        <f t="shared" si="4"/>
        <v>0.15490481102879114</v>
      </c>
      <c r="G116">
        <f t="shared" ca="1" si="5"/>
        <v>114</v>
      </c>
      <c r="H116">
        <f t="shared" ca="1" si="6"/>
        <v>17.659148457282189</v>
      </c>
      <c r="I116">
        <f t="shared" ca="1" si="7"/>
        <v>319.42619846229536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30522</v>
      </c>
      <c r="B118" s="66">
        <v>30522</v>
      </c>
      <c r="D118">
        <f t="shared" si="4"/>
        <v>0.14312107286879866</v>
      </c>
      <c r="E118">
        <f t="shared" si="4"/>
        <v>0.14312107286879866</v>
      </c>
      <c r="G118">
        <f t="shared" ca="1" si="5"/>
        <v>116</v>
      </c>
      <c r="H118">
        <f t="shared" ca="1" si="6"/>
        <v>16.602044452780646</v>
      </c>
      <c r="I118">
        <f t="shared" ca="1" si="7"/>
        <v>321.69625562311256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29223</v>
      </c>
      <c r="B121" s="66">
        <v>29223</v>
      </c>
      <c r="D121">
        <f t="shared" si="4"/>
        <v>0.1370299165338085</v>
      </c>
      <c r="E121">
        <f t="shared" si="4"/>
        <v>0.1370299165338085</v>
      </c>
      <c r="G121">
        <f t="shared" ca="1" si="5"/>
        <v>119</v>
      </c>
      <c r="H121">
        <f t="shared" ca="1" si="6"/>
        <v>16.306560067523211</v>
      </c>
      <c r="I121">
        <f t="shared" ca="1" si="7"/>
        <v>348.21794703882773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25008</v>
      </c>
      <c r="B124" s="66">
        <v>25008</v>
      </c>
      <c r="D124">
        <f t="shared" si="4"/>
        <v>0.11726530995029541</v>
      </c>
      <c r="E124">
        <f t="shared" si="4"/>
        <v>0.11726530995029541</v>
      </c>
      <c r="G124">
        <f t="shared" ca="1" si="5"/>
        <v>122</v>
      </c>
      <c r="H124">
        <f t="shared" ca="1" si="6"/>
        <v>14.30636781393604</v>
      </c>
      <c r="I124">
        <f t="shared" ca="1" si="7"/>
        <v>334.51603595533027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25358</v>
      </c>
      <c r="B126" s="66">
        <v>25358</v>
      </c>
      <c r="D126">
        <f t="shared" si="4"/>
        <v>0.11890649910906874</v>
      </c>
      <c r="E126">
        <f t="shared" si="4"/>
        <v>0.11890649910906874</v>
      </c>
      <c r="G126">
        <f t="shared" ca="1" si="5"/>
        <v>124</v>
      </c>
      <c r="H126">
        <f t="shared" ca="1" si="6"/>
        <v>14.744405889524524</v>
      </c>
      <c r="I126">
        <f t="shared" ca="1" si="7"/>
        <v>365.07663799135111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23767</v>
      </c>
      <c r="B129" s="66">
        <v>23767</v>
      </c>
      <c r="D129">
        <f t="shared" si="4"/>
        <v>0.11144612210447341</v>
      </c>
      <c r="E129">
        <f t="shared" si="4"/>
        <v>0.11144612210447341</v>
      </c>
      <c r="G129">
        <f t="shared" ca="1" si="5"/>
        <v>127</v>
      </c>
      <c r="H129">
        <f t="shared" ca="1" si="6"/>
        <v>14.153657507268123</v>
      </c>
      <c r="I129">
        <f t="shared" ca="1" si="7"/>
        <v>380.22565163720373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23391</v>
      </c>
      <c r="B131" s="66">
        <v>23391</v>
      </c>
      <c r="D131">
        <f t="shared" ref="D131:E194" si="8">IFERROR( A131/MAX(A$2:A$257), 0 )</f>
        <v>0.10968301603676264</v>
      </c>
      <c r="E131">
        <f t="shared" si="8"/>
        <v>0.10968301603676264</v>
      </c>
      <c r="G131">
        <f t="shared" ref="G131:G194" ca="1" si="9">CELL("row",D131)-2</f>
        <v>129</v>
      </c>
      <c r="H131">
        <f t="shared" ref="H131:H194" ca="1" si="10">D131*G131</f>
        <v>14.149109068742382</v>
      </c>
      <c r="I131">
        <f t="shared" ref="I131:I194" ca="1" si="11">D131*((G131-$L$1)^2)</f>
        <v>400.27551697109323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26070</v>
      </c>
      <c r="B134" s="66">
        <v>26070</v>
      </c>
      <c r="D134">
        <f t="shared" si="8"/>
        <v>0.12224514676920191</v>
      </c>
      <c r="E134">
        <f t="shared" si="8"/>
        <v>0.12224514676920191</v>
      </c>
      <c r="G134">
        <f t="shared" ca="1" si="9"/>
        <v>132</v>
      </c>
      <c r="H134">
        <f t="shared" ca="1" si="10"/>
        <v>16.136359373534653</v>
      </c>
      <c r="I134">
        <f t="shared" ca="1" si="11"/>
        <v>491.52884704694321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27316</v>
      </c>
      <c r="B136" s="66">
        <v>27316</v>
      </c>
      <c r="D136">
        <f t="shared" si="8"/>
        <v>0.12808778017443495</v>
      </c>
      <c r="E136">
        <f t="shared" si="8"/>
        <v>0.12808778017443495</v>
      </c>
      <c r="G136">
        <f t="shared" ca="1" si="9"/>
        <v>134</v>
      </c>
      <c r="H136">
        <f t="shared" ca="1" si="10"/>
        <v>17.163762543374283</v>
      </c>
      <c r="I136">
        <f t="shared" ca="1" si="11"/>
        <v>548.02177916236963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30475</v>
      </c>
      <c r="B139" s="66">
        <v>30475</v>
      </c>
      <c r="D139">
        <f t="shared" si="8"/>
        <v>0.14290068461033481</v>
      </c>
      <c r="E139">
        <f t="shared" si="8"/>
        <v>0.14290068461033481</v>
      </c>
      <c r="G139">
        <f t="shared" ca="1" si="9"/>
        <v>137</v>
      </c>
      <c r="H139">
        <f t="shared" ca="1" si="10"/>
        <v>19.577393791615869</v>
      </c>
      <c r="I139">
        <f t="shared" ca="1" si="11"/>
        <v>668.76761039208327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26259</v>
      </c>
      <c r="B142" s="66">
        <v>26259</v>
      </c>
      <c r="D142">
        <f t="shared" si="8"/>
        <v>0.12313138891493951</v>
      </c>
      <c r="E142">
        <f t="shared" si="8"/>
        <v>0.12313138891493951</v>
      </c>
      <c r="G142">
        <f t="shared" ca="1" si="9"/>
        <v>140</v>
      </c>
      <c r="H142">
        <f t="shared" ca="1" si="10"/>
        <v>17.23839444809153</v>
      </c>
      <c r="I142">
        <f t="shared" ca="1" si="11"/>
        <v>627.89715075482911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27403</v>
      </c>
      <c r="B144" s="66">
        <v>27403</v>
      </c>
      <c r="D144">
        <f t="shared" si="8"/>
        <v>0.12849573290818719</v>
      </c>
      <c r="E144">
        <f t="shared" si="8"/>
        <v>0.12849573290818719</v>
      </c>
      <c r="G144">
        <f t="shared" ca="1" si="9"/>
        <v>142</v>
      </c>
      <c r="H144">
        <f t="shared" ca="1" si="10"/>
        <v>18.24639407296258</v>
      </c>
      <c r="I144">
        <f t="shared" ca="1" si="11"/>
        <v>692.4697022908648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30757</v>
      </c>
      <c r="B147" s="66">
        <v>30757</v>
      </c>
      <c r="D147">
        <f t="shared" si="8"/>
        <v>0.14422301416111788</v>
      </c>
      <c r="E147">
        <f t="shared" si="8"/>
        <v>0.14422301416111788</v>
      </c>
      <c r="G147">
        <f t="shared" ca="1" si="9"/>
        <v>145</v>
      </c>
      <c r="H147">
        <f t="shared" ca="1" si="10"/>
        <v>20.912337053362094</v>
      </c>
      <c r="I147">
        <f t="shared" ca="1" si="11"/>
        <v>842.04737412842974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34479</v>
      </c>
      <c r="B149" s="66">
        <v>34479</v>
      </c>
      <c r="D149">
        <f t="shared" si="8"/>
        <v>0.16167588858670168</v>
      </c>
      <c r="E149">
        <f t="shared" si="8"/>
        <v>0.16167588858670168</v>
      </c>
      <c r="G149">
        <f t="shared" ca="1" si="9"/>
        <v>147</v>
      </c>
      <c r="H149">
        <f t="shared" ca="1" si="10"/>
        <v>23.766355622245147</v>
      </c>
      <c r="I149">
        <f t="shared" ca="1" si="11"/>
        <v>994.00755031864355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29684</v>
      </c>
      <c r="B152" s="66">
        <v>29684</v>
      </c>
      <c r="D152">
        <f t="shared" si="8"/>
        <v>0.13919159711150708</v>
      </c>
      <c r="E152">
        <f t="shared" si="8"/>
        <v>0.13919159711150708</v>
      </c>
      <c r="G152">
        <f t="shared" ca="1" si="9"/>
        <v>150</v>
      </c>
      <c r="H152">
        <f t="shared" ca="1" si="10"/>
        <v>20.878739566726061</v>
      </c>
      <c r="I152">
        <f t="shared" ca="1" si="11"/>
        <v>922.50768026802621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29556</v>
      </c>
      <c r="B154" s="66">
        <v>29556</v>
      </c>
      <c r="D154">
        <f t="shared" si="8"/>
        <v>0.13859139079058427</v>
      </c>
      <c r="E154">
        <f t="shared" si="8"/>
        <v>0.13859139079058427</v>
      </c>
      <c r="G154">
        <f t="shared" ca="1" si="9"/>
        <v>152</v>
      </c>
      <c r="H154">
        <f t="shared" ca="1" si="10"/>
        <v>21.065891400168809</v>
      </c>
      <c r="I154">
        <f t="shared" ca="1" si="11"/>
        <v>964.21508867370142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33563</v>
      </c>
      <c r="B157" s="66">
        <v>33563</v>
      </c>
      <c r="D157">
        <f t="shared" si="8"/>
        <v>0.15738066210259777</v>
      </c>
      <c r="E157">
        <f t="shared" si="8"/>
        <v>0.15738066210259777</v>
      </c>
      <c r="G157">
        <f t="shared" ca="1" si="9"/>
        <v>155</v>
      </c>
      <c r="H157">
        <f t="shared" ca="1" si="10"/>
        <v>24.394002625902655</v>
      </c>
      <c r="I157">
        <f t="shared" ca="1" si="11"/>
        <v>1175.1160464218647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29310</v>
      </c>
      <c r="B160" s="66">
        <v>29310</v>
      </c>
      <c r="D160">
        <f t="shared" si="8"/>
        <v>0.13743786926756071</v>
      </c>
      <c r="E160">
        <f t="shared" si="8"/>
        <v>0.13743786926756071</v>
      </c>
      <c r="G160">
        <f t="shared" ca="1" si="9"/>
        <v>158</v>
      </c>
      <c r="H160">
        <f t="shared" ca="1" si="10"/>
        <v>21.715183344274593</v>
      </c>
      <c r="I160">
        <f t="shared" ca="1" si="11"/>
        <v>1098.7020514838719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26139</v>
      </c>
      <c r="B162" s="66">
        <v>26139</v>
      </c>
      <c r="D162">
        <f t="shared" si="8"/>
        <v>0.12256869548907437</v>
      </c>
      <c r="E162">
        <f t="shared" si="8"/>
        <v>0.12256869548907437</v>
      </c>
      <c r="G162">
        <f t="shared" ca="1" si="9"/>
        <v>160</v>
      </c>
      <c r="H162">
        <f t="shared" ca="1" si="10"/>
        <v>19.610991278251898</v>
      </c>
      <c r="I162">
        <f t="shared" ca="1" si="11"/>
        <v>1024.1611198425226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24311</v>
      </c>
      <c r="B165" s="66">
        <v>24311</v>
      </c>
      <c r="D165">
        <f t="shared" si="8"/>
        <v>0.11399699896839538</v>
      </c>
      <c r="E165">
        <f t="shared" si="8"/>
        <v>0.11399699896839538</v>
      </c>
      <c r="G165">
        <f t="shared" ca="1" si="9"/>
        <v>163</v>
      </c>
      <c r="H165">
        <f t="shared" ca="1" si="10"/>
        <v>18.581510831848448</v>
      </c>
      <c r="I165">
        <f t="shared" ca="1" si="11"/>
        <v>1016.0864860107941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18900</v>
      </c>
      <c r="B167" s="66">
        <v>18900</v>
      </c>
      <c r="D167">
        <f t="shared" si="8"/>
        <v>8.8624214573759727E-2</v>
      </c>
      <c r="E167">
        <f t="shared" si="8"/>
        <v>8.8624214573759727E-2</v>
      </c>
      <c r="G167">
        <f t="shared" ca="1" si="9"/>
        <v>165</v>
      </c>
      <c r="H167">
        <f t="shared" ca="1" si="10"/>
        <v>14.622995404670355</v>
      </c>
      <c r="I167">
        <f t="shared" ca="1" si="11"/>
        <v>823.75450063426763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16353</v>
      </c>
      <c r="B170" s="66">
        <v>16353</v>
      </c>
      <c r="D170">
        <f t="shared" si="8"/>
        <v>7.6681046609772111E-2</v>
      </c>
      <c r="E170">
        <f t="shared" si="8"/>
        <v>7.6681046609772111E-2</v>
      </c>
      <c r="G170">
        <f t="shared" ca="1" si="9"/>
        <v>168</v>
      </c>
      <c r="H170">
        <f t="shared" ca="1" si="10"/>
        <v>12.882415830441715</v>
      </c>
      <c r="I170">
        <f t="shared" ca="1" si="11"/>
        <v>757.79088580211624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13942</v>
      </c>
      <c r="B173" s="66">
        <v>13942</v>
      </c>
      <c r="D173">
        <f t="shared" si="8"/>
        <v>6.5375597861764986E-2</v>
      </c>
      <c r="E173">
        <f t="shared" si="8"/>
        <v>6.5375597861764986E-2</v>
      </c>
      <c r="G173">
        <f t="shared" ca="1" si="9"/>
        <v>171</v>
      </c>
      <c r="H173">
        <f t="shared" ca="1" si="10"/>
        <v>11.179227234361813</v>
      </c>
      <c r="I173">
        <f t="shared" ca="1" si="11"/>
        <v>685.64856089873376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11962</v>
      </c>
      <c r="B175" s="66">
        <v>11962</v>
      </c>
      <c r="D175">
        <f t="shared" si="8"/>
        <v>5.609115633499015E-2</v>
      </c>
      <c r="E175">
        <f t="shared" si="8"/>
        <v>5.609115633499015E-2</v>
      </c>
      <c r="G175">
        <f t="shared" ca="1" si="9"/>
        <v>173</v>
      </c>
      <c r="H175">
        <f t="shared" ca="1" si="10"/>
        <v>9.7037700459532967</v>
      </c>
      <c r="I175">
        <f t="shared" ca="1" si="11"/>
        <v>611.47643576453891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7485</v>
      </c>
      <c r="B178" s="66">
        <v>7485</v>
      </c>
      <c r="D178">
        <f t="shared" si="8"/>
        <v>3.5098002438338181E-2</v>
      </c>
      <c r="E178">
        <f t="shared" si="8"/>
        <v>3.5098002438338181E-2</v>
      </c>
      <c r="G178">
        <f t="shared" ca="1" si="9"/>
        <v>176</v>
      </c>
      <c r="H178">
        <f t="shared" ca="1" si="10"/>
        <v>6.1772484291475198</v>
      </c>
      <c r="I178">
        <f t="shared" ca="1" si="11"/>
        <v>404.92346249439663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7605</v>
      </c>
      <c r="B180" s="66">
        <v>7605</v>
      </c>
      <c r="D180">
        <f t="shared" si="8"/>
        <v>3.5660695864203319E-2</v>
      </c>
      <c r="E180">
        <f t="shared" si="8"/>
        <v>3.5660695864203319E-2</v>
      </c>
      <c r="G180">
        <f t="shared" ca="1" si="9"/>
        <v>178</v>
      </c>
      <c r="H180">
        <f t="shared" ca="1" si="10"/>
        <v>6.3476038638281906</v>
      </c>
      <c r="I180">
        <f t="shared" ca="1" si="11"/>
        <v>426.87914512621717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3865</v>
      </c>
      <c r="B183" s="66">
        <v>3865</v>
      </c>
      <c r="D183">
        <f t="shared" si="8"/>
        <v>1.8123417424739753E-2</v>
      </c>
      <c r="E183">
        <f t="shared" si="8"/>
        <v>1.8123417424739753E-2</v>
      </c>
      <c r="G183">
        <f t="shared" ca="1" si="9"/>
        <v>181</v>
      </c>
      <c r="H183">
        <f t="shared" ca="1" si="10"/>
        <v>3.2803385538778955</v>
      </c>
      <c r="I183">
        <f t="shared" ca="1" si="11"/>
        <v>229.00820808519458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2743</v>
      </c>
      <c r="B185" s="66">
        <v>2743</v>
      </c>
      <c r="D185">
        <f t="shared" si="8"/>
        <v>1.2862233892900685E-2</v>
      </c>
      <c r="E185">
        <f t="shared" si="8"/>
        <v>1.2862233892900685E-2</v>
      </c>
      <c r="G185">
        <f t="shared" ca="1" si="9"/>
        <v>183</v>
      </c>
      <c r="H185">
        <f t="shared" ca="1" si="10"/>
        <v>2.3537888024008251</v>
      </c>
      <c r="I185">
        <f t="shared" ca="1" si="11"/>
        <v>168.36251900814256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1070</v>
      </c>
      <c r="B188" s="66">
        <v>1070</v>
      </c>
      <c r="D188">
        <f t="shared" si="8"/>
        <v>5.017349713964175E-3</v>
      </c>
      <c r="E188">
        <f t="shared" si="8"/>
        <v>5.017349713964175E-3</v>
      </c>
      <c r="G188">
        <f t="shared" ca="1" si="9"/>
        <v>186</v>
      </c>
      <c r="H188">
        <f t="shared" ca="1" si="10"/>
        <v>0.93322704679733659</v>
      </c>
      <c r="I188">
        <f t="shared" ca="1" si="11"/>
        <v>69.164869736655888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598</v>
      </c>
      <c r="B191" s="66">
        <v>598</v>
      </c>
      <c r="D191">
        <f t="shared" si="8"/>
        <v>2.8040889055612867E-3</v>
      </c>
      <c r="E191">
        <f t="shared" si="8"/>
        <v>2.8040889055612867E-3</v>
      </c>
      <c r="G191">
        <f t="shared" ca="1" si="9"/>
        <v>189</v>
      </c>
      <c r="H191">
        <f t="shared" ca="1" si="10"/>
        <v>0.52997280315108319</v>
      </c>
      <c r="I191">
        <f t="shared" ca="1" si="11"/>
        <v>40.655366551900215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481</v>
      </c>
      <c r="B193" s="66">
        <v>481</v>
      </c>
      <c r="D193">
        <f t="shared" si="8"/>
        <v>2.2554628153427739E-3</v>
      </c>
      <c r="E193">
        <f t="shared" si="8"/>
        <v>2.2554628153427739E-3</v>
      </c>
      <c r="G193">
        <f t="shared" ca="1" si="9"/>
        <v>191</v>
      </c>
      <c r="H193">
        <f t="shared" ca="1" si="10"/>
        <v>0.43079339773046982</v>
      </c>
      <c r="I193">
        <f t="shared" ca="1" si="11"/>
        <v>33.796399903530322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416</v>
      </c>
      <c r="B196" s="66">
        <v>416</v>
      </c>
      <c r="D196">
        <f t="shared" si="12"/>
        <v>1.9506705429991559E-3</v>
      </c>
      <c r="E196">
        <f t="shared" si="12"/>
        <v>1.9506705429991559E-3</v>
      </c>
      <c r="G196">
        <f t="shared" ca="1" si="13"/>
        <v>194</v>
      </c>
      <c r="H196">
        <f t="shared" ca="1" si="14"/>
        <v>0.37843008534183625</v>
      </c>
      <c r="I196">
        <f t="shared" ca="1" si="15"/>
        <v>30.679565962267656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141</v>
      </c>
      <c r="B198" s="66">
        <v>141</v>
      </c>
      <c r="D198">
        <f t="shared" si="12"/>
        <v>6.611647753915408E-4</v>
      </c>
      <c r="E198">
        <f t="shared" si="12"/>
        <v>6.611647753915408E-4</v>
      </c>
      <c r="G198">
        <f t="shared" ca="1" si="13"/>
        <v>196</v>
      </c>
      <c r="H198">
        <f t="shared" ca="1" si="14"/>
        <v>0.12958829597674199</v>
      </c>
      <c r="I198">
        <f t="shared" ca="1" si="15"/>
        <v>10.732914605920371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71.261883994143119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1.3758881265709966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0.65652027978441851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907</v>
      </c>
      <c r="B8" s="66">
        <v>907</v>
      </c>
      <c r="D8">
        <f t="shared" si="0"/>
        <v>0.76505866574443493</v>
      </c>
      <c r="E8">
        <f t="shared" si="1"/>
        <v>0.76505866574443493</v>
      </c>
      <c r="G8">
        <f t="shared" ca="1" si="2"/>
        <v>6</v>
      </c>
      <c r="H8">
        <f t="shared" ca="1" si="3"/>
        <v>4.5903519944666096</v>
      </c>
      <c r="I8">
        <f t="shared" ca="1" si="4"/>
        <v>3258.4716934499752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2003</v>
      </c>
      <c r="B10" s="66">
        <v>2003</v>
      </c>
      <c r="D10">
        <f t="shared" si="0"/>
        <v>1.689539699543664</v>
      </c>
      <c r="E10">
        <f t="shared" si="1"/>
        <v>1.689539699543664</v>
      </c>
      <c r="G10">
        <f t="shared" ca="1" si="2"/>
        <v>8</v>
      </c>
      <c r="H10">
        <f t="shared" ca="1" si="3"/>
        <v>13.516317596349312</v>
      </c>
      <c r="I10">
        <f t="shared" ca="1" si="4"/>
        <v>6761.6493305747708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2840</v>
      </c>
      <c r="B13" s="66">
        <v>2840</v>
      </c>
      <c r="D13">
        <f t="shared" si="0"/>
        <v>2.3955530437863235</v>
      </c>
      <c r="E13">
        <f t="shared" si="1"/>
        <v>2.3955530437863235</v>
      </c>
      <c r="G13">
        <f t="shared" ca="1" si="2"/>
        <v>11</v>
      </c>
      <c r="H13">
        <f t="shared" ca="1" si="3"/>
        <v>26.35108348164956</v>
      </c>
      <c r="I13">
        <f t="shared" ca="1" si="4"/>
        <v>8699.4380923021072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5014</v>
      </c>
      <c r="B15" s="66">
        <v>5014</v>
      </c>
      <c r="D15">
        <f t="shared" si="0"/>
        <v>4.2293320287128964</v>
      </c>
      <c r="E15">
        <f t="shared" si="1"/>
        <v>4.2293320287128964</v>
      </c>
      <c r="G15">
        <f t="shared" ca="1" si="2"/>
        <v>13</v>
      </c>
      <c r="H15">
        <f t="shared" ca="1" si="3"/>
        <v>54.981316373267653</v>
      </c>
      <c r="I15">
        <f t="shared" ca="1" si="4"/>
        <v>14356.243952077644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9776</v>
      </c>
      <c r="B18" s="66">
        <v>9776</v>
      </c>
      <c r="D18">
        <f t="shared" si="0"/>
        <v>8.2461009000194014</v>
      </c>
      <c r="E18">
        <f t="shared" si="1"/>
        <v>8.2461009000194014</v>
      </c>
      <c r="G18">
        <f t="shared" ca="1" si="2"/>
        <v>16</v>
      </c>
      <c r="H18">
        <f t="shared" ca="1" si="3"/>
        <v>131.93761440031042</v>
      </c>
      <c r="I18">
        <f t="shared" ca="1" si="4"/>
        <v>25182.568169142007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13014</v>
      </c>
      <c r="B21" s="66">
        <v>13014</v>
      </c>
      <c r="D21">
        <f t="shared" si="0"/>
        <v>10.977368771772962</v>
      </c>
      <c r="E21">
        <f t="shared" si="1"/>
        <v>10.977368771772962</v>
      </c>
      <c r="G21">
        <f t="shared" ca="1" si="2"/>
        <v>19</v>
      </c>
      <c r="H21">
        <f t="shared" ca="1" si="3"/>
        <v>208.57000666368629</v>
      </c>
      <c r="I21">
        <f t="shared" ca="1" si="4"/>
        <v>29982.536928871632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23382</v>
      </c>
      <c r="B23" s="66">
        <v>23382</v>
      </c>
      <c r="D23">
        <f t="shared" si="0"/>
        <v>19.722824390778808</v>
      </c>
      <c r="E23">
        <f t="shared" si="1"/>
        <v>19.722824390778808</v>
      </c>
      <c r="G23">
        <f t="shared" ca="1" si="2"/>
        <v>21</v>
      </c>
      <c r="H23">
        <f t="shared" ca="1" si="3"/>
        <v>414.17931220635495</v>
      </c>
      <c r="I23">
        <f t="shared" ca="1" si="4"/>
        <v>49824.922834601275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26195</v>
      </c>
      <c r="B26" s="66">
        <v>26195</v>
      </c>
      <c r="D26">
        <f t="shared" si="0"/>
        <v>22.095602810557303</v>
      </c>
      <c r="E26">
        <f t="shared" si="1"/>
        <v>22.095602810557303</v>
      </c>
      <c r="G26">
        <f t="shared" ca="1" si="2"/>
        <v>24</v>
      </c>
      <c r="H26">
        <f t="shared" ca="1" si="3"/>
        <v>530.29446745337532</v>
      </c>
      <c r="I26">
        <f t="shared" ca="1" si="4"/>
        <v>49354.631559651527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39474</v>
      </c>
      <c r="B28" s="66">
        <v>39474</v>
      </c>
      <c r="D28">
        <f t="shared" si="0"/>
        <v>33.296500299444133</v>
      </c>
      <c r="E28">
        <f t="shared" si="1"/>
        <v>33.296500299444133</v>
      </c>
      <c r="G28">
        <f t="shared" ca="1" si="2"/>
        <v>26</v>
      </c>
      <c r="H28">
        <f t="shared" ca="1" si="3"/>
        <v>865.70900778554744</v>
      </c>
      <c r="I28">
        <f t="shared" ca="1" si="4"/>
        <v>68212.480531838883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44896</v>
      </c>
      <c r="B31" s="66">
        <v>44896</v>
      </c>
      <c r="D31">
        <f t="shared" si="0"/>
        <v>37.869982202053087</v>
      </c>
      <c r="E31">
        <f t="shared" si="1"/>
        <v>37.869982202053087</v>
      </c>
      <c r="G31">
        <f t="shared" ca="1" si="2"/>
        <v>29</v>
      </c>
      <c r="H31">
        <f t="shared" ca="1" si="3"/>
        <v>1098.2294838595396</v>
      </c>
      <c r="I31">
        <f t="shared" ca="1" si="4"/>
        <v>67638.31939454934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52135</v>
      </c>
      <c r="B33" s="66">
        <v>52135</v>
      </c>
      <c r="D33">
        <f t="shared" si="0"/>
        <v>43.976111949929567</v>
      </c>
      <c r="E33">
        <f t="shared" si="1"/>
        <v>43.976111949929567</v>
      </c>
      <c r="G33">
        <f t="shared" ca="1" si="2"/>
        <v>31</v>
      </c>
      <c r="H33">
        <f t="shared" ca="1" si="3"/>
        <v>1363.2594704478165</v>
      </c>
      <c r="I33">
        <f t="shared" ca="1" si="4"/>
        <v>71286.126331075458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57880</v>
      </c>
      <c r="B36" s="66">
        <v>57880</v>
      </c>
      <c r="D36">
        <f t="shared" si="0"/>
        <v>48.822045836039578</v>
      </c>
      <c r="E36">
        <f t="shared" si="1"/>
        <v>48.822045836039578</v>
      </c>
      <c r="G36">
        <f t="shared" ca="1" si="2"/>
        <v>34</v>
      </c>
      <c r="H36">
        <f t="shared" ca="1" si="3"/>
        <v>1659.9495584253457</v>
      </c>
      <c r="I36">
        <f t="shared" ca="1" si="4"/>
        <v>67786.871838028252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62710</v>
      </c>
      <c r="B39" s="66">
        <v>62710</v>
      </c>
      <c r="D39">
        <f t="shared" si="0"/>
        <v>52.896173019662093</v>
      </c>
      <c r="E39">
        <f t="shared" si="1"/>
        <v>52.896173019662093</v>
      </c>
      <c r="G39">
        <f t="shared" ca="1" si="2"/>
        <v>37</v>
      </c>
      <c r="H39">
        <f t="shared" ca="1" si="3"/>
        <v>1957.1584017274974</v>
      </c>
      <c r="I39">
        <f t="shared" ca="1" si="4"/>
        <v>62093.584753377334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70031</v>
      </c>
      <c r="B41" s="66">
        <v>70031</v>
      </c>
      <c r="D41">
        <f t="shared" si="0"/>
        <v>59.071470144154937</v>
      </c>
      <c r="E41">
        <f t="shared" si="1"/>
        <v>59.071470144154937</v>
      </c>
      <c r="G41">
        <f t="shared" ca="1" si="2"/>
        <v>39</v>
      </c>
      <c r="H41">
        <f t="shared" ca="1" si="3"/>
        <v>2303.7873356220425</v>
      </c>
      <c r="I41">
        <f t="shared" ca="1" si="4"/>
        <v>61483.308582265119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94672</v>
      </c>
      <c r="B44" s="66">
        <v>94672</v>
      </c>
      <c r="D44">
        <f t="shared" si="0"/>
        <v>79.856266817372827</v>
      </c>
      <c r="E44">
        <f t="shared" si="1"/>
        <v>79.856266817372827</v>
      </c>
      <c r="G44">
        <f t="shared" ca="1" si="2"/>
        <v>42</v>
      </c>
      <c r="H44">
        <f t="shared" ca="1" si="3"/>
        <v>3353.9632063296585</v>
      </c>
      <c r="I44">
        <f t="shared" ca="1" si="4"/>
        <v>68377.555724302758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106177</v>
      </c>
      <c r="B46" s="66">
        <v>106177</v>
      </c>
      <c r="D46">
        <f t="shared" si="0"/>
        <v>89.560787158486079</v>
      </c>
      <c r="E46">
        <f t="shared" si="1"/>
        <v>89.560787158486079</v>
      </c>
      <c r="G46">
        <f t="shared" ca="1" si="2"/>
        <v>44</v>
      </c>
      <c r="H46">
        <f t="shared" ca="1" si="3"/>
        <v>3940.6746349733876</v>
      </c>
      <c r="I46">
        <f t="shared" ca="1" si="4"/>
        <v>66562.501185899528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112019</v>
      </c>
      <c r="B49" s="66">
        <v>112019</v>
      </c>
      <c r="D49">
        <f t="shared" si="0"/>
        <v>94.48854099010569</v>
      </c>
      <c r="E49">
        <f t="shared" si="1"/>
        <v>94.48854099010569</v>
      </c>
      <c r="G49">
        <f t="shared" ca="1" si="2"/>
        <v>47</v>
      </c>
      <c r="H49">
        <f t="shared" ca="1" si="3"/>
        <v>4440.9614265349674</v>
      </c>
      <c r="I49">
        <f t="shared" ca="1" si="4"/>
        <v>55619.641692030455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104459</v>
      </c>
      <c r="B51" s="66">
        <v>104459</v>
      </c>
      <c r="D51">
        <f t="shared" si="0"/>
        <v>88.111646267913926</v>
      </c>
      <c r="E51">
        <f t="shared" si="1"/>
        <v>88.111646267913926</v>
      </c>
      <c r="G51">
        <f t="shared" ca="1" si="2"/>
        <v>49</v>
      </c>
      <c r="H51">
        <f t="shared" ca="1" si="3"/>
        <v>4317.4706671277827</v>
      </c>
      <c r="I51">
        <f t="shared" ca="1" si="4"/>
        <v>43667.38108828113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97389</v>
      </c>
      <c r="B54" s="66">
        <v>97389</v>
      </c>
      <c r="D54">
        <f t="shared" si="0"/>
        <v>82.148068796234597</v>
      </c>
      <c r="E54">
        <f t="shared" si="1"/>
        <v>82.148068796234597</v>
      </c>
      <c r="G54">
        <f t="shared" ca="1" si="2"/>
        <v>52</v>
      </c>
      <c r="H54">
        <f t="shared" ca="1" si="3"/>
        <v>4271.6995774041989</v>
      </c>
      <c r="I54">
        <f t="shared" ca="1" si="4"/>
        <v>30478.59086100537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92206</v>
      </c>
      <c r="B57" s="66">
        <v>92206</v>
      </c>
      <c r="D57">
        <f t="shared" si="0"/>
        <v>77.776184491324557</v>
      </c>
      <c r="E57">
        <f t="shared" si="1"/>
        <v>77.776184491324557</v>
      </c>
      <c r="G57">
        <f t="shared" ca="1" si="2"/>
        <v>55</v>
      </c>
      <c r="H57">
        <f t="shared" ca="1" si="3"/>
        <v>4277.6901470228504</v>
      </c>
      <c r="I57">
        <f t="shared" ca="1" si="4"/>
        <v>20567.824182449283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109420</v>
      </c>
      <c r="B59" s="66">
        <v>109420</v>
      </c>
      <c r="D59">
        <f t="shared" si="0"/>
        <v>92.296272553204048</v>
      </c>
      <c r="E59">
        <f t="shared" si="1"/>
        <v>92.296272553204048</v>
      </c>
      <c r="G59">
        <f t="shared" ca="1" si="2"/>
        <v>57</v>
      </c>
      <c r="H59">
        <f t="shared" ca="1" si="3"/>
        <v>5260.8875355326309</v>
      </c>
      <c r="I59">
        <f t="shared" ca="1" si="4"/>
        <v>18773.185058604449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118553</v>
      </c>
      <c r="B62" s="66">
        <v>118553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12683.003109753698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116313</v>
      </c>
      <c r="B64" s="66">
        <v>116313</v>
      </c>
      <c r="D64">
        <f t="shared" si="0"/>
        <v>98.110549711943179</v>
      </c>
      <c r="E64">
        <f t="shared" si="1"/>
        <v>98.110549711943179</v>
      </c>
      <c r="G64">
        <f t="shared" ca="1" si="2"/>
        <v>62</v>
      </c>
      <c r="H64">
        <f t="shared" ca="1" si="3"/>
        <v>6082.8540821404767</v>
      </c>
      <c r="I64">
        <f t="shared" ca="1" si="4"/>
        <v>8416.1677519799105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117131</v>
      </c>
      <c r="B67" s="66">
        <v>117131</v>
      </c>
      <c r="D67">
        <f t="shared" ref="D67:D130" si="5">IFERROR( 100*A67/MAX(A$2:A$257), 0 )</f>
        <v>98.800536468921067</v>
      </c>
      <c r="E67">
        <f t="shared" ref="E67:E130" si="6">IFERROR( 100*B67/MAX(B$2:B$257), 0 )</f>
        <v>98.800536468921067</v>
      </c>
      <c r="G67">
        <f t="shared" ref="G67:G130" ca="1" si="7">CELL("row",D67)-2</f>
        <v>65</v>
      </c>
      <c r="H67">
        <f t="shared" ref="H67:H130" ca="1" si="8">D67*G67</f>
        <v>6422.0348704798689</v>
      </c>
      <c r="I67">
        <f t="shared" ref="I67:I130" ca="1" si="9">D67*((G67-$L$1)^2)</f>
        <v>3874.0867218086646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117899</v>
      </c>
      <c r="B69" s="66">
        <v>117899</v>
      </c>
      <c r="D69">
        <f t="shared" si="5"/>
        <v>99.448347996254839</v>
      </c>
      <c r="E69">
        <f t="shared" si="6"/>
        <v>99.448347996254839</v>
      </c>
      <c r="G69">
        <f t="shared" ca="1" si="7"/>
        <v>67</v>
      </c>
      <c r="H69">
        <f t="shared" ca="1" si="8"/>
        <v>6663.0393157490744</v>
      </c>
      <c r="I69">
        <f t="shared" ca="1" si="9"/>
        <v>1806.3455011782046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101604</v>
      </c>
      <c r="B72" s="66">
        <v>101604</v>
      </c>
      <c r="D72">
        <f t="shared" si="5"/>
        <v>85.703440655234374</v>
      </c>
      <c r="E72">
        <f t="shared" si="6"/>
        <v>85.703440655234374</v>
      </c>
      <c r="G72">
        <f t="shared" ca="1" si="7"/>
        <v>70</v>
      </c>
      <c r="H72">
        <f t="shared" ca="1" si="8"/>
        <v>5999.2408458664058</v>
      </c>
      <c r="I72">
        <f t="shared" ca="1" si="9"/>
        <v>136.4699778291542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93905</v>
      </c>
      <c r="B75" s="66">
        <v>93905</v>
      </c>
      <c r="D75">
        <f t="shared" si="5"/>
        <v>79.209298794631934</v>
      </c>
      <c r="E75">
        <f t="shared" si="6"/>
        <v>79.209298794631934</v>
      </c>
      <c r="G75">
        <f t="shared" ca="1" si="7"/>
        <v>73</v>
      </c>
      <c r="H75">
        <f t="shared" ca="1" si="8"/>
        <v>5782.2788120081314</v>
      </c>
      <c r="I75">
        <f t="shared" ca="1" si="9"/>
        <v>239.29503428336687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83628</v>
      </c>
      <c r="B77" s="66">
        <v>83628</v>
      </c>
      <c r="D77">
        <f t="shared" si="5"/>
        <v>70.5406020935784</v>
      </c>
      <c r="E77">
        <f t="shared" si="6"/>
        <v>70.5406020935784</v>
      </c>
      <c r="G77">
        <f t="shared" ca="1" si="7"/>
        <v>75</v>
      </c>
      <c r="H77">
        <f t="shared" ca="1" si="8"/>
        <v>5290.5451570183795</v>
      </c>
      <c r="I77">
        <f t="shared" ca="1" si="9"/>
        <v>985.69989857599489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73264</v>
      </c>
      <c r="B80" s="66">
        <v>73264</v>
      </c>
      <c r="D80">
        <f t="shared" si="5"/>
        <v>61.798520492944085</v>
      </c>
      <c r="E80">
        <f t="shared" si="6"/>
        <v>61.798520492944085</v>
      </c>
      <c r="G80">
        <f t="shared" ca="1" si="7"/>
        <v>78</v>
      </c>
      <c r="H80">
        <f t="shared" ca="1" si="8"/>
        <v>4820.2845984496389</v>
      </c>
      <c r="I80">
        <f t="shared" ca="1" si="9"/>
        <v>2805.7892387721067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66417</v>
      </c>
      <c r="B82" s="66">
        <v>66417</v>
      </c>
      <c r="D82">
        <f t="shared" si="5"/>
        <v>56.023044545477553</v>
      </c>
      <c r="E82">
        <f t="shared" si="6"/>
        <v>56.023044545477553</v>
      </c>
      <c r="G82">
        <f t="shared" ca="1" si="7"/>
        <v>80</v>
      </c>
      <c r="H82">
        <f t="shared" ca="1" si="8"/>
        <v>4481.8435636382046</v>
      </c>
      <c r="I82">
        <f t="shared" ca="1" si="9"/>
        <v>4277.6211532774132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60562</v>
      </c>
      <c r="B85" s="66">
        <v>60562</v>
      </c>
      <c r="D85">
        <f t="shared" si="5"/>
        <v>51.084325154150463</v>
      </c>
      <c r="E85">
        <f t="shared" si="6"/>
        <v>51.084325154150463</v>
      </c>
      <c r="G85">
        <f t="shared" ca="1" si="7"/>
        <v>83</v>
      </c>
      <c r="H85">
        <f t="shared" ca="1" si="8"/>
        <v>4239.9989877944881</v>
      </c>
      <c r="I85">
        <f t="shared" ca="1" si="9"/>
        <v>7038.5703394072161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51684</v>
      </c>
      <c r="B88" s="66">
        <v>51684</v>
      </c>
      <c r="D88">
        <f t="shared" si="5"/>
        <v>43.595691378539556</v>
      </c>
      <c r="E88">
        <f t="shared" si="6"/>
        <v>43.595691378539556</v>
      </c>
      <c r="G88">
        <f t="shared" ca="1" si="7"/>
        <v>86</v>
      </c>
      <c r="H88">
        <f t="shared" ca="1" si="8"/>
        <v>3749.2294585544018</v>
      </c>
      <c r="I88">
        <f t="shared" ca="1" si="9"/>
        <v>9469.5100797734904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46049</v>
      </c>
      <c r="B90" s="66">
        <v>46049</v>
      </c>
      <c r="D90">
        <f t="shared" si="5"/>
        <v>38.842542997646625</v>
      </c>
      <c r="E90">
        <f t="shared" si="6"/>
        <v>38.842542997646625</v>
      </c>
      <c r="G90">
        <f t="shared" ca="1" si="7"/>
        <v>88</v>
      </c>
      <c r="H90">
        <f t="shared" ca="1" si="8"/>
        <v>3418.1437837929029</v>
      </c>
      <c r="I90">
        <f t="shared" ca="1" si="9"/>
        <v>10882.302702941197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44143</v>
      </c>
      <c r="B93" s="66">
        <v>44143</v>
      </c>
      <c r="D93">
        <f t="shared" si="5"/>
        <v>37.23482324361256</v>
      </c>
      <c r="E93">
        <f t="shared" si="6"/>
        <v>37.23482324361256</v>
      </c>
      <c r="G93">
        <f t="shared" ca="1" si="7"/>
        <v>91</v>
      </c>
      <c r="H93">
        <f t="shared" ca="1" si="8"/>
        <v>3388.3689151687431</v>
      </c>
      <c r="I93">
        <f t="shared" ca="1" si="9"/>
        <v>14506.434812467058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42092</v>
      </c>
      <c r="B95" s="66">
        <v>42092</v>
      </c>
      <c r="D95">
        <f t="shared" si="5"/>
        <v>35.504795323610537</v>
      </c>
      <c r="E95">
        <f t="shared" si="6"/>
        <v>35.504795323610537</v>
      </c>
      <c r="G95">
        <f t="shared" ca="1" si="7"/>
        <v>93</v>
      </c>
      <c r="H95">
        <f t="shared" ca="1" si="8"/>
        <v>3301.9459650957801</v>
      </c>
      <c r="I95">
        <f t="shared" ca="1" si="9"/>
        <v>16777.637915177485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38211</v>
      </c>
      <c r="B98" s="66">
        <v>38211</v>
      </c>
      <c r="D98">
        <f t="shared" si="5"/>
        <v>32.231153998633523</v>
      </c>
      <c r="E98">
        <f t="shared" si="6"/>
        <v>32.231153998633523</v>
      </c>
      <c r="G98">
        <f t="shared" ca="1" si="7"/>
        <v>96</v>
      </c>
      <c r="H98">
        <f t="shared" ca="1" si="8"/>
        <v>3094.1907838688185</v>
      </c>
      <c r="I98">
        <f t="shared" ca="1" si="9"/>
        <v>19724.640598427195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33739</v>
      </c>
      <c r="B100" s="66">
        <v>33739</v>
      </c>
      <c r="D100">
        <f t="shared" si="5"/>
        <v>28.459001459262947</v>
      </c>
      <c r="E100">
        <f t="shared" si="6"/>
        <v>28.459001459262947</v>
      </c>
      <c r="G100">
        <f t="shared" ca="1" si="7"/>
        <v>98</v>
      </c>
      <c r="H100">
        <f t="shared" ca="1" si="8"/>
        <v>2788.9821430077686</v>
      </c>
      <c r="I100">
        <f t="shared" ca="1" si="9"/>
        <v>20346.104197482819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30144</v>
      </c>
      <c r="B103" s="66">
        <v>30144</v>
      </c>
      <c r="D103">
        <f t="shared" si="5"/>
        <v>25.426602447850328</v>
      </c>
      <c r="E103">
        <f t="shared" si="6"/>
        <v>25.426602447850328</v>
      </c>
      <c r="G103">
        <f t="shared" ca="1" si="7"/>
        <v>101</v>
      </c>
      <c r="H103">
        <f t="shared" ca="1" si="8"/>
        <v>2568.086847232883</v>
      </c>
      <c r="I103">
        <f t="shared" ca="1" si="9"/>
        <v>22486.156829105326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27659</v>
      </c>
      <c r="B106" s="66">
        <v>27659</v>
      </c>
      <c r="D106">
        <f t="shared" si="5"/>
        <v>23.330493534537297</v>
      </c>
      <c r="E106">
        <f t="shared" si="6"/>
        <v>23.330493534537297</v>
      </c>
      <c r="G106">
        <f t="shared" ca="1" si="7"/>
        <v>104</v>
      </c>
      <c r="H106">
        <f t="shared" ca="1" si="8"/>
        <v>2426.371327591879</v>
      </c>
      <c r="I106">
        <f t="shared" ca="1" si="9"/>
        <v>25005.255272708728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26383</v>
      </c>
      <c r="B108" s="66">
        <v>26383</v>
      </c>
      <c r="D108">
        <f t="shared" si="5"/>
        <v>22.254181674019215</v>
      </c>
      <c r="E108">
        <f t="shared" si="6"/>
        <v>22.254181674019215</v>
      </c>
      <c r="G108">
        <f t="shared" ca="1" si="7"/>
        <v>106</v>
      </c>
      <c r="H108">
        <f t="shared" ca="1" si="8"/>
        <v>2358.9432574460366</v>
      </c>
      <c r="I108">
        <f t="shared" ca="1" si="9"/>
        <v>26854.937835430865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26239</v>
      </c>
      <c r="B111" s="66">
        <v>26239</v>
      </c>
      <c r="D111">
        <f t="shared" si="5"/>
        <v>22.132717012644132</v>
      </c>
      <c r="E111">
        <f t="shared" si="6"/>
        <v>22.132717012644132</v>
      </c>
      <c r="G111">
        <f t="shared" ca="1" si="7"/>
        <v>109</v>
      </c>
      <c r="H111">
        <f t="shared" ca="1" si="8"/>
        <v>2412.4661543782104</v>
      </c>
      <c r="I111">
        <f t="shared" ca="1" si="9"/>
        <v>31520.649770128788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21114</v>
      </c>
      <c r="B113" s="66">
        <v>21114</v>
      </c>
      <c r="D113">
        <f t="shared" si="5"/>
        <v>17.809755974121281</v>
      </c>
      <c r="E113">
        <f t="shared" si="6"/>
        <v>17.809755974121281</v>
      </c>
      <c r="G113">
        <f t="shared" ca="1" si="7"/>
        <v>111</v>
      </c>
      <c r="H113">
        <f t="shared" ca="1" si="8"/>
        <v>1976.8829131274622</v>
      </c>
      <c r="I113">
        <f t="shared" ca="1" si="9"/>
        <v>28123.703806782574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20069</v>
      </c>
      <c r="B116" s="66">
        <v>20069</v>
      </c>
      <c r="D116">
        <f t="shared" si="5"/>
        <v>16.928293674559058</v>
      </c>
      <c r="E116">
        <f t="shared" si="6"/>
        <v>16.928293674559058</v>
      </c>
      <c r="G116">
        <f t="shared" ca="1" si="7"/>
        <v>114</v>
      </c>
      <c r="H116">
        <f t="shared" ca="1" si="8"/>
        <v>1929.8254788997326</v>
      </c>
      <c r="I116">
        <f t="shared" ca="1" si="9"/>
        <v>30920.316573366323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18221</v>
      </c>
      <c r="B118" s="66">
        <v>18221</v>
      </c>
      <c r="D118">
        <f t="shared" si="5"/>
        <v>15.369497186912183</v>
      </c>
      <c r="E118">
        <f t="shared" si="6"/>
        <v>15.369497186912183</v>
      </c>
      <c r="G118">
        <f t="shared" ca="1" si="7"/>
        <v>116</v>
      </c>
      <c r="H118">
        <f t="shared" ca="1" si="8"/>
        <v>1782.8616736818133</v>
      </c>
      <c r="I118">
        <f t="shared" ca="1" si="9"/>
        <v>30762.033615187014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17413</v>
      </c>
      <c r="B121" s="66">
        <v>17413</v>
      </c>
      <c r="D121">
        <f t="shared" si="5"/>
        <v>14.687945475863117</v>
      </c>
      <c r="E121">
        <f t="shared" si="6"/>
        <v>14.687945475863117</v>
      </c>
      <c r="G121">
        <f t="shared" ca="1" si="7"/>
        <v>119</v>
      </c>
      <c r="H121">
        <f t="shared" ca="1" si="8"/>
        <v>1747.8655116277109</v>
      </c>
      <c r="I121">
        <f t="shared" ca="1" si="9"/>
        <v>33472.76609168874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14736</v>
      </c>
      <c r="B124" s="66">
        <v>14736</v>
      </c>
      <c r="D124">
        <f t="shared" si="5"/>
        <v>12.429883680716641</v>
      </c>
      <c r="E124">
        <f t="shared" si="6"/>
        <v>12.429883680716641</v>
      </c>
      <c r="G124">
        <f t="shared" ca="1" si="7"/>
        <v>122</v>
      </c>
      <c r="H124">
        <f t="shared" ca="1" si="8"/>
        <v>1516.4458090474302</v>
      </c>
      <c r="I124">
        <f t="shared" ca="1" si="9"/>
        <v>31998.95080139631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13088</v>
      </c>
      <c r="B126" s="66">
        <v>13088</v>
      </c>
      <c r="D126">
        <f t="shared" si="5"/>
        <v>11.039788111646267</v>
      </c>
      <c r="E126">
        <f t="shared" si="6"/>
        <v>11.039788111646267</v>
      </c>
      <c r="G126">
        <f t="shared" ca="1" si="7"/>
        <v>124</v>
      </c>
      <c r="H126">
        <f t="shared" ca="1" si="8"/>
        <v>1368.9337258441371</v>
      </c>
      <c r="I126">
        <f t="shared" ca="1" si="9"/>
        <v>30705.060706553508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10214</v>
      </c>
      <c r="B129" s="66">
        <v>10214</v>
      </c>
      <c r="D129">
        <f t="shared" si="5"/>
        <v>8.6155559117019394</v>
      </c>
      <c r="E129">
        <f t="shared" si="6"/>
        <v>8.6155559117019394</v>
      </c>
      <c r="G129">
        <f t="shared" ca="1" si="7"/>
        <v>127</v>
      </c>
      <c r="H129">
        <f t="shared" ca="1" si="8"/>
        <v>1094.1756007861463</v>
      </c>
      <c r="I129">
        <f t="shared" ca="1" si="9"/>
        <v>26766.271287999811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8687</v>
      </c>
      <c r="B131" s="66">
        <v>8687</v>
      </c>
      <c r="D131">
        <f t="shared" ref="D131:D194" si="10">IFERROR( 100*A131/MAX(A$2:A$257), 0 )</f>
        <v>7.3275243983703495</v>
      </c>
      <c r="E131">
        <f t="shared" ref="E131:E194" si="11">IFERROR( 100*B131/MAX(B$2:B$257), 0 )</f>
        <v>7.3275243983703495</v>
      </c>
      <c r="G131">
        <f t="shared" ref="G131:G194" ca="1" si="12">CELL("row",D131)-2</f>
        <v>129</v>
      </c>
      <c r="H131">
        <f t="shared" ref="H131:H194" ca="1" si="13">D131*G131</f>
        <v>945.25064738977505</v>
      </c>
      <c r="I131">
        <f t="shared" ref="I131:I194" ca="1" si="14">D131*((G131-$L$1)^2)</f>
        <v>24427.695104013877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11576</v>
      </c>
      <c r="B134" s="66">
        <v>11576</v>
      </c>
      <c r="D134">
        <f t="shared" si="10"/>
        <v>9.7644091672079156</v>
      </c>
      <c r="E134">
        <f t="shared" si="11"/>
        <v>9.7644091672079156</v>
      </c>
      <c r="G134">
        <f t="shared" ca="1" si="12"/>
        <v>132</v>
      </c>
      <c r="H134">
        <f t="shared" ca="1" si="13"/>
        <v>1288.9020100714449</v>
      </c>
      <c r="I134">
        <f t="shared" ca="1" si="14"/>
        <v>36022.064804140071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11778</v>
      </c>
      <c r="B136" s="66">
        <v>11778</v>
      </c>
      <c r="D136">
        <f t="shared" si="10"/>
        <v>9.9347970949701825</v>
      </c>
      <c r="E136">
        <f t="shared" si="11"/>
        <v>9.9347970949701825</v>
      </c>
      <c r="G136">
        <f t="shared" ca="1" si="12"/>
        <v>134</v>
      </c>
      <c r="H136">
        <f t="shared" ca="1" si="13"/>
        <v>1331.2628107260045</v>
      </c>
      <c r="I136">
        <f t="shared" ca="1" si="14"/>
        <v>39104.068723001677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12917</v>
      </c>
      <c r="B139" s="66">
        <v>12917</v>
      </c>
      <c r="D139">
        <f t="shared" si="10"/>
        <v>10.89554882626336</v>
      </c>
      <c r="E139">
        <f t="shared" si="11"/>
        <v>10.89554882626336</v>
      </c>
      <c r="G139">
        <f t="shared" ca="1" si="12"/>
        <v>137</v>
      </c>
      <c r="H139">
        <f t="shared" ca="1" si="13"/>
        <v>1492.6901891980804</v>
      </c>
      <c r="I139">
        <f t="shared" ca="1" si="14"/>
        <v>47085.113119554546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12646</v>
      </c>
      <c r="B142" s="66">
        <v>12646</v>
      </c>
      <c r="D142">
        <f t="shared" si="10"/>
        <v>10.6669590815922</v>
      </c>
      <c r="E142">
        <f t="shared" si="11"/>
        <v>10.6669590815922</v>
      </c>
      <c r="G142">
        <f t="shared" ca="1" si="12"/>
        <v>140</v>
      </c>
      <c r="H142">
        <f t="shared" ca="1" si="13"/>
        <v>1493.3742714229079</v>
      </c>
      <c r="I142">
        <f t="shared" ca="1" si="14"/>
        <v>50400.619954678536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12920</v>
      </c>
      <c r="B144" s="66">
        <v>12920</v>
      </c>
      <c r="D144">
        <f t="shared" si="10"/>
        <v>10.898079340042006</v>
      </c>
      <c r="E144">
        <f t="shared" si="11"/>
        <v>10.898079340042006</v>
      </c>
      <c r="G144">
        <f t="shared" ca="1" si="12"/>
        <v>142</v>
      </c>
      <c r="H144">
        <f t="shared" ca="1" si="13"/>
        <v>1547.527266285965</v>
      </c>
      <c r="I144">
        <f t="shared" ca="1" si="14"/>
        <v>54532.692757053977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15226</v>
      </c>
      <c r="B147" s="66">
        <v>15226</v>
      </c>
      <c r="D147">
        <f t="shared" si="10"/>
        <v>12.84320093122907</v>
      </c>
      <c r="E147">
        <f t="shared" si="11"/>
        <v>12.84320093122907</v>
      </c>
      <c r="G147">
        <f t="shared" ca="1" si="12"/>
        <v>145</v>
      </c>
      <c r="H147">
        <f t="shared" ca="1" si="13"/>
        <v>1862.2641350282152</v>
      </c>
      <c r="I147">
        <f t="shared" ca="1" si="14"/>
        <v>69832.461671464378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17539</v>
      </c>
      <c r="B149" s="66">
        <v>17539</v>
      </c>
      <c r="D149">
        <f t="shared" si="10"/>
        <v>14.794227054566312</v>
      </c>
      <c r="E149">
        <f t="shared" si="11"/>
        <v>14.794227054566312</v>
      </c>
      <c r="G149">
        <f t="shared" ca="1" si="12"/>
        <v>147</v>
      </c>
      <c r="H149">
        <f t="shared" ca="1" si="13"/>
        <v>2174.7513770212477</v>
      </c>
      <c r="I149">
        <f t="shared" ca="1" si="14"/>
        <v>84863.56566975922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14804</v>
      </c>
      <c r="B152" s="66">
        <v>14804</v>
      </c>
      <c r="D152">
        <f t="shared" si="10"/>
        <v>12.487241993032653</v>
      </c>
      <c r="E152">
        <f t="shared" si="11"/>
        <v>12.487241993032653</v>
      </c>
      <c r="G152">
        <f t="shared" ca="1" si="12"/>
        <v>150</v>
      </c>
      <c r="H152">
        <f t="shared" ca="1" si="13"/>
        <v>1873.086298954898</v>
      </c>
      <c r="I152">
        <f t="shared" ca="1" si="14"/>
        <v>77417.040702044556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13986</v>
      </c>
      <c r="B154" s="66">
        <v>13986</v>
      </c>
      <c r="D154">
        <f t="shared" si="10"/>
        <v>11.79725523605476</v>
      </c>
      <c r="E154">
        <f t="shared" si="11"/>
        <v>11.79725523605476</v>
      </c>
      <c r="G154">
        <f t="shared" ca="1" si="12"/>
        <v>152</v>
      </c>
      <c r="H154">
        <f t="shared" ca="1" si="13"/>
        <v>1793.1827958803235</v>
      </c>
      <c r="I154">
        <f t="shared" ca="1" si="14"/>
        <v>76902.099701556595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17425</v>
      </c>
      <c r="B157" s="66">
        <v>17425</v>
      </c>
      <c r="D157">
        <f t="shared" si="10"/>
        <v>14.698067530977706</v>
      </c>
      <c r="E157">
        <f t="shared" si="11"/>
        <v>14.698067530977706</v>
      </c>
      <c r="G157">
        <f t="shared" ca="1" si="12"/>
        <v>155</v>
      </c>
      <c r="H157">
        <f t="shared" ca="1" si="13"/>
        <v>2278.2004673015444</v>
      </c>
      <c r="I157">
        <f t="shared" ca="1" si="14"/>
        <v>103063.90884943042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13254</v>
      </c>
      <c r="B160" s="66">
        <v>13254</v>
      </c>
      <c r="D160">
        <f t="shared" si="10"/>
        <v>11.179809874064764</v>
      </c>
      <c r="E160">
        <f t="shared" si="11"/>
        <v>11.179809874064764</v>
      </c>
      <c r="G160">
        <f t="shared" ca="1" si="12"/>
        <v>158</v>
      </c>
      <c r="H160">
        <f t="shared" ca="1" si="13"/>
        <v>1766.4099601022328</v>
      </c>
      <c r="I160">
        <f t="shared" ca="1" si="14"/>
        <v>84111.308176364721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12593</v>
      </c>
      <c r="B162" s="66">
        <v>12593</v>
      </c>
      <c r="D162">
        <f t="shared" si="10"/>
        <v>10.622253338169426</v>
      </c>
      <c r="E162">
        <f t="shared" si="11"/>
        <v>10.622253338169426</v>
      </c>
      <c r="G162">
        <f t="shared" ca="1" si="12"/>
        <v>160</v>
      </c>
      <c r="H162">
        <f t="shared" ca="1" si="13"/>
        <v>1699.5605341071082</v>
      </c>
      <c r="I162">
        <f t="shared" ca="1" si="14"/>
        <v>83644.437132727486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10836</v>
      </c>
      <c r="B165" s="66">
        <v>10836</v>
      </c>
      <c r="D165">
        <f t="shared" si="10"/>
        <v>9.1402157684748602</v>
      </c>
      <c r="E165">
        <f t="shared" si="11"/>
        <v>9.1402157684748602</v>
      </c>
      <c r="G165">
        <f t="shared" ca="1" si="12"/>
        <v>163</v>
      </c>
      <c r="H165">
        <f t="shared" ca="1" si="13"/>
        <v>1489.8551702614022</v>
      </c>
      <c r="I165">
        <f t="shared" ca="1" si="14"/>
        <v>76922.976706707326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9724</v>
      </c>
      <c r="B167" s="66">
        <v>9724</v>
      </c>
      <c r="D167">
        <f t="shared" si="10"/>
        <v>8.2022386611895097</v>
      </c>
      <c r="E167">
        <f t="shared" si="11"/>
        <v>8.2022386611895097</v>
      </c>
      <c r="G167">
        <f t="shared" ca="1" si="12"/>
        <v>165</v>
      </c>
      <c r="H167">
        <f t="shared" ca="1" si="13"/>
        <v>1353.3693790962691</v>
      </c>
      <c r="I167">
        <f t="shared" ca="1" si="14"/>
        <v>72071.712762218114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7802</v>
      </c>
      <c r="B170" s="66">
        <v>7802</v>
      </c>
      <c r="D170">
        <f t="shared" si="10"/>
        <v>6.5810228336693291</v>
      </c>
      <c r="E170">
        <f t="shared" si="11"/>
        <v>6.5810228336693291</v>
      </c>
      <c r="G170">
        <f t="shared" ca="1" si="12"/>
        <v>168</v>
      </c>
      <c r="H170">
        <f t="shared" ca="1" si="13"/>
        <v>1105.6118360564474</v>
      </c>
      <c r="I170">
        <f t="shared" ca="1" si="14"/>
        <v>61586.943067999273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7113</v>
      </c>
      <c r="B173" s="66">
        <v>7113</v>
      </c>
      <c r="D173">
        <f t="shared" si="10"/>
        <v>5.9998481691732808</v>
      </c>
      <c r="E173">
        <f t="shared" si="11"/>
        <v>5.9998481691732808</v>
      </c>
      <c r="G173">
        <f t="shared" ca="1" si="12"/>
        <v>171</v>
      </c>
      <c r="H173">
        <f t="shared" ca="1" si="13"/>
        <v>1025.974036928631</v>
      </c>
      <c r="I173">
        <f t="shared" ca="1" si="14"/>
        <v>59684.640340119011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8186</v>
      </c>
      <c r="B175" s="66">
        <v>8186</v>
      </c>
      <c r="D175">
        <f t="shared" si="10"/>
        <v>6.9049285973362124</v>
      </c>
      <c r="E175">
        <f t="shared" si="11"/>
        <v>6.9049285973362124</v>
      </c>
      <c r="G175">
        <f t="shared" ca="1" si="12"/>
        <v>173</v>
      </c>
      <c r="H175">
        <f t="shared" ca="1" si="13"/>
        <v>1194.5526473391647</v>
      </c>
      <c r="I175">
        <f t="shared" ca="1" si="14"/>
        <v>71470.459471777081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5743</v>
      </c>
      <c r="B178" s="66">
        <v>5743</v>
      </c>
      <c r="D178">
        <f t="shared" si="10"/>
        <v>4.8442468769242453</v>
      </c>
      <c r="E178">
        <f t="shared" si="11"/>
        <v>4.8442468769242453</v>
      </c>
      <c r="G178">
        <f t="shared" ca="1" si="12"/>
        <v>176</v>
      </c>
      <c r="H178">
        <f t="shared" ca="1" si="13"/>
        <v>852.58745033866717</v>
      </c>
      <c r="I178">
        <f t="shared" ca="1" si="14"/>
        <v>53141.741600813752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6753</v>
      </c>
      <c r="B180" s="66">
        <v>6753</v>
      </c>
      <c r="D180">
        <f t="shared" si="10"/>
        <v>5.6961865157355778</v>
      </c>
      <c r="E180">
        <f t="shared" si="11"/>
        <v>5.6961865157355778</v>
      </c>
      <c r="G180">
        <f t="shared" ca="1" si="12"/>
        <v>178</v>
      </c>
      <c r="H180">
        <f t="shared" ca="1" si="13"/>
        <v>1013.9211998009329</v>
      </c>
      <c r="I180">
        <f t="shared" ca="1" si="14"/>
        <v>64896.797705215242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3592</v>
      </c>
      <c r="B183" s="66">
        <v>3592</v>
      </c>
      <c r="D183">
        <f t="shared" si="10"/>
        <v>3.0298684976339696</v>
      </c>
      <c r="E183">
        <f t="shared" si="11"/>
        <v>3.0298684976339696</v>
      </c>
      <c r="G183">
        <f t="shared" ca="1" si="12"/>
        <v>181</v>
      </c>
      <c r="H183">
        <f t="shared" ca="1" si="13"/>
        <v>548.40619807174846</v>
      </c>
      <c r="I183">
        <f t="shared" ca="1" si="14"/>
        <v>36487.052325472599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2619</v>
      </c>
      <c r="B185" s="66">
        <v>2619</v>
      </c>
      <c r="D185">
        <f t="shared" si="10"/>
        <v>2.2091385287592891</v>
      </c>
      <c r="E185">
        <f t="shared" si="11"/>
        <v>2.2091385287592891</v>
      </c>
      <c r="G185">
        <f t="shared" ca="1" si="12"/>
        <v>183</v>
      </c>
      <c r="H185">
        <f t="shared" ca="1" si="13"/>
        <v>404.27235076294988</v>
      </c>
      <c r="I185">
        <f t="shared" ca="1" si="14"/>
        <v>27581.992697782331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1009</v>
      </c>
      <c r="B188" s="66">
        <v>1009</v>
      </c>
      <c r="D188">
        <f t="shared" si="10"/>
        <v>0.85109613421845087</v>
      </c>
      <c r="E188">
        <f t="shared" si="11"/>
        <v>0.85109613421845087</v>
      </c>
      <c r="G188">
        <f t="shared" ca="1" si="12"/>
        <v>186</v>
      </c>
      <c r="H188">
        <f t="shared" ca="1" si="13"/>
        <v>158.30388096463187</v>
      </c>
      <c r="I188">
        <f t="shared" ca="1" si="14"/>
        <v>11204.540401301218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537</v>
      </c>
      <c r="B191" s="66">
        <v>537</v>
      </c>
      <c r="D191">
        <f t="shared" si="10"/>
        <v>0.45296196637790692</v>
      </c>
      <c r="E191">
        <f t="shared" si="11"/>
        <v>0.45296196637790692</v>
      </c>
      <c r="G191">
        <f t="shared" ca="1" si="12"/>
        <v>189</v>
      </c>
      <c r="H191">
        <f t="shared" ca="1" si="13"/>
        <v>85.609811645424415</v>
      </c>
      <c r="I191">
        <f t="shared" ca="1" si="14"/>
        <v>6279.0783420468688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481</v>
      </c>
      <c r="B193" s="66">
        <v>481</v>
      </c>
      <c r="D193">
        <f t="shared" si="10"/>
        <v>0.40572570917648648</v>
      </c>
      <c r="E193">
        <f t="shared" si="11"/>
        <v>0.40572570917648648</v>
      </c>
      <c r="G193">
        <f t="shared" ca="1" si="12"/>
        <v>191</v>
      </c>
      <c r="H193">
        <f t="shared" ca="1" si="13"/>
        <v>77.493610452708921</v>
      </c>
      <c r="I193">
        <f t="shared" ca="1" si="14"/>
        <v>5816.977301500604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416</v>
      </c>
      <c r="B196" s="66">
        <v>416</v>
      </c>
      <c r="D196">
        <f t="shared" si="15"/>
        <v>0.35089791063912346</v>
      </c>
      <c r="E196">
        <f t="shared" si="16"/>
        <v>0.35089791063912346</v>
      </c>
      <c r="G196">
        <f t="shared" ca="1" si="17"/>
        <v>194</v>
      </c>
      <c r="H196">
        <f t="shared" ca="1" si="18"/>
        <v>68.074194663989957</v>
      </c>
      <c r="I196">
        <f t="shared" ca="1" si="19"/>
        <v>5286.1524973619798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141</v>
      </c>
      <c r="B198" s="66">
        <v>141</v>
      </c>
      <c r="D198">
        <f t="shared" si="15"/>
        <v>0.11893414759643366</v>
      </c>
      <c r="E198">
        <f t="shared" si="16"/>
        <v>0.11893414759643366</v>
      </c>
      <c r="G198">
        <f t="shared" ca="1" si="17"/>
        <v>196</v>
      </c>
      <c r="H198">
        <f t="shared" ca="1" si="18"/>
        <v>23.311092928900997</v>
      </c>
      <c r="I198">
        <f t="shared" ca="1" si="19"/>
        <v>1850.5674756787055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65.365825097151529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1.2620500272218307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0.74914168645161039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4565</v>
      </c>
      <c r="B8" s="66">
        <v>4565</v>
      </c>
      <c r="D8">
        <f t="shared" si="0"/>
        <v>4.1944227500344562</v>
      </c>
      <c r="E8">
        <f t="shared" si="1"/>
        <v>4.1944227500344562</v>
      </c>
      <c r="G8">
        <f t="shared" ca="1" si="2"/>
        <v>6</v>
      </c>
      <c r="H8">
        <f t="shared" ca="1" si="3"/>
        <v>25.166536500206739</v>
      </c>
      <c r="I8">
        <f t="shared" ca="1" si="4"/>
        <v>14782.40908706795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8204</v>
      </c>
      <c r="B10" s="66">
        <v>8204</v>
      </c>
      <c r="D10">
        <f t="shared" si="0"/>
        <v>7.5380162631506407</v>
      </c>
      <c r="E10">
        <f t="shared" si="1"/>
        <v>7.5380162631506407</v>
      </c>
      <c r="G10">
        <f t="shared" ca="1" si="2"/>
        <v>8</v>
      </c>
      <c r="H10">
        <f t="shared" ca="1" si="3"/>
        <v>60.304130105205125</v>
      </c>
      <c r="I10">
        <f t="shared" ca="1" si="4"/>
        <v>24806.3895272546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15053</v>
      </c>
      <c r="B13" s="66">
        <v>15053</v>
      </c>
      <c r="D13">
        <f t="shared" si="0"/>
        <v>13.831028621307484</v>
      </c>
      <c r="E13">
        <f t="shared" si="1"/>
        <v>13.831028621307484</v>
      </c>
      <c r="G13">
        <f t="shared" ca="1" si="2"/>
        <v>11</v>
      </c>
      <c r="H13">
        <f t="shared" ca="1" si="3"/>
        <v>152.14131483438231</v>
      </c>
      <c r="I13">
        <f t="shared" ca="1" si="4"/>
        <v>40879.582076676852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21281</v>
      </c>
      <c r="B15" s="66">
        <v>21281</v>
      </c>
      <c r="D15">
        <f t="shared" si="0"/>
        <v>19.553452473928424</v>
      </c>
      <c r="E15">
        <f t="shared" si="1"/>
        <v>19.553452473928424</v>
      </c>
      <c r="G15">
        <f t="shared" ca="1" si="2"/>
        <v>13</v>
      </c>
      <c r="H15">
        <f t="shared" ca="1" si="3"/>
        <v>254.1948821610695</v>
      </c>
      <c r="I15">
        <f t="shared" ca="1" si="4"/>
        <v>53619.079228669456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25820</v>
      </c>
      <c r="B18" s="66">
        <v>25820</v>
      </c>
      <c r="D18">
        <f t="shared" si="0"/>
        <v>23.723985850140121</v>
      </c>
      <c r="E18">
        <f t="shared" si="1"/>
        <v>23.723985850140121</v>
      </c>
      <c r="G18">
        <f t="shared" ca="1" si="2"/>
        <v>16</v>
      </c>
      <c r="H18">
        <f t="shared" ca="1" si="3"/>
        <v>379.58377360224193</v>
      </c>
      <c r="I18">
        <f t="shared" ca="1" si="4"/>
        <v>57814.990243793254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34903</v>
      </c>
      <c r="B21" s="66">
        <v>34903</v>
      </c>
      <c r="D21">
        <f t="shared" si="0"/>
        <v>32.069646712914043</v>
      </c>
      <c r="E21">
        <f t="shared" si="1"/>
        <v>32.069646712914043</v>
      </c>
      <c r="G21">
        <f t="shared" ca="1" si="2"/>
        <v>19</v>
      </c>
      <c r="H21">
        <f t="shared" ca="1" si="3"/>
        <v>609.32328754536684</v>
      </c>
      <c r="I21">
        <f t="shared" ca="1" si="4"/>
        <v>68942.997370702884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34596</v>
      </c>
      <c r="B23" s="66">
        <v>34596</v>
      </c>
      <c r="D23">
        <f t="shared" si="0"/>
        <v>31.787568337391463</v>
      </c>
      <c r="E23">
        <f t="shared" si="1"/>
        <v>31.787568337391463</v>
      </c>
      <c r="G23">
        <f t="shared" ca="1" si="2"/>
        <v>21</v>
      </c>
      <c r="H23">
        <f t="shared" ca="1" si="3"/>
        <v>667.53893508522071</v>
      </c>
      <c r="I23">
        <f t="shared" ca="1" si="4"/>
        <v>62568.311112160416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41456</v>
      </c>
      <c r="B26" s="66">
        <v>41456</v>
      </c>
      <c r="D26">
        <f t="shared" si="0"/>
        <v>38.090687738319474</v>
      </c>
      <c r="E26">
        <f t="shared" si="1"/>
        <v>38.090687738319474</v>
      </c>
      <c r="G26">
        <f t="shared" ca="1" si="2"/>
        <v>24</v>
      </c>
      <c r="H26">
        <f t="shared" ca="1" si="3"/>
        <v>914.17650571966738</v>
      </c>
      <c r="I26">
        <f t="shared" ca="1" si="4"/>
        <v>65178.175111218683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44343</v>
      </c>
      <c r="B28" s="66">
        <v>44343</v>
      </c>
      <c r="D28">
        <f t="shared" si="0"/>
        <v>40.743327054715856</v>
      </c>
      <c r="E28">
        <f t="shared" si="1"/>
        <v>40.743327054715856</v>
      </c>
      <c r="G28">
        <f t="shared" ca="1" si="2"/>
        <v>26</v>
      </c>
      <c r="H28">
        <f t="shared" ca="1" si="3"/>
        <v>1059.3265034226122</v>
      </c>
      <c r="I28">
        <f t="shared" ca="1" si="4"/>
        <v>63138.637711354699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51423</v>
      </c>
      <c r="B31" s="66">
        <v>51423</v>
      </c>
      <c r="D31">
        <f t="shared" si="0"/>
        <v>47.248587311067212</v>
      </c>
      <c r="E31">
        <f t="shared" si="1"/>
        <v>47.248587311067212</v>
      </c>
      <c r="G31">
        <f t="shared" ca="1" si="2"/>
        <v>29</v>
      </c>
      <c r="H31">
        <f t="shared" ca="1" si="3"/>
        <v>1370.2090320209491</v>
      </c>
      <c r="I31">
        <f t="shared" ca="1" si="4"/>
        <v>62484.992110287116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65224</v>
      </c>
      <c r="B33" s="66">
        <v>65224</v>
      </c>
      <c r="D33">
        <f t="shared" si="0"/>
        <v>59.929250700601827</v>
      </c>
      <c r="E33">
        <f t="shared" si="1"/>
        <v>59.929250700601827</v>
      </c>
      <c r="G33">
        <f t="shared" ca="1" si="2"/>
        <v>31</v>
      </c>
      <c r="H33">
        <f t="shared" ca="1" si="3"/>
        <v>1857.8067717186566</v>
      </c>
      <c r="I33">
        <f t="shared" ca="1" si="4"/>
        <v>70777.04045102479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71550</v>
      </c>
      <c r="B36" s="66">
        <v>71550</v>
      </c>
      <c r="D36">
        <f t="shared" si="0"/>
        <v>65.741719116093165</v>
      </c>
      <c r="E36">
        <f t="shared" si="1"/>
        <v>65.741719116093165</v>
      </c>
      <c r="G36">
        <f t="shared" ca="1" si="2"/>
        <v>34</v>
      </c>
      <c r="H36">
        <f t="shared" ca="1" si="3"/>
        <v>2235.2184499471678</v>
      </c>
      <c r="I36">
        <f t="shared" ca="1" si="4"/>
        <v>64677.688341981855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78724</v>
      </c>
      <c r="B39" s="66">
        <v>78724</v>
      </c>
      <c r="D39">
        <f t="shared" si="0"/>
        <v>72.333348647034498</v>
      </c>
      <c r="E39">
        <f t="shared" si="1"/>
        <v>72.333348647034498</v>
      </c>
      <c r="G39">
        <f t="shared" ca="1" si="2"/>
        <v>37</v>
      </c>
      <c r="H39">
        <f t="shared" ca="1" si="3"/>
        <v>2676.3338999402763</v>
      </c>
      <c r="I39">
        <f t="shared" ca="1" si="4"/>
        <v>58200.861407362601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92706</v>
      </c>
      <c r="B41" s="66">
        <v>92706</v>
      </c>
      <c r="D41">
        <f t="shared" si="0"/>
        <v>85.180318831258333</v>
      </c>
      <c r="E41">
        <f t="shared" si="1"/>
        <v>85.180318831258333</v>
      </c>
      <c r="G41">
        <f t="shared" ca="1" si="2"/>
        <v>39</v>
      </c>
      <c r="H41">
        <f t="shared" ca="1" si="3"/>
        <v>3322.0324344190749</v>
      </c>
      <c r="I41">
        <f t="shared" ca="1" si="4"/>
        <v>59213.672159200345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94359</v>
      </c>
      <c r="B44" s="66">
        <v>94359</v>
      </c>
      <c r="D44">
        <f t="shared" si="0"/>
        <v>86.699131713143743</v>
      </c>
      <c r="E44">
        <f t="shared" si="1"/>
        <v>86.699131713143743</v>
      </c>
      <c r="G44">
        <f t="shared" ca="1" si="2"/>
        <v>42</v>
      </c>
      <c r="H44">
        <f t="shared" ca="1" si="3"/>
        <v>3641.3635319520372</v>
      </c>
      <c r="I44">
        <f t="shared" ca="1" si="4"/>
        <v>47334.412488767892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105661</v>
      </c>
      <c r="B46" s="66">
        <v>105661</v>
      </c>
      <c r="D46">
        <f t="shared" si="0"/>
        <v>97.083658749483163</v>
      </c>
      <c r="E46">
        <f t="shared" si="1"/>
        <v>97.083658749483163</v>
      </c>
      <c r="G46">
        <f t="shared" ca="1" si="2"/>
        <v>44</v>
      </c>
      <c r="H46">
        <f t="shared" ca="1" si="3"/>
        <v>4271.680984977259</v>
      </c>
      <c r="I46">
        <f t="shared" ca="1" si="4"/>
        <v>44318.542854112755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102796</v>
      </c>
      <c r="B49" s="66">
        <v>102796</v>
      </c>
      <c r="D49">
        <f t="shared" si="0"/>
        <v>94.451233518629124</v>
      </c>
      <c r="E49">
        <f t="shared" si="1"/>
        <v>94.451233518629124</v>
      </c>
      <c r="G49">
        <f t="shared" ca="1" si="2"/>
        <v>47</v>
      </c>
      <c r="H49">
        <f t="shared" ca="1" si="3"/>
        <v>4439.2079753755688</v>
      </c>
      <c r="I49">
        <f t="shared" ca="1" si="4"/>
        <v>31858.734620285526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108835</v>
      </c>
      <c r="B51" s="66">
        <v>108835</v>
      </c>
      <c r="D51">
        <f t="shared" si="0"/>
        <v>100</v>
      </c>
      <c r="E51">
        <f t="shared" si="1"/>
        <v>100</v>
      </c>
      <c r="G51">
        <f t="shared" ca="1" si="2"/>
        <v>49</v>
      </c>
      <c r="H51">
        <f t="shared" ca="1" si="3"/>
        <v>4900</v>
      </c>
      <c r="I51">
        <f t="shared" ca="1" si="4"/>
        <v>26784.023111055485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99064</v>
      </c>
      <c r="B54" s="66">
        <v>99064</v>
      </c>
      <c r="D54">
        <f t="shared" si="0"/>
        <v>91.022189552993069</v>
      </c>
      <c r="E54">
        <f t="shared" si="1"/>
        <v>91.022189552993069</v>
      </c>
      <c r="G54">
        <f t="shared" ca="1" si="2"/>
        <v>52</v>
      </c>
      <c r="H54">
        <f t="shared" ca="1" si="3"/>
        <v>4733.1538567556399</v>
      </c>
      <c r="I54">
        <f t="shared" ca="1" si="4"/>
        <v>16260.684586934985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88599</v>
      </c>
      <c r="B57" s="66">
        <v>88599</v>
      </c>
      <c r="D57">
        <f t="shared" si="0"/>
        <v>81.406716589332476</v>
      </c>
      <c r="E57">
        <f t="shared" si="1"/>
        <v>81.406716589332476</v>
      </c>
      <c r="G57">
        <f t="shared" ca="1" si="2"/>
        <v>55</v>
      </c>
      <c r="H57">
        <f t="shared" ca="1" si="3"/>
        <v>4477.3694124132862</v>
      </c>
      <c r="I57">
        <f t="shared" ca="1" si="4"/>
        <v>8747.1785572414283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74661</v>
      </c>
      <c r="B59" s="66">
        <v>74661</v>
      </c>
      <c r="D59">
        <f t="shared" si="0"/>
        <v>68.600174576193325</v>
      </c>
      <c r="E59">
        <f t="shared" si="1"/>
        <v>68.600174576193325</v>
      </c>
      <c r="G59">
        <f t="shared" ca="1" si="2"/>
        <v>57</v>
      </c>
      <c r="H59">
        <f t="shared" ca="1" si="3"/>
        <v>3910.2099508430197</v>
      </c>
      <c r="I59">
        <f t="shared" ca="1" si="4"/>
        <v>4801.122445619746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68165</v>
      </c>
      <c r="B62" s="66">
        <v>68165</v>
      </c>
      <c r="D62">
        <f t="shared" si="0"/>
        <v>62.631506408783942</v>
      </c>
      <c r="E62">
        <f t="shared" si="1"/>
        <v>62.631506408783942</v>
      </c>
      <c r="G62">
        <f t="shared" ca="1" si="2"/>
        <v>60</v>
      </c>
      <c r="H62">
        <f t="shared" ca="1" si="3"/>
        <v>3757.8903845270365</v>
      </c>
      <c r="I62">
        <f t="shared" ca="1" si="4"/>
        <v>1803.2912787335176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65029</v>
      </c>
      <c r="B64" s="66">
        <v>65029</v>
      </c>
      <c r="D64">
        <f t="shared" si="0"/>
        <v>59.750080396931132</v>
      </c>
      <c r="E64">
        <f t="shared" si="1"/>
        <v>59.750080396931132</v>
      </c>
      <c r="G64">
        <f t="shared" ca="1" si="2"/>
        <v>62</v>
      </c>
      <c r="H64">
        <f t="shared" ca="1" si="3"/>
        <v>3704.5049846097304</v>
      </c>
      <c r="I64">
        <f t="shared" ca="1" si="4"/>
        <v>676.89543122978375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52040</v>
      </c>
      <c r="B67" s="66">
        <v>52040</v>
      </c>
      <c r="D67">
        <f t="shared" ref="D67:D130" si="5">IFERROR(100*A67/MAX(A$2:A$257), 0 )</f>
        <v>47.815500528322687</v>
      </c>
      <c r="E67">
        <f t="shared" ref="E67:E130" si="6">IFERROR(100*B67/MAX(B$2:B$257), 0 )</f>
        <v>47.815500528322687</v>
      </c>
      <c r="G67">
        <f t="shared" ref="G67:G130" ca="1" si="7">CELL("row",D67)-2</f>
        <v>65</v>
      </c>
      <c r="H67">
        <f t="shared" ref="H67:H130" ca="1" si="8">D67*G67</f>
        <v>3108.0075343409749</v>
      </c>
      <c r="I67">
        <f t="shared" ref="I67:I130" ca="1" si="9">D67*((G67-$L$1)^2)</f>
        <v>6.3990528862740446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45889</v>
      </c>
      <c r="B69" s="66">
        <v>45889</v>
      </c>
      <c r="D69">
        <f t="shared" si="5"/>
        <v>42.163825975099925</v>
      </c>
      <c r="E69">
        <f t="shared" si="6"/>
        <v>42.163825975099925</v>
      </c>
      <c r="G69">
        <f t="shared" ca="1" si="7"/>
        <v>67</v>
      </c>
      <c r="H69">
        <f t="shared" ca="1" si="8"/>
        <v>2824.9763403316952</v>
      </c>
      <c r="I69">
        <f t="shared" ca="1" si="9"/>
        <v>112.5996615404394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42752</v>
      </c>
      <c r="B72" s="66">
        <v>42752</v>
      </c>
      <c r="D72">
        <f t="shared" si="5"/>
        <v>39.281481141177011</v>
      </c>
      <c r="E72">
        <f t="shared" si="6"/>
        <v>39.281481141177011</v>
      </c>
      <c r="G72">
        <f t="shared" ca="1" si="7"/>
        <v>70</v>
      </c>
      <c r="H72">
        <f t="shared" ca="1" si="8"/>
        <v>2749.7036798823906</v>
      </c>
      <c r="I72">
        <f t="shared" ca="1" si="9"/>
        <v>843.5924741073278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34728</v>
      </c>
      <c r="B75" s="66">
        <v>34728</v>
      </c>
      <c r="D75">
        <f t="shared" si="5"/>
        <v>31.908852850645474</v>
      </c>
      <c r="E75">
        <f t="shared" si="6"/>
        <v>31.908852850645474</v>
      </c>
      <c r="G75">
        <f t="shared" ca="1" si="7"/>
        <v>73</v>
      </c>
      <c r="H75">
        <f t="shared" ca="1" si="8"/>
        <v>2329.3462580971195</v>
      </c>
      <c r="I75">
        <f t="shared" ca="1" si="9"/>
        <v>1859.6679333497411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31823</v>
      </c>
      <c r="B77" s="66">
        <v>31823</v>
      </c>
      <c r="D77">
        <f t="shared" si="5"/>
        <v>29.239674736987183</v>
      </c>
      <c r="E77">
        <f t="shared" si="6"/>
        <v>29.239674736987183</v>
      </c>
      <c r="G77">
        <f t="shared" ca="1" si="7"/>
        <v>75</v>
      </c>
      <c r="H77">
        <f t="shared" ca="1" si="8"/>
        <v>2192.9756052740386</v>
      </c>
      <c r="I77">
        <f t="shared" ca="1" si="9"/>
        <v>2713.9484239125518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31684</v>
      </c>
      <c r="B80" s="66">
        <v>31684</v>
      </c>
      <c r="D80">
        <f t="shared" si="5"/>
        <v>29.111958469242431</v>
      </c>
      <c r="E80">
        <f t="shared" si="6"/>
        <v>29.111958469242431</v>
      </c>
      <c r="G80">
        <f t="shared" ca="1" si="7"/>
        <v>78</v>
      </c>
      <c r="H80">
        <f t="shared" ca="1" si="8"/>
        <v>2270.7327606009098</v>
      </c>
      <c r="I80">
        <f t="shared" ca="1" si="9"/>
        <v>4646.9199656123265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25670</v>
      </c>
      <c r="B82" s="66">
        <v>25670</v>
      </c>
      <c r="D82">
        <f t="shared" si="5"/>
        <v>23.586162539624201</v>
      </c>
      <c r="E82">
        <f t="shared" si="6"/>
        <v>23.586162539624201</v>
      </c>
      <c r="G82">
        <f t="shared" ca="1" si="7"/>
        <v>80</v>
      </c>
      <c r="H82">
        <f t="shared" ca="1" si="8"/>
        <v>1886.893003169936</v>
      </c>
      <c r="I82">
        <f t="shared" ca="1" si="9"/>
        <v>5051.1907543413408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22545</v>
      </c>
      <c r="B85" s="66">
        <v>22545</v>
      </c>
      <c r="D85">
        <f t="shared" si="5"/>
        <v>20.714843570542566</v>
      </c>
      <c r="E85">
        <f t="shared" si="6"/>
        <v>20.714843570542566</v>
      </c>
      <c r="G85">
        <f t="shared" ca="1" si="7"/>
        <v>83</v>
      </c>
      <c r="H85">
        <f t="shared" ca="1" si="8"/>
        <v>1719.3320163550329</v>
      </c>
      <c r="I85">
        <f t="shared" ca="1" si="9"/>
        <v>6441.5731951562793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17376</v>
      </c>
      <c r="B88" s="66">
        <v>17376</v>
      </c>
      <c r="D88">
        <f t="shared" si="5"/>
        <v>15.965452290164009</v>
      </c>
      <c r="E88">
        <f t="shared" si="6"/>
        <v>15.965452290164009</v>
      </c>
      <c r="G88">
        <f t="shared" ca="1" si="7"/>
        <v>86</v>
      </c>
      <c r="H88">
        <f t="shared" ca="1" si="8"/>
        <v>1373.0288969541048</v>
      </c>
      <c r="I88">
        <f t="shared" ca="1" si="9"/>
        <v>6797.597432863724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16750</v>
      </c>
      <c r="B90" s="66">
        <v>16750</v>
      </c>
      <c r="D90">
        <f t="shared" si="5"/>
        <v>15.390269674277576</v>
      </c>
      <c r="E90">
        <f t="shared" si="6"/>
        <v>15.390269674277576</v>
      </c>
      <c r="G90">
        <f t="shared" ca="1" si="7"/>
        <v>88</v>
      </c>
      <c r="H90">
        <f t="shared" ca="1" si="8"/>
        <v>1354.3437313364266</v>
      </c>
      <c r="I90">
        <f t="shared" ca="1" si="9"/>
        <v>7884.5255493851446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15738</v>
      </c>
      <c r="B93" s="66">
        <v>15738</v>
      </c>
      <c r="D93">
        <f t="shared" si="5"/>
        <v>14.460421739330179</v>
      </c>
      <c r="E93">
        <f t="shared" si="6"/>
        <v>14.460421739330179</v>
      </c>
      <c r="G93">
        <f t="shared" ca="1" si="7"/>
        <v>91</v>
      </c>
      <c r="H93">
        <f t="shared" ca="1" si="8"/>
        <v>1315.8983782790463</v>
      </c>
      <c r="I93">
        <f t="shared" ca="1" si="9"/>
        <v>9502.1010753749888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17983</v>
      </c>
      <c r="B95" s="66">
        <v>17983</v>
      </c>
      <c r="D95">
        <f t="shared" si="5"/>
        <v>16.523177286718425</v>
      </c>
      <c r="E95">
        <f t="shared" si="6"/>
        <v>16.523177286718425</v>
      </c>
      <c r="G95">
        <f t="shared" ca="1" si="7"/>
        <v>93</v>
      </c>
      <c r="H95">
        <f t="shared" ca="1" si="8"/>
        <v>1536.6554876648136</v>
      </c>
      <c r="I95">
        <f t="shared" ca="1" si="9"/>
        <v>12617.885052160082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19889</v>
      </c>
      <c r="B98" s="66">
        <v>19889</v>
      </c>
      <c r="D98">
        <f t="shared" si="5"/>
        <v>18.2744521523407</v>
      </c>
      <c r="E98">
        <f t="shared" si="6"/>
        <v>18.2744521523407</v>
      </c>
      <c r="G98">
        <f t="shared" ca="1" si="7"/>
        <v>96</v>
      </c>
      <c r="H98">
        <f t="shared" ca="1" si="8"/>
        <v>1754.3474066247072</v>
      </c>
      <c r="I98">
        <f t="shared" ca="1" si="9"/>
        <v>17149.70845130393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18176</v>
      </c>
      <c r="B100" s="66">
        <v>18176</v>
      </c>
      <c r="D100">
        <f t="shared" si="5"/>
        <v>16.700509946248911</v>
      </c>
      <c r="E100">
        <f t="shared" si="6"/>
        <v>16.700509946248911</v>
      </c>
      <c r="G100">
        <f t="shared" ca="1" si="7"/>
        <v>98</v>
      </c>
      <c r="H100">
        <f t="shared" ca="1" si="8"/>
        <v>1636.6499747323933</v>
      </c>
      <c r="I100">
        <f t="shared" ca="1" si="9"/>
        <v>17785.865592883249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17707</v>
      </c>
      <c r="B103" s="66">
        <v>17707</v>
      </c>
      <c r="D103">
        <f t="shared" si="5"/>
        <v>16.269582395369138</v>
      </c>
      <c r="E103">
        <f t="shared" si="6"/>
        <v>16.269582395369138</v>
      </c>
      <c r="G103">
        <f t="shared" ca="1" si="7"/>
        <v>101</v>
      </c>
      <c r="H103">
        <f t="shared" ca="1" si="8"/>
        <v>1643.227821932283</v>
      </c>
      <c r="I103">
        <f t="shared" ca="1" si="9"/>
        <v>20659.024957750113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14745</v>
      </c>
      <c r="B106" s="66">
        <v>14745</v>
      </c>
      <c r="D106">
        <f t="shared" si="5"/>
        <v>13.548031423714798</v>
      </c>
      <c r="E106">
        <f t="shared" si="6"/>
        <v>13.548031423714798</v>
      </c>
      <c r="G106">
        <f t="shared" ca="1" si="7"/>
        <v>104</v>
      </c>
      <c r="H106">
        <f t="shared" ca="1" si="8"/>
        <v>1408.9952680663391</v>
      </c>
      <c r="I106">
        <f t="shared" ca="1" si="9"/>
        <v>20221.784528322885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13846</v>
      </c>
      <c r="B108" s="66">
        <v>13846</v>
      </c>
      <c r="D108">
        <f t="shared" si="5"/>
        <v>12.722010382689392</v>
      </c>
      <c r="E108">
        <f t="shared" si="6"/>
        <v>12.722010382689392</v>
      </c>
      <c r="G108">
        <f t="shared" ca="1" si="7"/>
        <v>106</v>
      </c>
      <c r="H108">
        <f t="shared" ca="1" si="8"/>
        <v>1348.5331005650755</v>
      </c>
      <c r="I108">
        <f t="shared" ca="1" si="9"/>
        <v>21005.771498422837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14363</v>
      </c>
      <c r="B111" s="66">
        <v>14363</v>
      </c>
      <c r="D111">
        <f t="shared" si="5"/>
        <v>13.197041392934258</v>
      </c>
      <c r="E111">
        <f t="shared" si="6"/>
        <v>13.197041392934258</v>
      </c>
      <c r="G111">
        <f t="shared" ca="1" si="7"/>
        <v>109</v>
      </c>
      <c r="H111">
        <f t="shared" ca="1" si="8"/>
        <v>1438.4775118298342</v>
      </c>
      <c r="I111">
        <f t="shared" ca="1" si="9"/>
        <v>25126.391082826674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14948</v>
      </c>
      <c r="B113" s="66">
        <v>14948</v>
      </c>
      <c r="D113">
        <f t="shared" si="5"/>
        <v>13.734552303946341</v>
      </c>
      <c r="E113">
        <f t="shared" si="6"/>
        <v>13.734552303946341</v>
      </c>
      <c r="G113">
        <f t="shared" ca="1" si="7"/>
        <v>111</v>
      </c>
      <c r="H113">
        <f t="shared" ca="1" si="8"/>
        <v>1524.5353057380439</v>
      </c>
      <c r="I113">
        <f t="shared" ca="1" si="9"/>
        <v>28601.901901194622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13127</v>
      </c>
      <c r="B116" s="66">
        <v>13127</v>
      </c>
      <c r="D116">
        <f t="shared" si="5"/>
        <v>12.061377314283089</v>
      </c>
      <c r="E116">
        <f t="shared" si="6"/>
        <v>12.061377314283089</v>
      </c>
      <c r="G116">
        <f t="shared" ca="1" si="7"/>
        <v>114</v>
      </c>
      <c r="H116">
        <f t="shared" ca="1" si="8"/>
        <v>1374.9970138282722</v>
      </c>
      <c r="I116">
        <f t="shared" ca="1" si="9"/>
        <v>28528.570337895162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12566</v>
      </c>
      <c r="B118" s="66">
        <v>12566</v>
      </c>
      <c r="D118">
        <f t="shared" si="5"/>
        <v>11.545918132953554</v>
      </c>
      <c r="E118">
        <f t="shared" si="6"/>
        <v>11.545918132953554</v>
      </c>
      <c r="G118">
        <f t="shared" ca="1" si="7"/>
        <v>116</v>
      </c>
      <c r="H118">
        <f t="shared" ca="1" si="8"/>
        <v>1339.3265034226124</v>
      </c>
      <c r="I118">
        <f t="shared" ca="1" si="9"/>
        <v>29601.651995449272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12035</v>
      </c>
      <c r="B121" s="66">
        <v>12035</v>
      </c>
      <c r="D121">
        <f t="shared" si="5"/>
        <v>11.058023613727201</v>
      </c>
      <c r="E121">
        <f t="shared" si="6"/>
        <v>11.058023613727201</v>
      </c>
      <c r="G121">
        <f t="shared" ca="1" si="7"/>
        <v>119</v>
      </c>
      <c r="H121">
        <f t="shared" ca="1" si="8"/>
        <v>1315.9048100335369</v>
      </c>
      <c r="I121">
        <f t="shared" ca="1" si="9"/>
        <v>31809.784054049629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10724</v>
      </c>
      <c r="B124" s="66">
        <v>10724</v>
      </c>
      <c r="D124">
        <f t="shared" si="5"/>
        <v>9.8534478798180736</v>
      </c>
      <c r="E124">
        <f t="shared" si="6"/>
        <v>9.8534478798180736</v>
      </c>
      <c r="G124">
        <f t="shared" ca="1" si="7"/>
        <v>122</v>
      </c>
      <c r="H124">
        <f t="shared" ca="1" si="8"/>
        <v>1202.120641337805</v>
      </c>
      <c r="I124">
        <f t="shared" ca="1" si="9"/>
        <v>31604.242036586624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12449</v>
      </c>
      <c r="B126" s="66">
        <v>12449</v>
      </c>
      <c r="D126">
        <f t="shared" si="5"/>
        <v>11.438415950751137</v>
      </c>
      <c r="E126">
        <f t="shared" si="6"/>
        <v>11.438415950751137</v>
      </c>
      <c r="G126">
        <f t="shared" ca="1" si="7"/>
        <v>124</v>
      </c>
      <c r="H126">
        <f t="shared" ca="1" si="8"/>
        <v>1418.3635778931409</v>
      </c>
      <c r="I126">
        <f t="shared" ca="1" si="9"/>
        <v>39324.890468993792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13842</v>
      </c>
      <c r="B129" s="66">
        <v>13842</v>
      </c>
      <c r="D129">
        <f t="shared" si="5"/>
        <v>12.718335094408967</v>
      </c>
      <c r="E129">
        <f t="shared" si="6"/>
        <v>12.718335094408967</v>
      </c>
      <c r="G129">
        <f t="shared" ca="1" si="7"/>
        <v>127</v>
      </c>
      <c r="H129">
        <f t="shared" ca="1" si="8"/>
        <v>1615.2285569899389</v>
      </c>
      <c r="I129">
        <f t="shared" ca="1" si="9"/>
        <v>48314.049087010571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15064</v>
      </c>
      <c r="B131" s="66">
        <v>15064</v>
      </c>
      <c r="D131">
        <f t="shared" ref="D131:D194" si="10">IFERROR(100*A131/MAX(A$2:A$257), 0 )</f>
        <v>13.841135664078651</v>
      </c>
      <c r="E131">
        <f t="shared" ref="E131:E194" si="11">IFERROR(100*B131/MAX(B$2:B$257), 0 )</f>
        <v>13.841135664078651</v>
      </c>
      <c r="G131">
        <f t="shared" ref="G131:G194" ca="1" si="12">CELL("row",D131)-2</f>
        <v>129</v>
      </c>
      <c r="H131">
        <f t="shared" ref="H131:H194" ca="1" si="13">D131*G131</f>
        <v>1785.5065006661459</v>
      </c>
      <c r="I131">
        <f t="shared" ref="I131:I194" ca="1" si="14">D131*((G131-$L$1)^2)</f>
        <v>56047.024357321534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14718</v>
      </c>
      <c r="B134" s="66">
        <v>14718</v>
      </c>
      <c r="D134">
        <f t="shared" si="10"/>
        <v>13.523223227821932</v>
      </c>
      <c r="E134">
        <f t="shared" si="11"/>
        <v>13.523223227821932</v>
      </c>
      <c r="G134">
        <f t="shared" ca="1" si="12"/>
        <v>132</v>
      </c>
      <c r="H134">
        <f t="shared" ca="1" si="13"/>
        <v>1785.0654660724949</v>
      </c>
      <c r="I134">
        <f t="shared" ca="1" si="14"/>
        <v>60044.642839183798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15721</v>
      </c>
      <c r="B136" s="66">
        <v>15721</v>
      </c>
      <c r="D136">
        <f t="shared" si="10"/>
        <v>14.444801764138374</v>
      </c>
      <c r="E136">
        <f t="shared" si="11"/>
        <v>14.444801764138374</v>
      </c>
      <c r="G136">
        <f t="shared" ca="1" si="12"/>
        <v>134</v>
      </c>
      <c r="H136">
        <f t="shared" ca="1" si="13"/>
        <v>1935.6034363945421</v>
      </c>
      <c r="I136">
        <f t="shared" ca="1" si="14"/>
        <v>68044.404918817265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17994</v>
      </c>
      <c r="B139" s="66">
        <v>17994</v>
      </c>
      <c r="D139">
        <f t="shared" si="10"/>
        <v>16.533284329489593</v>
      </c>
      <c r="E139">
        <f t="shared" si="11"/>
        <v>16.533284329489593</v>
      </c>
      <c r="G139">
        <f t="shared" ca="1" si="12"/>
        <v>137</v>
      </c>
      <c r="H139">
        <f t="shared" ca="1" si="13"/>
        <v>2265.0599531400744</v>
      </c>
      <c r="I139">
        <f t="shared" ca="1" si="14"/>
        <v>84839.804770643503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13883</v>
      </c>
      <c r="B142" s="66">
        <v>13883</v>
      </c>
      <c r="D142">
        <f t="shared" si="10"/>
        <v>12.756006799283318</v>
      </c>
      <c r="E142">
        <f t="shared" si="11"/>
        <v>12.756006799283318</v>
      </c>
      <c r="G142">
        <f t="shared" ca="1" si="12"/>
        <v>140</v>
      </c>
      <c r="H142">
        <f t="shared" ca="1" si="13"/>
        <v>1785.8409518996646</v>
      </c>
      <c r="I142">
        <f t="shared" ca="1" si="14"/>
        <v>71054.275242876349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14929</v>
      </c>
      <c r="B144" s="66">
        <v>14929</v>
      </c>
      <c r="D144">
        <f t="shared" si="10"/>
        <v>13.717094684614324</v>
      </c>
      <c r="E144">
        <f t="shared" si="11"/>
        <v>13.717094684614324</v>
      </c>
      <c r="G144">
        <f t="shared" ca="1" si="12"/>
        <v>142</v>
      </c>
      <c r="H144">
        <f t="shared" ca="1" si="13"/>
        <v>1947.8274452152341</v>
      </c>
      <c r="I144">
        <f t="shared" ca="1" si="14"/>
        <v>80557.70926212128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15937</v>
      </c>
      <c r="B147" s="66">
        <v>15937</v>
      </c>
      <c r="D147">
        <f t="shared" si="10"/>
        <v>14.643267331281297</v>
      </c>
      <c r="E147">
        <f t="shared" si="11"/>
        <v>14.643267331281297</v>
      </c>
      <c r="G147">
        <f t="shared" ca="1" si="12"/>
        <v>145</v>
      </c>
      <c r="H147">
        <f t="shared" ca="1" si="13"/>
        <v>2123.2737630357883</v>
      </c>
      <c r="I147">
        <f t="shared" ca="1" si="14"/>
        <v>92861.770648352613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17833</v>
      </c>
      <c r="B149" s="66">
        <v>17833</v>
      </c>
      <c r="D149">
        <f t="shared" si="10"/>
        <v>16.385353976202509</v>
      </c>
      <c r="E149">
        <f t="shared" si="11"/>
        <v>16.385353976202509</v>
      </c>
      <c r="G149">
        <f t="shared" ca="1" si="12"/>
        <v>147</v>
      </c>
      <c r="H149">
        <f t="shared" ca="1" si="13"/>
        <v>2408.6470345017688</v>
      </c>
      <c r="I149">
        <f t="shared" ca="1" si="14"/>
        <v>109194.26846669169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15322</v>
      </c>
      <c r="B152" s="66">
        <v>15322</v>
      </c>
      <c r="D152">
        <f t="shared" si="10"/>
        <v>14.078191758166032</v>
      </c>
      <c r="E152">
        <f t="shared" si="11"/>
        <v>14.078191758166032</v>
      </c>
      <c r="G152">
        <f t="shared" ca="1" si="12"/>
        <v>150</v>
      </c>
      <c r="H152">
        <f t="shared" ca="1" si="13"/>
        <v>2111.7287637249046</v>
      </c>
      <c r="I152">
        <f t="shared" ca="1" si="14"/>
        <v>100841.29301151988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16142</v>
      </c>
      <c r="B154" s="66">
        <v>16142</v>
      </c>
      <c r="D154">
        <f t="shared" si="10"/>
        <v>14.831625855653053</v>
      </c>
      <c r="E154">
        <f t="shared" si="11"/>
        <v>14.831625855653053</v>
      </c>
      <c r="G154">
        <f t="shared" ca="1" si="12"/>
        <v>152</v>
      </c>
      <c r="H154">
        <f t="shared" ca="1" si="13"/>
        <v>2254.4071300592641</v>
      </c>
      <c r="I154">
        <f t="shared" ca="1" si="14"/>
        <v>111318.47509958493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17187</v>
      </c>
      <c r="B157" s="66">
        <v>17187</v>
      </c>
      <c r="D157">
        <f t="shared" si="10"/>
        <v>15.791794918913952</v>
      </c>
      <c r="E157">
        <f t="shared" si="11"/>
        <v>15.791794918913952</v>
      </c>
      <c r="G157">
        <f t="shared" ca="1" si="12"/>
        <v>155</v>
      </c>
      <c r="H157">
        <f t="shared" ca="1" si="13"/>
        <v>2447.7282124316625</v>
      </c>
      <c r="I157">
        <f t="shared" ca="1" si="14"/>
        <v>126875.78594368679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16365</v>
      </c>
      <c r="B160" s="66">
        <v>16365</v>
      </c>
      <c r="D160">
        <f t="shared" si="10"/>
        <v>15.036523177286718</v>
      </c>
      <c r="E160">
        <f t="shared" si="11"/>
        <v>15.036523177286718</v>
      </c>
      <c r="G160">
        <f t="shared" ca="1" si="12"/>
        <v>158</v>
      </c>
      <c r="H160">
        <f t="shared" ca="1" si="13"/>
        <v>2375.7706620113013</v>
      </c>
      <c r="I160">
        <f t="shared" ca="1" si="14"/>
        <v>129029.76408350196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13627</v>
      </c>
      <c r="B162" s="66">
        <v>13627</v>
      </c>
      <c r="D162">
        <f t="shared" si="10"/>
        <v>12.520788349336151</v>
      </c>
      <c r="E162">
        <f t="shared" si="11"/>
        <v>12.520788349336151</v>
      </c>
      <c r="G162">
        <f t="shared" ca="1" si="12"/>
        <v>160</v>
      </c>
      <c r="H162">
        <f t="shared" ca="1" si="13"/>
        <v>2003.3261358937841</v>
      </c>
      <c r="I162">
        <f t="shared" ca="1" si="14"/>
        <v>112131.51094812452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13627</v>
      </c>
      <c r="B165" s="66">
        <v>13627</v>
      </c>
      <c r="D165">
        <f t="shared" si="10"/>
        <v>12.520788349336151</v>
      </c>
      <c r="E165">
        <f t="shared" si="11"/>
        <v>12.520788349336151</v>
      </c>
      <c r="G165">
        <f t="shared" ca="1" si="12"/>
        <v>163</v>
      </c>
      <c r="H165">
        <f t="shared" ca="1" si="13"/>
        <v>2040.8885009417925</v>
      </c>
      <c r="I165">
        <f t="shared" ca="1" si="14"/>
        <v>119353.56489070429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9397</v>
      </c>
      <c r="B167" s="66">
        <v>9397</v>
      </c>
      <c r="D167">
        <f t="shared" si="10"/>
        <v>8.6341709927872472</v>
      </c>
      <c r="E167">
        <f t="shared" si="11"/>
        <v>8.6341709927872472</v>
      </c>
      <c r="G167">
        <f t="shared" ca="1" si="12"/>
        <v>165</v>
      </c>
      <c r="H167">
        <f t="shared" ca="1" si="13"/>
        <v>1424.6382138098959</v>
      </c>
      <c r="I167">
        <f t="shared" ca="1" si="14"/>
        <v>85711.146133270973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8700</v>
      </c>
      <c r="B170" s="66">
        <v>8700</v>
      </c>
      <c r="D170">
        <f t="shared" si="10"/>
        <v>7.9937520099232779</v>
      </c>
      <c r="E170">
        <f t="shared" si="11"/>
        <v>7.9937520099232779</v>
      </c>
      <c r="G170">
        <f t="shared" ca="1" si="12"/>
        <v>168</v>
      </c>
      <c r="H170">
        <f t="shared" ca="1" si="13"/>
        <v>1342.9503376671107</v>
      </c>
      <c r="I170">
        <f t="shared" ca="1" si="14"/>
        <v>84204.375949372785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7125</v>
      </c>
      <c r="B173" s="66">
        <v>7125</v>
      </c>
      <c r="D173">
        <f t="shared" si="10"/>
        <v>6.5466072495061329</v>
      </c>
      <c r="E173">
        <f t="shared" si="11"/>
        <v>6.5466072495061329</v>
      </c>
      <c r="G173">
        <f t="shared" ca="1" si="12"/>
        <v>171</v>
      </c>
      <c r="H173">
        <f t="shared" ca="1" si="13"/>
        <v>1119.4698396655488</v>
      </c>
      <c r="I173">
        <f t="shared" ca="1" si="14"/>
        <v>73050.833569407594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4496</v>
      </c>
      <c r="B175" s="66">
        <v>4496</v>
      </c>
      <c r="D175">
        <f t="shared" si="10"/>
        <v>4.1310240271971335</v>
      </c>
      <c r="E175">
        <f t="shared" si="11"/>
        <v>4.1310240271971335</v>
      </c>
      <c r="G175">
        <f t="shared" ca="1" si="12"/>
        <v>173</v>
      </c>
      <c r="H175">
        <f t="shared" ca="1" si="13"/>
        <v>714.66715670510405</v>
      </c>
      <c r="I175">
        <f t="shared" ca="1" si="14"/>
        <v>47858.390930443631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2086</v>
      </c>
      <c r="B178" s="66">
        <v>2086</v>
      </c>
      <c r="D178">
        <f t="shared" si="10"/>
        <v>1.9166628382413746</v>
      </c>
      <c r="E178">
        <f t="shared" si="11"/>
        <v>1.9166628382413746</v>
      </c>
      <c r="G178">
        <f t="shared" ca="1" si="12"/>
        <v>176</v>
      </c>
      <c r="H178">
        <f t="shared" ca="1" si="13"/>
        <v>337.33265953048192</v>
      </c>
      <c r="I178">
        <f t="shared" ca="1" si="14"/>
        <v>23459.801065210144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1426</v>
      </c>
      <c r="B180" s="66">
        <v>1426</v>
      </c>
      <c r="D180">
        <f t="shared" si="10"/>
        <v>1.3102402719713329</v>
      </c>
      <c r="E180">
        <f t="shared" si="11"/>
        <v>1.3102402719713329</v>
      </c>
      <c r="G180">
        <f t="shared" ca="1" si="12"/>
        <v>178</v>
      </c>
      <c r="H180">
        <f t="shared" ca="1" si="13"/>
        <v>233.22276841089726</v>
      </c>
      <c r="I180">
        <f t="shared" ca="1" si="14"/>
        <v>16622.30733653772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546</v>
      </c>
      <c r="B183" s="66">
        <v>546</v>
      </c>
      <c r="D183">
        <f t="shared" si="10"/>
        <v>0.50167685027794373</v>
      </c>
      <c r="E183">
        <f t="shared" si="11"/>
        <v>0.50167685027794373</v>
      </c>
      <c r="G183">
        <f t="shared" ca="1" si="12"/>
        <v>181</v>
      </c>
      <c r="H183">
        <f t="shared" ca="1" si="13"/>
        <v>90.803509900307816</v>
      </c>
      <c r="I183">
        <f t="shared" ca="1" si="14"/>
        <v>6708.0528078123343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124</v>
      </c>
      <c r="B185" s="66">
        <v>124</v>
      </c>
      <c r="D185">
        <f t="shared" si="10"/>
        <v>0.11393393669315936</v>
      </c>
      <c r="E185">
        <f t="shared" si="11"/>
        <v>0.11393393669315936</v>
      </c>
      <c r="G185">
        <f t="shared" ca="1" si="12"/>
        <v>183</v>
      </c>
      <c r="H185">
        <f t="shared" ca="1" si="13"/>
        <v>20.849910414848164</v>
      </c>
      <c r="I185">
        <f t="shared" ca="1" si="14"/>
        <v>1576.5949272101523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121</v>
      </c>
      <c r="B188" s="66">
        <v>121</v>
      </c>
      <c r="D188">
        <f t="shared" si="10"/>
        <v>0.111177470482841</v>
      </c>
      <c r="E188">
        <f t="shared" si="11"/>
        <v>0.111177470482841</v>
      </c>
      <c r="G188">
        <f t="shared" ca="1" si="12"/>
        <v>186</v>
      </c>
      <c r="H188">
        <f t="shared" ca="1" si="13"/>
        <v>20.679009509808427</v>
      </c>
      <c r="I188">
        <f t="shared" ca="1" si="14"/>
        <v>1617.9217188343966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184</v>
      </c>
      <c r="B191" s="66">
        <v>184</v>
      </c>
      <c r="D191">
        <f t="shared" si="10"/>
        <v>0.16906326089952681</v>
      </c>
      <c r="E191">
        <f t="shared" si="11"/>
        <v>0.16906326089952681</v>
      </c>
      <c r="G191">
        <f t="shared" ca="1" si="12"/>
        <v>189</v>
      </c>
      <c r="H191">
        <f t="shared" ca="1" si="13"/>
        <v>31.952956310010567</v>
      </c>
      <c r="I191">
        <f t="shared" ca="1" si="14"/>
        <v>2584.2011241963478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353</v>
      </c>
      <c r="B1" s="68" t="s">
        <v>354</v>
      </c>
      <c r="C1" s="32" t="s">
        <v>355</v>
      </c>
      <c r="D1" s="32" t="s">
        <v>356</v>
      </c>
      <c r="E1" s="32" t="s">
        <v>357</v>
      </c>
    </row>
    <row r="2" spans="1:5">
      <c r="A2" s="68">
        <v>0.22683400000000001</v>
      </c>
      <c r="B2" s="68">
        <v>0.58427700000000005</v>
      </c>
      <c r="C2" s="68">
        <v>0</v>
      </c>
      <c r="D2" s="68">
        <v>1</v>
      </c>
      <c r="E2" s="68" t="s">
        <v>358</v>
      </c>
    </row>
    <row r="3" spans="1:5">
      <c r="A3" s="68">
        <v>0.23033100000000001</v>
      </c>
      <c r="B3" s="68">
        <v>0.57222899999999999</v>
      </c>
      <c r="C3" s="68">
        <v>0.40356799999999998</v>
      </c>
      <c r="D3" s="89">
        <v>1</v>
      </c>
      <c r="E3" s="68" t="s">
        <v>359</v>
      </c>
    </row>
    <row r="4" spans="1:5">
      <c r="A4" s="68">
        <v>0.2339</v>
      </c>
      <c r="B4" s="68">
        <v>0.55972100000000002</v>
      </c>
      <c r="C4" s="68">
        <v>0.80832400000000004</v>
      </c>
      <c r="D4" s="89">
        <v>1</v>
      </c>
      <c r="E4" s="68" t="s">
        <v>360</v>
      </c>
    </row>
    <row r="5" spans="1:5">
      <c r="A5" s="89">
        <v>0.23766200000000001</v>
      </c>
      <c r="B5" s="89">
        <v>0.54591599999999996</v>
      </c>
      <c r="C5" s="89">
        <v>1.21689</v>
      </c>
      <c r="D5" s="89">
        <v>1</v>
      </c>
      <c r="E5" s="68" t="s">
        <v>361</v>
      </c>
    </row>
    <row r="6" spans="1:5">
      <c r="A6" s="68">
        <v>0.24163000000000001</v>
      </c>
      <c r="B6" s="68">
        <v>0.53196600000000005</v>
      </c>
      <c r="C6" s="68">
        <v>1.62584</v>
      </c>
      <c r="D6" s="68">
        <v>1</v>
      </c>
      <c r="E6" s="68" t="s">
        <v>362</v>
      </c>
    </row>
    <row r="7" spans="1:5">
      <c r="A7" s="68">
        <v>0.24556600000000001</v>
      </c>
      <c r="B7" s="68">
        <v>0.51859</v>
      </c>
      <c r="C7" s="68">
        <v>2.0301499999999999</v>
      </c>
      <c r="D7" s="68">
        <v>1</v>
      </c>
      <c r="E7" s="68" t="s">
        <v>363</v>
      </c>
    </row>
    <row r="8" spans="1:5">
      <c r="A8" s="68">
        <v>0.24970500000000001</v>
      </c>
      <c r="B8" s="68">
        <v>0.504436</v>
      </c>
      <c r="C8" s="68">
        <v>2.4358399999999998</v>
      </c>
      <c r="D8" s="68">
        <v>1</v>
      </c>
      <c r="E8" s="68" t="s">
        <v>364</v>
      </c>
    </row>
    <row r="9" spans="1:5">
      <c r="A9" s="68">
        <v>0.253853</v>
      </c>
      <c r="B9" s="68">
        <v>0.49032399999999998</v>
      </c>
      <c r="C9" s="68">
        <v>2.8401200000000002</v>
      </c>
      <c r="D9" s="68">
        <v>1</v>
      </c>
      <c r="E9" s="68" t="s">
        <v>365</v>
      </c>
    </row>
    <row r="10" spans="1:5">
      <c r="A10" s="68">
        <v>0.25764199999999998</v>
      </c>
      <c r="B10" s="68">
        <v>0.47784599999999999</v>
      </c>
      <c r="C10" s="68">
        <v>3.2519999999999998</v>
      </c>
      <c r="D10" s="68">
        <v>1</v>
      </c>
      <c r="E10" s="68" t="s">
        <v>366</v>
      </c>
    </row>
    <row r="11" spans="1:5">
      <c r="A11" s="68">
        <v>0.260961</v>
      </c>
      <c r="B11" s="68">
        <v>0.46725100000000003</v>
      </c>
      <c r="C11" s="68">
        <v>3.6549299999999998</v>
      </c>
      <c r="D11" s="68">
        <v>1</v>
      </c>
      <c r="E11" s="68" t="s">
        <v>367</v>
      </c>
    </row>
    <row r="12" spans="1:5">
      <c r="A12" s="68">
        <v>0.26402900000000001</v>
      </c>
      <c r="B12" s="68">
        <v>0.45721600000000001</v>
      </c>
      <c r="C12" s="68">
        <v>4.0611199999999998</v>
      </c>
      <c r="D12" s="68">
        <v>1</v>
      </c>
      <c r="E12" s="68" t="s">
        <v>368</v>
      </c>
    </row>
    <row r="13" spans="1:5">
      <c r="A13" s="68">
        <v>0.26717800000000003</v>
      </c>
      <c r="B13" s="68">
        <v>0.44632500000000003</v>
      </c>
      <c r="C13" s="68">
        <v>4.4670399999999999</v>
      </c>
      <c r="D13" s="68">
        <v>1</v>
      </c>
      <c r="E13" s="68" t="s">
        <v>369</v>
      </c>
    </row>
    <row r="14" spans="1:5">
      <c r="A14" s="68">
        <v>0.27043099999999998</v>
      </c>
      <c r="B14" s="68">
        <v>0.43489499999999998</v>
      </c>
      <c r="C14" s="68">
        <v>4.8708099999999996</v>
      </c>
      <c r="D14" s="68">
        <v>1</v>
      </c>
      <c r="E14" s="68" t="s">
        <v>370</v>
      </c>
    </row>
    <row r="15" spans="1:5">
      <c r="A15" s="68">
        <v>0.27376800000000001</v>
      </c>
      <c r="B15" s="68">
        <v>0.42328399999999999</v>
      </c>
      <c r="C15" s="68">
        <v>5.2793400000000004</v>
      </c>
      <c r="D15" s="68">
        <v>1</v>
      </c>
      <c r="E15" s="68" t="s">
        <v>371</v>
      </c>
    </row>
    <row r="16" spans="1:5">
      <c r="A16" s="68">
        <v>0.27689900000000001</v>
      </c>
      <c r="B16" s="68">
        <v>0.411831</v>
      </c>
      <c r="C16" s="68">
        <v>5.6856099999999996</v>
      </c>
      <c r="D16" s="68">
        <v>1</v>
      </c>
      <c r="E16" s="68" t="s">
        <v>372</v>
      </c>
    </row>
    <row r="17" spans="1:5">
      <c r="A17" s="68">
        <v>0.27993099999999999</v>
      </c>
      <c r="B17" s="68">
        <v>0.401198</v>
      </c>
      <c r="C17" s="68">
        <v>6.09375</v>
      </c>
      <c r="D17" s="68">
        <v>1</v>
      </c>
      <c r="E17" s="68" t="s">
        <v>373</v>
      </c>
    </row>
    <row r="18" spans="1:5">
      <c r="A18" s="68">
        <v>0.28281200000000001</v>
      </c>
      <c r="B18" s="68">
        <v>0.39102500000000001</v>
      </c>
      <c r="C18" s="68">
        <v>6.49892</v>
      </c>
      <c r="D18" s="68">
        <v>1</v>
      </c>
      <c r="E18" s="68" t="s">
        <v>374</v>
      </c>
    </row>
    <row r="19" spans="1:5">
      <c r="A19" s="68">
        <v>0.28557500000000002</v>
      </c>
      <c r="B19" s="68">
        <v>0.380633</v>
      </c>
      <c r="C19" s="68">
        <v>6.9056100000000002</v>
      </c>
      <c r="D19" s="68">
        <v>1</v>
      </c>
      <c r="E19" s="68" t="s">
        <v>375</v>
      </c>
    </row>
    <row r="20" spans="1:5">
      <c r="A20" s="68">
        <v>0.288497</v>
      </c>
      <c r="B20" s="68">
        <v>0.36963600000000002</v>
      </c>
      <c r="C20" s="68">
        <v>7.30959</v>
      </c>
      <c r="D20" s="68">
        <v>1</v>
      </c>
      <c r="E20" s="68" t="s">
        <v>376</v>
      </c>
    </row>
    <row r="21" spans="1:5">
      <c r="A21" s="68">
        <v>0.29142400000000002</v>
      </c>
      <c r="B21" s="68">
        <v>0.35886499999999999</v>
      </c>
      <c r="C21" s="68">
        <v>7.7164299999999999</v>
      </c>
      <c r="D21" s="68">
        <v>1</v>
      </c>
      <c r="E21" s="68" t="s">
        <v>377</v>
      </c>
    </row>
    <row r="22" spans="1:5">
      <c r="A22" s="68">
        <v>0.29425899999999999</v>
      </c>
      <c r="B22" s="68">
        <v>0.34878999999999999</v>
      </c>
      <c r="C22" s="68">
        <v>8.1236599999999992</v>
      </c>
      <c r="D22" s="68">
        <v>1</v>
      </c>
      <c r="E22" s="68" t="s">
        <v>378</v>
      </c>
    </row>
    <row r="23" spans="1:5">
      <c r="A23" s="68">
        <v>0.297016</v>
      </c>
      <c r="B23" s="68">
        <v>0.33905400000000002</v>
      </c>
      <c r="C23" s="68">
        <v>8.5313800000000004</v>
      </c>
      <c r="D23" s="68">
        <v>1</v>
      </c>
      <c r="E23" s="68" t="s">
        <v>379</v>
      </c>
    </row>
    <row r="24" spans="1:5">
      <c r="A24" s="68">
        <v>0.29972599999999999</v>
      </c>
      <c r="B24" s="68">
        <v>0.33007500000000001</v>
      </c>
      <c r="C24" s="68">
        <v>8.9345400000000001</v>
      </c>
      <c r="D24" s="68">
        <v>1</v>
      </c>
      <c r="E24" s="68" t="s">
        <v>380</v>
      </c>
    </row>
    <row r="25" spans="1:5">
      <c r="A25" s="68">
        <v>0.302259</v>
      </c>
      <c r="B25" s="68">
        <v>0.32146200000000003</v>
      </c>
      <c r="C25" s="68">
        <v>9.34009</v>
      </c>
      <c r="D25" s="68">
        <v>1</v>
      </c>
      <c r="E25" s="68" t="s">
        <v>381</v>
      </c>
    </row>
    <row r="26" spans="1:5">
      <c r="A26" s="68">
        <v>0.30459399999999998</v>
      </c>
      <c r="B26" s="68">
        <v>0.31237599999999999</v>
      </c>
      <c r="C26" s="68">
        <v>9.7463300000000004</v>
      </c>
      <c r="D26" s="68">
        <v>1</v>
      </c>
      <c r="E26" s="68" t="s">
        <v>382</v>
      </c>
    </row>
    <row r="27" spans="1:5">
      <c r="A27" s="68">
        <v>0.306753</v>
      </c>
      <c r="B27" s="68">
        <v>0.30380699999999999</v>
      </c>
      <c r="C27" s="68">
        <v>10.152900000000001</v>
      </c>
      <c r="D27" s="68">
        <v>1</v>
      </c>
      <c r="E27" s="68" t="s">
        <v>383</v>
      </c>
    </row>
    <row r="28" spans="1:5">
      <c r="A28" s="68">
        <v>0.30862699999999998</v>
      </c>
      <c r="B28" s="68">
        <v>0.29557299999999997</v>
      </c>
      <c r="C28" s="68">
        <v>10.5641</v>
      </c>
      <c r="D28" s="68">
        <v>1</v>
      </c>
      <c r="E28" s="68" t="s">
        <v>384</v>
      </c>
    </row>
    <row r="29" spans="1:5">
      <c r="A29" s="68">
        <v>0.31015399999999999</v>
      </c>
      <c r="B29" s="68">
        <v>0.28809699999999999</v>
      </c>
      <c r="C29" s="68">
        <v>10.9656</v>
      </c>
      <c r="D29" s="68">
        <v>1</v>
      </c>
      <c r="E29" s="68" t="s">
        <v>385</v>
      </c>
    </row>
    <row r="30" spans="1:5">
      <c r="A30" s="68">
        <v>0.31128800000000001</v>
      </c>
      <c r="B30" s="68">
        <v>0.28103400000000001</v>
      </c>
      <c r="C30" s="68">
        <v>11.369400000000001</v>
      </c>
      <c r="D30" s="68">
        <v>1</v>
      </c>
      <c r="E30" s="68" t="s">
        <v>386</v>
      </c>
    </row>
    <row r="31" spans="1:5">
      <c r="A31" s="68">
        <v>0.31228800000000001</v>
      </c>
      <c r="B31" s="68">
        <v>0.27369500000000002</v>
      </c>
      <c r="C31" s="68">
        <v>11.7766</v>
      </c>
      <c r="D31" s="68">
        <v>1</v>
      </c>
      <c r="E31" s="68" t="s">
        <v>387</v>
      </c>
    </row>
    <row r="32" spans="1:5">
      <c r="A32" s="68">
        <v>0.31310100000000002</v>
      </c>
      <c r="B32" s="68">
        <v>0.26642100000000002</v>
      </c>
      <c r="C32" s="68">
        <v>12.1859</v>
      </c>
      <c r="D32" s="68">
        <v>1</v>
      </c>
      <c r="E32" s="68" t="s">
        <v>388</v>
      </c>
    </row>
    <row r="33" spans="1:5">
      <c r="A33" s="68">
        <v>0.313469</v>
      </c>
      <c r="B33" s="68">
        <v>0.26014700000000002</v>
      </c>
      <c r="C33" s="68">
        <v>12.5899</v>
      </c>
      <c r="D33" s="68">
        <v>1</v>
      </c>
      <c r="E33" s="68" t="s">
        <v>389</v>
      </c>
    </row>
    <row r="34" spans="1:5">
      <c r="A34" s="68">
        <v>0.313828</v>
      </c>
      <c r="B34" s="68">
        <v>0.25492399999999998</v>
      </c>
      <c r="C34" s="68">
        <v>12.9991</v>
      </c>
      <c r="D34" s="68">
        <v>1</v>
      </c>
      <c r="E34" s="68" t="s">
        <v>390</v>
      </c>
    </row>
    <row r="35" spans="1:5">
      <c r="A35" s="68">
        <v>0.31415700000000002</v>
      </c>
      <c r="B35" s="68">
        <v>0.25121599999999999</v>
      </c>
      <c r="C35" s="68">
        <v>13.4071</v>
      </c>
      <c r="D35" s="68">
        <v>1</v>
      </c>
      <c r="E35" s="68" t="s">
        <v>391</v>
      </c>
    </row>
    <row r="36" spans="1:5">
      <c r="A36" s="68">
        <v>0.31467099999999998</v>
      </c>
      <c r="B36" s="68">
        <v>0.24796499999999999</v>
      </c>
      <c r="C36" s="68">
        <v>13.8103</v>
      </c>
      <c r="D36" s="68">
        <v>1</v>
      </c>
      <c r="E36" s="68" t="s">
        <v>392</v>
      </c>
    </row>
    <row r="37" spans="1:5">
      <c r="A37" s="68">
        <v>0.31519900000000001</v>
      </c>
      <c r="B37" s="68">
        <v>0.24590200000000001</v>
      </c>
      <c r="C37" s="68">
        <v>14.2165</v>
      </c>
      <c r="D37" s="68">
        <v>1</v>
      </c>
      <c r="E37" s="68" t="s">
        <v>393</v>
      </c>
    </row>
    <row r="38" spans="1:5">
      <c r="A38" s="68">
        <v>0.31550600000000001</v>
      </c>
      <c r="B38" s="68">
        <v>0.24457899999999999</v>
      </c>
      <c r="C38" s="68">
        <v>14.6214</v>
      </c>
      <c r="D38" s="68">
        <v>1</v>
      </c>
      <c r="E38" s="68" t="s">
        <v>394</v>
      </c>
    </row>
    <row r="39" spans="1:5">
      <c r="A39" s="68">
        <v>0.31576300000000002</v>
      </c>
      <c r="B39" s="68">
        <v>0.24340000000000001</v>
      </c>
      <c r="C39" s="68">
        <v>15.029500000000001</v>
      </c>
      <c r="D39" s="68">
        <v>1</v>
      </c>
      <c r="E39" s="68" t="s">
        <v>395</v>
      </c>
    </row>
    <row r="40" spans="1:5">
      <c r="A40" s="68">
        <v>0.31584899999999999</v>
      </c>
      <c r="B40" s="68">
        <v>0.24149899999999999</v>
      </c>
      <c r="C40" s="68">
        <v>15.4351</v>
      </c>
      <c r="D40" s="68">
        <v>1</v>
      </c>
      <c r="E40" s="68" t="s">
        <v>396</v>
      </c>
    </row>
    <row r="41" spans="1:5">
      <c r="A41" s="68">
        <v>0.31592300000000001</v>
      </c>
      <c r="B41" s="68">
        <v>0.239955</v>
      </c>
      <c r="C41" s="68">
        <v>15.8399</v>
      </c>
      <c r="D41" s="68">
        <v>1</v>
      </c>
      <c r="E41" s="68" t="s">
        <v>397</v>
      </c>
    </row>
    <row r="42" spans="1:5">
      <c r="A42" s="68">
        <v>0.31585200000000002</v>
      </c>
      <c r="B42" s="68">
        <v>0.23786399999999999</v>
      </c>
      <c r="C42" s="68">
        <v>16.247599999999998</v>
      </c>
      <c r="D42" s="68">
        <v>1</v>
      </c>
      <c r="E42" s="68" t="s">
        <v>398</v>
      </c>
    </row>
    <row r="43" spans="1:5">
      <c r="A43" s="68">
        <v>0.315494</v>
      </c>
      <c r="B43" s="68">
        <v>0.23600199999999999</v>
      </c>
      <c r="C43" s="68">
        <v>16.653300000000002</v>
      </c>
      <c r="D43" s="68">
        <v>1</v>
      </c>
      <c r="E43" s="68" t="s">
        <v>399</v>
      </c>
    </row>
    <row r="44" spans="1:5">
      <c r="A44" s="68">
        <v>0.314967</v>
      </c>
      <c r="B44" s="68">
        <v>0.234432</v>
      </c>
      <c r="C44" s="68">
        <v>17.058700000000002</v>
      </c>
      <c r="D44" s="68">
        <v>1</v>
      </c>
      <c r="E44" s="68" t="s">
        <v>400</v>
      </c>
    </row>
    <row r="45" spans="1:5">
      <c r="A45" s="68">
        <v>0.31415700000000002</v>
      </c>
      <c r="B45" s="68">
        <v>0.233734</v>
      </c>
      <c r="C45" s="68">
        <v>17.469100000000001</v>
      </c>
      <c r="D45" s="68">
        <v>1</v>
      </c>
      <c r="E45" s="68" t="s">
        <v>401</v>
      </c>
    </row>
    <row r="46" spans="1:5">
      <c r="A46" s="68">
        <v>0.31307800000000002</v>
      </c>
      <c r="B46" s="68">
        <v>0.23416400000000001</v>
      </c>
      <c r="C46" s="68">
        <v>17.873999999999999</v>
      </c>
      <c r="D46" s="68">
        <v>1</v>
      </c>
      <c r="E46" s="68" t="s">
        <v>402</v>
      </c>
    </row>
    <row r="47" spans="1:5">
      <c r="A47" s="68">
        <v>0.31195499999999998</v>
      </c>
      <c r="B47" s="68">
        <v>0.234878</v>
      </c>
      <c r="C47" s="68">
        <v>18.2776</v>
      </c>
      <c r="D47" s="68">
        <v>1</v>
      </c>
      <c r="E47" s="68" t="s">
        <v>403</v>
      </c>
    </row>
    <row r="48" spans="1:5">
      <c r="A48" s="68">
        <v>0.31068400000000002</v>
      </c>
      <c r="B48" s="68">
        <v>0.236098</v>
      </c>
      <c r="C48" s="68">
        <v>18.684200000000001</v>
      </c>
      <c r="D48" s="68">
        <v>1</v>
      </c>
      <c r="E48" s="68" t="s">
        <v>404</v>
      </c>
    </row>
    <row r="49" spans="1:5">
      <c r="A49" s="68">
        <v>0.30926100000000001</v>
      </c>
      <c r="B49" s="68">
        <v>0.23691699999999999</v>
      </c>
      <c r="C49" s="68">
        <v>19.089300000000001</v>
      </c>
      <c r="D49" s="68">
        <v>1</v>
      </c>
      <c r="E49" s="68" t="s">
        <v>405</v>
      </c>
    </row>
    <row r="50" spans="1:5">
      <c r="A50" s="68">
        <v>0.30796699999999999</v>
      </c>
      <c r="B50" s="68">
        <v>0.23746999999999999</v>
      </c>
      <c r="C50" s="68">
        <v>19.496300000000002</v>
      </c>
      <c r="D50" s="68">
        <v>1</v>
      </c>
      <c r="E50" s="68" t="s">
        <v>406</v>
      </c>
    </row>
    <row r="51" spans="1:5">
      <c r="A51" s="68">
        <v>0.30698799999999998</v>
      </c>
      <c r="B51" s="68">
        <v>0.23735100000000001</v>
      </c>
      <c r="C51" s="68">
        <v>19.904499999999999</v>
      </c>
      <c r="D51" s="68">
        <v>1</v>
      </c>
      <c r="E51" s="68" t="s">
        <v>407</v>
      </c>
    </row>
    <row r="52" spans="1:5">
      <c r="A52" s="68">
        <v>0.306288</v>
      </c>
      <c r="B52" s="68">
        <v>0.237432</v>
      </c>
      <c r="C52" s="68">
        <v>20.3095</v>
      </c>
      <c r="D52" s="68">
        <v>1</v>
      </c>
      <c r="E52" s="68" t="s">
        <v>408</v>
      </c>
    </row>
    <row r="53" spans="1:5">
      <c r="A53" s="68">
        <v>0.30554399999999998</v>
      </c>
      <c r="B53" s="68">
        <v>0.237347</v>
      </c>
      <c r="C53" s="68">
        <v>20.715499999999999</v>
      </c>
      <c r="D53" s="68">
        <v>1</v>
      </c>
      <c r="E53" s="68" t="s">
        <v>409</v>
      </c>
    </row>
    <row r="54" spans="1:5">
      <c r="A54" s="68">
        <v>0.30464400000000003</v>
      </c>
      <c r="B54" s="68">
        <v>0.23766799999999999</v>
      </c>
      <c r="C54" s="68">
        <v>21.124400000000001</v>
      </c>
      <c r="D54" s="68">
        <v>1</v>
      </c>
      <c r="E54" s="68" t="s">
        <v>410</v>
      </c>
    </row>
    <row r="55" spans="1:5">
      <c r="A55" s="68">
        <v>0.304087</v>
      </c>
      <c r="B55" s="68">
        <v>0.23852300000000001</v>
      </c>
      <c r="C55" s="68">
        <v>21.5304</v>
      </c>
      <c r="D55" s="68">
        <v>1</v>
      </c>
      <c r="E55" s="68" t="s">
        <v>411</v>
      </c>
    </row>
    <row r="56" spans="1:5">
      <c r="A56" s="68">
        <v>0.30255799999999999</v>
      </c>
      <c r="B56" s="68">
        <v>0.23923</v>
      </c>
      <c r="C56" s="68">
        <v>21.936699999999998</v>
      </c>
      <c r="D56" s="68">
        <v>1</v>
      </c>
      <c r="E56" s="68" t="s">
        <v>412</v>
      </c>
    </row>
    <row r="57" spans="1:5">
      <c r="A57" s="68">
        <v>0.30189300000000002</v>
      </c>
      <c r="B57" s="68">
        <v>0.24004400000000001</v>
      </c>
      <c r="C57" s="68">
        <v>22.341799999999999</v>
      </c>
      <c r="D57" s="68">
        <v>1</v>
      </c>
      <c r="E57" s="68" t="s">
        <v>413</v>
      </c>
    </row>
    <row r="58" spans="1:5">
      <c r="A58" s="68">
        <v>0.30038700000000002</v>
      </c>
      <c r="B58" s="68">
        <v>0.239117</v>
      </c>
      <c r="C58" s="68">
        <v>22.748999999999999</v>
      </c>
      <c r="D58" s="68">
        <v>1</v>
      </c>
      <c r="E58" s="68" t="s">
        <v>414</v>
      </c>
    </row>
    <row r="59" spans="1:5">
      <c r="A59" s="68">
        <v>0.29886099999999999</v>
      </c>
      <c r="B59" s="68">
        <v>0.238839</v>
      </c>
      <c r="C59" s="68">
        <v>23.152899999999999</v>
      </c>
      <c r="D59" s="68">
        <v>1</v>
      </c>
      <c r="E59" s="68" t="s">
        <v>415</v>
      </c>
    </row>
    <row r="60" spans="1:5">
      <c r="A60" s="68">
        <v>0.29786899999999999</v>
      </c>
      <c r="B60" s="68">
        <v>0.23781099999999999</v>
      </c>
      <c r="C60" s="68">
        <v>23.558900000000001</v>
      </c>
      <c r="D60" s="68">
        <v>1</v>
      </c>
      <c r="E60" s="68" t="s">
        <v>416</v>
      </c>
    </row>
    <row r="61" spans="1:5">
      <c r="A61" s="68">
        <v>0.29634500000000003</v>
      </c>
      <c r="B61" s="68">
        <v>0.23613500000000001</v>
      </c>
      <c r="C61" s="68">
        <v>23.9649</v>
      </c>
      <c r="D61" s="68">
        <v>1</v>
      </c>
      <c r="E61" s="68" t="s">
        <v>417</v>
      </c>
    </row>
    <row r="62" spans="1:5">
      <c r="A62" s="68">
        <v>0.29425800000000002</v>
      </c>
      <c r="B62" s="68">
        <v>0.23355600000000001</v>
      </c>
      <c r="C62" s="68">
        <v>24.375499999999999</v>
      </c>
      <c r="D62" s="68">
        <v>1</v>
      </c>
      <c r="E62" s="68" t="s">
        <v>418</v>
      </c>
    </row>
    <row r="63" spans="1:5">
      <c r="A63" s="68">
        <v>0.29245500000000002</v>
      </c>
      <c r="B63" s="68">
        <v>0.231354</v>
      </c>
      <c r="C63" s="68">
        <v>24.779499999999999</v>
      </c>
      <c r="D63" s="68">
        <v>1</v>
      </c>
      <c r="E63" s="68" t="s">
        <v>419</v>
      </c>
    </row>
    <row r="64" spans="1:5">
      <c r="A64" s="68">
        <v>0.290933</v>
      </c>
      <c r="B64" s="68">
        <v>0.23037199999999999</v>
      </c>
      <c r="C64" s="68">
        <v>25.1829</v>
      </c>
      <c r="D64" s="68">
        <v>1</v>
      </c>
      <c r="E64" s="68" t="s">
        <v>420</v>
      </c>
    </row>
    <row r="65" spans="1:5">
      <c r="A65" s="68">
        <v>0.28828999999999999</v>
      </c>
      <c r="B65" s="68">
        <v>0.23011000000000001</v>
      </c>
      <c r="C65" s="68">
        <v>25.593299999999999</v>
      </c>
      <c r="D65" s="68">
        <v>1</v>
      </c>
      <c r="E65" s="68" t="s">
        <v>421</v>
      </c>
    </row>
    <row r="66" spans="1:5">
      <c r="A66" s="68">
        <v>0.28668300000000002</v>
      </c>
      <c r="B66" s="68">
        <v>0.23069600000000001</v>
      </c>
      <c r="C66" s="68">
        <v>25.999600000000001</v>
      </c>
      <c r="D66" s="68">
        <v>1</v>
      </c>
      <c r="E66" s="68" t="s">
        <v>422</v>
      </c>
    </row>
    <row r="67" spans="1:5">
      <c r="A67" s="68">
        <v>0.284665</v>
      </c>
      <c r="B67" s="68">
        <v>0.23100100000000001</v>
      </c>
      <c r="C67" s="68">
        <v>26.405100000000001</v>
      </c>
      <c r="D67" s="68">
        <v>1</v>
      </c>
      <c r="E67" s="68" t="s">
        <v>423</v>
      </c>
    </row>
    <row r="68" spans="1:5">
      <c r="A68" s="68">
        <v>0.28283700000000001</v>
      </c>
      <c r="B68" s="68">
        <v>0.231324</v>
      </c>
      <c r="C68" s="68">
        <v>26.808499999999999</v>
      </c>
      <c r="D68" s="68">
        <v>1</v>
      </c>
      <c r="E68" s="68" t="s">
        <v>424</v>
      </c>
    </row>
    <row r="69" spans="1:5">
      <c r="A69" s="68">
        <v>0.28047699999999998</v>
      </c>
      <c r="B69" s="68">
        <v>0.23270399999999999</v>
      </c>
      <c r="C69" s="68">
        <v>27.217700000000001</v>
      </c>
      <c r="D69" s="68">
        <v>1</v>
      </c>
      <c r="E69" s="68" t="s">
        <v>425</v>
      </c>
    </row>
    <row r="70" spans="1:5">
      <c r="A70" s="68">
        <v>0.27860699999999999</v>
      </c>
      <c r="B70" s="68">
        <v>0.23363900000000001</v>
      </c>
      <c r="C70" s="68">
        <v>27.6233</v>
      </c>
      <c r="D70" s="68">
        <v>1</v>
      </c>
      <c r="E70" s="68" t="s">
        <v>426</v>
      </c>
    </row>
    <row r="71" spans="1:5">
      <c r="A71" s="68">
        <v>0.27688499999999999</v>
      </c>
      <c r="B71" s="68">
        <v>0.23416600000000001</v>
      </c>
      <c r="C71" s="68">
        <v>28.031099999999999</v>
      </c>
      <c r="D71" s="68">
        <v>1</v>
      </c>
      <c r="E71" s="68" t="s">
        <v>427</v>
      </c>
    </row>
    <row r="72" spans="1:5">
      <c r="A72" s="68">
        <v>0.27521800000000002</v>
      </c>
      <c r="B72" s="68">
        <v>0.23458000000000001</v>
      </c>
      <c r="C72" s="68">
        <v>28.4374</v>
      </c>
      <c r="D72" s="68">
        <v>1</v>
      </c>
      <c r="E72" s="68" t="s">
        <v>428</v>
      </c>
    </row>
    <row r="73" spans="1:5">
      <c r="A73" s="68">
        <v>0.273928</v>
      </c>
      <c r="B73" s="68">
        <v>0.23405400000000001</v>
      </c>
      <c r="C73" s="68">
        <v>28.839099999999998</v>
      </c>
      <c r="D73" s="68">
        <v>1</v>
      </c>
      <c r="E73" s="68" t="s">
        <v>429</v>
      </c>
    </row>
    <row r="74" spans="1:5">
      <c r="A74" s="68">
        <v>0.27179199999999998</v>
      </c>
      <c r="B74" s="68">
        <v>0.23521500000000001</v>
      </c>
      <c r="C74" s="68">
        <v>29.247</v>
      </c>
      <c r="D74" s="68">
        <v>1</v>
      </c>
      <c r="E74" s="68" t="s">
        <v>430</v>
      </c>
    </row>
    <row r="75" spans="1:5">
      <c r="A75" s="68">
        <v>0.27037699999999998</v>
      </c>
      <c r="B75" s="68">
        <v>0.235849</v>
      </c>
      <c r="C75" s="68">
        <v>29.653500000000001</v>
      </c>
      <c r="D75" s="68">
        <v>1</v>
      </c>
      <c r="E75" s="68" t="s">
        <v>431</v>
      </c>
    </row>
    <row r="76" spans="1:5">
      <c r="A76" s="68">
        <v>0.26836500000000002</v>
      </c>
      <c r="B76" s="68">
        <v>0.23963100000000001</v>
      </c>
      <c r="C76" s="68">
        <v>30.06</v>
      </c>
      <c r="D76" s="68">
        <v>2</v>
      </c>
      <c r="E76" s="68" t="s">
        <v>432</v>
      </c>
    </row>
    <row r="77" spans="1:5">
      <c r="A77" s="68">
        <v>0.26591799999999999</v>
      </c>
      <c r="B77" s="68">
        <v>0.245888</v>
      </c>
      <c r="C77" s="68">
        <v>30.5121</v>
      </c>
      <c r="D77" s="68">
        <v>2</v>
      </c>
      <c r="E77" s="68" t="s">
        <v>433</v>
      </c>
    </row>
    <row r="78" spans="1:5">
      <c r="A78" s="68">
        <v>0.26403900000000002</v>
      </c>
      <c r="B78" s="68">
        <v>0.24947800000000001</v>
      </c>
      <c r="C78" s="68">
        <v>30.9194</v>
      </c>
      <c r="D78" s="68">
        <v>2</v>
      </c>
      <c r="E78" s="68" t="s">
        <v>434</v>
      </c>
    </row>
    <row r="79" spans="1:5">
      <c r="A79" s="68">
        <v>0.26239800000000002</v>
      </c>
      <c r="B79" s="68">
        <v>0.252386</v>
      </c>
      <c r="C79" s="68">
        <v>31.326699999999999</v>
      </c>
      <c r="D79" s="68">
        <v>2</v>
      </c>
      <c r="E79" s="68" t="s">
        <v>435</v>
      </c>
    </row>
    <row r="80" spans="1:5">
      <c r="A80" s="68">
        <v>0.26131500000000002</v>
      </c>
      <c r="B80" s="68">
        <v>0.25445099999999998</v>
      </c>
      <c r="C80" s="68">
        <v>31.733899999999998</v>
      </c>
      <c r="D80" s="68">
        <v>2</v>
      </c>
      <c r="E80" s="68" t="s">
        <v>436</v>
      </c>
    </row>
    <row r="81" spans="1:5">
      <c r="A81" s="68">
        <v>0.260328</v>
      </c>
      <c r="B81" s="68">
        <v>0.25644</v>
      </c>
      <c r="C81" s="68">
        <v>32.1355</v>
      </c>
      <c r="D81" s="68">
        <v>2</v>
      </c>
      <c r="E81" s="68" t="s">
        <v>437</v>
      </c>
    </row>
    <row r="82" spans="1:5">
      <c r="A82" s="68">
        <v>0.25930500000000001</v>
      </c>
      <c r="B82" s="68">
        <v>0.25916899999999998</v>
      </c>
      <c r="C82" s="68">
        <v>32.542900000000003</v>
      </c>
      <c r="D82" s="68">
        <v>2</v>
      </c>
      <c r="E82" s="68" t="s">
        <v>438</v>
      </c>
    </row>
    <row r="83" spans="1:5">
      <c r="A83" s="68">
        <v>0.258544</v>
      </c>
      <c r="B83" s="68">
        <v>0.26219300000000001</v>
      </c>
      <c r="C83" s="68">
        <v>32.949199999999998</v>
      </c>
      <c r="D83" s="68">
        <v>2</v>
      </c>
      <c r="E83" s="68" t="s">
        <v>439</v>
      </c>
    </row>
    <row r="84" spans="1:5">
      <c r="A84" s="68">
        <v>0.25804199999999999</v>
      </c>
      <c r="B84" s="68">
        <v>0.26405899999999999</v>
      </c>
      <c r="C84" s="68">
        <v>33.357199999999999</v>
      </c>
      <c r="D84" s="68">
        <v>2</v>
      </c>
      <c r="E84" s="68" t="s">
        <v>440</v>
      </c>
    </row>
    <row r="85" spans="1:5">
      <c r="A85" s="68">
        <v>0.25784099999999999</v>
      </c>
      <c r="B85" s="68">
        <v>0.265509</v>
      </c>
      <c r="C85" s="68">
        <v>33.763199999999998</v>
      </c>
      <c r="D85" s="68">
        <v>2</v>
      </c>
      <c r="E85" s="68" t="s">
        <v>441</v>
      </c>
    </row>
    <row r="86" spans="1:5">
      <c r="A86" s="68">
        <v>0.257517</v>
      </c>
      <c r="B86" s="68">
        <v>0.267455</v>
      </c>
      <c r="C86" s="68">
        <v>34.171700000000001</v>
      </c>
      <c r="D86" s="68">
        <v>2</v>
      </c>
      <c r="E86" s="68" t="s">
        <v>442</v>
      </c>
    </row>
    <row r="87" spans="1:5">
      <c r="A87" s="68">
        <v>0.25719799999999998</v>
      </c>
      <c r="B87" s="68">
        <v>0.26911299999999999</v>
      </c>
      <c r="C87" s="68">
        <v>34.576099999999997</v>
      </c>
      <c r="D87" s="68">
        <v>2</v>
      </c>
      <c r="E87" s="68" t="s">
        <v>443</v>
      </c>
    </row>
    <row r="88" spans="1:5">
      <c r="A88" s="68">
        <v>0.25686900000000001</v>
      </c>
      <c r="B88" s="68">
        <v>0.27072600000000002</v>
      </c>
      <c r="C88" s="68">
        <v>34.981400000000001</v>
      </c>
      <c r="D88" s="68">
        <v>2</v>
      </c>
      <c r="E88" s="68" t="s">
        <v>444</v>
      </c>
    </row>
    <row r="89" spans="1:5">
      <c r="A89" s="68">
        <v>0.25658700000000001</v>
      </c>
      <c r="B89" s="68">
        <v>0.27194600000000002</v>
      </c>
      <c r="C89" s="68">
        <v>35.387599999999999</v>
      </c>
      <c r="D89" s="68">
        <v>2</v>
      </c>
      <c r="E89" s="68" t="s">
        <v>445</v>
      </c>
    </row>
    <row r="90" spans="1:5">
      <c r="A90" s="68">
        <v>0.25601600000000002</v>
      </c>
      <c r="B90" s="68">
        <v>0.274343</v>
      </c>
      <c r="C90" s="68">
        <v>35.7943</v>
      </c>
      <c r="D90" s="68">
        <v>2</v>
      </c>
      <c r="E90" s="68" t="s">
        <v>446</v>
      </c>
    </row>
    <row r="91" spans="1:5">
      <c r="A91" s="68">
        <v>0.25523400000000002</v>
      </c>
      <c r="B91" s="68">
        <v>0.27741399999999999</v>
      </c>
      <c r="C91" s="68">
        <v>36.200099999999999</v>
      </c>
      <c r="D91" s="68">
        <v>2</v>
      </c>
      <c r="E91" s="68" t="s">
        <v>447</v>
      </c>
    </row>
    <row r="92" spans="1:5">
      <c r="A92" s="68">
        <v>0.25462299999999999</v>
      </c>
      <c r="B92" s="68">
        <v>0.28033200000000003</v>
      </c>
      <c r="C92" s="68">
        <v>36.6083</v>
      </c>
      <c r="D92" s="68">
        <v>2</v>
      </c>
      <c r="E92" s="68" t="s">
        <v>448</v>
      </c>
    </row>
    <row r="93" spans="1:5">
      <c r="A93" s="68">
        <v>0.25412400000000002</v>
      </c>
      <c r="B93" s="68">
        <v>0.28217500000000001</v>
      </c>
      <c r="C93" s="68">
        <v>37.015300000000003</v>
      </c>
      <c r="D93" s="68">
        <v>2</v>
      </c>
      <c r="E93" s="68" t="s">
        <v>449</v>
      </c>
    </row>
    <row r="94" spans="1:5">
      <c r="A94" s="68">
        <v>0.25392300000000001</v>
      </c>
      <c r="B94" s="68">
        <v>0.28235500000000002</v>
      </c>
      <c r="C94" s="68">
        <v>37.418199999999999</v>
      </c>
      <c r="D94" s="68">
        <v>2</v>
      </c>
      <c r="E94" s="68" t="s">
        <v>450</v>
      </c>
    </row>
    <row r="95" spans="1:5">
      <c r="A95" s="68">
        <v>0.25381500000000001</v>
      </c>
      <c r="B95" s="68">
        <v>0.281995</v>
      </c>
      <c r="C95" s="68">
        <v>37.825000000000003</v>
      </c>
      <c r="D95" s="68">
        <v>2</v>
      </c>
      <c r="E95" s="68" t="s">
        <v>451</v>
      </c>
    </row>
    <row r="96" spans="1:5">
      <c r="A96" s="68">
        <v>0.25370900000000002</v>
      </c>
      <c r="B96" s="68">
        <v>0.28099499999999999</v>
      </c>
      <c r="C96" s="68">
        <v>38.232100000000003</v>
      </c>
      <c r="D96" s="68">
        <v>2</v>
      </c>
      <c r="E96" s="68" t="s">
        <v>452</v>
      </c>
    </row>
    <row r="97" spans="1:5">
      <c r="A97" s="68">
        <v>0.253548</v>
      </c>
      <c r="B97" s="68">
        <v>0.27946500000000002</v>
      </c>
      <c r="C97" s="68">
        <v>38.641300000000001</v>
      </c>
      <c r="D97" s="68">
        <v>2</v>
      </c>
      <c r="E97" s="68" t="s">
        <v>453</v>
      </c>
    </row>
    <row r="98" spans="1:5">
      <c r="A98" s="68">
        <v>0.25357600000000002</v>
      </c>
      <c r="B98" s="68">
        <v>0.27682099999999998</v>
      </c>
      <c r="C98" s="68">
        <v>39.0456</v>
      </c>
      <c r="D98" s="68">
        <v>2</v>
      </c>
      <c r="E98" s="68" t="s">
        <v>454</v>
      </c>
    </row>
    <row r="99" spans="1:5">
      <c r="A99" s="68">
        <v>0.25359399999999999</v>
      </c>
      <c r="B99" s="68">
        <v>0.27380900000000002</v>
      </c>
      <c r="C99" s="68">
        <v>39.4499</v>
      </c>
      <c r="D99" s="68">
        <v>2</v>
      </c>
      <c r="E99" s="68" t="s">
        <v>455</v>
      </c>
    </row>
    <row r="100" spans="1:5">
      <c r="A100" s="68">
        <v>0.25356499999999998</v>
      </c>
      <c r="B100" s="68">
        <v>0.27046300000000001</v>
      </c>
      <c r="C100" s="68">
        <v>39.854300000000002</v>
      </c>
      <c r="D100" s="68">
        <v>2</v>
      </c>
      <c r="E100" s="68" t="s">
        <v>456</v>
      </c>
    </row>
    <row r="101" spans="1:5">
      <c r="A101" s="68">
        <v>0.25351499999999999</v>
      </c>
      <c r="B101" s="68">
        <v>0.26675500000000002</v>
      </c>
      <c r="C101" s="68">
        <v>40.264400000000002</v>
      </c>
      <c r="D101" s="68">
        <v>2</v>
      </c>
      <c r="E101" s="68" t="s">
        <v>457</v>
      </c>
    </row>
    <row r="102" spans="1:5">
      <c r="A102" s="68">
        <v>0.25333600000000001</v>
      </c>
      <c r="B102" s="68">
        <v>0.26258399999999998</v>
      </c>
      <c r="C102" s="68">
        <v>40.671199999999999</v>
      </c>
      <c r="D102" s="68">
        <v>2</v>
      </c>
      <c r="E102" s="68" t="s">
        <v>458</v>
      </c>
    </row>
    <row r="103" spans="1:5">
      <c r="A103" s="68">
        <v>0.25289899999999998</v>
      </c>
      <c r="B103" s="68">
        <v>0.25806699999999999</v>
      </c>
      <c r="C103" s="68">
        <v>41.078299999999999</v>
      </c>
      <c r="D103" s="68">
        <v>2</v>
      </c>
      <c r="E103" s="68" t="s">
        <v>459</v>
      </c>
    </row>
    <row r="104" spans="1:5">
      <c r="A104" s="68">
        <v>0.25212499999999999</v>
      </c>
      <c r="B104" s="68">
        <v>0.25375999999999999</v>
      </c>
      <c r="C104" s="68">
        <v>41.481999999999999</v>
      </c>
      <c r="D104" s="68">
        <v>2</v>
      </c>
      <c r="E104" s="68" t="s">
        <v>460</v>
      </c>
    </row>
    <row r="105" spans="1:5">
      <c r="A105" s="68">
        <v>0.25126999999999999</v>
      </c>
      <c r="B105" s="68">
        <v>0.248921</v>
      </c>
      <c r="C105" s="68">
        <v>41.885899999999999</v>
      </c>
      <c r="D105" s="68">
        <v>2</v>
      </c>
      <c r="E105" s="68" t="s">
        <v>461</v>
      </c>
    </row>
    <row r="106" spans="1:5">
      <c r="A106" s="68">
        <v>0.25042700000000001</v>
      </c>
      <c r="B106" s="68">
        <v>0.244037</v>
      </c>
      <c r="C106" s="68">
        <v>42.2956</v>
      </c>
      <c r="D106" s="68">
        <v>2</v>
      </c>
      <c r="E106" s="68" t="s">
        <v>462</v>
      </c>
    </row>
    <row r="107" spans="1:5">
      <c r="A107" s="68">
        <v>0.24931900000000001</v>
      </c>
      <c r="B107" s="68">
        <v>0.23924999999999999</v>
      </c>
      <c r="C107" s="68">
        <v>42.702599999999997</v>
      </c>
      <c r="D107" s="68">
        <v>2</v>
      </c>
      <c r="E107" s="68" t="s">
        <v>463</v>
      </c>
    </row>
    <row r="108" spans="1:5">
      <c r="A108" s="68">
        <v>0.24812000000000001</v>
      </c>
      <c r="B108" s="68">
        <v>0.23372599999999999</v>
      </c>
      <c r="C108" s="68">
        <v>43.107999999999997</v>
      </c>
      <c r="D108" s="68">
        <v>2</v>
      </c>
      <c r="E108" s="68" t="s">
        <v>464</v>
      </c>
    </row>
    <row r="109" spans="1:5">
      <c r="A109" s="68">
        <v>0.24705199999999999</v>
      </c>
      <c r="B109" s="68">
        <v>0.227826</v>
      </c>
      <c r="C109" s="68">
        <v>43.513399999999997</v>
      </c>
      <c r="D109" s="68">
        <v>2</v>
      </c>
      <c r="E109" s="68" t="s">
        <v>465</v>
      </c>
    </row>
    <row r="110" spans="1:5">
      <c r="A110" s="68">
        <v>0.24577599999999999</v>
      </c>
      <c r="B110" s="68">
        <v>0.223663</v>
      </c>
      <c r="C110" s="68">
        <v>43.919699999999999</v>
      </c>
      <c r="D110" s="68">
        <v>2</v>
      </c>
      <c r="E110" s="68" t="s">
        <v>466</v>
      </c>
    </row>
    <row r="111" spans="1:5">
      <c r="A111" s="68">
        <v>0.24498300000000001</v>
      </c>
      <c r="B111" s="68">
        <v>0.219135</v>
      </c>
      <c r="C111" s="68">
        <v>44.324800000000003</v>
      </c>
      <c r="D111" s="68">
        <v>2</v>
      </c>
      <c r="E111" s="68" t="s">
        <v>467</v>
      </c>
    </row>
    <row r="112" spans="1:5">
      <c r="A112" s="68">
        <v>0.24452099999999999</v>
      </c>
      <c r="B112" s="68">
        <v>0.215029</v>
      </c>
      <c r="C112" s="68">
        <v>44.734400000000001</v>
      </c>
      <c r="D112" s="68">
        <v>2</v>
      </c>
      <c r="E112" s="68" t="s">
        <v>468</v>
      </c>
    </row>
    <row r="113" spans="1:5">
      <c r="A113" s="68">
        <v>0.24432899999999999</v>
      </c>
      <c r="B113" s="68">
        <v>0.21088399999999999</v>
      </c>
      <c r="C113" s="68">
        <v>45.143700000000003</v>
      </c>
      <c r="D113" s="68">
        <v>2</v>
      </c>
      <c r="E113" s="68" t="s">
        <v>469</v>
      </c>
    </row>
    <row r="114" spans="1:5">
      <c r="A114" s="68">
        <v>0.243953</v>
      </c>
      <c r="B114" s="68">
        <v>0.20811399999999999</v>
      </c>
      <c r="C114" s="68">
        <v>45.545400000000001</v>
      </c>
      <c r="D114" s="68">
        <v>2</v>
      </c>
      <c r="E114" s="68" t="s">
        <v>470</v>
      </c>
    </row>
    <row r="115" spans="1:5">
      <c r="A115" s="68">
        <v>0.243697</v>
      </c>
      <c r="B115" s="68">
        <v>0.20516400000000001</v>
      </c>
      <c r="C115" s="68">
        <v>45.950899999999997</v>
      </c>
      <c r="D115" s="68">
        <v>2</v>
      </c>
      <c r="E115" s="68" t="s">
        <v>471</v>
      </c>
    </row>
    <row r="116" spans="1:5">
      <c r="A116" s="68">
        <v>0.24354600000000001</v>
      </c>
      <c r="B116" s="68">
        <v>0.20241700000000001</v>
      </c>
      <c r="C116" s="68">
        <v>46.36</v>
      </c>
      <c r="D116" s="68">
        <v>2</v>
      </c>
      <c r="E116" s="68" t="s">
        <v>472</v>
      </c>
    </row>
    <row r="117" spans="1:5">
      <c r="A117" s="68">
        <v>0.243228</v>
      </c>
      <c r="B117" s="68">
        <v>0.199851</v>
      </c>
      <c r="C117" s="68">
        <v>46.762900000000002</v>
      </c>
      <c r="D117" s="68">
        <v>2</v>
      </c>
      <c r="E117" s="68" t="s">
        <v>473</v>
      </c>
    </row>
    <row r="118" spans="1:5">
      <c r="A118" s="68">
        <v>0.24281900000000001</v>
      </c>
      <c r="B118" s="68">
        <v>0.198712</v>
      </c>
      <c r="C118" s="68">
        <v>47.167900000000003</v>
      </c>
      <c r="D118" s="68">
        <v>2</v>
      </c>
      <c r="E118" s="68" t="s">
        <v>474</v>
      </c>
    </row>
    <row r="119" spans="1:5">
      <c r="A119" s="68">
        <v>0.24237600000000001</v>
      </c>
      <c r="B119" s="68">
        <v>0.19933799999999999</v>
      </c>
      <c r="C119" s="68">
        <v>47.575800000000001</v>
      </c>
      <c r="D119" s="68">
        <v>2</v>
      </c>
      <c r="E119" s="68" t="s">
        <v>475</v>
      </c>
    </row>
    <row r="120" spans="1:5">
      <c r="A120" s="68">
        <v>0.241844</v>
      </c>
      <c r="B120" s="68">
        <v>0.20063600000000001</v>
      </c>
      <c r="C120" s="68">
        <v>47.981200000000001</v>
      </c>
      <c r="D120" s="68">
        <v>2</v>
      </c>
      <c r="E120" s="68" t="s">
        <v>476</v>
      </c>
    </row>
    <row r="121" spans="1:5">
      <c r="A121" s="68">
        <v>0.241314</v>
      </c>
      <c r="B121" s="68">
        <v>0.20188600000000001</v>
      </c>
      <c r="C121" s="68">
        <v>48.387599999999999</v>
      </c>
      <c r="D121" s="68">
        <v>2</v>
      </c>
      <c r="E121" s="68" t="s">
        <v>477</v>
      </c>
    </row>
    <row r="122" spans="1:5">
      <c r="A122" s="68">
        <v>0.24073900000000001</v>
      </c>
      <c r="B122" s="68">
        <v>0.20402000000000001</v>
      </c>
      <c r="C122" s="68">
        <v>48.795200000000001</v>
      </c>
      <c r="D122" s="68">
        <v>2</v>
      </c>
      <c r="E122" s="68" t="s">
        <v>478</v>
      </c>
    </row>
    <row r="123" spans="1:5">
      <c r="A123" s="68">
        <v>0.240317</v>
      </c>
      <c r="B123" s="68">
        <v>0.20732999999999999</v>
      </c>
      <c r="C123" s="68">
        <v>49.200699999999998</v>
      </c>
      <c r="D123" s="68">
        <v>2</v>
      </c>
      <c r="E123" s="68" t="s">
        <v>479</v>
      </c>
    </row>
    <row r="124" spans="1:5">
      <c r="A124" s="68">
        <v>0.240229</v>
      </c>
      <c r="B124" s="68">
        <v>0.21085200000000001</v>
      </c>
      <c r="C124" s="68">
        <v>49.608800000000002</v>
      </c>
      <c r="D124" s="68">
        <v>2</v>
      </c>
      <c r="E124" s="68" t="s">
        <v>480</v>
      </c>
    </row>
    <row r="125" spans="1:5">
      <c r="A125" s="68">
        <v>0.24035400000000001</v>
      </c>
      <c r="B125" s="68">
        <v>0.21442700000000001</v>
      </c>
      <c r="C125" s="68">
        <v>50.011400000000002</v>
      </c>
      <c r="D125" s="68">
        <v>2</v>
      </c>
      <c r="E125" s="68" t="s">
        <v>481</v>
      </c>
    </row>
    <row r="126" spans="1:5">
      <c r="A126" s="68">
        <v>0.24018300000000001</v>
      </c>
      <c r="B126" s="68">
        <v>0.214363</v>
      </c>
      <c r="C126" s="68">
        <v>50.418700000000001</v>
      </c>
      <c r="D126" s="68">
        <v>2</v>
      </c>
      <c r="E126" s="68" t="s">
        <v>482</v>
      </c>
    </row>
    <row r="127" spans="1:5">
      <c r="A127" s="68">
        <v>0.24004700000000001</v>
      </c>
      <c r="B127" s="68">
        <v>0.21442700000000001</v>
      </c>
      <c r="C127" s="68">
        <v>50.826900000000002</v>
      </c>
      <c r="D127" s="68">
        <v>2</v>
      </c>
      <c r="E127" s="68" t="s">
        <v>483</v>
      </c>
    </row>
    <row r="128" spans="1:5">
      <c r="A128" s="68">
        <v>0.24006</v>
      </c>
      <c r="B128" s="68">
        <v>0.21553</v>
      </c>
      <c r="C128" s="68">
        <v>51.232599999999998</v>
      </c>
      <c r="D128" s="68">
        <v>2</v>
      </c>
      <c r="E128" s="68" t="s">
        <v>484</v>
      </c>
    </row>
    <row r="129" spans="1:5">
      <c r="A129" s="68">
        <v>0.240318</v>
      </c>
      <c r="B129" s="68">
        <v>0.21726999999999999</v>
      </c>
      <c r="C129" s="68">
        <v>51.639899999999997</v>
      </c>
      <c r="D129" s="68">
        <v>2</v>
      </c>
      <c r="E129" s="68" t="s">
        <v>485</v>
      </c>
    </row>
    <row r="130" spans="1:5">
      <c r="A130" s="68">
        <v>0.24049200000000001</v>
      </c>
      <c r="B130" s="68">
        <v>0.219999</v>
      </c>
      <c r="C130" s="68">
        <v>52.043500000000002</v>
      </c>
      <c r="D130" s="68">
        <v>2</v>
      </c>
      <c r="E130" s="68" t="s">
        <v>486</v>
      </c>
    </row>
    <row r="131" spans="1:5">
      <c r="A131" s="68">
        <v>0.240616</v>
      </c>
      <c r="B131" s="68">
        <v>0.22329099999999999</v>
      </c>
      <c r="C131" s="68">
        <v>52.450200000000002</v>
      </c>
      <c r="D131" s="68">
        <v>2</v>
      </c>
      <c r="E131" s="68" t="s">
        <v>487</v>
      </c>
    </row>
    <row r="132" spans="1:5">
      <c r="A132" s="68">
        <v>0.241064</v>
      </c>
      <c r="B132" s="68">
        <v>0.226578</v>
      </c>
      <c r="C132" s="68">
        <v>52.8566</v>
      </c>
      <c r="D132" s="68">
        <v>2</v>
      </c>
      <c r="E132" s="68" t="s">
        <v>488</v>
      </c>
    </row>
    <row r="133" spans="1:5">
      <c r="A133" s="68">
        <v>0.241532</v>
      </c>
      <c r="B133" s="68">
        <v>0.23061899999999999</v>
      </c>
      <c r="C133" s="68">
        <v>53.263500000000001</v>
      </c>
      <c r="D133" s="68">
        <v>2</v>
      </c>
      <c r="E133" s="68" t="s">
        <v>489</v>
      </c>
    </row>
    <row r="134" spans="1:5">
      <c r="A134" s="68">
        <v>0.24177999999999999</v>
      </c>
      <c r="B134" s="68">
        <v>0.235988</v>
      </c>
      <c r="C134" s="68">
        <v>53.670999999999999</v>
      </c>
      <c r="D134" s="68">
        <v>2</v>
      </c>
      <c r="E134" s="68" t="s">
        <v>490</v>
      </c>
    </row>
    <row r="135" spans="1:5">
      <c r="A135" s="68">
        <v>0.242091</v>
      </c>
      <c r="B135" s="68">
        <v>0.240178</v>
      </c>
      <c r="C135" s="68">
        <v>54.0777</v>
      </c>
      <c r="D135" s="68">
        <v>2</v>
      </c>
      <c r="E135" s="68" t="s">
        <v>491</v>
      </c>
    </row>
    <row r="136" spans="1:5">
      <c r="A136" s="68">
        <v>0.24193400000000001</v>
      </c>
      <c r="B136" s="68">
        <v>0.24504999999999999</v>
      </c>
      <c r="C136" s="68">
        <v>54.484299999999998</v>
      </c>
      <c r="D136" s="68">
        <v>2</v>
      </c>
      <c r="E136" s="68" t="s">
        <v>492</v>
      </c>
    </row>
    <row r="137" spans="1:5">
      <c r="A137" s="68">
        <v>0.24143000000000001</v>
      </c>
      <c r="B137" s="68">
        <v>0.25029600000000002</v>
      </c>
      <c r="C137" s="68">
        <v>54.886000000000003</v>
      </c>
      <c r="D137" s="68">
        <v>2</v>
      </c>
      <c r="E137" s="68" t="s">
        <v>493</v>
      </c>
    </row>
    <row r="138" spans="1:5">
      <c r="A138" s="68">
        <v>0.240921</v>
      </c>
      <c r="B138" s="68">
        <v>0.25637100000000002</v>
      </c>
      <c r="C138" s="68">
        <v>55.293399999999998</v>
      </c>
      <c r="D138" s="68">
        <v>2</v>
      </c>
      <c r="E138" s="68" t="s">
        <v>494</v>
      </c>
    </row>
    <row r="139" spans="1:5">
      <c r="A139" s="68">
        <v>0.24074699999999999</v>
      </c>
      <c r="B139" s="68">
        <v>0.26101999999999997</v>
      </c>
      <c r="C139" s="68">
        <v>55.698999999999998</v>
      </c>
      <c r="D139" s="68">
        <v>2</v>
      </c>
      <c r="E139" s="68" t="s">
        <v>495</v>
      </c>
    </row>
    <row r="140" spans="1:5">
      <c r="A140" s="68">
        <v>0.240923</v>
      </c>
      <c r="B140" s="68">
        <v>0.26448700000000003</v>
      </c>
      <c r="C140" s="68">
        <v>56.106999999999999</v>
      </c>
      <c r="D140" s="68">
        <v>2</v>
      </c>
      <c r="E140" s="68" t="s">
        <v>496</v>
      </c>
    </row>
    <row r="141" spans="1:5">
      <c r="A141" s="68">
        <v>0.24126700000000001</v>
      </c>
      <c r="B141" s="68">
        <v>0.26702199999999998</v>
      </c>
      <c r="C141" s="68">
        <v>56.515700000000002</v>
      </c>
      <c r="D141" s="68">
        <v>2</v>
      </c>
      <c r="E141" s="68" t="s">
        <v>497</v>
      </c>
    </row>
    <row r="142" spans="1:5">
      <c r="A142" s="68">
        <v>0.24193899999999999</v>
      </c>
      <c r="B142" s="68">
        <v>0.27062999999999998</v>
      </c>
      <c r="C142" s="68">
        <v>56.922899999999998</v>
      </c>
      <c r="D142" s="68">
        <v>2</v>
      </c>
      <c r="E142" s="68" t="s">
        <v>498</v>
      </c>
    </row>
    <row r="143" spans="1:5">
      <c r="A143" s="68">
        <v>0.242506</v>
      </c>
      <c r="B143" s="68">
        <v>0.27338800000000002</v>
      </c>
      <c r="C143" s="68">
        <v>57.324599999999997</v>
      </c>
      <c r="D143" s="68">
        <v>2</v>
      </c>
      <c r="E143" s="68" t="s">
        <v>499</v>
      </c>
    </row>
    <row r="144" spans="1:5">
      <c r="A144" s="68">
        <v>0.24282100000000001</v>
      </c>
      <c r="B144" s="68">
        <v>0.27407300000000001</v>
      </c>
      <c r="C144" s="68">
        <v>57.733400000000003</v>
      </c>
      <c r="D144" s="68">
        <v>2</v>
      </c>
      <c r="E144" s="68" t="s">
        <v>500</v>
      </c>
    </row>
    <row r="145" spans="1:5">
      <c r="A145" s="68">
        <v>0.243085</v>
      </c>
      <c r="B145" s="68">
        <v>0.275781</v>
      </c>
      <c r="C145" s="68">
        <v>58.139699999999998</v>
      </c>
      <c r="D145" s="68">
        <v>2</v>
      </c>
      <c r="E145" s="68" t="s">
        <v>501</v>
      </c>
    </row>
    <row r="146" spans="1:5">
      <c r="A146" s="68">
        <v>0.24374299999999999</v>
      </c>
      <c r="B146" s="68">
        <v>0.27886300000000003</v>
      </c>
      <c r="C146" s="68">
        <v>58.545999999999999</v>
      </c>
      <c r="D146" s="68">
        <v>2</v>
      </c>
      <c r="E146" s="68" t="s">
        <v>502</v>
      </c>
    </row>
    <row r="147" spans="1:5">
      <c r="A147" s="68">
        <v>0.245559</v>
      </c>
      <c r="B147" s="68">
        <v>0.28095300000000001</v>
      </c>
      <c r="C147" s="68">
        <v>58.952399999999997</v>
      </c>
      <c r="D147" s="68">
        <v>2</v>
      </c>
      <c r="E147" s="68" t="s">
        <v>503</v>
      </c>
    </row>
    <row r="148" spans="1:5">
      <c r="A148" s="68">
        <v>0.247336</v>
      </c>
      <c r="B148" s="68">
        <v>0.283136</v>
      </c>
      <c r="C148" s="68">
        <v>59.355499999999999</v>
      </c>
      <c r="D148" s="68">
        <v>2</v>
      </c>
      <c r="E148" s="68" t="s">
        <v>504</v>
      </c>
    </row>
    <row r="149" spans="1:5">
      <c r="A149" s="68">
        <v>0.248639</v>
      </c>
      <c r="B149" s="68">
        <v>0.28507900000000003</v>
      </c>
      <c r="C149" s="68">
        <v>59.764699999999998</v>
      </c>
      <c r="D149" s="68">
        <v>2</v>
      </c>
      <c r="E149" s="68" t="s">
        <v>505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355</v>
      </c>
      <c r="B1" s="66" t="s">
        <v>506</v>
      </c>
      <c r="C1" s="66" t="s">
        <v>508</v>
      </c>
      <c r="D1" s="66" t="s">
        <v>509</v>
      </c>
      <c r="E1" s="66" t="s">
        <v>510</v>
      </c>
      <c r="F1" s="66" t="s">
        <v>511</v>
      </c>
      <c r="G1" s="66" t="s">
        <v>512</v>
      </c>
      <c r="H1" s="66" t="s">
        <v>513</v>
      </c>
      <c r="I1" s="66" t="s">
        <v>514</v>
      </c>
      <c r="J1" s="66" t="s">
        <v>515</v>
      </c>
      <c r="K1" s="66" t="s">
        <v>516</v>
      </c>
      <c r="L1" s="66" t="s">
        <v>517</v>
      </c>
      <c r="M1" s="66" t="s">
        <v>518</v>
      </c>
      <c r="N1" s="66"/>
    </row>
    <row r="2" spans="1:14">
      <c r="A2" s="75">
        <v>43628.404340277775</v>
      </c>
      <c r="B2" s="66" t="s">
        <v>507</v>
      </c>
      <c r="C2" s="66"/>
      <c r="D2" s="66"/>
      <c r="E2" s="66">
        <v>4.9234099999999996</v>
      </c>
      <c r="F2" s="66">
        <v>1.26044</v>
      </c>
      <c r="G2" s="66">
        <v>0.74993299999999996</v>
      </c>
      <c r="H2" s="66">
        <v>0</v>
      </c>
      <c r="I2" s="66">
        <v>108835</v>
      </c>
      <c r="J2" s="66">
        <v>49</v>
      </c>
      <c r="K2" s="66">
        <v>49</v>
      </c>
      <c r="L2" s="66">
        <v>0</v>
      </c>
      <c r="M2" s="66" t="s">
        <v>519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2019-06-12T01:42:56Z</cp:lastPrinted>
  <dcterms:created xsi:type="dcterms:W3CDTF">2010-10-29T12:53:05Z</dcterms:created>
  <dcterms:modified xsi:type="dcterms:W3CDTF">2019-06-12T01:43:44Z</dcterms:modified>
</cp:coreProperties>
</file>