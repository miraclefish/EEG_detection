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<sst xmlns="http://schemas.openxmlformats.org/spreadsheetml/2006/main" count="701" uniqueCount="572">
  <si>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</si>
  <si>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</si>
  <si>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</si>
  <si>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</si>
  <si>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</si>
  <si>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</si>
  <si>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</si>
  <si>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</si>
  <si>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</si>
  <si>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</si>
  <si>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</si>
  <si>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</si>
  <si>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</si>
  <si>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</si>
  <si>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</si>
  <si>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</si>
  <si>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</si>
  <si>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</si>
  <si>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</si>
  <si>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</si>
  <si>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</si>
  <si>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</si>
  <si>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</si>
  <si>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</si>
  <si>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</si>
  <si>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</si>
  <si>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</si>
  <si>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</si>
  <si>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</si>
  <si>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</si>
  <si>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</si>
  <si>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</si>
  <si>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</si>
  <si>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</si>
  <si>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</si>
  <si>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</si>
  <si>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</si>
  <si>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</si>
  <si>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</si>
  <si>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</si>
  <si>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</si>
  <si>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</si>
  <si>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</si>
  <si>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</si>
  <si>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</si>
  <si>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</si>
  <si>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</si>
  <si>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</si>
  <si>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</si>
  <si>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</si>
  <si>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</si>
  <si>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</si>
  <si>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</si>
  <si>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</si>
  <si>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</si>
  <si>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</si>
  <si>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</si>
  <si>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</si>
  <si>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</si>
  <si>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</si>
  <si>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</si>
  <si>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</si>
  <si>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</si>
  <si>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</si>
  <si>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</si>
  <si>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</si>
  <si>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</si>
  <si>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</si>
  <si>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</si>
  <si>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</si>
  <si>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</si>
  <si>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</si>
  <si>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</si>
  <si>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</si>
  <si>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</si>
  <si>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</si>
  <si>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</si>
  <si>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</si>
  <si>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</si>
  <si>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</si>
  <si>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</si>
  <si>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</si>
  <si>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</si>
  <si>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</si>
  <si>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</si>
  <si>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</si>
  <si>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</si>
  <si>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</si>
  <si>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</si>
  <si>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</si>
  <si>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</si>
  <si>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</si>
  <si>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</si>
  <si>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</si>
  <si>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</si>
  <si>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</si>
  <si>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</si>
  <si>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</si>
  <si>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</si>
  <si>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</si>
  <si>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</si>
  <si>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</si>
  <si>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</si>
  <si>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</si>
  <si>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</si>
  <si>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</si>
  <si>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</si>
  <si>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</si>
  <si>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</si>
  <si>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</si>
  <si>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</si>
  <si>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</si>
  <si>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</si>
  <si>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</si>
  <si>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</si>
  <si>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</si>
  <si>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</si>
  <si>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</si>
  <si>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</si>
  <si>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</si>
  <si>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</si>
  <si>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</si>
  <si>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</si>
  <si>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</si>
  <si>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</si>
  <si>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</si>
  <si>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</si>
  <si>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</si>
  <si>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</si>
  <si>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</si>
  <si>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</si>
  <si>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</si>
  <si>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</si>
  <si>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</si>
  <si>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</si>
  <si>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</si>
  <si>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</si>
  <si>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</si>
  <si>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</si>
  <si>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</si>
  <si>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</si>
  <si>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</si>
  <si>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</si>
  <si>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</si>
  <si>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</si>
  <si>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</si>
  <si>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</si>
  <si>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</si>
  <si>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</si>
  <si>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</si>
  <si>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</si>
  <si>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</si>
  <si>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</si>
  <si>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</si>
  <si>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</si>
  <si>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</si>
  <si>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</si>
  <si>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</si>
  <si>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</si>
  <si>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</si>
  <si>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</si>
  <si>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</si>
  <si>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</si>
  <si>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</si>
  <si>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</si>
  <si>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</si>
  <si>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</si>
  <si>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</si>
  <si>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</si>
  <si>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</si>
  <si>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</si>
  <si>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</si>
  <si>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</si>
  <si>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</si>
  <si>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</si>
  <si>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</si>
  <si>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</si>
  <si>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</si>
  <si>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</si>
  <si>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</si>
  <si>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</si>
  <si>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</si>
  <si>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</si>
  <si>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</si>
  <si>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</si>
  <si>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</si>
  <si>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</si>
  <si>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</si>
  <si>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</si>
  <si>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</si>
  <si>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</si>
  <si>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</si>
  <si>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</si>
  <si>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</si>
  <si>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</si>
  <si>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</si>
  <si>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</si>
  <si>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</si>
  <si>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</si>
  <si>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</si>
  <si>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</si>
  <si>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</si>
  <si>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</si>
  <si>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</si>
  <si>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</si>
  <si>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</si>
  <si>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</si>
  <si>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</si>
  <si>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</si>
  <si>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</si>
  <si>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</si>
  <si>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</si>
  <si>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</si>
  <si>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</si>
  <si>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</si>
  <si>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</si>
  <si>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</si>
  <si>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</si>
  <si>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</si>
  <si>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</si>
  <si>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</si>
  <si>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</si>
  <si>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</si>
  <si>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</si>
  <si>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</si>
  <si>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</si>
  <si>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</si>
  <si>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</si>
  <si>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</si>
  <si>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</si>
  <si>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</si>
  <si>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</si>
  <si>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</si>
  <si>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</si>
  <si>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</si>
  <si>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</si>
  <si>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</si>
  <si>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</si>
  <si>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</si>
  <si>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</si>
  <si>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</si>
  <si>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</si>
  <si>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</si>
  <si>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</si>
  <si>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</si>
  <si>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</si>
  <si>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</si>
  <si>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</si>
  <si>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</si>
  <si>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</si>
  <si>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</si>
  <si>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</si>
  <si>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</si>
  <si>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</si>
  <si>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</si>
  <si>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</si>
  <si>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</si>
  <si>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</si>
  <si>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</si>
  <si>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</si>
  <si>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</si>
  <si>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</si>
  <si>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</si>
  <si>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</si>
  <si>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</si>
  <si>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</si>
  <si>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</si>
  <si>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</si>
  <si>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</si>
  <si>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</si>
  <si>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</si>
  <si>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</si>
  <si>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</si>
  <si>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</si>
  <si>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</si>
  <si>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</si>
  <si>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</si>
  <si>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</si>
  <si>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</si>
  <si>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</si>
  <si>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</si>
  <si>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</si>
  <si>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</si>
  <si>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</si>
  <si>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</si>
  <si>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</si>
  <si>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</si>
  <si>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</si>
  <si>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</si>
  <si>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</si>
  <si>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</si>
  <si>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</si>
  <si>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</si>
  <si>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</si>
  <si>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</si>
  <si>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</si>
  <si>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</si>
  <si>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</si>
  <si>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</si>
  <si>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</si>
  <si>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</si>
  <si>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</si>
  <si>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</si>
  <si>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</si>
  <si>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</si>
  <si>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</si>
  <si>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</si>
  <si>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</si>
  <si>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</si>
  <si>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</si>
  <si>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</si>
  <si>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</si>
  <si>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</si>
  <si>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</si>
  <si>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</si>
  <si>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</si>
  <si>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</si>
  <si>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</si>
  <si>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</si>
  <si>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</si>
  <si>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</si>
  <si>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</si>
  <si>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</si>
  <si>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</si>
  <si>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</si>
  <si>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</si>
  <si>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</si>
  <si>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</si>
  <si>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</si>
  <si>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</si>
  <si>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</si>
  <si>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</si>
  <si>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</si>
  <si>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</si>
  <si>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</si>
  <si>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</si>
  <si>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</si>
  <si>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</si>
  <si>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</si>
  <si>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</si>
  <si>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</si>
  <si>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</si>
  <si>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</si>
  <si>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</si>
  <si>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</si>
  <si>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</si>
  <si>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</si>
  <si>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</si>
  <si>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</si>
  <si>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</si>
  <si>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</si>
  <si>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</si>
  <si>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</si>
  <si>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</si>
  <si>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</si>
  <si>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</si>
  <si>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</si>
  <si>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</si>
  <si>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</si>
  <si>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</si>
  <si>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</si>
  <si>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</si>
  <si>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</si>
  <si>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</si>
  <si>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</si>
  <si>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</si>
  <si>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</si>
  <si>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</si>
  <si>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</si>
  <si>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</si>
  <si>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</si>
  <si>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</si>
  <si>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</si>
  <si>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</si>
  <si>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</si>
  <si>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</si>
  <si>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</si>
  <si>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</si>
  <si>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</si>
  <si>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</si>
  <si>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</si>
  <si>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</si>
  <si>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</si>
  <si>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</si>
  <si>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</si>
  <si>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</si>
  <si>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</si>
  <si>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</si>
  <si>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</si>
  <si>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</si>
  <si>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</si>
  <si>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</si>
  <si>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</si>
  <si>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</si>
  <si>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</si>
  <si>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</si>
  <si>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</si>
  <si>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</si>
  <si>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</si>
  <si>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</si>
  <si>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</si>
  <si>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dF1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</si>
  <si>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</si>
  <si>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</si>
  <si>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</si>
  <si>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</si>
  <si>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</si>
  <si>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</si>
  <si>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</si>
  <si>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</si>
  <si>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[0.407852]</t>
  </si>
  <si>
    <t>1 [0.810809]</t>
  </si>
  <si>
    <t>1 [1.218699]</t>
  </si>
  <si>
    <t>1 [1.624790]</t>
  </si>
  <si>
    <t>1 [2.030497]</t>
  </si>
  <si>
    <t>1 [2.440432]</t>
  </si>
  <si>
    <t>1 [2.842734]</t>
  </si>
  <si>
    <t>1 [3.250216]</t>
  </si>
  <si>
    <t>1 [3.655154]</t>
  </si>
  <si>
    <t>1 [4.058073]</t>
  </si>
  <si>
    <t>1 [4.469234]</t>
  </si>
  <si>
    <t>1 [4.878017]</t>
  </si>
  <si>
    <t>1 [5.277740]</t>
  </si>
  <si>
    <t>1 [5.689762]</t>
  </si>
  <si>
    <t>1 [6.091740]</t>
  </si>
  <si>
    <t>1 [6.499865]</t>
  </si>
  <si>
    <t>1 [6.908686]</t>
  </si>
  <si>
    <t>1 [7.310426]</t>
  </si>
  <si>
    <t>1 [7.720287]</t>
  </si>
  <si>
    <t>1 [8.125470]</t>
  </si>
  <si>
    <t>1 [8.531334]</t>
  </si>
  <si>
    <t>1 [8.940077]</t>
  </si>
  <si>
    <t>1 [9.344032]</t>
  </si>
  <si>
    <t>1 [9.750893]</t>
  </si>
  <si>
    <t>1 [10.161762]</t>
  </si>
  <si>
    <t>1 [10.560796]</t>
  </si>
  <si>
    <t>1 [10.968579]</t>
  </si>
  <si>
    <t>1 [11.372558]</t>
  </si>
  <si>
    <t>1 [11.780709]</t>
  </si>
  <si>
    <t>1 [12.188407]</t>
  </si>
  <si>
    <t>1 [12.591288]</t>
  </si>
  <si>
    <t>1 [13.000201]</t>
  </si>
  <si>
    <t>1 [13.407093]</t>
  </si>
  <si>
    <t>1 [13.812130]</t>
  </si>
  <si>
    <t>1 [14.219961]</t>
  </si>
  <si>
    <t>1 [14.626880]</t>
  </si>
  <si>
    <t>1 [15.031810]</t>
  </si>
  <si>
    <t>1 [15.436645]</t>
  </si>
  <si>
    <t>1 [15.843971]</t>
  </si>
  <si>
    <t>1 [16.251457]</t>
  </si>
  <si>
    <t>1 [16.659673]</t>
  </si>
  <si>
    <t>1 [17.065308]</t>
  </si>
  <si>
    <t>1 [17.469302]</t>
  </si>
  <si>
    <t>1 [17.874220]</t>
  </si>
  <si>
    <t>1 [18.278508]</t>
  </si>
  <si>
    <t>1 [18.684009]</t>
  </si>
  <si>
    <t>1 [19.092680]</t>
  </si>
  <si>
    <t>1 [19.501779]</t>
  </si>
  <si>
    <t>1 [19.909076]</t>
  </si>
  <si>
    <t>1 [20.313588]</t>
  </si>
  <si>
    <t>1 [20.717598]</t>
  </si>
  <si>
    <t>1 [21.122450]</t>
  </si>
  <si>
    <t>1 [21.531325]</t>
  </si>
  <si>
    <t>1 [21.937353]</t>
  </si>
  <si>
    <t>1 [22.346245]</t>
  </si>
  <si>
    <t>1 [22.750095]</t>
  </si>
  <si>
    <t>1 [23.155108]</t>
  </si>
  <si>
    <t>1 [23.565084]</t>
  </si>
  <si>
    <t>1 [23.971951]</t>
  </si>
  <si>
    <t>1 [24.377792]</t>
  </si>
  <si>
    <t>1 [24.780741]</t>
  </si>
  <si>
    <t>1 [25.186577]</t>
  </si>
  <si>
    <t>1 [25.595467]</t>
  </si>
  <si>
    <t>1 [25.998484]</t>
  </si>
  <si>
    <t>1 [26.407536]</t>
  </si>
  <si>
    <t>1 [26.812228]</t>
  </si>
  <si>
    <t>1 [27.221121]</t>
  </si>
  <si>
    <t>1 [27.626505]</t>
  </si>
  <si>
    <t>1 [28.030214]</t>
  </si>
  <si>
    <t>1 [28.439183]</t>
  </si>
  <si>
    <t>1 [28.849922]</t>
  </si>
  <si>
    <t>1 [29.249564]</t>
  </si>
  <si>
    <t>1 [29.660701]</t>
  </si>
  <si>
    <t>2 [30.061645]</t>
  </si>
  <si>
    <t>2 [30.518344]</t>
  </si>
  <si>
    <t>2 [30.926496]</t>
  </si>
  <si>
    <t>2 [31.331277]</t>
  </si>
  <si>
    <t>2 [31.736131]</t>
  </si>
  <si>
    <t>2 [32.141081]</t>
  </si>
  <si>
    <t>2 [32.549033]</t>
  </si>
  <si>
    <t>2 [32.956811]</t>
  </si>
  <si>
    <t>2 [33.362806]</t>
  </si>
  <si>
    <t>2 [33.765746]</t>
  </si>
  <si>
    <t>2 [34.177631]</t>
  </si>
  <si>
    <t>2 [34.584599]</t>
  </si>
  <si>
    <t>2 [34.986415]</t>
  </si>
  <si>
    <t>2 [35.390521]</t>
  </si>
  <si>
    <t>2 [35.795623]</t>
  </si>
  <si>
    <t>2 [36.201665]</t>
  </si>
  <si>
    <t>2 [36.609503]</t>
  </si>
  <si>
    <t>2 [37.014748]</t>
  </si>
  <si>
    <t>2 [37.425073]</t>
  </si>
  <si>
    <t>2 [37.829999]</t>
  </si>
  <si>
    <t>2 [38.236978]</t>
  </si>
  <si>
    <t>2 [38.644915]</t>
  </si>
  <si>
    <t>2 [39.048965]</t>
  </si>
  <si>
    <t>2 [39.455434]</t>
  </si>
  <si>
    <t>2 [39.859841]</t>
  </si>
  <si>
    <t>2 [40.264495]</t>
  </si>
  <si>
    <t>2 [40.673428]</t>
  </si>
  <si>
    <t>2 [41.079156]</t>
  </si>
  <si>
    <t>2 [41.481114]</t>
  </si>
  <si>
    <t>2 [41.891121]</t>
  </si>
  <si>
    <t>2 [42.298845]</t>
  </si>
  <si>
    <t>2 [42.704718]</t>
  </si>
  <si>
    <t>2 [43.111679]</t>
  </si>
  <si>
    <t>2 [43.516612]</t>
  </si>
  <si>
    <t>2 [43.919465]</t>
  </si>
  <si>
    <t>2 [44.330384]</t>
  </si>
  <si>
    <t>2 [44.739515]</t>
  </si>
  <si>
    <t>2 [45.137552]</t>
  </si>
  <si>
    <t>2 [45.551207]</t>
  </si>
  <si>
    <t>2 [45.955413]</t>
  </si>
  <si>
    <t>2 [46.364019]</t>
  </si>
  <si>
    <t>2 [46.765996]</t>
  </si>
  <si>
    <t>2 [47.169992]</t>
  </si>
  <si>
    <t>2 [47.582807]</t>
  </si>
  <si>
    <t>2 [47.985996]</t>
  </si>
  <si>
    <t>2 [48.391492]</t>
  </si>
  <si>
    <t>2 [48.796978]</t>
  </si>
  <si>
    <t>2 [49.200359]</t>
  </si>
  <si>
    <t>2 [49.611276]</t>
  </si>
  <si>
    <t>2 [50.018286]</t>
  </si>
  <si>
    <t>2 [50.423205]</t>
  </si>
  <si>
    <t>2 [50.828009]</t>
  </si>
  <si>
    <t>2 [51.233904]</t>
  </si>
  <si>
    <t>2 [51.643198]</t>
  </si>
  <si>
    <t>2 [52.044859]</t>
  </si>
  <si>
    <t>2 [52.454753]</t>
  </si>
  <si>
    <t>2 [52.862589]</t>
  </si>
  <si>
    <t>2 [53.268556]</t>
  </si>
  <si>
    <t>2 [53.673456]</t>
  </si>
  <si>
    <t>2 [54.078340]</t>
  </si>
  <si>
    <t>2 [54.482305]</t>
  </si>
  <si>
    <t>2 [54.889222]</t>
  </si>
  <si>
    <t>2 [55.299325]</t>
  </si>
  <si>
    <t>2 [55.705067]</t>
  </si>
  <si>
    <t>2 [56.110934]</t>
  </si>
  <si>
    <t>2 [56.516082]</t>
  </si>
  <si>
    <t>2 [56.921864]</t>
  </si>
  <si>
    <t>2 [57.328661]</t>
  </si>
  <si>
    <t>2 [57.733639]</t>
  </si>
  <si>
    <t>2 [58.140478]</t>
  </si>
  <si>
    <t>2 [58.545371]</t>
  </si>
  <si>
    <t>2 [58.952364]</t>
  </si>
  <si>
    <t>2 [59.361201]</t>
  </si>
  <si>
    <t>2 [59.762213]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</si>
  <si>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</si>
  <si>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</si>
  <si>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</si>
  <si>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</si>
  <si>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</si>
  <si>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</si>
  <si>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</si>
  <si>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</si>
  <si>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</si>
  <si>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</si>
  <si>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</si>
  <si>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</si>
  <si>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</si>
  <si>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</si>
  <si>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张枭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</si>
</sst>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39.642400000000002</c:v>
                </c:pt>
                <c:pt idx="1">
                  <c:v>23.5975</c:v>
                </c:pt>
                <c:pt idx="2">
                  <c:v>33.208500000000001</c:v>
                </c:pt>
                <c:pt idx="3">
                  <c:v>33.573999999999998</c:v>
                </c:pt>
                <c:pt idx="4">
                  <c:v>64.943600000000004</c:v>
                </c:pt>
                <c:pt idx="5">
                  <c:v>84.566299999999998</c:v>
                </c:pt>
                <c:pt idx="6">
                  <c:v>21.676500000000001</c:v>
                </c:pt>
                <c:pt idx="7">
                  <c:v>74.196200000000005</c:v>
                </c:pt>
                <c:pt idx="8">
                  <c:v>11.6615</c:v>
                </c:pt>
                <c:pt idx="9">
                  <c:v>10.4466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0.58477169408981244</c:v>
                </c:pt>
                <c:pt idx="1">
                  <c:v>0.30985660400380149</c:v>
                </c:pt>
                <c:pt idx="2">
                  <c:v>0.10537170190638603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2019</c:v>
                </c:pt>
                <c:pt idx="7">
                  <c:v>0</c:v>
                </c:pt>
                <c:pt idx="8">
                  <c:v>12398</c:v>
                </c:pt>
                <c:pt idx="9">
                  <c:v>0</c:v>
                </c:pt>
                <c:pt idx="10">
                  <c:v>0</c:v>
                </c:pt>
                <c:pt idx="11">
                  <c:v>17942</c:v>
                </c:pt>
                <c:pt idx="12">
                  <c:v>0</c:v>
                </c:pt>
                <c:pt idx="13">
                  <c:v>20045</c:v>
                </c:pt>
                <c:pt idx="14">
                  <c:v>0</c:v>
                </c:pt>
                <c:pt idx="15">
                  <c:v>0</c:v>
                </c:pt>
                <c:pt idx="16">
                  <c:v>23153</c:v>
                </c:pt>
                <c:pt idx="17">
                  <c:v>0</c:v>
                </c:pt>
                <c:pt idx="18">
                  <c:v>0</c:v>
                </c:pt>
                <c:pt idx="19">
                  <c:v>19228</c:v>
                </c:pt>
                <c:pt idx="20">
                  <c:v>0</c:v>
                </c:pt>
                <c:pt idx="21">
                  <c:v>18047</c:v>
                </c:pt>
                <c:pt idx="22">
                  <c:v>0</c:v>
                </c:pt>
                <c:pt idx="23">
                  <c:v>0</c:v>
                </c:pt>
                <c:pt idx="24">
                  <c:v>22582</c:v>
                </c:pt>
                <c:pt idx="25">
                  <c:v>0</c:v>
                </c:pt>
                <c:pt idx="26">
                  <c:v>26240</c:v>
                </c:pt>
                <c:pt idx="27">
                  <c:v>0</c:v>
                </c:pt>
                <c:pt idx="28">
                  <c:v>0</c:v>
                </c:pt>
                <c:pt idx="29">
                  <c:v>33331</c:v>
                </c:pt>
                <c:pt idx="30">
                  <c:v>0</c:v>
                </c:pt>
                <c:pt idx="31">
                  <c:v>38847</c:v>
                </c:pt>
                <c:pt idx="32">
                  <c:v>0</c:v>
                </c:pt>
                <c:pt idx="33">
                  <c:v>0</c:v>
                </c:pt>
                <c:pt idx="34">
                  <c:v>47113</c:v>
                </c:pt>
                <c:pt idx="35">
                  <c:v>0</c:v>
                </c:pt>
                <c:pt idx="36">
                  <c:v>0</c:v>
                </c:pt>
                <c:pt idx="37">
                  <c:v>61479</c:v>
                </c:pt>
                <c:pt idx="38">
                  <c:v>0</c:v>
                </c:pt>
                <c:pt idx="39">
                  <c:v>65427</c:v>
                </c:pt>
                <c:pt idx="40">
                  <c:v>0</c:v>
                </c:pt>
                <c:pt idx="41">
                  <c:v>0</c:v>
                </c:pt>
                <c:pt idx="42">
                  <c:v>73310</c:v>
                </c:pt>
                <c:pt idx="43">
                  <c:v>0</c:v>
                </c:pt>
                <c:pt idx="44">
                  <c:v>75975</c:v>
                </c:pt>
                <c:pt idx="45">
                  <c:v>0</c:v>
                </c:pt>
                <c:pt idx="46">
                  <c:v>0</c:v>
                </c:pt>
                <c:pt idx="47">
                  <c:v>81975</c:v>
                </c:pt>
                <c:pt idx="48">
                  <c:v>0</c:v>
                </c:pt>
                <c:pt idx="49">
                  <c:v>83129</c:v>
                </c:pt>
                <c:pt idx="50">
                  <c:v>0</c:v>
                </c:pt>
                <c:pt idx="51">
                  <c:v>0</c:v>
                </c:pt>
                <c:pt idx="52">
                  <c:v>92974</c:v>
                </c:pt>
                <c:pt idx="53">
                  <c:v>0</c:v>
                </c:pt>
                <c:pt idx="54">
                  <c:v>0</c:v>
                </c:pt>
                <c:pt idx="55">
                  <c:v>89308</c:v>
                </c:pt>
                <c:pt idx="56">
                  <c:v>0</c:v>
                </c:pt>
                <c:pt idx="57">
                  <c:v>95541</c:v>
                </c:pt>
                <c:pt idx="58">
                  <c:v>0</c:v>
                </c:pt>
                <c:pt idx="59">
                  <c:v>0</c:v>
                </c:pt>
                <c:pt idx="60">
                  <c:v>98783</c:v>
                </c:pt>
                <c:pt idx="61">
                  <c:v>0</c:v>
                </c:pt>
                <c:pt idx="62">
                  <c:v>116901</c:v>
                </c:pt>
                <c:pt idx="63">
                  <c:v>0</c:v>
                </c:pt>
                <c:pt idx="64">
                  <c:v>0</c:v>
                </c:pt>
                <c:pt idx="65">
                  <c:v>134159</c:v>
                </c:pt>
                <c:pt idx="66">
                  <c:v>0</c:v>
                </c:pt>
                <c:pt idx="67">
                  <c:v>137475</c:v>
                </c:pt>
                <c:pt idx="68">
                  <c:v>0</c:v>
                </c:pt>
                <c:pt idx="69">
                  <c:v>0</c:v>
                </c:pt>
                <c:pt idx="70">
                  <c:v>150040</c:v>
                </c:pt>
                <c:pt idx="71">
                  <c:v>0</c:v>
                </c:pt>
                <c:pt idx="72">
                  <c:v>0</c:v>
                </c:pt>
                <c:pt idx="73">
                  <c:v>161006</c:v>
                </c:pt>
                <c:pt idx="74">
                  <c:v>0</c:v>
                </c:pt>
                <c:pt idx="75">
                  <c:v>167714</c:v>
                </c:pt>
                <c:pt idx="76">
                  <c:v>0</c:v>
                </c:pt>
                <c:pt idx="77">
                  <c:v>0</c:v>
                </c:pt>
                <c:pt idx="78">
                  <c:v>169661</c:v>
                </c:pt>
                <c:pt idx="79">
                  <c:v>0</c:v>
                </c:pt>
                <c:pt idx="80">
                  <c:v>169124</c:v>
                </c:pt>
                <c:pt idx="81">
                  <c:v>0</c:v>
                </c:pt>
                <c:pt idx="82">
                  <c:v>0</c:v>
                </c:pt>
                <c:pt idx="83">
                  <c:v>157774</c:v>
                </c:pt>
                <c:pt idx="84">
                  <c:v>0</c:v>
                </c:pt>
                <c:pt idx="85">
                  <c:v>0</c:v>
                </c:pt>
                <c:pt idx="86">
                  <c:v>159450</c:v>
                </c:pt>
                <c:pt idx="87">
                  <c:v>0</c:v>
                </c:pt>
                <c:pt idx="88">
                  <c:v>156372</c:v>
                </c:pt>
                <c:pt idx="89">
                  <c:v>0</c:v>
                </c:pt>
                <c:pt idx="90">
                  <c:v>0</c:v>
                </c:pt>
                <c:pt idx="91">
                  <c:v>151301</c:v>
                </c:pt>
                <c:pt idx="92">
                  <c:v>0</c:v>
                </c:pt>
                <c:pt idx="93">
                  <c:v>149164</c:v>
                </c:pt>
                <c:pt idx="94">
                  <c:v>0</c:v>
                </c:pt>
                <c:pt idx="95">
                  <c:v>0</c:v>
                </c:pt>
                <c:pt idx="96">
                  <c:v>145486</c:v>
                </c:pt>
                <c:pt idx="97">
                  <c:v>0</c:v>
                </c:pt>
                <c:pt idx="98">
                  <c:v>146186</c:v>
                </c:pt>
                <c:pt idx="99">
                  <c:v>0</c:v>
                </c:pt>
                <c:pt idx="100">
                  <c:v>0</c:v>
                </c:pt>
                <c:pt idx="101">
                  <c:v>143345</c:v>
                </c:pt>
                <c:pt idx="102">
                  <c:v>0</c:v>
                </c:pt>
                <c:pt idx="103">
                  <c:v>0</c:v>
                </c:pt>
                <c:pt idx="104">
                  <c:v>126375</c:v>
                </c:pt>
                <c:pt idx="105">
                  <c:v>0</c:v>
                </c:pt>
                <c:pt idx="106">
                  <c:v>119759</c:v>
                </c:pt>
                <c:pt idx="107">
                  <c:v>0</c:v>
                </c:pt>
                <c:pt idx="108">
                  <c:v>0</c:v>
                </c:pt>
                <c:pt idx="109">
                  <c:v>108123</c:v>
                </c:pt>
                <c:pt idx="110">
                  <c:v>0</c:v>
                </c:pt>
                <c:pt idx="111">
                  <c:v>104219</c:v>
                </c:pt>
                <c:pt idx="112">
                  <c:v>0</c:v>
                </c:pt>
                <c:pt idx="113">
                  <c:v>0</c:v>
                </c:pt>
                <c:pt idx="114">
                  <c:v>102440</c:v>
                </c:pt>
                <c:pt idx="115">
                  <c:v>0</c:v>
                </c:pt>
                <c:pt idx="116">
                  <c:v>95544</c:v>
                </c:pt>
                <c:pt idx="117">
                  <c:v>0</c:v>
                </c:pt>
                <c:pt idx="118">
                  <c:v>0</c:v>
                </c:pt>
                <c:pt idx="119">
                  <c:v>92714</c:v>
                </c:pt>
                <c:pt idx="120">
                  <c:v>0</c:v>
                </c:pt>
                <c:pt idx="121">
                  <c:v>0</c:v>
                </c:pt>
                <c:pt idx="122">
                  <c:v>93248</c:v>
                </c:pt>
                <c:pt idx="123">
                  <c:v>0</c:v>
                </c:pt>
                <c:pt idx="124">
                  <c:v>89745</c:v>
                </c:pt>
                <c:pt idx="125">
                  <c:v>0</c:v>
                </c:pt>
                <c:pt idx="126">
                  <c:v>0</c:v>
                </c:pt>
                <c:pt idx="127">
                  <c:v>93596</c:v>
                </c:pt>
                <c:pt idx="128">
                  <c:v>0</c:v>
                </c:pt>
                <c:pt idx="129">
                  <c:v>89344</c:v>
                </c:pt>
                <c:pt idx="130">
                  <c:v>0</c:v>
                </c:pt>
                <c:pt idx="131">
                  <c:v>0</c:v>
                </c:pt>
                <c:pt idx="132">
                  <c:v>86629</c:v>
                </c:pt>
                <c:pt idx="133">
                  <c:v>0</c:v>
                </c:pt>
                <c:pt idx="134">
                  <c:v>77706</c:v>
                </c:pt>
                <c:pt idx="135">
                  <c:v>0</c:v>
                </c:pt>
                <c:pt idx="136">
                  <c:v>0</c:v>
                </c:pt>
                <c:pt idx="137">
                  <c:v>75821</c:v>
                </c:pt>
                <c:pt idx="138">
                  <c:v>0</c:v>
                </c:pt>
                <c:pt idx="139">
                  <c:v>0</c:v>
                </c:pt>
                <c:pt idx="140">
                  <c:v>71961</c:v>
                </c:pt>
                <c:pt idx="141">
                  <c:v>0</c:v>
                </c:pt>
                <c:pt idx="142">
                  <c:v>66067</c:v>
                </c:pt>
                <c:pt idx="143">
                  <c:v>0</c:v>
                </c:pt>
                <c:pt idx="144">
                  <c:v>0</c:v>
                </c:pt>
                <c:pt idx="145">
                  <c:v>60736</c:v>
                </c:pt>
                <c:pt idx="146">
                  <c:v>0</c:v>
                </c:pt>
                <c:pt idx="147">
                  <c:v>57342</c:v>
                </c:pt>
                <c:pt idx="148">
                  <c:v>0</c:v>
                </c:pt>
                <c:pt idx="149">
                  <c:v>0</c:v>
                </c:pt>
                <c:pt idx="150">
                  <c:v>50306</c:v>
                </c:pt>
                <c:pt idx="151">
                  <c:v>0</c:v>
                </c:pt>
                <c:pt idx="152">
                  <c:v>49771</c:v>
                </c:pt>
                <c:pt idx="153">
                  <c:v>0</c:v>
                </c:pt>
                <c:pt idx="154">
                  <c:v>0</c:v>
                </c:pt>
                <c:pt idx="155">
                  <c:v>44322</c:v>
                </c:pt>
                <c:pt idx="156">
                  <c:v>0</c:v>
                </c:pt>
                <c:pt idx="157">
                  <c:v>0</c:v>
                </c:pt>
                <c:pt idx="158">
                  <c:v>42479</c:v>
                </c:pt>
                <c:pt idx="159">
                  <c:v>0</c:v>
                </c:pt>
                <c:pt idx="160">
                  <c:v>35132</c:v>
                </c:pt>
                <c:pt idx="161">
                  <c:v>0</c:v>
                </c:pt>
                <c:pt idx="162">
                  <c:v>0</c:v>
                </c:pt>
                <c:pt idx="163">
                  <c:v>30775</c:v>
                </c:pt>
                <c:pt idx="164">
                  <c:v>0</c:v>
                </c:pt>
                <c:pt idx="165">
                  <c:v>28038</c:v>
                </c:pt>
                <c:pt idx="166">
                  <c:v>0</c:v>
                </c:pt>
                <c:pt idx="167">
                  <c:v>0</c:v>
                </c:pt>
                <c:pt idx="168">
                  <c:v>25270</c:v>
                </c:pt>
                <c:pt idx="169">
                  <c:v>0</c:v>
                </c:pt>
                <c:pt idx="170">
                  <c:v>0</c:v>
                </c:pt>
                <c:pt idx="171">
                  <c:v>22916</c:v>
                </c:pt>
                <c:pt idx="172">
                  <c:v>0</c:v>
                </c:pt>
                <c:pt idx="173">
                  <c:v>17555</c:v>
                </c:pt>
                <c:pt idx="174">
                  <c:v>0</c:v>
                </c:pt>
                <c:pt idx="175">
                  <c:v>0</c:v>
                </c:pt>
                <c:pt idx="176">
                  <c:v>15685</c:v>
                </c:pt>
                <c:pt idx="177">
                  <c:v>0</c:v>
                </c:pt>
                <c:pt idx="178">
                  <c:v>13600</c:v>
                </c:pt>
                <c:pt idx="179">
                  <c:v>0</c:v>
                </c:pt>
                <c:pt idx="180">
                  <c:v>0</c:v>
                </c:pt>
                <c:pt idx="181">
                  <c:v>8066</c:v>
                </c:pt>
                <c:pt idx="182">
                  <c:v>0</c:v>
                </c:pt>
                <c:pt idx="183">
                  <c:v>4705</c:v>
                </c:pt>
                <c:pt idx="184">
                  <c:v>0</c:v>
                </c:pt>
                <c:pt idx="185">
                  <c:v>0</c:v>
                </c:pt>
                <c:pt idx="186">
                  <c:v>3547</c:v>
                </c:pt>
                <c:pt idx="187">
                  <c:v>0</c:v>
                </c:pt>
                <c:pt idx="188">
                  <c:v>0</c:v>
                </c:pt>
                <c:pt idx="189">
                  <c:v>966</c:v>
                </c:pt>
                <c:pt idx="190">
                  <c:v>0</c:v>
                </c:pt>
                <c:pt idx="191">
                  <c:v>892</c:v>
                </c:pt>
                <c:pt idx="192">
                  <c:v>0</c:v>
                </c:pt>
                <c:pt idx="193">
                  <c:v>0</c:v>
                </c:pt>
                <c:pt idx="194">
                  <c:v>448</c:v>
                </c:pt>
                <c:pt idx="195">
                  <c:v>0</c:v>
                </c:pt>
                <c:pt idx="196">
                  <c:v>585</c:v>
                </c:pt>
                <c:pt idx="197">
                  <c:v>0</c:v>
                </c:pt>
                <c:pt idx="198">
                  <c:v>0</c:v>
                </c:pt>
                <c:pt idx="199">
                  <c:v>647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  <c:pt idx="74">
                  <c:v>3.15882</c:v>
                </c:pt>
                <c:pt idx="75">
                  <c:v>3.13626</c:v>
                </c:pt>
                <c:pt idx="76">
                  <c:v>3.1193999999999997</c:v>
                </c:pt>
                <c:pt idx="77">
                  <c:v>3.1099500000000004</c:v>
                </c:pt>
                <c:pt idx="78">
                  <c:v>3.1069799999999996</c:v>
                </c:pt>
                <c:pt idx="79">
                  <c:v>3.1079400000000001</c:v>
                </c:pt>
                <c:pt idx="80">
                  <c:v>3.1156299999999999</c:v>
                </c:pt>
                <c:pt idx="81">
                  <c:v>3.1234099999999998</c:v>
                </c:pt>
                <c:pt idx="82">
                  <c:v>3.13232</c:v>
                </c:pt>
                <c:pt idx="83">
                  <c:v>3.1444699999999997</c:v>
                </c:pt>
                <c:pt idx="84">
                  <c:v>3.1556800000000003</c:v>
                </c:pt>
                <c:pt idx="85">
                  <c:v>3.1663799999999998</c:v>
                </c:pt>
                <c:pt idx="86">
                  <c:v>3.1780399999999998</c:v>
                </c:pt>
                <c:pt idx="87">
                  <c:v>3.1894400000000003</c:v>
                </c:pt>
                <c:pt idx="88">
                  <c:v>3.2040699999999998</c:v>
                </c:pt>
                <c:pt idx="89">
                  <c:v>3.2178100000000001</c:v>
                </c:pt>
                <c:pt idx="90">
                  <c:v>3.2292999999999998</c:v>
                </c:pt>
                <c:pt idx="91">
                  <c:v>3.2386999999999997</c:v>
                </c:pt>
                <c:pt idx="92">
                  <c:v>3.2448100000000002</c:v>
                </c:pt>
                <c:pt idx="93">
                  <c:v>3.2472400000000001</c:v>
                </c:pt>
                <c:pt idx="94">
                  <c:v>3.2447599999999999</c:v>
                </c:pt>
                <c:pt idx="95">
                  <c:v>3.23915</c:v>
                </c:pt>
                <c:pt idx="96">
                  <c:v>3.23081</c:v>
                </c:pt>
                <c:pt idx="97">
                  <c:v>3.2213099999999999</c:v>
                </c:pt>
                <c:pt idx="98">
                  <c:v>3.2150099999999999</c:v>
                </c:pt>
                <c:pt idx="99">
                  <c:v>3.2098199999999997</c:v>
                </c:pt>
                <c:pt idx="100">
                  <c:v>3.20458</c:v>
                </c:pt>
                <c:pt idx="101">
                  <c:v>3.1972499999999999</c:v>
                </c:pt>
                <c:pt idx="102">
                  <c:v>3.1875300000000002</c:v>
                </c:pt>
                <c:pt idx="103">
                  <c:v>3.1773800000000003</c:v>
                </c:pt>
                <c:pt idx="104">
                  <c:v>3.1678000000000002</c:v>
                </c:pt>
                <c:pt idx="105">
                  <c:v>3.1561899999999996</c:v>
                </c:pt>
                <c:pt idx="106">
                  <c:v>3.1442199999999998</c:v>
                </c:pt>
                <c:pt idx="107">
                  <c:v>3.1315300000000001</c:v>
                </c:pt>
                <c:pt idx="108">
                  <c:v>3.1160100000000002</c:v>
                </c:pt>
                <c:pt idx="109">
                  <c:v>3.1038900000000003</c:v>
                </c:pt>
                <c:pt idx="110">
                  <c:v>3.0978400000000001</c:v>
                </c:pt>
                <c:pt idx="111">
                  <c:v>3.0940000000000003</c:v>
                </c:pt>
                <c:pt idx="112">
                  <c:v>3.0942399999999997</c:v>
                </c:pt>
                <c:pt idx="113">
                  <c:v>3.0933000000000002</c:v>
                </c:pt>
                <c:pt idx="114">
                  <c:v>3.0925599999999998</c:v>
                </c:pt>
                <c:pt idx="115">
                  <c:v>3.0942999999999996</c:v>
                </c:pt>
                <c:pt idx="116">
                  <c:v>3.1009199999999999</c:v>
                </c:pt>
                <c:pt idx="117">
                  <c:v>3.11307</c:v>
                </c:pt>
                <c:pt idx="118">
                  <c:v>3.1256899999999996</c:v>
                </c:pt>
                <c:pt idx="119">
                  <c:v>3.1424400000000001</c:v>
                </c:pt>
                <c:pt idx="120">
                  <c:v>3.1600600000000001</c:v>
                </c:pt>
                <c:pt idx="121">
                  <c:v>3.1793500000000003</c:v>
                </c:pt>
                <c:pt idx="122">
                  <c:v>3.2023200000000003</c:v>
                </c:pt>
                <c:pt idx="123">
                  <c:v>3.2248799999999997</c:v>
                </c:pt>
                <c:pt idx="124">
                  <c:v>3.2332699999999996</c:v>
                </c:pt>
                <c:pt idx="125">
                  <c:v>3.2420599999999999</c:v>
                </c:pt>
                <c:pt idx="126">
                  <c:v>3.2524899999999999</c:v>
                </c:pt>
                <c:pt idx="127">
                  <c:v>3.2629799999999998</c:v>
                </c:pt>
                <c:pt idx="128">
                  <c:v>3.2735300000000001</c:v>
                </c:pt>
                <c:pt idx="129">
                  <c:v>3.2845000000000004</c:v>
                </c:pt>
                <c:pt idx="130">
                  <c:v>3.29779</c:v>
                </c:pt>
                <c:pt idx="131">
                  <c:v>3.3130799999999998</c:v>
                </c:pt>
                <c:pt idx="132">
                  <c:v>3.3300999999999998</c:v>
                </c:pt>
                <c:pt idx="133">
                  <c:v>3.34985</c:v>
                </c:pt>
                <c:pt idx="134">
                  <c:v>3.3695300000000001</c:v>
                </c:pt>
                <c:pt idx="135">
                  <c:v>3.3856900000000003</c:v>
                </c:pt>
                <c:pt idx="136">
                  <c:v>3.4015299999999997</c:v>
                </c:pt>
                <c:pt idx="137">
                  <c:v>3.4154099999999996</c:v>
                </c:pt>
                <c:pt idx="138">
                  <c:v>3.4306599999999996</c:v>
                </c:pt>
                <c:pt idx="139">
                  <c:v>3.4454600000000002</c:v>
                </c:pt>
                <c:pt idx="140">
                  <c:v>3.4610000000000003</c:v>
                </c:pt>
                <c:pt idx="141">
                  <c:v>3.47051</c:v>
                </c:pt>
                <c:pt idx="142">
                  <c:v>3.4731200000000002</c:v>
                </c:pt>
                <c:pt idx="143">
                  <c:v>3.4835500000000001</c:v>
                </c:pt>
                <c:pt idx="144">
                  <c:v>3.4955000000000003</c:v>
                </c:pt>
                <c:pt idx="145">
                  <c:v>3.5115600000000002</c:v>
                </c:pt>
                <c:pt idx="146">
                  <c:v>3.54094</c:v>
                </c:pt>
                <c:pt idx="147">
                  <c:v>3.5558399999999999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  <c:pt idx="74">
                  <c:v>39.151299999999999</c:v>
                </c:pt>
                <c:pt idx="75">
                  <c:v>39.816699999999997</c:v>
                </c:pt>
                <c:pt idx="76">
                  <c:v>40.341200000000001</c:v>
                </c:pt>
                <c:pt idx="77">
                  <c:v>40.744700000000002</c:v>
                </c:pt>
                <c:pt idx="78">
                  <c:v>41.093499999999999</c:v>
                </c:pt>
                <c:pt idx="79">
                  <c:v>41.363799999999998</c:v>
                </c:pt>
                <c:pt idx="80">
                  <c:v>41.573300000000003</c:v>
                </c:pt>
                <c:pt idx="81">
                  <c:v>41.834900000000005</c:v>
                </c:pt>
                <c:pt idx="82">
                  <c:v>42.089500000000001</c:v>
                </c:pt>
                <c:pt idx="83">
                  <c:v>42.247599999999998</c:v>
                </c:pt>
                <c:pt idx="84">
                  <c:v>42.425200000000004</c:v>
                </c:pt>
                <c:pt idx="85">
                  <c:v>42.625600000000006</c:v>
                </c:pt>
                <c:pt idx="86">
                  <c:v>42.754399999999997</c:v>
                </c:pt>
                <c:pt idx="87">
                  <c:v>42.872599999999998</c:v>
                </c:pt>
                <c:pt idx="88">
                  <c:v>43.011700000000005</c:v>
                </c:pt>
                <c:pt idx="89">
                  <c:v>43.156599999999997</c:v>
                </c:pt>
                <c:pt idx="90">
                  <c:v>43.272599999999997</c:v>
                </c:pt>
                <c:pt idx="91">
                  <c:v>43.342799999999997</c:v>
                </c:pt>
                <c:pt idx="92">
                  <c:v>43.418399999999998</c:v>
                </c:pt>
                <c:pt idx="93">
                  <c:v>43.472899999999996</c:v>
                </c:pt>
                <c:pt idx="94">
                  <c:v>43.524799999999999</c:v>
                </c:pt>
                <c:pt idx="95">
                  <c:v>43.529000000000003</c:v>
                </c:pt>
                <c:pt idx="96">
                  <c:v>43.460999999999999</c:v>
                </c:pt>
                <c:pt idx="97">
                  <c:v>43.342799999999997</c:v>
                </c:pt>
                <c:pt idx="98">
                  <c:v>43.235099999999996</c:v>
                </c:pt>
                <c:pt idx="99">
                  <c:v>43.149700000000003</c:v>
                </c:pt>
                <c:pt idx="100">
                  <c:v>43.037999999999997</c:v>
                </c:pt>
                <c:pt idx="101">
                  <c:v>42.908200000000001</c:v>
                </c:pt>
                <c:pt idx="102">
                  <c:v>42.814900000000002</c:v>
                </c:pt>
                <c:pt idx="103">
                  <c:v>42.682600000000001</c:v>
                </c:pt>
                <c:pt idx="104">
                  <c:v>42.5413</c:v>
                </c:pt>
                <c:pt idx="105">
                  <c:v>42.459699999999998</c:v>
                </c:pt>
                <c:pt idx="106">
                  <c:v>42.408200000000001</c:v>
                </c:pt>
                <c:pt idx="107">
                  <c:v>42.383700000000005</c:v>
                </c:pt>
                <c:pt idx="108">
                  <c:v>42.426199999999994</c:v>
                </c:pt>
                <c:pt idx="109">
                  <c:v>42.458100000000002</c:v>
                </c:pt>
                <c:pt idx="110">
                  <c:v>42.434199999999997</c:v>
                </c:pt>
                <c:pt idx="111">
                  <c:v>42.423100000000005</c:v>
                </c:pt>
                <c:pt idx="112">
                  <c:v>42.402000000000001</c:v>
                </c:pt>
                <c:pt idx="113">
                  <c:v>42.417200000000001</c:v>
                </c:pt>
                <c:pt idx="114">
                  <c:v>42.4452</c:v>
                </c:pt>
                <c:pt idx="115">
                  <c:v>42.461799999999997</c:v>
                </c:pt>
                <c:pt idx="116">
                  <c:v>42.413000000000004</c:v>
                </c:pt>
                <c:pt idx="117">
                  <c:v>42.253700000000002</c:v>
                </c:pt>
                <c:pt idx="118">
                  <c:v>42.099399999999996</c:v>
                </c:pt>
                <c:pt idx="119">
                  <c:v>41.831200000000003</c:v>
                </c:pt>
                <c:pt idx="120">
                  <c:v>41.5595</c:v>
                </c:pt>
                <c:pt idx="121">
                  <c:v>41.353299999999997</c:v>
                </c:pt>
                <c:pt idx="122">
                  <c:v>41.151600000000002</c:v>
                </c:pt>
                <c:pt idx="123">
                  <c:v>40.9437</c:v>
                </c:pt>
                <c:pt idx="124">
                  <c:v>40.944699999999997</c:v>
                </c:pt>
                <c:pt idx="125">
                  <c:v>40.943899999999999</c:v>
                </c:pt>
                <c:pt idx="126">
                  <c:v>40.939900000000002</c:v>
                </c:pt>
                <c:pt idx="127">
                  <c:v>40.9161</c:v>
                </c:pt>
                <c:pt idx="128">
                  <c:v>40.891199999999998</c:v>
                </c:pt>
                <c:pt idx="129">
                  <c:v>40.919899999999998</c:v>
                </c:pt>
                <c:pt idx="130">
                  <c:v>40.943300000000001</c:v>
                </c:pt>
                <c:pt idx="131">
                  <c:v>40.9208</c:v>
                </c:pt>
                <c:pt idx="132">
                  <c:v>40.893799999999999</c:v>
                </c:pt>
                <c:pt idx="133">
                  <c:v>40.9116</c:v>
                </c:pt>
                <c:pt idx="134">
                  <c:v>40.905500000000004</c:v>
                </c:pt>
                <c:pt idx="135">
                  <c:v>40.878500000000003</c:v>
                </c:pt>
                <c:pt idx="136">
                  <c:v>40.8705</c:v>
                </c:pt>
                <c:pt idx="137">
                  <c:v>40.799099999999996</c:v>
                </c:pt>
                <c:pt idx="138">
                  <c:v>40.660000000000004</c:v>
                </c:pt>
                <c:pt idx="139">
                  <c:v>40.479599999999998</c:v>
                </c:pt>
                <c:pt idx="140">
                  <c:v>40.162500000000001</c:v>
                </c:pt>
                <c:pt idx="141">
                  <c:v>39.890799999999999</c:v>
                </c:pt>
                <c:pt idx="142">
                  <c:v>39.554400000000001</c:v>
                </c:pt>
                <c:pt idx="143">
                  <c:v>39.057099999999998</c:v>
                </c:pt>
                <c:pt idx="144">
                  <c:v>38.838000000000001</c:v>
                </c:pt>
                <c:pt idx="145">
                  <c:v>38.731700000000004</c:v>
                </c:pt>
                <c:pt idx="146">
                  <c:v>38.544499999999999</c:v>
                </c:pt>
                <c:pt idx="147">
                  <c:v>38.218400000000003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3.18716</c:v>
                </c:pt>
                <c:pt idx="1">
                  <c:v>3.15882</c:v>
                </c:pt>
                <c:pt idx="2">
                  <c:v>3.13626</c:v>
                </c:pt>
                <c:pt idx="3">
                  <c:v>3.1193999999999997</c:v>
                </c:pt>
                <c:pt idx="4">
                  <c:v>3.1099500000000004</c:v>
                </c:pt>
                <c:pt idx="5">
                  <c:v>3.1069799999999996</c:v>
                </c:pt>
                <c:pt idx="6">
                  <c:v>3.1079400000000001</c:v>
                </c:pt>
                <c:pt idx="7">
                  <c:v>3.1156299999999999</c:v>
                </c:pt>
                <c:pt idx="8">
                  <c:v>3.1234099999999998</c:v>
                </c:pt>
                <c:pt idx="9">
                  <c:v>3.13232</c:v>
                </c:pt>
                <c:pt idx="10">
                  <c:v>3.1444699999999997</c:v>
                </c:pt>
                <c:pt idx="11">
                  <c:v>3.1556800000000003</c:v>
                </c:pt>
                <c:pt idx="12">
                  <c:v>3.1663799999999998</c:v>
                </c:pt>
                <c:pt idx="13">
                  <c:v>3.1780399999999998</c:v>
                </c:pt>
                <c:pt idx="14">
                  <c:v>3.1894400000000003</c:v>
                </c:pt>
                <c:pt idx="15">
                  <c:v>3.2040699999999998</c:v>
                </c:pt>
                <c:pt idx="16">
                  <c:v>3.2178100000000001</c:v>
                </c:pt>
                <c:pt idx="17">
                  <c:v>3.2292999999999998</c:v>
                </c:pt>
                <c:pt idx="18">
                  <c:v>3.2386999999999997</c:v>
                </c:pt>
                <c:pt idx="19">
                  <c:v>3.2448100000000002</c:v>
                </c:pt>
                <c:pt idx="20">
                  <c:v>3.2472400000000001</c:v>
                </c:pt>
                <c:pt idx="21">
                  <c:v>3.2447599999999999</c:v>
                </c:pt>
                <c:pt idx="22">
                  <c:v>3.23915</c:v>
                </c:pt>
                <c:pt idx="23">
                  <c:v>3.23081</c:v>
                </c:pt>
                <c:pt idx="24">
                  <c:v>3.2213099999999999</c:v>
                </c:pt>
                <c:pt idx="25">
                  <c:v>3.2150099999999999</c:v>
                </c:pt>
                <c:pt idx="26">
                  <c:v>3.2098199999999997</c:v>
                </c:pt>
                <c:pt idx="27">
                  <c:v>3.20458</c:v>
                </c:pt>
                <c:pt idx="28">
                  <c:v>3.1972499999999999</c:v>
                </c:pt>
                <c:pt idx="29">
                  <c:v>3.1875300000000002</c:v>
                </c:pt>
                <c:pt idx="30">
                  <c:v>3.1773800000000003</c:v>
                </c:pt>
                <c:pt idx="31">
                  <c:v>3.1678000000000002</c:v>
                </c:pt>
                <c:pt idx="32">
                  <c:v>3.1561899999999996</c:v>
                </c:pt>
                <c:pt idx="33">
                  <c:v>3.1442199999999998</c:v>
                </c:pt>
                <c:pt idx="34">
                  <c:v>3.1315300000000001</c:v>
                </c:pt>
                <c:pt idx="35">
                  <c:v>3.1160100000000002</c:v>
                </c:pt>
                <c:pt idx="36">
                  <c:v>3.1038900000000003</c:v>
                </c:pt>
                <c:pt idx="37">
                  <c:v>3.0978400000000001</c:v>
                </c:pt>
                <c:pt idx="38">
                  <c:v>3.0940000000000003</c:v>
                </c:pt>
                <c:pt idx="39">
                  <c:v>3.0942399999999997</c:v>
                </c:pt>
                <c:pt idx="40">
                  <c:v>3.0933000000000002</c:v>
                </c:pt>
                <c:pt idx="41">
                  <c:v>3.0925599999999998</c:v>
                </c:pt>
                <c:pt idx="42">
                  <c:v>3.0942999999999996</c:v>
                </c:pt>
                <c:pt idx="43">
                  <c:v>3.1009199999999999</c:v>
                </c:pt>
                <c:pt idx="44">
                  <c:v>3.11307</c:v>
                </c:pt>
                <c:pt idx="45">
                  <c:v>3.1256899999999996</c:v>
                </c:pt>
                <c:pt idx="46">
                  <c:v>3.1424400000000001</c:v>
                </c:pt>
                <c:pt idx="47">
                  <c:v>3.1600600000000001</c:v>
                </c:pt>
                <c:pt idx="48">
                  <c:v>3.1793500000000003</c:v>
                </c:pt>
                <c:pt idx="49">
                  <c:v>3.2023200000000003</c:v>
                </c:pt>
                <c:pt idx="50">
                  <c:v>3.2248799999999997</c:v>
                </c:pt>
                <c:pt idx="51">
                  <c:v>3.2332699999999996</c:v>
                </c:pt>
                <c:pt idx="52">
                  <c:v>3.2420599999999999</c:v>
                </c:pt>
                <c:pt idx="53">
                  <c:v>3.2524899999999999</c:v>
                </c:pt>
                <c:pt idx="54">
                  <c:v>3.2629799999999998</c:v>
                </c:pt>
                <c:pt idx="55">
                  <c:v>3.2735300000000001</c:v>
                </c:pt>
                <c:pt idx="56">
                  <c:v>3.2845000000000004</c:v>
                </c:pt>
                <c:pt idx="57">
                  <c:v>3.29779</c:v>
                </c:pt>
                <c:pt idx="58">
                  <c:v>3.3130799999999998</c:v>
                </c:pt>
                <c:pt idx="59">
                  <c:v>3.3300999999999998</c:v>
                </c:pt>
                <c:pt idx="60">
                  <c:v>3.34985</c:v>
                </c:pt>
                <c:pt idx="61">
                  <c:v>3.3695300000000001</c:v>
                </c:pt>
                <c:pt idx="62">
                  <c:v>3.3856900000000003</c:v>
                </c:pt>
                <c:pt idx="63">
                  <c:v>3.4015299999999997</c:v>
                </c:pt>
                <c:pt idx="64">
                  <c:v>3.4154099999999996</c:v>
                </c:pt>
                <c:pt idx="65">
                  <c:v>3.4306599999999996</c:v>
                </c:pt>
                <c:pt idx="66">
                  <c:v>3.4454600000000002</c:v>
                </c:pt>
                <c:pt idx="67">
                  <c:v>3.4610000000000003</c:v>
                </c:pt>
                <c:pt idx="68">
                  <c:v>3.47051</c:v>
                </c:pt>
                <c:pt idx="69">
                  <c:v>3.4731200000000002</c:v>
                </c:pt>
                <c:pt idx="70">
                  <c:v>3.4835500000000001</c:v>
                </c:pt>
                <c:pt idx="71">
                  <c:v>3.4955000000000003</c:v>
                </c:pt>
                <c:pt idx="72">
                  <c:v>3.5115600000000002</c:v>
                </c:pt>
                <c:pt idx="73">
                  <c:v>3.54094</c:v>
                </c:pt>
                <c:pt idx="74">
                  <c:v>3.5558399999999999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38.643799999999999</c:v>
                </c:pt>
                <c:pt idx="1">
                  <c:v>39.151299999999999</c:v>
                </c:pt>
                <c:pt idx="2">
                  <c:v>39.816699999999997</c:v>
                </c:pt>
                <c:pt idx="3">
                  <c:v>40.341200000000001</c:v>
                </c:pt>
                <c:pt idx="4">
                  <c:v>40.744700000000002</c:v>
                </c:pt>
                <c:pt idx="5">
                  <c:v>41.093499999999999</c:v>
                </c:pt>
                <c:pt idx="6">
                  <c:v>41.363799999999998</c:v>
                </c:pt>
                <c:pt idx="7">
                  <c:v>41.573300000000003</c:v>
                </c:pt>
                <c:pt idx="8">
                  <c:v>41.834900000000005</c:v>
                </c:pt>
                <c:pt idx="9">
                  <c:v>42.089500000000001</c:v>
                </c:pt>
                <c:pt idx="10">
                  <c:v>42.247599999999998</c:v>
                </c:pt>
                <c:pt idx="11">
                  <c:v>42.425200000000004</c:v>
                </c:pt>
                <c:pt idx="12">
                  <c:v>42.625600000000006</c:v>
                </c:pt>
                <c:pt idx="13">
                  <c:v>42.754399999999997</c:v>
                </c:pt>
                <c:pt idx="14">
                  <c:v>42.872599999999998</c:v>
                </c:pt>
                <c:pt idx="15">
                  <c:v>43.011700000000005</c:v>
                </c:pt>
                <c:pt idx="16">
                  <c:v>43.156599999999997</c:v>
                </c:pt>
                <c:pt idx="17">
                  <c:v>43.272599999999997</c:v>
                </c:pt>
                <c:pt idx="18">
                  <c:v>43.342799999999997</c:v>
                </c:pt>
                <c:pt idx="19">
                  <c:v>43.418399999999998</c:v>
                </c:pt>
                <c:pt idx="20">
                  <c:v>43.472899999999996</c:v>
                </c:pt>
                <c:pt idx="21">
                  <c:v>43.524799999999999</c:v>
                </c:pt>
                <c:pt idx="22">
                  <c:v>43.529000000000003</c:v>
                </c:pt>
                <c:pt idx="23">
                  <c:v>43.460999999999999</c:v>
                </c:pt>
                <c:pt idx="24">
                  <c:v>43.342799999999997</c:v>
                </c:pt>
                <c:pt idx="25">
                  <c:v>43.235099999999996</c:v>
                </c:pt>
                <c:pt idx="26">
                  <c:v>43.149700000000003</c:v>
                </c:pt>
                <c:pt idx="27">
                  <c:v>43.037999999999997</c:v>
                </c:pt>
                <c:pt idx="28">
                  <c:v>42.908200000000001</c:v>
                </c:pt>
                <c:pt idx="29">
                  <c:v>42.814900000000002</c:v>
                </c:pt>
                <c:pt idx="30">
                  <c:v>42.682600000000001</c:v>
                </c:pt>
                <c:pt idx="31">
                  <c:v>42.5413</c:v>
                </c:pt>
                <c:pt idx="32">
                  <c:v>42.459699999999998</c:v>
                </c:pt>
                <c:pt idx="33">
                  <c:v>42.408200000000001</c:v>
                </c:pt>
                <c:pt idx="34">
                  <c:v>42.383700000000005</c:v>
                </c:pt>
                <c:pt idx="35">
                  <c:v>42.426199999999994</c:v>
                </c:pt>
                <c:pt idx="36">
                  <c:v>42.458100000000002</c:v>
                </c:pt>
                <c:pt idx="37">
                  <c:v>42.434199999999997</c:v>
                </c:pt>
                <c:pt idx="38">
                  <c:v>42.423100000000005</c:v>
                </c:pt>
                <c:pt idx="39">
                  <c:v>42.402000000000001</c:v>
                </c:pt>
                <c:pt idx="40">
                  <c:v>42.417200000000001</c:v>
                </c:pt>
                <c:pt idx="41">
                  <c:v>42.4452</c:v>
                </c:pt>
                <c:pt idx="42">
                  <c:v>42.461799999999997</c:v>
                </c:pt>
                <c:pt idx="43">
                  <c:v>42.413000000000004</c:v>
                </c:pt>
                <c:pt idx="44">
                  <c:v>42.253700000000002</c:v>
                </c:pt>
                <c:pt idx="45">
                  <c:v>42.099399999999996</c:v>
                </c:pt>
                <c:pt idx="46">
                  <c:v>41.831200000000003</c:v>
                </c:pt>
                <c:pt idx="47">
                  <c:v>41.5595</c:v>
                </c:pt>
                <c:pt idx="48">
                  <c:v>41.353299999999997</c:v>
                </c:pt>
                <c:pt idx="49">
                  <c:v>41.151600000000002</c:v>
                </c:pt>
                <c:pt idx="50">
                  <c:v>40.9437</c:v>
                </c:pt>
                <c:pt idx="51">
                  <c:v>40.944699999999997</c:v>
                </c:pt>
                <c:pt idx="52">
                  <c:v>40.943899999999999</c:v>
                </c:pt>
                <c:pt idx="53">
                  <c:v>40.939900000000002</c:v>
                </c:pt>
                <c:pt idx="54">
                  <c:v>40.9161</c:v>
                </c:pt>
                <c:pt idx="55">
                  <c:v>40.891199999999998</c:v>
                </c:pt>
                <c:pt idx="56">
                  <c:v>40.919899999999998</c:v>
                </c:pt>
                <c:pt idx="57">
                  <c:v>40.943300000000001</c:v>
                </c:pt>
                <c:pt idx="58">
                  <c:v>40.9208</c:v>
                </c:pt>
                <c:pt idx="59">
                  <c:v>40.893799999999999</c:v>
                </c:pt>
                <c:pt idx="60">
                  <c:v>40.9116</c:v>
                </c:pt>
                <c:pt idx="61">
                  <c:v>40.905500000000004</c:v>
                </c:pt>
                <c:pt idx="62">
                  <c:v>40.878500000000003</c:v>
                </c:pt>
                <c:pt idx="63">
                  <c:v>40.8705</c:v>
                </c:pt>
                <c:pt idx="64">
                  <c:v>40.799099999999996</c:v>
                </c:pt>
                <c:pt idx="65">
                  <c:v>40.660000000000004</c:v>
                </c:pt>
                <c:pt idx="66">
                  <c:v>40.479599999999998</c:v>
                </c:pt>
                <c:pt idx="67">
                  <c:v>40.162500000000001</c:v>
                </c:pt>
                <c:pt idx="68">
                  <c:v>39.890799999999999</c:v>
                </c:pt>
                <c:pt idx="69">
                  <c:v>39.554400000000001</c:v>
                </c:pt>
                <c:pt idx="70">
                  <c:v>39.057099999999998</c:v>
                </c:pt>
                <c:pt idx="71">
                  <c:v>38.838000000000001</c:v>
                </c:pt>
                <c:pt idx="72">
                  <c:v>38.731700000000004</c:v>
                </c:pt>
                <c:pt idx="73">
                  <c:v>38.544499999999999</c:v>
                </c:pt>
                <c:pt idx="74">
                  <c:v>38.218400000000003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3.9732495945945949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36.111362162162152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3.2347136486486487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41.648341891891896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3.2347136486486487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41.648341891891896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0.22417708714575346</c:v>
                </c:pt>
                <c:pt idx="1">
                  <c:v>0.33853335203618956</c:v>
                </c:pt>
                <c:pt idx="2">
                  <c:v>0.43728956081805692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  <c:pt idx="74">
                  <c:v>30.061599999999999</c:v>
                </c:pt>
                <c:pt idx="75">
                  <c:v>30.5183</c:v>
                </c:pt>
                <c:pt idx="76">
                  <c:v>30.926500000000001</c:v>
                </c:pt>
                <c:pt idx="77">
                  <c:v>31.331299999999999</c:v>
                </c:pt>
                <c:pt idx="78">
                  <c:v>31.7361</c:v>
                </c:pt>
                <c:pt idx="79">
                  <c:v>32.141100000000002</c:v>
                </c:pt>
                <c:pt idx="80">
                  <c:v>32.548999999999999</c:v>
                </c:pt>
                <c:pt idx="81">
                  <c:v>32.956800000000001</c:v>
                </c:pt>
                <c:pt idx="82">
                  <c:v>33.3628</c:v>
                </c:pt>
                <c:pt idx="83">
                  <c:v>33.765700000000002</c:v>
                </c:pt>
                <c:pt idx="84">
                  <c:v>34.177599999999998</c:v>
                </c:pt>
                <c:pt idx="85">
                  <c:v>34.584600000000002</c:v>
                </c:pt>
                <c:pt idx="86">
                  <c:v>34.986400000000003</c:v>
                </c:pt>
                <c:pt idx="87">
                  <c:v>35.390500000000003</c:v>
                </c:pt>
                <c:pt idx="88">
                  <c:v>35.7956</c:v>
                </c:pt>
                <c:pt idx="89">
                  <c:v>36.201700000000002</c:v>
                </c:pt>
                <c:pt idx="90">
                  <c:v>36.609499999999997</c:v>
                </c:pt>
                <c:pt idx="91">
                  <c:v>37.014699999999998</c:v>
                </c:pt>
                <c:pt idx="92">
                  <c:v>37.4251</c:v>
                </c:pt>
                <c:pt idx="93">
                  <c:v>37.83</c:v>
                </c:pt>
                <c:pt idx="94">
                  <c:v>38.237000000000002</c:v>
                </c:pt>
                <c:pt idx="95">
                  <c:v>38.6449</c:v>
                </c:pt>
                <c:pt idx="96">
                  <c:v>39.048999999999999</c:v>
                </c:pt>
                <c:pt idx="97">
                  <c:v>39.455399999999997</c:v>
                </c:pt>
                <c:pt idx="98">
                  <c:v>39.8598</c:v>
                </c:pt>
                <c:pt idx="99">
                  <c:v>40.264499999999998</c:v>
                </c:pt>
                <c:pt idx="100">
                  <c:v>40.673400000000001</c:v>
                </c:pt>
                <c:pt idx="101">
                  <c:v>41.0792</c:v>
                </c:pt>
                <c:pt idx="102">
                  <c:v>41.481099999999998</c:v>
                </c:pt>
                <c:pt idx="103">
                  <c:v>41.891100000000002</c:v>
                </c:pt>
                <c:pt idx="104">
                  <c:v>42.2988</c:v>
                </c:pt>
                <c:pt idx="105">
                  <c:v>42.704700000000003</c:v>
                </c:pt>
                <c:pt idx="106">
                  <c:v>43.111699999999999</c:v>
                </c:pt>
                <c:pt idx="107">
                  <c:v>43.516599999999997</c:v>
                </c:pt>
                <c:pt idx="108">
                  <c:v>43.919499999999999</c:v>
                </c:pt>
                <c:pt idx="109">
                  <c:v>44.330399999999997</c:v>
                </c:pt>
                <c:pt idx="110">
                  <c:v>44.7395</c:v>
                </c:pt>
                <c:pt idx="111">
                  <c:v>45.137599999999999</c:v>
                </c:pt>
                <c:pt idx="112">
                  <c:v>45.551200000000001</c:v>
                </c:pt>
                <c:pt idx="113">
                  <c:v>45.955399999999997</c:v>
                </c:pt>
                <c:pt idx="114">
                  <c:v>46.363999999999997</c:v>
                </c:pt>
                <c:pt idx="115">
                  <c:v>46.765999999999998</c:v>
                </c:pt>
                <c:pt idx="116">
                  <c:v>47.17</c:v>
                </c:pt>
                <c:pt idx="117">
                  <c:v>47.582799999999999</c:v>
                </c:pt>
                <c:pt idx="118">
                  <c:v>47.985999999999997</c:v>
                </c:pt>
                <c:pt idx="119">
                  <c:v>48.391500000000001</c:v>
                </c:pt>
                <c:pt idx="120">
                  <c:v>48.796999999999997</c:v>
                </c:pt>
                <c:pt idx="121">
                  <c:v>49.200400000000002</c:v>
                </c:pt>
                <c:pt idx="122">
                  <c:v>49.6113</c:v>
                </c:pt>
                <c:pt idx="123">
                  <c:v>50.018300000000004</c:v>
                </c:pt>
                <c:pt idx="124">
                  <c:v>50.423200000000001</c:v>
                </c:pt>
                <c:pt idx="125">
                  <c:v>50.828000000000003</c:v>
                </c:pt>
                <c:pt idx="126">
                  <c:v>51.233899999999998</c:v>
                </c:pt>
                <c:pt idx="127">
                  <c:v>51.6432</c:v>
                </c:pt>
                <c:pt idx="128">
                  <c:v>52.044899999999998</c:v>
                </c:pt>
                <c:pt idx="129">
                  <c:v>52.454799999999999</c:v>
                </c:pt>
                <c:pt idx="130">
                  <c:v>52.8626</c:v>
                </c:pt>
                <c:pt idx="131">
                  <c:v>53.268599999999999</c:v>
                </c:pt>
                <c:pt idx="132">
                  <c:v>53.673499999999997</c:v>
                </c:pt>
                <c:pt idx="133">
                  <c:v>54.078299999999999</c:v>
                </c:pt>
                <c:pt idx="134">
                  <c:v>54.482300000000002</c:v>
                </c:pt>
                <c:pt idx="135">
                  <c:v>54.889200000000002</c:v>
                </c:pt>
                <c:pt idx="136">
                  <c:v>55.299300000000002</c:v>
                </c:pt>
                <c:pt idx="137">
                  <c:v>55.705100000000002</c:v>
                </c:pt>
                <c:pt idx="138">
                  <c:v>56.110900000000001</c:v>
                </c:pt>
                <c:pt idx="139">
                  <c:v>56.516100000000002</c:v>
                </c:pt>
                <c:pt idx="140">
                  <c:v>56.921900000000001</c:v>
                </c:pt>
                <c:pt idx="141">
                  <c:v>57.328699999999998</c:v>
                </c:pt>
                <c:pt idx="142">
                  <c:v>57.733600000000003</c:v>
                </c:pt>
                <c:pt idx="143">
                  <c:v>58.140500000000003</c:v>
                </c:pt>
                <c:pt idx="144">
                  <c:v>58.545400000000001</c:v>
                </c:pt>
                <c:pt idx="145">
                  <c:v>58.952399999999997</c:v>
                </c:pt>
                <c:pt idx="146">
                  <c:v>59.361199999999997</c:v>
                </c:pt>
                <c:pt idx="147">
                  <c:v>59.7622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  <c:pt idx="74">
                  <c:v>3.15882</c:v>
                </c:pt>
                <c:pt idx="75">
                  <c:v>3.13626</c:v>
                </c:pt>
                <c:pt idx="76">
                  <c:v>3.1193999999999997</c:v>
                </c:pt>
                <c:pt idx="77">
                  <c:v>3.1099500000000004</c:v>
                </c:pt>
                <c:pt idx="78">
                  <c:v>3.1069799999999996</c:v>
                </c:pt>
                <c:pt idx="79">
                  <c:v>3.1079400000000001</c:v>
                </c:pt>
                <c:pt idx="80">
                  <c:v>3.1156299999999999</c:v>
                </c:pt>
                <c:pt idx="81">
                  <c:v>3.1234099999999998</c:v>
                </c:pt>
                <c:pt idx="82">
                  <c:v>3.13232</c:v>
                </c:pt>
                <c:pt idx="83">
                  <c:v>3.1444699999999997</c:v>
                </c:pt>
                <c:pt idx="84">
                  <c:v>3.1556800000000003</c:v>
                </c:pt>
                <c:pt idx="85">
                  <c:v>3.1663799999999998</c:v>
                </c:pt>
                <c:pt idx="86">
                  <c:v>3.1780399999999998</c:v>
                </c:pt>
                <c:pt idx="87">
                  <c:v>3.1894400000000003</c:v>
                </c:pt>
                <c:pt idx="88">
                  <c:v>3.2040699999999998</c:v>
                </c:pt>
                <c:pt idx="89">
                  <c:v>3.2178100000000001</c:v>
                </c:pt>
                <c:pt idx="90">
                  <c:v>3.2292999999999998</c:v>
                </c:pt>
                <c:pt idx="91">
                  <c:v>3.2386999999999997</c:v>
                </c:pt>
                <c:pt idx="92">
                  <c:v>3.2448100000000002</c:v>
                </c:pt>
                <c:pt idx="93">
                  <c:v>3.2472400000000001</c:v>
                </c:pt>
                <c:pt idx="94">
                  <c:v>3.2447599999999999</c:v>
                </c:pt>
                <c:pt idx="95">
                  <c:v>3.23915</c:v>
                </c:pt>
                <c:pt idx="96">
                  <c:v>3.23081</c:v>
                </c:pt>
                <c:pt idx="97">
                  <c:v>3.2213099999999999</c:v>
                </c:pt>
                <c:pt idx="98">
                  <c:v>3.2150099999999999</c:v>
                </c:pt>
                <c:pt idx="99">
                  <c:v>3.2098199999999997</c:v>
                </c:pt>
                <c:pt idx="100">
                  <c:v>3.20458</c:v>
                </c:pt>
                <c:pt idx="101">
                  <c:v>3.1972499999999999</c:v>
                </c:pt>
                <c:pt idx="102">
                  <c:v>3.1875300000000002</c:v>
                </c:pt>
                <c:pt idx="103">
                  <c:v>3.1773800000000003</c:v>
                </c:pt>
                <c:pt idx="104">
                  <c:v>3.1678000000000002</c:v>
                </c:pt>
                <c:pt idx="105">
                  <c:v>3.1561899999999996</c:v>
                </c:pt>
                <c:pt idx="106">
                  <c:v>3.1442199999999998</c:v>
                </c:pt>
                <c:pt idx="107">
                  <c:v>3.1315300000000001</c:v>
                </c:pt>
                <c:pt idx="108">
                  <c:v>3.1160100000000002</c:v>
                </c:pt>
                <c:pt idx="109">
                  <c:v>3.1038900000000003</c:v>
                </c:pt>
                <c:pt idx="110">
                  <c:v>3.0978400000000001</c:v>
                </c:pt>
                <c:pt idx="111">
                  <c:v>3.0940000000000003</c:v>
                </c:pt>
                <c:pt idx="112">
                  <c:v>3.0942399999999997</c:v>
                </c:pt>
                <c:pt idx="113">
                  <c:v>3.0933000000000002</c:v>
                </c:pt>
                <c:pt idx="114">
                  <c:v>3.0925599999999998</c:v>
                </c:pt>
                <c:pt idx="115">
                  <c:v>3.0942999999999996</c:v>
                </c:pt>
                <c:pt idx="116">
                  <c:v>3.1009199999999999</c:v>
                </c:pt>
                <c:pt idx="117">
                  <c:v>3.11307</c:v>
                </c:pt>
                <c:pt idx="118">
                  <c:v>3.1256899999999996</c:v>
                </c:pt>
                <c:pt idx="119">
                  <c:v>3.1424400000000001</c:v>
                </c:pt>
                <c:pt idx="120">
                  <c:v>3.1600600000000001</c:v>
                </c:pt>
                <c:pt idx="121">
                  <c:v>3.1793500000000003</c:v>
                </c:pt>
                <c:pt idx="122">
                  <c:v>3.2023200000000003</c:v>
                </c:pt>
                <c:pt idx="123">
                  <c:v>3.2248799999999997</c:v>
                </c:pt>
                <c:pt idx="124">
                  <c:v>3.2332699999999996</c:v>
                </c:pt>
                <c:pt idx="125">
                  <c:v>3.2420599999999999</c:v>
                </c:pt>
                <c:pt idx="126">
                  <c:v>3.2524899999999999</c:v>
                </c:pt>
                <c:pt idx="127">
                  <c:v>3.2629799999999998</c:v>
                </c:pt>
                <c:pt idx="128">
                  <c:v>3.2735300000000001</c:v>
                </c:pt>
                <c:pt idx="129">
                  <c:v>3.2845000000000004</c:v>
                </c:pt>
                <c:pt idx="130">
                  <c:v>3.29779</c:v>
                </c:pt>
                <c:pt idx="131">
                  <c:v>3.3130799999999998</c:v>
                </c:pt>
                <c:pt idx="132">
                  <c:v>3.3300999999999998</c:v>
                </c:pt>
                <c:pt idx="133">
                  <c:v>3.34985</c:v>
                </c:pt>
                <c:pt idx="134">
                  <c:v>3.3695300000000001</c:v>
                </c:pt>
                <c:pt idx="135">
                  <c:v>3.3856900000000003</c:v>
                </c:pt>
                <c:pt idx="136">
                  <c:v>3.4015299999999997</c:v>
                </c:pt>
                <c:pt idx="137">
                  <c:v>3.4154099999999996</c:v>
                </c:pt>
                <c:pt idx="138">
                  <c:v>3.4306599999999996</c:v>
                </c:pt>
                <c:pt idx="139">
                  <c:v>3.4454600000000002</c:v>
                </c:pt>
                <c:pt idx="140">
                  <c:v>3.4610000000000003</c:v>
                </c:pt>
                <c:pt idx="141">
                  <c:v>3.47051</c:v>
                </c:pt>
                <c:pt idx="142">
                  <c:v>3.4731200000000002</c:v>
                </c:pt>
                <c:pt idx="143">
                  <c:v>3.4835500000000001</c:v>
                </c:pt>
                <c:pt idx="144">
                  <c:v>3.4955000000000003</c:v>
                </c:pt>
                <c:pt idx="145">
                  <c:v>3.5115600000000002</c:v>
                </c:pt>
                <c:pt idx="146">
                  <c:v>3.54094</c:v>
                </c:pt>
                <c:pt idx="147">
                  <c:v>3.5558399999999999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29.660699999999999</c:v>
                </c:pt>
                <c:pt idx="1">
                  <c:v>30.061599999999999</c:v>
                </c:pt>
                <c:pt idx="2">
                  <c:v>30.5183</c:v>
                </c:pt>
                <c:pt idx="3">
                  <c:v>30.926500000000001</c:v>
                </c:pt>
                <c:pt idx="4">
                  <c:v>31.331299999999999</c:v>
                </c:pt>
                <c:pt idx="5">
                  <c:v>31.7361</c:v>
                </c:pt>
                <c:pt idx="6">
                  <c:v>32.141100000000002</c:v>
                </c:pt>
                <c:pt idx="7">
                  <c:v>32.548999999999999</c:v>
                </c:pt>
                <c:pt idx="8">
                  <c:v>32.956800000000001</c:v>
                </c:pt>
                <c:pt idx="9">
                  <c:v>33.3628</c:v>
                </c:pt>
                <c:pt idx="10">
                  <c:v>33.765700000000002</c:v>
                </c:pt>
                <c:pt idx="11">
                  <c:v>34.177599999999998</c:v>
                </c:pt>
                <c:pt idx="12">
                  <c:v>34.584600000000002</c:v>
                </c:pt>
                <c:pt idx="13">
                  <c:v>34.986400000000003</c:v>
                </c:pt>
                <c:pt idx="14">
                  <c:v>35.390500000000003</c:v>
                </c:pt>
                <c:pt idx="15">
                  <c:v>35.7956</c:v>
                </c:pt>
                <c:pt idx="16">
                  <c:v>36.201700000000002</c:v>
                </c:pt>
                <c:pt idx="17">
                  <c:v>36.609499999999997</c:v>
                </c:pt>
                <c:pt idx="18">
                  <c:v>37.014699999999998</c:v>
                </c:pt>
                <c:pt idx="19">
                  <c:v>37.4251</c:v>
                </c:pt>
                <c:pt idx="20">
                  <c:v>37.83</c:v>
                </c:pt>
                <c:pt idx="21">
                  <c:v>38.237000000000002</c:v>
                </c:pt>
                <c:pt idx="22">
                  <c:v>38.6449</c:v>
                </c:pt>
                <c:pt idx="23">
                  <c:v>39.048999999999999</c:v>
                </c:pt>
                <c:pt idx="24">
                  <c:v>39.455399999999997</c:v>
                </c:pt>
                <c:pt idx="25">
                  <c:v>39.8598</c:v>
                </c:pt>
                <c:pt idx="26">
                  <c:v>40.264499999999998</c:v>
                </c:pt>
                <c:pt idx="27">
                  <c:v>40.673400000000001</c:v>
                </c:pt>
                <c:pt idx="28">
                  <c:v>41.0792</c:v>
                </c:pt>
                <c:pt idx="29">
                  <c:v>41.481099999999998</c:v>
                </c:pt>
                <c:pt idx="30">
                  <c:v>41.891100000000002</c:v>
                </c:pt>
                <c:pt idx="31">
                  <c:v>42.2988</c:v>
                </c:pt>
                <c:pt idx="32">
                  <c:v>42.704700000000003</c:v>
                </c:pt>
                <c:pt idx="33">
                  <c:v>43.111699999999999</c:v>
                </c:pt>
                <c:pt idx="34">
                  <c:v>43.516599999999997</c:v>
                </c:pt>
                <c:pt idx="35">
                  <c:v>43.919499999999999</c:v>
                </c:pt>
                <c:pt idx="36">
                  <c:v>44.330399999999997</c:v>
                </c:pt>
                <c:pt idx="37">
                  <c:v>44.7395</c:v>
                </c:pt>
                <c:pt idx="38">
                  <c:v>45.137599999999999</c:v>
                </c:pt>
                <c:pt idx="39">
                  <c:v>45.551200000000001</c:v>
                </c:pt>
                <c:pt idx="40">
                  <c:v>45.955399999999997</c:v>
                </c:pt>
                <c:pt idx="41">
                  <c:v>46.363999999999997</c:v>
                </c:pt>
                <c:pt idx="42">
                  <c:v>46.765999999999998</c:v>
                </c:pt>
                <c:pt idx="43">
                  <c:v>47.17</c:v>
                </c:pt>
                <c:pt idx="44">
                  <c:v>47.582799999999999</c:v>
                </c:pt>
                <c:pt idx="45">
                  <c:v>47.985999999999997</c:v>
                </c:pt>
                <c:pt idx="46">
                  <c:v>48.391500000000001</c:v>
                </c:pt>
                <c:pt idx="47">
                  <c:v>48.796999999999997</c:v>
                </c:pt>
                <c:pt idx="48">
                  <c:v>49.200400000000002</c:v>
                </c:pt>
                <c:pt idx="49">
                  <c:v>49.6113</c:v>
                </c:pt>
                <c:pt idx="50">
                  <c:v>50.018300000000004</c:v>
                </c:pt>
                <c:pt idx="51">
                  <c:v>50.423200000000001</c:v>
                </c:pt>
                <c:pt idx="52">
                  <c:v>50.828000000000003</c:v>
                </c:pt>
                <c:pt idx="53">
                  <c:v>51.233899999999998</c:v>
                </c:pt>
                <c:pt idx="54">
                  <c:v>51.6432</c:v>
                </c:pt>
                <c:pt idx="55">
                  <c:v>52.044899999999998</c:v>
                </c:pt>
                <c:pt idx="56">
                  <c:v>52.454799999999999</c:v>
                </c:pt>
                <c:pt idx="57">
                  <c:v>52.8626</c:v>
                </c:pt>
                <c:pt idx="58">
                  <c:v>53.268599999999999</c:v>
                </c:pt>
                <c:pt idx="59">
                  <c:v>53.673499999999997</c:v>
                </c:pt>
                <c:pt idx="60">
                  <c:v>54.078299999999999</c:v>
                </c:pt>
                <c:pt idx="61">
                  <c:v>54.482300000000002</c:v>
                </c:pt>
                <c:pt idx="62">
                  <c:v>54.889200000000002</c:v>
                </c:pt>
                <c:pt idx="63">
                  <c:v>55.299300000000002</c:v>
                </c:pt>
                <c:pt idx="64">
                  <c:v>55.705100000000002</c:v>
                </c:pt>
                <c:pt idx="65">
                  <c:v>56.110900000000001</c:v>
                </c:pt>
                <c:pt idx="66">
                  <c:v>56.516100000000002</c:v>
                </c:pt>
                <c:pt idx="67">
                  <c:v>56.921900000000001</c:v>
                </c:pt>
                <c:pt idx="68">
                  <c:v>57.328699999999998</c:v>
                </c:pt>
                <c:pt idx="69">
                  <c:v>57.733600000000003</c:v>
                </c:pt>
                <c:pt idx="70">
                  <c:v>58.140500000000003</c:v>
                </c:pt>
                <c:pt idx="71">
                  <c:v>58.545400000000001</c:v>
                </c:pt>
                <c:pt idx="72">
                  <c:v>58.952399999999997</c:v>
                </c:pt>
                <c:pt idx="73">
                  <c:v>59.361199999999997</c:v>
                </c:pt>
                <c:pt idx="74">
                  <c:v>59.7622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3.18716</c:v>
                </c:pt>
                <c:pt idx="1">
                  <c:v>3.15882</c:v>
                </c:pt>
                <c:pt idx="2">
                  <c:v>3.13626</c:v>
                </c:pt>
                <c:pt idx="3">
                  <c:v>3.1193999999999997</c:v>
                </c:pt>
                <c:pt idx="4">
                  <c:v>3.1099500000000004</c:v>
                </c:pt>
                <c:pt idx="5">
                  <c:v>3.1069799999999996</c:v>
                </c:pt>
                <c:pt idx="6">
                  <c:v>3.1079400000000001</c:v>
                </c:pt>
                <c:pt idx="7">
                  <c:v>3.1156299999999999</c:v>
                </c:pt>
                <c:pt idx="8">
                  <c:v>3.1234099999999998</c:v>
                </c:pt>
                <c:pt idx="9">
                  <c:v>3.13232</c:v>
                </c:pt>
                <c:pt idx="10">
                  <c:v>3.1444699999999997</c:v>
                </c:pt>
                <c:pt idx="11">
                  <c:v>3.1556800000000003</c:v>
                </c:pt>
                <c:pt idx="12">
                  <c:v>3.1663799999999998</c:v>
                </c:pt>
                <c:pt idx="13">
                  <c:v>3.1780399999999998</c:v>
                </c:pt>
                <c:pt idx="14">
                  <c:v>3.1894400000000003</c:v>
                </c:pt>
                <c:pt idx="15">
                  <c:v>3.2040699999999998</c:v>
                </c:pt>
                <c:pt idx="16">
                  <c:v>3.2178100000000001</c:v>
                </c:pt>
                <c:pt idx="17">
                  <c:v>3.2292999999999998</c:v>
                </c:pt>
                <c:pt idx="18">
                  <c:v>3.2386999999999997</c:v>
                </c:pt>
                <c:pt idx="19">
                  <c:v>3.2448100000000002</c:v>
                </c:pt>
                <c:pt idx="20">
                  <c:v>3.2472400000000001</c:v>
                </c:pt>
                <c:pt idx="21">
                  <c:v>3.2447599999999999</c:v>
                </c:pt>
                <c:pt idx="22">
                  <c:v>3.23915</c:v>
                </c:pt>
                <c:pt idx="23">
                  <c:v>3.23081</c:v>
                </c:pt>
                <c:pt idx="24">
                  <c:v>3.2213099999999999</c:v>
                </c:pt>
                <c:pt idx="25">
                  <c:v>3.2150099999999999</c:v>
                </c:pt>
                <c:pt idx="26">
                  <c:v>3.2098199999999997</c:v>
                </c:pt>
                <c:pt idx="27">
                  <c:v>3.20458</c:v>
                </c:pt>
                <c:pt idx="28">
                  <c:v>3.1972499999999999</c:v>
                </c:pt>
                <c:pt idx="29">
                  <c:v>3.1875300000000002</c:v>
                </c:pt>
                <c:pt idx="30">
                  <c:v>3.1773800000000003</c:v>
                </c:pt>
                <c:pt idx="31">
                  <c:v>3.1678000000000002</c:v>
                </c:pt>
                <c:pt idx="32">
                  <c:v>3.1561899999999996</c:v>
                </c:pt>
                <c:pt idx="33">
                  <c:v>3.1442199999999998</c:v>
                </c:pt>
                <c:pt idx="34">
                  <c:v>3.1315300000000001</c:v>
                </c:pt>
                <c:pt idx="35">
                  <c:v>3.1160100000000002</c:v>
                </c:pt>
                <c:pt idx="36">
                  <c:v>3.1038900000000003</c:v>
                </c:pt>
                <c:pt idx="37">
                  <c:v>3.0978400000000001</c:v>
                </c:pt>
                <c:pt idx="38">
                  <c:v>3.0940000000000003</c:v>
                </c:pt>
                <c:pt idx="39">
                  <c:v>3.0942399999999997</c:v>
                </c:pt>
                <c:pt idx="40">
                  <c:v>3.0933000000000002</c:v>
                </c:pt>
                <c:pt idx="41">
                  <c:v>3.0925599999999998</c:v>
                </c:pt>
                <c:pt idx="42">
                  <c:v>3.0942999999999996</c:v>
                </c:pt>
                <c:pt idx="43">
                  <c:v>3.1009199999999999</c:v>
                </c:pt>
                <c:pt idx="44">
                  <c:v>3.11307</c:v>
                </c:pt>
                <c:pt idx="45">
                  <c:v>3.1256899999999996</c:v>
                </c:pt>
                <c:pt idx="46">
                  <c:v>3.1424400000000001</c:v>
                </c:pt>
                <c:pt idx="47">
                  <c:v>3.1600600000000001</c:v>
                </c:pt>
                <c:pt idx="48">
                  <c:v>3.1793500000000003</c:v>
                </c:pt>
                <c:pt idx="49">
                  <c:v>3.2023200000000003</c:v>
                </c:pt>
                <c:pt idx="50">
                  <c:v>3.2248799999999997</c:v>
                </c:pt>
                <c:pt idx="51">
                  <c:v>3.2332699999999996</c:v>
                </c:pt>
                <c:pt idx="52">
                  <c:v>3.2420599999999999</c:v>
                </c:pt>
                <c:pt idx="53">
                  <c:v>3.2524899999999999</c:v>
                </c:pt>
                <c:pt idx="54">
                  <c:v>3.2629799999999998</c:v>
                </c:pt>
                <c:pt idx="55">
                  <c:v>3.2735300000000001</c:v>
                </c:pt>
                <c:pt idx="56">
                  <c:v>3.2845000000000004</c:v>
                </c:pt>
                <c:pt idx="57">
                  <c:v>3.29779</c:v>
                </c:pt>
                <c:pt idx="58">
                  <c:v>3.3130799999999998</c:v>
                </c:pt>
                <c:pt idx="59">
                  <c:v>3.3300999999999998</c:v>
                </c:pt>
                <c:pt idx="60">
                  <c:v>3.34985</c:v>
                </c:pt>
                <c:pt idx="61">
                  <c:v>3.3695300000000001</c:v>
                </c:pt>
                <c:pt idx="62">
                  <c:v>3.3856900000000003</c:v>
                </c:pt>
                <c:pt idx="63">
                  <c:v>3.4015299999999997</c:v>
                </c:pt>
                <c:pt idx="64">
                  <c:v>3.4154099999999996</c:v>
                </c:pt>
                <c:pt idx="65">
                  <c:v>3.4306599999999996</c:v>
                </c:pt>
                <c:pt idx="66">
                  <c:v>3.4454600000000002</c:v>
                </c:pt>
                <c:pt idx="67">
                  <c:v>3.4610000000000003</c:v>
                </c:pt>
                <c:pt idx="68">
                  <c:v>3.47051</c:v>
                </c:pt>
                <c:pt idx="69">
                  <c:v>3.4731200000000002</c:v>
                </c:pt>
                <c:pt idx="70">
                  <c:v>3.4835500000000001</c:v>
                </c:pt>
                <c:pt idx="71">
                  <c:v>3.4955000000000003</c:v>
                </c:pt>
                <c:pt idx="72">
                  <c:v>3.5115600000000002</c:v>
                </c:pt>
                <c:pt idx="73">
                  <c:v>3.54094</c:v>
                </c:pt>
                <c:pt idx="74">
                  <c:v>3.5558399999999999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3.9732495945945949</c:v>
                </c:pt>
                <c:pt idx="1">
                  <c:v>3.2347136486486487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  <c:pt idx="74">
                  <c:v>30.061599999999999</c:v>
                </c:pt>
                <c:pt idx="75">
                  <c:v>30.5183</c:v>
                </c:pt>
                <c:pt idx="76">
                  <c:v>30.926500000000001</c:v>
                </c:pt>
                <c:pt idx="77">
                  <c:v>31.331299999999999</c:v>
                </c:pt>
                <c:pt idx="78">
                  <c:v>31.7361</c:v>
                </c:pt>
                <c:pt idx="79">
                  <c:v>32.141100000000002</c:v>
                </c:pt>
                <c:pt idx="80">
                  <c:v>32.548999999999999</c:v>
                </c:pt>
                <c:pt idx="81">
                  <c:v>32.956800000000001</c:v>
                </c:pt>
                <c:pt idx="82">
                  <c:v>33.3628</c:v>
                </c:pt>
                <c:pt idx="83">
                  <c:v>33.765700000000002</c:v>
                </c:pt>
                <c:pt idx="84">
                  <c:v>34.177599999999998</c:v>
                </c:pt>
                <c:pt idx="85">
                  <c:v>34.584600000000002</c:v>
                </c:pt>
                <c:pt idx="86">
                  <c:v>34.986400000000003</c:v>
                </c:pt>
                <c:pt idx="87">
                  <c:v>35.390500000000003</c:v>
                </c:pt>
                <c:pt idx="88">
                  <c:v>35.7956</c:v>
                </c:pt>
                <c:pt idx="89">
                  <c:v>36.201700000000002</c:v>
                </c:pt>
                <c:pt idx="90">
                  <c:v>36.609499999999997</c:v>
                </c:pt>
                <c:pt idx="91">
                  <c:v>37.014699999999998</c:v>
                </c:pt>
                <c:pt idx="92">
                  <c:v>37.4251</c:v>
                </c:pt>
                <c:pt idx="93">
                  <c:v>37.83</c:v>
                </c:pt>
                <c:pt idx="94">
                  <c:v>38.237000000000002</c:v>
                </c:pt>
                <c:pt idx="95">
                  <c:v>38.6449</c:v>
                </c:pt>
                <c:pt idx="96">
                  <c:v>39.048999999999999</c:v>
                </c:pt>
                <c:pt idx="97">
                  <c:v>39.455399999999997</c:v>
                </c:pt>
                <c:pt idx="98">
                  <c:v>39.8598</c:v>
                </c:pt>
                <c:pt idx="99">
                  <c:v>40.264499999999998</c:v>
                </c:pt>
                <c:pt idx="100">
                  <c:v>40.673400000000001</c:v>
                </c:pt>
                <c:pt idx="101">
                  <c:v>41.0792</c:v>
                </c:pt>
                <c:pt idx="102">
                  <c:v>41.481099999999998</c:v>
                </c:pt>
                <c:pt idx="103">
                  <c:v>41.891100000000002</c:v>
                </c:pt>
                <c:pt idx="104">
                  <c:v>42.2988</c:v>
                </c:pt>
                <c:pt idx="105">
                  <c:v>42.704700000000003</c:v>
                </c:pt>
                <c:pt idx="106">
                  <c:v>43.111699999999999</c:v>
                </c:pt>
                <c:pt idx="107">
                  <c:v>43.516599999999997</c:v>
                </c:pt>
                <c:pt idx="108">
                  <c:v>43.919499999999999</c:v>
                </c:pt>
                <c:pt idx="109">
                  <c:v>44.330399999999997</c:v>
                </c:pt>
                <c:pt idx="110">
                  <c:v>44.7395</c:v>
                </c:pt>
                <c:pt idx="111">
                  <c:v>45.137599999999999</c:v>
                </c:pt>
                <c:pt idx="112">
                  <c:v>45.551200000000001</c:v>
                </c:pt>
                <c:pt idx="113">
                  <c:v>45.955399999999997</c:v>
                </c:pt>
                <c:pt idx="114">
                  <c:v>46.363999999999997</c:v>
                </c:pt>
                <c:pt idx="115">
                  <c:v>46.765999999999998</c:v>
                </c:pt>
                <c:pt idx="116">
                  <c:v>47.17</c:v>
                </c:pt>
                <c:pt idx="117">
                  <c:v>47.582799999999999</c:v>
                </c:pt>
                <c:pt idx="118">
                  <c:v>47.985999999999997</c:v>
                </c:pt>
                <c:pt idx="119">
                  <c:v>48.391500000000001</c:v>
                </c:pt>
                <c:pt idx="120">
                  <c:v>48.796999999999997</c:v>
                </c:pt>
                <c:pt idx="121">
                  <c:v>49.200400000000002</c:v>
                </c:pt>
                <c:pt idx="122">
                  <c:v>49.6113</c:v>
                </c:pt>
                <c:pt idx="123">
                  <c:v>50.018300000000004</c:v>
                </c:pt>
                <c:pt idx="124">
                  <c:v>50.423200000000001</c:v>
                </c:pt>
                <c:pt idx="125">
                  <c:v>50.828000000000003</c:v>
                </c:pt>
                <c:pt idx="126">
                  <c:v>51.233899999999998</c:v>
                </c:pt>
                <c:pt idx="127">
                  <c:v>51.6432</c:v>
                </c:pt>
                <c:pt idx="128">
                  <c:v>52.044899999999998</c:v>
                </c:pt>
                <c:pt idx="129">
                  <c:v>52.454799999999999</c:v>
                </c:pt>
                <c:pt idx="130">
                  <c:v>52.8626</c:v>
                </c:pt>
                <c:pt idx="131">
                  <c:v>53.268599999999999</c:v>
                </c:pt>
                <c:pt idx="132">
                  <c:v>53.673499999999997</c:v>
                </c:pt>
                <c:pt idx="133">
                  <c:v>54.078299999999999</c:v>
                </c:pt>
                <c:pt idx="134">
                  <c:v>54.482300000000002</c:v>
                </c:pt>
                <c:pt idx="135">
                  <c:v>54.889200000000002</c:v>
                </c:pt>
                <c:pt idx="136">
                  <c:v>55.299300000000002</c:v>
                </c:pt>
                <c:pt idx="137">
                  <c:v>55.705100000000002</c:v>
                </c:pt>
                <c:pt idx="138">
                  <c:v>56.110900000000001</c:v>
                </c:pt>
                <c:pt idx="139">
                  <c:v>56.516100000000002</c:v>
                </c:pt>
                <c:pt idx="140">
                  <c:v>56.921900000000001</c:v>
                </c:pt>
                <c:pt idx="141">
                  <c:v>57.328699999999998</c:v>
                </c:pt>
                <c:pt idx="142">
                  <c:v>57.733600000000003</c:v>
                </c:pt>
                <c:pt idx="143">
                  <c:v>58.140500000000003</c:v>
                </c:pt>
                <c:pt idx="144">
                  <c:v>58.545400000000001</c:v>
                </c:pt>
                <c:pt idx="145">
                  <c:v>58.952399999999997</c:v>
                </c:pt>
                <c:pt idx="146">
                  <c:v>59.361199999999997</c:v>
                </c:pt>
                <c:pt idx="147">
                  <c:v>59.7622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  <c:pt idx="74">
                  <c:v>39.151299999999999</c:v>
                </c:pt>
                <c:pt idx="75">
                  <c:v>39.816699999999997</c:v>
                </c:pt>
                <c:pt idx="76">
                  <c:v>40.341200000000001</c:v>
                </c:pt>
                <c:pt idx="77">
                  <c:v>40.744700000000002</c:v>
                </c:pt>
                <c:pt idx="78">
                  <c:v>41.093499999999999</c:v>
                </c:pt>
                <c:pt idx="79">
                  <c:v>41.363799999999998</c:v>
                </c:pt>
                <c:pt idx="80">
                  <c:v>41.573300000000003</c:v>
                </c:pt>
                <c:pt idx="81">
                  <c:v>41.834900000000005</c:v>
                </c:pt>
                <c:pt idx="82">
                  <c:v>42.089500000000001</c:v>
                </c:pt>
                <c:pt idx="83">
                  <c:v>42.247599999999998</c:v>
                </c:pt>
                <c:pt idx="84">
                  <c:v>42.425200000000004</c:v>
                </c:pt>
                <c:pt idx="85">
                  <c:v>42.625600000000006</c:v>
                </c:pt>
                <c:pt idx="86">
                  <c:v>42.754399999999997</c:v>
                </c:pt>
                <c:pt idx="87">
                  <c:v>42.872599999999998</c:v>
                </c:pt>
                <c:pt idx="88">
                  <c:v>43.011700000000005</c:v>
                </c:pt>
                <c:pt idx="89">
                  <c:v>43.156599999999997</c:v>
                </c:pt>
                <c:pt idx="90">
                  <c:v>43.272599999999997</c:v>
                </c:pt>
                <c:pt idx="91">
                  <c:v>43.342799999999997</c:v>
                </c:pt>
                <c:pt idx="92">
                  <c:v>43.418399999999998</c:v>
                </c:pt>
                <c:pt idx="93">
                  <c:v>43.472899999999996</c:v>
                </c:pt>
                <c:pt idx="94">
                  <c:v>43.524799999999999</c:v>
                </c:pt>
                <c:pt idx="95">
                  <c:v>43.529000000000003</c:v>
                </c:pt>
                <c:pt idx="96">
                  <c:v>43.460999999999999</c:v>
                </c:pt>
                <c:pt idx="97">
                  <c:v>43.342799999999997</c:v>
                </c:pt>
                <c:pt idx="98">
                  <c:v>43.235099999999996</c:v>
                </c:pt>
                <c:pt idx="99">
                  <c:v>43.149700000000003</c:v>
                </c:pt>
                <c:pt idx="100">
                  <c:v>43.037999999999997</c:v>
                </c:pt>
                <c:pt idx="101">
                  <c:v>42.908200000000001</c:v>
                </c:pt>
                <c:pt idx="102">
                  <c:v>42.814900000000002</c:v>
                </c:pt>
                <c:pt idx="103">
                  <c:v>42.682600000000001</c:v>
                </c:pt>
                <c:pt idx="104">
                  <c:v>42.5413</c:v>
                </c:pt>
                <c:pt idx="105">
                  <c:v>42.459699999999998</c:v>
                </c:pt>
                <c:pt idx="106">
                  <c:v>42.408200000000001</c:v>
                </c:pt>
                <c:pt idx="107">
                  <c:v>42.383700000000005</c:v>
                </c:pt>
                <c:pt idx="108">
                  <c:v>42.426199999999994</c:v>
                </c:pt>
                <c:pt idx="109">
                  <c:v>42.458100000000002</c:v>
                </c:pt>
                <c:pt idx="110">
                  <c:v>42.434199999999997</c:v>
                </c:pt>
                <c:pt idx="111">
                  <c:v>42.423100000000005</c:v>
                </c:pt>
                <c:pt idx="112">
                  <c:v>42.402000000000001</c:v>
                </c:pt>
                <c:pt idx="113">
                  <c:v>42.417200000000001</c:v>
                </c:pt>
                <c:pt idx="114">
                  <c:v>42.4452</c:v>
                </c:pt>
                <c:pt idx="115">
                  <c:v>42.461799999999997</c:v>
                </c:pt>
                <c:pt idx="116">
                  <c:v>42.413000000000004</c:v>
                </c:pt>
                <c:pt idx="117">
                  <c:v>42.253700000000002</c:v>
                </c:pt>
                <c:pt idx="118">
                  <c:v>42.099399999999996</c:v>
                </c:pt>
                <c:pt idx="119">
                  <c:v>41.831200000000003</c:v>
                </c:pt>
                <c:pt idx="120">
                  <c:v>41.5595</c:v>
                </c:pt>
                <c:pt idx="121">
                  <c:v>41.353299999999997</c:v>
                </c:pt>
                <c:pt idx="122">
                  <c:v>41.151600000000002</c:v>
                </c:pt>
                <c:pt idx="123">
                  <c:v>40.9437</c:v>
                </c:pt>
                <c:pt idx="124">
                  <c:v>40.944699999999997</c:v>
                </c:pt>
                <c:pt idx="125">
                  <c:v>40.943899999999999</c:v>
                </c:pt>
                <c:pt idx="126">
                  <c:v>40.939900000000002</c:v>
                </c:pt>
                <c:pt idx="127">
                  <c:v>40.9161</c:v>
                </c:pt>
                <c:pt idx="128">
                  <c:v>40.891199999999998</c:v>
                </c:pt>
                <c:pt idx="129">
                  <c:v>40.919899999999998</c:v>
                </c:pt>
                <c:pt idx="130">
                  <c:v>40.943300000000001</c:v>
                </c:pt>
                <c:pt idx="131">
                  <c:v>40.9208</c:v>
                </c:pt>
                <c:pt idx="132">
                  <c:v>40.893799999999999</c:v>
                </c:pt>
                <c:pt idx="133">
                  <c:v>40.9116</c:v>
                </c:pt>
                <c:pt idx="134">
                  <c:v>40.905500000000004</c:v>
                </c:pt>
                <c:pt idx="135">
                  <c:v>40.878500000000003</c:v>
                </c:pt>
                <c:pt idx="136">
                  <c:v>40.8705</c:v>
                </c:pt>
                <c:pt idx="137">
                  <c:v>40.799099999999996</c:v>
                </c:pt>
                <c:pt idx="138">
                  <c:v>40.660000000000004</c:v>
                </c:pt>
                <c:pt idx="139">
                  <c:v>40.479599999999998</c:v>
                </c:pt>
                <c:pt idx="140">
                  <c:v>40.162500000000001</c:v>
                </c:pt>
                <c:pt idx="141">
                  <c:v>39.890799999999999</c:v>
                </c:pt>
                <c:pt idx="142">
                  <c:v>39.554400000000001</c:v>
                </c:pt>
                <c:pt idx="143">
                  <c:v>39.057099999999998</c:v>
                </c:pt>
                <c:pt idx="144">
                  <c:v>38.838000000000001</c:v>
                </c:pt>
                <c:pt idx="145">
                  <c:v>38.731700000000004</c:v>
                </c:pt>
                <c:pt idx="146">
                  <c:v>38.544499999999999</c:v>
                </c:pt>
                <c:pt idx="147">
                  <c:v>38.218400000000003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29.660699999999999</c:v>
                </c:pt>
                <c:pt idx="1">
                  <c:v>30.061599999999999</c:v>
                </c:pt>
                <c:pt idx="2">
                  <c:v>30.5183</c:v>
                </c:pt>
                <c:pt idx="3">
                  <c:v>30.926500000000001</c:v>
                </c:pt>
                <c:pt idx="4">
                  <c:v>31.331299999999999</c:v>
                </c:pt>
                <c:pt idx="5">
                  <c:v>31.7361</c:v>
                </c:pt>
                <c:pt idx="6">
                  <c:v>32.141100000000002</c:v>
                </c:pt>
                <c:pt idx="7">
                  <c:v>32.548999999999999</c:v>
                </c:pt>
                <c:pt idx="8">
                  <c:v>32.956800000000001</c:v>
                </c:pt>
                <c:pt idx="9">
                  <c:v>33.3628</c:v>
                </c:pt>
                <c:pt idx="10">
                  <c:v>33.765700000000002</c:v>
                </c:pt>
                <c:pt idx="11">
                  <c:v>34.177599999999998</c:v>
                </c:pt>
                <c:pt idx="12">
                  <c:v>34.584600000000002</c:v>
                </c:pt>
                <c:pt idx="13">
                  <c:v>34.986400000000003</c:v>
                </c:pt>
                <c:pt idx="14">
                  <c:v>35.390500000000003</c:v>
                </c:pt>
                <c:pt idx="15">
                  <c:v>35.7956</c:v>
                </c:pt>
                <c:pt idx="16">
                  <c:v>36.201700000000002</c:v>
                </c:pt>
                <c:pt idx="17">
                  <c:v>36.609499999999997</c:v>
                </c:pt>
                <c:pt idx="18">
                  <c:v>37.014699999999998</c:v>
                </c:pt>
                <c:pt idx="19">
                  <c:v>37.4251</c:v>
                </c:pt>
                <c:pt idx="20">
                  <c:v>37.83</c:v>
                </c:pt>
                <c:pt idx="21">
                  <c:v>38.237000000000002</c:v>
                </c:pt>
                <c:pt idx="22">
                  <c:v>38.6449</c:v>
                </c:pt>
                <c:pt idx="23">
                  <c:v>39.048999999999999</c:v>
                </c:pt>
                <c:pt idx="24">
                  <c:v>39.455399999999997</c:v>
                </c:pt>
                <c:pt idx="25">
                  <c:v>39.8598</c:v>
                </c:pt>
                <c:pt idx="26">
                  <c:v>40.264499999999998</c:v>
                </c:pt>
                <c:pt idx="27">
                  <c:v>40.673400000000001</c:v>
                </c:pt>
                <c:pt idx="28">
                  <c:v>41.0792</c:v>
                </c:pt>
                <c:pt idx="29">
                  <c:v>41.481099999999998</c:v>
                </c:pt>
                <c:pt idx="30">
                  <c:v>41.891100000000002</c:v>
                </c:pt>
                <c:pt idx="31">
                  <c:v>42.2988</c:v>
                </c:pt>
                <c:pt idx="32">
                  <c:v>42.704700000000003</c:v>
                </c:pt>
                <c:pt idx="33">
                  <c:v>43.111699999999999</c:v>
                </c:pt>
                <c:pt idx="34">
                  <c:v>43.516599999999997</c:v>
                </c:pt>
                <c:pt idx="35">
                  <c:v>43.919499999999999</c:v>
                </c:pt>
                <c:pt idx="36">
                  <c:v>44.330399999999997</c:v>
                </c:pt>
                <c:pt idx="37">
                  <c:v>44.7395</c:v>
                </c:pt>
                <c:pt idx="38">
                  <c:v>45.137599999999999</c:v>
                </c:pt>
                <c:pt idx="39">
                  <c:v>45.551200000000001</c:v>
                </c:pt>
                <c:pt idx="40">
                  <c:v>45.955399999999997</c:v>
                </c:pt>
                <c:pt idx="41">
                  <c:v>46.363999999999997</c:v>
                </c:pt>
                <c:pt idx="42">
                  <c:v>46.765999999999998</c:v>
                </c:pt>
                <c:pt idx="43">
                  <c:v>47.17</c:v>
                </c:pt>
                <c:pt idx="44">
                  <c:v>47.582799999999999</c:v>
                </c:pt>
                <c:pt idx="45">
                  <c:v>47.985999999999997</c:v>
                </c:pt>
                <c:pt idx="46">
                  <c:v>48.391500000000001</c:v>
                </c:pt>
                <c:pt idx="47">
                  <c:v>48.796999999999997</c:v>
                </c:pt>
                <c:pt idx="48">
                  <c:v>49.200400000000002</c:v>
                </c:pt>
                <c:pt idx="49">
                  <c:v>49.6113</c:v>
                </c:pt>
                <c:pt idx="50">
                  <c:v>50.018300000000004</c:v>
                </c:pt>
                <c:pt idx="51">
                  <c:v>50.423200000000001</c:v>
                </c:pt>
                <c:pt idx="52">
                  <c:v>50.828000000000003</c:v>
                </c:pt>
                <c:pt idx="53">
                  <c:v>51.233899999999998</c:v>
                </c:pt>
                <c:pt idx="54">
                  <c:v>51.6432</c:v>
                </c:pt>
                <c:pt idx="55">
                  <c:v>52.044899999999998</c:v>
                </c:pt>
                <c:pt idx="56">
                  <c:v>52.454799999999999</c:v>
                </c:pt>
                <c:pt idx="57">
                  <c:v>52.8626</c:v>
                </c:pt>
                <c:pt idx="58">
                  <c:v>53.268599999999999</c:v>
                </c:pt>
                <c:pt idx="59">
                  <c:v>53.673499999999997</c:v>
                </c:pt>
                <c:pt idx="60">
                  <c:v>54.078299999999999</c:v>
                </c:pt>
                <c:pt idx="61">
                  <c:v>54.482300000000002</c:v>
                </c:pt>
                <c:pt idx="62">
                  <c:v>54.889200000000002</c:v>
                </c:pt>
                <c:pt idx="63">
                  <c:v>55.299300000000002</c:v>
                </c:pt>
                <c:pt idx="64">
                  <c:v>55.705100000000002</c:v>
                </c:pt>
                <c:pt idx="65">
                  <c:v>56.110900000000001</c:v>
                </c:pt>
                <c:pt idx="66">
                  <c:v>56.516100000000002</c:v>
                </c:pt>
                <c:pt idx="67">
                  <c:v>56.921900000000001</c:v>
                </c:pt>
                <c:pt idx="68">
                  <c:v>57.328699999999998</c:v>
                </c:pt>
                <c:pt idx="69">
                  <c:v>57.733600000000003</c:v>
                </c:pt>
                <c:pt idx="70">
                  <c:v>58.140500000000003</c:v>
                </c:pt>
                <c:pt idx="71">
                  <c:v>58.545400000000001</c:v>
                </c:pt>
                <c:pt idx="72">
                  <c:v>58.952399999999997</c:v>
                </c:pt>
                <c:pt idx="73">
                  <c:v>59.361199999999997</c:v>
                </c:pt>
                <c:pt idx="74">
                  <c:v>59.7622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38.643799999999999</c:v>
                </c:pt>
                <c:pt idx="1">
                  <c:v>39.151299999999999</c:v>
                </c:pt>
                <c:pt idx="2">
                  <c:v>39.816699999999997</c:v>
                </c:pt>
                <c:pt idx="3">
                  <c:v>40.341200000000001</c:v>
                </c:pt>
                <c:pt idx="4">
                  <c:v>40.744700000000002</c:v>
                </c:pt>
                <c:pt idx="5">
                  <c:v>41.093499999999999</c:v>
                </c:pt>
                <c:pt idx="6">
                  <c:v>41.363799999999998</c:v>
                </c:pt>
                <c:pt idx="7">
                  <c:v>41.573300000000003</c:v>
                </c:pt>
                <c:pt idx="8">
                  <c:v>41.834900000000005</c:v>
                </c:pt>
                <c:pt idx="9">
                  <c:v>42.089500000000001</c:v>
                </c:pt>
                <c:pt idx="10">
                  <c:v>42.247599999999998</c:v>
                </c:pt>
                <c:pt idx="11">
                  <c:v>42.425200000000004</c:v>
                </c:pt>
                <c:pt idx="12">
                  <c:v>42.625600000000006</c:v>
                </c:pt>
                <c:pt idx="13">
                  <c:v>42.754399999999997</c:v>
                </c:pt>
                <c:pt idx="14">
                  <c:v>42.872599999999998</c:v>
                </c:pt>
                <c:pt idx="15">
                  <c:v>43.011700000000005</c:v>
                </c:pt>
                <c:pt idx="16">
                  <c:v>43.156599999999997</c:v>
                </c:pt>
                <c:pt idx="17">
                  <c:v>43.272599999999997</c:v>
                </c:pt>
                <c:pt idx="18">
                  <c:v>43.342799999999997</c:v>
                </c:pt>
                <c:pt idx="19">
                  <c:v>43.418399999999998</c:v>
                </c:pt>
                <c:pt idx="20">
                  <c:v>43.472899999999996</c:v>
                </c:pt>
                <c:pt idx="21">
                  <c:v>43.524799999999999</c:v>
                </c:pt>
                <c:pt idx="22">
                  <c:v>43.529000000000003</c:v>
                </c:pt>
                <c:pt idx="23">
                  <c:v>43.460999999999999</c:v>
                </c:pt>
                <c:pt idx="24">
                  <c:v>43.342799999999997</c:v>
                </c:pt>
                <c:pt idx="25">
                  <c:v>43.235099999999996</c:v>
                </c:pt>
                <c:pt idx="26">
                  <c:v>43.149700000000003</c:v>
                </c:pt>
                <c:pt idx="27">
                  <c:v>43.037999999999997</c:v>
                </c:pt>
                <c:pt idx="28">
                  <c:v>42.908200000000001</c:v>
                </c:pt>
                <c:pt idx="29">
                  <c:v>42.814900000000002</c:v>
                </c:pt>
                <c:pt idx="30">
                  <c:v>42.682600000000001</c:v>
                </c:pt>
                <c:pt idx="31">
                  <c:v>42.5413</c:v>
                </c:pt>
                <c:pt idx="32">
                  <c:v>42.459699999999998</c:v>
                </c:pt>
                <c:pt idx="33">
                  <c:v>42.408200000000001</c:v>
                </c:pt>
                <c:pt idx="34">
                  <c:v>42.383700000000005</c:v>
                </c:pt>
                <c:pt idx="35">
                  <c:v>42.426199999999994</c:v>
                </c:pt>
                <c:pt idx="36">
                  <c:v>42.458100000000002</c:v>
                </c:pt>
                <c:pt idx="37">
                  <c:v>42.434199999999997</c:v>
                </c:pt>
                <c:pt idx="38">
                  <c:v>42.423100000000005</c:v>
                </c:pt>
                <c:pt idx="39">
                  <c:v>42.402000000000001</c:v>
                </c:pt>
                <c:pt idx="40">
                  <c:v>42.417200000000001</c:v>
                </c:pt>
                <c:pt idx="41">
                  <c:v>42.4452</c:v>
                </c:pt>
                <c:pt idx="42">
                  <c:v>42.461799999999997</c:v>
                </c:pt>
                <c:pt idx="43">
                  <c:v>42.413000000000004</c:v>
                </c:pt>
                <c:pt idx="44">
                  <c:v>42.253700000000002</c:v>
                </c:pt>
                <c:pt idx="45">
                  <c:v>42.099399999999996</c:v>
                </c:pt>
                <c:pt idx="46">
                  <c:v>41.831200000000003</c:v>
                </c:pt>
                <c:pt idx="47">
                  <c:v>41.5595</c:v>
                </c:pt>
                <c:pt idx="48">
                  <c:v>41.353299999999997</c:v>
                </c:pt>
                <c:pt idx="49">
                  <c:v>41.151600000000002</c:v>
                </c:pt>
                <c:pt idx="50">
                  <c:v>40.9437</c:v>
                </c:pt>
                <c:pt idx="51">
                  <c:v>40.944699999999997</c:v>
                </c:pt>
                <c:pt idx="52">
                  <c:v>40.943899999999999</c:v>
                </c:pt>
                <c:pt idx="53">
                  <c:v>40.939900000000002</c:v>
                </c:pt>
                <c:pt idx="54">
                  <c:v>40.9161</c:v>
                </c:pt>
                <c:pt idx="55">
                  <c:v>40.891199999999998</c:v>
                </c:pt>
                <c:pt idx="56">
                  <c:v>40.919899999999998</c:v>
                </c:pt>
                <c:pt idx="57">
                  <c:v>40.943300000000001</c:v>
                </c:pt>
                <c:pt idx="58">
                  <c:v>40.9208</c:v>
                </c:pt>
                <c:pt idx="59">
                  <c:v>40.893799999999999</c:v>
                </c:pt>
                <c:pt idx="60">
                  <c:v>40.9116</c:v>
                </c:pt>
                <c:pt idx="61">
                  <c:v>40.905500000000004</c:v>
                </c:pt>
                <c:pt idx="62">
                  <c:v>40.878500000000003</c:v>
                </c:pt>
                <c:pt idx="63">
                  <c:v>40.8705</c:v>
                </c:pt>
                <c:pt idx="64">
                  <c:v>40.799099999999996</c:v>
                </c:pt>
                <c:pt idx="65">
                  <c:v>40.660000000000004</c:v>
                </c:pt>
                <c:pt idx="66">
                  <c:v>40.479599999999998</c:v>
                </c:pt>
                <c:pt idx="67">
                  <c:v>40.162500000000001</c:v>
                </c:pt>
                <c:pt idx="68">
                  <c:v>39.890799999999999</c:v>
                </c:pt>
                <c:pt idx="69">
                  <c:v>39.554400000000001</c:v>
                </c:pt>
                <c:pt idx="70">
                  <c:v>39.057099999999998</c:v>
                </c:pt>
                <c:pt idx="71">
                  <c:v>38.838000000000001</c:v>
                </c:pt>
                <c:pt idx="72">
                  <c:v>38.731700000000004</c:v>
                </c:pt>
                <c:pt idx="73">
                  <c:v>38.544499999999999</c:v>
                </c:pt>
                <c:pt idx="74">
                  <c:v>38.218400000000003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36.111362162162152</c:v>
                </c:pt>
                <c:pt idx="1">
                  <c:v>41.648341891891896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45.3675</c:v>
                </c:pt>
                <c:pt idx="1">
                  <c:v>20.684999999999999</c:v>
                </c:pt>
                <c:pt idx="2">
                  <c:v>30.234400000000001</c:v>
                </c:pt>
                <c:pt idx="3">
                  <c:v>33.544499999999999</c:v>
                </c:pt>
                <c:pt idx="4">
                  <c:v>67.813000000000002</c:v>
                </c:pt>
                <c:pt idx="5">
                  <c:v>85.206400000000002</c:v>
                </c:pt>
                <c:pt idx="6">
                  <c:v>28.2408</c:v>
                </c:pt>
                <c:pt idx="7">
                  <c:v>76.348200000000006</c:v>
                </c:pt>
                <c:pt idx="8">
                  <c:v>11.9863</c:v>
                </c:pt>
                <c:pt idx="9">
                  <c:v>10.816700000000001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38.5426</c:v>
                </c:pt>
                <c:pt idx="1">
                  <c:v>25.489599999999999</c:v>
                </c:pt>
                <c:pt idx="2">
                  <c:v>36.375</c:v>
                </c:pt>
                <c:pt idx="3">
                  <c:v>33.622300000000003</c:v>
                </c:pt>
                <c:pt idx="4">
                  <c:v>60.901699999999998</c:v>
                </c:pt>
                <c:pt idx="5">
                  <c:v>84.429100000000005</c:v>
                </c:pt>
                <c:pt idx="6">
                  <c:v>20.272300000000001</c:v>
                </c:pt>
                <c:pt idx="7">
                  <c:v>71.728999999999999</c:v>
                </c:pt>
                <c:pt idx="8">
                  <c:v>11.346500000000001</c:v>
                </c:pt>
                <c:pt idx="9">
                  <c:v>9.2458200000000001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0.59487564594784204</c:v>
                </c:pt>
                <c:pt idx="1">
                  <c:v>0.29980985844915253</c:v>
                </c:pt>
                <c:pt idx="2">
                  <c:v>0.10531449560300551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454</c:v>
                </c:pt>
                <c:pt idx="7">
                  <c:v>0</c:v>
                </c:pt>
                <c:pt idx="8">
                  <c:v>3520</c:v>
                </c:pt>
                <c:pt idx="9">
                  <c:v>0</c:v>
                </c:pt>
                <c:pt idx="10">
                  <c:v>0</c:v>
                </c:pt>
                <c:pt idx="11">
                  <c:v>4558</c:v>
                </c:pt>
                <c:pt idx="12">
                  <c:v>0</c:v>
                </c:pt>
                <c:pt idx="13">
                  <c:v>7189</c:v>
                </c:pt>
                <c:pt idx="14">
                  <c:v>0</c:v>
                </c:pt>
                <c:pt idx="15">
                  <c:v>0</c:v>
                </c:pt>
                <c:pt idx="16">
                  <c:v>9173</c:v>
                </c:pt>
                <c:pt idx="17">
                  <c:v>0</c:v>
                </c:pt>
                <c:pt idx="18">
                  <c:v>0</c:v>
                </c:pt>
                <c:pt idx="19">
                  <c:v>10132</c:v>
                </c:pt>
                <c:pt idx="20">
                  <c:v>0</c:v>
                </c:pt>
                <c:pt idx="21">
                  <c:v>8980</c:v>
                </c:pt>
                <c:pt idx="22">
                  <c:v>0</c:v>
                </c:pt>
                <c:pt idx="23">
                  <c:v>0</c:v>
                </c:pt>
                <c:pt idx="24">
                  <c:v>11190</c:v>
                </c:pt>
                <c:pt idx="25">
                  <c:v>0</c:v>
                </c:pt>
                <c:pt idx="26">
                  <c:v>15365</c:v>
                </c:pt>
                <c:pt idx="27">
                  <c:v>0</c:v>
                </c:pt>
                <c:pt idx="28">
                  <c:v>0</c:v>
                </c:pt>
                <c:pt idx="29">
                  <c:v>19227</c:v>
                </c:pt>
                <c:pt idx="30">
                  <c:v>0</c:v>
                </c:pt>
                <c:pt idx="31">
                  <c:v>21133</c:v>
                </c:pt>
                <c:pt idx="32">
                  <c:v>0</c:v>
                </c:pt>
                <c:pt idx="33">
                  <c:v>0</c:v>
                </c:pt>
                <c:pt idx="34">
                  <c:v>28124</c:v>
                </c:pt>
                <c:pt idx="35">
                  <c:v>0</c:v>
                </c:pt>
                <c:pt idx="36">
                  <c:v>0</c:v>
                </c:pt>
                <c:pt idx="37">
                  <c:v>36491</c:v>
                </c:pt>
                <c:pt idx="38">
                  <c:v>0</c:v>
                </c:pt>
                <c:pt idx="39">
                  <c:v>36442</c:v>
                </c:pt>
                <c:pt idx="40">
                  <c:v>0</c:v>
                </c:pt>
                <c:pt idx="41">
                  <c:v>0</c:v>
                </c:pt>
                <c:pt idx="42">
                  <c:v>39865</c:v>
                </c:pt>
                <c:pt idx="43">
                  <c:v>0</c:v>
                </c:pt>
                <c:pt idx="44">
                  <c:v>38732</c:v>
                </c:pt>
                <c:pt idx="45">
                  <c:v>0</c:v>
                </c:pt>
                <c:pt idx="46">
                  <c:v>0</c:v>
                </c:pt>
                <c:pt idx="47">
                  <c:v>39222</c:v>
                </c:pt>
                <c:pt idx="48">
                  <c:v>0</c:v>
                </c:pt>
                <c:pt idx="49">
                  <c:v>38535</c:v>
                </c:pt>
                <c:pt idx="50">
                  <c:v>0</c:v>
                </c:pt>
                <c:pt idx="51">
                  <c:v>0</c:v>
                </c:pt>
                <c:pt idx="52">
                  <c:v>43247</c:v>
                </c:pt>
                <c:pt idx="53">
                  <c:v>0</c:v>
                </c:pt>
                <c:pt idx="54">
                  <c:v>0</c:v>
                </c:pt>
                <c:pt idx="55">
                  <c:v>38372</c:v>
                </c:pt>
                <c:pt idx="56">
                  <c:v>0</c:v>
                </c:pt>
                <c:pt idx="57">
                  <c:v>42353</c:v>
                </c:pt>
                <c:pt idx="58">
                  <c:v>0</c:v>
                </c:pt>
                <c:pt idx="59">
                  <c:v>0</c:v>
                </c:pt>
                <c:pt idx="60">
                  <c:v>41848</c:v>
                </c:pt>
                <c:pt idx="61">
                  <c:v>0</c:v>
                </c:pt>
                <c:pt idx="62">
                  <c:v>50347</c:v>
                </c:pt>
                <c:pt idx="63">
                  <c:v>0</c:v>
                </c:pt>
                <c:pt idx="64">
                  <c:v>0</c:v>
                </c:pt>
                <c:pt idx="65">
                  <c:v>57274</c:v>
                </c:pt>
                <c:pt idx="66">
                  <c:v>0</c:v>
                </c:pt>
                <c:pt idx="67">
                  <c:v>53763</c:v>
                </c:pt>
                <c:pt idx="68">
                  <c:v>0</c:v>
                </c:pt>
                <c:pt idx="69">
                  <c:v>0</c:v>
                </c:pt>
                <c:pt idx="70">
                  <c:v>55153</c:v>
                </c:pt>
                <c:pt idx="71">
                  <c:v>0</c:v>
                </c:pt>
                <c:pt idx="72">
                  <c:v>0</c:v>
                </c:pt>
                <c:pt idx="73">
                  <c:v>58290</c:v>
                </c:pt>
                <c:pt idx="74">
                  <c:v>0</c:v>
                </c:pt>
                <c:pt idx="75">
                  <c:v>60440</c:v>
                </c:pt>
                <c:pt idx="76">
                  <c:v>0</c:v>
                </c:pt>
                <c:pt idx="77">
                  <c:v>0</c:v>
                </c:pt>
                <c:pt idx="78">
                  <c:v>60029</c:v>
                </c:pt>
                <c:pt idx="79">
                  <c:v>0</c:v>
                </c:pt>
                <c:pt idx="80">
                  <c:v>61200</c:v>
                </c:pt>
                <c:pt idx="81">
                  <c:v>0</c:v>
                </c:pt>
                <c:pt idx="82">
                  <c:v>0</c:v>
                </c:pt>
                <c:pt idx="83">
                  <c:v>65346</c:v>
                </c:pt>
                <c:pt idx="84">
                  <c:v>0</c:v>
                </c:pt>
                <c:pt idx="85">
                  <c:v>0</c:v>
                </c:pt>
                <c:pt idx="86">
                  <c:v>67372</c:v>
                </c:pt>
                <c:pt idx="87">
                  <c:v>0</c:v>
                </c:pt>
                <c:pt idx="88">
                  <c:v>68102</c:v>
                </c:pt>
                <c:pt idx="89">
                  <c:v>0</c:v>
                </c:pt>
                <c:pt idx="90">
                  <c:v>0</c:v>
                </c:pt>
                <c:pt idx="91">
                  <c:v>66825</c:v>
                </c:pt>
                <c:pt idx="92">
                  <c:v>0</c:v>
                </c:pt>
                <c:pt idx="93">
                  <c:v>68330</c:v>
                </c:pt>
                <c:pt idx="94">
                  <c:v>0</c:v>
                </c:pt>
                <c:pt idx="95">
                  <c:v>0</c:v>
                </c:pt>
                <c:pt idx="96">
                  <c:v>67074</c:v>
                </c:pt>
                <c:pt idx="97">
                  <c:v>0</c:v>
                </c:pt>
                <c:pt idx="98">
                  <c:v>72437</c:v>
                </c:pt>
                <c:pt idx="99">
                  <c:v>0</c:v>
                </c:pt>
                <c:pt idx="100">
                  <c:v>0</c:v>
                </c:pt>
                <c:pt idx="101">
                  <c:v>74373</c:v>
                </c:pt>
                <c:pt idx="102">
                  <c:v>0</c:v>
                </c:pt>
                <c:pt idx="103">
                  <c:v>0</c:v>
                </c:pt>
                <c:pt idx="104">
                  <c:v>71030</c:v>
                </c:pt>
                <c:pt idx="105">
                  <c:v>0</c:v>
                </c:pt>
                <c:pt idx="106">
                  <c:v>72490</c:v>
                </c:pt>
                <c:pt idx="107">
                  <c:v>0</c:v>
                </c:pt>
                <c:pt idx="108">
                  <c:v>0</c:v>
                </c:pt>
                <c:pt idx="109">
                  <c:v>71907</c:v>
                </c:pt>
                <c:pt idx="110">
                  <c:v>0</c:v>
                </c:pt>
                <c:pt idx="111">
                  <c:v>73351</c:v>
                </c:pt>
                <c:pt idx="112">
                  <c:v>0</c:v>
                </c:pt>
                <c:pt idx="113">
                  <c:v>0</c:v>
                </c:pt>
                <c:pt idx="114">
                  <c:v>71327</c:v>
                </c:pt>
                <c:pt idx="115">
                  <c:v>0</c:v>
                </c:pt>
                <c:pt idx="116">
                  <c:v>68941</c:v>
                </c:pt>
                <c:pt idx="117">
                  <c:v>0</c:v>
                </c:pt>
                <c:pt idx="118">
                  <c:v>0</c:v>
                </c:pt>
                <c:pt idx="119">
                  <c:v>65089</c:v>
                </c:pt>
                <c:pt idx="120">
                  <c:v>0</c:v>
                </c:pt>
                <c:pt idx="121">
                  <c:v>0</c:v>
                </c:pt>
                <c:pt idx="122">
                  <c:v>70247</c:v>
                </c:pt>
                <c:pt idx="123">
                  <c:v>0</c:v>
                </c:pt>
                <c:pt idx="124">
                  <c:v>69346</c:v>
                </c:pt>
                <c:pt idx="125">
                  <c:v>0</c:v>
                </c:pt>
                <c:pt idx="126">
                  <c:v>0</c:v>
                </c:pt>
                <c:pt idx="127">
                  <c:v>68263</c:v>
                </c:pt>
                <c:pt idx="128">
                  <c:v>0</c:v>
                </c:pt>
                <c:pt idx="129">
                  <c:v>66241</c:v>
                </c:pt>
                <c:pt idx="130">
                  <c:v>0</c:v>
                </c:pt>
                <c:pt idx="131">
                  <c:v>0</c:v>
                </c:pt>
                <c:pt idx="132">
                  <c:v>66095</c:v>
                </c:pt>
                <c:pt idx="133">
                  <c:v>0</c:v>
                </c:pt>
                <c:pt idx="134">
                  <c:v>59984</c:v>
                </c:pt>
                <c:pt idx="135">
                  <c:v>0</c:v>
                </c:pt>
                <c:pt idx="136">
                  <c:v>0</c:v>
                </c:pt>
                <c:pt idx="137">
                  <c:v>59752</c:v>
                </c:pt>
                <c:pt idx="138">
                  <c:v>0</c:v>
                </c:pt>
                <c:pt idx="139">
                  <c:v>0</c:v>
                </c:pt>
                <c:pt idx="140">
                  <c:v>54934</c:v>
                </c:pt>
                <c:pt idx="141">
                  <c:v>0</c:v>
                </c:pt>
                <c:pt idx="142">
                  <c:v>50513</c:v>
                </c:pt>
                <c:pt idx="143">
                  <c:v>0</c:v>
                </c:pt>
                <c:pt idx="144">
                  <c:v>0</c:v>
                </c:pt>
                <c:pt idx="145">
                  <c:v>45785</c:v>
                </c:pt>
                <c:pt idx="146">
                  <c:v>0</c:v>
                </c:pt>
                <c:pt idx="147">
                  <c:v>43973</c:v>
                </c:pt>
                <c:pt idx="148">
                  <c:v>0</c:v>
                </c:pt>
                <c:pt idx="149">
                  <c:v>0</c:v>
                </c:pt>
                <c:pt idx="150">
                  <c:v>38807</c:v>
                </c:pt>
                <c:pt idx="151">
                  <c:v>0</c:v>
                </c:pt>
                <c:pt idx="152">
                  <c:v>38613</c:v>
                </c:pt>
                <c:pt idx="153">
                  <c:v>0</c:v>
                </c:pt>
                <c:pt idx="154">
                  <c:v>0</c:v>
                </c:pt>
                <c:pt idx="155">
                  <c:v>34603</c:v>
                </c:pt>
                <c:pt idx="156">
                  <c:v>0</c:v>
                </c:pt>
                <c:pt idx="157">
                  <c:v>0</c:v>
                </c:pt>
                <c:pt idx="158">
                  <c:v>36497</c:v>
                </c:pt>
                <c:pt idx="159">
                  <c:v>0</c:v>
                </c:pt>
                <c:pt idx="160">
                  <c:v>30870</c:v>
                </c:pt>
                <c:pt idx="161">
                  <c:v>0</c:v>
                </c:pt>
                <c:pt idx="162">
                  <c:v>0</c:v>
                </c:pt>
                <c:pt idx="163">
                  <c:v>27713</c:v>
                </c:pt>
                <c:pt idx="164">
                  <c:v>0</c:v>
                </c:pt>
                <c:pt idx="165">
                  <c:v>25480</c:v>
                </c:pt>
                <c:pt idx="166">
                  <c:v>0</c:v>
                </c:pt>
                <c:pt idx="167">
                  <c:v>0</c:v>
                </c:pt>
                <c:pt idx="168">
                  <c:v>23030</c:v>
                </c:pt>
                <c:pt idx="169">
                  <c:v>0</c:v>
                </c:pt>
                <c:pt idx="170">
                  <c:v>0</c:v>
                </c:pt>
                <c:pt idx="171">
                  <c:v>20925</c:v>
                </c:pt>
                <c:pt idx="172">
                  <c:v>0</c:v>
                </c:pt>
                <c:pt idx="173">
                  <c:v>15786</c:v>
                </c:pt>
                <c:pt idx="174">
                  <c:v>0</c:v>
                </c:pt>
                <c:pt idx="175">
                  <c:v>0</c:v>
                </c:pt>
                <c:pt idx="176">
                  <c:v>14206</c:v>
                </c:pt>
                <c:pt idx="177">
                  <c:v>0</c:v>
                </c:pt>
                <c:pt idx="178">
                  <c:v>13059</c:v>
                </c:pt>
                <c:pt idx="179">
                  <c:v>0</c:v>
                </c:pt>
                <c:pt idx="180">
                  <c:v>0</c:v>
                </c:pt>
                <c:pt idx="181">
                  <c:v>7576</c:v>
                </c:pt>
                <c:pt idx="182">
                  <c:v>0</c:v>
                </c:pt>
                <c:pt idx="183">
                  <c:v>4528</c:v>
                </c:pt>
                <c:pt idx="184">
                  <c:v>0</c:v>
                </c:pt>
                <c:pt idx="185">
                  <c:v>0</c:v>
                </c:pt>
                <c:pt idx="186">
                  <c:v>3547</c:v>
                </c:pt>
                <c:pt idx="187">
                  <c:v>0</c:v>
                </c:pt>
                <c:pt idx="188">
                  <c:v>0</c:v>
                </c:pt>
                <c:pt idx="189">
                  <c:v>966</c:v>
                </c:pt>
                <c:pt idx="190">
                  <c:v>0</c:v>
                </c:pt>
                <c:pt idx="191">
                  <c:v>892</c:v>
                </c:pt>
                <c:pt idx="192">
                  <c:v>0</c:v>
                </c:pt>
                <c:pt idx="193">
                  <c:v>0</c:v>
                </c:pt>
                <c:pt idx="194">
                  <c:v>448</c:v>
                </c:pt>
                <c:pt idx="195">
                  <c:v>0</c:v>
                </c:pt>
                <c:pt idx="196">
                  <c:v>585</c:v>
                </c:pt>
                <c:pt idx="197">
                  <c:v>0</c:v>
                </c:pt>
                <c:pt idx="198">
                  <c:v>0</c:v>
                </c:pt>
                <c:pt idx="199">
                  <c:v>647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1604</c:v>
                </c:pt>
                <c:pt idx="7">
                  <c:v>0</c:v>
                </c:pt>
                <c:pt idx="8">
                  <c:v>9074</c:v>
                </c:pt>
                <c:pt idx="9">
                  <c:v>0</c:v>
                </c:pt>
                <c:pt idx="10">
                  <c:v>0</c:v>
                </c:pt>
                <c:pt idx="11">
                  <c:v>13486</c:v>
                </c:pt>
                <c:pt idx="12">
                  <c:v>0</c:v>
                </c:pt>
                <c:pt idx="13">
                  <c:v>13127</c:v>
                </c:pt>
                <c:pt idx="14">
                  <c:v>0</c:v>
                </c:pt>
                <c:pt idx="15">
                  <c:v>0</c:v>
                </c:pt>
                <c:pt idx="16">
                  <c:v>14134</c:v>
                </c:pt>
                <c:pt idx="17">
                  <c:v>0</c:v>
                </c:pt>
                <c:pt idx="18">
                  <c:v>0</c:v>
                </c:pt>
                <c:pt idx="19">
                  <c:v>9233</c:v>
                </c:pt>
                <c:pt idx="20">
                  <c:v>0</c:v>
                </c:pt>
                <c:pt idx="21">
                  <c:v>9220</c:v>
                </c:pt>
                <c:pt idx="22">
                  <c:v>0</c:v>
                </c:pt>
                <c:pt idx="23">
                  <c:v>0</c:v>
                </c:pt>
                <c:pt idx="24">
                  <c:v>11716</c:v>
                </c:pt>
                <c:pt idx="25">
                  <c:v>0</c:v>
                </c:pt>
                <c:pt idx="26">
                  <c:v>11109</c:v>
                </c:pt>
                <c:pt idx="27">
                  <c:v>0</c:v>
                </c:pt>
                <c:pt idx="28">
                  <c:v>0</c:v>
                </c:pt>
                <c:pt idx="29">
                  <c:v>14290</c:v>
                </c:pt>
                <c:pt idx="30">
                  <c:v>0</c:v>
                </c:pt>
                <c:pt idx="31">
                  <c:v>17938</c:v>
                </c:pt>
                <c:pt idx="32">
                  <c:v>0</c:v>
                </c:pt>
                <c:pt idx="33">
                  <c:v>0</c:v>
                </c:pt>
                <c:pt idx="34">
                  <c:v>19251</c:v>
                </c:pt>
                <c:pt idx="35">
                  <c:v>0</c:v>
                </c:pt>
                <c:pt idx="36">
                  <c:v>0</c:v>
                </c:pt>
                <c:pt idx="37">
                  <c:v>25095</c:v>
                </c:pt>
                <c:pt idx="38">
                  <c:v>0</c:v>
                </c:pt>
                <c:pt idx="39">
                  <c:v>29123</c:v>
                </c:pt>
                <c:pt idx="40">
                  <c:v>0</c:v>
                </c:pt>
                <c:pt idx="41">
                  <c:v>0</c:v>
                </c:pt>
                <c:pt idx="42">
                  <c:v>33824</c:v>
                </c:pt>
                <c:pt idx="43">
                  <c:v>0</c:v>
                </c:pt>
                <c:pt idx="44">
                  <c:v>37679</c:v>
                </c:pt>
                <c:pt idx="45">
                  <c:v>0</c:v>
                </c:pt>
                <c:pt idx="46">
                  <c:v>0</c:v>
                </c:pt>
                <c:pt idx="47">
                  <c:v>43120</c:v>
                </c:pt>
                <c:pt idx="48">
                  <c:v>0</c:v>
                </c:pt>
                <c:pt idx="49">
                  <c:v>44986</c:v>
                </c:pt>
                <c:pt idx="50">
                  <c:v>0</c:v>
                </c:pt>
                <c:pt idx="51">
                  <c:v>0</c:v>
                </c:pt>
                <c:pt idx="52">
                  <c:v>50237</c:v>
                </c:pt>
                <c:pt idx="53">
                  <c:v>0</c:v>
                </c:pt>
                <c:pt idx="54">
                  <c:v>0</c:v>
                </c:pt>
                <c:pt idx="55">
                  <c:v>51505</c:v>
                </c:pt>
                <c:pt idx="56">
                  <c:v>0</c:v>
                </c:pt>
                <c:pt idx="57">
                  <c:v>53935</c:v>
                </c:pt>
                <c:pt idx="58">
                  <c:v>0</c:v>
                </c:pt>
                <c:pt idx="59">
                  <c:v>0</c:v>
                </c:pt>
                <c:pt idx="60">
                  <c:v>57812</c:v>
                </c:pt>
                <c:pt idx="61">
                  <c:v>0</c:v>
                </c:pt>
                <c:pt idx="62">
                  <c:v>67667</c:v>
                </c:pt>
                <c:pt idx="63">
                  <c:v>0</c:v>
                </c:pt>
                <c:pt idx="64">
                  <c:v>0</c:v>
                </c:pt>
                <c:pt idx="65">
                  <c:v>77927</c:v>
                </c:pt>
                <c:pt idx="66">
                  <c:v>0</c:v>
                </c:pt>
                <c:pt idx="67">
                  <c:v>84825</c:v>
                </c:pt>
                <c:pt idx="68">
                  <c:v>0</c:v>
                </c:pt>
                <c:pt idx="69">
                  <c:v>0</c:v>
                </c:pt>
                <c:pt idx="70">
                  <c:v>96103</c:v>
                </c:pt>
                <c:pt idx="71">
                  <c:v>0</c:v>
                </c:pt>
                <c:pt idx="72">
                  <c:v>0</c:v>
                </c:pt>
                <c:pt idx="73">
                  <c:v>103571</c:v>
                </c:pt>
                <c:pt idx="74">
                  <c:v>0</c:v>
                </c:pt>
                <c:pt idx="75">
                  <c:v>108657</c:v>
                </c:pt>
                <c:pt idx="76">
                  <c:v>0</c:v>
                </c:pt>
                <c:pt idx="77">
                  <c:v>0</c:v>
                </c:pt>
                <c:pt idx="78">
                  <c:v>111111</c:v>
                </c:pt>
                <c:pt idx="79">
                  <c:v>0</c:v>
                </c:pt>
                <c:pt idx="80">
                  <c:v>109701</c:v>
                </c:pt>
                <c:pt idx="81">
                  <c:v>0</c:v>
                </c:pt>
                <c:pt idx="82">
                  <c:v>0</c:v>
                </c:pt>
                <c:pt idx="83">
                  <c:v>94883</c:v>
                </c:pt>
                <c:pt idx="84">
                  <c:v>0</c:v>
                </c:pt>
                <c:pt idx="85">
                  <c:v>0</c:v>
                </c:pt>
                <c:pt idx="86">
                  <c:v>94446</c:v>
                </c:pt>
                <c:pt idx="87">
                  <c:v>0</c:v>
                </c:pt>
                <c:pt idx="88">
                  <c:v>90806</c:v>
                </c:pt>
                <c:pt idx="89">
                  <c:v>0</c:v>
                </c:pt>
                <c:pt idx="90">
                  <c:v>0</c:v>
                </c:pt>
                <c:pt idx="91">
                  <c:v>86477</c:v>
                </c:pt>
                <c:pt idx="92">
                  <c:v>0</c:v>
                </c:pt>
                <c:pt idx="93">
                  <c:v>83074</c:v>
                </c:pt>
                <c:pt idx="94">
                  <c:v>0</c:v>
                </c:pt>
                <c:pt idx="95">
                  <c:v>0</c:v>
                </c:pt>
                <c:pt idx="96">
                  <c:v>80570</c:v>
                </c:pt>
                <c:pt idx="97">
                  <c:v>0</c:v>
                </c:pt>
                <c:pt idx="98">
                  <c:v>76187</c:v>
                </c:pt>
                <c:pt idx="99">
                  <c:v>0</c:v>
                </c:pt>
                <c:pt idx="100">
                  <c:v>0</c:v>
                </c:pt>
                <c:pt idx="101">
                  <c:v>71795</c:v>
                </c:pt>
                <c:pt idx="102">
                  <c:v>0</c:v>
                </c:pt>
                <c:pt idx="103">
                  <c:v>0</c:v>
                </c:pt>
                <c:pt idx="104">
                  <c:v>57460</c:v>
                </c:pt>
                <c:pt idx="105">
                  <c:v>0</c:v>
                </c:pt>
                <c:pt idx="106">
                  <c:v>49053</c:v>
                </c:pt>
                <c:pt idx="107">
                  <c:v>0</c:v>
                </c:pt>
                <c:pt idx="108">
                  <c:v>0</c:v>
                </c:pt>
                <c:pt idx="109">
                  <c:v>38000</c:v>
                </c:pt>
                <c:pt idx="110">
                  <c:v>0</c:v>
                </c:pt>
                <c:pt idx="111">
                  <c:v>32492</c:v>
                </c:pt>
                <c:pt idx="112">
                  <c:v>0</c:v>
                </c:pt>
                <c:pt idx="113">
                  <c:v>0</c:v>
                </c:pt>
                <c:pt idx="114">
                  <c:v>32197</c:v>
                </c:pt>
                <c:pt idx="115">
                  <c:v>0</c:v>
                </c:pt>
                <c:pt idx="116">
                  <c:v>27231</c:v>
                </c:pt>
                <c:pt idx="117">
                  <c:v>0</c:v>
                </c:pt>
                <c:pt idx="118">
                  <c:v>0</c:v>
                </c:pt>
                <c:pt idx="119">
                  <c:v>28025</c:v>
                </c:pt>
                <c:pt idx="120">
                  <c:v>0</c:v>
                </c:pt>
                <c:pt idx="121">
                  <c:v>0</c:v>
                </c:pt>
                <c:pt idx="122">
                  <c:v>23338</c:v>
                </c:pt>
                <c:pt idx="123">
                  <c:v>0</c:v>
                </c:pt>
                <c:pt idx="124">
                  <c:v>20878</c:v>
                </c:pt>
                <c:pt idx="125">
                  <c:v>0</c:v>
                </c:pt>
                <c:pt idx="126">
                  <c:v>0</c:v>
                </c:pt>
                <c:pt idx="127">
                  <c:v>26380</c:v>
                </c:pt>
                <c:pt idx="128">
                  <c:v>0</c:v>
                </c:pt>
                <c:pt idx="129">
                  <c:v>23904</c:v>
                </c:pt>
                <c:pt idx="130">
                  <c:v>0</c:v>
                </c:pt>
                <c:pt idx="131">
                  <c:v>0</c:v>
                </c:pt>
                <c:pt idx="132">
                  <c:v>21141</c:v>
                </c:pt>
                <c:pt idx="133">
                  <c:v>0</c:v>
                </c:pt>
                <c:pt idx="134">
                  <c:v>18402</c:v>
                </c:pt>
                <c:pt idx="135">
                  <c:v>0</c:v>
                </c:pt>
                <c:pt idx="136">
                  <c:v>0</c:v>
                </c:pt>
                <c:pt idx="137">
                  <c:v>17065</c:v>
                </c:pt>
                <c:pt idx="138">
                  <c:v>0</c:v>
                </c:pt>
                <c:pt idx="139">
                  <c:v>0</c:v>
                </c:pt>
                <c:pt idx="140">
                  <c:v>18166</c:v>
                </c:pt>
                <c:pt idx="141">
                  <c:v>0</c:v>
                </c:pt>
                <c:pt idx="142">
                  <c:v>16136</c:v>
                </c:pt>
                <c:pt idx="143">
                  <c:v>0</c:v>
                </c:pt>
                <c:pt idx="144">
                  <c:v>0</c:v>
                </c:pt>
                <c:pt idx="145">
                  <c:v>15614</c:v>
                </c:pt>
                <c:pt idx="146">
                  <c:v>0</c:v>
                </c:pt>
                <c:pt idx="147">
                  <c:v>13989</c:v>
                </c:pt>
                <c:pt idx="148">
                  <c:v>0</c:v>
                </c:pt>
                <c:pt idx="149">
                  <c:v>0</c:v>
                </c:pt>
                <c:pt idx="150">
                  <c:v>11972</c:v>
                </c:pt>
                <c:pt idx="151">
                  <c:v>0</c:v>
                </c:pt>
                <c:pt idx="152">
                  <c:v>11597</c:v>
                </c:pt>
                <c:pt idx="153">
                  <c:v>0</c:v>
                </c:pt>
                <c:pt idx="154">
                  <c:v>0</c:v>
                </c:pt>
                <c:pt idx="155">
                  <c:v>9856</c:v>
                </c:pt>
                <c:pt idx="156">
                  <c:v>0</c:v>
                </c:pt>
                <c:pt idx="157">
                  <c:v>0</c:v>
                </c:pt>
                <c:pt idx="158">
                  <c:v>6640</c:v>
                </c:pt>
                <c:pt idx="159">
                  <c:v>0</c:v>
                </c:pt>
                <c:pt idx="160">
                  <c:v>4695</c:v>
                </c:pt>
                <c:pt idx="161">
                  <c:v>0</c:v>
                </c:pt>
                <c:pt idx="162">
                  <c:v>0</c:v>
                </c:pt>
                <c:pt idx="163">
                  <c:v>3246</c:v>
                </c:pt>
                <c:pt idx="164">
                  <c:v>0</c:v>
                </c:pt>
                <c:pt idx="165">
                  <c:v>2615</c:v>
                </c:pt>
                <c:pt idx="166">
                  <c:v>0</c:v>
                </c:pt>
                <c:pt idx="167">
                  <c:v>0</c:v>
                </c:pt>
                <c:pt idx="168">
                  <c:v>2946</c:v>
                </c:pt>
                <c:pt idx="169">
                  <c:v>0</c:v>
                </c:pt>
                <c:pt idx="170">
                  <c:v>0</c:v>
                </c:pt>
                <c:pt idx="171">
                  <c:v>2196</c:v>
                </c:pt>
                <c:pt idx="172">
                  <c:v>0</c:v>
                </c:pt>
                <c:pt idx="173">
                  <c:v>1769</c:v>
                </c:pt>
                <c:pt idx="174">
                  <c:v>0</c:v>
                </c:pt>
                <c:pt idx="175">
                  <c:v>0</c:v>
                </c:pt>
                <c:pt idx="176">
                  <c:v>1479</c:v>
                </c:pt>
                <c:pt idx="177">
                  <c:v>0</c:v>
                </c:pt>
                <c:pt idx="178">
                  <c:v>541</c:v>
                </c:pt>
                <c:pt idx="179">
                  <c:v>0</c:v>
                </c:pt>
                <c:pt idx="180">
                  <c:v>0</c:v>
                </c:pt>
                <c:pt idx="181">
                  <c:v>635</c:v>
                </c:pt>
                <c:pt idx="182">
                  <c:v>0</c:v>
                </c:pt>
                <c:pt idx="183">
                  <c:v>250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0.1992358386575151</c:v>
                </c:pt>
                <c:pt idx="1">
                  <c:v>0.3827131780747523</c:v>
                </c:pt>
                <c:pt idx="2">
                  <c:v>0.4180509832677326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0.57528605763077612</c:v>
                </c:pt>
                <c:pt idx="1">
                  <c:v>0.32488358153500563</c:v>
                </c:pt>
                <c:pt idx="2">
                  <c:v>9.9830360834218229E-2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6.5228999999999999</c:v>
                </c:pt>
                <c:pt idx="1">
                  <c:v>9.7581799999999994</c:v>
                </c:pt>
                <c:pt idx="2">
                  <c:v>27.015540000000001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  <c:pt idx="74">
                  <c:v>30.061599999999999</c:v>
                </c:pt>
                <c:pt idx="75">
                  <c:v>30.5183</c:v>
                </c:pt>
                <c:pt idx="76">
                  <c:v>30.926500000000001</c:v>
                </c:pt>
                <c:pt idx="77">
                  <c:v>31.331299999999999</c:v>
                </c:pt>
                <c:pt idx="78">
                  <c:v>31.7361</c:v>
                </c:pt>
                <c:pt idx="79">
                  <c:v>32.141100000000002</c:v>
                </c:pt>
                <c:pt idx="80">
                  <c:v>32.548999999999999</c:v>
                </c:pt>
                <c:pt idx="81">
                  <c:v>32.956800000000001</c:v>
                </c:pt>
                <c:pt idx="82">
                  <c:v>33.3628</c:v>
                </c:pt>
                <c:pt idx="83">
                  <c:v>33.765700000000002</c:v>
                </c:pt>
                <c:pt idx="84">
                  <c:v>34.177599999999998</c:v>
                </c:pt>
                <c:pt idx="85">
                  <c:v>34.584600000000002</c:v>
                </c:pt>
                <c:pt idx="86">
                  <c:v>34.986400000000003</c:v>
                </c:pt>
                <c:pt idx="87">
                  <c:v>35.390500000000003</c:v>
                </c:pt>
                <c:pt idx="88">
                  <c:v>35.7956</c:v>
                </c:pt>
                <c:pt idx="89">
                  <c:v>36.201700000000002</c:v>
                </c:pt>
                <c:pt idx="90">
                  <c:v>36.609499999999997</c:v>
                </c:pt>
                <c:pt idx="91">
                  <c:v>37.014699999999998</c:v>
                </c:pt>
                <c:pt idx="92">
                  <c:v>37.4251</c:v>
                </c:pt>
                <c:pt idx="93">
                  <c:v>37.83</c:v>
                </c:pt>
                <c:pt idx="94">
                  <c:v>38.237000000000002</c:v>
                </c:pt>
                <c:pt idx="95">
                  <c:v>38.6449</c:v>
                </c:pt>
                <c:pt idx="96">
                  <c:v>39.048999999999999</c:v>
                </c:pt>
                <c:pt idx="97">
                  <c:v>39.455399999999997</c:v>
                </c:pt>
                <c:pt idx="98">
                  <c:v>39.8598</c:v>
                </c:pt>
                <c:pt idx="99">
                  <c:v>40.264499999999998</c:v>
                </c:pt>
                <c:pt idx="100">
                  <c:v>40.673400000000001</c:v>
                </c:pt>
                <c:pt idx="101">
                  <c:v>41.0792</c:v>
                </c:pt>
                <c:pt idx="102">
                  <c:v>41.481099999999998</c:v>
                </c:pt>
                <c:pt idx="103">
                  <c:v>41.891100000000002</c:v>
                </c:pt>
                <c:pt idx="104">
                  <c:v>42.2988</c:v>
                </c:pt>
                <c:pt idx="105">
                  <c:v>42.704700000000003</c:v>
                </c:pt>
                <c:pt idx="106">
                  <c:v>43.111699999999999</c:v>
                </c:pt>
                <c:pt idx="107">
                  <c:v>43.516599999999997</c:v>
                </c:pt>
                <c:pt idx="108">
                  <c:v>43.919499999999999</c:v>
                </c:pt>
                <c:pt idx="109">
                  <c:v>44.330399999999997</c:v>
                </c:pt>
                <c:pt idx="110">
                  <c:v>44.7395</c:v>
                </c:pt>
                <c:pt idx="111">
                  <c:v>45.137599999999999</c:v>
                </c:pt>
                <c:pt idx="112">
                  <c:v>45.551200000000001</c:v>
                </c:pt>
                <c:pt idx="113">
                  <c:v>45.955399999999997</c:v>
                </c:pt>
                <c:pt idx="114">
                  <c:v>46.363999999999997</c:v>
                </c:pt>
                <c:pt idx="115">
                  <c:v>46.765999999999998</c:v>
                </c:pt>
                <c:pt idx="116">
                  <c:v>47.17</c:v>
                </c:pt>
                <c:pt idx="117">
                  <c:v>47.582799999999999</c:v>
                </c:pt>
                <c:pt idx="118">
                  <c:v>47.985999999999997</c:v>
                </c:pt>
                <c:pt idx="119">
                  <c:v>48.391500000000001</c:v>
                </c:pt>
                <c:pt idx="120">
                  <c:v>48.796999999999997</c:v>
                </c:pt>
                <c:pt idx="121">
                  <c:v>49.200400000000002</c:v>
                </c:pt>
                <c:pt idx="122">
                  <c:v>49.6113</c:v>
                </c:pt>
                <c:pt idx="123">
                  <c:v>50.018300000000004</c:v>
                </c:pt>
                <c:pt idx="124">
                  <c:v>50.423200000000001</c:v>
                </c:pt>
                <c:pt idx="125">
                  <c:v>50.828000000000003</c:v>
                </c:pt>
                <c:pt idx="126">
                  <c:v>51.233899999999998</c:v>
                </c:pt>
                <c:pt idx="127">
                  <c:v>51.6432</c:v>
                </c:pt>
                <c:pt idx="128">
                  <c:v>52.044899999999998</c:v>
                </c:pt>
                <c:pt idx="129">
                  <c:v>52.454799999999999</c:v>
                </c:pt>
                <c:pt idx="130">
                  <c:v>52.8626</c:v>
                </c:pt>
                <c:pt idx="131">
                  <c:v>53.268599999999999</c:v>
                </c:pt>
                <c:pt idx="132">
                  <c:v>53.673499999999997</c:v>
                </c:pt>
                <c:pt idx="133">
                  <c:v>54.078299999999999</c:v>
                </c:pt>
                <c:pt idx="134">
                  <c:v>54.482300000000002</c:v>
                </c:pt>
                <c:pt idx="135">
                  <c:v>54.889200000000002</c:v>
                </c:pt>
                <c:pt idx="136">
                  <c:v>55.299300000000002</c:v>
                </c:pt>
                <c:pt idx="137">
                  <c:v>55.705100000000002</c:v>
                </c:pt>
                <c:pt idx="138">
                  <c:v>56.110900000000001</c:v>
                </c:pt>
                <c:pt idx="139">
                  <c:v>56.516100000000002</c:v>
                </c:pt>
                <c:pt idx="140">
                  <c:v>56.921900000000001</c:v>
                </c:pt>
                <c:pt idx="141">
                  <c:v>57.328699999999998</c:v>
                </c:pt>
                <c:pt idx="142">
                  <c:v>57.733600000000003</c:v>
                </c:pt>
                <c:pt idx="143">
                  <c:v>58.140500000000003</c:v>
                </c:pt>
                <c:pt idx="144">
                  <c:v>58.545400000000001</c:v>
                </c:pt>
                <c:pt idx="145">
                  <c:v>58.952399999999997</c:v>
                </c:pt>
                <c:pt idx="146">
                  <c:v>59.361199999999997</c:v>
                </c:pt>
                <c:pt idx="147">
                  <c:v>59.7622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  <c:pt idx="74">
                  <c:v>3.15882</c:v>
                </c:pt>
                <c:pt idx="75">
                  <c:v>3.13626</c:v>
                </c:pt>
                <c:pt idx="76">
                  <c:v>3.1193999999999997</c:v>
                </c:pt>
                <c:pt idx="77">
                  <c:v>3.1099500000000004</c:v>
                </c:pt>
                <c:pt idx="78">
                  <c:v>3.1069799999999996</c:v>
                </c:pt>
                <c:pt idx="79">
                  <c:v>3.1079400000000001</c:v>
                </c:pt>
                <c:pt idx="80">
                  <c:v>3.1156299999999999</c:v>
                </c:pt>
                <c:pt idx="81">
                  <c:v>3.1234099999999998</c:v>
                </c:pt>
                <c:pt idx="82">
                  <c:v>3.13232</c:v>
                </c:pt>
                <c:pt idx="83">
                  <c:v>3.1444699999999997</c:v>
                </c:pt>
                <c:pt idx="84">
                  <c:v>3.1556800000000003</c:v>
                </c:pt>
                <c:pt idx="85">
                  <c:v>3.1663799999999998</c:v>
                </c:pt>
                <c:pt idx="86">
                  <c:v>3.1780399999999998</c:v>
                </c:pt>
                <c:pt idx="87">
                  <c:v>3.1894400000000003</c:v>
                </c:pt>
                <c:pt idx="88">
                  <c:v>3.2040699999999998</c:v>
                </c:pt>
                <c:pt idx="89">
                  <c:v>3.2178100000000001</c:v>
                </c:pt>
                <c:pt idx="90">
                  <c:v>3.2292999999999998</c:v>
                </c:pt>
                <c:pt idx="91">
                  <c:v>3.2386999999999997</c:v>
                </c:pt>
                <c:pt idx="92">
                  <c:v>3.2448100000000002</c:v>
                </c:pt>
                <c:pt idx="93">
                  <c:v>3.2472400000000001</c:v>
                </c:pt>
                <c:pt idx="94">
                  <c:v>3.2447599999999999</c:v>
                </c:pt>
                <c:pt idx="95">
                  <c:v>3.23915</c:v>
                </c:pt>
                <c:pt idx="96">
                  <c:v>3.23081</c:v>
                </c:pt>
                <c:pt idx="97">
                  <c:v>3.2213099999999999</c:v>
                </c:pt>
                <c:pt idx="98">
                  <c:v>3.2150099999999999</c:v>
                </c:pt>
                <c:pt idx="99">
                  <c:v>3.2098199999999997</c:v>
                </c:pt>
                <c:pt idx="100">
                  <c:v>3.20458</c:v>
                </c:pt>
                <c:pt idx="101">
                  <c:v>3.1972499999999999</c:v>
                </c:pt>
                <c:pt idx="102">
                  <c:v>3.1875300000000002</c:v>
                </c:pt>
                <c:pt idx="103">
                  <c:v>3.1773800000000003</c:v>
                </c:pt>
                <c:pt idx="104">
                  <c:v>3.1678000000000002</c:v>
                </c:pt>
                <c:pt idx="105">
                  <c:v>3.1561899999999996</c:v>
                </c:pt>
                <c:pt idx="106">
                  <c:v>3.1442199999999998</c:v>
                </c:pt>
                <c:pt idx="107">
                  <c:v>3.1315300000000001</c:v>
                </c:pt>
                <c:pt idx="108">
                  <c:v>3.1160100000000002</c:v>
                </c:pt>
                <c:pt idx="109">
                  <c:v>3.1038900000000003</c:v>
                </c:pt>
                <c:pt idx="110">
                  <c:v>3.0978400000000001</c:v>
                </c:pt>
                <c:pt idx="111">
                  <c:v>3.0940000000000003</c:v>
                </c:pt>
                <c:pt idx="112">
                  <c:v>3.0942399999999997</c:v>
                </c:pt>
                <c:pt idx="113">
                  <c:v>3.0933000000000002</c:v>
                </c:pt>
                <c:pt idx="114">
                  <c:v>3.0925599999999998</c:v>
                </c:pt>
                <c:pt idx="115">
                  <c:v>3.0942999999999996</c:v>
                </c:pt>
                <c:pt idx="116">
                  <c:v>3.1009199999999999</c:v>
                </c:pt>
                <c:pt idx="117">
                  <c:v>3.11307</c:v>
                </c:pt>
                <c:pt idx="118">
                  <c:v>3.1256899999999996</c:v>
                </c:pt>
                <c:pt idx="119">
                  <c:v>3.1424400000000001</c:v>
                </c:pt>
                <c:pt idx="120">
                  <c:v>3.1600600000000001</c:v>
                </c:pt>
                <c:pt idx="121">
                  <c:v>3.1793500000000003</c:v>
                </c:pt>
                <c:pt idx="122">
                  <c:v>3.2023200000000003</c:v>
                </c:pt>
                <c:pt idx="123">
                  <c:v>3.2248799999999997</c:v>
                </c:pt>
                <c:pt idx="124">
                  <c:v>3.2332699999999996</c:v>
                </c:pt>
                <c:pt idx="125">
                  <c:v>3.2420599999999999</c:v>
                </c:pt>
                <c:pt idx="126">
                  <c:v>3.2524899999999999</c:v>
                </c:pt>
                <c:pt idx="127">
                  <c:v>3.2629799999999998</c:v>
                </c:pt>
                <c:pt idx="128">
                  <c:v>3.2735300000000001</c:v>
                </c:pt>
                <c:pt idx="129">
                  <c:v>3.2845000000000004</c:v>
                </c:pt>
                <c:pt idx="130">
                  <c:v>3.29779</c:v>
                </c:pt>
                <c:pt idx="131">
                  <c:v>3.3130799999999998</c:v>
                </c:pt>
                <c:pt idx="132">
                  <c:v>3.3300999999999998</c:v>
                </c:pt>
                <c:pt idx="133">
                  <c:v>3.34985</c:v>
                </c:pt>
                <c:pt idx="134">
                  <c:v>3.3695300000000001</c:v>
                </c:pt>
                <c:pt idx="135">
                  <c:v>3.3856900000000003</c:v>
                </c:pt>
                <c:pt idx="136">
                  <c:v>3.4015299999999997</c:v>
                </c:pt>
                <c:pt idx="137">
                  <c:v>3.4154099999999996</c:v>
                </c:pt>
                <c:pt idx="138">
                  <c:v>3.4306599999999996</c:v>
                </c:pt>
                <c:pt idx="139">
                  <c:v>3.4454600000000002</c:v>
                </c:pt>
                <c:pt idx="140">
                  <c:v>3.4610000000000003</c:v>
                </c:pt>
                <c:pt idx="141">
                  <c:v>3.47051</c:v>
                </c:pt>
                <c:pt idx="142">
                  <c:v>3.4731200000000002</c:v>
                </c:pt>
                <c:pt idx="143">
                  <c:v>3.4835500000000001</c:v>
                </c:pt>
                <c:pt idx="144">
                  <c:v>3.4955000000000003</c:v>
                </c:pt>
                <c:pt idx="145">
                  <c:v>3.5115600000000002</c:v>
                </c:pt>
                <c:pt idx="146">
                  <c:v>3.54094</c:v>
                </c:pt>
                <c:pt idx="147">
                  <c:v>3.5558399999999999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29.660699999999999</c:v>
                </c:pt>
                <c:pt idx="1">
                  <c:v>30.061599999999999</c:v>
                </c:pt>
                <c:pt idx="2">
                  <c:v>30.5183</c:v>
                </c:pt>
                <c:pt idx="3">
                  <c:v>30.926500000000001</c:v>
                </c:pt>
                <c:pt idx="4">
                  <c:v>31.331299999999999</c:v>
                </c:pt>
                <c:pt idx="5">
                  <c:v>31.7361</c:v>
                </c:pt>
                <c:pt idx="6">
                  <c:v>32.141100000000002</c:v>
                </c:pt>
                <c:pt idx="7">
                  <c:v>32.548999999999999</c:v>
                </c:pt>
                <c:pt idx="8">
                  <c:v>32.956800000000001</c:v>
                </c:pt>
                <c:pt idx="9">
                  <c:v>33.3628</c:v>
                </c:pt>
                <c:pt idx="10">
                  <c:v>33.765700000000002</c:v>
                </c:pt>
                <c:pt idx="11">
                  <c:v>34.177599999999998</c:v>
                </c:pt>
                <c:pt idx="12">
                  <c:v>34.584600000000002</c:v>
                </c:pt>
                <c:pt idx="13">
                  <c:v>34.986400000000003</c:v>
                </c:pt>
                <c:pt idx="14">
                  <c:v>35.390500000000003</c:v>
                </c:pt>
                <c:pt idx="15">
                  <c:v>35.7956</c:v>
                </c:pt>
                <c:pt idx="16">
                  <c:v>36.201700000000002</c:v>
                </c:pt>
                <c:pt idx="17">
                  <c:v>36.609499999999997</c:v>
                </c:pt>
                <c:pt idx="18">
                  <c:v>37.014699999999998</c:v>
                </c:pt>
                <c:pt idx="19">
                  <c:v>37.4251</c:v>
                </c:pt>
                <c:pt idx="20">
                  <c:v>37.83</c:v>
                </c:pt>
                <c:pt idx="21">
                  <c:v>38.237000000000002</c:v>
                </c:pt>
                <c:pt idx="22">
                  <c:v>38.6449</c:v>
                </c:pt>
                <c:pt idx="23">
                  <c:v>39.048999999999999</c:v>
                </c:pt>
                <c:pt idx="24">
                  <c:v>39.455399999999997</c:v>
                </c:pt>
                <c:pt idx="25">
                  <c:v>39.8598</c:v>
                </c:pt>
                <c:pt idx="26">
                  <c:v>40.264499999999998</c:v>
                </c:pt>
                <c:pt idx="27">
                  <c:v>40.673400000000001</c:v>
                </c:pt>
                <c:pt idx="28">
                  <c:v>41.0792</c:v>
                </c:pt>
                <c:pt idx="29">
                  <c:v>41.481099999999998</c:v>
                </c:pt>
                <c:pt idx="30">
                  <c:v>41.891100000000002</c:v>
                </c:pt>
                <c:pt idx="31">
                  <c:v>42.2988</c:v>
                </c:pt>
                <c:pt idx="32">
                  <c:v>42.704700000000003</c:v>
                </c:pt>
                <c:pt idx="33">
                  <c:v>43.111699999999999</c:v>
                </c:pt>
                <c:pt idx="34">
                  <c:v>43.516599999999997</c:v>
                </c:pt>
                <c:pt idx="35">
                  <c:v>43.919499999999999</c:v>
                </c:pt>
                <c:pt idx="36">
                  <c:v>44.330399999999997</c:v>
                </c:pt>
                <c:pt idx="37">
                  <c:v>44.7395</c:v>
                </c:pt>
                <c:pt idx="38">
                  <c:v>45.137599999999999</c:v>
                </c:pt>
                <c:pt idx="39">
                  <c:v>45.551200000000001</c:v>
                </c:pt>
                <c:pt idx="40">
                  <c:v>45.955399999999997</c:v>
                </c:pt>
                <c:pt idx="41">
                  <c:v>46.363999999999997</c:v>
                </c:pt>
                <c:pt idx="42">
                  <c:v>46.765999999999998</c:v>
                </c:pt>
                <c:pt idx="43">
                  <c:v>47.17</c:v>
                </c:pt>
                <c:pt idx="44">
                  <c:v>47.582799999999999</c:v>
                </c:pt>
                <c:pt idx="45">
                  <c:v>47.985999999999997</c:v>
                </c:pt>
                <c:pt idx="46">
                  <c:v>48.391500000000001</c:v>
                </c:pt>
                <c:pt idx="47">
                  <c:v>48.796999999999997</c:v>
                </c:pt>
                <c:pt idx="48">
                  <c:v>49.200400000000002</c:v>
                </c:pt>
                <c:pt idx="49">
                  <c:v>49.6113</c:v>
                </c:pt>
                <c:pt idx="50">
                  <c:v>50.018300000000004</c:v>
                </c:pt>
                <c:pt idx="51">
                  <c:v>50.423200000000001</c:v>
                </c:pt>
                <c:pt idx="52">
                  <c:v>50.828000000000003</c:v>
                </c:pt>
                <c:pt idx="53">
                  <c:v>51.233899999999998</c:v>
                </c:pt>
                <c:pt idx="54">
                  <c:v>51.6432</c:v>
                </c:pt>
                <c:pt idx="55">
                  <c:v>52.044899999999998</c:v>
                </c:pt>
                <c:pt idx="56">
                  <c:v>52.454799999999999</c:v>
                </c:pt>
                <c:pt idx="57">
                  <c:v>52.8626</c:v>
                </c:pt>
                <c:pt idx="58">
                  <c:v>53.268599999999999</c:v>
                </c:pt>
                <c:pt idx="59">
                  <c:v>53.673499999999997</c:v>
                </c:pt>
                <c:pt idx="60">
                  <c:v>54.078299999999999</c:v>
                </c:pt>
                <c:pt idx="61">
                  <c:v>54.482300000000002</c:v>
                </c:pt>
                <c:pt idx="62">
                  <c:v>54.889200000000002</c:v>
                </c:pt>
                <c:pt idx="63">
                  <c:v>55.299300000000002</c:v>
                </c:pt>
                <c:pt idx="64">
                  <c:v>55.705100000000002</c:v>
                </c:pt>
                <c:pt idx="65">
                  <c:v>56.110900000000001</c:v>
                </c:pt>
                <c:pt idx="66">
                  <c:v>56.516100000000002</c:v>
                </c:pt>
                <c:pt idx="67">
                  <c:v>56.921900000000001</c:v>
                </c:pt>
                <c:pt idx="68">
                  <c:v>57.328699999999998</c:v>
                </c:pt>
                <c:pt idx="69">
                  <c:v>57.733600000000003</c:v>
                </c:pt>
                <c:pt idx="70">
                  <c:v>58.140500000000003</c:v>
                </c:pt>
                <c:pt idx="71">
                  <c:v>58.545400000000001</c:v>
                </c:pt>
                <c:pt idx="72">
                  <c:v>58.952399999999997</c:v>
                </c:pt>
                <c:pt idx="73">
                  <c:v>59.361199999999997</c:v>
                </c:pt>
                <c:pt idx="74">
                  <c:v>59.7622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3.18716</c:v>
                </c:pt>
                <c:pt idx="1">
                  <c:v>3.15882</c:v>
                </c:pt>
                <c:pt idx="2">
                  <c:v>3.13626</c:v>
                </c:pt>
                <c:pt idx="3">
                  <c:v>3.1193999999999997</c:v>
                </c:pt>
                <c:pt idx="4">
                  <c:v>3.1099500000000004</c:v>
                </c:pt>
                <c:pt idx="5">
                  <c:v>3.1069799999999996</c:v>
                </c:pt>
                <c:pt idx="6">
                  <c:v>3.1079400000000001</c:v>
                </c:pt>
                <c:pt idx="7">
                  <c:v>3.1156299999999999</c:v>
                </c:pt>
                <c:pt idx="8">
                  <c:v>3.1234099999999998</c:v>
                </c:pt>
                <c:pt idx="9">
                  <c:v>3.13232</c:v>
                </c:pt>
                <c:pt idx="10">
                  <c:v>3.1444699999999997</c:v>
                </c:pt>
                <c:pt idx="11">
                  <c:v>3.1556800000000003</c:v>
                </c:pt>
                <c:pt idx="12">
                  <c:v>3.1663799999999998</c:v>
                </c:pt>
                <c:pt idx="13">
                  <c:v>3.1780399999999998</c:v>
                </c:pt>
                <c:pt idx="14">
                  <c:v>3.1894400000000003</c:v>
                </c:pt>
                <c:pt idx="15">
                  <c:v>3.2040699999999998</c:v>
                </c:pt>
                <c:pt idx="16">
                  <c:v>3.2178100000000001</c:v>
                </c:pt>
                <c:pt idx="17">
                  <c:v>3.2292999999999998</c:v>
                </c:pt>
                <c:pt idx="18">
                  <c:v>3.2386999999999997</c:v>
                </c:pt>
                <c:pt idx="19">
                  <c:v>3.2448100000000002</c:v>
                </c:pt>
                <c:pt idx="20">
                  <c:v>3.2472400000000001</c:v>
                </c:pt>
                <c:pt idx="21">
                  <c:v>3.2447599999999999</c:v>
                </c:pt>
                <c:pt idx="22">
                  <c:v>3.23915</c:v>
                </c:pt>
                <c:pt idx="23">
                  <c:v>3.23081</c:v>
                </c:pt>
                <c:pt idx="24">
                  <c:v>3.2213099999999999</c:v>
                </c:pt>
                <c:pt idx="25">
                  <c:v>3.2150099999999999</c:v>
                </c:pt>
                <c:pt idx="26">
                  <c:v>3.2098199999999997</c:v>
                </c:pt>
                <c:pt idx="27">
                  <c:v>3.20458</c:v>
                </c:pt>
                <c:pt idx="28">
                  <c:v>3.1972499999999999</c:v>
                </c:pt>
                <c:pt idx="29">
                  <c:v>3.1875300000000002</c:v>
                </c:pt>
                <c:pt idx="30">
                  <c:v>3.1773800000000003</c:v>
                </c:pt>
                <c:pt idx="31">
                  <c:v>3.1678000000000002</c:v>
                </c:pt>
                <c:pt idx="32">
                  <c:v>3.1561899999999996</c:v>
                </c:pt>
                <c:pt idx="33">
                  <c:v>3.1442199999999998</c:v>
                </c:pt>
                <c:pt idx="34">
                  <c:v>3.1315300000000001</c:v>
                </c:pt>
                <c:pt idx="35">
                  <c:v>3.1160100000000002</c:v>
                </c:pt>
                <c:pt idx="36">
                  <c:v>3.1038900000000003</c:v>
                </c:pt>
                <c:pt idx="37">
                  <c:v>3.0978400000000001</c:v>
                </c:pt>
                <c:pt idx="38">
                  <c:v>3.0940000000000003</c:v>
                </c:pt>
                <c:pt idx="39">
                  <c:v>3.0942399999999997</c:v>
                </c:pt>
                <c:pt idx="40">
                  <c:v>3.0933000000000002</c:v>
                </c:pt>
                <c:pt idx="41">
                  <c:v>3.0925599999999998</c:v>
                </c:pt>
                <c:pt idx="42">
                  <c:v>3.0942999999999996</c:v>
                </c:pt>
                <c:pt idx="43">
                  <c:v>3.1009199999999999</c:v>
                </c:pt>
                <c:pt idx="44">
                  <c:v>3.11307</c:v>
                </c:pt>
                <c:pt idx="45">
                  <c:v>3.1256899999999996</c:v>
                </c:pt>
                <c:pt idx="46">
                  <c:v>3.1424400000000001</c:v>
                </c:pt>
                <c:pt idx="47">
                  <c:v>3.1600600000000001</c:v>
                </c:pt>
                <c:pt idx="48">
                  <c:v>3.1793500000000003</c:v>
                </c:pt>
                <c:pt idx="49">
                  <c:v>3.2023200000000003</c:v>
                </c:pt>
                <c:pt idx="50">
                  <c:v>3.2248799999999997</c:v>
                </c:pt>
                <c:pt idx="51">
                  <c:v>3.2332699999999996</c:v>
                </c:pt>
                <c:pt idx="52">
                  <c:v>3.2420599999999999</c:v>
                </c:pt>
                <c:pt idx="53">
                  <c:v>3.2524899999999999</c:v>
                </c:pt>
                <c:pt idx="54">
                  <c:v>3.2629799999999998</c:v>
                </c:pt>
                <c:pt idx="55">
                  <c:v>3.2735300000000001</c:v>
                </c:pt>
                <c:pt idx="56">
                  <c:v>3.2845000000000004</c:v>
                </c:pt>
                <c:pt idx="57">
                  <c:v>3.29779</c:v>
                </c:pt>
                <c:pt idx="58">
                  <c:v>3.3130799999999998</c:v>
                </c:pt>
                <c:pt idx="59">
                  <c:v>3.3300999999999998</c:v>
                </c:pt>
                <c:pt idx="60">
                  <c:v>3.34985</c:v>
                </c:pt>
                <c:pt idx="61">
                  <c:v>3.3695300000000001</c:v>
                </c:pt>
                <c:pt idx="62">
                  <c:v>3.3856900000000003</c:v>
                </c:pt>
                <c:pt idx="63">
                  <c:v>3.4015299999999997</c:v>
                </c:pt>
                <c:pt idx="64">
                  <c:v>3.4154099999999996</c:v>
                </c:pt>
                <c:pt idx="65">
                  <c:v>3.4306599999999996</c:v>
                </c:pt>
                <c:pt idx="66">
                  <c:v>3.4454600000000002</c:v>
                </c:pt>
                <c:pt idx="67">
                  <c:v>3.4610000000000003</c:v>
                </c:pt>
                <c:pt idx="68">
                  <c:v>3.47051</c:v>
                </c:pt>
                <c:pt idx="69">
                  <c:v>3.4731200000000002</c:v>
                </c:pt>
                <c:pt idx="70">
                  <c:v>3.4835500000000001</c:v>
                </c:pt>
                <c:pt idx="71">
                  <c:v>3.4955000000000003</c:v>
                </c:pt>
                <c:pt idx="72">
                  <c:v>3.5115600000000002</c:v>
                </c:pt>
                <c:pt idx="73">
                  <c:v>3.54094</c:v>
                </c:pt>
                <c:pt idx="74">
                  <c:v>3.5558399999999999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2.52013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3.9732495945945949</c:v>
                </c:pt>
                <c:pt idx="1">
                  <c:v>3.2347136486486487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  <c:pt idx="74">
                  <c:v>30.061599999999999</c:v>
                </c:pt>
                <c:pt idx="75">
                  <c:v>30.5183</c:v>
                </c:pt>
                <c:pt idx="76">
                  <c:v>30.926500000000001</c:v>
                </c:pt>
                <c:pt idx="77">
                  <c:v>31.331299999999999</c:v>
                </c:pt>
                <c:pt idx="78">
                  <c:v>31.7361</c:v>
                </c:pt>
                <c:pt idx="79">
                  <c:v>32.141100000000002</c:v>
                </c:pt>
                <c:pt idx="80">
                  <c:v>32.548999999999999</c:v>
                </c:pt>
                <c:pt idx="81">
                  <c:v>32.956800000000001</c:v>
                </c:pt>
                <c:pt idx="82">
                  <c:v>33.3628</c:v>
                </c:pt>
                <c:pt idx="83">
                  <c:v>33.765700000000002</c:v>
                </c:pt>
                <c:pt idx="84">
                  <c:v>34.177599999999998</c:v>
                </c:pt>
                <c:pt idx="85">
                  <c:v>34.584600000000002</c:v>
                </c:pt>
                <c:pt idx="86">
                  <c:v>34.986400000000003</c:v>
                </c:pt>
                <c:pt idx="87">
                  <c:v>35.390500000000003</c:v>
                </c:pt>
                <c:pt idx="88">
                  <c:v>35.7956</c:v>
                </c:pt>
                <c:pt idx="89">
                  <c:v>36.201700000000002</c:v>
                </c:pt>
                <c:pt idx="90">
                  <c:v>36.609499999999997</c:v>
                </c:pt>
                <c:pt idx="91">
                  <c:v>37.014699999999998</c:v>
                </c:pt>
                <c:pt idx="92">
                  <c:v>37.4251</c:v>
                </c:pt>
                <c:pt idx="93">
                  <c:v>37.83</c:v>
                </c:pt>
                <c:pt idx="94">
                  <c:v>38.237000000000002</c:v>
                </c:pt>
                <c:pt idx="95">
                  <c:v>38.6449</c:v>
                </c:pt>
                <c:pt idx="96">
                  <c:v>39.048999999999999</c:v>
                </c:pt>
                <c:pt idx="97">
                  <c:v>39.455399999999997</c:v>
                </c:pt>
                <c:pt idx="98">
                  <c:v>39.8598</c:v>
                </c:pt>
                <c:pt idx="99">
                  <c:v>40.264499999999998</c:v>
                </c:pt>
                <c:pt idx="100">
                  <c:v>40.673400000000001</c:v>
                </c:pt>
                <c:pt idx="101">
                  <c:v>41.0792</c:v>
                </c:pt>
                <c:pt idx="102">
                  <c:v>41.481099999999998</c:v>
                </c:pt>
                <c:pt idx="103">
                  <c:v>41.891100000000002</c:v>
                </c:pt>
                <c:pt idx="104">
                  <c:v>42.2988</c:v>
                </c:pt>
                <c:pt idx="105">
                  <c:v>42.704700000000003</c:v>
                </c:pt>
                <c:pt idx="106">
                  <c:v>43.111699999999999</c:v>
                </c:pt>
                <c:pt idx="107">
                  <c:v>43.516599999999997</c:v>
                </c:pt>
                <c:pt idx="108">
                  <c:v>43.919499999999999</c:v>
                </c:pt>
                <c:pt idx="109">
                  <c:v>44.330399999999997</c:v>
                </c:pt>
                <c:pt idx="110">
                  <c:v>44.7395</c:v>
                </c:pt>
                <c:pt idx="111">
                  <c:v>45.137599999999999</c:v>
                </c:pt>
                <c:pt idx="112">
                  <c:v>45.551200000000001</c:v>
                </c:pt>
                <c:pt idx="113">
                  <c:v>45.955399999999997</c:v>
                </c:pt>
                <c:pt idx="114">
                  <c:v>46.363999999999997</c:v>
                </c:pt>
                <c:pt idx="115">
                  <c:v>46.765999999999998</c:v>
                </c:pt>
                <c:pt idx="116">
                  <c:v>47.17</c:v>
                </c:pt>
                <c:pt idx="117">
                  <c:v>47.582799999999999</c:v>
                </c:pt>
                <c:pt idx="118">
                  <c:v>47.985999999999997</c:v>
                </c:pt>
                <c:pt idx="119">
                  <c:v>48.391500000000001</c:v>
                </c:pt>
                <c:pt idx="120">
                  <c:v>48.796999999999997</c:v>
                </c:pt>
                <c:pt idx="121">
                  <c:v>49.200400000000002</c:v>
                </c:pt>
                <c:pt idx="122">
                  <c:v>49.6113</c:v>
                </c:pt>
                <c:pt idx="123">
                  <c:v>50.018300000000004</c:v>
                </c:pt>
                <c:pt idx="124">
                  <c:v>50.423200000000001</c:v>
                </c:pt>
                <c:pt idx="125">
                  <c:v>50.828000000000003</c:v>
                </c:pt>
                <c:pt idx="126">
                  <c:v>51.233899999999998</c:v>
                </c:pt>
                <c:pt idx="127">
                  <c:v>51.6432</c:v>
                </c:pt>
                <c:pt idx="128">
                  <c:v>52.044899999999998</c:v>
                </c:pt>
                <c:pt idx="129">
                  <c:v>52.454799999999999</c:v>
                </c:pt>
                <c:pt idx="130">
                  <c:v>52.8626</c:v>
                </c:pt>
                <c:pt idx="131">
                  <c:v>53.268599999999999</c:v>
                </c:pt>
                <c:pt idx="132">
                  <c:v>53.673499999999997</c:v>
                </c:pt>
                <c:pt idx="133">
                  <c:v>54.078299999999999</c:v>
                </c:pt>
                <c:pt idx="134">
                  <c:v>54.482300000000002</c:v>
                </c:pt>
                <c:pt idx="135">
                  <c:v>54.889200000000002</c:v>
                </c:pt>
                <c:pt idx="136">
                  <c:v>55.299300000000002</c:v>
                </c:pt>
                <c:pt idx="137">
                  <c:v>55.705100000000002</c:v>
                </c:pt>
                <c:pt idx="138">
                  <c:v>56.110900000000001</c:v>
                </c:pt>
                <c:pt idx="139">
                  <c:v>56.516100000000002</c:v>
                </c:pt>
                <c:pt idx="140">
                  <c:v>56.921900000000001</c:v>
                </c:pt>
                <c:pt idx="141">
                  <c:v>57.328699999999998</c:v>
                </c:pt>
                <c:pt idx="142">
                  <c:v>57.733600000000003</c:v>
                </c:pt>
                <c:pt idx="143">
                  <c:v>58.140500000000003</c:v>
                </c:pt>
                <c:pt idx="144">
                  <c:v>58.545400000000001</c:v>
                </c:pt>
                <c:pt idx="145">
                  <c:v>58.952399999999997</c:v>
                </c:pt>
                <c:pt idx="146">
                  <c:v>59.361199999999997</c:v>
                </c:pt>
                <c:pt idx="147">
                  <c:v>59.7622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  <c:pt idx="74">
                  <c:v>39.151299999999999</c:v>
                </c:pt>
                <c:pt idx="75">
                  <c:v>39.816699999999997</c:v>
                </c:pt>
                <c:pt idx="76">
                  <c:v>40.341200000000001</c:v>
                </c:pt>
                <c:pt idx="77">
                  <c:v>40.744700000000002</c:v>
                </c:pt>
                <c:pt idx="78">
                  <c:v>41.093499999999999</c:v>
                </c:pt>
                <c:pt idx="79">
                  <c:v>41.363799999999998</c:v>
                </c:pt>
                <c:pt idx="80">
                  <c:v>41.573300000000003</c:v>
                </c:pt>
                <c:pt idx="81">
                  <c:v>41.834900000000005</c:v>
                </c:pt>
                <c:pt idx="82">
                  <c:v>42.089500000000001</c:v>
                </c:pt>
                <c:pt idx="83">
                  <c:v>42.247599999999998</c:v>
                </c:pt>
                <c:pt idx="84">
                  <c:v>42.425200000000004</c:v>
                </c:pt>
                <c:pt idx="85">
                  <c:v>42.625600000000006</c:v>
                </c:pt>
                <c:pt idx="86">
                  <c:v>42.754399999999997</c:v>
                </c:pt>
                <c:pt idx="87">
                  <c:v>42.872599999999998</c:v>
                </c:pt>
                <c:pt idx="88">
                  <c:v>43.011700000000005</c:v>
                </c:pt>
                <c:pt idx="89">
                  <c:v>43.156599999999997</c:v>
                </c:pt>
                <c:pt idx="90">
                  <c:v>43.272599999999997</c:v>
                </c:pt>
                <c:pt idx="91">
                  <c:v>43.342799999999997</c:v>
                </c:pt>
                <c:pt idx="92">
                  <c:v>43.418399999999998</c:v>
                </c:pt>
                <c:pt idx="93">
                  <c:v>43.472899999999996</c:v>
                </c:pt>
                <c:pt idx="94">
                  <c:v>43.524799999999999</c:v>
                </c:pt>
                <c:pt idx="95">
                  <c:v>43.529000000000003</c:v>
                </c:pt>
                <c:pt idx="96">
                  <c:v>43.460999999999999</c:v>
                </c:pt>
                <c:pt idx="97">
                  <c:v>43.342799999999997</c:v>
                </c:pt>
                <c:pt idx="98">
                  <c:v>43.235099999999996</c:v>
                </c:pt>
                <c:pt idx="99">
                  <c:v>43.149700000000003</c:v>
                </c:pt>
                <c:pt idx="100">
                  <c:v>43.037999999999997</c:v>
                </c:pt>
                <c:pt idx="101">
                  <c:v>42.908200000000001</c:v>
                </c:pt>
                <c:pt idx="102">
                  <c:v>42.814900000000002</c:v>
                </c:pt>
                <c:pt idx="103">
                  <c:v>42.682600000000001</c:v>
                </c:pt>
                <c:pt idx="104">
                  <c:v>42.5413</c:v>
                </c:pt>
                <c:pt idx="105">
                  <c:v>42.459699999999998</c:v>
                </c:pt>
                <c:pt idx="106">
                  <c:v>42.408200000000001</c:v>
                </c:pt>
                <c:pt idx="107">
                  <c:v>42.383700000000005</c:v>
                </c:pt>
                <c:pt idx="108">
                  <c:v>42.426199999999994</c:v>
                </c:pt>
                <c:pt idx="109">
                  <c:v>42.458100000000002</c:v>
                </c:pt>
                <c:pt idx="110">
                  <c:v>42.434199999999997</c:v>
                </c:pt>
                <c:pt idx="111">
                  <c:v>42.423100000000005</c:v>
                </c:pt>
                <c:pt idx="112">
                  <c:v>42.402000000000001</c:v>
                </c:pt>
                <c:pt idx="113">
                  <c:v>42.417200000000001</c:v>
                </c:pt>
                <c:pt idx="114">
                  <c:v>42.4452</c:v>
                </c:pt>
                <c:pt idx="115">
                  <c:v>42.461799999999997</c:v>
                </c:pt>
                <c:pt idx="116">
                  <c:v>42.413000000000004</c:v>
                </c:pt>
                <c:pt idx="117">
                  <c:v>42.253700000000002</c:v>
                </c:pt>
                <c:pt idx="118">
                  <c:v>42.099399999999996</c:v>
                </c:pt>
                <c:pt idx="119">
                  <c:v>41.831200000000003</c:v>
                </c:pt>
                <c:pt idx="120">
                  <c:v>41.5595</c:v>
                </c:pt>
                <c:pt idx="121">
                  <c:v>41.353299999999997</c:v>
                </c:pt>
                <c:pt idx="122">
                  <c:v>41.151600000000002</c:v>
                </c:pt>
                <c:pt idx="123">
                  <c:v>40.9437</c:v>
                </c:pt>
                <c:pt idx="124">
                  <c:v>40.944699999999997</c:v>
                </c:pt>
                <c:pt idx="125">
                  <c:v>40.943899999999999</c:v>
                </c:pt>
                <c:pt idx="126">
                  <c:v>40.939900000000002</c:v>
                </c:pt>
                <c:pt idx="127">
                  <c:v>40.9161</c:v>
                </c:pt>
                <c:pt idx="128">
                  <c:v>40.891199999999998</c:v>
                </c:pt>
                <c:pt idx="129">
                  <c:v>40.919899999999998</c:v>
                </c:pt>
                <c:pt idx="130">
                  <c:v>40.943300000000001</c:v>
                </c:pt>
                <c:pt idx="131">
                  <c:v>40.9208</c:v>
                </c:pt>
                <c:pt idx="132">
                  <c:v>40.893799999999999</c:v>
                </c:pt>
                <c:pt idx="133">
                  <c:v>40.9116</c:v>
                </c:pt>
                <c:pt idx="134">
                  <c:v>40.905500000000004</c:v>
                </c:pt>
                <c:pt idx="135">
                  <c:v>40.878500000000003</c:v>
                </c:pt>
                <c:pt idx="136">
                  <c:v>40.8705</c:v>
                </c:pt>
                <c:pt idx="137">
                  <c:v>40.799099999999996</c:v>
                </c:pt>
                <c:pt idx="138">
                  <c:v>40.660000000000004</c:v>
                </c:pt>
                <c:pt idx="139">
                  <c:v>40.479599999999998</c:v>
                </c:pt>
                <c:pt idx="140">
                  <c:v>40.162500000000001</c:v>
                </c:pt>
                <c:pt idx="141">
                  <c:v>39.890799999999999</c:v>
                </c:pt>
                <c:pt idx="142">
                  <c:v>39.554400000000001</c:v>
                </c:pt>
                <c:pt idx="143">
                  <c:v>39.057099999999998</c:v>
                </c:pt>
                <c:pt idx="144">
                  <c:v>38.838000000000001</c:v>
                </c:pt>
                <c:pt idx="145">
                  <c:v>38.731700000000004</c:v>
                </c:pt>
                <c:pt idx="146">
                  <c:v>38.544499999999999</c:v>
                </c:pt>
                <c:pt idx="147">
                  <c:v>38.218400000000003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0.40785199999999999</c:v>
                </c:pt>
                <c:pt idx="2">
                  <c:v>0.810809</c:v>
                </c:pt>
                <c:pt idx="3">
                  <c:v>1.2186999999999999</c:v>
                </c:pt>
                <c:pt idx="4">
                  <c:v>1.62479</c:v>
                </c:pt>
                <c:pt idx="5">
                  <c:v>2.0305</c:v>
                </c:pt>
                <c:pt idx="6">
                  <c:v>2.4404300000000001</c:v>
                </c:pt>
                <c:pt idx="7">
                  <c:v>2.84273</c:v>
                </c:pt>
                <c:pt idx="8">
                  <c:v>3.2502200000000001</c:v>
                </c:pt>
                <c:pt idx="9">
                  <c:v>3.6551499999999999</c:v>
                </c:pt>
                <c:pt idx="10">
                  <c:v>4.0580699999999998</c:v>
                </c:pt>
                <c:pt idx="11">
                  <c:v>4.4692299999999996</c:v>
                </c:pt>
                <c:pt idx="12">
                  <c:v>4.8780200000000002</c:v>
                </c:pt>
                <c:pt idx="13">
                  <c:v>5.2777399999999997</c:v>
                </c:pt>
                <c:pt idx="14">
                  <c:v>5.6897599999999997</c:v>
                </c:pt>
                <c:pt idx="15">
                  <c:v>6.0917399999999997</c:v>
                </c:pt>
                <c:pt idx="16">
                  <c:v>6.49986</c:v>
                </c:pt>
                <c:pt idx="17">
                  <c:v>6.90869</c:v>
                </c:pt>
                <c:pt idx="18">
                  <c:v>7.3104300000000002</c:v>
                </c:pt>
                <c:pt idx="19">
                  <c:v>7.7202900000000003</c:v>
                </c:pt>
                <c:pt idx="20">
                  <c:v>8.12547</c:v>
                </c:pt>
                <c:pt idx="21">
                  <c:v>8.5313300000000005</c:v>
                </c:pt>
                <c:pt idx="22">
                  <c:v>8.94008</c:v>
                </c:pt>
                <c:pt idx="23">
                  <c:v>9.3440300000000001</c:v>
                </c:pt>
                <c:pt idx="24">
                  <c:v>9.7508900000000001</c:v>
                </c:pt>
                <c:pt idx="25">
                  <c:v>10.161799999999999</c:v>
                </c:pt>
                <c:pt idx="26">
                  <c:v>10.5608</c:v>
                </c:pt>
                <c:pt idx="27">
                  <c:v>10.9686</c:v>
                </c:pt>
                <c:pt idx="28">
                  <c:v>11.3726</c:v>
                </c:pt>
                <c:pt idx="29">
                  <c:v>11.7807</c:v>
                </c:pt>
                <c:pt idx="30">
                  <c:v>12.1884</c:v>
                </c:pt>
                <c:pt idx="31">
                  <c:v>12.5913</c:v>
                </c:pt>
                <c:pt idx="32">
                  <c:v>13.0002</c:v>
                </c:pt>
                <c:pt idx="33">
                  <c:v>13.4071</c:v>
                </c:pt>
                <c:pt idx="34">
                  <c:v>13.812099999999999</c:v>
                </c:pt>
                <c:pt idx="35">
                  <c:v>14.22</c:v>
                </c:pt>
                <c:pt idx="36">
                  <c:v>14.626899999999999</c:v>
                </c:pt>
                <c:pt idx="37">
                  <c:v>15.0318</c:v>
                </c:pt>
                <c:pt idx="38">
                  <c:v>15.4366</c:v>
                </c:pt>
                <c:pt idx="39">
                  <c:v>15.843999999999999</c:v>
                </c:pt>
                <c:pt idx="40">
                  <c:v>16.2515</c:v>
                </c:pt>
                <c:pt idx="41">
                  <c:v>16.659700000000001</c:v>
                </c:pt>
                <c:pt idx="42">
                  <c:v>17.065300000000001</c:v>
                </c:pt>
                <c:pt idx="43">
                  <c:v>17.4693</c:v>
                </c:pt>
                <c:pt idx="44">
                  <c:v>17.874199999999998</c:v>
                </c:pt>
                <c:pt idx="45">
                  <c:v>18.278500000000001</c:v>
                </c:pt>
                <c:pt idx="46">
                  <c:v>18.684000000000001</c:v>
                </c:pt>
                <c:pt idx="47">
                  <c:v>19.092700000000001</c:v>
                </c:pt>
                <c:pt idx="48">
                  <c:v>19.501799999999999</c:v>
                </c:pt>
                <c:pt idx="49">
                  <c:v>19.909099999999999</c:v>
                </c:pt>
                <c:pt idx="50">
                  <c:v>20.313600000000001</c:v>
                </c:pt>
                <c:pt idx="51">
                  <c:v>20.717600000000001</c:v>
                </c:pt>
                <c:pt idx="52">
                  <c:v>21.122399999999999</c:v>
                </c:pt>
                <c:pt idx="53">
                  <c:v>21.531300000000002</c:v>
                </c:pt>
                <c:pt idx="54">
                  <c:v>21.9374</c:v>
                </c:pt>
                <c:pt idx="55">
                  <c:v>22.3462</c:v>
                </c:pt>
                <c:pt idx="56">
                  <c:v>22.7501</c:v>
                </c:pt>
                <c:pt idx="57">
                  <c:v>23.155100000000001</c:v>
                </c:pt>
                <c:pt idx="58">
                  <c:v>23.565100000000001</c:v>
                </c:pt>
                <c:pt idx="59">
                  <c:v>23.972000000000001</c:v>
                </c:pt>
                <c:pt idx="60">
                  <c:v>24.377800000000001</c:v>
                </c:pt>
                <c:pt idx="61">
                  <c:v>24.7807</c:v>
                </c:pt>
                <c:pt idx="62">
                  <c:v>25.186599999999999</c:v>
                </c:pt>
                <c:pt idx="63">
                  <c:v>25.595500000000001</c:v>
                </c:pt>
                <c:pt idx="64">
                  <c:v>25.9985</c:v>
                </c:pt>
                <c:pt idx="65">
                  <c:v>26.407499999999999</c:v>
                </c:pt>
                <c:pt idx="66">
                  <c:v>26.812200000000001</c:v>
                </c:pt>
                <c:pt idx="67">
                  <c:v>27.2211</c:v>
                </c:pt>
                <c:pt idx="68">
                  <c:v>27.6265</c:v>
                </c:pt>
                <c:pt idx="69">
                  <c:v>28.030200000000001</c:v>
                </c:pt>
                <c:pt idx="70">
                  <c:v>28.4392</c:v>
                </c:pt>
                <c:pt idx="71">
                  <c:v>28.849900000000002</c:v>
                </c:pt>
                <c:pt idx="72">
                  <c:v>29.249600000000001</c:v>
                </c:pt>
                <c:pt idx="73">
                  <c:v>29.660699999999999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29.660699999999999</c:v>
                </c:pt>
                <c:pt idx="1">
                  <c:v>30.061599999999999</c:v>
                </c:pt>
                <c:pt idx="2">
                  <c:v>30.5183</c:v>
                </c:pt>
                <c:pt idx="3">
                  <c:v>30.926500000000001</c:v>
                </c:pt>
                <c:pt idx="4">
                  <c:v>31.331299999999999</c:v>
                </c:pt>
                <c:pt idx="5">
                  <c:v>31.7361</c:v>
                </c:pt>
                <c:pt idx="6">
                  <c:v>32.141100000000002</c:v>
                </c:pt>
                <c:pt idx="7">
                  <c:v>32.548999999999999</c:v>
                </c:pt>
                <c:pt idx="8">
                  <c:v>32.956800000000001</c:v>
                </c:pt>
                <c:pt idx="9">
                  <c:v>33.3628</c:v>
                </c:pt>
                <c:pt idx="10">
                  <c:v>33.765700000000002</c:v>
                </c:pt>
                <c:pt idx="11">
                  <c:v>34.177599999999998</c:v>
                </c:pt>
                <c:pt idx="12">
                  <c:v>34.584600000000002</c:v>
                </c:pt>
                <c:pt idx="13">
                  <c:v>34.986400000000003</c:v>
                </c:pt>
                <c:pt idx="14">
                  <c:v>35.390500000000003</c:v>
                </c:pt>
                <c:pt idx="15">
                  <c:v>35.7956</c:v>
                </c:pt>
                <c:pt idx="16">
                  <c:v>36.201700000000002</c:v>
                </c:pt>
                <c:pt idx="17">
                  <c:v>36.609499999999997</c:v>
                </c:pt>
                <c:pt idx="18">
                  <c:v>37.014699999999998</c:v>
                </c:pt>
                <c:pt idx="19">
                  <c:v>37.4251</c:v>
                </c:pt>
                <c:pt idx="20">
                  <c:v>37.83</c:v>
                </c:pt>
                <c:pt idx="21">
                  <c:v>38.237000000000002</c:v>
                </c:pt>
                <c:pt idx="22">
                  <c:v>38.6449</c:v>
                </c:pt>
                <c:pt idx="23">
                  <c:v>39.048999999999999</c:v>
                </c:pt>
                <c:pt idx="24">
                  <c:v>39.455399999999997</c:v>
                </c:pt>
                <c:pt idx="25">
                  <c:v>39.8598</c:v>
                </c:pt>
                <c:pt idx="26">
                  <c:v>40.264499999999998</c:v>
                </c:pt>
                <c:pt idx="27">
                  <c:v>40.673400000000001</c:v>
                </c:pt>
                <c:pt idx="28">
                  <c:v>41.0792</c:v>
                </c:pt>
                <c:pt idx="29">
                  <c:v>41.481099999999998</c:v>
                </c:pt>
                <c:pt idx="30">
                  <c:v>41.891100000000002</c:v>
                </c:pt>
                <c:pt idx="31">
                  <c:v>42.2988</c:v>
                </c:pt>
                <c:pt idx="32">
                  <c:v>42.704700000000003</c:v>
                </c:pt>
                <c:pt idx="33">
                  <c:v>43.111699999999999</c:v>
                </c:pt>
                <c:pt idx="34">
                  <c:v>43.516599999999997</c:v>
                </c:pt>
                <c:pt idx="35">
                  <c:v>43.919499999999999</c:v>
                </c:pt>
                <c:pt idx="36">
                  <c:v>44.330399999999997</c:v>
                </c:pt>
                <c:pt idx="37">
                  <c:v>44.7395</c:v>
                </c:pt>
                <c:pt idx="38">
                  <c:v>45.137599999999999</c:v>
                </c:pt>
                <c:pt idx="39">
                  <c:v>45.551200000000001</c:v>
                </c:pt>
                <c:pt idx="40">
                  <c:v>45.955399999999997</c:v>
                </c:pt>
                <c:pt idx="41">
                  <c:v>46.363999999999997</c:v>
                </c:pt>
                <c:pt idx="42">
                  <c:v>46.765999999999998</c:v>
                </c:pt>
                <c:pt idx="43">
                  <c:v>47.17</c:v>
                </c:pt>
                <c:pt idx="44">
                  <c:v>47.582799999999999</c:v>
                </c:pt>
                <c:pt idx="45">
                  <c:v>47.985999999999997</c:v>
                </c:pt>
                <c:pt idx="46">
                  <c:v>48.391500000000001</c:v>
                </c:pt>
                <c:pt idx="47">
                  <c:v>48.796999999999997</c:v>
                </c:pt>
                <c:pt idx="48">
                  <c:v>49.200400000000002</c:v>
                </c:pt>
                <c:pt idx="49">
                  <c:v>49.6113</c:v>
                </c:pt>
                <c:pt idx="50">
                  <c:v>50.018300000000004</c:v>
                </c:pt>
                <c:pt idx="51">
                  <c:v>50.423200000000001</c:v>
                </c:pt>
                <c:pt idx="52">
                  <c:v>50.828000000000003</c:v>
                </c:pt>
                <c:pt idx="53">
                  <c:v>51.233899999999998</c:v>
                </c:pt>
                <c:pt idx="54">
                  <c:v>51.6432</c:v>
                </c:pt>
                <c:pt idx="55">
                  <c:v>52.044899999999998</c:v>
                </c:pt>
                <c:pt idx="56">
                  <c:v>52.454799999999999</c:v>
                </c:pt>
                <c:pt idx="57">
                  <c:v>52.8626</c:v>
                </c:pt>
                <c:pt idx="58">
                  <c:v>53.268599999999999</c:v>
                </c:pt>
                <c:pt idx="59">
                  <c:v>53.673499999999997</c:v>
                </c:pt>
                <c:pt idx="60">
                  <c:v>54.078299999999999</c:v>
                </c:pt>
                <c:pt idx="61">
                  <c:v>54.482300000000002</c:v>
                </c:pt>
                <c:pt idx="62">
                  <c:v>54.889200000000002</c:v>
                </c:pt>
                <c:pt idx="63">
                  <c:v>55.299300000000002</c:v>
                </c:pt>
                <c:pt idx="64">
                  <c:v>55.705100000000002</c:v>
                </c:pt>
                <c:pt idx="65">
                  <c:v>56.110900000000001</c:v>
                </c:pt>
                <c:pt idx="66">
                  <c:v>56.516100000000002</c:v>
                </c:pt>
                <c:pt idx="67">
                  <c:v>56.921900000000001</c:v>
                </c:pt>
                <c:pt idx="68">
                  <c:v>57.328699999999998</c:v>
                </c:pt>
                <c:pt idx="69">
                  <c:v>57.733600000000003</c:v>
                </c:pt>
                <c:pt idx="70">
                  <c:v>58.140500000000003</c:v>
                </c:pt>
                <c:pt idx="71">
                  <c:v>58.545400000000001</c:v>
                </c:pt>
                <c:pt idx="72">
                  <c:v>58.952399999999997</c:v>
                </c:pt>
                <c:pt idx="73">
                  <c:v>59.361199999999997</c:v>
                </c:pt>
                <c:pt idx="74">
                  <c:v>59.7622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38.643799999999999</c:v>
                </c:pt>
                <c:pt idx="1">
                  <c:v>39.151299999999999</c:v>
                </c:pt>
                <c:pt idx="2">
                  <c:v>39.816699999999997</c:v>
                </c:pt>
                <c:pt idx="3">
                  <c:v>40.341200000000001</c:v>
                </c:pt>
                <c:pt idx="4">
                  <c:v>40.744700000000002</c:v>
                </c:pt>
                <c:pt idx="5">
                  <c:v>41.093499999999999</c:v>
                </c:pt>
                <c:pt idx="6">
                  <c:v>41.363799999999998</c:v>
                </c:pt>
                <c:pt idx="7">
                  <c:v>41.573300000000003</c:v>
                </c:pt>
                <c:pt idx="8">
                  <c:v>41.834900000000005</c:v>
                </c:pt>
                <c:pt idx="9">
                  <c:v>42.089500000000001</c:v>
                </c:pt>
                <c:pt idx="10">
                  <c:v>42.247599999999998</c:v>
                </c:pt>
                <c:pt idx="11">
                  <c:v>42.425200000000004</c:v>
                </c:pt>
                <c:pt idx="12">
                  <c:v>42.625600000000006</c:v>
                </c:pt>
                <c:pt idx="13">
                  <c:v>42.754399999999997</c:v>
                </c:pt>
                <c:pt idx="14">
                  <c:v>42.872599999999998</c:v>
                </c:pt>
                <c:pt idx="15">
                  <c:v>43.011700000000005</c:v>
                </c:pt>
                <c:pt idx="16">
                  <c:v>43.156599999999997</c:v>
                </c:pt>
                <c:pt idx="17">
                  <c:v>43.272599999999997</c:v>
                </c:pt>
                <c:pt idx="18">
                  <c:v>43.342799999999997</c:v>
                </c:pt>
                <c:pt idx="19">
                  <c:v>43.418399999999998</c:v>
                </c:pt>
                <c:pt idx="20">
                  <c:v>43.472899999999996</c:v>
                </c:pt>
                <c:pt idx="21">
                  <c:v>43.524799999999999</c:v>
                </c:pt>
                <c:pt idx="22">
                  <c:v>43.529000000000003</c:v>
                </c:pt>
                <c:pt idx="23">
                  <c:v>43.460999999999999</c:v>
                </c:pt>
                <c:pt idx="24">
                  <c:v>43.342799999999997</c:v>
                </c:pt>
                <c:pt idx="25">
                  <c:v>43.235099999999996</c:v>
                </c:pt>
                <c:pt idx="26">
                  <c:v>43.149700000000003</c:v>
                </c:pt>
                <c:pt idx="27">
                  <c:v>43.037999999999997</c:v>
                </c:pt>
                <c:pt idx="28">
                  <c:v>42.908200000000001</c:v>
                </c:pt>
                <c:pt idx="29">
                  <c:v>42.814900000000002</c:v>
                </c:pt>
                <c:pt idx="30">
                  <c:v>42.682600000000001</c:v>
                </c:pt>
                <c:pt idx="31">
                  <c:v>42.5413</c:v>
                </c:pt>
                <c:pt idx="32">
                  <c:v>42.459699999999998</c:v>
                </c:pt>
                <c:pt idx="33">
                  <c:v>42.408200000000001</c:v>
                </c:pt>
                <c:pt idx="34">
                  <c:v>42.383700000000005</c:v>
                </c:pt>
                <c:pt idx="35">
                  <c:v>42.426199999999994</c:v>
                </c:pt>
                <c:pt idx="36">
                  <c:v>42.458100000000002</c:v>
                </c:pt>
                <c:pt idx="37">
                  <c:v>42.434199999999997</c:v>
                </c:pt>
                <c:pt idx="38">
                  <c:v>42.423100000000005</c:v>
                </c:pt>
                <c:pt idx="39">
                  <c:v>42.402000000000001</c:v>
                </c:pt>
                <c:pt idx="40">
                  <c:v>42.417200000000001</c:v>
                </c:pt>
                <c:pt idx="41">
                  <c:v>42.4452</c:v>
                </c:pt>
                <c:pt idx="42">
                  <c:v>42.461799999999997</c:v>
                </c:pt>
                <c:pt idx="43">
                  <c:v>42.413000000000004</c:v>
                </c:pt>
                <c:pt idx="44">
                  <c:v>42.253700000000002</c:v>
                </c:pt>
                <c:pt idx="45">
                  <c:v>42.099399999999996</c:v>
                </c:pt>
                <c:pt idx="46">
                  <c:v>41.831200000000003</c:v>
                </c:pt>
                <c:pt idx="47">
                  <c:v>41.5595</c:v>
                </c:pt>
                <c:pt idx="48">
                  <c:v>41.353299999999997</c:v>
                </c:pt>
                <c:pt idx="49">
                  <c:v>41.151600000000002</c:v>
                </c:pt>
                <c:pt idx="50">
                  <c:v>40.9437</c:v>
                </c:pt>
                <c:pt idx="51">
                  <c:v>40.944699999999997</c:v>
                </c:pt>
                <c:pt idx="52">
                  <c:v>40.943899999999999</c:v>
                </c:pt>
                <c:pt idx="53">
                  <c:v>40.939900000000002</c:v>
                </c:pt>
                <c:pt idx="54">
                  <c:v>40.9161</c:v>
                </c:pt>
                <c:pt idx="55">
                  <c:v>40.891199999999998</c:v>
                </c:pt>
                <c:pt idx="56">
                  <c:v>40.919899999999998</c:v>
                </c:pt>
                <c:pt idx="57">
                  <c:v>40.943300000000001</c:v>
                </c:pt>
                <c:pt idx="58">
                  <c:v>40.9208</c:v>
                </c:pt>
                <c:pt idx="59">
                  <c:v>40.893799999999999</c:v>
                </c:pt>
                <c:pt idx="60">
                  <c:v>40.9116</c:v>
                </c:pt>
                <c:pt idx="61">
                  <c:v>40.905500000000004</c:v>
                </c:pt>
                <c:pt idx="62">
                  <c:v>40.878500000000003</c:v>
                </c:pt>
                <c:pt idx="63">
                  <c:v>40.8705</c:v>
                </c:pt>
                <c:pt idx="64">
                  <c:v>40.799099999999996</c:v>
                </c:pt>
                <c:pt idx="65">
                  <c:v>40.660000000000004</c:v>
                </c:pt>
                <c:pt idx="66">
                  <c:v>40.479599999999998</c:v>
                </c:pt>
                <c:pt idx="67">
                  <c:v>40.162500000000001</c:v>
                </c:pt>
                <c:pt idx="68">
                  <c:v>39.890799999999999</c:v>
                </c:pt>
                <c:pt idx="69">
                  <c:v>39.554400000000001</c:v>
                </c:pt>
                <c:pt idx="70">
                  <c:v>39.057099999999998</c:v>
                </c:pt>
                <c:pt idx="71">
                  <c:v>38.838000000000001</c:v>
                </c:pt>
                <c:pt idx="72">
                  <c:v>38.731700000000004</c:v>
                </c:pt>
                <c:pt idx="73">
                  <c:v>38.544499999999999</c:v>
                </c:pt>
                <c:pt idx="74">
                  <c:v>38.218400000000003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36.111362162162152</c:v>
                </c:pt>
                <c:pt idx="1">
                  <c:v>41.648341891891896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  <c:pt idx="74">
                  <c:v>3.15882</c:v>
                </c:pt>
                <c:pt idx="75">
                  <c:v>3.13626</c:v>
                </c:pt>
                <c:pt idx="76">
                  <c:v>3.1193999999999997</c:v>
                </c:pt>
                <c:pt idx="77">
                  <c:v>3.1099500000000004</c:v>
                </c:pt>
                <c:pt idx="78">
                  <c:v>3.1069799999999996</c:v>
                </c:pt>
                <c:pt idx="79">
                  <c:v>3.1079400000000001</c:v>
                </c:pt>
                <c:pt idx="80">
                  <c:v>3.1156299999999999</c:v>
                </c:pt>
                <c:pt idx="81">
                  <c:v>3.1234099999999998</c:v>
                </c:pt>
                <c:pt idx="82">
                  <c:v>3.13232</c:v>
                </c:pt>
                <c:pt idx="83">
                  <c:v>3.1444699999999997</c:v>
                </c:pt>
                <c:pt idx="84">
                  <c:v>3.1556800000000003</c:v>
                </c:pt>
                <c:pt idx="85">
                  <c:v>3.1663799999999998</c:v>
                </c:pt>
                <c:pt idx="86">
                  <c:v>3.1780399999999998</c:v>
                </c:pt>
                <c:pt idx="87">
                  <c:v>3.1894400000000003</c:v>
                </c:pt>
                <c:pt idx="88">
                  <c:v>3.2040699999999998</c:v>
                </c:pt>
                <c:pt idx="89">
                  <c:v>3.2178100000000001</c:v>
                </c:pt>
                <c:pt idx="90">
                  <c:v>3.2292999999999998</c:v>
                </c:pt>
                <c:pt idx="91">
                  <c:v>3.2386999999999997</c:v>
                </c:pt>
                <c:pt idx="92">
                  <c:v>3.2448100000000002</c:v>
                </c:pt>
                <c:pt idx="93">
                  <c:v>3.2472400000000001</c:v>
                </c:pt>
                <c:pt idx="94">
                  <c:v>3.2447599999999999</c:v>
                </c:pt>
                <c:pt idx="95">
                  <c:v>3.23915</c:v>
                </c:pt>
                <c:pt idx="96">
                  <c:v>3.23081</c:v>
                </c:pt>
                <c:pt idx="97">
                  <c:v>3.2213099999999999</c:v>
                </c:pt>
                <c:pt idx="98">
                  <c:v>3.2150099999999999</c:v>
                </c:pt>
                <c:pt idx="99">
                  <c:v>3.2098199999999997</c:v>
                </c:pt>
                <c:pt idx="100">
                  <c:v>3.20458</c:v>
                </c:pt>
                <c:pt idx="101">
                  <c:v>3.1972499999999999</c:v>
                </c:pt>
                <c:pt idx="102">
                  <c:v>3.1875300000000002</c:v>
                </c:pt>
                <c:pt idx="103">
                  <c:v>3.1773800000000003</c:v>
                </c:pt>
                <c:pt idx="104">
                  <c:v>3.1678000000000002</c:v>
                </c:pt>
                <c:pt idx="105">
                  <c:v>3.1561899999999996</c:v>
                </c:pt>
                <c:pt idx="106">
                  <c:v>3.1442199999999998</c:v>
                </c:pt>
                <c:pt idx="107">
                  <c:v>3.1315300000000001</c:v>
                </c:pt>
                <c:pt idx="108">
                  <c:v>3.1160100000000002</c:v>
                </c:pt>
                <c:pt idx="109">
                  <c:v>3.1038900000000003</c:v>
                </c:pt>
                <c:pt idx="110">
                  <c:v>3.0978400000000001</c:v>
                </c:pt>
                <c:pt idx="111">
                  <c:v>3.0940000000000003</c:v>
                </c:pt>
                <c:pt idx="112">
                  <c:v>3.0942399999999997</c:v>
                </c:pt>
                <c:pt idx="113">
                  <c:v>3.0933000000000002</c:v>
                </c:pt>
                <c:pt idx="114">
                  <c:v>3.0925599999999998</c:v>
                </c:pt>
                <c:pt idx="115">
                  <c:v>3.0942999999999996</c:v>
                </c:pt>
                <c:pt idx="116">
                  <c:v>3.1009199999999999</c:v>
                </c:pt>
                <c:pt idx="117">
                  <c:v>3.11307</c:v>
                </c:pt>
                <c:pt idx="118">
                  <c:v>3.1256899999999996</c:v>
                </c:pt>
                <c:pt idx="119">
                  <c:v>3.1424400000000001</c:v>
                </c:pt>
                <c:pt idx="120">
                  <c:v>3.1600600000000001</c:v>
                </c:pt>
                <c:pt idx="121">
                  <c:v>3.1793500000000003</c:v>
                </c:pt>
                <c:pt idx="122">
                  <c:v>3.2023200000000003</c:v>
                </c:pt>
                <c:pt idx="123">
                  <c:v>3.2248799999999997</c:v>
                </c:pt>
                <c:pt idx="124">
                  <c:v>3.2332699999999996</c:v>
                </c:pt>
                <c:pt idx="125">
                  <c:v>3.2420599999999999</c:v>
                </c:pt>
                <c:pt idx="126">
                  <c:v>3.2524899999999999</c:v>
                </c:pt>
                <c:pt idx="127">
                  <c:v>3.2629799999999998</c:v>
                </c:pt>
                <c:pt idx="128">
                  <c:v>3.2735300000000001</c:v>
                </c:pt>
                <c:pt idx="129">
                  <c:v>3.2845000000000004</c:v>
                </c:pt>
                <c:pt idx="130">
                  <c:v>3.29779</c:v>
                </c:pt>
                <c:pt idx="131">
                  <c:v>3.3130799999999998</c:v>
                </c:pt>
                <c:pt idx="132">
                  <c:v>3.3300999999999998</c:v>
                </c:pt>
                <c:pt idx="133">
                  <c:v>3.34985</c:v>
                </c:pt>
                <c:pt idx="134">
                  <c:v>3.3695300000000001</c:v>
                </c:pt>
                <c:pt idx="135">
                  <c:v>3.3856900000000003</c:v>
                </c:pt>
                <c:pt idx="136">
                  <c:v>3.4015299999999997</c:v>
                </c:pt>
                <c:pt idx="137">
                  <c:v>3.4154099999999996</c:v>
                </c:pt>
                <c:pt idx="138">
                  <c:v>3.4306599999999996</c:v>
                </c:pt>
                <c:pt idx="139">
                  <c:v>3.4454600000000002</c:v>
                </c:pt>
                <c:pt idx="140">
                  <c:v>3.4610000000000003</c:v>
                </c:pt>
                <c:pt idx="141">
                  <c:v>3.47051</c:v>
                </c:pt>
                <c:pt idx="142">
                  <c:v>3.4731200000000002</c:v>
                </c:pt>
                <c:pt idx="143">
                  <c:v>3.4835500000000001</c:v>
                </c:pt>
                <c:pt idx="144">
                  <c:v>3.4955000000000003</c:v>
                </c:pt>
                <c:pt idx="145">
                  <c:v>3.5115600000000002</c:v>
                </c:pt>
                <c:pt idx="146">
                  <c:v>3.54094</c:v>
                </c:pt>
                <c:pt idx="147">
                  <c:v>3.5558399999999999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  <c:pt idx="74">
                  <c:v>39.151299999999999</c:v>
                </c:pt>
                <c:pt idx="75">
                  <c:v>39.816699999999997</c:v>
                </c:pt>
                <c:pt idx="76">
                  <c:v>40.341200000000001</c:v>
                </c:pt>
                <c:pt idx="77">
                  <c:v>40.744700000000002</c:v>
                </c:pt>
                <c:pt idx="78">
                  <c:v>41.093499999999999</c:v>
                </c:pt>
                <c:pt idx="79">
                  <c:v>41.363799999999998</c:v>
                </c:pt>
                <c:pt idx="80">
                  <c:v>41.573300000000003</c:v>
                </c:pt>
                <c:pt idx="81">
                  <c:v>41.834900000000005</c:v>
                </c:pt>
                <c:pt idx="82">
                  <c:v>42.089500000000001</c:v>
                </c:pt>
                <c:pt idx="83">
                  <c:v>42.247599999999998</c:v>
                </c:pt>
                <c:pt idx="84">
                  <c:v>42.425200000000004</c:v>
                </c:pt>
                <c:pt idx="85">
                  <c:v>42.625600000000006</c:v>
                </c:pt>
                <c:pt idx="86">
                  <c:v>42.754399999999997</c:v>
                </c:pt>
                <c:pt idx="87">
                  <c:v>42.872599999999998</c:v>
                </c:pt>
                <c:pt idx="88">
                  <c:v>43.011700000000005</c:v>
                </c:pt>
                <c:pt idx="89">
                  <c:v>43.156599999999997</c:v>
                </c:pt>
                <c:pt idx="90">
                  <c:v>43.272599999999997</c:v>
                </c:pt>
                <c:pt idx="91">
                  <c:v>43.342799999999997</c:v>
                </c:pt>
                <c:pt idx="92">
                  <c:v>43.418399999999998</c:v>
                </c:pt>
                <c:pt idx="93">
                  <c:v>43.472899999999996</c:v>
                </c:pt>
                <c:pt idx="94">
                  <c:v>43.524799999999999</c:v>
                </c:pt>
                <c:pt idx="95">
                  <c:v>43.529000000000003</c:v>
                </c:pt>
                <c:pt idx="96">
                  <c:v>43.460999999999999</c:v>
                </c:pt>
                <c:pt idx="97">
                  <c:v>43.342799999999997</c:v>
                </c:pt>
                <c:pt idx="98">
                  <c:v>43.235099999999996</c:v>
                </c:pt>
                <c:pt idx="99">
                  <c:v>43.149700000000003</c:v>
                </c:pt>
                <c:pt idx="100">
                  <c:v>43.037999999999997</c:v>
                </c:pt>
                <c:pt idx="101">
                  <c:v>42.908200000000001</c:v>
                </c:pt>
                <c:pt idx="102">
                  <c:v>42.814900000000002</c:v>
                </c:pt>
                <c:pt idx="103">
                  <c:v>42.682600000000001</c:v>
                </c:pt>
                <c:pt idx="104">
                  <c:v>42.5413</c:v>
                </c:pt>
                <c:pt idx="105">
                  <c:v>42.459699999999998</c:v>
                </c:pt>
                <c:pt idx="106">
                  <c:v>42.408200000000001</c:v>
                </c:pt>
                <c:pt idx="107">
                  <c:v>42.383700000000005</c:v>
                </c:pt>
                <c:pt idx="108">
                  <c:v>42.426199999999994</c:v>
                </c:pt>
                <c:pt idx="109">
                  <c:v>42.458100000000002</c:v>
                </c:pt>
                <c:pt idx="110">
                  <c:v>42.434199999999997</c:v>
                </c:pt>
                <c:pt idx="111">
                  <c:v>42.423100000000005</c:v>
                </c:pt>
                <c:pt idx="112">
                  <c:v>42.402000000000001</c:v>
                </c:pt>
                <c:pt idx="113">
                  <c:v>42.417200000000001</c:v>
                </c:pt>
                <c:pt idx="114">
                  <c:v>42.4452</c:v>
                </c:pt>
                <c:pt idx="115">
                  <c:v>42.461799999999997</c:v>
                </c:pt>
                <c:pt idx="116">
                  <c:v>42.413000000000004</c:v>
                </c:pt>
                <c:pt idx="117">
                  <c:v>42.253700000000002</c:v>
                </c:pt>
                <c:pt idx="118">
                  <c:v>42.099399999999996</c:v>
                </c:pt>
                <c:pt idx="119">
                  <c:v>41.831200000000003</c:v>
                </c:pt>
                <c:pt idx="120">
                  <c:v>41.5595</c:v>
                </c:pt>
                <c:pt idx="121">
                  <c:v>41.353299999999997</c:v>
                </c:pt>
                <c:pt idx="122">
                  <c:v>41.151600000000002</c:v>
                </c:pt>
                <c:pt idx="123">
                  <c:v>40.9437</c:v>
                </c:pt>
                <c:pt idx="124">
                  <c:v>40.944699999999997</c:v>
                </c:pt>
                <c:pt idx="125">
                  <c:v>40.943899999999999</c:v>
                </c:pt>
                <c:pt idx="126">
                  <c:v>40.939900000000002</c:v>
                </c:pt>
                <c:pt idx="127">
                  <c:v>40.9161</c:v>
                </c:pt>
                <c:pt idx="128">
                  <c:v>40.891199999999998</c:v>
                </c:pt>
                <c:pt idx="129">
                  <c:v>40.919899999999998</c:v>
                </c:pt>
                <c:pt idx="130">
                  <c:v>40.943300000000001</c:v>
                </c:pt>
                <c:pt idx="131">
                  <c:v>40.9208</c:v>
                </c:pt>
                <c:pt idx="132">
                  <c:v>40.893799999999999</c:v>
                </c:pt>
                <c:pt idx="133">
                  <c:v>40.9116</c:v>
                </c:pt>
                <c:pt idx="134">
                  <c:v>40.905500000000004</c:v>
                </c:pt>
                <c:pt idx="135">
                  <c:v>40.878500000000003</c:v>
                </c:pt>
                <c:pt idx="136">
                  <c:v>40.8705</c:v>
                </c:pt>
                <c:pt idx="137">
                  <c:v>40.799099999999996</c:v>
                </c:pt>
                <c:pt idx="138">
                  <c:v>40.660000000000004</c:v>
                </c:pt>
                <c:pt idx="139">
                  <c:v>40.479599999999998</c:v>
                </c:pt>
                <c:pt idx="140">
                  <c:v>40.162500000000001</c:v>
                </c:pt>
                <c:pt idx="141">
                  <c:v>39.890799999999999</c:v>
                </c:pt>
                <c:pt idx="142">
                  <c:v>39.554400000000001</c:v>
                </c:pt>
                <c:pt idx="143">
                  <c:v>39.057099999999998</c:v>
                </c:pt>
                <c:pt idx="144">
                  <c:v>38.838000000000001</c:v>
                </c:pt>
                <c:pt idx="145">
                  <c:v>38.731700000000004</c:v>
                </c:pt>
                <c:pt idx="146">
                  <c:v>38.544499999999999</c:v>
                </c:pt>
                <c:pt idx="147">
                  <c:v>38.218400000000003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2.52013</c:v>
                </c:pt>
                <c:pt idx="1">
                  <c:v>2.6089899999999999</c:v>
                </c:pt>
                <c:pt idx="2">
                  <c:v>2.6979599999999997</c:v>
                </c:pt>
                <c:pt idx="3">
                  <c:v>2.7899099999999999</c:v>
                </c:pt>
                <c:pt idx="4">
                  <c:v>2.88028</c:v>
                </c:pt>
                <c:pt idx="5">
                  <c:v>2.9744999999999999</c:v>
                </c:pt>
                <c:pt idx="6">
                  <c:v>3.0657399999999999</c:v>
                </c:pt>
                <c:pt idx="7">
                  <c:v>3.1536399999999998</c:v>
                </c:pt>
                <c:pt idx="8">
                  <c:v>3.2417699999999998</c:v>
                </c:pt>
                <c:pt idx="9">
                  <c:v>3.3331499999999998</c:v>
                </c:pt>
                <c:pt idx="10">
                  <c:v>3.4240900000000001</c:v>
                </c:pt>
                <c:pt idx="11">
                  <c:v>3.5162399999999998</c:v>
                </c:pt>
                <c:pt idx="12">
                  <c:v>3.6063800000000001</c:v>
                </c:pt>
                <c:pt idx="13">
                  <c:v>3.6951000000000001</c:v>
                </c:pt>
                <c:pt idx="14">
                  <c:v>3.7851400000000002</c:v>
                </c:pt>
                <c:pt idx="15">
                  <c:v>3.8730399999999996</c:v>
                </c:pt>
                <c:pt idx="16">
                  <c:v>3.95899</c:v>
                </c:pt>
                <c:pt idx="17">
                  <c:v>4.0411599999999996</c:v>
                </c:pt>
                <c:pt idx="18">
                  <c:v>4.11869</c:v>
                </c:pt>
                <c:pt idx="19">
                  <c:v>4.1929600000000002</c:v>
                </c:pt>
                <c:pt idx="20">
                  <c:v>4.2637599999999996</c:v>
                </c:pt>
                <c:pt idx="21">
                  <c:v>4.3297499999999998</c:v>
                </c:pt>
                <c:pt idx="22">
                  <c:v>4.3904399999999999</c:v>
                </c:pt>
                <c:pt idx="23">
                  <c:v>4.4462299999999999</c:v>
                </c:pt>
                <c:pt idx="24">
                  <c:v>4.4990799999999993</c:v>
                </c:pt>
                <c:pt idx="25">
                  <c:v>4.5489899999999999</c:v>
                </c:pt>
                <c:pt idx="26">
                  <c:v>4.59551</c:v>
                </c:pt>
                <c:pt idx="27">
                  <c:v>4.6355400000000007</c:v>
                </c:pt>
                <c:pt idx="28">
                  <c:v>4.6697899999999999</c:v>
                </c:pt>
                <c:pt idx="29">
                  <c:v>4.6999300000000002</c:v>
                </c:pt>
                <c:pt idx="30">
                  <c:v>4.7230800000000004</c:v>
                </c:pt>
                <c:pt idx="31">
                  <c:v>4.7415000000000003</c:v>
                </c:pt>
                <c:pt idx="32">
                  <c:v>4.7577100000000003</c:v>
                </c:pt>
                <c:pt idx="33">
                  <c:v>4.7710799999999995</c:v>
                </c:pt>
                <c:pt idx="34">
                  <c:v>4.7786600000000004</c:v>
                </c:pt>
                <c:pt idx="35">
                  <c:v>4.7827999999999999</c:v>
                </c:pt>
                <c:pt idx="36">
                  <c:v>4.7774400000000004</c:v>
                </c:pt>
                <c:pt idx="37">
                  <c:v>4.7664499999999999</c:v>
                </c:pt>
                <c:pt idx="38">
                  <c:v>4.7488399999999995</c:v>
                </c:pt>
                <c:pt idx="39">
                  <c:v>4.7222999999999997</c:v>
                </c:pt>
                <c:pt idx="40">
                  <c:v>4.6918600000000001</c:v>
                </c:pt>
                <c:pt idx="41">
                  <c:v>4.6562199999999994</c:v>
                </c:pt>
                <c:pt idx="42">
                  <c:v>4.6198299999999994</c:v>
                </c:pt>
                <c:pt idx="43">
                  <c:v>4.5828999999999995</c:v>
                </c:pt>
                <c:pt idx="44">
                  <c:v>4.5437000000000003</c:v>
                </c:pt>
                <c:pt idx="45">
                  <c:v>4.5026399999999995</c:v>
                </c:pt>
                <c:pt idx="46">
                  <c:v>4.4597899999999999</c:v>
                </c:pt>
                <c:pt idx="47">
                  <c:v>4.4173499999999999</c:v>
                </c:pt>
                <c:pt idx="48">
                  <c:v>4.3776099999999998</c:v>
                </c:pt>
                <c:pt idx="49">
                  <c:v>4.3360700000000003</c:v>
                </c:pt>
                <c:pt idx="50">
                  <c:v>4.2884200000000003</c:v>
                </c:pt>
                <c:pt idx="51">
                  <c:v>4.2500999999999998</c:v>
                </c:pt>
                <c:pt idx="52">
                  <c:v>4.2010899999999998</c:v>
                </c:pt>
                <c:pt idx="53">
                  <c:v>4.1372499999999999</c:v>
                </c:pt>
                <c:pt idx="54">
                  <c:v>4.0861599999999996</c:v>
                </c:pt>
                <c:pt idx="55">
                  <c:v>4.0342500000000001</c:v>
                </c:pt>
                <c:pt idx="56">
                  <c:v>3.9967000000000001</c:v>
                </c:pt>
                <c:pt idx="57">
                  <c:v>3.9417200000000001</c:v>
                </c:pt>
                <c:pt idx="58">
                  <c:v>3.8703700000000003</c:v>
                </c:pt>
                <c:pt idx="59">
                  <c:v>3.8105600000000002</c:v>
                </c:pt>
                <c:pt idx="60">
                  <c:v>3.74817</c:v>
                </c:pt>
                <c:pt idx="61">
                  <c:v>3.6893599999999998</c:v>
                </c:pt>
                <c:pt idx="62">
                  <c:v>3.6442799999999997</c:v>
                </c:pt>
                <c:pt idx="63">
                  <c:v>3.5775099999999997</c:v>
                </c:pt>
                <c:pt idx="64">
                  <c:v>3.5364499999999999</c:v>
                </c:pt>
                <c:pt idx="65">
                  <c:v>3.4866200000000003</c:v>
                </c:pt>
                <c:pt idx="66">
                  <c:v>3.43269</c:v>
                </c:pt>
                <c:pt idx="67">
                  <c:v>3.3880400000000002</c:v>
                </c:pt>
                <c:pt idx="68">
                  <c:v>3.3465099999999999</c:v>
                </c:pt>
                <c:pt idx="69">
                  <c:v>3.3091999999999997</c:v>
                </c:pt>
                <c:pt idx="70">
                  <c:v>3.2785299999999999</c:v>
                </c:pt>
                <c:pt idx="71">
                  <c:v>3.2468699999999999</c:v>
                </c:pt>
                <c:pt idx="72">
                  <c:v>3.2177499999999997</c:v>
                </c:pt>
                <c:pt idx="73">
                  <c:v>3.18716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52.798199999999994</c:v>
                </c:pt>
                <c:pt idx="1">
                  <c:v>51.954500000000003</c:v>
                </c:pt>
                <c:pt idx="2">
                  <c:v>51.015900000000002</c:v>
                </c:pt>
                <c:pt idx="3">
                  <c:v>49.999900000000004</c:v>
                </c:pt>
                <c:pt idx="4">
                  <c:v>49.112000000000002</c:v>
                </c:pt>
                <c:pt idx="5">
                  <c:v>48.031100000000002</c:v>
                </c:pt>
                <c:pt idx="6">
                  <c:v>46.888000000000005</c:v>
                </c:pt>
                <c:pt idx="7">
                  <c:v>45.741</c:v>
                </c:pt>
                <c:pt idx="8">
                  <c:v>44.664300000000004</c:v>
                </c:pt>
                <c:pt idx="9">
                  <c:v>43.453599999999994</c:v>
                </c:pt>
                <c:pt idx="10">
                  <c:v>42.271599999999999</c:v>
                </c:pt>
                <c:pt idx="11">
                  <c:v>41.020499999999998</c:v>
                </c:pt>
                <c:pt idx="12">
                  <c:v>39.869300000000003</c:v>
                </c:pt>
                <c:pt idx="13">
                  <c:v>38.782899999999998</c:v>
                </c:pt>
                <c:pt idx="14">
                  <c:v>37.615200000000002</c:v>
                </c:pt>
                <c:pt idx="15">
                  <c:v>36.643999999999998</c:v>
                </c:pt>
                <c:pt idx="16">
                  <c:v>35.7791</c:v>
                </c:pt>
                <c:pt idx="17">
                  <c:v>35.0349</c:v>
                </c:pt>
                <c:pt idx="18">
                  <c:v>34.544200000000004</c:v>
                </c:pt>
                <c:pt idx="19">
                  <c:v>34.0379</c:v>
                </c:pt>
                <c:pt idx="20">
                  <c:v>33.566400000000002</c:v>
                </c:pt>
                <c:pt idx="21">
                  <c:v>33.192100000000003</c:v>
                </c:pt>
                <c:pt idx="22">
                  <c:v>32.913599999999995</c:v>
                </c:pt>
                <c:pt idx="23">
                  <c:v>32.821300000000001</c:v>
                </c:pt>
                <c:pt idx="24">
                  <c:v>32.744</c:v>
                </c:pt>
                <c:pt idx="25">
                  <c:v>32.529400000000003</c:v>
                </c:pt>
                <c:pt idx="26">
                  <c:v>32.319400000000002</c:v>
                </c:pt>
                <c:pt idx="27">
                  <c:v>32.222099999999998</c:v>
                </c:pt>
                <c:pt idx="28">
                  <c:v>32.155499999999996</c:v>
                </c:pt>
                <c:pt idx="29">
                  <c:v>32.1447</c:v>
                </c:pt>
                <c:pt idx="30">
                  <c:v>32.073299999999996</c:v>
                </c:pt>
                <c:pt idx="31">
                  <c:v>31.948599999999999</c:v>
                </c:pt>
                <c:pt idx="32">
                  <c:v>31.841199999999997</c:v>
                </c:pt>
                <c:pt idx="33">
                  <c:v>31.806899999999999</c:v>
                </c:pt>
                <c:pt idx="34">
                  <c:v>31.7577</c:v>
                </c:pt>
                <c:pt idx="35">
                  <c:v>31.725999999999999</c:v>
                </c:pt>
                <c:pt idx="36">
                  <c:v>31.687700000000003</c:v>
                </c:pt>
                <c:pt idx="37">
                  <c:v>31.649500000000003</c:v>
                </c:pt>
                <c:pt idx="38">
                  <c:v>31.550299999999996</c:v>
                </c:pt>
                <c:pt idx="39">
                  <c:v>31.510899999999996</c:v>
                </c:pt>
                <c:pt idx="40">
                  <c:v>31.4971</c:v>
                </c:pt>
                <c:pt idx="41">
                  <c:v>31.534800000000001</c:v>
                </c:pt>
                <c:pt idx="42">
                  <c:v>31.659500000000001</c:v>
                </c:pt>
                <c:pt idx="43">
                  <c:v>31.772699999999997</c:v>
                </c:pt>
                <c:pt idx="44">
                  <c:v>31.936900000000001</c:v>
                </c:pt>
                <c:pt idx="45">
                  <c:v>32.18</c:v>
                </c:pt>
                <c:pt idx="46">
                  <c:v>32.437600000000003</c:v>
                </c:pt>
                <c:pt idx="47">
                  <c:v>32.719700000000003</c:v>
                </c:pt>
                <c:pt idx="48">
                  <c:v>32.988900000000001</c:v>
                </c:pt>
                <c:pt idx="49">
                  <c:v>33.287299999999995</c:v>
                </c:pt>
                <c:pt idx="50">
                  <c:v>33.631499999999996</c:v>
                </c:pt>
                <c:pt idx="51">
                  <c:v>34.115499999999997</c:v>
                </c:pt>
                <c:pt idx="52">
                  <c:v>34.369100000000003</c:v>
                </c:pt>
                <c:pt idx="53">
                  <c:v>34.3765</c:v>
                </c:pt>
                <c:pt idx="54">
                  <c:v>34.404000000000003</c:v>
                </c:pt>
                <c:pt idx="55">
                  <c:v>34.292499999999997</c:v>
                </c:pt>
                <c:pt idx="56">
                  <c:v>34.3947</c:v>
                </c:pt>
                <c:pt idx="57">
                  <c:v>34.395299999999999</c:v>
                </c:pt>
                <c:pt idx="58">
                  <c:v>34.304499999999997</c:v>
                </c:pt>
                <c:pt idx="59">
                  <c:v>34.449600000000004</c:v>
                </c:pt>
                <c:pt idx="60">
                  <c:v>34.675600000000003</c:v>
                </c:pt>
                <c:pt idx="61">
                  <c:v>34.819600000000001</c:v>
                </c:pt>
                <c:pt idx="62">
                  <c:v>35.027099999999997</c:v>
                </c:pt>
                <c:pt idx="63">
                  <c:v>35.071600000000004</c:v>
                </c:pt>
                <c:pt idx="64">
                  <c:v>35.197600000000001</c:v>
                </c:pt>
                <c:pt idx="65">
                  <c:v>35.275300000000001</c:v>
                </c:pt>
                <c:pt idx="66">
                  <c:v>35.3947</c:v>
                </c:pt>
                <c:pt idx="67">
                  <c:v>35.6267</c:v>
                </c:pt>
                <c:pt idx="68">
                  <c:v>35.941699999999997</c:v>
                </c:pt>
                <c:pt idx="69">
                  <c:v>36.349399999999996</c:v>
                </c:pt>
                <c:pt idx="70">
                  <c:v>36.727699999999999</c:v>
                </c:pt>
                <c:pt idx="71">
                  <c:v>37.412500000000001</c:v>
                </c:pt>
                <c:pt idx="72">
                  <c:v>37.911099999999998</c:v>
                </c:pt>
                <c:pt idx="73">
                  <c:v>38.643799999999999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3.18716</c:v>
                </c:pt>
                <c:pt idx="1">
                  <c:v>3.15882</c:v>
                </c:pt>
                <c:pt idx="2">
                  <c:v>3.13626</c:v>
                </c:pt>
                <c:pt idx="3">
                  <c:v>3.1193999999999997</c:v>
                </c:pt>
                <c:pt idx="4">
                  <c:v>3.1099500000000004</c:v>
                </c:pt>
                <c:pt idx="5">
                  <c:v>3.1069799999999996</c:v>
                </c:pt>
                <c:pt idx="6">
                  <c:v>3.1079400000000001</c:v>
                </c:pt>
                <c:pt idx="7">
                  <c:v>3.1156299999999999</c:v>
                </c:pt>
                <c:pt idx="8">
                  <c:v>3.1234099999999998</c:v>
                </c:pt>
                <c:pt idx="9">
                  <c:v>3.13232</c:v>
                </c:pt>
                <c:pt idx="10">
                  <c:v>3.1444699999999997</c:v>
                </c:pt>
                <c:pt idx="11">
                  <c:v>3.1556800000000003</c:v>
                </c:pt>
                <c:pt idx="12">
                  <c:v>3.1663799999999998</c:v>
                </c:pt>
                <c:pt idx="13">
                  <c:v>3.1780399999999998</c:v>
                </c:pt>
                <c:pt idx="14">
                  <c:v>3.1894400000000003</c:v>
                </c:pt>
                <c:pt idx="15">
                  <c:v>3.2040699999999998</c:v>
                </c:pt>
                <c:pt idx="16">
                  <c:v>3.2178100000000001</c:v>
                </c:pt>
                <c:pt idx="17">
                  <c:v>3.2292999999999998</c:v>
                </c:pt>
                <c:pt idx="18">
                  <c:v>3.2386999999999997</c:v>
                </c:pt>
                <c:pt idx="19">
                  <c:v>3.2448100000000002</c:v>
                </c:pt>
                <c:pt idx="20">
                  <c:v>3.2472400000000001</c:v>
                </c:pt>
                <c:pt idx="21">
                  <c:v>3.2447599999999999</c:v>
                </c:pt>
                <c:pt idx="22">
                  <c:v>3.23915</c:v>
                </c:pt>
                <c:pt idx="23">
                  <c:v>3.23081</c:v>
                </c:pt>
                <c:pt idx="24">
                  <c:v>3.2213099999999999</c:v>
                </c:pt>
                <c:pt idx="25">
                  <c:v>3.2150099999999999</c:v>
                </c:pt>
                <c:pt idx="26">
                  <c:v>3.2098199999999997</c:v>
                </c:pt>
                <c:pt idx="27">
                  <c:v>3.20458</c:v>
                </c:pt>
                <c:pt idx="28">
                  <c:v>3.1972499999999999</c:v>
                </c:pt>
                <c:pt idx="29">
                  <c:v>3.1875300000000002</c:v>
                </c:pt>
                <c:pt idx="30">
                  <c:v>3.1773800000000003</c:v>
                </c:pt>
                <c:pt idx="31">
                  <c:v>3.1678000000000002</c:v>
                </c:pt>
                <c:pt idx="32">
                  <c:v>3.1561899999999996</c:v>
                </c:pt>
                <c:pt idx="33">
                  <c:v>3.1442199999999998</c:v>
                </c:pt>
                <c:pt idx="34">
                  <c:v>3.1315300000000001</c:v>
                </c:pt>
                <c:pt idx="35">
                  <c:v>3.1160100000000002</c:v>
                </c:pt>
                <c:pt idx="36">
                  <c:v>3.1038900000000003</c:v>
                </c:pt>
                <c:pt idx="37">
                  <c:v>3.0978400000000001</c:v>
                </c:pt>
                <c:pt idx="38">
                  <c:v>3.0940000000000003</c:v>
                </c:pt>
                <c:pt idx="39">
                  <c:v>3.0942399999999997</c:v>
                </c:pt>
                <c:pt idx="40">
                  <c:v>3.0933000000000002</c:v>
                </c:pt>
                <c:pt idx="41">
                  <c:v>3.0925599999999998</c:v>
                </c:pt>
                <c:pt idx="42">
                  <c:v>3.0942999999999996</c:v>
                </c:pt>
                <c:pt idx="43">
                  <c:v>3.1009199999999999</c:v>
                </c:pt>
                <c:pt idx="44">
                  <c:v>3.11307</c:v>
                </c:pt>
                <c:pt idx="45">
                  <c:v>3.1256899999999996</c:v>
                </c:pt>
                <c:pt idx="46">
                  <c:v>3.1424400000000001</c:v>
                </c:pt>
                <c:pt idx="47">
                  <c:v>3.1600600000000001</c:v>
                </c:pt>
                <c:pt idx="48">
                  <c:v>3.1793500000000003</c:v>
                </c:pt>
                <c:pt idx="49">
                  <c:v>3.2023200000000003</c:v>
                </c:pt>
                <c:pt idx="50">
                  <c:v>3.2248799999999997</c:v>
                </c:pt>
                <c:pt idx="51">
                  <c:v>3.2332699999999996</c:v>
                </c:pt>
                <c:pt idx="52">
                  <c:v>3.2420599999999999</c:v>
                </c:pt>
                <c:pt idx="53">
                  <c:v>3.2524899999999999</c:v>
                </c:pt>
                <c:pt idx="54">
                  <c:v>3.2629799999999998</c:v>
                </c:pt>
                <c:pt idx="55">
                  <c:v>3.2735300000000001</c:v>
                </c:pt>
                <c:pt idx="56">
                  <c:v>3.2845000000000004</c:v>
                </c:pt>
                <c:pt idx="57">
                  <c:v>3.29779</c:v>
                </c:pt>
                <c:pt idx="58">
                  <c:v>3.3130799999999998</c:v>
                </c:pt>
                <c:pt idx="59">
                  <c:v>3.3300999999999998</c:v>
                </c:pt>
                <c:pt idx="60">
                  <c:v>3.34985</c:v>
                </c:pt>
                <c:pt idx="61">
                  <c:v>3.3695300000000001</c:v>
                </c:pt>
                <c:pt idx="62">
                  <c:v>3.3856900000000003</c:v>
                </c:pt>
                <c:pt idx="63">
                  <c:v>3.4015299999999997</c:v>
                </c:pt>
                <c:pt idx="64">
                  <c:v>3.4154099999999996</c:v>
                </c:pt>
                <c:pt idx="65">
                  <c:v>3.4306599999999996</c:v>
                </c:pt>
                <c:pt idx="66">
                  <c:v>3.4454600000000002</c:v>
                </c:pt>
                <c:pt idx="67">
                  <c:v>3.4610000000000003</c:v>
                </c:pt>
                <c:pt idx="68">
                  <c:v>3.47051</c:v>
                </c:pt>
                <c:pt idx="69">
                  <c:v>3.4731200000000002</c:v>
                </c:pt>
                <c:pt idx="70">
                  <c:v>3.4835500000000001</c:v>
                </c:pt>
                <c:pt idx="71">
                  <c:v>3.4955000000000003</c:v>
                </c:pt>
                <c:pt idx="72">
                  <c:v>3.5115600000000002</c:v>
                </c:pt>
                <c:pt idx="73">
                  <c:v>3.54094</c:v>
                </c:pt>
                <c:pt idx="74">
                  <c:v>3.5558399999999999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38.643799999999999</c:v>
                </c:pt>
                <c:pt idx="1">
                  <c:v>39.151299999999999</c:v>
                </c:pt>
                <c:pt idx="2">
                  <c:v>39.816699999999997</c:v>
                </c:pt>
                <c:pt idx="3">
                  <c:v>40.341200000000001</c:v>
                </c:pt>
                <c:pt idx="4">
                  <c:v>40.744700000000002</c:v>
                </c:pt>
                <c:pt idx="5">
                  <c:v>41.093499999999999</c:v>
                </c:pt>
                <c:pt idx="6">
                  <c:v>41.363799999999998</c:v>
                </c:pt>
                <c:pt idx="7">
                  <c:v>41.573300000000003</c:v>
                </c:pt>
                <c:pt idx="8">
                  <c:v>41.834900000000005</c:v>
                </c:pt>
                <c:pt idx="9">
                  <c:v>42.089500000000001</c:v>
                </c:pt>
                <c:pt idx="10">
                  <c:v>42.247599999999998</c:v>
                </c:pt>
                <c:pt idx="11">
                  <c:v>42.425200000000004</c:v>
                </c:pt>
                <c:pt idx="12">
                  <c:v>42.625600000000006</c:v>
                </c:pt>
                <c:pt idx="13">
                  <c:v>42.754399999999997</c:v>
                </c:pt>
                <c:pt idx="14">
                  <c:v>42.872599999999998</c:v>
                </c:pt>
                <c:pt idx="15">
                  <c:v>43.011700000000005</c:v>
                </c:pt>
                <c:pt idx="16">
                  <c:v>43.156599999999997</c:v>
                </c:pt>
                <c:pt idx="17">
                  <c:v>43.272599999999997</c:v>
                </c:pt>
                <c:pt idx="18">
                  <c:v>43.342799999999997</c:v>
                </c:pt>
                <c:pt idx="19">
                  <c:v>43.418399999999998</c:v>
                </c:pt>
                <c:pt idx="20">
                  <c:v>43.472899999999996</c:v>
                </c:pt>
                <c:pt idx="21">
                  <c:v>43.524799999999999</c:v>
                </c:pt>
                <c:pt idx="22">
                  <c:v>43.529000000000003</c:v>
                </c:pt>
                <c:pt idx="23">
                  <c:v>43.460999999999999</c:v>
                </c:pt>
                <c:pt idx="24">
                  <c:v>43.342799999999997</c:v>
                </c:pt>
                <c:pt idx="25">
                  <c:v>43.235099999999996</c:v>
                </c:pt>
                <c:pt idx="26">
                  <c:v>43.149700000000003</c:v>
                </c:pt>
                <c:pt idx="27">
                  <c:v>43.037999999999997</c:v>
                </c:pt>
                <c:pt idx="28">
                  <c:v>42.908200000000001</c:v>
                </c:pt>
                <c:pt idx="29">
                  <c:v>42.814900000000002</c:v>
                </c:pt>
                <c:pt idx="30">
                  <c:v>42.682600000000001</c:v>
                </c:pt>
                <c:pt idx="31">
                  <c:v>42.5413</c:v>
                </c:pt>
                <c:pt idx="32">
                  <c:v>42.459699999999998</c:v>
                </c:pt>
                <c:pt idx="33">
                  <c:v>42.408200000000001</c:v>
                </c:pt>
                <c:pt idx="34">
                  <c:v>42.383700000000005</c:v>
                </c:pt>
                <c:pt idx="35">
                  <c:v>42.426199999999994</c:v>
                </c:pt>
                <c:pt idx="36">
                  <c:v>42.458100000000002</c:v>
                </c:pt>
                <c:pt idx="37">
                  <c:v>42.434199999999997</c:v>
                </c:pt>
                <c:pt idx="38">
                  <c:v>42.423100000000005</c:v>
                </c:pt>
                <c:pt idx="39">
                  <c:v>42.402000000000001</c:v>
                </c:pt>
                <c:pt idx="40">
                  <c:v>42.417200000000001</c:v>
                </c:pt>
                <c:pt idx="41">
                  <c:v>42.4452</c:v>
                </c:pt>
                <c:pt idx="42">
                  <c:v>42.461799999999997</c:v>
                </c:pt>
                <c:pt idx="43">
                  <c:v>42.413000000000004</c:v>
                </c:pt>
                <c:pt idx="44">
                  <c:v>42.253700000000002</c:v>
                </c:pt>
                <c:pt idx="45">
                  <c:v>42.099399999999996</c:v>
                </c:pt>
                <c:pt idx="46">
                  <c:v>41.831200000000003</c:v>
                </c:pt>
                <c:pt idx="47">
                  <c:v>41.5595</c:v>
                </c:pt>
                <c:pt idx="48">
                  <c:v>41.353299999999997</c:v>
                </c:pt>
                <c:pt idx="49">
                  <c:v>41.151600000000002</c:v>
                </c:pt>
                <c:pt idx="50">
                  <c:v>40.9437</c:v>
                </c:pt>
                <c:pt idx="51">
                  <c:v>40.944699999999997</c:v>
                </c:pt>
                <c:pt idx="52">
                  <c:v>40.943899999999999</c:v>
                </c:pt>
                <c:pt idx="53">
                  <c:v>40.939900000000002</c:v>
                </c:pt>
                <c:pt idx="54">
                  <c:v>40.9161</c:v>
                </c:pt>
                <c:pt idx="55">
                  <c:v>40.891199999999998</c:v>
                </c:pt>
                <c:pt idx="56">
                  <c:v>40.919899999999998</c:v>
                </c:pt>
                <c:pt idx="57">
                  <c:v>40.943300000000001</c:v>
                </c:pt>
                <c:pt idx="58">
                  <c:v>40.9208</c:v>
                </c:pt>
                <c:pt idx="59">
                  <c:v>40.893799999999999</c:v>
                </c:pt>
                <c:pt idx="60">
                  <c:v>40.9116</c:v>
                </c:pt>
                <c:pt idx="61">
                  <c:v>40.905500000000004</c:v>
                </c:pt>
                <c:pt idx="62">
                  <c:v>40.878500000000003</c:v>
                </c:pt>
                <c:pt idx="63">
                  <c:v>40.8705</c:v>
                </c:pt>
                <c:pt idx="64">
                  <c:v>40.799099999999996</c:v>
                </c:pt>
                <c:pt idx="65">
                  <c:v>40.660000000000004</c:v>
                </c:pt>
                <c:pt idx="66">
                  <c:v>40.479599999999998</c:v>
                </c:pt>
                <c:pt idx="67">
                  <c:v>40.162500000000001</c:v>
                </c:pt>
                <c:pt idx="68">
                  <c:v>39.890799999999999</c:v>
                </c:pt>
                <c:pt idx="69">
                  <c:v>39.554400000000001</c:v>
                </c:pt>
                <c:pt idx="70">
                  <c:v>39.057099999999998</c:v>
                </c:pt>
                <c:pt idx="71">
                  <c:v>38.838000000000001</c:v>
                </c:pt>
                <c:pt idx="72">
                  <c:v>38.731700000000004</c:v>
                </c:pt>
                <c:pt idx="73">
                  <c:v>38.544499999999999</c:v>
                </c:pt>
                <c:pt idx="74">
                  <c:v>38.218400000000003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2.52013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52.798199999999994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3.9732495945945949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36.111362162162152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3.2347136486486487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41.648341891891896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3.2347136486486487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41.648341891891896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571</v>
      </c>
      <c r="D5" s="151"/>
      <c r="E5" s="151"/>
      <c r="F5" s="152"/>
      <c r="G5" s="48" t="str">
        <f>lang!B27</f>
        <v>编号</v>
      </c>
      <c r="H5" s="150">
        <v>49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570</v>
      </c>
      <c r="D6" s="188"/>
      <c r="E6" s="188"/>
      <c r="F6" s="189"/>
      <c r="G6" s="49" t="str">
        <f>lang!B28</f>
        <v xml:space="preserve"> 日期</v>
      </c>
      <c r="H6" s="172">
        <f>FH_info!A2</f>
        <v>43607.656782407408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24</v>
      </c>
      <c r="D7" s="191"/>
      <c r="E7" s="191"/>
      <c r="F7" s="192"/>
      <c r="G7" s="50" t="str">
        <f>lang!B29</f>
        <v>误差率（%）</v>
      </c>
      <c r="H7" s="175">
        <f>M!B17*1</f>
        <v>16.761099999999999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39.642400000000002</v>
      </c>
      <c r="O8" s="59">
        <f>M!C5*1</f>
        <v>9.3179300000000005</v>
      </c>
      <c r="P8" s="59">
        <f>M!D5*1</f>
        <v>23.504999999999999</v>
      </c>
      <c r="Q8" s="59">
        <f>M!E5*1</f>
        <v>20</v>
      </c>
      <c r="R8" s="59">
        <f>M!F5*1</f>
        <v>11.389799999999999</v>
      </c>
      <c r="S8" s="59">
        <f>M!G5*1</f>
        <v>50</v>
      </c>
      <c r="T8" s="59">
        <f>M!H5*1</f>
        <v>57.495800000000003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23.5975</v>
      </c>
      <c r="O9" s="59">
        <f>M!C6*1</f>
        <v>2.73936</v>
      </c>
      <c r="P9" s="59">
        <f>M!D6*1</f>
        <v>11.608700000000001</v>
      </c>
      <c r="Q9" s="59">
        <f>M!E6*1</f>
        <v>20</v>
      </c>
      <c r="R9" s="59">
        <f>M!F6*1</f>
        <v>17.546299999999999</v>
      </c>
      <c r="S9" s="59">
        <f>M!G6*1</f>
        <v>40</v>
      </c>
      <c r="T9" s="59">
        <f>M!H6*1</f>
        <v>28.4621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11.389799999999999</v>
      </c>
      <c r="D10" s="99">
        <f>N8</f>
        <v>39.642400000000002</v>
      </c>
      <c r="E10" s="100">
        <f>T8</f>
        <v>57.495800000000003</v>
      </c>
      <c r="F10" s="91">
        <f>P8</f>
        <v>23.504999999999999</v>
      </c>
      <c r="G10" s="81" t="str">
        <f>CONCATENATE(M9,"
(20 ~ 40)")</f>
        <v>压力
(20 ~ 40)</v>
      </c>
      <c r="H10" s="98">
        <f>R9</f>
        <v>17.546299999999999</v>
      </c>
      <c r="I10" s="108">
        <f>N9</f>
        <v>23.5975</v>
      </c>
      <c r="J10" s="98">
        <f>T9</f>
        <v>28.4621</v>
      </c>
      <c r="K10" s="92">
        <f>P9</f>
        <v>11.608700000000001</v>
      </c>
      <c r="L10" s="6"/>
      <c r="M10" s="27" t="str">
        <f>lang!B16</f>
        <v>焦虑</v>
      </c>
      <c r="N10" s="59">
        <f>M!B7*1</f>
        <v>33.208500000000001</v>
      </c>
      <c r="O10" s="59">
        <f>M!C7*1</f>
        <v>7.3147700000000002</v>
      </c>
      <c r="P10" s="59">
        <f>M!D7*1</f>
        <v>22.026800000000001</v>
      </c>
      <c r="Q10" s="59">
        <f>M!E7*1</f>
        <v>15</v>
      </c>
      <c r="R10" s="59">
        <f>M!F7*1</f>
        <v>14.9727</v>
      </c>
      <c r="S10" s="59">
        <f>M!G7*1</f>
        <v>40</v>
      </c>
      <c r="T10" s="59">
        <f>M!H7*1</f>
        <v>79.738799999999998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14.9727</v>
      </c>
      <c r="D11" s="102">
        <f>N10</f>
        <v>33.208500000000001</v>
      </c>
      <c r="E11" s="103">
        <f>T10</f>
        <v>79.738799999999998</v>
      </c>
      <c r="F11" s="94">
        <f>P10</f>
        <v>22.026800000000001</v>
      </c>
      <c r="G11" s="52" t="str">
        <f>CONCATENATE(M11,"
(20 ~ 50)")</f>
        <v>可疑
(20 ~ 50)</v>
      </c>
      <c r="H11" s="101">
        <f>R11</f>
        <v>18.3993</v>
      </c>
      <c r="I11" s="104">
        <f>N11</f>
        <v>33.573999999999998</v>
      </c>
      <c r="J11" s="101">
        <f>T11</f>
        <v>39.945500000000003</v>
      </c>
      <c r="K11" s="95">
        <f>P11</f>
        <v>15.479200000000001</v>
      </c>
      <c r="L11" s="4"/>
      <c r="M11" s="27" t="str">
        <f>lang!B17</f>
        <v>可疑</v>
      </c>
      <c r="N11" s="59">
        <f>M!B8*1</f>
        <v>33.573999999999998</v>
      </c>
      <c r="O11" s="59">
        <f>M!C8*1</f>
        <v>5.1969599999999998</v>
      </c>
      <c r="P11" s="59">
        <f>M!D8*1</f>
        <v>15.479200000000001</v>
      </c>
      <c r="Q11" s="59">
        <f>M!E8*1</f>
        <v>20</v>
      </c>
      <c r="R11" s="59">
        <f>M!F8*1</f>
        <v>18.3993</v>
      </c>
      <c r="S11" s="59">
        <f>M!G8*1</f>
        <v>50</v>
      </c>
      <c r="T11" s="59">
        <f>M!H8*1</f>
        <v>39.945500000000003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49.151699999999998</v>
      </c>
      <c r="D12" s="104">
        <f>N12</f>
        <v>64.943600000000004</v>
      </c>
      <c r="E12" s="101">
        <f>T12</f>
        <v>85.317800000000005</v>
      </c>
      <c r="F12" s="93">
        <f>P12</f>
        <v>10.783300000000001</v>
      </c>
      <c r="G12" s="52" t="str">
        <f>CONCATENATE(M13,"
(40 ~ 100)")</f>
        <v>自信
(40 ~ 100)</v>
      </c>
      <c r="H12" s="101">
        <f>R13</f>
        <v>74.330500000000001</v>
      </c>
      <c r="I12" s="104">
        <f>N13</f>
        <v>84.566299999999998</v>
      </c>
      <c r="J12" s="101">
        <f>T13</f>
        <v>88.928600000000003</v>
      </c>
      <c r="K12" s="95">
        <f>P13</f>
        <v>3.0209299999999999</v>
      </c>
      <c r="L12" s="4"/>
      <c r="M12" s="27" t="str">
        <f>lang!B18</f>
        <v>平衡</v>
      </c>
      <c r="N12" s="59">
        <f>M!B9*1</f>
        <v>64.943600000000004</v>
      </c>
      <c r="O12" s="59">
        <f>M!C9*1</f>
        <v>7.0030900000000003</v>
      </c>
      <c r="P12" s="59">
        <f>M!D9*1</f>
        <v>10.783300000000001</v>
      </c>
      <c r="Q12" s="59">
        <f>M!E9*1</f>
        <v>50</v>
      </c>
      <c r="R12" s="59">
        <f>M!F9*1</f>
        <v>49.151699999999998</v>
      </c>
      <c r="S12" s="59">
        <f>M!G9*1</f>
        <v>100</v>
      </c>
      <c r="T12" s="59">
        <f>M!H9*1</f>
        <v>85.317800000000005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9.3425899999999995</v>
      </c>
      <c r="D13" s="102">
        <f>N14</f>
        <v>21.676500000000001</v>
      </c>
      <c r="E13" s="103">
        <f>T14</f>
        <v>35.650799999999997</v>
      </c>
      <c r="F13" s="94">
        <f>P14</f>
        <v>29.113700000000001</v>
      </c>
      <c r="G13" s="52" t="str">
        <f>CONCATENATE(M15,"
(50 ~ 100)")</f>
        <v>自我调节
(50 ~ 100)</v>
      </c>
      <c r="H13" s="101">
        <f>R15</f>
        <v>66.853099999999998</v>
      </c>
      <c r="I13" s="104">
        <f>N15</f>
        <v>74.196200000000005</v>
      </c>
      <c r="J13" s="101">
        <f>T15</f>
        <v>86.528099999999995</v>
      </c>
      <c r="K13" s="95">
        <f>P15</f>
        <v>5.1708999999999996</v>
      </c>
      <c r="L13" s="4"/>
      <c r="M13" s="27" t="str">
        <f>lang!B19</f>
        <v>自信</v>
      </c>
      <c r="N13" s="59">
        <f>M!B10*1</f>
        <v>84.566299999999998</v>
      </c>
      <c r="O13" s="59">
        <f>M!C10*1</f>
        <v>2.5546899999999999</v>
      </c>
      <c r="P13" s="59">
        <f>M!D10*1</f>
        <v>3.0209299999999999</v>
      </c>
      <c r="Q13" s="59">
        <f>M!E10*1</f>
        <v>40</v>
      </c>
      <c r="R13" s="59">
        <f>M!F10*1</f>
        <v>74.330500000000001</v>
      </c>
      <c r="S13" s="59">
        <f>M!G10*1</f>
        <v>100</v>
      </c>
      <c r="T13" s="59">
        <f>M!H10*1</f>
        <v>88.928600000000003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10.275600000000001</v>
      </c>
      <c r="D14" s="106">
        <f>N16</f>
        <v>11.6615</v>
      </c>
      <c r="E14" s="107">
        <f>T16</f>
        <v>15.652799999999999</v>
      </c>
      <c r="F14" s="96">
        <f>P16</f>
        <v>8.9581800000000005</v>
      </c>
      <c r="G14" s="112" t="str">
        <f>CONCATENATE(M17,"
(10 ~ 50)")</f>
        <v>神经质
(10 ~ 50)</v>
      </c>
      <c r="H14" s="105">
        <f>R17</f>
        <v>0.670292</v>
      </c>
      <c r="I14" s="106">
        <f>N17</f>
        <v>10.4466</v>
      </c>
      <c r="J14" s="107">
        <f>T17</f>
        <v>15.214</v>
      </c>
      <c r="K14" s="97">
        <f>P17</f>
        <v>37.943899999999999</v>
      </c>
      <c r="M14" s="27" t="str">
        <f>lang!B20</f>
        <v>活力</v>
      </c>
      <c r="N14" s="59">
        <f>M!B11*1</f>
        <v>21.676500000000001</v>
      </c>
      <c r="O14" s="59">
        <f>M!C11*1</f>
        <v>6.3108399999999998</v>
      </c>
      <c r="P14" s="59">
        <f>M!D11*1</f>
        <v>29.113700000000001</v>
      </c>
      <c r="Q14" s="59">
        <f>M!E11*1</f>
        <v>10</v>
      </c>
      <c r="R14" s="59">
        <f>M!F11*1</f>
        <v>9.3425899999999995</v>
      </c>
      <c r="S14" s="59">
        <f>M!G11*1</f>
        <v>50</v>
      </c>
      <c r="T14" s="59">
        <f>M!H11*1</f>
        <v>35.650799999999997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74.196200000000005</v>
      </c>
      <c r="O15" s="59">
        <f>M!C12*1</f>
        <v>3.8366099999999999</v>
      </c>
      <c r="P15" s="59">
        <f>M!D12*1</f>
        <v>5.1708999999999996</v>
      </c>
      <c r="Q15" s="59">
        <f>M!E12*1</f>
        <v>50</v>
      </c>
      <c r="R15" s="59">
        <f>M!F12*1</f>
        <v>66.853099999999998</v>
      </c>
      <c r="S15" s="59">
        <f>M!G12*1</f>
        <v>100</v>
      </c>
      <c r="T15" s="59">
        <f>M!H12*1</f>
        <v>86.528099999999995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11.6615</v>
      </c>
      <c r="O16" s="59">
        <f>M!C13*1</f>
        <v>1.0446599999999999</v>
      </c>
      <c r="P16" s="59">
        <f>M!D13*1</f>
        <v>8.9581800000000005</v>
      </c>
      <c r="Q16" s="59">
        <f>M!E13*1</f>
        <v>10</v>
      </c>
      <c r="R16" s="59">
        <f>M!F13*1</f>
        <v>10.275600000000001</v>
      </c>
      <c r="S16" s="59">
        <f>M!G13*1</f>
        <v>25</v>
      </c>
      <c r="T16" s="59">
        <f>M!H13*1</f>
        <v>15.652799999999999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10.4466</v>
      </c>
      <c r="O17" s="59">
        <f>M!C14*1</f>
        <v>3.9638499999999999</v>
      </c>
      <c r="P17" s="59">
        <f>M!D14*1</f>
        <v>37.943899999999999</v>
      </c>
      <c r="Q17" s="59">
        <f>M!E14*1</f>
        <v>10</v>
      </c>
      <c r="R17" s="59">
        <f>M!F14*1</f>
        <v>0.670292</v>
      </c>
      <c r="S17" s="59">
        <f>M!G14*1</f>
        <v>50</v>
      </c>
      <c r="T17" s="59">
        <f>M!H14*1</f>
        <v>15.214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61.345650000000006</v>
      </c>
      <c r="O18" s="22">
        <f>N18/(N18+N19+N20)</f>
        <v>0.58477169408981244</v>
      </c>
      <c r="P18" s="65">
        <f>SUM(P12:P15)/4</f>
        <v>12.0222075</v>
      </c>
      <c r="Q18" s="22">
        <f>P18/(P18+P19+P20)</f>
        <v>0.22417708714575346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32.505600000000001</v>
      </c>
      <c r="O19" s="22">
        <f>N19/(N18+N19+N20)</f>
        <v>0.30985660400380149</v>
      </c>
      <c r="P19" s="18">
        <f>SUM(P8:P11)/4</f>
        <v>18.154925000000002</v>
      </c>
      <c r="Q19" s="22">
        <f>P19/(P18+P19+P20)</f>
        <v>0.33853335203618956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11.05405</v>
      </c>
      <c r="O20" s="22">
        <f>N20/(N18+N19+N20)</f>
        <v>0.10537170190638603</v>
      </c>
      <c r="P20" s="18">
        <f>(P16+P17)/2</f>
        <v>23.451039999999999</v>
      </c>
      <c r="Q20" s="22">
        <f>P20/(P18+P19+P20)</f>
        <v>0.43728956081805692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0.12922339189189203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1.771480415399894</v>
      </c>
      <c r="D25" s="44" t="str">
        <f>lang!B11</f>
        <v>频率方差</v>
      </c>
      <c r="E25" s="142">
        <f ca="1">FH!L3</f>
        <v>0.69681830333631567</v>
      </c>
      <c r="F25" s="143"/>
      <c r="G25" s="134" t="str">
        <f>lang!B12</f>
        <v>生理变化率</v>
      </c>
      <c r="H25" s="135"/>
      <c r="I25" s="62" t="str">
        <f ca="1">CONCATENATE(info!M7,"-",info!M8)</f>
        <v>31.5-52.8</v>
      </c>
      <c r="J25" s="42" t="str">
        <f>lang!B13</f>
        <v>千卡l/分钟</v>
      </c>
      <c r="K25" s="41" t="str">
        <f ca="1">CONCATENATE(info!M5,"-",info!M6)</f>
        <v>2.5-4.8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38.259100000000004</v>
      </c>
      <c r="F28" s="164"/>
      <c r="G28" s="178" t="str">
        <f>lang!B33</f>
        <v>稳定性</v>
      </c>
      <c r="H28" s="179"/>
      <c r="I28" s="180"/>
      <c r="J28" s="181">
        <f>M!B19*100</f>
        <v>49.8018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43607.656782407408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-6.8248999999999995</v>
      </c>
      <c r="O7" s="59">
        <f t="shared" ref="O7:T7" si="2">AG7-X7</f>
        <v>-11.131780000000001</v>
      </c>
      <c r="P7" s="59">
        <f t="shared" si="2"/>
        <v>-23.82591</v>
      </c>
      <c r="Q7" s="59">
        <f t="shared" si="2"/>
        <v>0</v>
      </c>
      <c r="R7" s="59">
        <f t="shared" si="2"/>
        <v>24.834800000000001</v>
      </c>
      <c r="S7" s="59">
        <f t="shared" si="2"/>
        <v>0</v>
      </c>
      <c r="T7" s="59">
        <f t="shared" si="2"/>
        <v>-12.558700000000002</v>
      </c>
      <c r="U7" s="14"/>
      <c r="V7" s="27" t="str">
        <f>M7</f>
        <v>攻击性</v>
      </c>
      <c r="W7" s="59">
        <f>'M1'!B5*1</f>
        <v>45.3675</v>
      </c>
      <c r="X7" s="59">
        <f>'M1'!C5*1</f>
        <v>12.9533</v>
      </c>
      <c r="Y7" s="59">
        <f>'M1'!D5*1</f>
        <v>28.5519</v>
      </c>
      <c r="Z7" s="59">
        <f>'M1'!E5*1</f>
        <v>20</v>
      </c>
      <c r="AA7" s="59">
        <f>'M1'!F5*1</f>
        <v>11.389799999999999</v>
      </c>
      <c r="AB7" s="59">
        <f>'M1'!G5*1</f>
        <v>50</v>
      </c>
      <c r="AC7" s="59">
        <f>'M1'!H5*1</f>
        <v>57.495800000000003</v>
      </c>
      <c r="AE7" s="27" t="str">
        <f>V7</f>
        <v>攻击性</v>
      </c>
      <c r="AF7" s="59">
        <f>'M2'!B5*1</f>
        <v>38.5426</v>
      </c>
      <c r="AG7" s="59">
        <f>'M2'!C5*1</f>
        <v>1.82152</v>
      </c>
      <c r="AH7" s="59">
        <f>'M2'!D5*1</f>
        <v>4.7259900000000004</v>
      </c>
      <c r="AI7" s="59">
        <f>'M2'!E5*1</f>
        <v>20</v>
      </c>
      <c r="AJ7" s="59">
        <f>'M2'!F5*1</f>
        <v>36.224600000000002</v>
      </c>
      <c r="AK7" s="59">
        <f>'M2'!G5*1</f>
        <v>50</v>
      </c>
      <c r="AL7" s="59">
        <f>'M2'!H5*1</f>
        <v>44.937100000000001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4.8046000000000006</v>
      </c>
      <c r="O8" s="59">
        <f t="shared" ref="O8:O16" si="5">AG8-X8</f>
        <v>-0.6286299999999998</v>
      </c>
      <c r="P8" s="59">
        <f t="shared" ref="P8:P16" si="6">AH8-Y8</f>
        <v>-4.3070799999999991</v>
      </c>
      <c r="Q8" s="59">
        <f t="shared" ref="Q8:Q16" si="7">AI8-Z8</f>
        <v>0</v>
      </c>
      <c r="R8" s="59">
        <f t="shared" ref="R8:R16" si="8">AJ8-AA8</f>
        <v>3.6713000000000022</v>
      </c>
      <c r="S8" s="59">
        <f t="shared" ref="S8:S16" si="9">AK8-AB8</f>
        <v>0</v>
      </c>
      <c r="T8" s="59">
        <f t="shared" ref="T8:T16" si="10">AL8-AC8</f>
        <v>2.9838999999999984</v>
      </c>
      <c r="U8" s="15"/>
      <c r="V8" s="27" t="str">
        <f t="shared" ref="V8:V16" si="11">M8</f>
        <v>压力</v>
      </c>
      <c r="W8" s="59">
        <f>'M1'!B6*1</f>
        <v>20.684999999999999</v>
      </c>
      <c r="X8" s="59">
        <f>'M1'!C6*1</f>
        <v>2.0201099999999999</v>
      </c>
      <c r="Y8" s="59">
        <f>'M1'!D6*1</f>
        <v>9.7660699999999991</v>
      </c>
      <c r="Z8" s="59">
        <f>'M1'!E6*1</f>
        <v>20</v>
      </c>
      <c r="AA8" s="59">
        <f>'M1'!F6*1</f>
        <v>17.546299999999999</v>
      </c>
      <c r="AB8" s="59">
        <f>'M1'!G6*1</f>
        <v>40</v>
      </c>
      <c r="AC8" s="59">
        <f>'M1'!H6*1</f>
        <v>25.478200000000001</v>
      </c>
      <c r="AE8" s="27" t="str">
        <f t="shared" ref="AE8:AE16" si="12">V8</f>
        <v>压力</v>
      </c>
      <c r="AF8" s="59">
        <f>'M2'!B6*1</f>
        <v>25.489599999999999</v>
      </c>
      <c r="AG8" s="59">
        <f>'M2'!C6*1</f>
        <v>1.3914800000000001</v>
      </c>
      <c r="AH8" s="59">
        <f>'M2'!D6*1</f>
        <v>5.45899</v>
      </c>
      <c r="AI8" s="59">
        <f>'M2'!E6*1</f>
        <v>20</v>
      </c>
      <c r="AJ8" s="59">
        <f>'M2'!F6*1</f>
        <v>21.217600000000001</v>
      </c>
      <c r="AK8" s="59">
        <f>'M2'!G6*1</f>
        <v>40</v>
      </c>
      <c r="AL8" s="59">
        <f>'M2'!H6*1</f>
        <v>28.4621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24.834800000000001</v>
      </c>
      <c r="D9" s="78">
        <f>N7</f>
        <v>-6.8248999999999995</v>
      </c>
      <c r="E9" s="79">
        <f>T7</f>
        <v>-12.558700000000002</v>
      </c>
      <c r="F9" s="79">
        <f>P7</f>
        <v>-23.82591</v>
      </c>
      <c r="G9" s="80" t="str">
        <f>CONCATENATE(M8,"
(20 ~ 40)")</f>
        <v>压力
(20 ~ 40)</v>
      </c>
      <c r="H9" s="77">
        <f>R8</f>
        <v>3.6713000000000022</v>
      </c>
      <c r="I9" s="81">
        <f>N8</f>
        <v>4.8046000000000006</v>
      </c>
      <c r="J9" s="77">
        <f>T8</f>
        <v>2.9838999999999984</v>
      </c>
      <c r="K9" s="82">
        <f>P8</f>
        <v>-4.3070799999999991</v>
      </c>
      <c r="L9" s="6"/>
      <c r="M9" s="27" t="str">
        <f>lang!B16</f>
        <v>焦虑</v>
      </c>
      <c r="N9" s="59">
        <f t="shared" si="4"/>
        <v>6.1405999999999992</v>
      </c>
      <c r="O9" s="59">
        <f t="shared" si="5"/>
        <v>1.4434300000000002</v>
      </c>
      <c r="P9" s="59">
        <f t="shared" si="6"/>
        <v>0.52809999999999846</v>
      </c>
      <c r="Q9" s="59">
        <f t="shared" si="7"/>
        <v>0</v>
      </c>
      <c r="R9" s="59">
        <f t="shared" si="8"/>
        <v>-0.35379999999999967</v>
      </c>
      <c r="S9" s="59">
        <f t="shared" si="9"/>
        <v>0</v>
      </c>
      <c r="T9" s="59">
        <f t="shared" si="10"/>
        <v>38.194299999999998</v>
      </c>
      <c r="U9" s="14"/>
      <c r="V9" s="27" t="str">
        <f t="shared" si="11"/>
        <v>焦虑</v>
      </c>
      <c r="W9" s="59">
        <f>'M1'!B7*1</f>
        <v>30.234400000000001</v>
      </c>
      <c r="X9" s="59">
        <f>'M1'!C7*1</f>
        <v>6.16106</v>
      </c>
      <c r="Y9" s="59">
        <f>'M1'!D7*1</f>
        <v>20.377700000000001</v>
      </c>
      <c r="Z9" s="59">
        <f>'M1'!E7*1</f>
        <v>15</v>
      </c>
      <c r="AA9" s="59">
        <f>'M1'!F7*1</f>
        <v>15.326499999999999</v>
      </c>
      <c r="AB9" s="59">
        <f>'M1'!G7*1</f>
        <v>40</v>
      </c>
      <c r="AC9" s="59">
        <f>'M1'!H7*1</f>
        <v>41.544499999999999</v>
      </c>
      <c r="AE9" s="27" t="str">
        <f t="shared" si="12"/>
        <v>焦虑</v>
      </c>
      <c r="AF9" s="59">
        <f>'M2'!B7*1</f>
        <v>36.375</v>
      </c>
      <c r="AG9" s="59">
        <f>'M2'!C7*1</f>
        <v>7.6044900000000002</v>
      </c>
      <c r="AH9" s="59">
        <f>'M2'!D7*1</f>
        <v>20.905799999999999</v>
      </c>
      <c r="AI9" s="59">
        <f>'M2'!E7*1</f>
        <v>15</v>
      </c>
      <c r="AJ9" s="59">
        <f>'M2'!F7*1</f>
        <v>14.9727</v>
      </c>
      <c r="AK9" s="59">
        <f>'M2'!G7*1</f>
        <v>40</v>
      </c>
      <c r="AL9" s="59">
        <f>'M2'!H7*1</f>
        <v>79.738799999999998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-0.35379999999999967</v>
      </c>
      <c r="D10" s="51">
        <f>N9</f>
        <v>6.1405999999999992</v>
      </c>
      <c r="E10" s="53">
        <f>T9</f>
        <v>38.194299999999998</v>
      </c>
      <c r="F10" s="53">
        <f>P9</f>
        <v>0.52809999999999846</v>
      </c>
      <c r="G10" s="73" t="str">
        <f>CONCATENATE(M10,"
(20 ~ 50)")</f>
        <v>可疑
(20 ~ 50)</v>
      </c>
      <c r="H10" s="24">
        <f>R10</f>
        <v>8.702300000000001</v>
      </c>
      <c r="I10" s="52">
        <f>N10</f>
        <v>7.7800000000003422E-2</v>
      </c>
      <c r="J10" s="24">
        <f>T10</f>
        <v>1.8442000000000007</v>
      </c>
      <c r="K10" s="25">
        <f>P10</f>
        <v>-11.64076</v>
      </c>
      <c r="L10" s="4"/>
      <c r="M10" s="27" t="str">
        <f>lang!B17</f>
        <v>可疑</v>
      </c>
      <c r="N10" s="59">
        <f t="shared" si="4"/>
        <v>7.7800000000003422E-2</v>
      </c>
      <c r="O10" s="59">
        <f t="shared" si="5"/>
        <v>-3.8986499999999999</v>
      </c>
      <c r="P10" s="59">
        <f t="shared" si="6"/>
        <v>-11.64076</v>
      </c>
      <c r="Q10" s="59">
        <f t="shared" si="7"/>
        <v>0</v>
      </c>
      <c r="R10" s="59">
        <f t="shared" si="8"/>
        <v>8.702300000000001</v>
      </c>
      <c r="S10" s="59">
        <f t="shared" si="9"/>
        <v>0</v>
      </c>
      <c r="T10" s="59">
        <f t="shared" si="10"/>
        <v>1.8442000000000007</v>
      </c>
      <c r="U10" s="14"/>
      <c r="V10" s="27" t="str">
        <f t="shared" si="11"/>
        <v>可疑</v>
      </c>
      <c r="W10" s="59">
        <f>'M1'!B8*1</f>
        <v>33.544499999999999</v>
      </c>
      <c r="X10" s="59">
        <f>'M1'!C8*1</f>
        <v>6.5689099999999998</v>
      </c>
      <c r="Y10" s="59">
        <f>'M1'!D8*1</f>
        <v>19.582699999999999</v>
      </c>
      <c r="Z10" s="59">
        <f>'M1'!E8*1</f>
        <v>20</v>
      </c>
      <c r="AA10" s="59">
        <f>'M1'!F8*1</f>
        <v>18.3993</v>
      </c>
      <c r="AB10" s="59">
        <f>'M1'!G8*1</f>
        <v>50</v>
      </c>
      <c r="AC10" s="59">
        <f>'M1'!H8*1</f>
        <v>38.101300000000002</v>
      </c>
      <c r="AE10" s="27" t="str">
        <f t="shared" si="12"/>
        <v>可疑</v>
      </c>
      <c r="AF10" s="59">
        <f>'M2'!B8*1</f>
        <v>33.622300000000003</v>
      </c>
      <c r="AG10" s="59">
        <f>'M2'!C8*1</f>
        <v>2.6702599999999999</v>
      </c>
      <c r="AH10" s="59">
        <f>'M2'!D8*1</f>
        <v>7.9419399999999998</v>
      </c>
      <c r="AI10" s="59">
        <f>'M2'!E8*1</f>
        <v>20</v>
      </c>
      <c r="AJ10" s="59">
        <f>'M2'!F8*1</f>
        <v>27.101600000000001</v>
      </c>
      <c r="AK10" s="59">
        <f>'M2'!G8*1</f>
        <v>50</v>
      </c>
      <c r="AL10" s="59">
        <f>'M2'!H8*1</f>
        <v>39.945500000000003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-9.7314000000000007</v>
      </c>
      <c r="D11" s="52">
        <f>N11</f>
        <v>-6.9113000000000042</v>
      </c>
      <c r="E11" s="24">
        <f>T11</f>
        <v>-13.459700000000012</v>
      </c>
      <c r="F11" s="24">
        <f>P11</f>
        <v>1.9273399999999992</v>
      </c>
      <c r="G11" s="73" t="str">
        <f>CONCATENATE(M12,"
(40 ~ 100)")</f>
        <v>自信
(40 ~ 100)</v>
      </c>
      <c r="H11" s="24">
        <f>R12</f>
        <v>-7.4271999999999991</v>
      </c>
      <c r="I11" s="52">
        <f>N12</f>
        <v>-0.77729999999999677</v>
      </c>
      <c r="J11" s="24">
        <f>T12</f>
        <v>-2.6672000000000082</v>
      </c>
      <c r="K11" s="25">
        <f>P12</f>
        <v>1.4492099999999999</v>
      </c>
      <c r="L11" s="4"/>
      <c r="M11" s="27" t="str">
        <f>lang!B18</f>
        <v>平衡</v>
      </c>
      <c r="N11" s="59">
        <f t="shared" si="4"/>
        <v>-6.9113000000000042</v>
      </c>
      <c r="O11" s="59">
        <f t="shared" si="5"/>
        <v>0.61068000000000033</v>
      </c>
      <c r="P11" s="59">
        <f t="shared" si="6"/>
        <v>1.9273399999999992</v>
      </c>
      <c r="Q11" s="59">
        <f t="shared" si="7"/>
        <v>0</v>
      </c>
      <c r="R11" s="59">
        <f t="shared" si="8"/>
        <v>-9.7314000000000007</v>
      </c>
      <c r="S11" s="59">
        <f t="shared" si="9"/>
        <v>0</v>
      </c>
      <c r="T11" s="59">
        <f t="shared" si="10"/>
        <v>-13.459700000000012</v>
      </c>
      <c r="U11" s="14"/>
      <c r="V11" s="27" t="str">
        <f t="shared" si="11"/>
        <v>平衡</v>
      </c>
      <c r="W11" s="59">
        <f>'M1'!B9*1</f>
        <v>67.813000000000002</v>
      </c>
      <c r="X11" s="59">
        <f>'M1'!C9*1</f>
        <v>5.5251799999999998</v>
      </c>
      <c r="Y11" s="59">
        <f>'M1'!D9*1</f>
        <v>8.1476600000000001</v>
      </c>
      <c r="Z11" s="59">
        <f>'M1'!E9*1</f>
        <v>50</v>
      </c>
      <c r="AA11" s="59">
        <f>'M1'!F9*1</f>
        <v>58.883099999999999</v>
      </c>
      <c r="AB11" s="59">
        <f>'M1'!G9*1</f>
        <v>100</v>
      </c>
      <c r="AC11" s="59">
        <f>'M1'!H9*1</f>
        <v>85.317800000000005</v>
      </c>
      <c r="AE11" s="27" t="str">
        <f t="shared" si="12"/>
        <v>平衡</v>
      </c>
      <c r="AF11" s="59">
        <f>'M2'!B9*1</f>
        <v>60.901699999999998</v>
      </c>
      <c r="AG11" s="59">
        <f>'M2'!C9*1</f>
        <v>6.1358600000000001</v>
      </c>
      <c r="AH11" s="59">
        <f>'M2'!D9*1</f>
        <v>10.074999999999999</v>
      </c>
      <c r="AI11" s="59">
        <f>'M2'!E9*1</f>
        <v>50</v>
      </c>
      <c r="AJ11" s="59">
        <f>'M2'!F9*1</f>
        <v>49.151699999999998</v>
      </c>
      <c r="AK11" s="59">
        <f>'M2'!G9*1</f>
        <v>100</v>
      </c>
      <c r="AL11" s="59">
        <f>'M2'!H9*1</f>
        <v>71.858099999999993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7.5598100000000006</v>
      </c>
      <c r="D12" s="51">
        <f>N13</f>
        <v>-7.9684999999999988</v>
      </c>
      <c r="E12" s="53">
        <f>T13</f>
        <v>-11.508899999999997</v>
      </c>
      <c r="F12" s="53">
        <f>P13</f>
        <v>-17.81363</v>
      </c>
      <c r="G12" s="73" t="str">
        <f>CONCATENATE(M14,"
(50 ~ 100)")</f>
        <v>自我调节
(50 ~ 100)</v>
      </c>
      <c r="H12" s="24">
        <f>R14</f>
        <v>-3.7937000000000012</v>
      </c>
      <c r="I12" s="52">
        <f>N14</f>
        <v>-4.6192000000000064</v>
      </c>
      <c r="J12" s="24">
        <f>T14</f>
        <v>-8.4572999999999894</v>
      </c>
      <c r="K12" s="25">
        <f>P14</f>
        <v>-0.22208999999999968</v>
      </c>
      <c r="L12" s="4"/>
      <c r="M12" s="27" t="str">
        <f>lang!B19</f>
        <v>自信</v>
      </c>
      <c r="N12" s="59">
        <f t="shared" si="4"/>
        <v>-0.77729999999999677</v>
      </c>
      <c r="O12" s="59">
        <f t="shared" si="5"/>
        <v>1.2074799999999999</v>
      </c>
      <c r="P12" s="59">
        <f t="shared" si="6"/>
        <v>1.4492099999999999</v>
      </c>
      <c r="Q12" s="59">
        <f t="shared" si="7"/>
        <v>0</v>
      </c>
      <c r="R12" s="59">
        <f t="shared" si="8"/>
        <v>-7.4271999999999991</v>
      </c>
      <c r="S12" s="59">
        <f t="shared" si="9"/>
        <v>0</v>
      </c>
      <c r="T12" s="59">
        <f t="shared" si="10"/>
        <v>-2.6672000000000082</v>
      </c>
      <c r="U12" s="15"/>
      <c r="V12" s="27" t="str">
        <f t="shared" si="11"/>
        <v>自信</v>
      </c>
      <c r="W12" s="59">
        <f>'M1'!B10*1</f>
        <v>85.206400000000002</v>
      </c>
      <c r="X12" s="59">
        <f>'M1'!C10*1</f>
        <v>1.76139</v>
      </c>
      <c r="Y12" s="59">
        <f>'M1'!D10*1</f>
        <v>2.0672000000000001</v>
      </c>
      <c r="Z12" s="59">
        <f>'M1'!E10*1</f>
        <v>40</v>
      </c>
      <c r="AA12" s="59">
        <f>'M1'!F10*1</f>
        <v>81.7577</v>
      </c>
      <c r="AB12" s="59">
        <f>'M1'!G10*1</f>
        <v>100</v>
      </c>
      <c r="AC12" s="59">
        <f>'M1'!H10*1</f>
        <v>88.928600000000003</v>
      </c>
      <c r="AE12" s="27" t="str">
        <f t="shared" si="12"/>
        <v>自信</v>
      </c>
      <c r="AF12" s="59">
        <f>'M2'!B10*1</f>
        <v>84.429100000000005</v>
      </c>
      <c r="AG12" s="59">
        <f>'M2'!C10*1</f>
        <v>2.9688699999999999</v>
      </c>
      <c r="AH12" s="59">
        <f>'M2'!D10*1</f>
        <v>3.51641</v>
      </c>
      <c r="AI12" s="59">
        <f>'M2'!E10*1</f>
        <v>40</v>
      </c>
      <c r="AJ12" s="59">
        <f>'M2'!F10*1</f>
        <v>74.330500000000001</v>
      </c>
      <c r="AK12" s="59">
        <f>'M2'!G10*1</f>
        <v>100</v>
      </c>
      <c r="AL12" s="59">
        <f>'M2'!H10*1</f>
        <v>86.261399999999995</v>
      </c>
    </row>
    <row r="13" spans="2:38" ht="25.5" customHeight="1" thickBot="1">
      <c r="B13" s="72" t="str">
        <f>CONCATENATE(M15,"
(10 ~ 25)")</f>
        <v>抑郁
(10 ~ 25)</v>
      </c>
      <c r="C13" s="54">
        <f>R15</f>
        <v>4.6499999999999986E-2</v>
      </c>
      <c r="D13" s="55">
        <f>N15</f>
        <v>-0.63979999999999926</v>
      </c>
      <c r="E13" s="56">
        <f>T15</f>
        <v>0.55389999999999873</v>
      </c>
      <c r="F13" s="56">
        <f>P15</f>
        <v>-0.87561999999999962</v>
      </c>
      <c r="G13" s="74" t="str">
        <f>CONCATENATE(M16,"
(10 ~ 50)")</f>
        <v>神经质
(10 ~ 50)</v>
      </c>
      <c r="H13" s="54">
        <f>R16</f>
        <v>-0.15634700000000001</v>
      </c>
      <c r="I13" s="55">
        <f>N16</f>
        <v>-1.5708800000000007</v>
      </c>
      <c r="J13" s="56">
        <f>T16</f>
        <v>2.2048000000000005</v>
      </c>
      <c r="K13" s="57">
        <f>P16</f>
        <v>12.153599999999997</v>
      </c>
      <c r="M13" s="27" t="str">
        <f>lang!B20</f>
        <v>活力</v>
      </c>
      <c r="N13" s="59">
        <f t="shared" si="4"/>
        <v>-7.9684999999999988</v>
      </c>
      <c r="O13" s="59">
        <f t="shared" si="5"/>
        <v>-5.7076700000000002</v>
      </c>
      <c r="P13" s="59">
        <f t="shared" si="6"/>
        <v>-17.81363</v>
      </c>
      <c r="Q13" s="59">
        <f t="shared" si="7"/>
        <v>0</v>
      </c>
      <c r="R13" s="59">
        <f t="shared" si="8"/>
        <v>7.5598100000000006</v>
      </c>
      <c r="S13" s="59">
        <f t="shared" si="9"/>
        <v>0</v>
      </c>
      <c r="T13" s="59">
        <f t="shared" si="10"/>
        <v>-11.508899999999997</v>
      </c>
      <c r="U13" s="14"/>
      <c r="V13" s="27" t="str">
        <f t="shared" si="11"/>
        <v>活力</v>
      </c>
      <c r="W13" s="59">
        <f>'M1'!B11*1</f>
        <v>28.2408</v>
      </c>
      <c r="X13" s="59">
        <f>'M1'!C11*1</f>
        <v>7.4299200000000001</v>
      </c>
      <c r="Y13" s="59">
        <f>'M1'!D11*1</f>
        <v>26.309200000000001</v>
      </c>
      <c r="Z13" s="59">
        <f>'M1'!E11*1</f>
        <v>10</v>
      </c>
      <c r="AA13" s="59">
        <f>'M1'!F11*1</f>
        <v>9.3425899999999995</v>
      </c>
      <c r="AB13" s="59">
        <f>'M1'!G11*1</f>
        <v>50</v>
      </c>
      <c r="AC13" s="59">
        <f>'M1'!H11*1</f>
        <v>35.650799999999997</v>
      </c>
      <c r="AE13" s="27" t="str">
        <f t="shared" si="12"/>
        <v>活力</v>
      </c>
      <c r="AF13" s="59">
        <f>'M2'!B11*1</f>
        <v>20.272300000000001</v>
      </c>
      <c r="AG13" s="59">
        <f>'M2'!C11*1</f>
        <v>1.7222500000000001</v>
      </c>
      <c r="AH13" s="59">
        <f>'M2'!D11*1</f>
        <v>8.4955700000000007</v>
      </c>
      <c r="AI13" s="59">
        <f>'M2'!E11*1</f>
        <v>10</v>
      </c>
      <c r="AJ13" s="59">
        <f>'M2'!F11*1</f>
        <v>16.9024</v>
      </c>
      <c r="AK13" s="59">
        <f>'M2'!G11*1</f>
        <v>50</v>
      </c>
      <c r="AL13" s="59">
        <f>'M2'!H11*1</f>
        <v>24.1419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-4.6192000000000064</v>
      </c>
      <c r="O14" s="59">
        <f t="shared" si="5"/>
        <v>-0.35454000000000008</v>
      </c>
      <c r="P14" s="59">
        <f t="shared" si="6"/>
        <v>-0.22208999999999968</v>
      </c>
      <c r="Q14" s="59">
        <f t="shared" si="7"/>
        <v>0</v>
      </c>
      <c r="R14" s="59">
        <f t="shared" si="8"/>
        <v>-3.7937000000000012</v>
      </c>
      <c r="S14" s="59">
        <f t="shared" si="9"/>
        <v>0</v>
      </c>
      <c r="T14" s="59">
        <f t="shared" si="10"/>
        <v>-8.4572999999999894</v>
      </c>
      <c r="U14" s="14"/>
      <c r="V14" s="27" t="str">
        <f t="shared" si="11"/>
        <v>自我调节</v>
      </c>
      <c r="W14" s="59">
        <f>'M1'!B12*1</f>
        <v>76.348200000000006</v>
      </c>
      <c r="X14" s="59">
        <f>'M1'!C12*1</f>
        <v>3.22702</v>
      </c>
      <c r="Y14" s="59">
        <f>'M1'!D12*1</f>
        <v>4.2267099999999997</v>
      </c>
      <c r="Z14" s="59">
        <f>'M1'!E12*1</f>
        <v>50</v>
      </c>
      <c r="AA14" s="59">
        <f>'M1'!F12*1</f>
        <v>70.646799999999999</v>
      </c>
      <c r="AB14" s="59">
        <f>'M1'!G12*1</f>
        <v>100</v>
      </c>
      <c r="AC14" s="59">
        <f>'M1'!H12*1</f>
        <v>86.528099999999995</v>
      </c>
      <c r="AE14" s="27" t="str">
        <f t="shared" si="12"/>
        <v>自我调节</v>
      </c>
      <c r="AF14" s="59">
        <f>'M2'!B12*1</f>
        <v>71.728999999999999</v>
      </c>
      <c r="AG14" s="59">
        <f>'M2'!C12*1</f>
        <v>2.8724799999999999</v>
      </c>
      <c r="AH14" s="59">
        <f>'M2'!D12*1</f>
        <v>4.0046200000000001</v>
      </c>
      <c r="AI14" s="59">
        <f>'M2'!E12*1</f>
        <v>50</v>
      </c>
      <c r="AJ14" s="59">
        <f>'M2'!F12*1</f>
        <v>66.853099999999998</v>
      </c>
      <c r="AK14" s="59">
        <f>'M2'!G12*1</f>
        <v>100</v>
      </c>
      <c r="AL14" s="59">
        <f>'M2'!H12*1</f>
        <v>78.070800000000006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-0.63979999999999926</v>
      </c>
      <c r="O15" s="59">
        <f t="shared" si="5"/>
        <v>-0.15708799999999989</v>
      </c>
      <c r="P15" s="59">
        <f t="shared" si="6"/>
        <v>-0.87561999999999962</v>
      </c>
      <c r="Q15" s="59">
        <f t="shared" si="7"/>
        <v>0</v>
      </c>
      <c r="R15" s="59">
        <f t="shared" si="8"/>
        <v>4.6499999999999986E-2</v>
      </c>
      <c r="S15" s="59">
        <f t="shared" si="9"/>
        <v>0</v>
      </c>
      <c r="T15" s="59">
        <f t="shared" si="10"/>
        <v>0.55389999999999873</v>
      </c>
      <c r="U15" s="14"/>
      <c r="V15" s="27" t="str">
        <f t="shared" si="11"/>
        <v>抑郁</v>
      </c>
      <c r="W15" s="59">
        <f>'M1'!B13*1</f>
        <v>11.9863</v>
      </c>
      <c r="X15" s="59">
        <f>'M1'!C13*1</f>
        <v>1.0816699999999999</v>
      </c>
      <c r="Y15" s="59">
        <f>'M1'!D13*1</f>
        <v>9.0242000000000004</v>
      </c>
      <c r="Z15" s="59">
        <f>'M1'!E13*1</f>
        <v>10</v>
      </c>
      <c r="AA15" s="59">
        <f>'M1'!F13*1</f>
        <v>10.275600000000001</v>
      </c>
      <c r="AB15" s="59">
        <f>'M1'!G13*1</f>
        <v>25</v>
      </c>
      <c r="AC15" s="59">
        <f>'M1'!H13*1</f>
        <v>15.0989</v>
      </c>
      <c r="AE15" s="27" t="str">
        <f t="shared" si="12"/>
        <v>抑郁</v>
      </c>
      <c r="AF15" s="59">
        <f>'M2'!B13*1</f>
        <v>11.346500000000001</v>
      </c>
      <c r="AG15" s="59">
        <f>'M2'!C13*1</f>
        <v>0.92458200000000001</v>
      </c>
      <c r="AH15" s="59">
        <f>'M2'!D13*1</f>
        <v>8.1485800000000008</v>
      </c>
      <c r="AI15" s="59">
        <f>'M2'!E13*1</f>
        <v>10</v>
      </c>
      <c r="AJ15" s="59">
        <f>'M2'!F13*1</f>
        <v>10.322100000000001</v>
      </c>
      <c r="AK15" s="59">
        <f>'M2'!G13*1</f>
        <v>25</v>
      </c>
      <c r="AL15" s="59">
        <f>'M2'!H13*1</f>
        <v>15.652799999999999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-1.5708800000000007</v>
      </c>
      <c r="O16" s="59">
        <f t="shared" si="5"/>
        <v>0.59388999999999958</v>
      </c>
      <c r="P16" s="59">
        <f t="shared" si="6"/>
        <v>12.153599999999997</v>
      </c>
      <c r="Q16" s="59">
        <f t="shared" si="7"/>
        <v>0</v>
      </c>
      <c r="R16" s="59">
        <f t="shared" si="8"/>
        <v>-0.15634700000000001</v>
      </c>
      <c r="S16" s="59">
        <f t="shared" si="9"/>
        <v>0</v>
      </c>
      <c r="T16" s="59">
        <f t="shared" si="10"/>
        <v>2.2048000000000005</v>
      </c>
      <c r="U16" s="15"/>
      <c r="V16" s="27" t="str">
        <f t="shared" si="11"/>
        <v>神经质</v>
      </c>
      <c r="W16" s="59">
        <f>'M1'!B14*1</f>
        <v>10.816700000000001</v>
      </c>
      <c r="X16" s="59">
        <f>'M1'!C14*1</f>
        <v>3.6483300000000001</v>
      </c>
      <c r="Y16" s="59">
        <f>'M1'!D14*1</f>
        <v>33.728900000000003</v>
      </c>
      <c r="Z16" s="59">
        <f>'M1'!E14*1</f>
        <v>10</v>
      </c>
      <c r="AA16" s="59">
        <f>'M1'!F14*1</f>
        <v>0.82663900000000001</v>
      </c>
      <c r="AB16" s="59">
        <f>'M1'!G14*1</f>
        <v>50</v>
      </c>
      <c r="AC16" s="59">
        <f>'M1'!H14*1</f>
        <v>13.0092</v>
      </c>
      <c r="AE16" s="27" t="str">
        <f t="shared" si="12"/>
        <v>神经质</v>
      </c>
      <c r="AF16" s="59">
        <f>'M2'!B14*1</f>
        <v>9.2458200000000001</v>
      </c>
      <c r="AG16" s="59">
        <f>'M2'!C14*1</f>
        <v>4.2422199999999997</v>
      </c>
      <c r="AH16" s="59">
        <f>'M2'!D14*1</f>
        <v>45.8825</v>
      </c>
      <c r="AI16" s="59">
        <f>'M2'!E14*1</f>
        <v>10</v>
      </c>
      <c r="AJ16" s="59">
        <f>'M2'!F14*1</f>
        <v>0.670292</v>
      </c>
      <c r="AK16" s="59">
        <f>'M2'!G14*1</f>
        <v>50</v>
      </c>
      <c r="AL16" s="59">
        <f>'M2'!H14*1</f>
        <v>15.214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-5.0690750000000016</v>
      </c>
      <c r="O17" s="22">
        <f>N17/(N17+N18+N19)</f>
        <v>0.98910903453537558</v>
      </c>
      <c r="P17" s="65">
        <f>SUM(P11:P14)/4</f>
        <v>-3.6647925000000003</v>
      </c>
      <c r="Q17" s="22">
        <f>P17/(P17+P18+P19)</f>
        <v>0.46761413333690599</v>
      </c>
      <c r="R17" s="14"/>
      <c r="S17" s="14"/>
      <c r="T17" s="14"/>
      <c r="U17" s="14"/>
      <c r="V17" s="21" t="str">
        <f>M17</f>
        <v>Positive</v>
      </c>
      <c r="W17" s="65">
        <f>SUM(W11:W14)/4</f>
        <v>64.402100000000004</v>
      </c>
      <c r="X17" s="22">
        <f>W17/(W17+W18+W19)</f>
        <v>0.59487564594784204</v>
      </c>
      <c r="Y17" s="65">
        <f>SUM(Y11:Y14)/4</f>
        <v>10.187692499999999</v>
      </c>
      <c r="Z17" s="22">
        <f>Y17/(Y17+Y18+Y19)</f>
        <v>0.1992358386575151</v>
      </c>
      <c r="AA17" s="14"/>
      <c r="AB17" s="14"/>
      <c r="AC17" s="14"/>
      <c r="AE17" s="21" t="str">
        <f>V17</f>
        <v>Positive</v>
      </c>
      <c r="AF17" s="65">
        <f>SUM(AF11:AF14)/4</f>
        <v>59.333025000000006</v>
      </c>
      <c r="AG17" s="22">
        <f>AF17/(AF17+AF18+AF19)</f>
        <v>0.57528605763077612</v>
      </c>
      <c r="AH17" s="65">
        <f>SUM(AH11:AH14)/4</f>
        <v>6.5228999999999999</v>
      </c>
      <c r="AI17" s="22">
        <f>AH17/(AH17+AH18+AH19)</f>
        <v>0.15065610202366833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1.0495250000000009</v>
      </c>
      <c r="O18" s="22">
        <f>N18/(N17+N18+N19)</f>
        <v>-0.20478976134121918</v>
      </c>
      <c r="P18" s="18">
        <f>SUM(P7:P10)/4</f>
        <v>-9.8114124999999994</v>
      </c>
      <c r="Q18" s="22">
        <f>P18/(P17+P18+P19)</f>
        <v>1.2519003880842874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32.457850000000001</v>
      </c>
      <c r="X18" s="22">
        <f>W18/(W17+W18+W19)</f>
        <v>0.29980985844915253</v>
      </c>
      <c r="Y18" s="18">
        <f>SUM(Y7:Y10)/4</f>
        <v>19.569592500000002</v>
      </c>
      <c r="Z18" s="22">
        <f>Y18/(Y17+Y18+Y19)</f>
        <v>0.3827131780747523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33.507375000000003</v>
      </c>
      <c r="AG18" s="22">
        <f>AF18/(AF17+AF18+AF19)</f>
        <v>0.32488358153500563</v>
      </c>
      <c r="AH18" s="18">
        <f>SUM(AH7:AH10)/4</f>
        <v>9.7581799999999994</v>
      </c>
      <c r="AI18" s="22">
        <f>AH18/(AH17+AH18+AH19)</f>
        <v>0.22537971786250285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-1.10534</v>
      </c>
      <c r="O19" s="22">
        <f>N19/(N17+N18+N19)</f>
        <v>0.2156807268058436</v>
      </c>
      <c r="P19" s="18">
        <f>(P15+P16)/2</f>
        <v>5.6389899999999988</v>
      </c>
      <c r="Q19" s="22">
        <f>P19/(P17+P18+P19)</f>
        <v>-0.71951452142119332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11.4015</v>
      </c>
      <c r="X19" s="22">
        <f>W19/(W17+W18+W19)</f>
        <v>0.10531449560300551</v>
      </c>
      <c r="Y19" s="18">
        <f>(Y15+Y16)/2</f>
        <v>21.376550000000002</v>
      </c>
      <c r="Z19" s="22">
        <f>Y19/(Y17+Y18+Y19)</f>
        <v>0.4180509832677326</v>
      </c>
      <c r="AA19" s="14"/>
      <c r="AB19" s="14"/>
      <c r="AC19" s="14"/>
      <c r="AE19" s="21" t="str">
        <f t="shared" si="14"/>
        <v>Physiological</v>
      </c>
      <c r="AF19" s="18">
        <f>(AF15+AF16)/2</f>
        <v>10.29616</v>
      </c>
      <c r="AG19" s="22">
        <f>AF19/(AF17+AF18+AF19)</f>
        <v>9.9830360834218229E-2</v>
      </c>
      <c r="AH19" s="18">
        <f>(AH15+AH16)/2</f>
        <v>27.015540000000001</v>
      </c>
      <c r="AI19" s="22">
        <f>AH19/(AH17+AH18+AH19)</f>
        <v>0.6239641801138287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1.93/1.58</v>
      </c>
      <c r="D24" s="44" t="str">
        <f>lang!B11</f>
        <v>频率方差</v>
      </c>
      <c r="E24" s="142" t="str">
        <f ca="1">CONCATENATE(ROUND('FH1'!L3,2),"/",ROUND('FH2'!L3,2))</f>
        <v>0.74/0.58</v>
      </c>
      <c r="F24" s="143"/>
      <c r="G24" s="134" t="str">
        <f>lang!B12</f>
        <v>生理变化率</v>
      </c>
      <c r="H24" s="135"/>
      <c r="I24" s="62" t="str">
        <f ca="1">CONCATENATE(info!M7,"-",info!M8)</f>
        <v>31.5-52.8</v>
      </c>
      <c r="J24" s="42" t="str">
        <f>lang!B13</f>
        <v>千卡l/分钟</v>
      </c>
      <c r="K24" s="41" t="str">
        <f ca="1">CONCATENATE(info!M5,"-",info!M6)</f>
        <v>2.5-4.8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-13.751300000000001</v>
      </c>
      <c r="F27" s="164"/>
      <c r="G27" s="178" t="str">
        <f>lang!B33</f>
        <v>稳定性</v>
      </c>
      <c r="H27" s="179"/>
      <c r="I27" s="180"/>
      <c r="J27" s="181">
        <f>dM!B19*100</f>
        <v>-9.7722000000000033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-0.87577085186021031</v>
      </c>
      <c r="C2">
        <f t="array" aca="1" ref="C2" ca="1">CORREL(FT_E02,FT_PH02)</f>
        <v>-0.61296010334157758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2.52013</v>
      </c>
      <c r="G2" s="61">
        <f>IF(FT!B2&lt;&gt;"",FT!B2*100,"")</f>
        <v>52.798199999999994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2.6089899999999999</v>
      </c>
      <c r="G3" s="61">
        <f>IF(FT!B3&lt;&gt;"",FT!B3*100,"")</f>
        <v>51.954500000000003</v>
      </c>
      <c r="H3" s="61">
        <f t="shared" ref="H3:H66" si="1">(IF(F3&lt;&gt;"",1,""))</f>
        <v>1</v>
      </c>
      <c r="I3" t="str">
        <f>IF(FT!B3&lt;&gt;"",FT!E3,"")</f>
        <v>1 [0.407852]</v>
      </c>
      <c r="J3">
        <f>IF(FT!B3&lt;&gt;"",FT!C3,"")</f>
        <v>0.40785199999999999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0.36111362162162153</v>
      </c>
      <c r="V3">
        <f ca="1">AVERAGE(OFFSET(FT!B2,info!$L$3/2,0,info!$L$3/2,1))</f>
        <v>0.41648341891891894</v>
      </c>
      <c r="W3">
        <f ca="1">AVERAGE(OFFSET(FT!A2,0,0,info!$L$3/2,1))</f>
        <v>0.3973249594594595</v>
      </c>
      <c r="X3">
        <f ca="1">AVERAGE(OFFSET(FT!A2,info!$L$3/2,0,info!$L$3/2,1))</f>
        <v>0.32347136486486489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2.6979599999999997</v>
      </c>
      <c r="G4" s="61">
        <f>IF(FT!B4&lt;&gt;"",FT!B4*100,"")</f>
        <v>51.015900000000002</v>
      </c>
      <c r="H4" s="61">
        <f t="shared" si="1"/>
        <v>1</v>
      </c>
      <c r="I4" t="str">
        <f>IF(FT!B4&lt;&gt;"",FT!E4,"")</f>
        <v>1 [0.810809]</v>
      </c>
      <c r="J4">
        <f>IF(FT!B4&lt;&gt;"",FT!C4,"")</f>
        <v>0.810809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14.94055</v>
      </c>
      <c r="V4">
        <f>U4*3</f>
        <v>44.821649999999998</v>
      </c>
      <c r="W4">
        <f>U4</f>
        <v>14.94055</v>
      </c>
      <c r="X4">
        <f>V4</f>
        <v>44.821649999999998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2.7899099999999999</v>
      </c>
      <c r="G5" s="61">
        <f>IF(FT!B5&lt;&gt;"",FT!B5*100,"")</f>
        <v>49.999900000000004</v>
      </c>
      <c r="H5" s="61">
        <f t="shared" si="1"/>
        <v>1</v>
      </c>
      <c r="I5" t="str">
        <f>IF(FT!B5&lt;&gt;"",FT!E5,"")</f>
        <v>1 [1.218699]</v>
      </c>
      <c r="J5">
        <f>IF(FT!B5&lt;&gt;"",FT!C5,"")</f>
        <v>1.2186999999999999</v>
      </c>
      <c r="K5" t="s">
        <v>53</v>
      </c>
      <c r="L5" s="63">
        <f ca="1">MIN(FT_E)</f>
        <v>2.52013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36.111362162162152</v>
      </c>
      <c r="V5">
        <f ca="1">V3*100</f>
        <v>41.648341891891896</v>
      </c>
      <c r="W5">
        <f ca="1">W3*10</f>
        <v>3.9732495945945949</v>
      </c>
      <c r="X5">
        <f ca="1">X3*10</f>
        <v>3.2347136486486487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2.88028</v>
      </c>
      <c r="G6" s="61">
        <f>IF(FT!B6&lt;&gt;"",FT!B6*100,"")</f>
        <v>49.112000000000002</v>
      </c>
      <c r="H6" s="61">
        <f t="shared" si="1"/>
        <v>1</v>
      </c>
      <c r="I6" t="str">
        <f>IF(FT!B6&lt;&gt;"",FT!E6,"")</f>
        <v>1 [1.624790]</v>
      </c>
      <c r="J6">
        <f>IF(FT!B6&lt;&gt;"",FT!C6,"")</f>
        <v>1.62479</v>
      </c>
      <c r="K6" t="s">
        <v>54</v>
      </c>
      <c r="L6" s="63">
        <f ca="1">MAX(FT_E)</f>
        <v>4.7827999999999999</v>
      </c>
      <c r="M6" s="63">
        <f ca="1">ROUND(L6,1)</f>
        <v>4.8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2.9744999999999999</v>
      </c>
      <c r="G7" s="61">
        <f>IF(FT!B7&lt;&gt;"",FT!B7*100,"")</f>
        <v>48.031100000000002</v>
      </c>
      <c r="H7" s="61">
        <f t="shared" si="1"/>
        <v>1</v>
      </c>
      <c r="I7" t="str">
        <f>IF(FT!B7&lt;&gt;"",FT!E7,"")</f>
        <v>1 [2.030497]</v>
      </c>
      <c r="J7">
        <f>IF(FT!B7&lt;&gt;"",FT!C7,"")</f>
        <v>2.0305</v>
      </c>
      <c r="K7" t="s">
        <v>55</v>
      </c>
      <c r="L7" s="63">
        <f ca="1">MIN(FT_PH)</f>
        <v>31.4971</v>
      </c>
      <c r="M7" s="63">
        <f ca="1">ROUND(L7,1)</f>
        <v>31.5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2019</v>
      </c>
      <c r="D8" s="61">
        <f>FH!B8*1</f>
        <v>2019</v>
      </c>
      <c r="E8">
        <f t="shared" si="3"/>
        <v>6</v>
      </c>
      <c r="F8" s="61">
        <f>IF(FT!A8&lt;&gt;"",FT!A8*10,"")</f>
        <v>3.0657399999999999</v>
      </c>
      <c r="G8" s="61">
        <f>IF(FT!B8&lt;&gt;"",FT!B8*100,"")</f>
        <v>46.888000000000005</v>
      </c>
      <c r="H8" s="61">
        <f t="shared" si="1"/>
        <v>1</v>
      </c>
      <c r="I8" t="str">
        <f>IF(FT!B8&lt;&gt;"",FT!E8,"")</f>
        <v>1 [2.440432]</v>
      </c>
      <c r="J8">
        <f>IF(FT!B8&lt;&gt;"",FT!C8,"")</f>
        <v>2.4404300000000001</v>
      </c>
      <c r="K8" t="s">
        <v>56</v>
      </c>
      <c r="L8" s="63">
        <f ca="1">MAX(FT_PH)</f>
        <v>52.798199999999994</v>
      </c>
      <c r="M8" s="63">
        <f ca="1">ROUND(L8,1)</f>
        <v>52.8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3.1536399999999998</v>
      </c>
      <c r="G9" s="61">
        <f>IF(FT!B9&lt;&gt;"",FT!B9*100,"")</f>
        <v>45.741</v>
      </c>
      <c r="H9" s="61">
        <f t="shared" si="1"/>
        <v>1</v>
      </c>
      <c r="I9" t="str">
        <f>IF(FT!B9&lt;&gt;"",FT!E9,"")</f>
        <v>1 [2.842734]</v>
      </c>
      <c r="J9">
        <f>IF(FT!B9&lt;&gt;"",FT!C9,"")</f>
        <v>2.84273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12398</v>
      </c>
      <c r="D10" s="61">
        <f>FH!B10*1</f>
        <v>12398</v>
      </c>
      <c r="E10">
        <f t="shared" si="3"/>
        <v>8</v>
      </c>
      <c r="F10" s="61">
        <f>IF(FT!A10&lt;&gt;"",FT!A10*10,"")</f>
        <v>3.2417699999999998</v>
      </c>
      <c r="G10" s="61">
        <f>IF(FT!B10&lt;&gt;"",FT!B10*100,"")</f>
        <v>44.664300000000004</v>
      </c>
      <c r="H10" s="61">
        <f t="shared" si="1"/>
        <v>1</v>
      </c>
      <c r="I10" t="str">
        <f>IF(FT!B10&lt;&gt;"",FT!E10,"")</f>
        <v>1 [3.250216]</v>
      </c>
      <c r="J10">
        <f>IF(FT!B10&lt;&gt;"",FT!C10,"")</f>
        <v>3.2502200000000001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3.3331499999999998</v>
      </c>
      <c r="G11" s="61">
        <f>IF(FT!B11&lt;&gt;"",FT!B11*100,"")</f>
        <v>43.453599999999994</v>
      </c>
      <c r="H11" s="61">
        <f t="shared" si="1"/>
        <v>1</v>
      </c>
      <c r="I11" t="str">
        <f>IF(FT!B11&lt;&gt;"",FT!E11,"")</f>
        <v>1 [3.655154]</v>
      </c>
      <c r="J11">
        <f>IF(FT!B11&lt;&gt;"",FT!C11,"")</f>
        <v>3.6551499999999999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3.4240900000000001</v>
      </c>
      <c r="G12" s="61">
        <f>IF(FT!B12&lt;&gt;"",FT!B12*100,"")</f>
        <v>42.271599999999999</v>
      </c>
      <c r="H12" s="61">
        <f t="shared" si="1"/>
        <v>1</v>
      </c>
      <c r="I12" t="str">
        <f>IF(FT!B12&lt;&gt;"",FT!E12,"")</f>
        <v>1 [4.058073]</v>
      </c>
      <c r="J12">
        <f>IF(FT!B12&lt;&gt;"",FT!C12,"")</f>
        <v>4.0580699999999998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17942</v>
      </c>
      <c r="D13" s="61">
        <f>FH!B13*1</f>
        <v>17942</v>
      </c>
      <c r="E13">
        <f t="shared" si="3"/>
        <v>11</v>
      </c>
      <c r="F13" s="61">
        <f>IF(FT!A13&lt;&gt;"",FT!A13*10,"")</f>
        <v>3.5162399999999998</v>
      </c>
      <c r="G13" s="61">
        <f>IF(FT!B13&lt;&gt;"",FT!B13*100,"")</f>
        <v>41.020499999999998</v>
      </c>
      <c r="H13" s="61">
        <f t="shared" si="1"/>
        <v>1</v>
      </c>
      <c r="I13" t="str">
        <f>IF(FT!B13&lt;&gt;"",FT!E13,"")</f>
        <v>1 [4.469234]</v>
      </c>
      <c r="J13">
        <f>IF(FT!B13&lt;&gt;"",FT!C13,"")</f>
        <v>4.4692299999999996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3.6063800000000001</v>
      </c>
      <c r="G14" s="61">
        <f>IF(FT!B14&lt;&gt;"",FT!B14*100,"")</f>
        <v>39.869300000000003</v>
      </c>
      <c r="H14" s="61">
        <f t="shared" si="1"/>
        <v>1</v>
      </c>
      <c r="I14" t="str">
        <f>IF(FT!B14&lt;&gt;"",FT!E14,"")</f>
        <v>1 [4.878017]</v>
      </c>
      <c r="J14">
        <f>IF(FT!B14&lt;&gt;"",FT!C14,"")</f>
        <v>4.8780200000000002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20045</v>
      </c>
      <c r="D15" s="61">
        <f>FH!B15*1</f>
        <v>20045</v>
      </c>
      <c r="E15">
        <f t="shared" si="3"/>
        <v>13</v>
      </c>
      <c r="F15" s="61">
        <f>IF(FT!A15&lt;&gt;"",FT!A15*10,"")</f>
        <v>3.6951000000000001</v>
      </c>
      <c r="G15" s="61">
        <f>IF(FT!B15&lt;&gt;"",FT!B15*100,"")</f>
        <v>38.782899999999998</v>
      </c>
      <c r="H15" s="61">
        <f t="shared" si="1"/>
        <v>1</v>
      </c>
      <c r="I15" t="str">
        <f>IF(FT!B15&lt;&gt;"",FT!E15,"")</f>
        <v>1 [5.277740]</v>
      </c>
      <c r="J15">
        <f>IF(FT!B15&lt;&gt;"",FT!C15,"")</f>
        <v>5.2777399999999997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3.7851400000000002</v>
      </c>
      <c r="G16" s="61">
        <f>IF(FT!B16&lt;&gt;"",FT!B16*100,"")</f>
        <v>37.615200000000002</v>
      </c>
      <c r="H16" s="61">
        <f t="shared" si="1"/>
        <v>1</v>
      </c>
      <c r="I16" t="str">
        <f>IF(FT!B16&lt;&gt;"",FT!E16,"")</f>
        <v>1 [5.689762]</v>
      </c>
      <c r="J16">
        <f>IF(FT!B16&lt;&gt;"",FT!C16,"")</f>
        <v>5.6897599999999997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3.8730399999999996</v>
      </c>
      <c r="G17" s="61">
        <f>IF(FT!B17&lt;&gt;"",FT!B17*100,"")</f>
        <v>36.643999999999998</v>
      </c>
      <c r="H17" s="61">
        <f t="shared" si="1"/>
        <v>1</v>
      </c>
      <c r="I17" t="str">
        <f>IF(FT!B17&lt;&gt;"",FT!E17,"")</f>
        <v>1 [6.091740]</v>
      </c>
      <c r="J17">
        <f>IF(FT!B17&lt;&gt;"",FT!C17,"")</f>
        <v>6.0917399999999997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23153</v>
      </c>
      <c r="D18" s="61">
        <f>FH!B18*1</f>
        <v>23153</v>
      </c>
      <c r="E18">
        <f t="shared" si="3"/>
        <v>16</v>
      </c>
      <c r="F18" s="61">
        <f>IF(FT!A18&lt;&gt;"",FT!A18*10,"")</f>
        <v>3.95899</v>
      </c>
      <c r="G18" s="61">
        <f>IF(FT!B18&lt;&gt;"",FT!B18*100,"")</f>
        <v>35.7791</v>
      </c>
      <c r="H18" s="61">
        <f t="shared" si="1"/>
        <v>1</v>
      </c>
      <c r="I18" t="str">
        <f>IF(FT!B18&lt;&gt;"",FT!E18,"")</f>
        <v>1 [6.499865]</v>
      </c>
      <c r="J18">
        <f>IF(FT!B18&lt;&gt;"",FT!C18,"")</f>
        <v>6.49986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4.0411599999999996</v>
      </c>
      <c r="G19" s="61">
        <f>IF(FT!B19&lt;&gt;"",FT!B19*100,"")</f>
        <v>35.0349</v>
      </c>
      <c r="H19" s="61">
        <f t="shared" si="1"/>
        <v>1</v>
      </c>
      <c r="I19" t="str">
        <f>IF(FT!B19&lt;&gt;"",FT!E19,"")</f>
        <v>1 [6.908686]</v>
      </c>
      <c r="J19">
        <f>IF(FT!B19&lt;&gt;"",FT!C19,"")</f>
        <v>6.90869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4.11869</v>
      </c>
      <c r="G20" s="61">
        <f>IF(FT!B20&lt;&gt;"",FT!B20*100,"")</f>
        <v>34.544200000000004</v>
      </c>
      <c r="H20" s="61">
        <f t="shared" si="1"/>
        <v>1</v>
      </c>
      <c r="I20" t="str">
        <f>IF(FT!B20&lt;&gt;"",FT!E20,"")</f>
        <v>1 [7.310426]</v>
      </c>
      <c r="J20">
        <f>IF(FT!B20&lt;&gt;"",FT!C20,"")</f>
        <v>7.3104300000000002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19228</v>
      </c>
      <c r="D21" s="61">
        <f>FH!B21*1</f>
        <v>19228</v>
      </c>
      <c r="E21">
        <f t="shared" si="3"/>
        <v>19</v>
      </c>
      <c r="F21" s="61">
        <f>IF(FT!A21&lt;&gt;"",FT!A21*10,"")</f>
        <v>4.1929600000000002</v>
      </c>
      <c r="G21" s="61">
        <f>IF(FT!B21&lt;&gt;"",FT!B21*100,"")</f>
        <v>34.0379</v>
      </c>
      <c r="H21" s="61">
        <f t="shared" si="1"/>
        <v>1</v>
      </c>
      <c r="I21" t="str">
        <f>IF(FT!B21&lt;&gt;"",FT!E21,"")</f>
        <v>1 [7.720287]</v>
      </c>
      <c r="J21">
        <f>IF(FT!B21&lt;&gt;"",FT!C21,"")</f>
        <v>7.7202900000000003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4.2637599999999996</v>
      </c>
      <c r="G22" s="61">
        <f>IF(FT!B22&lt;&gt;"",FT!B22*100,"")</f>
        <v>33.566400000000002</v>
      </c>
      <c r="H22" s="61">
        <f t="shared" si="1"/>
        <v>1</v>
      </c>
      <c r="I22" t="str">
        <f>IF(FT!B22&lt;&gt;"",FT!E22,"")</f>
        <v>1 [8.125470]</v>
      </c>
      <c r="J22">
        <f>IF(FT!B22&lt;&gt;"",FT!C22,"")</f>
        <v>8.12547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18047</v>
      </c>
      <c r="D23" s="61">
        <f>FH!B23*1</f>
        <v>18047</v>
      </c>
      <c r="E23">
        <f t="shared" si="3"/>
        <v>21</v>
      </c>
      <c r="F23" s="61">
        <f>IF(FT!A23&lt;&gt;"",FT!A23*10,"")</f>
        <v>4.3297499999999998</v>
      </c>
      <c r="G23" s="61">
        <f>IF(FT!B23&lt;&gt;"",FT!B23*100,"")</f>
        <v>33.192100000000003</v>
      </c>
      <c r="H23" s="61">
        <f t="shared" si="1"/>
        <v>1</v>
      </c>
      <c r="I23" t="str">
        <f>IF(FT!B23&lt;&gt;"",FT!E23,"")</f>
        <v>1 [8.531334]</v>
      </c>
      <c r="J23">
        <f>IF(FT!B23&lt;&gt;"",FT!C23,"")</f>
        <v>8.5313300000000005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4.3904399999999999</v>
      </c>
      <c r="G24" s="61">
        <f>IF(FT!B24&lt;&gt;"",FT!B24*100,"")</f>
        <v>32.913599999999995</v>
      </c>
      <c r="H24" s="61">
        <f t="shared" si="1"/>
        <v>1</v>
      </c>
      <c r="I24" t="str">
        <f>IF(FT!B24&lt;&gt;"",FT!E24,"")</f>
        <v>1 [8.940077]</v>
      </c>
      <c r="J24">
        <f>IF(FT!B24&lt;&gt;"",FT!C24,"")</f>
        <v>8.94008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4.4462299999999999</v>
      </c>
      <c r="G25" s="61">
        <f>IF(FT!B25&lt;&gt;"",FT!B25*100,"")</f>
        <v>32.821300000000001</v>
      </c>
      <c r="H25" s="61">
        <f t="shared" si="1"/>
        <v>1</v>
      </c>
      <c r="I25" t="str">
        <f>IF(FT!B25&lt;&gt;"",FT!E25,"")</f>
        <v>1 [9.344032]</v>
      </c>
      <c r="J25">
        <f>IF(FT!B25&lt;&gt;"",FT!C25,"")</f>
        <v>9.3440300000000001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22582</v>
      </c>
      <c r="D26" s="61">
        <f>FH!B26*1</f>
        <v>22582</v>
      </c>
      <c r="E26">
        <f t="shared" si="3"/>
        <v>24</v>
      </c>
      <c r="F26" s="61">
        <f>IF(FT!A26&lt;&gt;"",FT!A26*10,"")</f>
        <v>4.4990799999999993</v>
      </c>
      <c r="G26" s="61">
        <f>IF(FT!B26&lt;&gt;"",FT!B26*100,"")</f>
        <v>32.744</v>
      </c>
      <c r="H26" s="61">
        <f t="shared" si="1"/>
        <v>1</v>
      </c>
      <c r="I26" t="str">
        <f>IF(FT!B26&lt;&gt;"",FT!E26,"")</f>
        <v>1 [9.750893]</v>
      </c>
      <c r="J26">
        <f>IF(FT!B26&lt;&gt;"",FT!C26,"")</f>
        <v>9.7508900000000001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4.5489899999999999</v>
      </c>
      <c r="G27" s="61">
        <f>IF(FT!B27&lt;&gt;"",FT!B27*100,"")</f>
        <v>32.529400000000003</v>
      </c>
      <c r="H27" s="61">
        <f t="shared" si="1"/>
        <v>1</v>
      </c>
      <c r="I27" t="str">
        <f>IF(FT!B27&lt;&gt;"",FT!E27,"")</f>
        <v>1 [10.161762]</v>
      </c>
      <c r="J27">
        <f>IF(FT!B27&lt;&gt;"",FT!C27,"")</f>
        <v>10.161799999999999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26240</v>
      </c>
      <c r="D28" s="61">
        <f>FH!B28*1</f>
        <v>26240</v>
      </c>
      <c r="E28">
        <f t="shared" si="3"/>
        <v>26</v>
      </c>
      <c r="F28" s="61">
        <f>IF(FT!A28&lt;&gt;"",FT!A28*10,"")</f>
        <v>4.59551</v>
      </c>
      <c r="G28" s="61">
        <f>IF(FT!B28&lt;&gt;"",FT!B28*100,"")</f>
        <v>32.319400000000002</v>
      </c>
      <c r="H28" s="61">
        <f t="shared" si="1"/>
        <v>1</v>
      </c>
      <c r="I28" t="str">
        <f>IF(FT!B28&lt;&gt;"",FT!E28,"")</f>
        <v>1 [10.560796]</v>
      </c>
      <c r="J28">
        <f>IF(FT!B28&lt;&gt;"",FT!C28,"")</f>
        <v>10.5608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4.6355400000000007</v>
      </c>
      <c r="G29" s="61">
        <f>IF(FT!B29&lt;&gt;"",FT!B29*100,"")</f>
        <v>32.222099999999998</v>
      </c>
      <c r="H29" s="61">
        <f t="shared" si="1"/>
        <v>1</v>
      </c>
      <c r="I29" t="str">
        <f>IF(FT!B29&lt;&gt;"",FT!E29,"")</f>
        <v>1 [10.968579]</v>
      </c>
      <c r="J29">
        <f>IF(FT!B29&lt;&gt;"",FT!C29,"")</f>
        <v>10.9686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4.6697899999999999</v>
      </c>
      <c r="G30" s="61">
        <f>IF(FT!B30&lt;&gt;"",FT!B30*100,"")</f>
        <v>32.155499999999996</v>
      </c>
      <c r="H30" s="61">
        <f t="shared" si="1"/>
        <v>1</v>
      </c>
      <c r="I30" t="str">
        <f>IF(FT!B30&lt;&gt;"",FT!E30,"")</f>
        <v>1 [11.372558]</v>
      </c>
      <c r="J30">
        <f>IF(FT!B30&lt;&gt;"",FT!C30,"")</f>
        <v>11.3726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33331</v>
      </c>
      <c r="D31" s="61">
        <f>FH!B31*1</f>
        <v>33331</v>
      </c>
      <c r="E31">
        <f t="shared" si="3"/>
        <v>29</v>
      </c>
      <c r="F31" s="61">
        <f>IF(FT!A31&lt;&gt;"",FT!A31*10,"")</f>
        <v>4.6999300000000002</v>
      </c>
      <c r="G31" s="61">
        <f>IF(FT!B31&lt;&gt;"",FT!B31*100,"")</f>
        <v>32.1447</v>
      </c>
      <c r="H31" s="61">
        <f t="shared" si="1"/>
        <v>1</v>
      </c>
      <c r="I31" t="str">
        <f>IF(FT!B31&lt;&gt;"",FT!E31,"")</f>
        <v>1 [11.780709]</v>
      </c>
      <c r="J31">
        <f>IF(FT!B31&lt;&gt;"",FT!C31,"")</f>
        <v>11.7807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4.7230800000000004</v>
      </c>
      <c r="G32" s="61">
        <f>IF(FT!B32&lt;&gt;"",FT!B32*100,"")</f>
        <v>32.073299999999996</v>
      </c>
      <c r="H32" s="61">
        <f t="shared" si="1"/>
        <v>1</v>
      </c>
      <c r="I32" t="str">
        <f>IF(FT!B32&lt;&gt;"",FT!E32,"")</f>
        <v>1 [12.188407]</v>
      </c>
      <c r="J32">
        <f>IF(FT!B32&lt;&gt;"",FT!C32,"")</f>
        <v>12.1884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38847</v>
      </c>
      <c r="D33" s="61">
        <f>FH!B33*1</f>
        <v>38847</v>
      </c>
      <c r="E33">
        <f t="shared" si="3"/>
        <v>31</v>
      </c>
      <c r="F33" s="61">
        <f>IF(FT!A33&lt;&gt;"",FT!A33*10,"")</f>
        <v>4.7415000000000003</v>
      </c>
      <c r="G33" s="61">
        <f>IF(FT!B33&lt;&gt;"",FT!B33*100,"")</f>
        <v>31.948599999999999</v>
      </c>
      <c r="H33" s="61">
        <f t="shared" si="1"/>
        <v>1</v>
      </c>
      <c r="I33" t="str">
        <f>IF(FT!B33&lt;&gt;"",FT!E33,"")</f>
        <v>1 [12.591288]</v>
      </c>
      <c r="J33">
        <f>IF(FT!B33&lt;&gt;"",FT!C33,"")</f>
        <v>12.5913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4.7577100000000003</v>
      </c>
      <c r="G34" s="61">
        <f>IF(FT!B34&lt;&gt;"",FT!B34*100,"")</f>
        <v>31.841199999999997</v>
      </c>
      <c r="H34" s="61">
        <f t="shared" si="1"/>
        <v>1</v>
      </c>
      <c r="I34" t="str">
        <f>IF(FT!B34&lt;&gt;"",FT!E34,"")</f>
        <v>1 [13.000201]</v>
      </c>
      <c r="J34">
        <f>IF(FT!B34&lt;&gt;"",FT!C34,"")</f>
        <v>13.0002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4.7710799999999995</v>
      </c>
      <c r="G35" s="61">
        <f>IF(FT!B35&lt;&gt;"",FT!B35*100,"")</f>
        <v>31.806899999999999</v>
      </c>
      <c r="H35" s="61">
        <f t="shared" si="1"/>
        <v>1</v>
      </c>
      <c r="I35" t="str">
        <f>IF(FT!B35&lt;&gt;"",FT!E35,"")</f>
        <v>1 [13.407093]</v>
      </c>
      <c r="J35">
        <f>IF(FT!B35&lt;&gt;"",FT!C35,"")</f>
        <v>13.4071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47113</v>
      </c>
      <c r="D36" s="61">
        <f>FH!B36*1</f>
        <v>47113</v>
      </c>
      <c r="E36">
        <f t="shared" si="3"/>
        <v>34</v>
      </c>
      <c r="F36" s="61">
        <f>IF(FT!A36&lt;&gt;"",FT!A36*10,"")</f>
        <v>4.7786600000000004</v>
      </c>
      <c r="G36" s="61">
        <f>IF(FT!B36&lt;&gt;"",FT!B36*100,"")</f>
        <v>31.7577</v>
      </c>
      <c r="H36" s="61">
        <f t="shared" si="1"/>
        <v>1</v>
      </c>
      <c r="I36" t="str">
        <f>IF(FT!B36&lt;&gt;"",FT!E36,"")</f>
        <v>1 [13.812130]</v>
      </c>
      <c r="J36">
        <f>IF(FT!B36&lt;&gt;"",FT!C36,"")</f>
        <v>13.812099999999999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4.7827999999999999</v>
      </c>
      <c r="G37" s="61">
        <f>IF(FT!B37&lt;&gt;"",FT!B37*100,"")</f>
        <v>31.725999999999999</v>
      </c>
      <c r="H37" s="61">
        <f t="shared" si="1"/>
        <v>1</v>
      </c>
      <c r="I37" t="str">
        <f>IF(FT!B37&lt;&gt;"",FT!E37,"")</f>
        <v>1 [14.219961]</v>
      </c>
      <c r="J37">
        <f>IF(FT!B37&lt;&gt;"",FT!C37,"")</f>
        <v>14.22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4.7774400000000004</v>
      </c>
      <c r="G38" s="61">
        <f>IF(FT!B38&lt;&gt;"",FT!B38*100,"")</f>
        <v>31.687700000000003</v>
      </c>
      <c r="H38" s="61">
        <f t="shared" si="1"/>
        <v>1</v>
      </c>
      <c r="I38" t="str">
        <f>IF(FT!B38&lt;&gt;"",FT!E38,"")</f>
        <v>1 [14.626880]</v>
      </c>
      <c r="J38">
        <f>IF(FT!B38&lt;&gt;"",FT!C38,"")</f>
        <v>14.626899999999999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61479</v>
      </c>
      <c r="D39" s="61">
        <f>FH!B39*1</f>
        <v>61479</v>
      </c>
      <c r="E39">
        <f t="shared" si="3"/>
        <v>37</v>
      </c>
      <c r="F39" s="61">
        <f>IF(FT!A39&lt;&gt;"",FT!A39*10,"")</f>
        <v>4.7664499999999999</v>
      </c>
      <c r="G39" s="61">
        <f>IF(FT!B39&lt;&gt;"",FT!B39*100,"")</f>
        <v>31.649500000000003</v>
      </c>
      <c r="H39" s="61">
        <f t="shared" si="1"/>
        <v>1</v>
      </c>
      <c r="I39" t="str">
        <f>IF(FT!B39&lt;&gt;"",FT!E39,"")</f>
        <v>1 [15.031810]</v>
      </c>
      <c r="J39">
        <f>IF(FT!B39&lt;&gt;"",FT!C39,"")</f>
        <v>15.0318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4.7488399999999995</v>
      </c>
      <c r="G40" s="61">
        <f>IF(FT!B40&lt;&gt;"",FT!B40*100,"")</f>
        <v>31.550299999999996</v>
      </c>
      <c r="H40" s="61">
        <f t="shared" si="1"/>
        <v>1</v>
      </c>
      <c r="I40" t="str">
        <f>IF(FT!B40&lt;&gt;"",FT!E40,"")</f>
        <v>1 [15.436645]</v>
      </c>
      <c r="J40">
        <f>IF(FT!B40&lt;&gt;"",FT!C40,"")</f>
        <v>15.4366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65427</v>
      </c>
      <c r="D41" s="61">
        <f>FH!B41*1</f>
        <v>65427</v>
      </c>
      <c r="E41">
        <f t="shared" si="3"/>
        <v>39</v>
      </c>
      <c r="F41" s="61">
        <f>IF(FT!A41&lt;&gt;"",FT!A41*10,"")</f>
        <v>4.7222999999999997</v>
      </c>
      <c r="G41" s="61">
        <f>IF(FT!B41&lt;&gt;"",FT!B41*100,"")</f>
        <v>31.510899999999996</v>
      </c>
      <c r="H41" s="61">
        <f t="shared" si="1"/>
        <v>1</v>
      </c>
      <c r="I41" t="str">
        <f>IF(FT!B41&lt;&gt;"",FT!E41,"")</f>
        <v>1 [15.843971]</v>
      </c>
      <c r="J41">
        <f>IF(FT!B41&lt;&gt;"",FT!C41,"")</f>
        <v>15.843999999999999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4.6918600000000001</v>
      </c>
      <c r="G42" s="61">
        <f>IF(FT!B42&lt;&gt;"",FT!B42*100,"")</f>
        <v>31.4971</v>
      </c>
      <c r="H42" s="61">
        <f t="shared" si="1"/>
        <v>1</v>
      </c>
      <c r="I42" t="str">
        <f>IF(FT!B42&lt;&gt;"",FT!E42,"")</f>
        <v>1 [16.251457]</v>
      </c>
      <c r="J42">
        <f>IF(FT!B42&lt;&gt;"",FT!C42,"")</f>
        <v>16.2515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4.6562199999999994</v>
      </c>
      <c r="G43" s="61">
        <f>IF(FT!B43&lt;&gt;"",FT!B43*100,"")</f>
        <v>31.534800000000001</v>
      </c>
      <c r="H43" s="61">
        <f t="shared" si="1"/>
        <v>1</v>
      </c>
      <c r="I43" t="str">
        <f>IF(FT!B43&lt;&gt;"",FT!E43,"")</f>
        <v>1 [16.659673]</v>
      </c>
      <c r="J43">
        <f>IF(FT!B43&lt;&gt;"",FT!C43,"")</f>
        <v>16.659700000000001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73310</v>
      </c>
      <c r="D44" s="61">
        <f>FH!B44*1</f>
        <v>73310</v>
      </c>
      <c r="E44">
        <f t="shared" si="3"/>
        <v>42</v>
      </c>
      <c r="F44" s="61">
        <f>IF(FT!A44&lt;&gt;"",FT!A44*10,"")</f>
        <v>4.6198299999999994</v>
      </c>
      <c r="G44" s="61">
        <f>IF(FT!B44&lt;&gt;"",FT!B44*100,"")</f>
        <v>31.659500000000001</v>
      </c>
      <c r="H44" s="61">
        <f t="shared" si="1"/>
        <v>1</v>
      </c>
      <c r="I44" t="str">
        <f>IF(FT!B44&lt;&gt;"",FT!E44,"")</f>
        <v>1 [17.065308]</v>
      </c>
      <c r="J44">
        <f>IF(FT!B44&lt;&gt;"",FT!C44,"")</f>
        <v>17.065300000000001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4.5828999999999995</v>
      </c>
      <c r="G45" s="61">
        <f>IF(FT!B45&lt;&gt;"",FT!B45*100,"")</f>
        <v>31.772699999999997</v>
      </c>
      <c r="H45" s="61">
        <f t="shared" si="1"/>
        <v>1</v>
      </c>
      <c r="I45" t="str">
        <f>IF(FT!B45&lt;&gt;"",FT!E45,"")</f>
        <v>1 [17.469302]</v>
      </c>
      <c r="J45">
        <f>IF(FT!B45&lt;&gt;"",FT!C45,"")</f>
        <v>17.4693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75975</v>
      </c>
      <c r="D46" s="61">
        <f>FH!B46*1</f>
        <v>75975</v>
      </c>
      <c r="E46">
        <f t="shared" si="3"/>
        <v>44</v>
      </c>
      <c r="F46" s="61">
        <f>IF(FT!A46&lt;&gt;"",FT!A46*10,"")</f>
        <v>4.5437000000000003</v>
      </c>
      <c r="G46" s="61">
        <f>IF(FT!B46&lt;&gt;"",FT!B46*100,"")</f>
        <v>31.936900000000001</v>
      </c>
      <c r="H46" s="61">
        <f t="shared" si="1"/>
        <v>1</v>
      </c>
      <c r="I46" t="str">
        <f>IF(FT!B46&lt;&gt;"",FT!E46,"")</f>
        <v>1 [17.874220]</v>
      </c>
      <c r="J46">
        <f>IF(FT!B46&lt;&gt;"",FT!C46,"")</f>
        <v>17.874199999999998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4.5026399999999995</v>
      </c>
      <c r="G47" s="61">
        <f>IF(FT!B47&lt;&gt;"",FT!B47*100,"")</f>
        <v>32.18</v>
      </c>
      <c r="H47" s="61">
        <f t="shared" si="1"/>
        <v>1</v>
      </c>
      <c r="I47" t="str">
        <f>IF(FT!B47&lt;&gt;"",FT!E47,"")</f>
        <v>1 [18.278508]</v>
      </c>
      <c r="J47">
        <f>IF(FT!B47&lt;&gt;"",FT!C47,"")</f>
        <v>18.278500000000001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4.4597899999999999</v>
      </c>
      <c r="G48" s="61">
        <f>IF(FT!B48&lt;&gt;"",FT!B48*100,"")</f>
        <v>32.437600000000003</v>
      </c>
      <c r="H48" s="61">
        <f t="shared" si="1"/>
        <v>1</v>
      </c>
      <c r="I48" t="str">
        <f>IF(FT!B48&lt;&gt;"",FT!E48,"")</f>
        <v>1 [18.684009]</v>
      </c>
      <c r="J48">
        <f>IF(FT!B48&lt;&gt;"",FT!C48,"")</f>
        <v>18.684000000000001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81975</v>
      </c>
      <c r="D49" s="61">
        <f>FH!B49*1</f>
        <v>81975</v>
      </c>
      <c r="E49">
        <f t="shared" si="3"/>
        <v>47</v>
      </c>
      <c r="F49" s="61">
        <f>IF(FT!A49&lt;&gt;"",FT!A49*10,"")</f>
        <v>4.4173499999999999</v>
      </c>
      <c r="G49" s="61">
        <f>IF(FT!B49&lt;&gt;"",FT!B49*100,"")</f>
        <v>32.719700000000003</v>
      </c>
      <c r="H49" s="61">
        <f t="shared" si="1"/>
        <v>1</v>
      </c>
      <c r="I49" t="str">
        <f>IF(FT!B49&lt;&gt;"",FT!E49,"")</f>
        <v>1 [19.092680]</v>
      </c>
      <c r="J49">
        <f>IF(FT!B49&lt;&gt;"",FT!C49,"")</f>
        <v>19.092700000000001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4.3776099999999998</v>
      </c>
      <c r="G50" s="61">
        <f>IF(FT!B50&lt;&gt;"",FT!B50*100,"")</f>
        <v>32.988900000000001</v>
      </c>
      <c r="H50" s="61">
        <f t="shared" si="1"/>
        <v>1</v>
      </c>
      <c r="I50" t="str">
        <f>IF(FT!B50&lt;&gt;"",FT!E50,"")</f>
        <v>1 [19.501779]</v>
      </c>
      <c r="J50">
        <f>IF(FT!B50&lt;&gt;"",FT!C50,"")</f>
        <v>19.501799999999999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83129</v>
      </c>
      <c r="D51" s="61">
        <f>FH!B51*1</f>
        <v>83129</v>
      </c>
      <c r="E51">
        <f t="shared" si="3"/>
        <v>49</v>
      </c>
      <c r="F51" s="61">
        <f>IF(FT!A51&lt;&gt;"",FT!A51*10,"")</f>
        <v>4.3360700000000003</v>
      </c>
      <c r="G51" s="61">
        <f>IF(FT!B51&lt;&gt;"",FT!B51*100,"")</f>
        <v>33.287299999999995</v>
      </c>
      <c r="H51" s="61">
        <f t="shared" si="1"/>
        <v>1</v>
      </c>
      <c r="I51" t="str">
        <f>IF(FT!B51&lt;&gt;"",FT!E51,"")</f>
        <v>1 [19.909076]</v>
      </c>
      <c r="J51">
        <f>IF(FT!B51&lt;&gt;"",FT!C51,"")</f>
        <v>19.909099999999999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4.2884200000000003</v>
      </c>
      <c r="G52" s="61">
        <f>IF(FT!B52&lt;&gt;"",FT!B52*100,"")</f>
        <v>33.631499999999996</v>
      </c>
      <c r="H52" s="61">
        <f t="shared" si="1"/>
        <v>1</v>
      </c>
      <c r="I52" t="str">
        <f>IF(FT!B52&lt;&gt;"",FT!E52,"")</f>
        <v>1 [20.313588]</v>
      </c>
      <c r="J52">
        <f>IF(FT!B52&lt;&gt;"",FT!C52,"")</f>
        <v>20.313600000000001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4.2500999999999998</v>
      </c>
      <c r="G53" s="61">
        <f>IF(FT!B53&lt;&gt;"",FT!B53*100,"")</f>
        <v>34.115499999999997</v>
      </c>
      <c r="H53" s="61">
        <f t="shared" si="1"/>
        <v>1</v>
      </c>
      <c r="I53" t="str">
        <f>IF(FT!B53&lt;&gt;"",FT!E53,"")</f>
        <v>1 [20.717598]</v>
      </c>
      <c r="J53">
        <f>IF(FT!B53&lt;&gt;"",FT!C53,"")</f>
        <v>20.717600000000001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92974</v>
      </c>
      <c r="D54" s="61">
        <f>FH!B54*1</f>
        <v>92974</v>
      </c>
      <c r="E54">
        <f t="shared" si="3"/>
        <v>52</v>
      </c>
      <c r="F54" s="61">
        <f>IF(FT!A54&lt;&gt;"",FT!A54*10,"")</f>
        <v>4.2010899999999998</v>
      </c>
      <c r="G54" s="61">
        <f>IF(FT!B54&lt;&gt;"",FT!B54*100,"")</f>
        <v>34.369100000000003</v>
      </c>
      <c r="H54" s="61">
        <f t="shared" si="1"/>
        <v>1</v>
      </c>
      <c r="I54" t="str">
        <f>IF(FT!B54&lt;&gt;"",FT!E54,"")</f>
        <v>1 [21.122450]</v>
      </c>
      <c r="J54">
        <f>IF(FT!B54&lt;&gt;"",FT!C54,"")</f>
        <v>21.122399999999999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4.1372499999999999</v>
      </c>
      <c r="G55" s="61">
        <f>IF(FT!B55&lt;&gt;"",FT!B55*100,"")</f>
        <v>34.3765</v>
      </c>
      <c r="H55" s="61">
        <f t="shared" si="1"/>
        <v>1</v>
      </c>
      <c r="I55" t="str">
        <f>IF(FT!B55&lt;&gt;"",FT!E55,"")</f>
        <v>1 [21.531325]</v>
      </c>
      <c r="J55">
        <f>IF(FT!B55&lt;&gt;"",FT!C55,"")</f>
        <v>21.531300000000002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4.0861599999999996</v>
      </c>
      <c r="G56" s="61">
        <f>IF(FT!B56&lt;&gt;"",FT!B56*100,"")</f>
        <v>34.404000000000003</v>
      </c>
      <c r="H56" s="61">
        <f t="shared" si="1"/>
        <v>1</v>
      </c>
      <c r="I56" t="str">
        <f>IF(FT!B56&lt;&gt;"",FT!E56,"")</f>
        <v>1 [21.937353]</v>
      </c>
      <c r="J56">
        <f>IF(FT!B56&lt;&gt;"",FT!C56,"")</f>
        <v>21.9374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89308</v>
      </c>
      <c r="D57" s="61">
        <f>FH!B57*1</f>
        <v>89308</v>
      </c>
      <c r="E57">
        <f t="shared" si="3"/>
        <v>55</v>
      </c>
      <c r="F57" s="61">
        <f>IF(FT!A57&lt;&gt;"",FT!A57*10,"")</f>
        <v>4.0342500000000001</v>
      </c>
      <c r="G57" s="61">
        <f>IF(FT!B57&lt;&gt;"",FT!B57*100,"")</f>
        <v>34.292499999999997</v>
      </c>
      <c r="H57" s="61">
        <f t="shared" si="1"/>
        <v>1</v>
      </c>
      <c r="I57" t="str">
        <f>IF(FT!B57&lt;&gt;"",FT!E57,"")</f>
        <v>1 [22.346245]</v>
      </c>
      <c r="J57">
        <f>IF(FT!B57&lt;&gt;"",FT!C57,"")</f>
        <v>22.3462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3.9967000000000001</v>
      </c>
      <c r="G58" s="61">
        <f>IF(FT!B58&lt;&gt;"",FT!B58*100,"")</f>
        <v>34.3947</v>
      </c>
      <c r="H58" s="61">
        <f t="shared" si="1"/>
        <v>1</v>
      </c>
      <c r="I58" t="str">
        <f>IF(FT!B58&lt;&gt;"",FT!E58,"")</f>
        <v>1 [22.750095]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95541</v>
      </c>
      <c r="D59" s="61">
        <f>FH!B59*1</f>
        <v>95541</v>
      </c>
      <c r="E59">
        <f t="shared" si="3"/>
        <v>57</v>
      </c>
      <c r="F59" s="61">
        <f>IF(FT!A59&lt;&gt;"",FT!A59*10,"")</f>
        <v>3.9417200000000001</v>
      </c>
      <c r="G59" s="61">
        <f>IF(FT!B59&lt;&gt;"",FT!B59*100,"")</f>
        <v>34.395299999999999</v>
      </c>
      <c r="H59" s="61">
        <f t="shared" si="1"/>
        <v>1</v>
      </c>
      <c r="I59" t="str">
        <f>IF(FT!B59&lt;&gt;"",FT!E59,"")</f>
        <v>1 [23.155108]</v>
      </c>
      <c r="J59">
        <f>IF(FT!B59&lt;&gt;"",FT!C59,"")</f>
        <v>23.155100000000001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3.8703700000000003</v>
      </c>
      <c r="G60" s="61">
        <f>IF(FT!B60&lt;&gt;"",FT!B60*100,"")</f>
        <v>34.304499999999997</v>
      </c>
      <c r="H60" s="61">
        <f t="shared" si="1"/>
        <v>1</v>
      </c>
      <c r="I60" t="str">
        <f>IF(FT!B60&lt;&gt;"",FT!E60,"")</f>
        <v>1 [23.565084]</v>
      </c>
      <c r="J60">
        <f>IF(FT!B60&lt;&gt;"",FT!C60,"")</f>
        <v>23.565100000000001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3.8105600000000002</v>
      </c>
      <c r="G61" s="61">
        <f>IF(FT!B61&lt;&gt;"",FT!B61*100,"")</f>
        <v>34.449600000000004</v>
      </c>
      <c r="H61" s="61">
        <f t="shared" si="1"/>
        <v>1</v>
      </c>
      <c r="I61" t="str">
        <f>IF(FT!B61&lt;&gt;"",FT!E61,"")</f>
        <v>1 [23.971951]</v>
      </c>
      <c r="J61">
        <f>IF(FT!B61&lt;&gt;"",FT!C61,"")</f>
        <v>23.972000000000001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98783</v>
      </c>
      <c r="D62" s="61">
        <f>FH!B62*1</f>
        <v>98783</v>
      </c>
      <c r="E62">
        <f t="shared" si="3"/>
        <v>60</v>
      </c>
      <c r="F62" s="61">
        <f>IF(FT!A62&lt;&gt;"",FT!A62*10,"")</f>
        <v>3.74817</v>
      </c>
      <c r="G62" s="61">
        <f>IF(FT!B62&lt;&gt;"",FT!B62*100,"")</f>
        <v>34.675600000000003</v>
      </c>
      <c r="H62" s="61">
        <f t="shared" si="1"/>
        <v>1</v>
      </c>
      <c r="I62" t="str">
        <f>IF(FT!B62&lt;&gt;"",FT!E62,"")</f>
        <v>1 [24.377792]</v>
      </c>
      <c r="J62">
        <f>IF(FT!B62&lt;&gt;"",FT!C62,"")</f>
        <v>24.377800000000001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3.6893599999999998</v>
      </c>
      <c r="G63" s="61">
        <f>IF(FT!B63&lt;&gt;"",FT!B63*100,"")</f>
        <v>34.819600000000001</v>
      </c>
      <c r="H63" s="61">
        <f t="shared" si="1"/>
        <v>1</v>
      </c>
      <c r="I63" t="str">
        <f>IF(FT!B63&lt;&gt;"",FT!E63,"")</f>
        <v>1 [24.780741]</v>
      </c>
      <c r="J63">
        <f>IF(FT!B63&lt;&gt;"",FT!C63,"")</f>
        <v>24.7807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116901</v>
      </c>
      <c r="D64" s="61">
        <f>FH!B64*1</f>
        <v>116901</v>
      </c>
      <c r="E64">
        <f t="shared" si="3"/>
        <v>62</v>
      </c>
      <c r="F64" s="61">
        <f>IF(FT!A64&lt;&gt;"",FT!A64*10,"")</f>
        <v>3.6442799999999997</v>
      </c>
      <c r="G64" s="61">
        <f>IF(FT!B64&lt;&gt;"",FT!B64*100,"")</f>
        <v>35.027099999999997</v>
      </c>
      <c r="H64" s="61">
        <f t="shared" si="1"/>
        <v>1</v>
      </c>
      <c r="I64" t="str">
        <f>IF(FT!B64&lt;&gt;"",FT!E64,"")</f>
        <v>1 [25.186577]</v>
      </c>
      <c r="J64">
        <f>IF(FT!B64&lt;&gt;"",FT!C64,"")</f>
        <v>25.186599999999999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3.5775099999999997</v>
      </c>
      <c r="G65" s="61">
        <f>IF(FT!B65&lt;&gt;"",FT!B65*100,"")</f>
        <v>35.071600000000004</v>
      </c>
      <c r="H65" s="61">
        <f t="shared" si="1"/>
        <v>1</v>
      </c>
      <c r="I65" t="str">
        <f>IF(FT!B65&lt;&gt;"",FT!E65,"")</f>
        <v>1 [25.595467]</v>
      </c>
      <c r="J65">
        <f>IF(FT!B65&lt;&gt;"",FT!C65,"")</f>
        <v>25.595500000000001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3.5364499999999999</v>
      </c>
      <c r="G66" s="61">
        <f>IF(FT!B66&lt;&gt;"",FT!B66*100,"")</f>
        <v>35.197600000000001</v>
      </c>
      <c r="H66" s="61">
        <f t="shared" si="1"/>
        <v>1</v>
      </c>
      <c r="I66" t="str">
        <f>IF(FT!B66&lt;&gt;"",FT!E66,"")</f>
        <v>1 [25.998484]</v>
      </c>
      <c r="J66">
        <f>IF(FT!B66&lt;&gt;"",FT!C66,"")</f>
        <v>25.9985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134159</v>
      </c>
      <c r="D67" s="61">
        <f>FH!B67*1</f>
        <v>134159</v>
      </c>
      <c r="E67">
        <f t="shared" si="3"/>
        <v>65</v>
      </c>
      <c r="F67" s="61">
        <f>IF(FT!A67&lt;&gt;"",FT!A67*10,"")</f>
        <v>3.4866200000000003</v>
      </c>
      <c r="G67" s="61">
        <f>IF(FT!B67&lt;&gt;"",FT!B67*100,"")</f>
        <v>35.275300000000001</v>
      </c>
      <c r="H67" s="61">
        <f t="shared" ref="H67:H130" si="9">(IF(F67&lt;&gt;"",1,""))</f>
        <v>1</v>
      </c>
      <c r="I67" t="str">
        <f>IF(FT!B67&lt;&gt;"",FT!E67,"")</f>
        <v>1 [26.407536]</v>
      </c>
      <c r="J67">
        <f>IF(FT!B67&lt;&gt;"",FT!C67,"")</f>
        <v>26.407499999999999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3.43269</v>
      </c>
      <c r="G68" s="61">
        <f>IF(FT!B68&lt;&gt;"",FT!B68*100,"")</f>
        <v>35.3947</v>
      </c>
      <c r="H68" s="61">
        <f t="shared" si="9"/>
        <v>1</v>
      </c>
      <c r="I68" t="str">
        <f>IF(FT!B68&lt;&gt;"",FT!E68,"")</f>
        <v>1 [26.812228]</v>
      </c>
      <c r="J68">
        <f>IF(FT!B68&lt;&gt;"",FT!C68,"")</f>
        <v>26.812200000000001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137475</v>
      </c>
      <c r="D69" s="61">
        <f>FH!B69*1</f>
        <v>137475</v>
      </c>
      <c r="E69">
        <f t="shared" si="11"/>
        <v>67</v>
      </c>
      <c r="F69" s="61">
        <f>IF(FT!A69&lt;&gt;"",FT!A69*10,"")</f>
        <v>3.3880400000000002</v>
      </c>
      <c r="G69" s="61">
        <f>IF(FT!B69&lt;&gt;"",FT!B69*100,"")</f>
        <v>35.6267</v>
      </c>
      <c r="H69" s="61">
        <f t="shared" si="9"/>
        <v>1</v>
      </c>
      <c r="I69" t="str">
        <f>IF(FT!B69&lt;&gt;"",FT!E69,"")</f>
        <v>1 [27.221121]</v>
      </c>
      <c r="J69">
        <f>IF(FT!B69&lt;&gt;"",FT!C69,"")</f>
        <v>27.2211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3.3465099999999999</v>
      </c>
      <c r="G70" s="61">
        <f>IF(FT!B70&lt;&gt;"",FT!B70*100,"")</f>
        <v>35.941699999999997</v>
      </c>
      <c r="H70" s="61">
        <f t="shared" si="9"/>
        <v>1</v>
      </c>
      <c r="I70" t="str">
        <f>IF(FT!B70&lt;&gt;"",FT!E70,"")</f>
        <v>1 [27.626505]</v>
      </c>
      <c r="J70">
        <f>IF(FT!B70&lt;&gt;"",FT!C70,"")</f>
        <v>27.6265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3.3091999999999997</v>
      </c>
      <c r="G71" s="61">
        <f>IF(FT!B71&lt;&gt;"",FT!B71*100,"")</f>
        <v>36.349399999999996</v>
      </c>
      <c r="H71" s="61">
        <f t="shared" si="9"/>
        <v>1</v>
      </c>
      <c r="I71" t="str">
        <f>IF(FT!B71&lt;&gt;"",FT!E71,"")</f>
        <v>1 [28.030214]</v>
      </c>
      <c r="J71">
        <f>IF(FT!B71&lt;&gt;"",FT!C71,"")</f>
        <v>28.030200000000001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150040</v>
      </c>
      <c r="D72" s="61">
        <f>FH!B72*1</f>
        <v>150040</v>
      </c>
      <c r="E72">
        <f t="shared" si="11"/>
        <v>70</v>
      </c>
      <c r="F72" s="61">
        <f>IF(FT!A72&lt;&gt;"",FT!A72*10,"")</f>
        <v>3.2785299999999999</v>
      </c>
      <c r="G72" s="61">
        <f>IF(FT!B72&lt;&gt;"",FT!B72*100,"")</f>
        <v>36.727699999999999</v>
      </c>
      <c r="H72" s="61">
        <f t="shared" si="9"/>
        <v>1</v>
      </c>
      <c r="I72" t="str">
        <f>IF(FT!B72&lt;&gt;"",FT!E72,"")</f>
        <v>1 [28.439183]</v>
      </c>
      <c r="J72">
        <f>IF(FT!B72&lt;&gt;"",FT!C72,"")</f>
        <v>28.4392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3.2468699999999999</v>
      </c>
      <c r="G73" s="61">
        <f>IF(FT!B73&lt;&gt;"",FT!B73*100,"")</f>
        <v>37.412500000000001</v>
      </c>
      <c r="H73" s="61">
        <f t="shared" si="9"/>
        <v>1</v>
      </c>
      <c r="I73" t="str">
        <f>IF(FT!B73&lt;&gt;"",FT!E73,"")</f>
        <v>1 [28.849922]</v>
      </c>
      <c r="J73">
        <f>IF(FT!B73&lt;&gt;"",FT!C73,"")</f>
        <v>28.849900000000002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3.2177499999999997</v>
      </c>
      <c r="G74" s="61">
        <f>IF(FT!B74&lt;&gt;"",FT!B74*100,"")</f>
        <v>37.911099999999998</v>
      </c>
      <c r="H74" s="61">
        <f t="shared" si="9"/>
        <v>1</v>
      </c>
      <c r="I74" t="str">
        <f>IF(FT!B74&lt;&gt;"",FT!E74,"")</f>
        <v>1 [29.249564]</v>
      </c>
      <c r="J74">
        <f>IF(FT!B74&lt;&gt;"",FT!C74,"")</f>
        <v>29.249600000000001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161006</v>
      </c>
      <c r="D75" s="61">
        <f>FH!B75*1</f>
        <v>161006</v>
      </c>
      <c r="E75">
        <f t="shared" si="11"/>
        <v>73</v>
      </c>
      <c r="F75" s="61">
        <f>IF(FT!A75&lt;&gt;"",FT!A75*10,"")</f>
        <v>3.18716</v>
      </c>
      <c r="G75" s="61">
        <f>IF(FT!B75&lt;&gt;"",FT!B75*100,"")</f>
        <v>38.643799999999999</v>
      </c>
      <c r="H75" s="61">
        <f t="shared" si="9"/>
        <v>1</v>
      </c>
      <c r="I75" t="str">
        <f>IF(FT!B75&lt;&gt;"",FT!E75,"")</f>
        <v>1 [29.660701]</v>
      </c>
      <c r="J75">
        <f>IF(FT!B75&lt;&gt;"",FT!C75,"")</f>
        <v>29.660699999999999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3.15882</v>
      </c>
      <c r="G76" s="61">
        <f>IF(FT!B76&lt;&gt;"",FT!B76*100,"")</f>
        <v>39.151299999999999</v>
      </c>
      <c r="H76" s="61">
        <f t="shared" si="9"/>
        <v>1</v>
      </c>
      <c r="I76" t="str">
        <f>IF(FT!B76&lt;&gt;"",FT!E76,"")</f>
        <v>2 [30.061645]</v>
      </c>
      <c r="J76">
        <f>IF(FT!B76&lt;&gt;"",FT!C76,"")</f>
        <v>30.061599999999999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167714</v>
      </c>
      <c r="D77" s="61">
        <f>FH!B77*1</f>
        <v>167714</v>
      </c>
      <c r="E77">
        <f t="shared" si="11"/>
        <v>75</v>
      </c>
      <c r="F77" s="61">
        <f>IF(FT!A77&lt;&gt;"",FT!A77*10,"")</f>
        <v>3.13626</v>
      </c>
      <c r="G77" s="61">
        <f>IF(FT!B77&lt;&gt;"",FT!B77*100,"")</f>
        <v>39.816699999999997</v>
      </c>
      <c r="H77" s="61">
        <f t="shared" si="9"/>
        <v>1</v>
      </c>
      <c r="I77" t="str">
        <f>IF(FT!B77&lt;&gt;"",FT!E77,"")</f>
        <v>2 [30.518344]</v>
      </c>
      <c r="J77">
        <f>IF(FT!B77&lt;&gt;"",FT!C77,"")</f>
        <v>30.5183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3.1193999999999997</v>
      </c>
      <c r="G78" s="61">
        <f>IF(FT!B78&lt;&gt;"",FT!B78*100,"")</f>
        <v>40.341200000000001</v>
      </c>
      <c r="H78" s="61">
        <f t="shared" si="9"/>
        <v>1</v>
      </c>
      <c r="I78" t="str">
        <f>IF(FT!B78&lt;&gt;"",FT!E78,"")</f>
        <v>2 [30.926496]</v>
      </c>
      <c r="J78">
        <f>IF(FT!B78&lt;&gt;"",FT!C78,"")</f>
        <v>30.926500000000001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3.1099500000000004</v>
      </c>
      <c r="G79" s="61">
        <f>IF(FT!B79&lt;&gt;"",FT!B79*100,"")</f>
        <v>40.744700000000002</v>
      </c>
      <c r="H79" s="61">
        <f t="shared" si="9"/>
        <v>1</v>
      </c>
      <c r="I79" t="str">
        <f>IF(FT!B79&lt;&gt;"",FT!E79,"")</f>
        <v>2 [31.331277]</v>
      </c>
      <c r="J79">
        <f>IF(FT!B79&lt;&gt;"",FT!C79,"")</f>
        <v>31.331299999999999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169661</v>
      </c>
      <c r="D80" s="61">
        <f>FH!B80*1</f>
        <v>169661</v>
      </c>
      <c r="E80">
        <f t="shared" si="11"/>
        <v>78</v>
      </c>
      <c r="F80" s="61">
        <f>IF(FT!A80&lt;&gt;"",FT!A80*10,"")</f>
        <v>3.1069799999999996</v>
      </c>
      <c r="G80" s="61">
        <f>IF(FT!B80&lt;&gt;"",FT!B80*100,"")</f>
        <v>41.093499999999999</v>
      </c>
      <c r="H80" s="61">
        <f t="shared" si="9"/>
        <v>1</v>
      </c>
      <c r="I80" t="str">
        <f>IF(FT!B80&lt;&gt;"",FT!E80,"")</f>
        <v>2 [31.736131]</v>
      </c>
      <c r="J80">
        <f>IF(FT!B80&lt;&gt;"",FT!C80,"")</f>
        <v>31.7361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3.1079400000000001</v>
      </c>
      <c r="G81" s="61">
        <f>IF(FT!B81&lt;&gt;"",FT!B81*100,"")</f>
        <v>41.363799999999998</v>
      </c>
      <c r="H81" s="61">
        <f t="shared" si="9"/>
        <v>1</v>
      </c>
      <c r="I81" t="str">
        <f>IF(FT!B81&lt;&gt;"",FT!E81,"")</f>
        <v>2 [32.141081]</v>
      </c>
      <c r="J81">
        <f>IF(FT!B81&lt;&gt;"",FT!C81,"")</f>
        <v>32.141100000000002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169124</v>
      </c>
      <c r="D82" s="61">
        <f>FH!B82*1</f>
        <v>169124</v>
      </c>
      <c r="E82">
        <f t="shared" si="11"/>
        <v>80</v>
      </c>
      <c r="F82" s="61">
        <f>IF(FT!A82&lt;&gt;"",FT!A82*10,"")</f>
        <v>3.1156299999999999</v>
      </c>
      <c r="G82" s="61">
        <f>IF(FT!B82&lt;&gt;"",FT!B82*100,"")</f>
        <v>41.573300000000003</v>
      </c>
      <c r="H82" s="61">
        <f t="shared" si="9"/>
        <v>1</v>
      </c>
      <c r="I82" t="str">
        <f>IF(FT!B82&lt;&gt;"",FT!E82,"")</f>
        <v>2 [32.549033]</v>
      </c>
      <c r="J82">
        <f>IF(FT!B82&lt;&gt;"",FT!C82,"")</f>
        <v>32.548999999999999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3.1234099999999998</v>
      </c>
      <c r="G83" s="61">
        <f>IF(FT!B83&lt;&gt;"",FT!B83*100,"")</f>
        <v>41.834900000000005</v>
      </c>
      <c r="H83" s="61">
        <f t="shared" si="9"/>
        <v>1</v>
      </c>
      <c r="I83" t="str">
        <f>IF(FT!B83&lt;&gt;"",FT!E83,"")</f>
        <v>2 [32.956811]</v>
      </c>
      <c r="J83">
        <f>IF(FT!B83&lt;&gt;"",FT!C83,"")</f>
        <v>32.956800000000001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3.13232</v>
      </c>
      <c r="G84" s="61">
        <f>IF(FT!B84&lt;&gt;"",FT!B84*100,"")</f>
        <v>42.089500000000001</v>
      </c>
      <c r="H84" s="61">
        <f t="shared" si="9"/>
        <v>1</v>
      </c>
      <c r="I84" t="str">
        <f>IF(FT!B84&lt;&gt;"",FT!E84,"")</f>
        <v>2 [33.362806]</v>
      </c>
      <c r="J84">
        <f>IF(FT!B84&lt;&gt;"",FT!C84,"")</f>
        <v>33.3628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157774</v>
      </c>
      <c r="D85" s="61">
        <f>FH!B85*1</f>
        <v>157774</v>
      </c>
      <c r="E85">
        <f t="shared" si="11"/>
        <v>83</v>
      </c>
      <c r="F85" s="61">
        <f>IF(FT!A85&lt;&gt;"",FT!A85*10,"")</f>
        <v>3.1444699999999997</v>
      </c>
      <c r="G85" s="61">
        <f>IF(FT!B85&lt;&gt;"",FT!B85*100,"")</f>
        <v>42.247599999999998</v>
      </c>
      <c r="H85" s="61">
        <f t="shared" si="9"/>
        <v>1</v>
      </c>
      <c r="I85" t="str">
        <f>IF(FT!B85&lt;&gt;"",FT!E85,"")</f>
        <v>2 [33.765746]</v>
      </c>
      <c r="J85">
        <f>IF(FT!B85&lt;&gt;"",FT!C85,"")</f>
        <v>33.765700000000002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3.1556800000000003</v>
      </c>
      <c r="G86" s="61">
        <f>IF(FT!B86&lt;&gt;"",FT!B86*100,"")</f>
        <v>42.425200000000004</v>
      </c>
      <c r="H86" s="61">
        <f t="shared" si="9"/>
        <v>1</v>
      </c>
      <c r="I86" t="str">
        <f>IF(FT!B86&lt;&gt;"",FT!E86,"")</f>
        <v>2 [34.177631]</v>
      </c>
      <c r="J86">
        <f>IF(FT!B86&lt;&gt;"",FT!C86,"")</f>
        <v>34.177599999999998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3.1663799999999998</v>
      </c>
      <c r="G87" s="61">
        <f>IF(FT!B87&lt;&gt;"",FT!B87*100,"")</f>
        <v>42.625600000000006</v>
      </c>
      <c r="H87" s="61">
        <f t="shared" si="9"/>
        <v>1</v>
      </c>
      <c r="I87" t="str">
        <f>IF(FT!B87&lt;&gt;"",FT!E87,"")</f>
        <v>2 [34.584599]</v>
      </c>
      <c r="J87">
        <f>IF(FT!B87&lt;&gt;"",FT!C87,"")</f>
        <v>34.584600000000002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159450</v>
      </c>
      <c r="D88" s="61">
        <f>FH!B88*1</f>
        <v>159450</v>
      </c>
      <c r="E88">
        <f t="shared" si="11"/>
        <v>86</v>
      </c>
      <c r="F88" s="61">
        <f>IF(FT!A88&lt;&gt;"",FT!A88*10,"")</f>
        <v>3.1780399999999998</v>
      </c>
      <c r="G88" s="61">
        <f>IF(FT!B88&lt;&gt;"",FT!B88*100,"")</f>
        <v>42.754399999999997</v>
      </c>
      <c r="H88" s="61">
        <f t="shared" si="9"/>
        <v>1</v>
      </c>
      <c r="I88" t="str">
        <f>IF(FT!B88&lt;&gt;"",FT!E88,"")</f>
        <v>2 [34.986415]</v>
      </c>
      <c r="J88">
        <f>IF(FT!B88&lt;&gt;"",FT!C88,"")</f>
        <v>34.986400000000003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3.1894400000000003</v>
      </c>
      <c r="G89" s="61">
        <f>IF(FT!B89&lt;&gt;"",FT!B89*100,"")</f>
        <v>42.872599999999998</v>
      </c>
      <c r="H89" s="61">
        <f t="shared" si="9"/>
        <v>1</v>
      </c>
      <c r="I89" t="str">
        <f>IF(FT!B89&lt;&gt;"",FT!E89,"")</f>
        <v>2 [35.390521]</v>
      </c>
      <c r="J89">
        <f>IF(FT!B89&lt;&gt;"",FT!C89,"")</f>
        <v>35.390500000000003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156372</v>
      </c>
      <c r="D90" s="61">
        <f>FH!B90*1</f>
        <v>156372</v>
      </c>
      <c r="E90">
        <f t="shared" si="11"/>
        <v>88</v>
      </c>
      <c r="F90" s="61">
        <f>IF(FT!A90&lt;&gt;"",FT!A90*10,"")</f>
        <v>3.2040699999999998</v>
      </c>
      <c r="G90" s="61">
        <f>IF(FT!B90&lt;&gt;"",FT!B90*100,"")</f>
        <v>43.011700000000005</v>
      </c>
      <c r="H90" s="61">
        <f t="shared" si="9"/>
        <v>1</v>
      </c>
      <c r="I90" t="str">
        <f>IF(FT!B90&lt;&gt;"",FT!E90,"")</f>
        <v>2 [35.795623]</v>
      </c>
      <c r="J90">
        <f>IF(FT!B90&lt;&gt;"",FT!C90,"")</f>
        <v>35.7956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3.2178100000000001</v>
      </c>
      <c r="G91" s="61">
        <f>IF(FT!B91&lt;&gt;"",FT!B91*100,"")</f>
        <v>43.156599999999997</v>
      </c>
      <c r="H91" s="61">
        <f t="shared" si="9"/>
        <v>1</v>
      </c>
      <c r="I91" t="str">
        <f>IF(FT!B91&lt;&gt;"",FT!E91,"")</f>
        <v>2 [36.201665]</v>
      </c>
      <c r="J91">
        <f>IF(FT!B91&lt;&gt;"",FT!C91,"")</f>
        <v>36.201700000000002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3.2292999999999998</v>
      </c>
      <c r="G92" s="61">
        <f>IF(FT!B92&lt;&gt;"",FT!B92*100,"")</f>
        <v>43.272599999999997</v>
      </c>
      <c r="H92" s="61">
        <f t="shared" si="9"/>
        <v>1</v>
      </c>
      <c r="I92" t="str">
        <f>IF(FT!B92&lt;&gt;"",FT!E92,"")</f>
        <v>2 [36.609503]</v>
      </c>
      <c r="J92">
        <f>IF(FT!B92&lt;&gt;"",FT!C92,"")</f>
        <v>36.609499999999997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151301</v>
      </c>
      <c r="D93" s="61">
        <f>FH!B93*1</f>
        <v>151301</v>
      </c>
      <c r="E93">
        <f t="shared" si="11"/>
        <v>91</v>
      </c>
      <c r="F93" s="61">
        <f>IF(FT!A93&lt;&gt;"",FT!A93*10,"")</f>
        <v>3.2386999999999997</v>
      </c>
      <c r="G93" s="61">
        <f>IF(FT!B93&lt;&gt;"",FT!B93*100,"")</f>
        <v>43.342799999999997</v>
      </c>
      <c r="H93" s="61">
        <f t="shared" si="9"/>
        <v>1</v>
      </c>
      <c r="I93" t="str">
        <f>IF(FT!B93&lt;&gt;"",FT!E93,"")</f>
        <v>2 [37.014748]</v>
      </c>
      <c r="J93">
        <f>IF(FT!B93&lt;&gt;"",FT!C93,"")</f>
        <v>37.014699999999998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3.2448100000000002</v>
      </c>
      <c r="G94" s="61">
        <f>IF(FT!B94&lt;&gt;"",FT!B94*100,"")</f>
        <v>43.418399999999998</v>
      </c>
      <c r="H94" s="61">
        <f t="shared" si="9"/>
        <v>1</v>
      </c>
      <c r="I94" t="str">
        <f>IF(FT!B94&lt;&gt;"",FT!E94,"")</f>
        <v>2 [37.425073]</v>
      </c>
      <c r="J94">
        <f>IF(FT!B94&lt;&gt;"",FT!C94,"")</f>
        <v>37.4251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149164</v>
      </c>
      <c r="D95" s="61">
        <f>FH!B95*1</f>
        <v>149164</v>
      </c>
      <c r="E95">
        <f t="shared" si="11"/>
        <v>93</v>
      </c>
      <c r="F95" s="61">
        <f>IF(FT!A95&lt;&gt;"",FT!A95*10,"")</f>
        <v>3.2472400000000001</v>
      </c>
      <c r="G95" s="61">
        <f>IF(FT!B95&lt;&gt;"",FT!B95*100,"")</f>
        <v>43.472899999999996</v>
      </c>
      <c r="H95" s="61">
        <f t="shared" si="9"/>
        <v>1</v>
      </c>
      <c r="I95" t="str">
        <f>IF(FT!B95&lt;&gt;"",FT!E95,"")</f>
        <v>2 [37.829999]</v>
      </c>
      <c r="J95">
        <f>IF(FT!B95&lt;&gt;"",FT!C95,"")</f>
        <v>37.83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3.2447599999999999</v>
      </c>
      <c r="G96" s="61">
        <f>IF(FT!B96&lt;&gt;"",FT!B96*100,"")</f>
        <v>43.524799999999999</v>
      </c>
      <c r="H96" s="61">
        <f t="shared" si="9"/>
        <v>1</v>
      </c>
      <c r="I96" t="str">
        <f>IF(FT!B96&lt;&gt;"",FT!E96,"")</f>
        <v>2 [38.236978]</v>
      </c>
      <c r="J96">
        <f>IF(FT!B96&lt;&gt;"",FT!C96,"")</f>
        <v>38.237000000000002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3.23915</v>
      </c>
      <c r="G97" s="61">
        <f>IF(FT!B97&lt;&gt;"",FT!B97*100,"")</f>
        <v>43.529000000000003</v>
      </c>
      <c r="H97" s="61">
        <f t="shared" si="9"/>
        <v>1</v>
      </c>
      <c r="I97" t="str">
        <f>IF(FT!B97&lt;&gt;"",FT!E97,"")</f>
        <v>2 [38.644915]</v>
      </c>
      <c r="J97">
        <f>IF(FT!B97&lt;&gt;"",FT!C97,"")</f>
        <v>38.6449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145486</v>
      </c>
      <c r="D98" s="61">
        <f>FH!B98*1</f>
        <v>145486</v>
      </c>
      <c r="E98">
        <f t="shared" si="11"/>
        <v>96</v>
      </c>
      <c r="F98" s="61">
        <f>IF(FT!A98&lt;&gt;"",FT!A98*10,"")</f>
        <v>3.23081</v>
      </c>
      <c r="G98" s="61">
        <f>IF(FT!B98&lt;&gt;"",FT!B98*100,"")</f>
        <v>43.460999999999999</v>
      </c>
      <c r="H98" s="61">
        <f t="shared" si="9"/>
        <v>1</v>
      </c>
      <c r="I98" t="str">
        <f>IF(FT!B98&lt;&gt;"",FT!E98,"")</f>
        <v>2 [39.048965]</v>
      </c>
      <c r="J98">
        <f>IF(FT!B98&lt;&gt;"",FT!C98,"")</f>
        <v>39.048999999999999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3.2213099999999999</v>
      </c>
      <c r="G99" s="61">
        <f>IF(FT!B99&lt;&gt;"",FT!B99*100,"")</f>
        <v>43.342799999999997</v>
      </c>
      <c r="H99" s="61">
        <f t="shared" si="9"/>
        <v>1</v>
      </c>
      <c r="I99" t="str">
        <f>IF(FT!B99&lt;&gt;"",FT!E99,"")</f>
        <v>2 [39.455434]</v>
      </c>
      <c r="J99">
        <f>IF(FT!B99&lt;&gt;"",FT!C99,"")</f>
        <v>39.455399999999997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146186</v>
      </c>
      <c r="D100" s="61">
        <f>FH!B100*1</f>
        <v>146186</v>
      </c>
      <c r="E100">
        <f t="shared" si="11"/>
        <v>98</v>
      </c>
      <c r="F100" s="61">
        <f>IF(FT!A100&lt;&gt;"",FT!A100*10,"")</f>
        <v>3.2150099999999999</v>
      </c>
      <c r="G100" s="61">
        <f>IF(FT!B100&lt;&gt;"",FT!B100*100,"")</f>
        <v>43.235099999999996</v>
      </c>
      <c r="H100" s="61">
        <f t="shared" si="9"/>
        <v>1</v>
      </c>
      <c r="I100" t="str">
        <f>IF(FT!B100&lt;&gt;"",FT!E100,"")</f>
        <v>2 [39.859841]</v>
      </c>
      <c r="J100">
        <f>IF(FT!B100&lt;&gt;"",FT!C100,"")</f>
        <v>39.8598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3.2098199999999997</v>
      </c>
      <c r="G101" s="61">
        <f>IF(FT!B101&lt;&gt;"",FT!B101*100,"")</f>
        <v>43.149700000000003</v>
      </c>
      <c r="H101" s="61">
        <f t="shared" si="9"/>
        <v>1</v>
      </c>
      <c r="I101" t="str">
        <f>IF(FT!B101&lt;&gt;"",FT!E101,"")</f>
        <v>2 [40.264495]</v>
      </c>
      <c r="J101">
        <f>IF(FT!B101&lt;&gt;"",FT!C101,"")</f>
        <v>40.264499999999998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3.20458</v>
      </c>
      <c r="G102" s="61">
        <f>IF(FT!B102&lt;&gt;"",FT!B102*100,"")</f>
        <v>43.037999999999997</v>
      </c>
      <c r="H102" s="61">
        <f t="shared" si="9"/>
        <v>1</v>
      </c>
      <c r="I102" t="str">
        <f>IF(FT!B102&lt;&gt;"",FT!E102,"")</f>
        <v>2 [40.673428]</v>
      </c>
      <c r="J102">
        <f>IF(FT!B102&lt;&gt;"",FT!C102,"")</f>
        <v>40.673400000000001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143345</v>
      </c>
      <c r="D103" s="61">
        <f>FH!B103*1</f>
        <v>143345</v>
      </c>
      <c r="E103">
        <f t="shared" si="11"/>
        <v>101</v>
      </c>
      <c r="F103" s="61">
        <f>IF(FT!A103&lt;&gt;"",FT!A103*10,"")</f>
        <v>3.1972499999999999</v>
      </c>
      <c r="G103" s="61">
        <f>IF(FT!B103&lt;&gt;"",FT!B103*100,"")</f>
        <v>42.908200000000001</v>
      </c>
      <c r="H103" s="61">
        <f t="shared" si="9"/>
        <v>1</v>
      </c>
      <c r="I103" t="str">
        <f>IF(FT!B103&lt;&gt;"",FT!E103,"")</f>
        <v>2 [41.079156]</v>
      </c>
      <c r="J103">
        <f>IF(FT!B103&lt;&gt;"",FT!C103,"")</f>
        <v>41.0792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3.1875300000000002</v>
      </c>
      <c r="G104" s="61">
        <f>IF(FT!B104&lt;&gt;"",FT!B104*100,"")</f>
        <v>42.814900000000002</v>
      </c>
      <c r="H104" s="61">
        <f t="shared" si="9"/>
        <v>1</v>
      </c>
      <c r="I104" t="str">
        <f>IF(FT!B104&lt;&gt;"",FT!E104,"")</f>
        <v>2 [41.481114]</v>
      </c>
      <c r="J104">
        <f>IF(FT!B104&lt;&gt;"",FT!C104,"")</f>
        <v>41.481099999999998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3.1773800000000003</v>
      </c>
      <c r="G105" s="61">
        <f>IF(FT!B105&lt;&gt;"",FT!B105*100,"")</f>
        <v>42.682600000000001</v>
      </c>
      <c r="H105" s="61">
        <f t="shared" si="9"/>
        <v>1</v>
      </c>
      <c r="I105" t="str">
        <f>IF(FT!B105&lt;&gt;"",FT!E105,"")</f>
        <v>2 [41.891121]</v>
      </c>
      <c r="J105">
        <f>IF(FT!B105&lt;&gt;"",FT!C105,"")</f>
        <v>41.891100000000002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126375</v>
      </c>
      <c r="D106" s="61">
        <f>FH!B106*1</f>
        <v>126375</v>
      </c>
      <c r="E106">
        <f t="shared" si="11"/>
        <v>104</v>
      </c>
      <c r="F106" s="61">
        <f>IF(FT!A106&lt;&gt;"",FT!A106*10,"")</f>
        <v>3.1678000000000002</v>
      </c>
      <c r="G106" s="61">
        <f>IF(FT!B106&lt;&gt;"",FT!B106*100,"")</f>
        <v>42.5413</v>
      </c>
      <c r="H106" s="61">
        <f t="shared" si="9"/>
        <v>1</v>
      </c>
      <c r="I106" t="str">
        <f>IF(FT!B106&lt;&gt;"",FT!E106,"")</f>
        <v>2 [42.298845]</v>
      </c>
      <c r="J106">
        <f>IF(FT!B106&lt;&gt;"",FT!C106,"")</f>
        <v>42.2988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3.1561899999999996</v>
      </c>
      <c r="G107" s="61">
        <f>IF(FT!B107&lt;&gt;"",FT!B107*100,"")</f>
        <v>42.459699999999998</v>
      </c>
      <c r="H107" s="61">
        <f t="shared" si="9"/>
        <v>1</v>
      </c>
      <c r="I107" t="str">
        <f>IF(FT!B107&lt;&gt;"",FT!E107,"")</f>
        <v>2 [42.704718]</v>
      </c>
      <c r="J107">
        <f>IF(FT!B107&lt;&gt;"",FT!C107,"")</f>
        <v>42.704700000000003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119759</v>
      </c>
      <c r="D108" s="61">
        <f>FH!B108*1</f>
        <v>119759</v>
      </c>
      <c r="E108">
        <f t="shared" si="11"/>
        <v>106</v>
      </c>
      <c r="F108" s="61">
        <f>IF(FT!A108&lt;&gt;"",FT!A108*10,"")</f>
        <v>3.1442199999999998</v>
      </c>
      <c r="G108" s="61">
        <f>IF(FT!B108&lt;&gt;"",FT!B108*100,"")</f>
        <v>42.408200000000001</v>
      </c>
      <c r="H108" s="61">
        <f t="shared" si="9"/>
        <v>1</v>
      </c>
      <c r="I108" t="str">
        <f>IF(FT!B108&lt;&gt;"",FT!E108,"")</f>
        <v>2 [43.111679]</v>
      </c>
      <c r="J108">
        <f>IF(FT!B108&lt;&gt;"",FT!C108,"")</f>
        <v>43.111699999999999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3.1315300000000001</v>
      </c>
      <c r="G109" s="61">
        <f>IF(FT!B109&lt;&gt;"",FT!B109*100,"")</f>
        <v>42.383700000000005</v>
      </c>
      <c r="H109" s="61">
        <f t="shared" si="9"/>
        <v>1</v>
      </c>
      <c r="I109" t="str">
        <f>IF(FT!B109&lt;&gt;"",FT!E109,"")</f>
        <v>2 [43.516612]</v>
      </c>
      <c r="J109">
        <f>IF(FT!B109&lt;&gt;"",FT!C109,"")</f>
        <v>43.516599999999997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3.1160100000000002</v>
      </c>
      <c r="G110" s="61">
        <f>IF(FT!B110&lt;&gt;"",FT!B110*100,"")</f>
        <v>42.426199999999994</v>
      </c>
      <c r="H110" s="61">
        <f t="shared" si="9"/>
        <v>1</v>
      </c>
      <c r="I110" t="str">
        <f>IF(FT!B110&lt;&gt;"",FT!E110,"")</f>
        <v>2 [43.919465]</v>
      </c>
      <c r="J110">
        <f>IF(FT!B110&lt;&gt;"",FT!C110,"")</f>
        <v>43.919499999999999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108123</v>
      </c>
      <c r="D111" s="61">
        <f>FH!B111*1</f>
        <v>108123</v>
      </c>
      <c r="E111">
        <f t="shared" si="11"/>
        <v>109</v>
      </c>
      <c r="F111" s="61">
        <f>IF(FT!A111&lt;&gt;"",FT!A111*10,"")</f>
        <v>3.1038900000000003</v>
      </c>
      <c r="G111" s="61">
        <f>IF(FT!B111&lt;&gt;"",FT!B111*100,"")</f>
        <v>42.458100000000002</v>
      </c>
      <c r="H111" s="61">
        <f t="shared" si="9"/>
        <v>1</v>
      </c>
      <c r="I111" t="str">
        <f>IF(FT!B111&lt;&gt;"",FT!E111,"")</f>
        <v>2 [44.330384]</v>
      </c>
      <c r="J111">
        <f>IF(FT!B111&lt;&gt;"",FT!C111,"")</f>
        <v>44.330399999999997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3.0978400000000001</v>
      </c>
      <c r="G112" s="61">
        <f>IF(FT!B112&lt;&gt;"",FT!B112*100,"")</f>
        <v>42.434199999999997</v>
      </c>
      <c r="H112" s="61">
        <f t="shared" si="9"/>
        <v>1</v>
      </c>
      <c r="I112" t="str">
        <f>IF(FT!B112&lt;&gt;"",FT!E112,"")</f>
        <v>2 [44.739515]</v>
      </c>
      <c r="J112">
        <f>IF(FT!B112&lt;&gt;"",FT!C112,"")</f>
        <v>44.7395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104219</v>
      </c>
      <c r="D113" s="61">
        <f>FH!B113*1</f>
        <v>104219</v>
      </c>
      <c r="E113">
        <f t="shared" si="11"/>
        <v>111</v>
      </c>
      <c r="F113" s="61">
        <f>IF(FT!A113&lt;&gt;"",FT!A113*10,"")</f>
        <v>3.0940000000000003</v>
      </c>
      <c r="G113" s="61">
        <f>IF(FT!B113&lt;&gt;"",FT!B113*100,"")</f>
        <v>42.423100000000005</v>
      </c>
      <c r="H113" s="61">
        <f t="shared" si="9"/>
        <v>1</v>
      </c>
      <c r="I113" t="str">
        <f>IF(FT!B113&lt;&gt;"",FT!E113,"")</f>
        <v>2 [45.137552]</v>
      </c>
      <c r="J113">
        <f>IF(FT!B113&lt;&gt;"",FT!C113,"")</f>
        <v>45.137599999999999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3.0942399999999997</v>
      </c>
      <c r="G114" s="61">
        <f>IF(FT!B114&lt;&gt;"",FT!B114*100,"")</f>
        <v>42.402000000000001</v>
      </c>
      <c r="H114" s="61">
        <f t="shared" si="9"/>
        <v>1</v>
      </c>
      <c r="I114" t="str">
        <f>IF(FT!B114&lt;&gt;"",FT!E114,"")</f>
        <v>2 [45.551207]</v>
      </c>
      <c r="J114">
        <f>IF(FT!B114&lt;&gt;"",FT!C114,"")</f>
        <v>45.551200000000001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3.0933000000000002</v>
      </c>
      <c r="G115" s="61">
        <f>IF(FT!B115&lt;&gt;"",FT!B115*100,"")</f>
        <v>42.417200000000001</v>
      </c>
      <c r="H115" s="61">
        <f t="shared" si="9"/>
        <v>1</v>
      </c>
      <c r="I115" t="str">
        <f>IF(FT!B115&lt;&gt;"",FT!E115,"")</f>
        <v>2 [45.955413]</v>
      </c>
      <c r="J115">
        <f>IF(FT!B115&lt;&gt;"",FT!C115,"")</f>
        <v>45.955399999999997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102440</v>
      </c>
      <c r="D116" s="61">
        <f>FH!B116*1</f>
        <v>102440</v>
      </c>
      <c r="E116">
        <f t="shared" si="11"/>
        <v>114</v>
      </c>
      <c r="F116" s="61">
        <f>IF(FT!A116&lt;&gt;"",FT!A116*10,"")</f>
        <v>3.0925599999999998</v>
      </c>
      <c r="G116" s="61">
        <f>IF(FT!B116&lt;&gt;"",FT!B116*100,"")</f>
        <v>42.4452</v>
      </c>
      <c r="H116" s="61">
        <f t="shared" si="9"/>
        <v>1</v>
      </c>
      <c r="I116" t="str">
        <f>IF(FT!B116&lt;&gt;"",FT!E116,"")</f>
        <v>2 [46.364019]</v>
      </c>
      <c r="J116">
        <f>IF(FT!B116&lt;&gt;"",FT!C116,"")</f>
        <v>46.363999999999997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3.0942999999999996</v>
      </c>
      <c r="G117" s="61">
        <f>IF(FT!B117&lt;&gt;"",FT!B117*100,"")</f>
        <v>42.461799999999997</v>
      </c>
      <c r="H117" s="61">
        <f t="shared" si="9"/>
        <v>1</v>
      </c>
      <c r="I117" t="str">
        <f>IF(FT!B117&lt;&gt;"",FT!E117,"")</f>
        <v>2 [46.765996]</v>
      </c>
      <c r="J117">
        <f>IF(FT!B117&lt;&gt;"",FT!C117,"")</f>
        <v>46.765999999999998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95544</v>
      </c>
      <c r="D118" s="61">
        <f>FH!B118*1</f>
        <v>95544</v>
      </c>
      <c r="E118">
        <f t="shared" si="11"/>
        <v>116</v>
      </c>
      <c r="F118" s="61">
        <f>IF(FT!A118&lt;&gt;"",FT!A118*10,"")</f>
        <v>3.1009199999999999</v>
      </c>
      <c r="G118" s="61">
        <f>IF(FT!B118&lt;&gt;"",FT!B118*100,"")</f>
        <v>42.413000000000004</v>
      </c>
      <c r="H118" s="61">
        <f t="shared" si="9"/>
        <v>1</v>
      </c>
      <c r="I118" t="str">
        <f>IF(FT!B118&lt;&gt;"",FT!E118,"")</f>
        <v>2 [47.169992]</v>
      </c>
      <c r="J118">
        <f>IF(FT!B118&lt;&gt;"",FT!C118,"")</f>
        <v>47.17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3.11307</v>
      </c>
      <c r="G119" s="61">
        <f>IF(FT!B119&lt;&gt;"",FT!B119*100,"")</f>
        <v>42.253700000000002</v>
      </c>
      <c r="H119" s="61">
        <f t="shared" si="9"/>
        <v>1</v>
      </c>
      <c r="I119" t="str">
        <f>IF(FT!B119&lt;&gt;"",FT!E119,"")</f>
        <v>2 [47.582807]</v>
      </c>
      <c r="J119">
        <f>IF(FT!B119&lt;&gt;"",FT!C119,"")</f>
        <v>47.582799999999999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3.1256899999999996</v>
      </c>
      <c r="G120" s="61">
        <f>IF(FT!B120&lt;&gt;"",FT!B120*100,"")</f>
        <v>42.099399999999996</v>
      </c>
      <c r="H120" s="61">
        <f t="shared" si="9"/>
        <v>1</v>
      </c>
      <c r="I120" t="str">
        <f>IF(FT!B120&lt;&gt;"",FT!E120,"")</f>
        <v>2 [47.985996]</v>
      </c>
      <c r="J120">
        <f>IF(FT!B120&lt;&gt;"",FT!C120,"")</f>
        <v>47.985999999999997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92714</v>
      </c>
      <c r="D121" s="61">
        <f>FH!B121*1</f>
        <v>92714</v>
      </c>
      <c r="E121">
        <f t="shared" si="11"/>
        <v>119</v>
      </c>
      <c r="F121" s="61">
        <f>IF(FT!A121&lt;&gt;"",FT!A121*10,"")</f>
        <v>3.1424400000000001</v>
      </c>
      <c r="G121" s="61">
        <f>IF(FT!B121&lt;&gt;"",FT!B121*100,"")</f>
        <v>41.831200000000003</v>
      </c>
      <c r="H121" s="61">
        <f t="shared" si="9"/>
        <v>1</v>
      </c>
      <c r="I121" t="str">
        <f>IF(FT!B121&lt;&gt;"",FT!E121,"")</f>
        <v>2 [48.391492]</v>
      </c>
      <c r="J121">
        <f>IF(FT!B121&lt;&gt;"",FT!C121,"")</f>
        <v>48.391500000000001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3.1600600000000001</v>
      </c>
      <c r="G122" s="61">
        <f>IF(FT!B122&lt;&gt;"",FT!B122*100,"")</f>
        <v>41.5595</v>
      </c>
      <c r="H122" s="61">
        <f t="shared" si="9"/>
        <v>1</v>
      </c>
      <c r="I122" t="str">
        <f>IF(FT!B122&lt;&gt;"",FT!E122,"")</f>
        <v>2 [48.796978]</v>
      </c>
      <c r="J122">
        <f>IF(FT!B122&lt;&gt;"",FT!C122,"")</f>
        <v>48.796999999999997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3.1793500000000003</v>
      </c>
      <c r="G123" s="61">
        <f>IF(FT!B123&lt;&gt;"",FT!B123*100,"")</f>
        <v>41.353299999999997</v>
      </c>
      <c r="H123" s="61">
        <f t="shared" si="9"/>
        <v>1</v>
      </c>
      <c r="I123" t="str">
        <f>IF(FT!B123&lt;&gt;"",FT!E123,"")</f>
        <v>2 [49.200359]</v>
      </c>
      <c r="J123">
        <f>IF(FT!B123&lt;&gt;"",FT!C123,"")</f>
        <v>49.200400000000002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93248</v>
      </c>
      <c r="D124" s="61">
        <f>FH!B124*1</f>
        <v>93248</v>
      </c>
      <c r="E124">
        <f t="shared" si="11"/>
        <v>122</v>
      </c>
      <c r="F124" s="61">
        <f>IF(FT!A124&lt;&gt;"",FT!A124*10,"")</f>
        <v>3.2023200000000003</v>
      </c>
      <c r="G124" s="61">
        <f>IF(FT!B124&lt;&gt;"",FT!B124*100,"")</f>
        <v>41.151600000000002</v>
      </c>
      <c r="H124" s="61">
        <f t="shared" si="9"/>
        <v>1</v>
      </c>
      <c r="I124" t="str">
        <f>IF(FT!B124&lt;&gt;"",FT!E124,"")</f>
        <v>2 [49.611276]</v>
      </c>
      <c r="J124">
        <f>IF(FT!B124&lt;&gt;"",FT!C124,"")</f>
        <v>49.6113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3.2248799999999997</v>
      </c>
      <c r="G125" s="61">
        <f>IF(FT!B125&lt;&gt;"",FT!B125*100,"")</f>
        <v>40.9437</v>
      </c>
      <c r="H125" s="61">
        <f t="shared" si="9"/>
        <v>1</v>
      </c>
      <c r="I125" t="str">
        <f>IF(FT!B125&lt;&gt;"",FT!E125,"")</f>
        <v>2 [50.018286]</v>
      </c>
      <c r="J125">
        <f>IF(FT!B125&lt;&gt;"",FT!C125,"")</f>
        <v>50.018300000000004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89745</v>
      </c>
      <c r="D126" s="61">
        <f>FH!B126*1</f>
        <v>89745</v>
      </c>
      <c r="E126">
        <f t="shared" si="11"/>
        <v>124</v>
      </c>
      <c r="F126" s="61">
        <f>IF(FT!A126&lt;&gt;"",FT!A126*10,"")</f>
        <v>3.2332699999999996</v>
      </c>
      <c r="G126" s="61">
        <f>IF(FT!B126&lt;&gt;"",FT!B126*100,"")</f>
        <v>40.944699999999997</v>
      </c>
      <c r="H126" s="61">
        <f t="shared" si="9"/>
        <v>1</v>
      </c>
      <c r="I126" t="str">
        <f>IF(FT!B126&lt;&gt;"",FT!E126,"")</f>
        <v>2 [50.423205]</v>
      </c>
      <c r="J126">
        <f>IF(FT!B126&lt;&gt;"",FT!C126,"")</f>
        <v>50.423200000000001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3.2420599999999999</v>
      </c>
      <c r="G127" s="61">
        <f>IF(FT!B127&lt;&gt;"",FT!B127*100,"")</f>
        <v>40.943899999999999</v>
      </c>
      <c r="H127" s="61">
        <f t="shared" si="9"/>
        <v>1</v>
      </c>
      <c r="I127" t="str">
        <f>IF(FT!B127&lt;&gt;"",FT!E127,"")</f>
        <v>2 [50.828009]</v>
      </c>
      <c r="J127">
        <f>IF(FT!B127&lt;&gt;"",FT!C127,"")</f>
        <v>50.828000000000003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3.2524899999999999</v>
      </c>
      <c r="G128" s="61">
        <f>IF(FT!B128&lt;&gt;"",FT!B128*100,"")</f>
        <v>40.939900000000002</v>
      </c>
      <c r="H128" s="61">
        <f t="shared" si="9"/>
        <v>1</v>
      </c>
      <c r="I128" t="str">
        <f>IF(FT!B128&lt;&gt;"",FT!E128,"")</f>
        <v>2 [51.233904]</v>
      </c>
      <c r="J128">
        <f>IF(FT!B128&lt;&gt;"",FT!C128,"")</f>
        <v>51.233899999999998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93596</v>
      </c>
      <c r="D129" s="61">
        <f>FH!B129*1</f>
        <v>93596</v>
      </c>
      <c r="E129">
        <f t="shared" si="11"/>
        <v>127</v>
      </c>
      <c r="F129" s="61">
        <f>IF(FT!A129&lt;&gt;"",FT!A129*10,"")</f>
        <v>3.2629799999999998</v>
      </c>
      <c r="G129" s="61">
        <f>IF(FT!B129&lt;&gt;"",FT!B129*100,"")</f>
        <v>40.9161</v>
      </c>
      <c r="H129" s="61">
        <f t="shared" si="9"/>
        <v>1</v>
      </c>
      <c r="I129" t="str">
        <f>IF(FT!B129&lt;&gt;"",FT!E129,"")</f>
        <v>2 [51.643198]</v>
      </c>
      <c r="J129">
        <f>IF(FT!B129&lt;&gt;"",FT!C129,"")</f>
        <v>51.6432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3.2735300000000001</v>
      </c>
      <c r="G130" s="61">
        <f>IF(FT!B130&lt;&gt;"",FT!B130*100,"")</f>
        <v>40.891199999999998</v>
      </c>
      <c r="H130" s="61">
        <f t="shared" si="9"/>
        <v>1</v>
      </c>
      <c r="I130" t="str">
        <f>IF(FT!B130&lt;&gt;"",FT!E130,"")</f>
        <v>2 [52.044859]</v>
      </c>
      <c r="J130">
        <f>IF(FT!B130&lt;&gt;"",FT!C130,"")</f>
        <v>52.044899999999998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89344</v>
      </c>
      <c r="D131" s="61">
        <f>FH!B131*1</f>
        <v>89344</v>
      </c>
      <c r="E131">
        <f t="shared" si="11"/>
        <v>129</v>
      </c>
      <c r="F131" s="61">
        <f>IF(FT!A131&lt;&gt;"",FT!A131*10,"")</f>
        <v>3.2845000000000004</v>
      </c>
      <c r="G131" s="61">
        <f>IF(FT!B131&lt;&gt;"",FT!B131*100,"")</f>
        <v>40.919899999999998</v>
      </c>
      <c r="H131" s="61">
        <f t="shared" ref="H131:H194" si="13">(IF(F131&lt;&gt;"",1,""))</f>
        <v>1</v>
      </c>
      <c r="I131" t="str">
        <f>IF(FT!B131&lt;&gt;"",FT!E131,"")</f>
        <v>2 [52.454753]</v>
      </c>
      <c r="J131">
        <f>IF(FT!B131&lt;&gt;"",FT!C131,"")</f>
        <v>52.454799999999999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3.29779</v>
      </c>
      <c r="G132" s="61">
        <f>IF(FT!B132&lt;&gt;"",FT!B132*100,"")</f>
        <v>40.943300000000001</v>
      </c>
      <c r="H132" s="61">
        <f t="shared" si="13"/>
        <v>1</v>
      </c>
      <c r="I132" t="str">
        <f>IF(FT!B132&lt;&gt;"",FT!E132,"")</f>
        <v>2 [52.862589]</v>
      </c>
      <c r="J132">
        <f>IF(FT!B132&lt;&gt;"",FT!C132,"")</f>
        <v>52.8626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3.3130799999999998</v>
      </c>
      <c r="G133" s="61">
        <f>IF(FT!B133&lt;&gt;"",FT!B133*100,"")</f>
        <v>40.9208</v>
      </c>
      <c r="H133" s="61">
        <f t="shared" si="13"/>
        <v>1</v>
      </c>
      <c r="I133" t="str">
        <f>IF(FT!B133&lt;&gt;"",FT!E133,"")</f>
        <v>2 [53.268556]</v>
      </c>
      <c r="J133">
        <f>IF(FT!B133&lt;&gt;"",FT!C133,"")</f>
        <v>53.268599999999999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86629</v>
      </c>
      <c r="D134" s="61">
        <f>FH!B134*1</f>
        <v>86629</v>
      </c>
      <c r="E134">
        <f t="shared" si="15"/>
        <v>132</v>
      </c>
      <c r="F134" s="61">
        <f>IF(FT!A134&lt;&gt;"",FT!A134*10,"")</f>
        <v>3.3300999999999998</v>
      </c>
      <c r="G134" s="61">
        <f>IF(FT!B134&lt;&gt;"",FT!B134*100,"")</f>
        <v>40.893799999999999</v>
      </c>
      <c r="H134" s="61">
        <f t="shared" si="13"/>
        <v>1</v>
      </c>
      <c r="I134" t="str">
        <f>IF(FT!B134&lt;&gt;"",FT!E134,"")</f>
        <v>2 [53.673456]</v>
      </c>
      <c r="J134">
        <f>IF(FT!B134&lt;&gt;"",FT!C134,"")</f>
        <v>53.673499999999997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3.34985</v>
      </c>
      <c r="G135" s="61">
        <f>IF(FT!B135&lt;&gt;"",FT!B135*100,"")</f>
        <v>40.9116</v>
      </c>
      <c r="H135" s="61">
        <f t="shared" si="13"/>
        <v>1</v>
      </c>
      <c r="I135" t="str">
        <f>IF(FT!B135&lt;&gt;"",FT!E135,"")</f>
        <v>2 [54.078340]</v>
      </c>
      <c r="J135">
        <f>IF(FT!B135&lt;&gt;"",FT!C135,"")</f>
        <v>54.078299999999999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77706</v>
      </c>
      <c r="D136" s="61">
        <f>FH!B136*1</f>
        <v>77706</v>
      </c>
      <c r="E136">
        <f t="shared" si="15"/>
        <v>134</v>
      </c>
      <c r="F136" s="61">
        <f>IF(FT!A136&lt;&gt;"",FT!A136*10,"")</f>
        <v>3.3695300000000001</v>
      </c>
      <c r="G136" s="61">
        <f>IF(FT!B136&lt;&gt;"",FT!B136*100,"")</f>
        <v>40.905500000000004</v>
      </c>
      <c r="H136" s="61">
        <f t="shared" si="13"/>
        <v>1</v>
      </c>
      <c r="I136" t="str">
        <f>IF(FT!B136&lt;&gt;"",FT!E136,"")</f>
        <v>2 [54.482305]</v>
      </c>
      <c r="J136">
        <f>IF(FT!B136&lt;&gt;"",FT!C136,"")</f>
        <v>54.482300000000002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3.3856900000000003</v>
      </c>
      <c r="G137" s="61">
        <f>IF(FT!B137&lt;&gt;"",FT!B137*100,"")</f>
        <v>40.878500000000003</v>
      </c>
      <c r="H137" s="61">
        <f t="shared" si="13"/>
        <v>1</v>
      </c>
      <c r="I137" t="str">
        <f>IF(FT!B137&lt;&gt;"",FT!E137,"")</f>
        <v>2 [54.889222]</v>
      </c>
      <c r="J137">
        <f>IF(FT!B137&lt;&gt;"",FT!C137,"")</f>
        <v>54.889200000000002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3.4015299999999997</v>
      </c>
      <c r="G138" s="61">
        <f>IF(FT!B138&lt;&gt;"",FT!B138*100,"")</f>
        <v>40.8705</v>
      </c>
      <c r="H138" s="61">
        <f t="shared" si="13"/>
        <v>1</v>
      </c>
      <c r="I138" t="str">
        <f>IF(FT!B138&lt;&gt;"",FT!E138,"")</f>
        <v>2 [55.299325]</v>
      </c>
      <c r="J138">
        <f>IF(FT!B138&lt;&gt;"",FT!C138,"")</f>
        <v>55.299300000000002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75821</v>
      </c>
      <c r="D139" s="61">
        <f>FH!B139*1</f>
        <v>75821</v>
      </c>
      <c r="E139">
        <f t="shared" si="15"/>
        <v>137</v>
      </c>
      <c r="F139" s="61">
        <f>IF(FT!A139&lt;&gt;"",FT!A139*10,"")</f>
        <v>3.4154099999999996</v>
      </c>
      <c r="G139" s="61">
        <f>IF(FT!B139&lt;&gt;"",FT!B139*100,"")</f>
        <v>40.799099999999996</v>
      </c>
      <c r="H139" s="61">
        <f t="shared" si="13"/>
        <v>1</v>
      </c>
      <c r="I139" t="str">
        <f>IF(FT!B139&lt;&gt;"",FT!E139,"")</f>
        <v>2 [55.705067]</v>
      </c>
      <c r="J139">
        <f>IF(FT!B139&lt;&gt;"",FT!C139,"")</f>
        <v>55.705100000000002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3.4306599999999996</v>
      </c>
      <c r="G140" s="61">
        <f>IF(FT!B140&lt;&gt;"",FT!B140*100,"")</f>
        <v>40.660000000000004</v>
      </c>
      <c r="H140" s="61">
        <f t="shared" si="13"/>
        <v>1</v>
      </c>
      <c r="I140" t="str">
        <f>IF(FT!B140&lt;&gt;"",FT!E140,"")</f>
        <v>2 [56.110934]</v>
      </c>
      <c r="J140">
        <f>IF(FT!B140&lt;&gt;"",FT!C140,"")</f>
        <v>56.110900000000001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3.4454600000000002</v>
      </c>
      <c r="G141" s="61">
        <f>IF(FT!B141&lt;&gt;"",FT!B141*100,"")</f>
        <v>40.479599999999998</v>
      </c>
      <c r="H141" s="61">
        <f t="shared" si="13"/>
        <v>1</v>
      </c>
      <c r="I141" t="str">
        <f>IF(FT!B141&lt;&gt;"",FT!E141,"")</f>
        <v>2 [56.516082]</v>
      </c>
      <c r="J141">
        <f>IF(FT!B141&lt;&gt;"",FT!C141,"")</f>
        <v>56.516100000000002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71961</v>
      </c>
      <c r="D142" s="61">
        <f>FH!B142*1</f>
        <v>71961</v>
      </c>
      <c r="E142">
        <f t="shared" si="15"/>
        <v>140</v>
      </c>
      <c r="F142" s="61">
        <f>IF(FT!A142&lt;&gt;"",FT!A142*10,"")</f>
        <v>3.4610000000000003</v>
      </c>
      <c r="G142" s="61">
        <f>IF(FT!B142&lt;&gt;"",FT!B142*100,"")</f>
        <v>40.162500000000001</v>
      </c>
      <c r="H142" s="61">
        <f t="shared" si="13"/>
        <v>1</v>
      </c>
      <c r="I142" t="str">
        <f>IF(FT!B142&lt;&gt;"",FT!E142,"")</f>
        <v>2 [56.921864]</v>
      </c>
      <c r="J142">
        <f>IF(FT!B142&lt;&gt;"",FT!C142,"")</f>
        <v>56.921900000000001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3.47051</v>
      </c>
      <c r="G143" s="61">
        <f>IF(FT!B143&lt;&gt;"",FT!B143*100,"")</f>
        <v>39.890799999999999</v>
      </c>
      <c r="H143" s="61">
        <f t="shared" si="13"/>
        <v>1</v>
      </c>
      <c r="I143" t="str">
        <f>IF(FT!B143&lt;&gt;"",FT!E143,"")</f>
        <v>2 [57.328661]</v>
      </c>
      <c r="J143">
        <f>IF(FT!B143&lt;&gt;"",FT!C143,"")</f>
        <v>57.328699999999998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66067</v>
      </c>
      <c r="D144" s="61">
        <f>FH!B144*1</f>
        <v>66067</v>
      </c>
      <c r="E144">
        <f t="shared" si="15"/>
        <v>142</v>
      </c>
      <c r="F144" s="61">
        <f>IF(FT!A144&lt;&gt;"",FT!A144*10,"")</f>
        <v>3.4731200000000002</v>
      </c>
      <c r="G144" s="61">
        <f>IF(FT!B144&lt;&gt;"",FT!B144*100,"")</f>
        <v>39.554400000000001</v>
      </c>
      <c r="H144" s="61">
        <f t="shared" si="13"/>
        <v>1</v>
      </c>
      <c r="I144" t="str">
        <f>IF(FT!B144&lt;&gt;"",FT!E144,"")</f>
        <v>2 [57.733639]</v>
      </c>
      <c r="J144">
        <f>IF(FT!B144&lt;&gt;"",FT!C144,"")</f>
        <v>57.733600000000003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3.4835500000000001</v>
      </c>
      <c r="G145" s="61">
        <f>IF(FT!B145&lt;&gt;"",FT!B145*100,"")</f>
        <v>39.057099999999998</v>
      </c>
      <c r="H145" s="61">
        <f t="shared" si="13"/>
        <v>1</v>
      </c>
      <c r="I145" t="str">
        <f>IF(FT!B145&lt;&gt;"",FT!E145,"")</f>
        <v>2 [58.140478]</v>
      </c>
      <c r="J145">
        <f>IF(FT!B145&lt;&gt;"",FT!C145,"")</f>
        <v>58.140500000000003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3.4955000000000003</v>
      </c>
      <c r="G146" s="61">
        <f>IF(FT!B146&lt;&gt;"",FT!B146*100,"")</f>
        <v>38.838000000000001</v>
      </c>
      <c r="H146" s="61">
        <f t="shared" si="13"/>
        <v>1</v>
      </c>
      <c r="I146" t="str">
        <f>IF(FT!B146&lt;&gt;"",FT!E146,"")</f>
        <v>2 [58.545371]</v>
      </c>
      <c r="J146">
        <f>IF(FT!B146&lt;&gt;"",FT!C146,"")</f>
        <v>58.545400000000001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60736</v>
      </c>
      <c r="D147" s="61">
        <f>FH!B147*1</f>
        <v>60736</v>
      </c>
      <c r="E147">
        <f t="shared" si="15"/>
        <v>145</v>
      </c>
      <c r="F147" s="61">
        <f>IF(FT!A147&lt;&gt;"",FT!A147*10,"")</f>
        <v>3.5115600000000002</v>
      </c>
      <c r="G147" s="61">
        <f>IF(FT!B147&lt;&gt;"",FT!B147*100,"")</f>
        <v>38.731700000000004</v>
      </c>
      <c r="H147" s="61">
        <f t="shared" si="13"/>
        <v>1</v>
      </c>
      <c r="I147" t="str">
        <f>IF(FT!B147&lt;&gt;"",FT!E147,"")</f>
        <v>2 [58.952364]</v>
      </c>
      <c r="J147">
        <f>IF(FT!B147&lt;&gt;"",FT!C147,"")</f>
        <v>58.952399999999997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3.54094</v>
      </c>
      <c r="G148" s="61">
        <f>IF(FT!B148&lt;&gt;"",FT!B148*100,"")</f>
        <v>38.544499999999999</v>
      </c>
      <c r="H148" s="61">
        <f t="shared" si="13"/>
        <v>1</v>
      </c>
      <c r="I148" t="str">
        <f>IF(FT!B148&lt;&gt;"",FT!E148,"")</f>
        <v>2 [59.361201]</v>
      </c>
      <c r="J148">
        <f>IF(FT!B148&lt;&gt;"",FT!C148,"")</f>
        <v>59.361199999999997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57342</v>
      </c>
      <c r="D149" s="61">
        <f>FH!B149*1</f>
        <v>57342</v>
      </c>
      <c r="E149">
        <f t="shared" si="15"/>
        <v>147</v>
      </c>
      <c r="F149" s="61">
        <f>IF(FT!A149&lt;&gt;"",FT!A149*10,"")</f>
        <v>3.5558399999999999</v>
      </c>
      <c r="G149" s="61">
        <f>IF(FT!B149&lt;&gt;"",FT!B149*100,"")</f>
        <v>38.218400000000003</v>
      </c>
      <c r="H149" s="61">
        <f t="shared" si="13"/>
        <v>1</v>
      </c>
      <c r="I149" t="str">
        <f>IF(FT!B149&lt;&gt;"",FT!E149,"")</f>
        <v>2 [59.762213]</v>
      </c>
      <c r="J149">
        <f>IF(FT!B149&lt;&gt;"",FT!C149,"")</f>
        <v>59.7622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50306</v>
      </c>
      <c r="D152" s="61">
        <f>FH!B152*1</f>
        <v>50306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49771</v>
      </c>
      <c r="D154" s="61">
        <f>FH!B154*1</f>
        <v>49771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44322</v>
      </c>
      <c r="D157" s="61">
        <f>FH!B157*1</f>
        <v>44322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42479</v>
      </c>
      <c r="D160" s="61">
        <f>FH!B160*1</f>
        <v>42479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35132</v>
      </c>
      <c r="D162" s="61">
        <f>FH!B162*1</f>
        <v>35132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30775</v>
      </c>
      <c r="D165" s="61">
        <f>FH!B165*1</f>
        <v>30775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28038</v>
      </c>
      <c r="D167" s="61">
        <f>FH!B167*1</f>
        <v>28038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25270</v>
      </c>
      <c r="D170" s="61">
        <f>FH!B170*1</f>
        <v>25270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22916</v>
      </c>
      <c r="D173" s="61">
        <f>FH!B173*1</f>
        <v>22916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17555</v>
      </c>
      <c r="D175" s="61">
        <f>FH!B175*1</f>
        <v>17555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15685</v>
      </c>
      <c r="D178" s="61">
        <f>FH!B178*1</f>
        <v>15685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13600</v>
      </c>
      <c r="D180" s="61">
        <f>FH!B180*1</f>
        <v>13600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8066</v>
      </c>
      <c r="D183" s="61">
        <f>FH!B183*1</f>
        <v>8066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4705</v>
      </c>
      <c r="D185" s="61">
        <f>FH!B185*1</f>
        <v>4705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3547</v>
      </c>
      <c r="D188" s="61">
        <f>FH!B188*1</f>
        <v>3547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966</v>
      </c>
      <c r="D191" s="61">
        <f>FH!B191*1</f>
        <v>966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892</v>
      </c>
      <c r="D193" s="61">
        <f>FH!B193*1</f>
        <v>892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448</v>
      </c>
      <c r="D196" s="61">
        <f>FH!B196*1</f>
        <v>448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585</v>
      </c>
      <c r="D198" s="61">
        <f>FH!B198*1</f>
        <v>585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647</v>
      </c>
      <c r="D201" s="61">
        <f>FH!B201*1</f>
        <v>647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39.642400000000002</v>
      </c>
      <c r="C5" s="66">
        <v>9.3179300000000005</v>
      </c>
      <c r="D5" s="66">
        <v>23.504999999999999</v>
      </c>
      <c r="E5" s="66">
        <v>20</v>
      </c>
      <c r="F5" s="66">
        <v>11.389799999999999</v>
      </c>
      <c r="G5" s="66">
        <v>50</v>
      </c>
      <c r="H5" s="66">
        <v>57.495800000000003</v>
      </c>
    </row>
    <row r="6" spans="1:8">
      <c r="A6" s="58" t="s">
        <v>303</v>
      </c>
      <c r="B6" s="66">
        <v>23.5975</v>
      </c>
      <c r="C6" s="66">
        <v>2.73936</v>
      </c>
      <c r="D6" s="66">
        <v>11.608700000000001</v>
      </c>
      <c r="E6" s="66">
        <v>20</v>
      </c>
      <c r="F6" s="66">
        <v>17.546299999999999</v>
      </c>
      <c r="G6" s="66">
        <v>40</v>
      </c>
      <c r="H6" s="66">
        <v>28.4621</v>
      </c>
    </row>
    <row r="7" spans="1:8">
      <c r="A7" s="58" t="s">
        <v>304</v>
      </c>
      <c r="B7" s="66">
        <v>33.208500000000001</v>
      </c>
      <c r="C7" s="66">
        <v>7.3147700000000002</v>
      </c>
      <c r="D7" s="66">
        <v>22.026800000000001</v>
      </c>
      <c r="E7" s="66">
        <v>15</v>
      </c>
      <c r="F7" s="66">
        <v>14.9727</v>
      </c>
      <c r="G7" s="66">
        <v>40</v>
      </c>
      <c r="H7" s="66">
        <v>79.738799999999998</v>
      </c>
    </row>
    <row r="8" spans="1:8">
      <c r="A8" s="58" t="s">
        <v>305</v>
      </c>
      <c r="B8" s="66">
        <v>33.573999999999998</v>
      </c>
      <c r="C8" s="66">
        <v>5.1969599999999998</v>
      </c>
      <c r="D8" s="66">
        <v>15.479200000000001</v>
      </c>
      <c r="E8" s="66">
        <v>20</v>
      </c>
      <c r="F8" s="66">
        <v>18.3993</v>
      </c>
      <c r="G8" s="66">
        <v>50</v>
      </c>
      <c r="H8" s="66">
        <v>39.945500000000003</v>
      </c>
    </row>
    <row r="9" spans="1:8">
      <c r="A9" s="58" t="s">
        <v>306</v>
      </c>
      <c r="B9" s="66">
        <v>64.943600000000004</v>
      </c>
      <c r="C9" s="66">
        <v>7.0030900000000003</v>
      </c>
      <c r="D9" s="66">
        <v>10.783300000000001</v>
      </c>
      <c r="E9" s="66">
        <v>50</v>
      </c>
      <c r="F9" s="66">
        <v>49.151699999999998</v>
      </c>
      <c r="G9" s="66">
        <v>100</v>
      </c>
      <c r="H9" s="66">
        <v>85.317800000000005</v>
      </c>
    </row>
    <row r="10" spans="1:8">
      <c r="A10" s="58" t="s">
        <v>307</v>
      </c>
      <c r="B10" s="66">
        <v>84.566299999999998</v>
      </c>
      <c r="C10" s="66">
        <v>2.5546899999999999</v>
      </c>
      <c r="D10" s="66">
        <v>3.0209299999999999</v>
      </c>
      <c r="E10" s="66">
        <v>40</v>
      </c>
      <c r="F10" s="66">
        <v>74.330500000000001</v>
      </c>
      <c r="G10" s="66">
        <v>100</v>
      </c>
      <c r="H10" s="66">
        <v>88.928600000000003</v>
      </c>
    </row>
    <row r="11" spans="1:8">
      <c r="A11" s="58" t="s">
        <v>308</v>
      </c>
      <c r="B11" s="66">
        <v>21.676500000000001</v>
      </c>
      <c r="C11" s="66">
        <v>6.3108399999999998</v>
      </c>
      <c r="D11" s="66">
        <v>29.113700000000001</v>
      </c>
      <c r="E11" s="66">
        <v>10</v>
      </c>
      <c r="F11" s="66">
        <v>9.3425899999999995</v>
      </c>
      <c r="G11" s="66">
        <v>50</v>
      </c>
      <c r="H11" s="66">
        <v>35.650799999999997</v>
      </c>
    </row>
    <row r="12" spans="1:8">
      <c r="A12" s="58" t="s">
        <v>309</v>
      </c>
      <c r="B12" s="66">
        <v>74.196200000000005</v>
      </c>
      <c r="C12" s="66">
        <v>3.8366099999999999</v>
      </c>
      <c r="D12" s="66">
        <v>5.1708999999999996</v>
      </c>
      <c r="E12" s="66">
        <v>50</v>
      </c>
      <c r="F12" s="66">
        <v>66.853099999999998</v>
      </c>
      <c r="G12" s="66">
        <v>100</v>
      </c>
      <c r="H12" s="66">
        <v>86.528099999999995</v>
      </c>
    </row>
    <row r="13" spans="1:8">
      <c r="A13" s="58" t="s">
        <v>310</v>
      </c>
      <c r="B13" s="66">
        <v>11.6615</v>
      </c>
      <c r="C13" s="66">
        <v>1.0446599999999999</v>
      </c>
      <c r="D13" s="66">
        <v>8.9581800000000005</v>
      </c>
      <c r="E13" s="66">
        <v>10</v>
      </c>
      <c r="F13" s="66">
        <v>10.275600000000001</v>
      </c>
      <c r="G13" s="66">
        <v>25</v>
      </c>
      <c r="H13" s="66">
        <v>15.652799999999999</v>
      </c>
    </row>
    <row r="14" spans="1:8">
      <c r="A14" s="58" t="s">
        <v>311</v>
      </c>
      <c r="B14" s="66">
        <v>10.4466</v>
      </c>
      <c r="C14" s="66">
        <v>3.9638499999999999</v>
      </c>
      <c r="D14" s="66">
        <v>37.943899999999999</v>
      </c>
      <c r="E14" s="66">
        <v>10</v>
      </c>
      <c r="F14" s="66">
        <v>0.670292</v>
      </c>
      <c r="G14" s="66">
        <v>50</v>
      </c>
      <c r="H14" s="66">
        <v>15.214</v>
      </c>
    </row>
    <row r="15" spans="1:8">
      <c r="A15" s="58" t="s">
        <v>312</v>
      </c>
      <c r="B15" s="66">
        <v>6.0211300000000002E-2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5.7429099999999997E-2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16.761099999999999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0.38259100000000001</v>
      </c>
      <c r="C18" s="66">
        <v>7.5383500000000006E-2</v>
      </c>
      <c r="D18" s="66">
        <v>0.19703399999999999</v>
      </c>
      <c r="E18" s="66">
        <v>0</v>
      </c>
      <c r="F18" s="66">
        <v>0.30720700000000001</v>
      </c>
      <c r="G18" s="66">
        <v>0</v>
      </c>
      <c r="H18" s="66">
        <v>0.45797399999999999</v>
      </c>
    </row>
    <row r="19" spans="1:8">
      <c r="A19" s="58" t="s">
        <v>316</v>
      </c>
      <c r="B19" s="66">
        <v>0.49801800000000002</v>
      </c>
      <c r="C19" s="66">
        <v>6.8842E-3</v>
      </c>
      <c r="D19" s="66">
        <v>1.3823200000000001E-2</v>
      </c>
      <c r="E19" s="66">
        <v>0</v>
      </c>
      <c r="F19" s="66">
        <v>0.49113400000000001</v>
      </c>
      <c r="G19" s="66">
        <v>0</v>
      </c>
      <c r="H19" s="66">
        <v>0.50490199999999996</v>
      </c>
    </row>
    <row r="20" spans="1:8">
      <c r="A20" s="58" t="s">
        <v>317</v>
      </c>
      <c r="B20" s="66">
        <v>8.2603099999999999E-3</v>
      </c>
      <c r="C20" s="66">
        <v>2.4944500000000001E-2</v>
      </c>
      <c r="D20" s="66">
        <v>3.0198</v>
      </c>
      <c r="E20" s="66">
        <v>0</v>
      </c>
      <c r="F20" s="196">
        <v>4.9598899999999997E-5</v>
      </c>
      <c r="G20" s="66">
        <v>0</v>
      </c>
      <c r="H20" s="66">
        <v>0.28978599999999999</v>
      </c>
    </row>
    <row r="21" spans="1:8">
      <c r="A21" s="58" t="s">
        <v>318</v>
      </c>
      <c r="B21" s="66">
        <v>7.3996999999999993E-2</v>
      </c>
      <c r="C21" s="66">
        <v>0.249142</v>
      </c>
      <c r="D21" s="66">
        <v>3.3669199999999999</v>
      </c>
      <c r="E21" s="66">
        <v>0</v>
      </c>
      <c r="F21" s="196">
        <v>6.8869999999999996E-5</v>
      </c>
      <c r="G21" s="66">
        <v>0</v>
      </c>
      <c r="H21" s="66">
        <v>1.6826700000000001</v>
      </c>
    </row>
    <row r="22" spans="1:8">
      <c r="A22" s="58" t="s">
        <v>319</v>
      </c>
      <c r="B22" s="66">
        <v>47.845799999999997</v>
      </c>
      <c r="C22" s="66">
        <v>15.4267</v>
      </c>
      <c r="D22" s="66">
        <v>0.32242599999999999</v>
      </c>
      <c r="E22" s="66">
        <v>0</v>
      </c>
      <c r="F22" s="66">
        <v>17.738299999999999</v>
      </c>
      <c r="G22" s="66">
        <v>0</v>
      </c>
      <c r="H22" s="66">
        <v>99.394800000000004</v>
      </c>
    </row>
    <row r="23" spans="1:8">
      <c r="A23" s="58" t="s">
        <v>320</v>
      </c>
      <c r="B23" s="66">
        <v>18.287099999999999</v>
      </c>
      <c r="C23" s="66">
        <v>3.3094299999999999</v>
      </c>
      <c r="D23" s="66">
        <v>0.18097099999999999</v>
      </c>
      <c r="E23" s="66">
        <v>0</v>
      </c>
      <c r="F23" s="66">
        <v>9.8701699999999999</v>
      </c>
      <c r="G23" s="66">
        <v>0</v>
      </c>
      <c r="H23" s="66">
        <v>25.6099</v>
      </c>
    </row>
    <row r="24" spans="1:8">
      <c r="A24" s="58" t="s">
        <v>321</v>
      </c>
      <c r="B24" s="66">
        <v>6.9758299999999997E-3</v>
      </c>
      <c r="C24" s="66">
        <v>1.6852599999999999E-2</v>
      </c>
      <c r="D24" s="66">
        <v>2.4158599999999999</v>
      </c>
      <c r="E24" s="66">
        <v>0</v>
      </c>
      <c r="F24" s="66">
        <v>4.38647E-3</v>
      </c>
      <c r="G24" s="66">
        <v>0</v>
      </c>
      <c r="H24" s="66">
        <v>0.103799</v>
      </c>
    </row>
    <row r="25" spans="1:8">
      <c r="A25" s="58" t="s">
        <v>322</v>
      </c>
      <c r="B25" s="66">
        <v>0.11482199999999999</v>
      </c>
      <c r="C25" s="66">
        <v>0.174594</v>
      </c>
      <c r="D25" s="66">
        <v>1.52057</v>
      </c>
      <c r="E25" s="66">
        <v>0</v>
      </c>
      <c r="F25" s="66">
        <v>1.23135E-2</v>
      </c>
      <c r="G25" s="66">
        <v>0</v>
      </c>
      <c r="H25" s="66">
        <v>1.0100499999999999</v>
      </c>
    </row>
    <row r="26" spans="1:8">
      <c r="A26" s="58" t="s">
        <v>323</v>
      </c>
      <c r="B26" s="66">
        <v>1.4115E-3</v>
      </c>
      <c r="C26" s="66">
        <v>2.2827099999999999E-3</v>
      </c>
      <c r="D26" s="66">
        <v>1.6172200000000001</v>
      </c>
      <c r="E26" s="66">
        <v>0</v>
      </c>
      <c r="F26" s="196">
        <v>1.9695400000000001E-5</v>
      </c>
      <c r="G26" s="66">
        <v>0</v>
      </c>
      <c r="H26" s="66">
        <v>1.9619899999999999E-2</v>
      </c>
    </row>
    <row r="27" spans="1:8">
      <c r="A27" s="58" t="s">
        <v>324</v>
      </c>
      <c r="B27" s="196">
        <v>9.8476899999999999E-6</v>
      </c>
      <c r="C27" s="66">
        <v>1.5049600000000001E-3</v>
      </c>
      <c r="D27" s="66">
        <v>152.82400000000001</v>
      </c>
      <c r="E27" s="66">
        <v>0</v>
      </c>
      <c r="F27" s="66">
        <v>-9.8542500000000002E-3</v>
      </c>
      <c r="G27" s="66">
        <v>0</v>
      </c>
      <c r="H27" s="66">
        <v>1.0855399999999999E-2</v>
      </c>
    </row>
    <row r="28" spans="1:8">
      <c r="A28" s="58" t="s">
        <v>325</v>
      </c>
      <c r="B28" s="66">
        <v>9.3977899999999996E-3</v>
      </c>
      <c r="C28" s="66">
        <v>1.74285E-2</v>
      </c>
      <c r="D28" s="66">
        <v>1.85453</v>
      </c>
      <c r="E28" s="66">
        <v>0</v>
      </c>
      <c r="F28" s="196">
        <v>3.2552100000000003E-5</v>
      </c>
      <c r="G28" s="66">
        <v>0</v>
      </c>
      <c r="H28" s="66">
        <v>9.69661E-2</v>
      </c>
    </row>
    <row r="29" spans="1:8">
      <c r="A29" s="58" t="s">
        <v>326</v>
      </c>
      <c r="B29" s="66">
        <v>71.694699999999997</v>
      </c>
      <c r="C29" s="66">
        <v>10.9312</v>
      </c>
      <c r="D29" s="66">
        <v>0.15246899999999999</v>
      </c>
      <c r="E29" s="66">
        <v>0</v>
      </c>
      <c r="F29" s="66">
        <v>40.97</v>
      </c>
      <c r="G29" s="66">
        <v>0</v>
      </c>
      <c r="H29" s="66">
        <v>106.37</v>
      </c>
    </row>
    <row r="30" spans="1:8">
      <c r="A30" s="58" t="s">
        <v>327</v>
      </c>
      <c r="B30" s="66">
        <v>23.0136</v>
      </c>
      <c r="C30" s="66">
        <v>3.9498500000000001</v>
      </c>
      <c r="D30" s="66">
        <v>0.17163100000000001</v>
      </c>
      <c r="E30" s="66">
        <v>0</v>
      </c>
      <c r="F30" s="66">
        <v>12.969099999999999</v>
      </c>
      <c r="G30" s="66">
        <v>0</v>
      </c>
      <c r="H30" s="66">
        <v>31.819800000000001</v>
      </c>
    </row>
    <row r="31" spans="1:8">
      <c r="A31" s="58" t="s">
        <v>328</v>
      </c>
      <c r="B31" s="66">
        <v>238.07</v>
      </c>
      <c r="C31" s="66">
        <v>53.787999999999997</v>
      </c>
      <c r="D31" s="66">
        <v>0.22593299999999999</v>
      </c>
      <c r="E31" s="66">
        <v>0</v>
      </c>
      <c r="F31" s="66">
        <v>44.772100000000002</v>
      </c>
      <c r="G31" s="66">
        <v>0</v>
      </c>
      <c r="H31" s="66">
        <v>290.80799999999999</v>
      </c>
    </row>
    <row r="32" spans="1:8">
      <c r="A32" s="58" t="s">
        <v>329</v>
      </c>
      <c r="B32" s="66">
        <v>0.33208500000000002</v>
      </c>
      <c r="C32" s="66">
        <v>7.3147799999999999E-2</v>
      </c>
      <c r="D32" s="66">
        <v>0.22026799999999999</v>
      </c>
      <c r="E32" s="66">
        <v>0.15</v>
      </c>
      <c r="F32" s="66">
        <v>0.149727</v>
      </c>
      <c r="G32" s="66">
        <v>0.4</v>
      </c>
      <c r="H32" s="66">
        <v>0.79738799999999999</v>
      </c>
    </row>
    <row r="33" spans="1:8">
      <c r="A33" s="58" t="s">
        <v>330</v>
      </c>
      <c r="B33" s="66">
        <v>0.34965400000000002</v>
      </c>
      <c r="C33" s="66">
        <v>6.2722600000000003E-2</v>
      </c>
      <c r="D33" s="66">
        <v>0.17938499999999999</v>
      </c>
      <c r="E33" s="66">
        <v>0</v>
      </c>
      <c r="F33" s="66">
        <v>0.20466000000000001</v>
      </c>
      <c r="G33" s="66">
        <v>0</v>
      </c>
      <c r="H33" s="66">
        <v>0.45352700000000001</v>
      </c>
    </row>
    <row r="34" spans="1:8">
      <c r="A34" s="58" t="s">
        <v>331</v>
      </c>
      <c r="B34" s="66">
        <v>0.116615</v>
      </c>
      <c r="C34" s="66">
        <v>1.04466E-2</v>
      </c>
      <c r="D34" s="66">
        <v>8.9581800000000003E-2</v>
      </c>
      <c r="E34" s="66">
        <v>0.1</v>
      </c>
      <c r="F34" s="66">
        <v>0.102756</v>
      </c>
      <c r="G34" s="66">
        <v>0.25</v>
      </c>
      <c r="H34" s="66">
        <v>0.156528</v>
      </c>
    </row>
    <row r="35" spans="1:8">
      <c r="A35" s="58" t="s">
        <v>332</v>
      </c>
      <c r="B35" s="66">
        <v>3.6352500000000003E-2</v>
      </c>
      <c r="C35" s="66">
        <v>1.7257600000000001E-2</v>
      </c>
      <c r="D35" s="66">
        <v>0.47472900000000001</v>
      </c>
      <c r="E35" s="66">
        <v>0</v>
      </c>
      <c r="F35" s="66">
        <v>6.1278699999999997E-3</v>
      </c>
      <c r="G35" s="66">
        <v>0</v>
      </c>
      <c r="H35" s="66">
        <v>7.8323699999999996E-2</v>
      </c>
    </row>
    <row r="36" spans="1:8">
      <c r="A36" s="58" t="s">
        <v>333</v>
      </c>
      <c r="B36" s="66">
        <v>0.102366</v>
      </c>
      <c r="C36" s="66">
        <v>4.0354500000000001E-2</v>
      </c>
      <c r="D36" s="66">
        <v>0.39421699999999998</v>
      </c>
      <c r="E36" s="66">
        <v>0</v>
      </c>
      <c r="F36" s="66">
        <v>3.8500300000000001E-2</v>
      </c>
      <c r="G36" s="66">
        <v>0</v>
      </c>
      <c r="H36" s="66">
        <v>0.326511</v>
      </c>
    </row>
    <row r="37" spans="1:8">
      <c r="A37" s="58" t="s">
        <v>334</v>
      </c>
      <c r="B37" s="66">
        <v>0.104466</v>
      </c>
      <c r="C37" s="66">
        <v>3.96385E-2</v>
      </c>
      <c r="D37" s="66">
        <v>0.37943900000000003</v>
      </c>
      <c r="E37" s="66">
        <v>0.1</v>
      </c>
      <c r="F37" s="66">
        <v>6.7029200000000002E-3</v>
      </c>
      <c r="G37" s="66">
        <v>0.5</v>
      </c>
      <c r="H37" s="66">
        <v>0.15214</v>
      </c>
    </row>
    <row r="38" spans="1:8">
      <c r="A38" s="58" t="s">
        <v>335</v>
      </c>
      <c r="B38" s="66">
        <v>-16.760100000000001</v>
      </c>
      <c r="C38" s="66">
        <v>46.470700000000001</v>
      </c>
      <c r="D38" s="66">
        <v>-2.7726899999999999</v>
      </c>
      <c r="E38" s="66">
        <v>0</v>
      </c>
      <c r="F38" s="66">
        <v>-169.77199999999999</v>
      </c>
      <c r="G38" s="66">
        <v>0</v>
      </c>
      <c r="H38" s="66">
        <v>214.05699999999999</v>
      </c>
    </row>
    <row r="39" spans="1:8">
      <c r="A39" s="58" t="s">
        <v>336</v>
      </c>
      <c r="B39" s="66">
        <v>-4.7092599999999996</v>
      </c>
      <c r="C39" s="66">
        <v>5.8881100000000002</v>
      </c>
      <c r="D39" s="66">
        <v>-1.2503299999999999</v>
      </c>
      <c r="E39" s="66">
        <v>0</v>
      </c>
      <c r="F39" s="66">
        <v>-12.488099999999999</v>
      </c>
      <c r="G39" s="66">
        <v>0</v>
      </c>
      <c r="H39" s="66">
        <v>19.765799999999999</v>
      </c>
    </row>
    <row r="40" spans="1:8">
      <c r="A40" s="58" t="s">
        <v>337</v>
      </c>
      <c r="B40" s="66">
        <v>-2.54447</v>
      </c>
      <c r="C40" s="66">
        <v>1.0150399999999999</v>
      </c>
      <c r="D40" s="66">
        <v>-0.39892</v>
      </c>
      <c r="E40" s="66">
        <v>0</v>
      </c>
      <c r="F40" s="66">
        <v>-4.8050699999999997</v>
      </c>
      <c r="G40" s="66">
        <v>0</v>
      </c>
      <c r="H40" s="66">
        <v>-6.8436499999999997E-2</v>
      </c>
    </row>
    <row r="41" spans="1:8">
      <c r="A41" s="58" t="s">
        <v>338</v>
      </c>
      <c r="B41" s="66">
        <v>-9.6475199999999997E-2</v>
      </c>
      <c r="C41" s="66">
        <v>0.32116400000000001</v>
      </c>
      <c r="D41" s="66">
        <v>-3.3289800000000001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-7.2962799999999994E-2</v>
      </c>
      <c r="C42" s="66">
        <v>0.113729</v>
      </c>
      <c r="D42" s="66">
        <v>-1.5587200000000001</v>
      </c>
      <c r="E42" s="66">
        <v>0</v>
      </c>
      <c r="F42" s="66">
        <v>-0.30055199999999999</v>
      </c>
      <c r="G42" s="66">
        <v>0</v>
      </c>
      <c r="H42" s="66">
        <v>0.41375499999999998</v>
      </c>
    </row>
    <row r="43" spans="1:8">
      <c r="A43" s="58" t="s">
        <v>340</v>
      </c>
      <c r="B43" s="66">
        <v>-6.7486699999999997E-2</v>
      </c>
      <c r="C43" s="66">
        <v>5.5179400000000003E-2</v>
      </c>
      <c r="D43" s="66">
        <v>-0.81763300000000005</v>
      </c>
      <c r="E43" s="66">
        <v>0</v>
      </c>
      <c r="F43" s="66">
        <v>-0.22569600000000001</v>
      </c>
      <c r="G43" s="66">
        <v>0</v>
      </c>
      <c r="H43" s="66">
        <v>5.2962500000000003E-2</v>
      </c>
    </row>
    <row r="44" spans="1:8">
      <c r="A44" s="58" t="s">
        <v>341</v>
      </c>
      <c r="B44" s="66">
        <v>-17.069900000000001</v>
      </c>
      <c r="C44" s="66">
        <v>11.238300000000001</v>
      </c>
      <c r="D44" s="66">
        <v>-0.65837299999999999</v>
      </c>
      <c r="E44" s="66">
        <v>0</v>
      </c>
      <c r="F44" s="66">
        <v>-45.829900000000002</v>
      </c>
      <c r="G44" s="66">
        <v>0</v>
      </c>
      <c r="H44" s="66">
        <v>3.3755799999999998</v>
      </c>
    </row>
    <row r="45" spans="1:8">
      <c r="A45" s="58" t="s">
        <v>342</v>
      </c>
      <c r="B45" s="66">
        <v>51.232199999999999</v>
      </c>
      <c r="C45" s="66">
        <v>7.34884</v>
      </c>
      <c r="D45" s="66">
        <v>0.14344199999999999</v>
      </c>
      <c r="E45" s="66">
        <v>0</v>
      </c>
      <c r="F45" s="66">
        <v>34.383699999999997</v>
      </c>
      <c r="G45" s="66">
        <v>0</v>
      </c>
      <c r="H45" s="66">
        <v>71.086600000000004</v>
      </c>
    </row>
    <row r="46" spans="1:8">
      <c r="A46" s="58" t="s">
        <v>343</v>
      </c>
      <c r="B46" s="66">
        <v>30.481200000000001</v>
      </c>
      <c r="C46" s="66">
        <v>7.1061199999999998</v>
      </c>
      <c r="D46" s="66">
        <v>0.233131</v>
      </c>
      <c r="E46" s="66">
        <v>0</v>
      </c>
      <c r="F46" s="66">
        <v>8.0029800000000009</v>
      </c>
      <c r="G46" s="66">
        <v>0</v>
      </c>
      <c r="H46" s="66">
        <v>40.719000000000001</v>
      </c>
    </row>
    <row r="47" spans="1:8">
      <c r="A47" s="58" t="s">
        <v>344</v>
      </c>
      <c r="B47" s="66">
        <v>1.0211399999999999</v>
      </c>
      <c r="C47" s="66">
        <v>0.64206099999999999</v>
      </c>
      <c r="D47" s="66">
        <v>0.62876799999999999</v>
      </c>
      <c r="E47" s="66">
        <v>0</v>
      </c>
      <c r="F47" s="66">
        <v>0.31950400000000001</v>
      </c>
      <c r="G47" s="66">
        <v>0</v>
      </c>
      <c r="H47" s="66">
        <v>3.6972100000000001</v>
      </c>
    </row>
    <row r="48" spans="1:8">
      <c r="A48" s="58" t="s">
        <v>345</v>
      </c>
      <c r="B48" s="66">
        <v>0.881637</v>
      </c>
      <c r="C48" s="66">
        <v>0.37206899999999998</v>
      </c>
      <c r="D48" s="66">
        <v>0.42202099999999998</v>
      </c>
      <c r="E48" s="66">
        <v>0</v>
      </c>
      <c r="F48" s="66">
        <v>0.56006400000000001</v>
      </c>
      <c r="G48" s="66">
        <v>0</v>
      </c>
      <c r="H48" s="66">
        <v>2.0621700000000001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-6.8248999999999995</v>
      </c>
      <c r="C5" s="66">
        <f>'M2'!C5-'M1'!C5</f>
        <v>-11.131780000000001</v>
      </c>
      <c r="D5" s="66">
        <f>'M2'!D5-'M1'!D5</f>
        <v>-23.82591</v>
      </c>
      <c r="E5" s="66">
        <f>'M2'!E5-'M1'!E5</f>
        <v>0</v>
      </c>
      <c r="F5" s="66">
        <f>'M2'!F5-'M1'!F5</f>
        <v>24.834800000000001</v>
      </c>
      <c r="G5" s="66">
        <f>'M2'!G5-'M1'!G5</f>
        <v>0</v>
      </c>
      <c r="H5" s="66">
        <f>'M2'!H5-'M1'!H5</f>
        <v>-12.558700000000002</v>
      </c>
    </row>
    <row r="6" spans="1:8">
      <c r="A6" s="66" t="s">
        <v>244</v>
      </c>
      <c r="B6" s="66">
        <f>'M2'!B6-'M1'!B6</f>
        <v>4.8046000000000006</v>
      </c>
      <c r="C6" s="66">
        <f>'M2'!C6-'M1'!C6</f>
        <v>-0.6286299999999998</v>
      </c>
      <c r="D6" s="66">
        <f>'M2'!D6-'M1'!D6</f>
        <v>-4.3070799999999991</v>
      </c>
      <c r="E6" s="66">
        <f>'M2'!E6-'M1'!E6</f>
        <v>0</v>
      </c>
      <c r="F6" s="66">
        <f>'M2'!F6-'M1'!F6</f>
        <v>3.6713000000000022</v>
      </c>
      <c r="G6" s="66">
        <f>'M2'!G6-'M1'!G6</f>
        <v>0</v>
      </c>
      <c r="H6" s="66">
        <f>'M2'!H6-'M1'!H6</f>
        <v>2.9838999999999984</v>
      </c>
    </row>
    <row r="7" spans="1:8">
      <c r="A7" s="66" t="s">
        <v>245</v>
      </c>
      <c r="B7" s="66">
        <f>'M2'!B7-'M1'!B7</f>
        <v>6.1405999999999992</v>
      </c>
      <c r="C7" s="66">
        <f>'M2'!C7-'M1'!C7</f>
        <v>1.4434300000000002</v>
      </c>
      <c r="D7" s="66">
        <f>'M2'!D7-'M1'!D7</f>
        <v>0.52809999999999846</v>
      </c>
      <c r="E7" s="66">
        <f>'M2'!E7-'M1'!E7</f>
        <v>0</v>
      </c>
      <c r="F7" s="66">
        <f>'M2'!F7-'M1'!F7</f>
        <v>-0.35379999999999967</v>
      </c>
      <c r="G7" s="66">
        <f>'M2'!G7-'M1'!G7</f>
        <v>0</v>
      </c>
      <c r="H7" s="66">
        <f>'M2'!H7-'M1'!H7</f>
        <v>38.194299999999998</v>
      </c>
    </row>
    <row r="8" spans="1:8">
      <c r="A8" s="66" t="s">
        <v>246</v>
      </c>
      <c r="B8" s="66">
        <f>'M2'!B8-'M1'!B8</f>
        <v>7.7800000000003422E-2</v>
      </c>
      <c r="C8" s="66">
        <f>'M2'!C8-'M1'!C8</f>
        <v>-3.8986499999999999</v>
      </c>
      <c r="D8" s="66">
        <f>'M2'!D8-'M1'!D8</f>
        <v>-11.64076</v>
      </c>
      <c r="E8" s="66">
        <f>'M2'!E8-'M1'!E8</f>
        <v>0</v>
      </c>
      <c r="F8" s="66">
        <f>'M2'!F8-'M1'!F8</f>
        <v>8.702300000000001</v>
      </c>
      <c r="G8" s="66">
        <f>'M2'!G8-'M1'!G8</f>
        <v>0</v>
      </c>
      <c r="H8" s="66">
        <f>'M2'!H8-'M1'!H8</f>
        <v>1.8442000000000007</v>
      </c>
    </row>
    <row r="9" spans="1:8">
      <c r="A9" s="66" t="s">
        <v>247</v>
      </c>
      <c r="B9" s="66">
        <f>'M2'!B9-'M1'!B9</f>
        <v>-6.9113000000000042</v>
      </c>
      <c r="C9" s="66">
        <f>'M2'!C9-'M1'!C9</f>
        <v>0.61068000000000033</v>
      </c>
      <c r="D9" s="66">
        <f>'M2'!D9-'M1'!D9</f>
        <v>1.9273399999999992</v>
      </c>
      <c r="E9" s="66">
        <f>'M2'!E9-'M1'!E9</f>
        <v>0</v>
      </c>
      <c r="F9" s="66">
        <f>'M2'!F9-'M1'!F9</f>
        <v>-9.7314000000000007</v>
      </c>
      <c r="G9" s="66">
        <f>'M2'!G9-'M1'!G9</f>
        <v>0</v>
      </c>
      <c r="H9" s="66">
        <f>'M2'!H9-'M1'!H9</f>
        <v>-13.459700000000012</v>
      </c>
    </row>
    <row r="10" spans="1:8">
      <c r="A10" s="66" t="s">
        <v>248</v>
      </c>
      <c r="B10" s="66">
        <f>'M2'!B10-'M1'!B10</f>
        <v>-0.77729999999999677</v>
      </c>
      <c r="C10" s="66">
        <f>'M2'!C10-'M1'!C10</f>
        <v>1.2074799999999999</v>
      </c>
      <c r="D10" s="66">
        <f>'M2'!D10-'M1'!D10</f>
        <v>1.4492099999999999</v>
      </c>
      <c r="E10" s="66">
        <f>'M2'!E10-'M1'!E10</f>
        <v>0</v>
      </c>
      <c r="F10" s="66">
        <f>'M2'!F10-'M1'!F10</f>
        <v>-7.4271999999999991</v>
      </c>
      <c r="G10" s="66">
        <f>'M2'!G10-'M1'!G10</f>
        <v>0</v>
      </c>
      <c r="H10" s="66">
        <f>'M2'!H10-'M1'!H10</f>
        <v>-2.6672000000000082</v>
      </c>
    </row>
    <row r="11" spans="1:8">
      <c r="A11" s="66" t="s">
        <v>249</v>
      </c>
      <c r="B11" s="66">
        <f>'M2'!B11-'M1'!B11</f>
        <v>-7.9684999999999988</v>
      </c>
      <c r="C11" s="66">
        <f>'M2'!C11-'M1'!C11</f>
        <v>-5.7076700000000002</v>
      </c>
      <c r="D11" s="66">
        <f>'M2'!D11-'M1'!D11</f>
        <v>-17.81363</v>
      </c>
      <c r="E11" s="66">
        <f>'M2'!E11-'M1'!E11</f>
        <v>0</v>
      </c>
      <c r="F11" s="66">
        <f>'M2'!F11-'M1'!F11</f>
        <v>7.5598100000000006</v>
      </c>
      <c r="G11" s="66">
        <f>'M2'!G11-'M1'!G11</f>
        <v>0</v>
      </c>
      <c r="H11" s="66">
        <f>'M2'!H11-'M1'!H11</f>
        <v>-11.508899999999997</v>
      </c>
    </row>
    <row r="12" spans="1:8">
      <c r="A12" s="66" t="s">
        <v>250</v>
      </c>
      <c r="B12" s="66">
        <f>'M2'!B12-'M1'!B12</f>
        <v>-4.6192000000000064</v>
      </c>
      <c r="C12" s="66">
        <f>'M2'!C12-'M1'!C12</f>
        <v>-0.35454000000000008</v>
      </c>
      <c r="D12" s="66">
        <f>'M2'!D12-'M1'!D12</f>
        <v>-0.22208999999999968</v>
      </c>
      <c r="E12" s="66">
        <f>'M2'!E12-'M1'!E12</f>
        <v>0</v>
      </c>
      <c r="F12" s="66">
        <f>'M2'!F12-'M1'!F12</f>
        <v>-3.7937000000000012</v>
      </c>
      <c r="G12" s="66">
        <f>'M2'!G12-'M1'!G12</f>
        <v>0</v>
      </c>
      <c r="H12" s="66">
        <f>'M2'!H12-'M1'!H12</f>
        <v>-8.4572999999999894</v>
      </c>
    </row>
    <row r="13" spans="1:8">
      <c r="A13" s="66" t="s">
        <v>251</v>
      </c>
      <c r="B13" s="66">
        <f>'M2'!B13-'M1'!B13</f>
        <v>-0.63979999999999926</v>
      </c>
      <c r="C13" s="66">
        <f>'M2'!C13-'M1'!C13</f>
        <v>-0.15708799999999989</v>
      </c>
      <c r="D13" s="66">
        <f>'M2'!D13-'M1'!D13</f>
        <v>-0.87561999999999962</v>
      </c>
      <c r="E13" s="66">
        <f>'M2'!E13-'M1'!E13</f>
        <v>0</v>
      </c>
      <c r="F13" s="66">
        <f>'M2'!F13-'M1'!F13</f>
        <v>4.6499999999999986E-2</v>
      </c>
      <c r="G13" s="66">
        <f>'M2'!G13-'M1'!G13</f>
        <v>0</v>
      </c>
      <c r="H13" s="66">
        <f>'M2'!H13-'M1'!H13</f>
        <v>0.55389999999999873</v>
      </c>
    </row>
    <row r="14" spans="1:8">
      <c r="A14" s="66" t="s">
        <v>252</v>
      </c>
      <c r="B14" s="66">
        <f>'M2'!B14-'M1'!B14</f>
        <v>-1.5708800000000007</v>
      </c>
      <c r="C14" s="66">
        <f>'M2'!C14-'M1'!C14</f>
        <v>0.59388999999999958</v>
      </c>
      <c r="D14" s="66">
        <f>'M2'!D14-'M1'!D14</f>
        <v>12.153599999999997</v>
      </c>
      <c r="E14" s="66">
        <f>'M2'!E14-'M1'!E14</f>
        <v>0</v>
      </c>
      <c r="F14" s="66">
        <f>'M2'!F14-'M1'!F14</f>
        <v>-0.15634700000000001</v>
      </c>
      <c r="G14" s="66">
        <f>'M2'!G14-'M1'!G14</f>
        <v>0</v>
      </c>
      <c r="H14" s="66">
        <f>'M2'!H14-'M1'!H14</f>
        <v>2.2048000000000005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-0.137513</v>
      </c>
      <c r="C18" s="66">
        <f>'M2'!C18-'M1'!C18</f>
        <v>7.5383500000000006E-2</v>
      </c>
      <c r="D18" s="66">
        <f>'M2'!D18-'M1'!D18</f>
        <v>0.19703399999999999</v>
      </c>
      <c r="E18" s="66">
        <f>'M2'!E18-'M1'!E18</f>
        <v>0</v>
      </c>
      <c r="F18" s="66">
        <f>'M2'!F18-'M1'!F18</f>
        <v>0.30720700000000001</v>
      </c>
      <c r="G18" s="66">
        <f>'M2'!G18-'M1'!G18</f>
        <v>0</v>
      </c>
      <c r="H18" s="66">
        <f>'M2'!H18-'M1'!H18</f>
        <v>0.45797399999999999</v>
      </c>
    </row>
    <row r="19" spans="1:8">
      <c r="A19" s="66" t="s">
        <v>256</v>
      </c>
      <c r="B19" s="66">
        <f>'M2'!B19-'M1'!B19</f>
        <v>-9.7722000000000031E-2</v>
      </c>
      <c r="C19" s="66">
        <f>'M2'!C19-'M1'!C19</f>
        <v>6.8842E-3</v>
      </c>
      <c r="D19" s="66">
        <f>'M2'!D19-'M1'!D19</f>
        <v>1.3823200000000001E-2</v>
      </c>
      <c r="E19" s="66">
        <f>'M2'!E19-'M1'!E19</f>
        <v>0</v>
      </c>
      <c r="F19" s="66">
        <f>'M2'!F19-'M1'!F19</f>
        <v>0.49113400000000001</v>
      </c>
      <c r="G19" s="66">
        <f>'M2'!G19-'M1'!G19</f>
        <v>0</v>
      </c>
      <c r="H19" s="66">
        <f>'M2'!H19-'M1'!H19</f>
        <v>0.50490199999999996</v>
      </c>
    </row>
    <row r="20" spans="1:8">
      <c r="A20" s="66" t="s">
        <v>63</v>
      </c>
      <c r="B20" s="66">
        <f>'M2'!B20-'M1'!B20</f>
        <v>-9.2779000000000039E-4</v>
      </c>
      <c r="C20" s="66">
        <f>'M2'!C20-'M1'!C20</f>
        <v>-4.5733999999999983E-3</v>
      </c>
      <c r="D20" s="66">
        <f>'M2'!D20-'M1'!D20</f>
        <v>-0.21715000000000018</v>
      </c>
      <c r="E20" s="66">
        <f>'M2'!E20-'M1'!E20</f>
        <v>0</v>
      </c>
      <c r="F20" s="66">
        <f>'M2'!F20-'M1'!F20</f>
        <v>-1.8009000000000003E-5</v>
      </c>
      <c r="G20" s="66">
        <f>'M2'!G20-'M1'!G20</f>
        <v>0</v>
      </c>
      <c r="H20" s="66">
        <f>'M2'!H20-'M1'!H20</f>
        <v>7.5173999999999991E-2</v>
      </c>
    </row>
    <row r="21" spans="1:8">
      <c r="A21" s="66" t="s">
        <v>64</v>
      </c>
      <c r="B21" s="66">
        <f>'M2'!B21-'M1'!B21</f>
        <v>-6.0817799999999991E-2</v>
      </c>
      <c r="C21" s="66">
        <f>'M2'!C21-'M1'!C21</f>
        <v>-8.8763999999999982E-2</v>
      </c>
      <c r="D21" s="66">
        <f>'M2'!D21-'M1'!D21</f>
        <v>1.4245700000000001</v>
      </c>
      <c r="E21" s="66">
        <f>'M2'!E21-'M1'!E21</f>
        <v>0</v>
      </c>
      <c r="F21" s="66">
        <f>'M2'!F21-'M1'!F21</f>
        <v>-2.3400999999999999E-3</v>
      </c>
      <c r="G21" s="66">
        <f>'M2'!G21-'M1'!G21</f>
        <v>0</v>
      </c>
      <c r="H21" s="66">
        <f>'M2'!H21-'M1'!H21</f>
        <v>-0.55541000000000018</v>
      </c>
    </row>
    <row r="22" spans="1:8">
      <c r="A22" s="66" t="s">
        <v>65</v>
      </c>
      <c r="B22" s="66">
        <f>'M2'!B22-'M1'!B22</f>
        <v>-0.95889999999999986</v>
      </c>
      <c r="C22" s="66">
        <f>'M2'!C22-'M1'!C22</f>
        <v>2.3798999999999992</v>
      </c>
      <c r="D22" s="66">
        <f>'M2'!D22-'M1'!D22</f>
        <v>5.6130000000000013E-2</v>
      </c>
      <c r="E22" s="66">
        <f>'M2'!E22-'M1'!E22</f>
        <v>0</v>
      </c>
      <c r="F22" s="66">
        <f>'M2'!F22-'M1'!F22</f>
        <v>-7.7856000000000023</v>
      </c>
      <c r="G22" s="66">
        <f>'M2'!G22-'M1'!G22</f>
        <v>0</v>
      </c>
      <c r="H22" s="66">
        <f>'M2'!H22-'M1'!H22</f>
        <v>-16.151200000000003</v>
      </c>
    </row>
    <row r="23" spans="1:8">
      <c r="A23" s="66" t="s">
        <v>66</v>
      </c>
      <c r="B23" s="66">
        <f>'M2'!B23-'M1'!B23</f>
        <v>-3.6269999999999989</v>
      </c>
      <c r="C23" s="66">
        <f>'M2'!C23-'M1'!C23</f>
        <v>-2.7316500000000001</v>
      </c>
      <c r="D23" s="66">
        <f>'M2'!D23-'M1'!D23</f>
        <v>-0.11770479999999998</v>
      </c>
      <c r="E23" s="66">
        <f>'M2'!E23-'M1'!E23</f>
        <v>0</v>
      </c>
      <c r="F23" s="66">
        <f>'M2'!F23-'M1'!F23</f>
        <v>5.0931300000000004</v>
      </c>
      <c r="G23" s="66">
        <f>'M2'!G23-'M1'!G23</f>
        <v>0</v>
      </c>
      <c r="H23" s="66">
        <f>'M2'!H23-'M1'!H23</f>
        <v>-5.7532999999999994</v>
      </c>
    </row>
    <row r="24" spans="1:8">
      <c r="A24" s="66" t="s">
        <v>67</v>
      </c>
      <c r="B24" s="66">
        <f>'M2'!B24-'M1'!B24</f>
        <v>-2.0938399999999996E-3</v>
      </c>
      <c r="C24" s="66">
        <f>'M2'!C24-'M1'!C24</f>
        <v>-4.9997999999999987E-3</v>
      </c>
      <c r="D24" s="66">
        <f>'M2'!D24-'M1'!D24</f>
        <v>-9.3000000000031946E-4</v>
      </c>
      <c r="E24" s="66">
        <f>'M2'!E24-'M1'!E24</f>
        <v>0</v>
      </c>
      <c r="F24" s="66">
        <f>'M2'!F24-'M1'!F24</f>
        <v>-1.177499999999998E-4</v>
      </c>
      <c r="G24" s="66">
        <f>'M2'!G24-'M1'!G24</f>
        <v>0</v>
      </c>
      <c r="H24" s="66">
        <f>'M2'!H24-'M1'!H24</f>
        <v>-2.8482599999999997E-2</v>
      </c>
    </row>
    <row r="25" spans="1:8">
      <c r="A25" s="66" t="s">
        <v>68</v>
      </c>
      <c r="B25" s="66">
        <f>'M2'!B25-'M1'!B25</f>
        <v>-8.98399E-2</v>
      </c>
      <c r="C25" s="66">
        <f>'M2'!C25-'M1'!C25</f>
        <v>-5.0907000000000008E-2</v>
      </c>
      <c r="D25" s="66">
        <f>'M2'!D25-'M1'!D25</f>
        <v>0.68496000000000001</v>
      </c>
      <c r="E25" s="66">
        <f>'M2'!E25-'M1'!E25</f>
        <v>0</v>
      </c>
      <c r="F25" s="66">
        <f>'M2'!F25-'M1'!F25</f>
        <v>-2.2256200000000004E-2</v>
      </c>
      <c r="G25" s="66">
        <f>'M2'!G25-'M1'!G25</f>
        <v>0</v>
      </c>
      <c r="H25" s="66">
        <f>'M2'!H25-'M1'!H25</f>
        <v>-0.33254099999999986</v>
      </c>
    </row>
    <row r="26" spans="1:8">
      <c r="A26" s="66" t="s">
        <v>69</v>
      </c>
      <c r="B26" s="66">
        <f>'M2'!B26-'M1'!B26</f>
        <v>-2.1173000000000003E-4</v>
      </c>
      <c r="C26" s="66">
        <f>'M2'!C26-'M1'!C26</f>
        <v>-7.3475999999999988E-4</v>
      </c>
      <c r="D26" s="66">
        <f>'M2'!D26-'M1'!D26</f>
        <v>-0.28444999999999987</v>
      </c>
      <c r="E26" s="66">
        <f>'M2'!E26-'M1'!E26</f>
        <v>0</v>
      </c>
      <c r="F26" s="66">
        <f>'M2'!F26-'M1'!F26</f>
        <v>-3.2824999999999978E-6</v>
      </c>
      <c r="G26" s="66">
        <f>'M2'!G26-'M1'!G26</f>
        <v>0</v>
      </c>
      <c r="H26" s="66">
        <f>'M2'!H26-'M1'!H26</f>
        <v>-4.5200999999999991E-3</v>
      </c>
    </row>
    <row r="27" spans="1:8">
      <c r="A27" s="66" t="s">
        <v>70</v>
      </c>
      <c r="B27" s="66">
        <f>'M2'!B27-'M1'!B27</f>
        <v>-4.9240700000000004E-6</v>
      </c>
      <c r="C27" s="66">
        <f>'M2'!C27-'M1'!C27</f>
        <v>-1.1881000000000001E-4</v>
      </c>
      <c r="D27" s="66">
        <f>'M2'!D27-'M1'!D27</f>
        <v>56.981999999999999</v>
      </c>
      <c r="E27" s="66">
        <f>'M2'!E27-'M1'!E27</f>
        <v>0</v>
      </c>
      <c r="F27" s="66">
        <f>'M2'!F27-'M1'!F27</f>
        <v>-1.4738700000000004E-3</v>
      </c>
      <c r="G27" s="66">
        <f>'M2'!G27-'M1'!G27</f>
        <v>0</v>
      </c>
      <c r="H27" s="66">
        <f>'M2'!H27-'M1'!H27</f>
        <v>3.6665899999999991E-3</v>
      </c>
    </row>
    <row r="28" spans="1:8">
      <c r="A28" s="66" t="s">
        <v>71</v>
      </c>
      <c r="B28" s="66">
        <f>'M2'!B28-'M1'!B28</f>
        <v>-6.730139999999999E-3</v>
      </c>
      <c r="C28" s="66">
        <f>'M2'!C28-'M1'!C28</f>
        <v>-4.1835999999999991E-3</v>
      </c>
      <c r="D28" s="66">
        <f>'M2'!D28-'M1'!D28</f>
        <v>0.65969999999999995</v>
      </c>
      <c r="E28" s="66">
        <f>'M2'!E28-'M1'!E28</f>
        <v>0</v>
      </c>
      <c r="F28" s="66">
        <f>'M2'!F28-'M1'!F28</f>
        <v>-7.0312490000000005E-4</v>
      </c>
      <c r="G28" s="66">
        <f>'M2'!G28-'M1'!G28</f>
        <v>0</v>
      </c>
      <c r="H28" s="66">
        <f>'M2'!H28-'M1'!H28</f>
        <v>-1.8030599999999994E-2</v>
      </c>
    </row>
    <row r="29" spans="1:8">
      <c r="A29" s="66" t="s">
        <v>72</v>
      </c>
      <c r="B29" s="66">
        <f>'M2'!B29-'M1'!B29</f>
        <v>-6.7332999999999998</v>
      </c>
      <c r="C29" s="66">
        <f>'M2'!C29-'M1'!C29</f>
        <v>0.79055999999999926</v>
      </c>
      <c r="D29" s="66">
        <f>'M2'!D29-'M1'!D29</f>
        <v>2.4876000000000009E-2</v>
      </c>
      <c r="E29" s="66">
        <f>'M2'!E29-'M1'!E29</f>
        <v>0</v>
      </c>
      <c r="F29" s="66">
        <f>'M2'!F29-'M1'!F29</f>
        <v>-15.1997</v>
      </c>
      <c r="G29" s="66">
        <f>'M2'!G29-'M1'!G29</f>
        <v>0</v>
      </c>
      <c r="H29" s="66">
        <f>'M2'!H29-'M1'!H29</f>
        <v>-8.3717000000000041</v>
      </c>
    </row>
    <row r="30" spans="1:8">
      <c r="A30" s="66" t="s">
        <v>73</v>
      </c>
      <c r="B30" s="66">
        <f>'M2'!B30-'M1'!B30</f>
        <v>-5.1420999999999992</v>
      </c>
      <c r="C30" s="66">
        <f>'M2'!C30-'M1'!C30</f>
        <v>-3.5951299999999997</v>
      </c>
      <c r="D30" s="66">
        <f>'M2'!D30-'M1'!D30</f>
        <v>-0.12350350000000002</v>
      </c>
      <c r="E30" s="66">
        <f>'M2'!E30-'M1'!E30</f>
        <v>0</v>
      </c>
      <c r="F30" s="66">
        <f>'M2'!F30-'M1'!F30</f>
        <v>6.5457000000000019</v>
      </c>
      <c r="G30" s="66">
        <f>'M2'!G30-'M1'!G30</f>
        <v>0</v>
      </c>
      <c r="H30" s="66">
        <f>'M2'!H30-'M1'!H30</f>
        <v>-7.1587999999999994</v>
      </c>
    </row>
    <row r="31" spans="1:8">
      <c r="A31" s="66" t="s">
        <v>74</v>
      </c>
      <c r="B31" s="66">
        <f>'M2'!B31-'M1'!B31</f>
        <v>35.962000000000018</v>
      </c>
      <c r="C31" s="66">
        <f>'M2'!C31-'M1'!C31</f>
        <v>-46.781700000000008</v>
      </c>
      <c r="D31" s="66">
        <f>'M2'!D31-'M1'!D31</f>
        <v>-0.24040729999999999</v>
      </c>
      <c r="E31" s="66">
        <f>'M2'!E31-'M1'!E31</f>
        <v>0</v>
      </c>
      <c r="F31" s="66">
        <f>'M2'!F31-'M1'!F31</f>
        <v>158.02289999999999</v>
      </c>
      <c r="G31" s="66">
        <f>'M2'!G31-'M1'!G31</f>
        <v>0</v>
      </c>
      <c r="H31" s="66">
        <f>'M2'!H31-'M1'!H31</f>
        <v>12.308999999999969</v>
      </c>
    </row>
    <row r="32" spans="1:8">
      <c r="A32" s="66" t="s">
        <v>75</v>
      </c>
      <c r="B32" s="66">
        <f>'M2'!B32-'M1'!B32</f>
        <v>6.1406000000000016E-2</v>
      </c>
      <c r="C32" s="66">
        <f>'M2'!C32-'M1'!C32</f>
        <v>1.4434299999999997E-2</v>
      </c>
      <c r="D32" s="66">
        <f>'M2'!D32-'M1'!D32</f>
        <v>5.2809999999999802E-3</v>
      </c>
      <c r="E32" s="66">
        <f>'M2'!E32-'M1'!E32</f>
        <v>0</v>
      </c>
      <c r="F32" s="66">
        <f>'M2'!F32-'M1'!F32</f>
        <v>-3.5380000000000134E-3</v>
      </c>
      <c r="G32" s="66">
        <f>'M2'!G32-'M1'!G32</f>
        <v>0</v>
      </c>
      <c r="H32" s="66">
        <f>'M2'!H32-'M1'!H32</f>
        <v>0.38194299999999998</v>
      </c>
    </row>
    <row r="33" spans="1:8">
      <c r="A33" s="66" t="s">
        <v>76</v>
      </c>
      <c r="B33" s="66">
        <f>'M2'!B33-'M1'!B33</f>
        <v>8.5884999999999989E-2</v>
      </c>
      <c r="C33" s="66">
        <f>'M2'!C33-'M1'!C33</f>
        <v>-8.0917999999999962E-3</v>
      </c>
      <c r="D33" s="66">
        <f>'M2'!D33-'M1'!D33</f>
        <v>-5.3299300000000008E-2</v>
      </c>
      <c r="E33" s="66">
        <f>'M2'!E33-'M1'!E33</f>
        <v>0</v>
      </c>
      <c r="F33" s="66">
        <f>'M2'!F33-'M1'!F33</f>
        <v>0.14224300000000001</v>
      </c>
      <c r="G33" s="66">
        <f>'M2'!G33-'M1'!G33</f>
        <v>0</v>
      </c>
      <c r="H33" s="66">
        <f>'M2'!H33-'M1'!H33</f>
        <v>3.8096000000000019E-2</v>
      </c>
    </row>
    <row r="34" spans="1:8">
      <c r="A34" s="66" t="s">
        <v>77</v>
      </c>
      <c r="B34" s="66">
        <f>'M2'!B34-'M1'!B34</f>
        <v>-6.3980000000000009E-3</v>
      </c>
      <c r="C34" s="66">
        <f>'M2'!C34-'M1'!C34</f>
        <v>-1.5708800000000002E-3</v>
      </c>
      <c r="D34" s="66">
        <f>'M2'!D34-'M1'!D34</f>
        <v>-8.7562000000000056E-3</v>
      </c>
      <c r="E34" s="66">
        <f>'M2'!E34-'M1'!E34</f>
        <v>0</v>
      </c>
      <c r="F34" s="66">
        <f>'M2'!F34-'M1'!F34</f>
        <v>4.649999999999932E-4</v>
      </c>
      <c r="G34" s="66">
        <f>'M2'!G34-'M1'!G34</f>
        <v>0</v>
      </c>
      <c r="H34" s="66">
        <f>'M2'!H34-'M1'!H34</f>
        <v>5.5389999999999884E-3</v>
      </c>
    </row>
    <row r="35" spans="1:8">
      <c r="A35" s="66" t="s">
        <v>78</v>
      </c>
      <c r="B35" s="66">
        <f>'M2'!B35-'M1'!B35</f>
        <v>-1.0847800000000005E-2</v>
      </c>
      <c r="C35" s="66">
        <f>'M2'!C35-'M1'!C35</f>
        <v>-2.0369999999999989E-3</v>
      </c>
      <c r="D35" s="66">
        <f>'M2'!D35-'M1'!D35</f>
        <v>8.8506999999999947E-2</v>
      </c>
      <c r="E35" s="66">
        <f>'M2'!E35-'M1'!E35</f>
        <v>0</v>
      </c>
      <c r="F35" s="66">
        <f>'M2'!F35-'M1'!F35</f>
        <v>-1.8009100000000002E-3</v>
      </c>
      <c r="G35" s="66">
        <f>'M2'!G35-'M1'!G35</f>
        <v>0</v>
      </c>
      <c r="H35" s="66">
        <f>'M2'!H35-'M1'!H35</f>
        <v>-6.7600999999999911E-3</v>
      </c>
    </row>
    <row r="36" spans="1:8">
      <c r="A36" s="66" t="s">
        <v>79</v>
      </c>
      <c r="B36" s="66">
        <f>'M2'!B36-'M1'!B36</f>
        <v>-2.0609999999999934E-3</v>
      </c>
      <c r="C36" s="66">
        <f>'M2'!C36-'M1'!C36</f>
        <v>-8.4539000000000003E-3</v>
      </c>
      <c r="D36" s="66">
        <f>'M2'!D36-'M1'!D36</f>
        <v>-7.4616999999999989E-2</v>
      </c>
      <c r="E36" s="66">
        <f>'M2'!E36-'M1'!E36</f>
        <v>0</v>
      </c>
      <c r="F36" s="66">
        <f>'M2'!F36-'M1'!F36</f>
        <v>1.3474199999999999E-2</v>
      </c>
      <c r="G36" s="66">
        <f>'M2'!G36-'M1'!G36</f>
        <v>0</v>
      </c>
      <c r="H36" s="66">
        <f>'M2'!H36-'M1'!H36</f>
        <v>-4.3316000000000021E-2</v>
      </c>
    </row>
    <row r="37" spans="1:8">
      <c r="A37" s="66" t="s">
        <v>80</v>
      </c>
      <c r="B37" s="66">
        <f>'M2'!B37-'M1'!B37</f>
        <v>-1.5708799999999995E-2</v>
      </c>
      <c r="C37" s="66">
        <f>'M2'!C37-'M1'!C37</f>
        <v>5.938899999999997E-3</v>
      </c>
      <c r="D37" s="66">
        <f>'M2'!D37-'M1'!D37</f>
        <v>0.12153599999999998</v>
      </c>
      <c r="E37" s="66">
        <f>'M2'!E37-'M1'!E37</f>
        <v>0</v>
      </c>
      <c r="F37" s="66">
        <f>'M2'!F37-'M1'!F37</f>
        <v>-1.56347E-3</v>
      </c>
      <c r="G37" s="66">
        <f>'M2'!G37-'M1'!G37</f>
        <v>0</v>
      </c>
      <c r="H37" s="66">
        <f>'M2'!H37-'M1'!H37</f>
        <v>2.2047999999999984E-2</v>
      </c>
    </row>
    <row r="38" spans="1:8">
      <c r="A38" s="66" t="s">
        <v>81</v>
      </c>
      <c r="B38" s="66">
        <f>'M2'!B38-'M1'!B38</f>
        <v>3.2391999999999985</v>
      </c>
      <c r="C38" s="66">
        <f>'M2'!C38-'M1'!C38</f>
        <v>17.078299999999999</v>
      </c>
      <c r="D38" s="66">
        <f>'M2'!D38-'M1'!D38</f>
        <v>-1.5595600000000003</v>
      </c>
      <c r="E38" s="66">
        <f>'M2'!E38-'M1'!E38</f>
        <v>0</v>
      </c>
      <c r="F38" s="66">
        <f>'M2'!F38-'M1'!F38</f>
        <v>-79.245399999999989</v>
      </c>
      <c r="G38" s="66">
        <f>'M2'!G38-'M1'!G38</f>
        <v>0</v>
      </c>
      <c r="H38" s="66">
        <f>'M2'!H38-'M1'!H38</f>
        <v>-35.75</v>
      </c>
    </row>
    <row r="39" spans="1:8">
      <c r="A39" s="66" t="s">
        <v>82</v>
      </c>
      <c r="B39" s="66">
        <f>'M2'!B39-'M1'!B39</f>
        <v>0.2914999999999992</v>
      </c>
      <c r="C39" s="66">
        <f>'M2'!C39-'M1'!C39</f>
        <v>1.6956699999999998</v>
      </c>
      <c r="D39" s="66">
        <f>'M2'!D39-'M1'!D39</f>
        <v>-0.43213999999999997</v>
      </c>
      <c r="E39" s="66">
        <f>'M2'!E39-'M1'!E39</f>
        <v>0</v>
      </c>
      <c r="F39" s="66">
        <f>'M2'!F39-'M1'!F39</f>
        <v>-0.34319999999999951</v>
      </c>
      <c r="G39" s="66">
        <f>'M2'!G39-'M1'!G39</f>
        <v>0</v>
      </c>
      <c r="H39" s="66">
        <f>'M2'!H39-'M1'!H39</f>
        <v>5.769499999999999</v>
      </c>
    </row>
    <row r="40" spans="1:8">
      <c r="A40" s="66" t="s">
        <v>83</v>
      </c>
      <c r="B40" s="66">
        <f>'M2'!B40-'M1'!B40</f>
        <v>0.99683999999999973</v>
      </c>
      <c r="C40" s="66">
        <f>'M2'!C40-'M1'!C40</f>
        <v>-0.50982799999999995</v>
      </c>
      <c r="D40" s="66">
        <f>'M2'!D40-'M1'!D40</f>
        <v>6.6058999999999979E-2</v>
      </c>
      <c r="E40" s="66">
        <f>'M2'!E40-'M1'!E40</f>
        <v>0</v>
      </c>
      <c r="F40" s="66">
        <f>'M2'!F40-'M1'!F40</f>
        <v>0.81886999999999954</v>
      </c>
      <c r="G40" s="66">
        <f>'M2'!G40-'M1'!G40</f>
        <v>0</v>
      </c>
      <c r="H40" s="66">
        <f>'M2'!H40-'M1'!H40</f>
        <v>-0.83087749999999994</v>
      </c>
    </row>
    <row r="41" spans="1:8">
      <c r="A41" s="66" t="s">
        <v>84</v>
      </c>
      <c r="B41" s="66">
        <f>'M2'!B41-'M1'!B41</f>
        <v>1.6436999999999979E-3</v>
      </c>
      <c r="C41" s="66">
        <f>'M2'!C41-'M1'!C41</f>
        <v>0.14684900000000001</v>
      </c>
      <c r="D41" s="66">
        <f>'M2'!D41-'M1'!D41</f>
        <v>-1.5687399999999996</v>
      </c>
      <c r="E41" s="66">
        <f>'M2'!E41-'M1'!E41</f>
        <v>0</v>
      </c>
      <c r="F41" s="66">
        <f>'M2'!F41-'M1'!F41</f>
        <v>-0.209677</v>
      </c>
      <c r="G41" s="66">
        <f>'M2'!G41-'M1'!G41</f>
        <v>0</v>
      </c>
      <c r="H41" s="66">
        <f>'M2'!H41-'M1'!H41</f>
        <v>6.8984000000000045E-2</v>
      </c>
    </row>
    <row r="42" spans="1:8">
      <c r="A42" s="66" t="s">
        <v>85</v>
      </c>
      <c r="B42" s="66">
        <f>'M2'!B42-'M1'!B42</f>
        <v>1.7637499999999993E-2</v>
      </c>
      <c r="C42" s="66">
        <f>'M2'!C42-'M1'!C42</f>
        <v>4.487469999999999E-2</v>
      </c>
      <c r="D42" s="66">
        <f>'M2'!D42-'M1'!D42</f>
        <v>-1.0819799999999999</v>
      </c>
      <c r="E42" s="66">
        <f>'M2'!E42-'M1'!E42</f>
        <v>0</v>
      </c>
      <c r="F42" s="66">
        <f>'M2'!F42-'M1'!F42</f>
        <v>-7.2540999999999994E-2</v>
      </c>
      <c r="G42" s="66">
        <f>'M2'!G42-'M1'!G42</f>
        <v>0</v>
      </c>
      <c r="H42" s="66">
        <f>'M2'!H42-'M1'!H42</f>
        <v>0.23823799999999998</v>
      </c>
    </row>
    <row r="43" spans="1:8">
      <c r="A43" s="66" t="s">
        <v>86</v>
      </c>
      <c r="B43" s="66">
        <f>'M2'!B43-'M1'!B43</f>
        <v>2.02349E-2</v>
      </c>
      <c r="C43" s="66">
        <f>'M2'!C43-'M1'!C43</f>
        <v>2.1705100000000005E-2</v>
      </c>
      <c r="D43" s="66">
        <f>'M2'!D43-'M1'!D43</f>
        <v>-0.68591299999999988</v>
      </c>
      <c r="E43" s="66">
        <f>'M2'!E43-'M1'!E43</f>
        <v>0</v>
      </c>
      <c r="F43" s="66">
        <f>'M2'!F43-'M1'!F43</f>
        <v>-7.5770000000000004E-2</v>
      </c>
      <c r="G43" s="66">
        <f>'M2'!G43-'M1'!G43</f>
        <v>0</v>
      </c>
      <c r="H43" s="66">
        <f>'M2'!H43-'M1'!H43</f>
        <v>-2.9482700000000004E-2</v>
      </c>
    </row>
    <row r="44" spans="1:8">
      <c r="A44" s="66" t="s">
        <v>87</v>
      </c>
      <c r="B44" s="66">
        <f>'M2'!B44-'M1'!B44</f>
        <v>6.0988999999999987</v>
      </c>
      <c r="C44" s="66">
        <f>'M2'!C44-'M1'!C44</f>
        <v>-2.5907999999999998</v>
      </c>
      <c r="D44" s="66">
        <f>'M2'!D44-'M1'!D44</f>
        <v>-5.0657999999999981E-2</v>
      </c>
      <c r="E44" s="66">
        <f>'M2'!E44-'M1'!E44</f>
        <v>0</v>
      </c>
      <c r="F44" s="66">
        <f>'M2'!F44-'M1'!F44</f>
        <v>15.4358</v>
      </c>
      <c r="G44" s="66">
        <f>'M2'!G44-'M1'!G44</f>
        <v>0</v>
      </c>
      <c r="H44" s="66">
        <f>'M2'!H44-'M1'!H44</f>
        <v>9.2590400000000006</v>
      </c>
    </row>
    <row r="45" spans="1:8">
      <c r="A45" s="66" t="s">
        <v>88</v>
      </c>
      <c r="B45" s="66">
        <f>'M2'!B45-'M1'!B45</f>
        <v>-1.7556000000000012</v>
      </c>
      <c r="C45" s="66">
        <f>'M2'!C45-'M1'!C45</f>
        <v>1.08162</v>
      </c>
      <c r="D45" s="66">
        <f>'M2'!D45-'M1'!D45</f>
        <v>2.5835999999999998E-2</v>
      </c>
      <c r="E45" s="66">
        <f>'M2'!E45-'M1'!E45</f>
        <v>0</v>
      </c>
      <c r="F45" s="66">
        <f>'M2'!F45-'M1'!F45</f>
        <v>-1.0768000000000058</v>
      </c>
      <c r="G45" s="66">
        <f>'M2'!G45-'M1'!G45</f>
        <v>0</v>
      </c>
      <c r="H45" s="66">
        <f>'M2'!H45-'M1'!H45</f>
        <v>2.1282000000000068</v>
      </c>
    </row>
    <row r="46" spans="1:8">
      <c r="A46" s="66" t="s">
        <v>89</v>
      </c>
      <c r="B46" s="66">
        <f>'M2'!B46-'M1'!B46</f>
        <v>-5.1047999999999973</v>
      </c>
      <c r="C46" s="66">
        <f>'M2'!C46-'M1'!C46</f>
        <v>-8.547839999999999</v>
      </c>
      <c r="D46" s="66">
        <f>'M2'!D46-'M1'!D46</f>
        <v>-0.23527159999999997</v>
      </c>
      <c r="E46" s="66">
        <f>'M2'!E46-'M1'!E46</f>
        <v>0</v>
      </c>
      <c r="F46" s="66">
        <f>'M2'!F46-'M1'!F46</f>
        <v>20.590419999999998</v>
      </c>
      <c r="G46" s="66">
        <f>'M2'!G46-'M1'!G46</f>
        <v>0</v>
      </c>
      <c r="H46" s="66">
        <f>'M2'!H46-'M1'!H46</f>
        <v>-5.2927000000000035</v>
      </c>
    </row>
    <row r="47" spans="1:8">
      <c r="A47" s="66" t="s">
        <v>90</v>
      </c>
      <c r="B47" s="66">
        <f>'M2'!B47-'M1'!B47</f>
        <v>-0.49145399999999995</v>
      </c>
      <c r="C47" s="66">
        <f>'M2'!C47-'M1'!C47</f>
        <v>-0.16569499999999998</v>
      </c>
      <c r="D47" s="66">
        <f>'M2'!D47-'M1'!D47</f>
        <v>0.10942800000000008</v>
      </c>
      <c r="E47" s="66">
        <f>'M2'!E47-'M1'!E47</f>
        <v>0</v>
      </c>
      <c r="F47" s="66">
        <f>'M2'!F47-'M1'!F47</f>
        <v>-0.28219899999999998</v>
      </c>
      <c r="G47" s="66">
        <f>'M2'!G47-'M1'!G47</f>
        <v>0</v>
      </c>
      <c r="H47" s="66">
        <f>'M2'!H47-'M1'!H47</f>
        <v>-1.1281000000000003</v>
      </c>
    </row>
    <row r="48" spans="1:8">
      <c r="A48" s="66" t="s">
        <v>91</v>
      </c>
      <c r="B48" s="66">
        <f>'M2'!B48-'M1'!B48</f>
        <v>-0.68423899999999993</v>
      </c>
      <c r="C48" s="66">
        <f>'M2'!C48-'M1'!C48</f>
        <v>-0.17200540000000003</v>
      </c>
      <c r="D48" s="66">
        <f>'M2'!D48-'M1'!D48</f>
        <v>-6.2949999999999992E-2</v>
      </c>
      <c r="E48" s="66">
        <f>'M2'!E48-'M1'!E48</f>
        <v>0</v>
      </c>
      <c r="F48" s="66">
        <f>'M2'!F48-'M1'!F48</f>
        <v>-0.28767799999999999</v>
      </c>
      <c r="G48" s="66">
        <f>'M2'!G48-'M1'!G48</f>
        <v>0</v>
      </c>
      <c r="H48" s="66">
        <f>'M2'!H48-'M1'!H48</f>
        <v>-1.1591689999999999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45.3675</v>
      </c>
      <c r="C5" s="66">
        <v>12.9533</v>
      </c>
      <c r="D5" s="66">
        <v>28.5519</v>
      </c>
      <c r="E5" s="66">
        <v>20</v>
      </c>
      <c r="F5" s="66">
        <v>11.389799999999999</v>
      </c>
      <c r="G5" s="66">
        <v>50</v>
      </c>
      <c r="H5" s="66">
        <v>57.495800000000003</v>
      </c>
    </row>
    <row r="6" spans="1:8">
      <c r="A6" s="66" t="s">
        <v>358</v>
      </c>
      <c r="B6" s="66">
        <v>20.684999999999999</v>
      </c>
      <c r="C6" s="66">
        <v>2.0201099999999999</v>
      </c>
      <c r="D6" s="66">
        <v>9.7660699999999991</v>
      </c>
      <c r="E6" s="66">
        <v>20</v>
      </c>
      <c r="F6" s="66">
        <v>17.546299999999999</v>
      </c>
      <c r="G6" s="66">
        <v>40</v>
      </c>
      <c r="H6" s="66">
        <v>25.478200000000001</v>
      </c>
    </row>
    <row r="7" spans="1:8">
      <c r="A7" s="66" t="s">
        <v>359</v>
      </c>
      <c r="B7" s="66">
        <v>30.234400000000001</v>
      </c>
      <c r="C7" s="66">
        <v>6.16106</v>
      </c>
      <c r="D7" s="66">
        <v>20.377700000000001</v>
      </c>
      <c r="E7" s="66">
        <v>15</v>
      </c>
      <c r="F7" s="66">
        <v>15.326499999999999</v>
      </c>
      <c r="G7" s="66">
        <v>40</v>
      </c>
      <c r="H7" s="66">
        <v>41.544499999999999</v>
      </c>
    </row>
    <row r="8" spans="1:8">
      <c r="A8" s="66" t="s">
        <v>360</v>
      </c>
      <c r="B8" s="66">
        <v>33.544499999999999</v>
      </c>
      <c r="C8" s="66">
        <v>6.5689099999999998</v>
      </c>
      <c r="D8" s="66">
        <v>19.582699999999999</v>
      </c>
      <c r="E8" s="66">
        <v>20</v>
      </c>
      <c r="F8" s="66">
        <v>18.3993</v>
      </c>
      <c r="G8" s="66">
        <v>50</v>
      </c>
      <c r="H8" s="66">
        <v>38.101300000000002</v>
      </c>
    </row>
    <row r="9" spans="1:8">
      <c r="A9" s="66" t="s">
        <v>361</v>
      </c>
      <c r="B9" s="66">
        <v>67.813000000000002</v>
      </c>
      <c r="C9" s="66">
        <v>5.5251799999999998</v>
      </c>
      <c r="D9" s="66">
        <v>8.1476600000000001</v>
      </c>
      <c r="E9" s="66">
        <v>50</v>
      </c>
      <c r="F9" s="66">
        <v>58.883099999999999</v>
      </c>
      <c r="G9" s="66">
        <v>100</v>
      </c>
      <c r="H9" s="66">
        <v>85.317800000000005</v>
      </c>
    </row>
    <row r="10" spans="1:8">
      <c r="A10" s="66" t="s">
        <v>362</v>
      </c>
      <c r="B10" s="66">
        <v>85.206400000000002</v>
      </c>
      <c r="C10" s="66">
        <v>1.76139</v>
      </c>
      <c r="D10" s="66">
        <v>2.0672000000000001</v>
      </c>
      <c r="E10" s="66">
        <v>40</v>
      </c>
      <c r="F10" s="66">
        <v>81.7577</v>
      </c>
      <c r="G10" s="66">
        <v>100</v>
      </c>
      <c r="H10" s="66">
        <v>88.928600000000003</v>
      </c>
    </row>
    <row r="11" spans="1:8">
      <c r="A11" s="66" t="s">
        <v>363</v>
      </c>
      <c r="B11" s="66">
        <v>28.2408</v>
      </c>
      <c r="C11" s="66">
        <v>7.4299200000000001</v>
      </c>
      <c r="D11" s="66">
        <v>26.309200000000001</v>
      </c>
      <c r="E11" s="66">
        <v>10</v>
      </c>
      <c r="F11" s="66">
        <v>9.3425899999999995</v>
      </c>
      <c r="G11" s="66">
        <v>50</v>
      </c>
      <c r="H11" s="66">
        <v>35.650799999999997</v>
      </c>
    </row>
    <row r="12" spans="1:8">
      <c r="A12" s="66" t="s">
        <v>364</v>
      </c>
      <c r="B12" s="66">
        <v>76.348200000000006</v>
      </c>
      <c r="C12" s="66">
        <v>3.22702</v>
      </c>
      <c r="D12" s="66">
        <v>4.2267099999999997</v>
      </c>
      <c r="E12" s="66">
        <v>50</v>
      </c>
      <c r="F12" s="66">
        <v>70.646799999999999</v>
      </c>
      <c r="G12" s="66">
        <v>100</v>
      </c>
      <c r="H12" s="66">
        <v>86.528099999999995</v>
      </c>
    </row>
    <row r="13" spans="1:8">
      <c r="A13" s="66" t="s">
        <v>365</v>
      </c>
      <c r="B13" s="66">
        <v>11.9863</v>
      </c>
      <c r="C13" s="66">
        <v>1.0816699999999999</v>
      </c>
      <c r="D13" s="66">
        <v>9.0242000000000004</v>
      </c>
      <c r="E13" s="66">
        <v>10</v>
      </c>
      <c r="F13" s="66">
        <v>10.275600000000001</v>
      </c>
      <c r="G13" s="66">
        <v>25</v>
      </c>
      <c r="H13" s="66">
        <v>15.0989</v>
      </c>
    </row>
    <row r="14" spans="1:8">
      <c r="A14" s="66" t="s">
        <v>366</v>
      </c>
      <c r="B14" s="66">
        <v>10.816700000000001</v>
      </c>
      <c r="C14" s="66">
        <v>3.6483300000000001</v>
      </c>
      <c r="D14" s="66">
        <v>33.728900000000003</v>
      </c>
      <c r="E14" s="66">
        <v>10</v>
      </c>
      <c r="F14" s="66">
        <v>0.82663900000000001</v>
      </c>
      <c r="G14" s="66">
        <v>50</v>
      </c>
      <c r="H14" s="66">
        <v>13.0092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0.52010400000000001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0.59574000000000005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8.6968600000000007E-3</v>
      </c>
      <c r="C20" s="66">
        <v>2.7056899999999998E-2</v>
      </c>
      <c r="D20" s="66">
        <v>3.1111200000000001</v>
      </c>
      <c r="E20" s="66">
        <v>0</v>
      </c>
      <c r="F20" s="196">
        <v>6.76079E-5</v>
      </c>
      <c r="G20" s="66">
        <v>0</v>
      </c>
      <c r="H20" s="66">
        <v>0.214612</v>
      </c>
    </row>
    <row r="21" spans="1:8">
      <c r="A21" s="66" t="s">
        <v>373</v>
      </c>
      <c r="B21" s="66">
        <v>0.10975799999999999</v>
      </c>
      <c r="C21" s="66">
        <v>0.28601399999999999</v>
      </c>
      <c r="D21" s="66">
        <v>2.6058599999999998</v>
      </c>
      <c r="E21" s="66">
        <v>0</v>
      </c>
      <c r="F21" s="66">
        <v>2.4089699999999999E-3</v>
      </c>
      <c r="G21" s="66">
        <v>0</v>
      </c>
      <c r="H21" s="66">
        <v>1.6826700000000001</v>
      </c>
    </row>
    <row r="22" spans="1:8">
      <c r="A22" s="66" t="s">
        <v>374</v>
      </c>
      <c r="B22" s="66">
        <v>48.318199999999997</v>
      </c>
      <c r="C22" s="66">
        <v>14.0274</v>
      </c>
      <c r="D22" s="66">
        <v>0.29031299999999999</v>
      </c>
      <c r="E22" s="66">
        <v>0</v>
      </c>
      <c r="F22" s="66">
        <v>25.523900000000001</v>
      </c>
      <c r="G22" s="66">
        <v>0</v>
      </c>
      <c r="H22" s="66">
        <v>99.394800000000004</v>
      </c>
    </row>
    <row r="23" spans="1:8">
      <c r="A23" s="66" t="s">
        <v>375</v>
      </c>
      <c r="B23" s="66">
        <v>21.075099999999999</v>
      </c>
      <c r="C23" s="66">
        <v>3.9390999999999998</v>
      </c>
      <c r="D23" s="66">
        <v>0.18690699999999999</v>
      </c>
      <c r="E23" s="66">
        <v>0</v>
      </c>
      <c r="F23" s="66">
        <v>9.8701699999999999</v>
      </c>
      <c r="G23" s="66">
        <v>0</v>
      </c>
      <c r="H23" s="66">
        <v>25.6099</v>
      </c>
    </row>
    <row r="24" spans="1:8">
      <c r="A24" s="66" t="s">
        <v>376</v>
      </c>
      <c r="B24" s="66">
        <v>7.9899099999999994E-3</v>
      </c>
      <c r="C24" s="66">
        <v>1.9057999999999999E-2</v>
      </c>
      <c r="D24" s="66">
        <v>2.3852600000000002</v>
      </c>
      <c r="E24" s="66">
        <v>0</v>
      </c>
      <c r="F24" s="66">
        <v>4.5042199999999998E-3</v>
      </c>
      <c r="G24" s="66">
        <v>0</v>
      </c>
      <c r="H24" s="66">
        <v>0.103799</v>
      </c>
    </row>
    <row r="25" spans="1:8">
      <c r="A25" s="66" t="s">
        <v>377</v>
      </c>
      <c r="B25" s="66">
        <v>0.166769</v>
      </c>
      <c r="C25" s="66">
        <v>0.19231400000000001</v>
      </c>
      <c r="D25" s="66">
        <v>1.1531800000000001</v>
      </c>
      <c r="E25" s="66">
        <v>0</v>
      </c>
      <c r="F25" s="66">
        <v>3.4569700000000002E-2</v>
      </c>
      <c r="G25" s="66">
        <v>0</v>
      </c>
      <c r="H25" s="66">
        <v>1.0100499999999999</v>
      </c>
    </row>
    <row r="26" spans="1:8">
      <c r="A26" s="66" t="s">
        <v>378</v>
      </c>
      <c r="B26" s="66">
        <v>1.52147E-3</v>
      </c>
      <c r="C26" s="66">
        <v>2.6027899999999998E-3</v>
      </c>
      <c r="D26" s="66">
        <v>1.71071</v>
      </c>
      <c r="E26" s="66">
        <v>0</v>
      </c>
      <c r="F26" s="196">
        <v>2.2977899999999999E-5</v>
      </c>
      <c r="G26" s="66">
        <v>0</v>
      </c>
      <c r="H26" s="66">
        <v>1.9619899999999999E-2</v>
      </c>
    </row>
    <row r="27" spans="1:8">
      <c r="A27" s="66" t="s">
        <v>379</v>
      </c>
      <c r="B27" s="196">
        <v>1.31303E-5</v>
      </c>
      <c r="C27" s="66">
        <v>1.5637400000000001E-3</v>
      </c>
      <c r="D27" s="66">
        <v>119.095</v>
      </c>
      <c r="E27" s="66">
        <v>0</v>
      </c>
      <c r="F27" s="66">
        <v>-8.3803799999999998E-3</v>
      </c>
      <c r="G27" s="66">
        <v>0</v>
      </c>
      <c r="H27" s="66">
        <v>7.1888100000000003E-3</v>
      </c>
    </row>
    <row r="28" spans="1:8">
      <c r="A28" s="66" t="s">
        <v>380</v>
      </c>
      <c r="B28" s="66">
        <v>1.4109699999999999E-2</v>
      </c>
      <c r="C28" s="66">
        <v>1.89772E-2</v>
      </c>
      <c r="D28" s="66">
        <v>1.34497</v>
      </c>
      <c r="E28" s="66">
        <v>0</v>
      </c>
      <c r="F28" s="66">
        <v>7.3567700000000001E-4</v>
      </c>
      <c r="G28" s="66">
        <v>0</v>
      </c>
      <c r="H28" s="66">
        <v>9.69661E-2</v>
      </c>
    </row>
    <row r="29" spans="1:8">
      <c r="A29" s="66" t="s">
        <v>381</v>
      </c>
      <c r="B29" s="66">
        <v>74.345600000000005</v>
      </c>
      <c r="C29" s="66">
        <v>9.8420400000000008</v>
      </c>
      <c r="D29" s="66">
        <v>0.132382</v>
      </c>
      <c r="E29" s="66">
        <v>0</v>
      </c>
      <c r="F29" s="66">
        <v>56.169699999999999</v>
      </c>
      <c r="G29" s="66">
        <v>0</v>
      </c>
      <c r="H29" s="66">
        <v>106.37</v>
      </c>
    </row>
    <row r="30" spans="1:8">
      <c r="A30" s="66" t="s">
        <v>382</v>
      </c>
      <c r="B30" s="66">
        <v>26.718499999999999</v>
      </c>
      <c r="C30" s="66">
        <v>4.8341599999999998</v>
      </c>
      <c r="D30" s="66">
        <v>0.18092900000000001</v>
      </c>
      <c r="E30" s="66">
        <v>0</v>
      </c>
      <c r="F30" s="66">
        <v>12.969099999999999</v>
      </c>
      <c r="G30" s="66">
        <v>0</v>
      </c>
      <c r="H30" s="66">
        <v>31.819800000000001</v>
      </c>
    </row>
    <row r="31" spans="1:8">
      <c r="A31" s="66" t="s">
        <v>383</v>
      </c>
      <c r="B31" s="66">
        <v>206.45699999999999</v>
      </c>
      <c r="C31" s="66">
        <v>66.007900000000006</v>
      </c>
      <c r="D31" s="66">
        <v>0.31971699999999997</v>
      </c>
      <c r="E31" s="66">
        <v>0</v>
      </c>
      <c r="F31" s="66">
        <v>44.772100000000002</v>
      </c>
      <c r="G31" s="66">
        <v>0</v>
      </c>
      <c r="H31" s="66">
        <v>278.49900000000002</v>
      </c>
    </row>
    <row r="32" spans="1:8">
      <c r="A32" s="66" t="s">
        <v>384</v>
      </c>
      <c r="B32" s="66">
        <v>0.302344</v>
      </c>
      <c r="C32" s="66">
        <v>6.1610600000000001E-2</v>
      </c>
      <c r="D32" s="66">
        <v>0.20377700000000001</v>
      </c>
      <c r="E32" s="66">
        <v>0.15</v>
      </c>
      <c r="F32" s="66">
        <v>0.15326500000000001</v>
      </c>
      <c r="G32" s="66">
        <v>0.4</v>
      </c>
      <c r="H32" s="66">
        <v>0.41544500000000001</v>
      </c>
    </row>
    <row r="33" spans="1:8">
      <c r="A33" s="66" t="s">
        <v>385</v>
      </c>
      <c r="B33" s="66">
        <v>0.28717100000000001</v>
      </c>
      <c r="C33" s="66">
        <v>3.9427999999999998E-2</v>
      </c>
      <c r="D33" s="66">
        <v>0.137298</v>
      </c>
      <c r="E33" s="66">
        <v>0</v>
      </c>
      <c r="F33" s="66">
        <v>0.20466000000000001</v>
      </c>
      <c r="G33" s="66">
        <v>0</v>
      </c>
      <c r="H33" s="66">
        <v>0.41543099999999999</v>
      </c>
    </row>
    <row r="34" spans="1:8">
      <c r="A34" s="66" t="s">
        <v>386</v>
      </c>
      <c r="B34" s="66">
        <v>0.119863</v>
      </c>
      <c r="C34" s="66">
        <v>1.08167E-2</v>
      </c>
      <c r="D34" s="66">
        <v>9.0242000000000003E-2</v>
      </c>
      <c r="E34" s="66">
        <v>0.1</v>
      </c>
      <c r="F34" s="66">
        <v>0.102756</v>
      </c>
      <c r="G34" s="66">
        <v>0.25</v>
      </c>
      <c r="H34" s="66">
        <v>0.15098900000000001</v>
      </c>
    </row>
    <row r="35" spans="1:8">
      <c r="A35" s="66" t="s">
        <v>387</v>
      </c>
      <c r="B35" s="66">
        <v>4.0798800000000003E-2</v>
      </c>
      <c r="C35" s="66">
        <v>1.7631399999999998E-2</v>
      </c>
      <c r="D35" s="66">
        <v>0.43215500000000001</v>
      </c>
      <c r="E35" s="66">
        <v>0</v>
      </c>
      <c r="F35" s="66">
        <v>7.9287799999999999E-3</v>
      </c>
      <c r="G35" s="66">
        <v>0</v>
      </c>
      <c r="H35" s="66">
        <v>7.8323699999999996E-2</v>
      </c>
    </row>
    <row r="36" spans="1:8">
      <c r="A36" s="66" t="s">
        <v>388</v>
      </c>
      <c r="B36" s="66">
        <v>0.10349999999999999</v>
      </c>
      <c r="C36" s="66">
        <v>4.4432300000000001E-2</v>
      </c>
      <c r="D36" s="66">
        <v>0.42929699999999998</v>
      </c>
      <c r="E36" s="66">
        <v>0</v>
      </c>
      <c r="F36" s="66">
        <v>3.8500300000000001E-2</v>
      </c>
      <c r="G36" s="66">
        <v>0</v>
      </c>
      <c r="H36" s="66">
        <v>0.326511</v>
      </c>
    </row>
    <row r="37" spans="1:8">
      <c r="A37" s="66" t="s">
        <v>389</v>
      </c>
      <c r="B37" s="66">
        <v>0.108167</v>
      </c>
      <c r="C37" s="66">
        <v>3.6483300000000003E-2</v>
      </c>
      <c r="D37" s="66">
        <v>0.33728900000000001</v>
      </c>
      <c r="E37" s="66">
        <v>0.1</v>
      </c>
      <c r="F37" s="66">
        <v>8.2663900000000002E-3</v>
      </c>
      <c r="G37" s="66">
        <v>0.5</v>
      </c>
      <c r="H37" s="66">
        <v>0.13009200000000001</v>
      </c>
    </row>
    <row r="38" spans="1:8">
      <c r="A38" s="66" t="s">
        <v>390</v>
      </c>
      <c r="B38" s="66">
        <v>-18.395199999999999</v>
      </c>
      <c r="C38" s="66">
        <v>37.245100000000001</v>
      </c>
      <c r="D38" s="66">
        <v>-2.0247199999999999</v>
      </c>
      <c r="E38" s="66">
        <v>0</v>
      </c>
      <c r="F38" s="66">
        <v>-90.526600000000002</v>
      </c>
      <c r="G38" s="66">
        <v>0</v>
      </c>
      <c r="H38" s="66">
        <v>214.05699999999999</v>
      </c>
    </row>
    <row r="39" spans="1:8">
      <c r="A39" s="66" t="s">
        <v>391</v>
      </c>
      <c r="B39" s="66">
        <v>-4.8932399999999996</v>
      </c>
      <c r="C39" s="66">
        <v>4.91744</v>
      </c>
      <c r="D39" s="66">
        <v>-1.00495</v>
      </c>
      <c r="E39" s="66">
        <v>0</v>
      </c>
      <c r="F39" s="66">
        <v>-12.1449</v>
      </c>
      <c r="G39" s="66">
        <v>0</v>
      </c>
      <c r="H39" s="66">
        <v>13.9963</v>
      </c>
    </row>
    <row r="40" spans="1:8">
      <c r="A40" s="66" t="s">
        <v>392</v>
      </c>
      <c r="B40" s="66">
        <v>-3.3183199999999999</v>
      </c>
      <c r="C40" s="66">
        <v>1.1866399999999999</v>
      </c>
      <c r="D40" s="66">
        <v>-0.35760199999999998</v>
      </c>
      <c r="E40" s="66">
        <v>0</v>
      </c>
      <c r="F40" s="66">
        <v>-4.8050699999999997</v>
      </c>
      <c r="G40" s="66">
        <v>0</v>
      </c>
      <c r="H40" s="66">
        <v>-6.8436499999999997E-2</v>
      </c>
    </row>
    <row r="41" spans="1:8">
      <c r="A41" s="66" t="s">
        <v>393</v>
      </c>
      <c r="B41" s="66">
        <v>-9.7819799999999998E-2</v>
      </c>
      <c r="C41" s="66">
        <v>0.23963200000000001</v>
      </c>
      <c r="D41" s="66">
        <v>-2.4497300000000002</v>
      </c>
      <c r="E41" s="66">
        <v>0</v>
      </c>
      <c r="F41" s="66">
        <v>-0.790323</v>
      </c>
      <c r="G41" s="66">
        <v>0</v>
      </c>
      <c r="H41" s="66">
        <v>0.93101599999999995</v>
      </c>
    </row>
    <row r="42" spans="1:8">
      <c r="A42" s="66" t="s">
        <v>394</v>
      </c>
      <c r="B42" s="66">
        <v>-7.7662999999999996E-2</v>
      </c>
      <c r="C42" s="66">
        <v>8.8383299999999998E-2</v>
      </c>
      <c r="D42" s="66">
        <v>-1.1380399999999999</v>
      </c>
      <c r="E42" s="66">
        <v>0</v>
      </c>
      <c r="F42" s="66">
        <v>-0.22801099999999999</v>
      </c>
      <c r="G42" s="66">
        <v>0</v>
      </c>
      <c r="H42" s="66">
        <v>0.17551700000000001</v>
      </c>
    </row>
    <row r="43" spans="1:8">
      <c r="A43" s="66" t="s">
        <v>395</v>
      </c>
      <c r="B43" s="66">
        <v>-6.9865200000000002E-2</v>
      </c>
      <c r="C43" s="66">
        <v>4.2596599999999998E-2</v>
      </c>
      <c r="D43" s="66">
        <v>-0.60969700000000004</v>
      </c>
      <c r="E43" s="66">
        <v>0</v>
      </c>
      <c r="F43" s="66">
        <v>-0.149926</v>
      </c>
      <c r="G43" s="66">
        <v>0</v>
      </c>
      <c r="H43" s="66">
        <v>5.2962500000000003E-2</v>
      </c>
    </row>
    <row r="44" spans="1:8">
      <c r="A44" s="66" t="s">
        <v>396</v>
      </c>
      <c r="B44" s="66">
        <v>-20.157599999999999</v>
      </c>
      <c r="C44" s="66">
        <v>10.9168</v>
      </c>
      <c r="D44" s="66">
        <v>-0.54157200000000005</v>
      </c>
      <c r="E44" s="66">
        <v>0</v>
      </c>
      <c r="F44" s="66">
        <v>-45.829900000000002</v>
      </c>
      <c r="G44" s="66">
        <v>0</v>
      </c>
      <c r="H44" s="66">
        <v>-5.8834600000000004</v>
      </c>
    </row>
    <row r="45" spans="1:8">
      <c r="A45" s="66" t="s">
        <v>397</v>
      </c>
      <c r="B45" s="66">
        <v>52.427599999999998</v>
      </c>
      <c r="C45" s="66">
        <v>6.7952300000000001</v>
      </c>
      <c r="D45" s="66">
        <v>0.129612</v>
      </c>
      <c r="E45" s="66">
        <v>0</v>
      </c>
      <c r="F45" s="66">
        <v>35.460500000000003</v>
      </c>
      <c r="G45" s="66">
        <v>0</v>
      </c>
      <c r="H45" s="66">
        <v>68.958399999999997</v>
      </c>
    </row>
    <row r="46" spans="1:8">
      <c r="A46" s="66" t="s">
        <v>398</v>
      </c>
      <c r="B46" s="66">
        <v>35.334499999999998</v>
      </c>
      <c r="C46" s="66">
        <v>9.9373299999999993</v>
      </c>
      <c r="D46" s="66">
        <v>0.28123599999999999</v>
      </c>
      <c r="E46" s="66">
        <v>0</v>
      </c>
      <c r="F46" s="66">
        <v>8.0029800000000009</v>
      </c>
      <c r="G46" s="66">
        <v>0</v>
      </c>
      <c r="H46" s="66">
        <v>40.719000000000001</v>
      </c>
    </row>
    <row r="47" spans="1:8">
      <c r="A47" s="66" t="s">
        <v>399</v>
      </c>
      <c r="B47" s="66">
        <v>1.28043</v>
      </c>
      <c r="C47" s="66">
        <v>0.65664400000000001</v>
      </c>
      <c r="D47" s="66">
        <v>0.51283199999999995</v>
      </c>
      <c r="E47" s="66">
        <v>0</v>
      </c>
      <c r="F47" s="66">
        <v>0.60170299999999999</v>
      </c>
      <c r="G47" s="66">
        <v>0</v>
      </c>
      <c r="H47" s="66">
        <v>3.6972100000000001</v>
      </c>
    </row>
    <row r="48" spans="1:8">
      <c r="A48" s="66" t="s">
        <v>400</v>
      </c>
      <c r="B48" s="66">
        <v>1.3979699999999999</v>
      </c>
      <c r="C48" s="66">
        <v>0.25962800000000003</v>
      </c>
      <c r="D48" s="66">
        <v>0.18571699999999999</v>
      </c>
      <c r="E48" s="66">
        <v>0</v>
      </c>
      <c r="F48" s="66">
        <v>0.847742</v>
      </c>
      <c r="G48" s="66">
        <v>0</v>
      </c>
      <c r="H48" s="66">
        <v>2.0621700000000001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38.5426</v>
      </c>
      <c r="C5" s="66">
        <v>1.82152</v>
      </c>
      <c r="D5" s="66">
        <v>4.7259900000000004</v>
      </c>
      <c r="E5" s="66">
        <v>20</v>
      </c>
      <c r="F5" s="66">
        <v>36.224600000000002</v>
      </c>
      <c r="G5" s="66">
        <v>50</v>
      </c>
      <c r="H5" s="66">
        <v>44.937100000000001</v>
      </c>
    </row>
    <row r="6" spans="1:8">
      <c r="A6" s="66" t="s">
        <v>303</v>
      </c>
      <c r="B6" s="66">
        <v>25.489599999999999</v>
      </c>
      <c r="C6" s="66">
        <v>1.3914800000000001</v>
      </c>
      <c r="D6" s="66">
        <v>5.45899</v>
      </c>
      <c r="E6" s="66">
        <v>20</v>
      </c>
      <c r="F6" s="66">
        <v>21.217600000000001</v>
      </c>
      <c r="G6" s="66">
        <v>40</v>
      </c>
      <c r="H6" s="66">
        <v>28.4621</v>
      </c>
    </row>
    <row r="7" spans="1:8">
      <c r="A7" s="66" t="s">
        <v>304</v>
      </c>
      <c r="B7" s="66">
        <v>36.375</v>
      </c>
      <c r="C7" s="66">
        <v>7.6044900000000002</v>
      </c>
      <c r="D7" s="66">
        <v>20.905799999999999</v>
      </c>
      <c r="E7" s="66">
        <v>15</v>
      </c>
      <c r="F7" s="66">
        <v>14.9727</v>
      </c>
      <c r="G7" s="66">
        <v>40</v>
      </c>
      <c r="H7" s="66">
        <v>79.738799999999998</v>
      </c>
    </row>
    <row r="8" spans="1:8">
      <c r="A8" s="66" t="s">
        <v>305</v>
      </c>
      <c r="B8" s="66">
        <v>33.622300000000003</v>
      </c>
      <c r="C8" s="66">
        <v>2.6702599999999999</v>
      </c>
      <c r="D8" s="66">
        <v>7.9419399999999998</v>
      </c>
      <c r="E8" s="66">
        <v>20</v>
      </c>
      <c r="F8" s="66">
        <v>27.101600000000001</v>
      </c>
      <c r="G8" s="66">
        <v>50</v>
      </c>
      <c r="H8" s="66">
        <v>39.945500000000003</v>
      </c>
    </row>
    <row r="9" spans="1:8">
      <c r="A9" s="66" t="s">
        <v>306</v>
      </c>
      <c r="B9" s="66">
        <v>60.901699999999998</v>
      </c>
      <c r="C9" s="66">
        <v>6.1358600000000001</v>
      </c>
      <c r="D9" s="66">
        <v>10.074999999999999</v>
      </c>
      <c r="E9" s="66">
        <v>50</v>
      </c>
      <c r="F9" s="66">
        <v>49.151699999999998</v>
      </c>
      <c r="G9" s="66">
        <v>100</v>
      </c>
      <c r="H9" s="66">
        <v>71.858099999999993</v>
      </c>
    </row>
    <row r="10" spans="1:8">
      <c r="A10" s="66" t="s">
        <v>307</v>
      </c>
      <c r="B10" s="66">
        <v>84.429100000000005</v>
      </c>
      <c r="C10" s="66">
        <v>2.9688699999999999</v>
      </c>
      <c r="D10" s="66">
        <v>3.51641</v>
      </c>
      <c r="E10" s="66">
        <v>40</v>
      </c>
      <c r="F10" s="66">
        <v>74.330500000000001</v>
      </c>
      <c r="G10" s="66">
        <v>100</v>
      </c>
      <c r="H10" s="66">
        <v>86.261399999999995</v>
      </c>
    </row>
    <row r="11" spans="1:8">
      <c r="A11" s="66" t="s">
        <v>308</v>
      </c>
      <c r="B11" s="66">
        <v>20.272300000000001</v>
      </c>
      <c r="C11" s="66">
        <v>1.7222500000000001</v>
      </c>
      <c r="D11" s="66">
        <v>8.4955700000000007</v>
      </c>
      <c r="E11" s="66">
        <v>10</v>
      </c>
      <c r="F11" s="66">
        <v>16.9024</v>
      </c>
      <c r="G11" s="66">
        <v>50</v>
      </c>
      <c r="H11" s="66">
        <v>24.1419</v>
      </c>
    </row>
    <row r="12" spans="1:8">
      <c r="A12" s="66" t="s">
        <v>309</v>
      </c>
      <c r="B12" s="66">
        <v>71.728999999999999</v>
      </c>
      <c r="C12" s="66">
        <v>2.8724799999999999</v>
      </c>
      <c r="D12" s="66">
        <v>4.0046200000000001</v>
      </c>
      <c r="E12" s="66">
        <v>50</v>
      </c>
      <c r="F12" s="66">
        <v>66.853099999999998</v>
      </c>
      <c r="G12" s="66">
        <v>100</v>
      </c>
      <c r="H12" s="66">
        <v>78.070800000000006</v>
      </c>
    </row>
    <row r="13" spans="1:8">
      <c r="A13" s="66" t="s">
        <v>310</v>
      </c>
      <c r="B13" s="66">
        <v>11.346500000000001</v>
      </c>
      <c r="C13" s="66">
        <v>0.92458200000000001</v>
      </c>
      <c r="D13" s="66">
        <v>8.1485800000000008</v>
      </c>
      <c r="E13" s="66">
        <v>10</v>
      </c>
      <c r="F13" s="66">
        <v>10.322100000000001</v>
      </c>
      <c r="G13" s="66">
        <v>25</v>
      </c>
      <c r="H13" s="66">
        <v>15.652799999999999</v>
      </c>
    </row>
    <row r="14" spans="1:8">
      <c r="A14" s="66" t="s">
        <v>311</v>
      </c>
      <c r="B14" s="66">
        <v>9.2458200000000001</v>
      </c>
      <c r="C14" s="66">
        <v>4.2422199999999997</v>
      </c>
      <c r="D14" s="66">
        <v>45.8825</v>
      </c>
      <c r="E14" s="66">
        <v>10</v>
      </c>
      <c r="F14" s="66">
        <v>0.670292</v>
      </c>
      <c r="G14" s="66">
        <v>50</v>
      </c>
      <c r="H14" s="66">
        <v>15.214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0.38259100000000001</v>
      </c>
      <c r="C18" s="66">
        <v>7.5383500000000006E-2</v>
      </c>
      <c r="D18" s="66">
        <v>0.19703399999999999</v>
      </c>
      <c r="E18" s="66">
        <v>0</v>
      </c>
      <c r="F18" s="66">
        <v>0.30720700000000001</v>
      </c>
      <c r="G18" s="66">
        <v>0</v>
      </c>
      <c r="H18" s="66">
        <v>0.45797399999999999</v>
      </c>
    </row>
    <row r="19" spans="1:8">
      <c r="A19" s="66" t="s">
        <v>316</v>
      </c>
      <c r="B19" s="66">
        <v>0.49801800000000002</v>
      </c>
      <c r="C19" s="66">
        <v>6.8842E-3</v>
      </c>
      <c r="D19" s="66">
        <v>1.3823200000000001E-2</v>
      </c>
      <c r="E19" s="66">
        <v>0</v>
      </c>
      <c r="F19" s="66">
        <v>0.49113400000000001</v>
      </c>
      <c r="G19" s="66">
        <v>0</v>
      </c>
      <c r="H19" s="66">
        <v>0.50490199999999996</v>
      </c>
    </row>
    <row r="20" spans="1:8">
      <c r="A20" s="66" t="s">
        <v>317</v>
      </c>
      <c r="B20" s="66">
        <v>7.7690700000000003E-3</v>
      </c>
      <c r="C20" s="66">
        <v>2.24835E-2</v>
      </c>
      <c r="D20" s="66">
        <v>2.8939699999999999</v>
      </c>
      <c r="E20" s="66">
        <v>0</v>
      </c>
      <c r="F20" s="196">
        <v>4.9598899999999997E-5</v>
      </c>
      <c r="G20" s="66">
        <v>0</v>
      </c>
      <c r="H20" s="66">
        <v>0.28978599999999999</v>
      </c>
    </row>
    <row r="21" spans="1:8">
      <c r="A21" s="66" t="s">
        <v>318</v>
      </c>
      <c r="B21" s="66">
        <v>4.8940200000000003E-2</v>
      </c>
      <c r="C21" s="66">
        <v>0.19725000000000001</v>
      </c>
      <c r="D21" s="66">
        <v>4.03043</v>
      </c>
      <c r="E21" s="66">
        <v>0</v>
      </c>
      <c r="F21" s="196">
        <v>6.8869999999999996E-5</v>
      </c>
      <c r="G21" s="66">
        <v>0</v>
      </c>
      <c r="H21" s="66">
        <v>1.1272599999999999</v>
      </c>
    </row>
    <row r="22" spans="1:8">
      <c r="A22" s="66" t="s">
        <v>319</v>
      </c>
      <c r="B22" s="66">
        <v>47.359299999999998</v>
      </c>
      <c r="C22" s="66">
        <v>16.407299999999999</v>
      </c>
      <c r="D22" s="66">
        <v>0.346443</v>
      </c>
      <c r="E22" s="66">
        <v>0</v>
      </c>
      <c r="F22" s="66">
        <v>17.738299999999999</v>
      </c>
      <c r="G22" s="66">
        <v>0</v>
      </c>
      <c r="H22" s="66">
        <v>83.243600000000001</v>
      </c>
    </row>
    <row r="23" spans="1:8">
      <c r="A23" s="66" t="s">
        <v>320</v>
      </c>
      <c r="B23" s="66">
        <v>17.4481</v>
      </c>
      <c r="C23" s="66">
        <v>1.2074499999999999</v>
      </c>
      <c r="D23" s="66">
        <v>6.9202200000000005E-2</v>
      </c>
      <c r="E23" s="66">
        <v>0</v>
      </c>
      <c r="F23" s="66">
        <v>14.9633</v>
      </c>
      <c r="G23" s="66">
        <v>0</v>
      </c>
      <c r="H23" s="66">
        <v>19.8566</v>
      </c>
    </row>
    <row r="24" spans="1:8">
      <c r="A24" s="66" t="s">
        <v>321</v>
      </c>
      <c r="B24" s="66">
        <v>5.8960699999999998E-3</v>
      </c>
      <c r="C24" s="66">
        <v>1.40582E-2</v>
      </c>
      <c r="D24" s="66">
        <v>2.3843299999999998</v>
      </c>
      <c r="E24" s="66">
        <v>0</v>
      </c>
      <c r="F24" s="66">
        <v>4.38647E-3</v>
      </c>
      <c r="G24" s="66">
        <v>0</v>
      </c>
      <c r="H24" s="66">
        <v>7.5316400000000006E-2</v>
      </c>
    </row>
    <row r="25" spans="1:8">
      <c r="A25" s="66" t="s">
        <v>322</v>
      </c>
      <c r="B25" s="66">
        <v>7.69291E-2</v>
      </c>
      <c r="C25" s="66">
        <v>0.141407</v>
      </c>
      <c r="D25" s="66">
        <v>1.8381400000000001</v>
      </c>
      <c r="E25" s="66">
        <v>0</v>
      </c>
      <c r="F25" s="66">
        <v>1.23135E-2</v>
      </c>
      <c r="G25" s="66">
        <v>0</v>
      </c>
      <c r="H25" s="66">
        <v>0.67750900000000003</v>
      </c>
    </row>
    <row r="26" spans="1:8">
      <c r="A26" s="66" t="s">
        <v>323</v>
      </c>
      <c r="B26" s="66">
        <v>1.30974E-3</v>
      </c>
      <c r="C26" s="66">
        <v>1.8680299999999999E-3</v>
      </c>
      <c r="D26" s="66">
        <v>1.4262600000000001</v>
      </c>
      <c r="E26" s="66">
        <v>0</v>
      </c>
      <c r="F26" s="196">
        <v>1.9695400000000001E-5</v>
      </c>
      <c r="G26" s="66">
        <v>0</v>
      </c>
      <c r="H26" s="66">
        <v>1.50998E-2</v>
      </c>
    </row>
    <row r="27" spans="1:8">
      <c r="A27" s="66" t="s">
        <v>401</v>
      </c>
      <c r="B27" s="196">
        <v>8.2062299999999999E-6</v>
      </c>
      <c r="C27" s="66">
        <v>1.4449300000000001E-3</v>
      </c>
      <c r="D27" s="66">
        <v>176.077</v>
      </c>
      <c r="E27" s="66">
        <v>0</v>
      </c>
      <c r="F27" s="66">
        <v>-9.8542500000000002E-3</v>
      </c>
      <c r="G27" s="66">
        <v>0</v>
      </c>
      <c r="H27" s="66">
        <v>1.0855399999999999E-2</v>
      </c>
    </row>
    <row r="28" spans="1:8">
      <c r="A28" s="66" t="s">
        <v>325</v>
      </c>
      <c r="B28" s="66">
        <v>7.3795600000000003E-3</v>
      </c>
      <c r="C28" s="66">
        <v>1.47936E-2</v>
      </c>
      <c r="D28" s="66">
        <v>2.00467</v>
      </c>
      <c r="E28" s="66">
        <v>0</v>
      </c>
      <c r="F28" s="196">
        <v>3.2552100000000003E-5</v>
      </c>
      <c r="G28" s="66">
        <v>0</v>
      </c>
      <c r="H28" s="66">
        <v>7.8935500000000006E-2</v>
      </c>
    </row>
    <row r="29" spans="1:8">
      <c r="A29" s="66" t="s">
        <v>326</v>
      </c>
      <c r="B29" s="66">
        <v>67.612300000000005</v>
      </c>
      <c r="C29" s="66">
        <v>10.6326</v>
      </c>
      <c r="D29" s="66">
        <v>0.15725800000000001</v>
      </c>
      <c r="E29" s="66">
        <v>0</v>
      </c>
      <c r="F29" s="66">
        <v>40.97</v>
      </c>
      <c r="G29" s="66">
        <v>0</v>
      </c>
      <c r="H29" s="66">
        <v>97.9983</v>
      </c>
    </row>
    <row r="30" spans="1:8">
      <c r="A30" s="66" t="s">
        <v>327</v>
      </c>
      <c r="B30" s="66">
        <v>21.5764</v>
      </c>
      <c r="C30" s="66">
        <v>1.2390300000000001</v>
      </c>
      <c r="D30" s="66">
        <v>5.7425499999999997E-2</v>
      </c>
      <c r="E30" s="66">
        <v>0</v>
      </c>
      <c r="F30" s="66">
        <v>19.514800000000001</v>
      </c>
      <c r="G30" s="66">
        <v>0</v>
      </c>
      <c r="H30" s="66">
        <v>24.661000000000001</v>
      </c>
    </row>
    <row r="31" spans="1:8">
      <c r="A31" s="66" t="s">
        <v>328</v>
      </c>
      <c r="B31" s="66">
        <v>242.41900000000001</v>
      </c>
      <c r="C31" s="66">
        <v>19.226199999999999</v>
      </c>
      <c r="D31" s="66">
        <v>7.9309699999999997E-2</v>
      </c>
      <c r="E31" s="66">
        <v>0</v>
      </c>
      <c r="F31" s="66">
        <v>202.79499999999999</v>
      </c>
      <c r="G31" s="66">
        <v>0</v>
      </c>
      <c r="H31" s="66">
        <v>290.80799999999999</v>
      </c>
    </row>
    <row r="32" spans="1:8">
      <c r="A32" s="66" t="s">
        <v>329</v>
      </c>
      <c r="B32" s="66">
        <v>0.36375000000000002</v>
      </c>
      <c r="C32" s="66">
        <v>7.6044899999999999E-2</v>
      </c>
      <c r="D32" s="66">
        <v>0.20905799999999999</v>
      </c>
      <c r="E32" s="66">
        <v>0.15</v>
      </c>
      <c r="F32" s="66">
        <v>0.149727</v>
      </c>
      <c r="G32" s="66">
        <v>0.4</v>
      </c>
      <c r="H32" s="66">
        <v>0.79738799999999999</v>
      </c>
    </row>
    <row r="33" spans="1:8">
      <c r="A33" s="66" t="s">
        <v>330</v>
      </c>
      <c r="B33" s="66">
        <v>0.373056</v>
      </c>
      <c r="C33" s="66">
        <v>3.1336200000000002E-2</v>
      </c>
      <c r="D33" s="66">
        <v>8.3998699999999996E-2</v>
      </c>
      <c r="E33" s="66">
        <v>0</v>
      </c>
      <c r="F33" s="66">
        <v>0.34690300000000002</v>
      </c>
      <c r="G33" s="66">
        <v>0</v>
      </c>
      <c r="H33" s="66">
        <v>0.45352700000000001</v>
      </c>
    </row>
    <row r="34" spans="1:8">
      <c r="A34" s="66" t="s">
        <v>331</v>
      </c>
      <c r="B34" s="66">
        <v>0.113465</v>
      </c>
      <c r="C34" s="66">
        <v>9.2458200000000001E-3</v>
      </c>
      <c r="D34" s="66">
        <v>8.1485799999999997E-2</v>
      </c>
      <c r="E34" s="66">
        <v>0.1</v>
      </c>
      <c r="F34" s="66">
        <v>0.10322099999999999</v>
      </c>
      <c r="G34" s="66">
        <v>0.25</v>
      </c>
      <c r="H34" s="66">
        <v>0.156528</v>
      </c>
    </row>
    <row r="35" spans="1:8">
      <c r="A35" s="66" t="s">
        <v>332</v>
      </c>
      <c r="B35" s="66">
        <v>2.9950999999999998E-2</v>
      </c>
      <c r="C35" s="66">
        <v>1.55944E-2</v>
      </c>
      <c r="D35" s="66">
        <v>0.52066199999999996</v>
      </c>
      <c r="E35" s="66">
        <v>0</v>
      </c>
      <c r="F35" s="66">
        <v>6.1278699999999997E-3</v>
      </c>
      <c r="G35" s="66">
        <v>0</v>
      </c>
      <c r="H35" s="66">
        <v>7.1563600000000005E-2</v>
      </c>
    </row>
    <row r="36" spans="1:8">
      <c r="A36" s="66" t="s">
        <v>333</v>
      </c>
      <c r="B36" s="66">
        <v>0.101439</v>
      </c>
      <c r="C36" s="66">
        <v>3.5978400000000001E-2</v>
      </c>
      <c r="D36" s="66">
        <v>0.35468</v>
      </c>
      <c r="E36" s="66">
        <v>0</v>
      </c>
      <c r="F36" s="66">
        <v>5.19745E-2</v>
      </c>
      <c r="G36" s="66">
        <v>0</v>
      </c>
      <c r="H36" s="66">
        <v>0.28319499999999997</v>
      </c>
    </row>
    <row r="37" spans="1:8">
      <c r="A37" s="66" t="s">
        <v>334</v>
      </c>
      <c r="B37" s="66">
        <v>9.2458200000000004E-2</v>
      </c>
      <c r="C37" s="66">
        <v>4.24222E-2</v>
      </c>
      <c r="D37" s="66">
        <v>0.45882499999999998</v>
      </c>
      <c r="E37" s="66">
        <v>0.1</v>
      </c>
      <c r="F37" s="66">
        <v>6.7029200000000002E-3</v>
      </c>
      <c r="G37" s="66">
        <v>0.5</v>
      </c>
      <c r="H37" s="66">
        <v>0.15214</v>
      </c>
    </row>
    <row r="38" spans="1:8">
      <c r="A38" s="66" t="s">
        <v>335</v>
      </c>
      <c r="B38" s="66">
        <v>-15.156000000000001</v>
      </c>
      <c r="C38" s="66">
        <v>54.323399999999999</v>
      </c>
      <c r="D38" s="66">
        <v>-3.5842800000000001</v>
      </c>
      <c r="E38" s="66">
        <v>0</v>
      </c>
      <c r="F38" s="66">
        <v>-169.77199999999999</v>
      </c>
      <c r="G38" s="66">
        <v>0</v>
      </c>
      <c r="H38" s="66">
        <v>178.30699999999999</v>
      </c>
    </row>
    <row r="39" spans="1:8">
      <c r="A39" s="66" t="s">
        <v>336</v>
      </c>
      <c r="B39" s="66">
        <v>-4.6017400000000004</v>
      </c>
      <c r="C39" s="66">
        <v>6.6131099999999998</v>
      </c>
      <c r="D39" s="66">
        <v>-1.43709</v>
      </c>
      <c r="E39" s="66">
        <v>0</v>
      </c>
      <c r="F39" s="66">
        <v>-12.488099999999999</v>
      </c>
      <c r="G39" s="66">
        <v>0</v>
      </c>
      <c r="H39" s="66">
        <v>19.765799999999999</v>
      </c>
    </row>
    <row r="40" spans="1:8">
      <c r="A40" s="66" t="s">
        <v>337</v>
      </c>
      <c r="B40" s="66">
        <v>-2.3214800000000002</v>
      </c>
      <c r="C40" s="66">
        <v>0.67681199999999997</v>
      </c>
      <c r="D40" s="66">
        <v>-0.291543</v>
      </c>
      <c r="E40" s="66">
        <v>0</v>
      </c>
      <c r="F40" s="66">
        <v>-3.9862000000000002</v>
      </c>
      <c r="G40" s="66">
        <v>0</v>
      </c>
      <c r="H40" s="66">
        <v>-0.89931399999999995</v>
      </c>
    </row>
    <row r="41" spans="1:8">
      <c r="A41" s="66" t="s">
        <v>338</v>
      </c>
      <c r="B41" s="66">
        <v>-9.61761E-2</v>
      </c>
      <c r="C41" s="66">
        <v>0.38648100000000002</v>
      </c>
      <c r="D41" s="66">
        <v>-4.0184699999999998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-6.0025500000000002E-2</v>
      </c>
      <c r="C42" s="66">
        <v>0.13325799999999999</v>
      </c>
      <c r="D42" s="66">
        <v>-2.2200199999999999</v>
      </c>
      <c r="E42" s="66">
        <v>0</v>
      </c>
      <c r="F42" s="66">
        <v>-0.30055199999999999</v>
      </c>
      <c r="G42" s="66">
        <v>0</v>
      </c>
      <c r="H42" s="66">
        <v>0.41375499999999998</v>
      </c>
    </row>
    <row r="43" spans="1:8">
      <c r="A43" s="66" t="s">
        <v>340</v>
      </c>
      <c r="B43" s="66">
        <v>-4.9630300000000002E-2</v>
      </c>
      <c r="C43" s="66">
        <v>6.4301700000000003E-2</v>
      </c>
      <c r="D43" s="66">
        <v>-1.2956099999999999</v>
      </c>
      <c r="E43" s="66">
        <v>0</v>
      </c>
      <c r="F43" s="66">
        <v>-0.22569600000000001</v>
      </c>
      <c r="G43" s="66">
        <v>0</v>
      </c>
      <c r="H43" s="66">
        <v>2.3479799999999999E-2</v>
      </c>
    </row>
    <row r="44" spans="1:8">
      <c r="A44" s="66" t="s">
        <v>341</v>
      </c>
      <c r="B44" s="66">
        <v>-14.0587</v>
      </c>
      <c r="C44" s="66">
        <v>8.3260000000000005</v>
      </c>
      <c r="D44" s="66">
        <v>-0.59223000000000003</v>
      </c>
      <c r="E44" s="66">
        <v>0</v>
      </c>
      <c r="F44" s="66">
        <v>-30.394100000000002</v>
      </c>
      <c r="G44" s="66">
        <v>0</v>
      </c>
      <c r="H44" s="66">
        <v>3.3755799999999998</v>
      </c>
    </row>
    <row r="45" spans="1:8">
      <c r="A45" s="66" t="s">
        <v>342</v>
      </c>
      <c r="B45" s="66">
        <v>50.671999999999997</v>
      </c>
      <c r="C45" s="66">
        <v>7.8768500000000001</v>
      </c>
      <c r="D45" s="66">
        <v>0.155448</v>
      </c>
      <c r="E45" s="66">
        <v>0</v>
      </c>
      <c r="F45" s="66">
        <v>34.383699999999997</v>
      </c>
      <c r="G45" s="66">
        <v>0</v>
      </c>
      <c r="H45" s="66">
        <v>71.086600000000004</v>
      </c>
    </row>
    <row r="46" spans="1:8">
      <c r="A46" s="66" t="s">
        <v>343</v>
      </c>
      <c r="B46" s="66">
        <v>30.229700000000001</v>
      </c>
      <c r="C46" s="66">
        <v>1.3894899999999999</v>
      </c>
      <c r="D46" s="66">
        <v>4.5964400000000002E-2</v>
      </c>
      <c r="E46" s="66">
        <v>0</v>
      </c>
      <c r="F46" s="66">
        <v>28.593399999999999</v>
      </c>
      <c r="G46" s="66">
        <v>0</v>
      </c>
      <c r="H46" s="66">
        <v>35.426299999999998</v>
      </c>
    </row>
    <row r="47" spans="1:8">
      <c r="A47" s="66" t="s">
        <v>344</v>
      </c>
      <c r="B47" s="66">
        <v>0.78897600000000001</v>
      </c>
      <c r="C47" s="66">
        <v>0.49094900000000002</v>
      </c>
      <c r="D47" s="66">
        <v>0.62226000000000004</v>
      </c>
      <c r="E47" s="66">
        <v>0</v>
      </c>
      <c r="F47" s="66">
        <v>0.31950400000000001</v>
      </c>
      <c r="G47" s="66">
        <v>0</v>
      </c>
      <c r="H47" s="66">
        <v>2.5691099999999998</v>
      </c>
    </row>
    <row r="48" spans="1:8">
      <c r="A48" s="66" t="s">
        <v>345</v>
      </c>
      <c r="B48" s="66">
        <v>0.713731</v>
      </c>
      <c r="C48" s="66">
        <v>8.7622599999999995E-2</v>
      </c>
      <c r="D48" s="66">
        <v>0.122767</v>
      </c>
      <c r="E48" s="66">
        <v>0</v>
      </c>
      <c r="F48" s="66">
        <v>0.56006400000000001</v>
      </c>
      <c r="G48" s="66">
        <v>0</v>
      </c>
      <c r="H48" s="66">
        <v>0.90300100000000005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91.750942116738813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1.771480415399894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0.69681830333631567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2019</v>
      </c>
      <c r="B8" s="66">
        <v>2019</v>
      </c>
      <c r="D8">
        <f t="shared" si="0"/>
        <v>1.1900200989031069E-2</v>
      </c>
      <c r="E8">
        <f t="shared" si="0"/>
        <v>1.1900200989031069E-2</v>
      </c>
      <c r="G8">
        <f t="shared" ca="1" si="1"/>
        <v>6</v>
      </c>
      <c r="H8">
        <f t="shared" ca="1" si="2"/>
        <v>7.1401205934186418E-2</v>
      </c>
      <c r="I8">
        <f t="shared" ca="1" si="3"/>
        <v>87.504844396890491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12398</v>
      </c>
      <c r="B10" s="66">
        <v>12398</v>
      </c>
      <c r="D10">
        <f t="shared" si="0"/>
        <v>7.3075132175337884E-2</v>
      </c>
      <c r="E10">
        <f t="shared" si="0"/>
        <v>7.3075132175337884E-2</v>
      </c>
      <c r="G10">
        <f t="shared" ca="1" si="1"/>
        <v>8</v>
      </c>
      <c r="H10">
        <f t="shared" ca="1" si="2"/>
        <v>0.58460105740270307</v>
      </c>
      <c r="I10">
        <f t="shared" ca="1" si="3"/>
        <v>512.56507592706441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17942</v>
      </c>
      <c r="B13" s="66">
        <v>17942</v>
      </c>
      <c r="D13">
        <f t="shared" si="0"/>
        <v>0.10575205851668916</v>
      </c>
      <c r="E13">
        <f t="shared" si="0"/>
        <v>0.10575205851668916</v>
      </c>
      <c r="G13">
        <f t="shared" ca="1" si="1"/>
        <v>11</v>
      </c>
      <c r="H13">
        <f t="shared" ca="1" si="2"/>
        <v>1.1632726436835807</v>
      </c>
      <c r="I13">
        <f t="shared" ca="1" si="3"/>
        <v>689.57899752728838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20045</v>
      </c>
      <c r="B15" s="66">
        <v>20045</v>
      </c>
      <c r="D15">
        <f t="shared" si="0"/>
        <v>0.11814736445028616</v>
      </c>
      <c r="E15">
        <f t="shared" si="0"/>
        <v>0.11814736445028616</v>
      </c>
      <c r="G15">
        <f t="shared" ca="1" si="1"/>
        <v>13</v>
      </c>
      <c r="H15">
        <f t="shared" ca="1" si="2"/>
        <v>1.53591573785372</v>
      </c>
      <c r="I15">
        <f t="shared" ca="1" si="3"/>
        <v>732.71579605962052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23153</v>
      </c>
      <c r="B18" s="66">
        <v>23153</v>
      </c>
      <c r="D18">
        <f t="shared" si="0"/>
        <v>0.13646624739922553</v>
      </c>
      <c r="E18">
        <f t="shared" si="0"/>
        <v>0.13646624739922553</v>
      </c>
      <c r="G18">
        <f t="shared" ca="1" si="1"/>
        <v>16</v>
      </c>
      <c r="H18">
        <f t="shared" ca="1" si="2"/>
        <v>2.1834599583876084</v>
      </c>
      <c r="I18">
        <f t="shared" ca="1" si="3"/>
        <v>783.07133475944136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19228</v>
      </c>
      <c r="B21" s="66">
        <v>19228</v>
      </c>
      <c r="D21">
        <f t="shared" si="0"/>
        <v>0.11333187945373421</v>
      </c>
      <c r="E21">
        <f t="shared" si="0"/>
        <v>0.11333187945373421</v>
      </c>
      <c r="G21">
        <f t="shared" ca="1" si="1"/>
        <v>19</v>
      </c>
      <c r="H21">
        <f t="shared" ca="1" si="2"/>
        <v>2.15330570962095</v>
      </c>
      <c r="I21">
        <f t="shared" ca="1" si="3"/>
        <v>599.83159065767381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18047</v>
      </c>
      <c r="B23" s="66">
        <v>18047</v>
      </c>
      <c r="D23">
        <f t="shared" si="0"/>
        <v>0.10637093969739657</v>
      </c>
      <c r="E23">
        <f t="shared" si="0"/>
        <v>0.10637093969739657</v>
      </c>
      <c r="G23">
        <f t="shared" ca="1" si="1"/>
        <v>21</v>
      </c>
      <c r="H23">
        <f t="shared" ca="1" si="2"/>
        <v>2.2337897336453278</v>
      </c>
      <c r="I23">
        <f t="shared" ca="1" si="3"/>
        <v>532.46056719222065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22582</v>
      </c>
      <c r="B26" s="66">
        <v>22582</v>
      </c>
      <c r="D26">
        <f t="shared" si="0"/>
        <v>0.13310071259747377</v>
      </c>
      <c r="E26">
        <f t="shared" si="0"/>
        <v>0.13310071259747377</v>
      </c>
      <c r="G26">
        <f t="shared" ca="1" si="1"/>
        <v>24</v>
      </c>
      <c r="H26">
        <f t="shared" ca="1" si="2"/>
        <v>3.1944171023393704</v>
      </c>
      <c r="I26">
        <f t="shared" ca="1" si="3"/>
        <v>610.95758094853829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26240</v>
      </c>
      <c r="B28" s="66">
        <v>26240</v>
      </c>
      <c r="D28">
        <f t="shared" si="0"/>
        <v>0.15466135411202339</v>
      </c>
      <c r="E28">
        <f t="shared" si="0"/>
        <v>0.15466135411202339</v>
      </c>
      <c r="G28">
        <f t="shared" ca="1" si="1"/>
        <v>26</v>
      </c>
      <c r="H28">
        <f t="shared" ca="1" si="2"/>
        <v>4.0211952069126085</v>
      </c>
      <c r="I28">
        <f t="shared" ca="1" si="3"/>
        <v>668.62986103833225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33331</v>
      </c>
      <c r="B31" s="66">
        <v>33331</v>
      </c>
      <c r="D31">
        <f t="shared" si="0"/>
        <v>0.19645646318246385</v>
      </c>
      <c r="E31">
        <f t="shared" si="0"/>
        <v>0.19645646318246385</v>
      </c>
      <c r="G31">
        <f t="shared" ca="1" si="1"/>
        <v>29</v>
      </c>
      <c r="H31">
        <f t="shared" ca="1" si="2"/>
        <v>5.6972374322914519</v>
      </c>
      <c r="I31">
        <f t="shared" ca="1" si="3"/>
        <v>773.58283064203465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38847</v>
      </c>
      <c r="B33" s="66">
        <v>38847</v>
      </c>
      <c r="D33">
        <f t="shared" si="0"/>
        <v>0.22896835454229317</v>
      </c>
      <c r="E33">
        <f t="shared" si="0"/>
        <v>0.22896835454229317</v>
      </c>
      <c r="G33">
        <f t="shared" ca="1" si="1"/>
        <v>31</v>
      </c>
      <c r="H33">
        <f t="shared" ca="1" si="2"/>
        <v>7.098018990811088</v>
      </c>
      <c r="I33">
        <f t="shared" ca="1" si="3"/>
        <v>845.04823252643644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47113</v>
      </c>
      <c r="B36" s="66">
        <v>47113</v>
      </c>
      <c r="D36">
        <f t="shared" si="0"/>
        <v>0.2776890387301737</v>
      </c>
      <c r="E36">
        <f t="shared" si="0"/>
        <v>0.2776890387301737</v>
      </c>
      <c r="G36">
        <f t="shared" ca="1" si="1"/>
        <v>34</v>
      </c>
      <c r="H36">
        <f t="shared" ca="1" si="2"/>
        <v>9.4414273168259051</v>
      </c>
      <c r="I36">
        <f t="shared" ca="1" si="3"/>
        <v>926.14051656579898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61479</v>
      </c>
      <c r="B39" s="66">
        <v>61479</v>
      </c>
      <c r="D39">
        <f t="shared" si="0"/>
        <v>0.36236377246391333</v>
      </c>
      <c r="E39">
        <f t="shared" si="0"/>
        <v>0.36236377246391333</v>
      </c>
      <c r="G39">
        <f t="shared" ca="1" si="1"/>
        <v>37</v>
      </c>
      <c r="H39">
        <f t="shared" ca="1" si="2"/>
        <v>13.407459581164794</v>
      </c>
      <c r="I39">
        <f t="shared" ca="1" si="3"/>
        <v>1086.2454381108132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65427</v>
      </c>
      <c r="B41" s="66">
        <v>65427</v>
      </c>
      <c r="D41">
        <f t="shared" si="0"/>
        <v>0.38563370485851195</v>
      </c>
      <c r="E41">
        <f t="shared" si="0"/>
        <v>0.38563370485851195</v>
      </c>
      <c r="G41">
        <f t="shared" ca="1" si="1"/>
        <v>39</v>
      </c>
      <c r="H41">
        <f t="shared" ca="1" si="2"/>
        <v>15.039714489481966</v>
      </c>
      <c r="I41">
        <f t="shared" ca="1" si="3"/>
        <v>1073.0882156303114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73310</v>
      </c>
      <c r="B44" s="66">
        <v>73310</v>
      </c>
      <c r="D44">
        <f t="shared" si="0"/>
        <v>0.4320969462634312</v>
      </c>
      <c r="E44">
        <f t="shared" si="0"/>
        <v>0.4320969462634312</v>
      </c>
      <c r="G44">
        <f t="shared" ca="1" si="1"/>
        <v>42</v>
      </c>
      <c r="H44">
        <f t="shared" ca="1" si="2"/>
        <v>18.148071743064111</v>
      </c>
      <c r="I44">
        <f t="shared" ca="1" si="3"/>
        <v>1069.5074534783596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75975</v>
      </c>
      <c r="B46" s="66">
        <v>75975</v>
      </c>
      <c r="D46">
        <f t="shared" si="0"/>
        <v>0.44780474004043358</v>
      </c>
      <c r="E46">
        <f t="shared" si="0"/>
        <v>0.44780474004043358</v>
      </c>
      <c r="G46">
        <f t="shared" ca="1" si="1"/>
        <v>44</v>
      </c>
      <c r="H46">
        <f t="shared" ca="1" si="2"/>
        <v>19.703408561779078</v>
      </c>
      <c r="I46">
        <f t="shared" ca="1" si="3"/>
        <v>1021.0630854405007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81975</v>
      </c>
      <c r="B49" s="66">
        <v>81975</v>
      </c>
      <c r="D49">
        <f t="shared" si="0"/>
        <v>0.48316937893799988</v>
      </c>
      <c r="E49">
        <f t="shared" si="0"/>
        <v>0.48316937893799988</v>
      </c>
      <c r="G49">
        <f t="shared" ca="1" si="1"/>
        <v>47</v>
      </c>
      <c r="H49">
        <f t="shared" ca="1" si="2"/>
        <v>22.708960810085994</v>
      </c>
      <c r="I49">
        <f t="shared" ca="1" si="3"/>
        <v>967.61762041376403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83129</v>
      </c>
      <c r="B51" s="66">
        <v>83129</v>
      </c>
      <c r="D51">
        <f t="shared" si="0"/>
        <v>0.4899711778192985</v>
      </c>
      <c r="E51">
        <f t="shared" si="0"/>
        <v>0.4899711778192985</v>
      </c>
      <c r="G51">
        <f t="shared" ca="1" si="1"/>
        <v>49</v>
      </c>
      <c r="H51">
        <f t="shared" ca="1" si="2"/>
        <v>24.008587713145626</v>
      </c>
      <c r="I51">
        <f t="shared" ca="1" si="3"/>
        <v>895.49241875738994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92974</v>
      </c>
      <c r="B54" s="66">
        <v>92974</v>
      </c>
      <c r="D54">
        <f t="shared" si="0"/>
        <v>0.5479986561437219</v>
      </c>
      <c r="E54">
        <f t="shared" si="0"/>
        <v>0.5479986561437219</v>
      </c>
      <c r="G54">
        <f t="shared" ca="1" si="1"/>
        <v>52</v>
      </c>
      <c r="H54">
        <f t="shared" ca="1" si="2"/>
        <v>28.495930119473538</v>
      </c>
      <c r="I54">
        <f t="shared" ca="1" si="3"/>
        <v>865.91317126667491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89308</v>
      </c>
      <c r="B57" s="66">
        <v>89308</v>
      </c>
      <c r="D57">
        <f t="shared" si="0"/>
        <v>0.52639086177730887</v>
      </c>
      <c r="E57">
        <f t="shared" si="0"/>
        <v>0.52639086177730887</v>
      </c>
      <c r="G57">
        <f t="shared" ca="1" si="1"/>
        <v>55</v>
      </c>
      <c r="H57">
        <f t="shared" ca="1" si="2"/>
        <v>28.951497397751989</v>
      </c>
      <c r="I57">
        <f t="shared" ca="1" si="3"/>
        <v>710.9602089670226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95541</v>
      </c>
      <c r="B59" s="66">
        <v>95541</v>
      </c>
      <c r="D59">
        <f t="shared" si="0"/>
        <v>0.56312882748539739</v>
      </c>
      <c r="E59">
        <f t="shared" si="0"/>
        <v>0.56312882748539739</v>
      </c>
      <c r="G59">
        <f t="shared" ca="1" si="1"/>
        <v>57</v>
      </c>
      <c r="H59">
        <f t="shared" ca="1" si="2"/>
        <v>32.098343166667654</v>
      </c>
      <c r="I59">
        <f t="shared" ca="1" si="3"/>
        <v>680.05012729022587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98783</v>
      </c>
      <c r="B62" s="66">
        <v>98783</v>
      </c>
      <c r="D62">
        <f t="shared" si="0"/>
        <v>0.58223752070304902</v>
      </c>
      <c r="E62">
        <f t="shared" si="0"/>
        <v>0.58223752070304902</v>
      </c>
      <c r="G62">
        <f t="shared" ca="1" si="1"/>
        <v>60</v>
      </c>
      <c r="H62">
        <f t="shared" ca="1" si="2"/>
        <v>34.934251242182938</v>
      </c>
      <c r="I62">
        <f t="shared" ca="1" si="3"/>
        <v>586.9666432483549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116901</v>
      </c>
      <c r="B64" s="66">
        <v>116901</v>
      </c>
      <c r="D64">
        <f t="shared" si="0"/>
        <v>0.68902694196073344</v>
      </c>
      <c r="E64">
        <f t="shared" si="0"/>
        <v>0.68902694196073344</v>
      </c>
      <c r="G64">
        <f t="shared" ca="1" si="1"/>
        <v>62</v>
      </c>
      <c r="H64">
        <f t="shared" ca="1" si="2"/>
        <v>42.719670401565473</v>
      </c>
      <c r="I64">
        <f t="shared" ca="1" si="3"/>
        <v>609.87053248771394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134159</v>
      </c>
      <c r="B67" s="66">
        <v>134159</v>
      </c>
      <c r="D67">
        <f t="shared" ref="D67:E130" si="4">IFERROR( A67/MAX(A$2:A$257), 0 )</f>
        <v>0.79074743164310002</v>
      </c>
      <c r="E67">
        <f t="shared" si="4"/>
        <v>0.79074743164310002</v>
      </c>
      <c r="G67">
        <f t="shared" ref="G67:G130" ca="1" si="5">CELL("row",D67)-2</f>
        <v>65</v>
      </c>
      <c r="H67">
        <f t="shared" ref="H67:H130" ca="1" si="6">D67*G67</f>
        <v>51.398583056801499</v>
      </c>
      <c r="I67">
        <f t="shared" ref="I67:I130" ca="1" si="7">D67*((G67-$L$1)^2)</f>
        <v>565.86906599391705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137475</v>
      </c>
      <c r="B69" s="66">
        <v>137475</v>
      </c>
      <c r="D69">
        <f t="shared" si="4"/>
        <v>0.81029228874048842</v>
      </c>
      <c r="E69">
        <f t="shared" si="4"/>
        <v>0.81029228874048842</v>
      </c>
      <c r="G69">
        <f t="shared" ca="1" si="5"/>
        <v>67</v>
      </c>
      <c r="H69">
        <f t="shared" ca="1" si="6"/>
        <v>54.289583345612726</v>
      </c>
      <c r="I69">
        <f t="shared" ca="1" si="7"/>
        <v>496.39245864226132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150040</v>
      </c>
      <c r="B72" s="66">
        <v>150040</v>
      </c>
      <c r="D72">
        <f t="shared" si="4"/>
        <v>0.88435173669847522</v>
      </c>
      <c r="E72">
        <f t="shared" si="4"/>
        <v>0.88435173669847522</v>
      </c>
      <c r="G72">
        <f t="shared" ca="1" si="5"/>
        <v>70</v>
      </c>
      <c r="H72">
        <f t="shared" ca="1" si="6"/>
        <v>61.904621568893262</v>
      </c>
      <c r="I72">
        <f t="shared" ca="1" si="7"/>
        <v>418.38988679883403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161006</v>
      </c>
      <c r="B75" s="66">
        <v>161006</v>
      </c>
      <c r="D75">
        <f t="shared" si="4"/>
        <v>0.94898650839026055</v>
      </c>
      <c r="E75">
        <f t="shared" si="4"/>
        <v>0.94898650839026055</v>
      </c>
      <c r="G75">
        <f t="shared" ca="1" si="5"/>
        <v>73</v>
      </c>
      <c r="H75">
        <f t="shared" ca="1" si="6"/>
        <v>69.27601511248902</v>
      </c>
      <c r="I75">
        <f t="shared" ca="1" si="7"/>
        <v>333.66159730104846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167714</v>
      </c>
      <c r="B77" s="66">
        <v>167714</v>
      </c>
      <c r="D77">
        <f t="shared" si="4"/>
        <v>0.98852417467773968</v>
      </c>
      <c r="E77">
        <f t="shared" si="4"/>
        <v>0.98852417467773968</v>
      </c>
      <c r="G77">
        <f t="shared" ca="1" si="5"/>
        <v>75</v>
      </c>
      <c r="H77">
        <f t="shared" ca="1" si="6"/>
        <v>74.139313100830478</v>
      </c>
      <c r="I77">
        <f t="shared" ca="1" si="7"/>
        <v>277.37401335867298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169661</v>
      </c>
      <c r="B80" s="66">
        <v>169661</v>
      </c>
      <c r="D80">
        <f t="shared" si="4"/>
        <v>1</v>
      </c>
      <c r="E80">
        <f t="shared" si="4"/>
        <v>1</v>
      </c>
      <c r="G80">
        <f t="shared" ca="1" si="5"/>
        <v>78</v>
      </c>
      <c r="H80">
        <f t="shared" ca="1" si="6"/>
        <v>78</v>
      </c>
      <c r="I80">
        <f t="shared" ca="1" si="7"/>
        <v>189.08840909790129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169124</v>
      </c>
      <c r="B82" s="66">
        <v>169124</v>
      </c>
      <c r="D82">
        <f t="shared" si="4"/>
        <v>0.99683486481866779</v>
      </c>
      <c r="E82">
        <f t="shared" si="4"/>
        <v>0.99683486481866779</v>
      </c>
      <c r="G82">
        <f t="shared" ca="1" si="5"/>
        <v>80</v>
      </c>
      <c r="H82">
        <f t="shared" ca="1" si="6"/>
        <v>79.746789185493427</v>
      </c>
      <c r="I82">
        <f t="shared" ca="1" si="7"/>
        <v>137.64758407688342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157774</v>
      </c>
      <c r="B85" s="66">
        <v>157774</v>
      </c>
      <c r="D85">
        <f t="shared" si="4"/>
        <v>0.92993675623743821</v>
      </c>
      <c r="E85">
        <f t="shared" si="4"/>
        <v>0.92993675623743821</v>
      </c>
      <c r="G85">
        <f t="shared" ca="1" si="5"/>
        <v>83</v>
      </c>
      <c r="H85">
        <f t="shared" ca="1" si="6"/>
        <v>77.184750767707371</v>
      </c>
      <c r="I85">
        <f t="shared" ca="1" si="7"/>
        <v>71.21361563204735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159450</v>
      </c>
      <c r="B88" s="66">
        <v>159450</v>
      </c>
      <c r="D88">
        <f t="shared" si="4"/>
        <v>0.939815278702825</v>
      </c>
      <c r="E88">
        <f t="shared" si="4"/>
        <v>0.939815278702825</v>
      </c>
      <c r="G88">
        <f t="shared" ca="1" si="5"/>
        <v>86</v>
      </c>
      <c r="H88">
        <f t="shared" ca="1" si="6"/>
        <v>80.824113968442944</v>
      </c>
      <c r="I88">
        <f t="shared" ca="1" si="7"/>
        <v>31.082825766889876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156372</v>
      </c>
      <c r="B90" s="66">
        <v>156372</v>
      </c>
      <c r="D90">
        <f t="shared" si="4"/>
        <v>0.92167321894837351</v>
      </c>
      <c r="E90">
        <f t="shared" si="4"/>
        <v>0.92167321894837351</v>
      </c>
      <c r="G90">
        <f t="shared" ca="1" si="5"/>
        <v>88</v>
      </c>
      <c r="H90">
        <f t="shared" ca="1" si="6"/>
        <v>81.107243267456866</v>
      </c>
      <c r="I90">
        <f t="shared" ca="1" si="7"/>
        <v>12.967542887778507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151301</v>
      </c>
      <c r="B93" s="66">
        <v>151301</v>
      </c>
      <c r="D93">
        <f t="shared" si="4"/>
        <v>0.89178420497344701</v>
      </c>
      <c r="E93">
        <f t="shared" si="4"/>
        <v>0.89178420497344701</v>
      </c>
      <c r="G93">
        <f t="shared" ca="1" si="5"/>
        <v>91</v>
      </c>
      <c r="H93">
        <f t="shared" ca="1" si="6"/>
        <v>81.152362652583676</v>
      </c>
      <c r="I93">
        <f t="shared" ca="1" si="7"/>
        <v>0.50288965407128206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149164</v>
      </c>
      <c r="B95" s="66">
        <v>149164</v>
      </c>
      <c r="D95">
        <f t="shared" si="4"/>
        <v>0.87918849941943056</v>
      </c>
      <c r="E95">
        <f t="shared" si="4"/>
        <v>0.87918849941943056</v>
      </c>
      <c r="G95">
        <f t="shared" ca="1" si="5"/>
        <v>93</v>
      </c>
      <c r="H95">
        <f t="shared" ca="1" si="6"/>
        <v>81.764530446007043</v>
      </c>
      <c r="I95">
        <f t="shared" ca="1" si="7"/>
        <v>1.3716620651917744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145486</v>
      </c>
      <c r="B98" s="66">
        <v>145486</v>
      </c>
      <c r="D98">
        <f t="shared" si="4"/>
        <v>0.85750997577522237</v>
      </c>
      <c r="E98">
        <f t="shared" si="4"/>
        <v>0.85750997577522237</v>
      </c>
      <c r="G98">
        <f t="shared" ca="1" si="5"/>
        <v>96</v>
      </c>
      <c r="H98">
        <f t="shared" ca="1" si="6"/>
        <v>82.320957674421351</v>
      </c>
      <c r="I98">
        <f t="shared" ca="1" si="7"/>
        <v>15.481907765286095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146186</v>
      </c>
      <c r="B100" s="66">
        <v>146186</v>
      </c>
      <c r="D100">
        <f t="shared" si="4"/>
        <v>0.86163585031327172</v>
      </c>
      <c r="E100">
        <f t="shared" si="4"/>
        <v>0.86163585031327172</v>
      </c>
      <c r="G100">
        <f t="shared" ca="1" si="5"/>
        <v>98</v>
      </c>
      <c r="H100">
        <f t="shared" ca="1" si="6"/>
        <v>84.440313330700633</v>
      </c>
      <c r="I100">
        <f t="shared" ca="1" si="7"/>
        <v>33.647504148169567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143345</v>
      </c>
      <c r="B103" s="66">
        <v>143345</v>
      </c>
      <c r="D103">
        <f t="shared" si="4"/>
        <v>0.84489069379527415</v>
      </c>
      <c r="E103">
        <f t="shared" si="4"/>
        <v>0.84489069379527415</v>
      </c>
      <c r="G103">
        <f t="shared" ca="1" si="5"/>
        <v>101</v>
      </c>
      <c r="H103">
        <f t="shared" ca="1" si="6"/>
        <v>85.333960073322686</v>
      </c>
      <c r="I103">
        <f t="shared" ca="1" si="7"/>
        <v>72.276235002965365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126375</v>
      </c>
      <c r="B106" s="66">
        <v>126375</v>
      </c>
      <c r="D106">
        <f t="shared" si="4"/>
        <v>0.7448677067799907</v>
      </c>
      <c r="E106">
        <f t="shared" si="4"/>
        <v>0.7448677067799907</v>
      </c>
      <c r="G106">
        <f t="shared" ca="1" si="5"/>
        <v>104</v>
      </c>
      <c r="H106">
        <f t="shared" ca="1" si="6"/>
        <v>77.466241505119029</v>
      </c>
      <c r="I106">
        <f t="shared" ca="1" si="7"/>
        <v>111.75951797760339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119759</v>
      </c>
      <c r="B108" s="66">
        <v>119759</v>
      </c>
      <c r="D108">
        <f t="shared" si="4"/>
        <v>0.70587229828894094</v>
      </c>
      <c r="E108">
        <f t="shared" si="4"/>
        <v>0.70587229828894094</v>
      </c>
      <c r="G108">
        <f t="shared" ca="1" si="5"/>
        <v>106</v>
      </c>
      <c r="H108">
        <f t="shared" ca="1" si="6"/>
        <v>74.822463618627737</v>
      </c>
      <c r="I108">
        <f t="shared" ca="1" si="7"/>
        <v>143.31724129575005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108123</v>
      </c>
      <c r="B111" s="66">
        <v>108123</v>
      </c>
      <c r="D111">
        <f t="shared" si="4"/>
        <v>0.63728847525359389</v>
      </c>
      <c r="E111">
        <f t="shared" si="4"/>
        <v>0.63728847525359389</v>
      </c>
      <c r="G111">
        <f t="shared" ca="1" si="5"/>
        <v>109</v>
      </c>
      <c r="H111">
        <f t="shared" ca="1" si="6"/>
        <v>69.464443802641739</v>
      </c>
      <c r="I111">
        <f t="shared" ca="1" si="7"/>
        <v>189.61243867846494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104219</v>
      </c>
      <c r="B113" s="66">
        <v>104219</v>
      </c>
      <c r="D113">
        <f t="shared" si="4"/>
        <v>0.61427788354424406</v>
      </c>
      <c r="E113">
        <f t="shared" si="4"/>
        <v>0.61427788354424406</v>
      </c>
      <c r="G113">
        <f t="shared" ca="1" si="5"/>
        <v>111</v>
      </c>
      <c r="H113">
        <f t="shared" ca="1" si="6"/>
        <v>68.184845073411097</v>
      </c>
      <c r="I113">
        <f t="shared" ca="1" si="7"/>
        <v>227.6060679892469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102440</v>
      </c>
      <c r="B116" s="66">
        <v>102440</v>
      </c>
      <c r="D116">
        <f t="shared" si="4"/>
        <v>0.60379226811111575</v>
      </c>
      <c r="E116">
        <f t="shared" si="4"/>
        <v>0.60379226811111575</v>
      </c>
      <c r="G116">
        <f t="shared" ca="1" si="5"/>
        <v>114</v>
      </c>
      <c r="H116">
        <f t="shared" ca="1" si="6"/>
        <v>68.83231856466719</v>
      </c>
      <c r="I116">
        <f t="shared" ca="1" si="7"/>
        <v>298.88959676296196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95544</v>
      </c>
      <c r="B118" s="66">
        <v>95544</v>
      </c>
      <c r="D118">
        <f t="shared" si="4"/>
        <v>0.56314650980484615</v>
      </c>
      <c r="E118">
        <f t="shared" si="4"/>
        <v>0.56314650980484615</v>
      </c>
      <c r="G118">
        <f t="shared" ca="1" si="5"/>
        <v>116</v>
      </c>
      <c r="H118">
        <f t="shared" ca="1" si="6"/>
        <v>65.324995137362151</v>
      </c>
      <c r="I118">
        <f t="shared" ca="1" si="7"/>
        <v>331.13961325891756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92714</v>
      </c>
      <c r="B121" s="66">
        <v>92714</v>
      </c>
      <c r="D121">
        <f t="shared" si="4"/>
        <v>0.54646618845816064</v>
      </c>
      <c r="E121">
        <f t="shared" si="4"/>
        <v>0.54646618845816064</v>
      </c>
      <c r="G121">
        <f t="shared" ca="1" si="5"/>
        <v>119</v>
      </c>
      <c r="H121">
        <f t="shared" ca="1" si="6"/>
        <v>65.029476426521114</v>
      </c>
      <c r="I121">
        <f t="shared" ca="1" si="7"/>
        <v>405.75724104758547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93248</v>
      </c>
      <c r="B124" s="66">
        <v>93248</v>
      </c>
      <c r="D124">
        <f t="shared" si="4"/>
        <v>0.54961364132004409</v>
      </c>
      <c r="E124">
        <f t="shared" si="4"/>
        <v>0.54961364132004409</v>
      </c>
      <c r="G124">
        <f t="shared" ca="1" si="5"/>
        <v>122</v>
      </c>
      <c r="H124">
        <f t="shared" ca="1" si="6"/>
        <v>67.052864241045384</v>
      </c>
      <c r="I124">
        <f t="shared" ca="1" si="7"/>
        <v>502.89950623546332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89745</v>
      </c>
      <c r="B126" s="66">
        <v>89745</v>
      </c>
      <c r="D126">
        <f t="shared" si="4"/>
        <v>0.52896658631034832</v>
      </c>
      <c r="E126">
        <f t="shared" si="4"/>
        <v>0.52896658631034832</v>
      </c>
      <c r="G126">
        <f t="shared" ca="1" si="5"/>
        <v>124</v>
      </c>
      <c r="H126">
        <f t="shared" ca="1" si="6"/>
        <v>65.591856702483199</v>
      </c>
      <c r="I126">
        <f t="shared" ca="1" si="7"/>
        <v>550.12616718015613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93596</v>
      </c>
      <c r="B129" s="66">
        <v>93596</v>
      </c>
      <c r="D129">
        <f t="shared" si="4"/>
        <v>0.55166479037610294</v>
      </c>
      <c r="E129">
        <f t="shared" si="4"/>
        <v>0.55166479037610294</v>
      </c>
      <c r="G129">
        <f t="shared" ca="1" si="5"/>
        <v>127</v>
      </c>
      <c r="H129">
        <f t="shared" ca="1" si="6"/>
        <v>70.061428377765068</v>
      </c>
      <c r="I129">
        <f t="shared" ca="1" si="7"/>
        <v>685.44134043071267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89344</v>
      </c>
      <c r="B131" s="66">
        <v>89344</v>
      </c>
      <c r="D131">
        <f t="shared" ref="D131:E194" si="8">IFERROR( A131/MAX(A$2:A$257), 0 )</f>
        <v>0.52660304961069426</v>
      </c>
      <c r="E131">
        <f t="shared" si="8"/>
        <v>0.52660304961069426</v>
      </c>
      <c r="G131">
        <f t="shared" ref="G131:G194" ca="1" si="9">CELL("row",D131)-2</f>
        <v>129</v>
      </c>
      <c r="H131">
        <f t="shared" ref="H131:H194" ca="1" si="10">D131*G131</f>
        <v>67.931793399779565</v>
      </c>
      <c r="I131">
        <f t="shared" ref="I131:I194" ca="1" si="11">D131*((G131-$L$1)^2)</f>
        <v>730.65768343753621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86629</v>
      </c>
      <c r="B134" s="66">
        <v>86629</v>
      </c>
      <c r="D134">
        <f t="shared" si="8"/>
        <v>0.51060055050954556</v>
      </c>
      <c r="E134">
        <f t="shared" si="8"/>
        <v>0.51060055050954556</v>
      </c>
      <c r="G134">
        <f t="shared" ca="1" si="9"/>
        <v>132</v>
      </c>
      <c r="H134">
        <f t="shared" ca="1" si="10"/>
        <v>67.399272667260007</v>
      </c>
      <c r="I134">
        <f t="shared" ca="1" si="11"/>
        <v>827.16608066437016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77706</v>
      </c>
      <c r="B136" s="66">
        <v>77706</v>
      </c>
      <c r="D136">
        <f t="shared" si="8"/>
        <v>0.45800743836238145</v>
      </c>
      <c r="E136">
        <f t="shared" si="8"/>
        <v>0.45800743836238145</v>
      </c>
      <c r="G136">
        <f t="shared" ca="1" si="9"/>
        <v>134</v>
      </c>
      <c r="H136">
        <f t="shared" ca="1" si="10"/>
        <v>61.372996740559117</v>
      </c>
      <c r="I136">
        <f t="shared" ca="1" si="11"/>
        <v>817.53544189620027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75821</v>
      </c>
      <c r="B139" s="66">
        <v>75821</v>
      </c>
      <c r="D139">
        <f t="shared" si="8"/>
        <v>0.44689704764206273</v>
      </c>
      <c r="E139">
        <f t="shared" si="8"/>
        <v>0.44689704764206273</v>
      </c>
      <c r="G139">
        <f t="shared" ca="1" si="9"/>
        <v>137</v>
      </c>
      <c r="H139">
        <f t="shared" ca="1" si="10"/>
        <v>61.224895526962591</v>
      </c>
      <c r="I139">
        <f t="shared" ca="1" si="11"/>
        <v>915.01153336764537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71961</v>
      </c>
      <c r="B142" s="66">
        <v>71961</v>
      </c>
      <c r="D142">
        <f t="shared" si="8"/>
        <v>0.4241457966179617</v>
      </c>
      <c r="E142">
        <f t="shared" si="8"/>
        <v>0.4241457966179617</v>
      </c>
      <c r="G142">
        <f t="shared" ca="1" si="9"/>
        <v>140</v>
      </c>
      <c r="H142">
        <f t="shared" ca="1" si="10"/>
        <v>59.380411526514635</v>
      </c>
      <c r="I142">
        <f t="shared" ca="1" si="11"/>
        <v>987.39936311189081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66067</v>
      </c>
      <c r="B144" s="66">
        <v>66067</v>
      </c>
      <c r="D144">
        <f t="shared" si="8"/>
        <v>0.38940593300758569</v>
      </c>
      <c r="E144">
        <f t="shared" si="8"/>
        <v>0.38940593300758569</v>
      </c>
      <c r="G144">
        <f t="shared" ca="1" si="9"/>
        <v>142</v>
      </c>
      <c r="H144">
        <f t="shared" ca="1" si="10"/>
        <v>55.295642487077167</v>
      </c>
      <c r="I144">
        <f t="shared" ca="1" si="11"/>
        <v>983.2374490429055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60736</v>
      </c>
      <c r="B147" s="66">
        <v>60736</v>
      </c>
      <c r="D147">
        <f t="shared" si="8"/>
        <v>0.35798445134709805</v>
      </c>
      <c r="E147">
        <f t="shared" si="8"/>
        <v>0.35798445134709805</v>
      </c>
      <c r="G147">
        <f t="shared" ca="1" si="9"/>
        <v>145</v>
      </c>
      <c r="H147">
        <f t="shared" ca="1" si="10"/>
        <v>51.907745445329219</v>
      </c>
      <c r="I147">
        <f t="shared" ca="1" si="11"/>
        <v>1015.0513676158271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57342</v>
      </c>
      <c r="B149" s="66">
        <v>57342</v>
      </c>
      <c r="D149">
        <f t="shared" si="8"/>
        <v>0.33797985394404134</v>
      </c>
      <c r="E149">
        <f t="shared" si="8"/>
        <v>0.33797985394404134</v>
      </c>
      <c r="G149">
        <f t="shared" ca="1" si="9"/>
        <v>147</v>
      </c>
      <c r="H149">
        <f t="shared" ca="1" si="10"/>
        <v>49.68303852977408</v>
      </c>
      <c r="I149">
        <f t="shared" ca="1" si="11"/>
        <v>1031.6694431842482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50306</v>
      </c>
      <c r="B152" s="66">
        <v>50306</v>
      </c>
      <c r="D152">
        <f t="shared" si="8"/>
        <v>0.29650892073016188</v>
      </c>
      <c r="E152">
        <f t="shared" si="8"/>
        <v>0.29650892073016188</v>
      </c>
      <c r="G152">
        <f t="shared" ca="1" si="9"/>
        <v>150</v>
      </c>
      <c r="H152">
        <f t="shared" ca="1" si="10"/>
        <v>44.476338109524285</v>
      </c>
      <c r="I152">
        <f t="shared" ca="1" si="11"/>
        <v>1006.0407562971312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49771</v>
      </c>
      <c r="B154" s="66">
        <v>49771</v>
      </c>
      <c r="D154">
        <f t="shared" si="8"/>
        <v>0.29335557376179561</v>
      </c>
      <c r="E154">
        <f t="shared" si="8"/>
        <v>0.29335557376179561</v>
      </c>
      <c r="G154">
        <f t="shared" ca="1" si="9"/>
        <v>152</v>
      </c>
      <c r="H154">
        <f t="shared" ca="1" si="10"/>
        <v>44.590047211792935</v>
      </c>
      <c r="I154">
        <f t="shared" ca="1" si="11"/>
        <v>1064.8657645278818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44322</v>
      </c>
      <c r="B157" s="66">
        <v>44322</v>
      </c>
      <c r="D157">
        <f t="shared" si="8"/>
        <v>0.26123858753632245</v>
      </c>
      <c r="E157">
        <f t="shared" si="8"/>
        <v>0.26123858753632245</v>
      </c>
      <c r="G157">
        <f t="shared" ca="1" si="9"/>
        <v>155</v>
      </c>
      <c r="H157">
        <f t="shared" ca="1" si="10"/>
        <v>40.491981068129981</v>
      </c>
      <c r="I157">
        <f t="shared" ca="1" si="11"/>
        <v>1045.0701632510134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42479</v>
      </c>
      <c r="B160" s="66">
        <v>42479</v>
      </c>
      <c r="D160">
        <f t="shared" si="8"/>
        <v>0.25037574928828665</v>
      </c>
      <c r="E160">
        <f t="shared" si="8"/>
        <v>0.25037574928828665</v>
      </c>
      <c r="G160">
        <f t="shared" ca="1" si="9"/>
        <v>158</v>
      </c>
      <c r="H160">
        <f t="shared" ca="1" si="10"/>
        <v>39.559368387549291</v>
      </c>
      <c r="I160">
        <f t="shared" ca="1" si="11"/>
        <v>1098.8835578109174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35132</v>
      </c>
      <c r="B162" s="66">
        <v>35132</v>
      </c>
      <c r="D162">
        <f t="shared" si="8"/>
        <v>0.20707174895821667</v>
      </c>
      <c r="E162">
        <f t="shared" si="8"/>
        <v>0.20707174895821667</v>
      </c>
      <c r="G162">
        <f t="shared" ca="1" si="9"/>
        <v>160</v>
      </c>
      <c r="H162">
        <f t="shared" ca="1" si="10"/>
        <v>33.131479833314671</v>
      </c>
      <c r="I162">
        <f t="shared" ca="1" si="11"/>
        <v>964.52651960912362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30775</v>
      </c>
      <c r="B165" s="66">
        <v>30775</v>
      </c>
      <c r="D165">
        <f t="shared" si="8"/>
        <v>0.18139112701210061</v>
      </c>
      <c r="E165">
        <f t="shared" si="8"/>
        <v>0.18139112701210061</v>
      </c>
      <c r="G165">
        <f t="shared" ca="1" si="9"/>
        <v>163</v>
      </c>
      <c r="H165">
        <f t="shared" ca="1" si="10"/>
        <v>29.566753702972399</v>
      </c>
      <c r="I165">
        <f t="shared" ca="1" si="11"/>
        <v>920.81904132794011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28038</v>
      </c>
      <c r="B167" s="66">
        <v>28038</v>
      </c>
      <c r="D167">
        <f t="shared" si="8"/>
        <v>0.16525895756832742</v>
      </c>
      <c r="E167">
        <f t="shared" si="8"/>
        <v>0.16525895756832742</v>
      </c>
      <c r="G167">
        <f t="shared" ca="1" si="9"/>
        <v>165</v>
      </c>
      <c r="H167">
        <f t="shared" ca="1" si="10"/>
        <v>27.267727998774024</v>
      </c>
      <c r="I167">
        <f t="shared" ca="1" si="11"/>
        <v>886.68445660617112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25270</v>
      </c>
      <c r="B170" s="66">
        <v>25270</v>
      </c>
      <c r="D170">
        <f t="shared" si="8"/>
        <v>0.14894407082358349</v>
      </c>
      <c r="E170">
        <f t="shared" si="8"/>
        <v>0.14894407082358349</v>
      </c>
      <c r="G170">
        <f t="shared" ca="1" si="9"/>
        <v>168</v>
      </c>
      <c r="H170">
        <f t="shared" ca="1" si="10"/>
        <v>25.022603898362025</v>
      </c>
      <c r="I170">
        <f t="shared" ca="1" si="11"/>
        <v>865.94873769284504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22916</v>
      </c>
      <c r="B173" s="66">
        <v>22916</v>
      </c>
      <c r="D173">
        <f t="shared" si="8"/>
        <v>0.13506934416277164</v>
      </c>
      <c r="E173">
        <f t="shared" si="8"/>
        <v>0.13506934416277164</v>
      </c>
      <c r="G173">
        <f t="shared" ca="1" si="9"/>
        <v>171</v>
      </c>
      <c r="H173">
        <f t="shared" ca="1" si="10"/>
        <v>23.096857851833949</v>
      </c>
      <c r="I173">
        <f t="shared" ca="1" si="11"/>
        <v>848.29128867041209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17555</v>
      </c>
      <c r="B175" s="66">
        <v>17555</v>
      </c>
      <c r="D175">
        <f t="shared" si="8"/>
        <v>0.10347103930779614</v>
      </c>
      <c r="E175">
        <f t="shared" si="8"/>
        <v>0.10347103930779614</v>
      </c>
      <c r="G175">
        <f t="shared" ca="1" si="9"/>
        <v>173</v>
      </c>
      <c r="H175">
        <f t="shared" ca="1" si="10"/>
        <v>17.900489800248732</v>
      </c>
      <c r="I175">
        <f t="shared" ca="1" si="11"/>
        <v>683.05469223001865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15685</v>
      </c>
      <c r="B178" s="66">
        <v>15685</v>
      </c>
      <c r="D178">
        <f t="shared" si="8"/>
        <v>9.2449060184721293E-2</v>
      </c>
      <c r="E178">
        <f t="shared" si="8"/>
        <v>9.2449060184721293E-2</v>
      </c>
      <c r="G178">
        <f t="shared" ca="1" si="9"/>
        <v>176</v>
      </c>
      <c r="H178">
        <f t="shared" ca="1" si="10"/>
        <v>16.271034592510947</v>
      </c>
      <c r="I178">
        <f t="shared" ca="1" si="11"/>
        <v>656.19453135897527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13600</v>
      </c>
      <c r="B180" s="66">
        <v>13600</v>
      </c>
      <c r="D180">
        <f t="shared" si="8"/>
        <v>8.0159848167817002E-2</v>
      </c>
      <c r="E180">
        <f t="shared" si="8"/>
        <v>8.0159848167817002E-2</v>
      </c>
      <c r="G180">
        <f t="shared" ca="1" si="9"/>
        <v>178</v>
      </c>
      <c r="H180">
        <f t="shared" ca="1" si="10"/>
        <v>14.268452973871426</v>
      </c>
      <c r="I180">
        <f t="shared" ca="1" si="11"/>
        <v>596.30109339330716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8066</v>
      </c>
      <c r="B183" s="66">
        <v>8066</v>
      </c>
      <c r="D183">
        <f t="shared" si="8"/>
        <v>4.7541862891294993E-2</v>
      </c>
      <c r="E183">
        <f t="shared" si="8"/>
        <v>4.7541862891294993E-2</v>
      </c>
      <c r="G183">
        <f t="shared" ca="1" si="9"/>
        <v>181</v>
      </c>
      <c r="H183">
        <f t="shared" ca="1" si="10"/>
        <v>8.6050771833243935</v>
      </c>
      <c r="I183">
        <f t="shared" ca="1" si="11"/>
        <v>378.68968525694726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4705</v>
      </c>
      <c r="B185" s="66">
        <v>4705</v>
      </c>
      <c r="D185">
        <f t="shared" si="8"/>
        <v>2.7731771002174926E-2</v>
      </c>
      <c r="E185">
        <f t="shared" si="8"/>
        <v>2.7731771002174926E-2</v>
      </c>
      <c r="G185">
        <f t="shared" ca="1" si="9"/>
        <v>183</v>
      </c>
      <c r="H185">
        <f t="shared" ca="1" si="10"/>
        <v>5.0749140933980117</v>
      </c>
      <c r="I185">
        <f t="shared" ca="1" si="11"/>
        <v>230.90555641167884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3547</v>
      </c>
      <c r="B188" s="66">
        <v>3547</v>
      </c>
      <c r="D188">
        <f t="shared" si="8"/>
        <v>2.0906395694944624E-2</v>
      </c>
      <c r="E188">
        <f t="shared" si="8"/>
        <v>2.0906395694944624E-2</v>
      </c>
      <c r="G188">
        <f t="shared" ca="1" si="9"/>
        <v>186</v>
      </c>
      <c r="H188">
        <f t="shared" ca="1" si="10"/>
        <v>3.8885895992597002</v>
      </c>
      <c r="I188">
        <f t="shared" ca="1" si="11"/>
        <v>185.70910688046504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966</v>
      </c>
      <c r="B191" s="66">
        <v>966</v>
      </c>
      <c r="D191">
        <f t="shared" si="8"/>
        <v>5.6937068625081784E-3</v>
      </c>
      <c r="E191">
        <f t="shared" si="8"/>
        <v>5.6937068625081784E-3</v>
      </c>
      <c r="G191">
        <f t="shared" ca="1" si="9"/>
        <v>189</v>
      </c>
      <c r="H191">
        <f t="shared" ca="1" si="10"/>
        <v>1.0761105970140457</v>
      </c>
      <c r="I191">
        <f t="shared" ca="1" si="11"/>
        <v>53.847545189346413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892</v>
      </c>
      <c r="B193" s="66">
        <v>892</v>
      </c>
      <c r="D193">
        <f t="shared" si="8"/>
        <v>5.257542982771527E-3</v>
      </c>
      <c r="E193">
        <f t="shared" si="8"/>
        <v>5.257542982771527E-3</v>
      </c>
      <c r="G193">
        <f t="shared" ca="1" si="9"/>
        <v>191</v>
      </c>
      <c r="H193">
        <f t="shared" ca="1" si="10"/>
        <v>1.0041907097093616</v>
      </c>
      <c r="I193">
        <f t="shared" ca="1" si="11"/>
        <v>51.788772538872919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448</v>
      </c>
      <c r="B196" s="66">
        <v>448</v>
      </c>
      <c r="D196">
        <f t="shared" si="12"/>
        <v>2.6405597043516189E-3</v>
      </c>
      <c r="E196">
        <f t="shared" si="12"/>
        <v>2.6405597043516189E-3</v>
      </c>
      <c r="G196">
        <f t="shared" ca="1" si="13"/>
        <v>194</v>
      </c>
      <c r="H196">
        <f t="shared" ca="1" si="14"/>
        <v>0.51226858264421404</v>
      </c>
      <c r="I196">
        <f t="shared" ca="1" si="15"/>
        <v>27.606708008502217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585</v>
      </c>
      <c r="B198" s="66">
        <v>585</v>
      </c>
      <c r="D198">
        <f t="shared" si="12"/>
        <v>3.4480522925127164E-3</v>
      </c>
      <c r="E198">
        <f t="shared" si="12"/>
        <v>3.4480522925127164E-3</v>
      </c>
      <c r="G198">
        <f t="shared" ca="1" si="13"/>
        <v>196</v>
      </c>
      <c r="H198">
        <f t="shared" ca="1" si="14"/>
        <v>0.67581824933249246</v>
      </c>
      <c r="I198">
        <f t="shared" ca="1" si="15"/>
        <v>37.472970515824564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647</v>
      </c>
      <c r="B201" s="66">
        <v>647</v>
      </c>
      <c r="D201">
        <f t="shared" si="12"/>
        <v>3.8134868944542351E-3</v>
      </c>
      <c r="E201">
        <f t="shared" si="12"/>
        <v>3.8134868944542351E-3</v>
      </c>
      <c r="G201">
        <f t="shared" ca="1" si="13"/>
        <v>199</v>
      </c>
      <c r="H201">
        <f t="shared" ca="1" si="14"/>
        <v>0.75888389199639283</v>
      </c>
      <c r="I201">
        <f t="shared" ca="1" si="15"/>
        <v>43.864100704935602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100.15503905660557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1.9337424346732643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0.74242572902847181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454</v>
      </c>
      <c r="B8" s="66">
        <v>454</v>
      </c>
      <c r="D8">
        <f t="shared" si="0"/>
        <v>0.61043658316862304</v>
      </c>
      <c r="E8">
        <f t="shared" si="1"/>
        <v>0.61043658316862304</v>
      </c>
      <c r="G8">
        <f t="shared" ca="1" si="2"/>
        <v>6</v>
      </c>
      <c r="H8">
        <f t="shared" ca="1" si="3"/>
        <v>3.662619499011738</v>
      </c>
      <c r="I8">
        <f t="shared" ca="1" si="4"/>
        <v>5411.6249262594201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3520</v>
      </c>
      <c r="B10" s="66">
        <v>3520</v>
      </c>
      <c r="D10">
        <f t="shared" si="0"/>
        <v>4.7329003805144341</v>
      </c>
      <c r="E10">
        <f t="shared" si="1"/>
        <v>4.7329003805144341</v>
      </c>
      <c r="G10">
        <f t="shared" ca="1" si="2"/>
        <v>8</v>
      </c>
      <c r="H10">
        <f t="shared" ca="1" si="3"/>
        <v>37.863203044115473</v>
      </c>
      <c r="I10">
        <f t="shared" ca="1" si="4"/>
        <v>40194.398917357423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4558</v>
      </c>
      <c r="B13" s="66">
        <v>4558</v>
      </c>
      <c r="D13">
        <f t="shared" si="0"/>
        <v>6.1285681631774969</v>
      </c>
      <c r="E13">
        <f t="shared" si="1"/>
        <v>6.1285681631774969</v>
      </c>
      <c r="G13">
        <f t="shared" ca="1" si="2"/>
        <v>11</v>
      </c>
      <c r="H13">
        <f t="shared" ca="1" si="3"/>
        <v>67.414249794952468</v>
      </c>
      <c r="I13">
        <f t="shared" ca="1" si="4"/>
        <v>48713.665535482789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7189</v>
      </c>
      <c r="B15" s="66">
        <v>7189</v>
      </c>
      <c r="D15">
        <f t="shared" si="0"/>
        <v>9.6661422828176899</v>
      </c>
      <c r="E15">
        <f t="shared" si="1"/>
        <v>9.6661422828176899</v>
      </c>
      <c r="G15">
        <f t="shared" ca="1" si="2"/>
        <v>13</v>
      </c>
      <c r="H15">
        <f t="shared" ca="1" si="3"/>
        <v>125.65984967662997</v>
      </c>
      <c r="I15">
        <f t="shared" ca="1" si="4"/>
        <v>73424.024831778006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9173</v>
      </c>
      <c r="B18" s="66">
        <v>9173</v>
      </c>
      <c r="D18">
        <f t="shared" si="0"/>
        <v>12.333777042744007</v>
      </c>
      <c r="E18">
        <f t="shared" si="1"/>
        <v>12.333777042744007</v>
      </c>
      <c r="G18">
        <f t="shared" ca="1" si="2"/>
        <v>16</v>
      </c>
      <c r="H18">
        <f t="shared" ca="1" si="3"/>
        <v>197.34043268390411</v>
      </c>
      <c r="I18">
        <f t="shared" ca="1" si="4"/>
        <v>87348.679764336979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10132</v>
      </c>
      <c r="B21" s="66">
        <v>10132</v>
      </c>
      <c r="D21">
        <f t="shared" si="0"/>
        <v>13.623223481639842</v>
      </c>
      <c r="E21">
        <f t="shared" si="1"/>
        <v>13.623223481639842</v>
      </c>
      <c r="G21">
        <f t="shared" ca="1" si="2"/>
        <v>19</v>
      </c>
      <c r="H21">
        <f t="shared" ca="1" si="3"/>
        <v>258.84124615115701</v>
      </c>
      <c r="I21">
        <f t="shared" ca="1" si="4"/>
        <v>89724.462064024061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8980</v>
      </c>
      <c r="B23" s="66">
        <v>8980</v>
      </c>
      <c r="D23">
        <f t="shared" si="0"/>
        <v>12.074274266198755</v>
      </c>
      <c r="E23">
        <f t="shared" si="1"/>
        <v>12.074274266198755</v>
      </c>
      <c r="G23">
        <f t="shared" ca="1" si="2"/>
        <v>21</v>
      </c>
      <c r="H23">
        <f t="shared" ca="1" si="3"/>
        <v>253.55975959017385</v>
      </c>
      <c r="I23">
        <f t="shared" ca="1" si="4"/>
        <v>75651.609412439633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11190</v>
      </c>
      <c r="B26" s="66">
        <v>11190</v>
      </c>
      <c r="D26">
        <f t="shared" si="0"/>
        <v>15.045782743737647</v>
      </c>
      <c r="E26">
        <f t="shared" si="1"/>
        <v>15.045782743737647</v>
      </c>
      <c r="G26">
        <f t="shared" ca="1" si="2"/>
        <v>24</v>
      </c>
      <c r="H26">
        <f t="shared" ca="1" si="3"/>
        <v>361.09878584970352</v>
      </c>
      <c r="I26">
        <f t="shared" ca="1" si="4"/>
        <v>87259.370747246736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15365</v>
      </c>
      <c r="B28" s="66">
        <v>15365</v>
      </c>
      <c r="D28">
        <f t="shared" si="0"/>
        <v>20.659379075739853</v>
      </c>
      <c r="E28">
        <f t="shared" si="1"/>
        <v>20.659379075739853</v>
      </c>
      <c r="G28">
        <f t="shared" ca="1" si="2"/>
        <v>26</v>
      </c>
      <c r="H28">
        <f t="shared" ca="1" si="3"/>
        <v>537.14385596923614</v>
      </c>
      <c r="I28">
        <f t="shared" ca="1" si="4"/>
        <v>113605.30198550969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19227</v>
      </c>
      <c r="B31" s="66">
        <v>19227</v>
      </c>
      <c r="D31">
        <f t="shared" si="0"/>
        <v>25.852123754588359</v>
      </c>
      <c r="E31">
        <f t="shared" si="1"/>
        <v>25.852123754588359</v>
      </c>
      <c r="G31">
        <f t="shared" ca="1" si="2"/>
        <v>29</v>
      </c>
      <c r="H31">
        <f t="shared" ca="1" si="3"/>
        <v>749.7115888830624</v>
      </c>
      <c r="I31">
        <f t="shared" ca="1" si="4"/>
        <v>130890.32587789738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21133</v>
      </c>
      <c r="B33" s="66">
        <v>21133</v>
      </c>
      <c r="D33">
        <f t="shared" si="0"/>
        <v>28.414881744719185</v>
      </c>
      <c r="E33">
        <f t="shared" si="1"/>
        <v>28.414881744719185</v>
      </c>
      <c r="G33">
        <f t="shared" ca="1" si="2"/>
        <v>31</v>
      </c>
      <c r="H33">
        <f t="shared" ca="1" si="3"/>
        <v>880.86133408629473</v>
      </c>
      <c r="I33">
        <f t="shared" ca="1" si="4"/>
        <v>135891.88246959777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28124</v>
      </c>
      <c r="B36" s="66">
        <v>28124</v>
      </c>
      <c r="D36">
        <f t="shared" si="0"/>
        <v>37.814798381132938</v>
      </c>
      <c r="E36">
        <f t="shared" si="1"/>
        <v>37.814798381132938</v>
      </c>
      <c r="G36">
        <f t="shared" ca="1" si="2"/>
        <v>34</v>
      </c>
      <c r="H36">
        <f t="shared" ca="1" si="3"/>
        <v>1285.7031449585199</v>
      </c>
      <c r="I36">
        <f t="shared" ca="1" si="4"/>
        <v>165496.05643465812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36491</v>
      </c>
      <c r="B39" s="66">
        <v>36491</v>
      </c>
      <c r="D39">
        <f t="shared" si="0"/>
        <v>49.064848802656876</v>
      </c>
      <c r="E39">
        <f t="shared" si="1"/>
        <v>49.064848802656876</v>
      </c>
      <c r="G39">
        <f t="shared" ca="1" si="2"/>
        <v>37</v>
      </c>
      <c r="H39">
        <f t="shared" ca="1" si="3"/>
        <v>1815.3994056983045</v>
      </c>
      <c r="I39">
        <f t="shared" ca="1" si="4"/>
        <v>195698.04222659572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36442</v>
      </c>
      <c r="B41" s="66">
        <v>36442</v>
      </c>
      <c r="D41">
        <f t="shared" si="0"/>
        <v>48.998964678041766</v>
      </c>
      <c r="E41">
        <f t="shared" si="1"/>
        <v>48.998964678041766</v>
      </c>
      <c r="G41">
        <f t="shared" ca="1" si="2"/>
        <v>39</v>
      </c>
      <c r="H41">
        <f t="shared" ca="1" si="3"/>
        <v>1910.9596224436289</v>
      </c>
      <c r="I41">
        <f t="shared" ca="1" si="4"/>
        <v>183253.12925796851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39865</v>
      </c>
      <c r="B44" s="66">
        <v>39865</v>
      </c>
      <c r="D44">
        <f t="shared" si="0"/>
        <v>53.601441383297704</v>
      </c>
      <c r="E44">
        <f t="shared" si="1"/>
        <v>53.601441383297704</v>
      </c>
      <c r="G44">
        <f t="shared" ca="1" si="2"/>
        <v>42</v>
      </c>
      <c r="H44">
        <f t="shared" ca="1" si="3"/>
        <v>2251.2605380985037</v>
      </c>
      <c r="I44">
        <f t="shared" ca="1" si="4"/>
        <v>181280.53399805928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38732</v>
      </c>
      <c r="B46" s="66">
        <v>38732</v>
      </c>
      <c r="D46">
        <f t="shared" si="0"/>
        <v>52.078039073319616</v>
      </c>
      <c r="E46">
        <f t="shared" si="1"/>
        <v>52.078039073319616</v>
      </c>
      <c r="G46">
        <f t="shared" ca="1" si="2"/>
        <v>44</v>
      </c>
      <c r="H46">
        <f t="shared" ca="1" si="3"/>
        <v>2291.4337192260632</v>
      </c>
      <c r="I46">
        <f t="shared" ca="1" si="4"/>
        <v>164222.28490478895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39222</v>
      </c>
      <c r="B49" s="66">
        <v>39222</v>
      </c>
      <c r="D49">
        <f t="shared" si="0"/>
        <v>52.736880319470778</v>
      </c>
      <c r="E49">
        <f t="shared" si="1"/>
        <v>52.736880319470778</v>
      </c>
      <c r="G49">
        <f t="shared" ca="1" si="2"/>
        <v>47</v>
      </c>
      <c r="H49">
        <f t="shared" ca="1" si="3"/>
        <v>2478.6333750151266</v>
      </c>
      <c r="I49">
        <f t="shared" ca="1" si="4"/>
        <v>149005.84973388133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38535</v>
      </c>
      <c r="B51" s="66">
        <v>38535</v>
      </c>
      <c r="D51">
        <f t="shared" si="0"/>
        <v>51.81315800088742</v>
      </c>
      <c r="E51">
        <f t="shared" si="1"/>
        <v>51.81315800088742</v>
      </c>
      <c r="G51">
        <f t="shared" ca="1" si="2"/>
        <v>49</v>
      </c>
      <c r="H51">
        <f t="shared" ca="1" si="3"/>
        <v>2538.8447420434836</v>
      </c>
      <c r="I51">
        <f t="shared" ca="1" si="4"/>
        <v>135586.6418387322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43247</v>
      </c>
      <c r="B54" s="66">
        <v>43247</v>
      </c>
      <c r="D54">
        <f t="shared" si="0"/>
        <v>58.148790555712424</v>
      </c>
      <c r="E54">
        <f t="shared" si="1"/>
        <v>58.148790555712424</v>
      </c>
      <c r="G54">
        <f t="shared" ca="1" si="2"/>
        <v>52</v>
      </c>
      <c r="H54">
        <f t="shared" ca="1" si="3"/>
        <v>3023.7371088970458</v>
      </c>
      <c r="I54">
        <f t="shared" ca="1" si="4"/>
        <v>134841.68319771171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38372</v>
      </c>
      <c r="B57" s="66">
        <v>38372</v>
      </c>
      <c r="D57">
        <f t="shared" si="0"/>
        <v>51.59399244349428</v>
      </c>
      <c r="E57">
        <f t="shared" si="1"/>
        <v>51.59399244349428</v>
      </c>
      <c r="G57">
        <f t="shared" ca="1" si="2"/>
        <v>55</v>
      </c>
      <c r="H57">
        <f t="shared" ca="1" si="3"/>
        <v>2837.6695843921852</v>
      </c>
      <c r="I57">
        <f t="shared" ca="1" si="4"/>
        <v>105198.99242084569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42353</v>
      </c>
      <c r="B59" s="66">
        <v>42353</v>
      </c>
      <c r="D59">
        <f t="shared" si="0"/>
        <v>56.946741424979493</v>
      </c>
      <c r="E59">
        <f t="shared" si="1"/>
        <v>56.946741424979493</v>
      </c>
      <c r="G59">
        <f t="shared" ca="1" si="2"/>
        <v>57</v>
      </c>
      <c r="H59">
        <f t="shared" ca="1" si="3"/>
        <v>3245.9642612238313</v>
      </c>
      <c r="I59">
        <f t="shared" ca="1" si="4"/>
        <v>106055.18506960904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41848</v>
      </c>
      <c r="B62" s="66">
        <v>41848</v>
      </c>
      <c r="D62">
        <f t="shared" si="0"/>
        <v>56.267731569252284</v>
      </c>
      <c r="E62">
        <f t="shared" si="1"/>
        <v>56.267731569252284</v>
      </c>
      <c r="G62">
        <f t="shared" ca="1" si="2"/>
        <v>60</v>
      </c>
      <c r="H62">
        <f t="shared" ca="1" si="3"/>
        <v>3376.0638941551369</v>
      </c>
      <c r="I62">
        <f t="shared" ca="1" si="4"/>
        <v>90727.618705991277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50347</v>
      </c>
      <c r="B64" s="66">
        <v>50347</v>
      </c>
      <c r="D64">
        <f t="shared" si="0"/>
        <v>67.695265755045511</v>
      </c>
      <c r="E64">
        <f t="shared" si="1"/>
        <v>67.695265755045511</v>
      </c>
      <c r="G64">
        <f t="shared" ca="1" si="2"/>
        <v>62</v>
      </c>
      <c r="H64">
        <f t="shared" ca="1" si="3"/>
        <v>4197.1064768128217</v>
      </c>
      <c r="I64">
        <f t="shared" ca="1" si="4"/>
        <v>98551.242119361166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57274</v>
      </c>
      <c r="B67" s="66">
        <v>57274</v>
      </c>
      <c r="D67">
        <f t="shared" ref="D67:D130" si="5">IFERROR( 100*A67/MAX(A$2:A$257), 0 )</f>
        <v>77.00912965726809</v>
      </c>
      <c r="E67">
        <f t="shared" ref="E67:E130" si="6">IFERROR( 100*B67/MAX(B$2:B$257), 0 )</f>
        <v>77.00912965726809</v>
      </c>
      <c r="G67">
        <f t="shared" ref="G67:G130" ca="1" si="7">CELL("row",D67)-2</f>
        <v>65</v>
      </c>
      <c r="H67">
        <f t="shared" ref="H67:H130" ca="1" si="8">D67*G67</f>
        <v>5005.593427722426</v>
      </c>
      <c r="I67">
        <f t="shared" ref="I67:I130" ca="1" si="9">D67*((G67-$L$1)^2)</f>
        <v>95173.794503848156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53763</v>
      </c>
      <c r="B69" s="66">
        <v>53763</v>
      </c>
      <c r="D69">
        <f t="shared" si="5"/>
        <v>72.288330442499287</v>
      </c>
      <c r="E69">
        <f t="shared" si="6"/>
        <v>72.288330442499287</v>
      </c>
      <c r="G69">
        <f t="shared" ca="1" si="7"/>
        <v>67</v>
      </c>
      <c r="H69">
        <f t="shared" ca="1" si="8"/>
        <v>4843.318139647452</v>
      </c>
      <c r="I69">
        <f t="shared" ca="1" si="9"/>
        <v>79463.425415021484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55153</v>
      </c>
      <c r="B72" s="66">
        <v>55153</v>
      </c>
      <c r="D72">
        <f t="shared" si="5"/>
        <v>74.1572882632138</v>
      </c>
      <c r="E72">
        <f t="shared" si="6"/>
        <v>74.1572882632138</v>
      </c>
      <c r="G72">
        <f t="shared" ca="1" si="7"/>
        <v>70</v>
      </c>
      <c r="H72">
        <f t="shared" ca="1" si="8"/>
        <v>5191.0101784249664</v>
      </c>
      <c r="I72">
        <f t="shared" ca="1" si="9"/>
        <v>67433.178524484349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58290</v>
      </c>
      <c r="B75" s="66">
        <v>58290</v>
      </c>
      <c r="D75">
        <f t="shared" si="5"/>
        <v>78.375216812552949</v>
      </c>
      <c r="E75">
        <f t="shared" si="6"/>
        <v>78.375216812552949</v>
      </c>
      <c r="G75">
        <f t="shared" ca="1" si="7"/>
        <v>73</v>
      </c>
      <c r="H75">
        <f t="shared" ca="1" si="8"/>
        <v>5721.3908273163652</v>
      </c>
      <c r="I75">
        <f t="shared" ca="1" si="9"/>
        <v>57793.582832483531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60440</v>
      </c>
      <c r="B77" s="66">
        <v>60440</v>
      </c>
      <c r="D77">
        <f t="shared" si="5"/>
        <v>81.266050851787611</v>
      </c>
      <c r="E77">
        <f t="shared" si="6"/>
        <v>81.266050851787611</v>
      </c>
      <c r="G77">
        <f t="shared" ca="1" si="7"/>
        <v>75</v>
      </c>
      <c r="H77">
        <f t="shared" ca="1" si="8"/>
        <v>6094.9538138840708</v>
      </c>
      <c r="I77">
        <f t="shared" ca="1" si="9"/>
        <v>51423.205776201612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60029</v>
      </c>
      <c r="B80" s="66">
        <v>60029</v>
      </c>
      <c r="D80">
        <f t="shared" si="5"/>
        <v>80.713430949403687</v>
      </c>
      <c r="E80">
        <f t="shared" si="6"/>
        <v>80.713430949403687</v>
      </c>
      <c r="G80">
        <f t="shared" ca="1" si="7"/>
        <v>78</v>
      </c>
      <c r="H80">
        <f t="shared" ca="1" si="8"/>
        <v>6295.6476140534878</v>
      </c>
      <c r="I80">
        <f t="shared" ca="1" si="9"/>
        <v>39617.845001405753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61200</v>
      </c>
      <c r="B82" s="66">
        <v>61200</v>
      </c>
      <c r="D82">
        <f t="shared" si="5"/>
        <v>82.287927070307774</v>
      </c>
      <c r="E82">
        <f t="shared" si="6"/>
        <v>82.287927070307774</v>
      </c>
      <c r="G82">
        <f t="shared" ca="1" si="7"/>
        <v>80</v>
      </c>
      <c r="H82">
        <f t="shared" ca="1" si="8"/>
        <v>6583.0341656246219</v>
      </c>
      <c r="I82">
        <f t="shared" ca="1" si="9"/>
        <v>33427.462495321852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65346</v>
      </c>
      <c r="B85" s="66">
        <v>65346</v>
      </c>
      <c r="D85">
        <f t="shared" si="5"/>
        <v>87.862530757129605</v>
      </c>
      <c r="E85">
        <f t="shared" si="6"/>
        <v>87.862530757129605</v>
      </c>
      <c r="G85">
        <f t="shared" ca="1" si="7"/>
        <v>83</v>
      </c>
      <c r="H85">
        <f t="shared" ca="1" si="8"/>
        <v>7292.5900528417569</v>
      </c>
      <c r="I85">
        <f t="shared" ca="1" si="9"/>
        <v>25857.53556195087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67372</v>
      </c>
      <c r="B88" s="66">
        <v>67372</v>
      </c>
      <c r="D88">
        <f t="shared" si="5"/>
        <v>90.586637623868882</v>
      </c>
      <c r="E88">
        <f t="shared" si="6"/>
        <v>90.586637623868882</v>
      </c>
      <c r="G88">
        <f t="shared" ca="1" si="7"/>
        <v>86</v>
      </c>
      <c r="H88">
        <f t="shared" ca="1" si="8"/>
        <v>7790.450835652724</v>
      </c>
      <c r="I88">
        <f t="shared" ca="1" si="9"/>
        <v>18150.403486639152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68102</v>
      </c>
      <c r="B90" s="66">
        <v>68102</v>
      </c>
      <c r="D90">
        <f t="shared" si="5"/>
        <v>91.568176623236923</v>
      </c>
      <c r="E90">
        <f t="shared" si="6"/>
        <v>91.568176623236923</v>
      </c>
      <c r="G90">
        <f t="shared" ca="1" si="7"/>
        <v>88</v>
      </c>
      <c r="H90">
        <f t="shared" ca="1" si="8"/>
        <v>8057.9995428448492</v>
      </c>
      <c r="I90">
        <f t="shared" ca="1" si="9"/>
        <v>13528.737917245458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66825</v>
      </c>
      <c r="B93" s="66">
        <v>66825</v>
      </c>
      <c r="D93">
        <f t="shared" si="5"/>
        <v>89.851155661328704</v>
      </c>
      <c r="E93">
        <f t="shared" si="6"/>
        <v>89.851155661328704</v>
      </c>
      <c r="G93">
        <f t="shared" ca="1" si="7"/>
        <v>91</v>
      </c>
      <c r="H93">
        <f t="shared" ca="1" si="8"/>
        <v>8176.4551651809124</v>
      </c>
      <c r="I93">
        <f t="shared" ca="1" si="9"/>
        <v>7530.8512619523581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68330</v>
      </c>
      <c r="B95" s="66">
        <v>68330</v>
      </c>
      <c r="D95">
        <f t="shared" si="5"/>
        <v>91.874739488792983</v>
      </c>
      <c r="E95">
        <f t="shared" si="6"/>
        <v>91.874739488792983</v>
      </c>
      <c r="G95">
        <f t="shared" ca="1" si="7"/>
        <v>93</v>
      </c>
      <c r="H95">
        <f t="shared" ca="1" si="8"/>
        <v>8544.3507724577466</v>
      </c>
      <c r="I95">
        <f t="shared" ca="1" si="9"/>
        <v>4703.4890591921703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67074</v>
      </c>
      <c r="B98" s="66">
        <v>67074</v>
      </c>
      <c r="D98">
        <f t="shared" si="5"/>
        <v>90.185954580291238</v>
      </c>
      <c r="E98">
        <f t="shared" si="6"/>
        <v>90.185954580291238</v>
      </c>
      <c r="G98">
        <f t="shared" ca="1" si="7"/>
        <v>96</v>
      </c>
      <c r="H98">
        <f t="shared" ca="1" si="8"/>
        <v>8657.8516397079584</v>
      </c>
      <c r="I98">
        <f t="shared" ca="1" si="9"/>
        <v>1557.0018454493838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72437</v>
      </c>
      <c r="B100" s="66">
        <v>72437</v>
      </c>
      <c r="D100">
        <f t="shared" si="5"/>
        <v>97.396904790717059</v>
      </c>
      <c r="E100">
        <f t="shared" si="6"/>
        <v>97.396904790717059</v>
      </c>
      <c r="G100">
        <f t="shared" ca="1" si="7"/>
        <v>98</v>
      </c>
      <c r="H100">
        <f t="shared" ca="1" si="8"/>
        <v>9544.896669490272</v>
      </c>
      <c r="I100">
        <f t="shared" ca="1" si="9"/>
        <v>452.33005612693222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74373</v>
      </c>
      <c r="B103" s="66">
        <v>74373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71.395899586199846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71030</v>
      </c>
      <c r="B106" s="66">
        <v>71030</v>
      </c>
      <c r="D106">
        <f t="shared" si="5"/>
        <v>95.505089212483028</v>
      </c>
      <c r="E106">
        <f t="shared" si="6"/>
        <v>95.505089212483028</v>
      </c>
      <c r="G106">
        <f t="shared" ca="1" si="7"/>
        <v>104</v>
      </c>
      <c r="H106">
        <f t="shared" ca="1" si="8"/>
        <v>9932.5292780982345</v>
      </c>
      <c r="I106">
        <f t="shared" ca="1" si="9"/>
        <v>1411.9209421858932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72490</v>
      </c>
      <c r="B108" s="66">
        <v>72490</v>
      </c>
      <c r="D108">
        <f t="shared" si="5"/>
        <v>97.468167211219125</v>
      </c>
      <c r="E108">
        <f t="shared" si="6"/>
        <v>97.468167211219125</v>
      </c>
      <c r="G108">
        <f t="shared" ca="1" si="7"/>
        <v>106</v>
      </c>
      <c r="H108">
        <f t="shared" ca="1" si="8"/>
        <v>10331.625724389227</v>
      </c>
      <c r="I108">
        <f t="shared" ca="1" si="9"/>
        <v>3329.8604002482834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71907</v>
      </c>
      <c r="B111" s="66">
        <v>71907</v>
      </c>
      <c r="D111">
        <f t="shared" si="5"/>
        <v>96.684280585696428</v>
      </c>
      <c r="E111">
        <f t="shared" si="6"/>
        <v>96.684280585696428</v>
      </c>
      <c r="G111">
        <f t="shared" ca="1" si="7"/>
        <v>109</v>
      </c>
      <c r="H111">
        <f t="shared" ca="1" si="8"/>
        <v>10538.58658384091</v>
      </c>
      <c r="I111">
        <f t="shared" ca="1" si="9"/>
        <v>7563.933624328798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73351</v>
      </c>
      <c r="B113" s="66">
        <v>73351</v>
      </c>
      <c r="D113">
        <f t="shared" si="5"/>
        <v>98.625845400884728</v>
      </c>
      <c r="E113">
        <f t="shared" si="6"/>
        <v>98.625845400884728</v>
      </c>
      <c r="G113">
        <f t="shared" ca="1" si="7"/>
        <v>111</v>
      </c>
      <c r="H113">
        <f t="shared" ca="1" si="8"/>
        <v>10947.468839498204</v>
      </c>
      <c r="I113">
        <f t="shared" ca="1" si="9"/>
        <v>11599.699097097016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71327</v>
      </c>
      <c r="B116" s="66">
        <v>71327</v>
      </c>
      <c r="D116">
        <f t="shared" si="5"/>
        <v>95.904427682088937</v>
      </c>
      <c r="E116">
        <f t="shared" si="6"/>
        <v>95.904427682088937</v>
      </c>
      <c r="G116">
        <f t="shared" ca="1" si="7"/>
        <v>114</v>
      </c>
      <c r="H116">
        <f t="shared" ca="1" si="8"/>
        <v>10933.104755758139</v>
      </c>
      <c r="I116">
        <f t="shared" ca="1" si="9"/>
        <v>18383.242995098622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68941</v>
      </c>
      <c r="B118" s="66">
        <v>68941</v>
      </c>
      <c r="D118">
        <f t="shared" si="5"/>
        <v>92.696274185524317</v>
      </c>
      <c r="E118">
        <f t="shared" si="6"/>
        <v>92.696274185524317</v>
      </c>
      <c r="G118">
        <f t="shared" ca="1" si="7"/>
        <v>116</v>
      </c>
      <c r="H118">
        <f t="shared" ca="1" si="8"/>
        <v>10752.76780552082</v>
      </c>
      <c r="I118">
        <f t="shared" ca="1" si="9"/>
        <v>23272.584969129086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65089</v>
      </c>
      <c r="B121" s="66">
        <v>65089</v>
      </c>
      <c r="D121">
        <f t="shared" si="5"/>
        <v>87.516975246393187</v>
      </c>
      <c r="E121">
        <f t="shared" si="6"/>
        <v>87.516975246393187</v>
      </c>
      <c r="G121">
        <f t="shared" ca="1" si="7"/>
        <v>119</v>
      </c>
      <c r="H121">
        <f t="shared" ca="1" si="8"/>
        <v>10414.520054320788</v>
      </c>
      <c r="I121">
        <f t="shared" ca="1" si="9"/>
        <v>31080.126846419073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70247</v>
      </c>
      <c r="B124" s="66">
        <v>70247</v>
      </c>
      <c r="D124">
        <f t="shared" si="5"/>
        <v>94.452287792612907</v>
      </c>
      <c r="E124">
        <f t="shared" si="6"/>
        <v>94.452287792612907</v>
      </c>
      <c r="G124">
        <f t="shared" ca="1" si="7"/>
        <v>122</v>
      </c>
      <c r="H124">
        <f t="shared" ca="1" si="8"/>
        <v>11523.179110698775</v>
      </c>
      <c r="I124">
        <f t="shared" ca="1" si="9"/>
        <v>45072.850733449915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69346</v>
      </c>
      <c r="B126" s="66">
        <v>69346</v>
      </c>
      <c r="D126">
        <f t="shared" si="5"/>
        <v>93.240826644077828</v>
      </c>
      <c r="E126">
        <f t="shared" si="6"/>
        <v>93.240826644077828</v>
      </c>
      <c r="G126">
        <f t="shared" ca="1" si="7"/>
        <v>124</v>
      </c>
      <c r="H126">
        <f t="shared" ca="1" si="8"/>
        <v>11561.86250386565</v>
      </c>
      <c r="I126">
        <f t="shared" ca="1" si="9"/>
        <v>53015.070836507897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68263</v>
      </c>
      <c r="B129" s="66">
        <v>68263</v>
      </c>
      <c r="D129">
        <f t="shared" si="5"/>
        <v>91.784653032686592</v>
      </c>
      <c r="E129">
        <f t="shared" si="6"/>
        <v>91.784653032686592</v>
      </c>
      <c r="G129">
        <f t="shared" ca="1" si="7"/>
        <v>127</v>
      </c>
      <c r="H129">
        <f t="shared" ca="1" si="8"/>
        <v>11656.650935151198</v>
      </c>
      <c r="I129">
        <f t="shared" ca="1" si="9"/>
        <v>66144.787173623597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66241</v>
      </c>
      <c r="B131" s="66">
        <v>66241</v>
      </c>
      <c r="D131">
        <f t="shared" ref="D131:D194" si="10">IFERROR( 100*A131/MAX(A$2:A$257), 0 )</f>
        <v>89.065924461834271</v>
      </c>
      <c r="E131">
        <f t="shared" ref="E131:E194" si="11">IFERROR( 100*B131/MAX(B$2:B$257), 0 )</f>
        <v>89.065924461834271</v>
      </c>
      <c r="G131">
        <f t="shared" ref="G131:G194" ca="1" si="12">CELL("row",D131)-2</f>
        <v>129</v>
      </c>
      <c r="H131">
        <f t="shared" ref="H131:H194" ca="1" si="13">D131*G131</f>
        <v>11489.504255576621</v>
      </c>
      <c r="I131">
        <f t="shared" ref="I131:I194" ca="1" si="14">D131*((G131-$L$1)^2)</f>
        <v>74105.67893929618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66095</v>
      </c>
      <c r="B134" s="66">
        <v>66095</v>
      </c>
      <c r="D134">
        <f t="shared" si="10"/>
        <v>88.869616661960663</v>
      </c>
      <c r="E134">
        <f t="shared" si="11"/>
        <v>88.869616661960663</v>
      </c>
      <c r="G134">
        <f t="shared" ca="1" si="12"/>
        <v>132</v>
      </c>
      <c r="H134">
        <f t="shared" ca="1" si="13"/>
        <v>11730.789399378808</v>
      </c>
      <c r="I134">
        <f t="shared" ca="1" si="14"/>
        <v>90122.814892713868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59984</v>
      </c>
      <c r="B136" s="66">
        <v>59984</v>
      </c>
      <c r="D136">
        <f t="shared" si="10"/>
        <v>80.652925120675519</v>
      </c>
      <c r="E136">
        <f t="shared" si="11"/>
        <v>80.652925120675519</v>
      </c>
      <c r="G136">
        <f t="shared" ca="1" si="12"/>
        <v>134</v>
      </c>
      <c r="H136">
        <f t="shared" ca="1" si="13"/>
        <v>10807.491966170519</v>
      </c>
      <c r="I136">
        <f t="shared" ca="1" si="14"/>
        <v>92386.424069882196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59752</v>
      </c>
      <c r="B139" s="66">
        <v>59752</v>
      </c>
      <c r="D139">
        <f t="shared" si="10"/>
        <v>80.340983959232517</v>
      </c>
      <c r="E139">
        <f t="shared" si="11"/>
        <v>80.340983959232517</v>
      </c>
      <c r="G139">
        <f t="shared" ca="1" si="12"/>
        <v>137</v>
      </c>
      <c r="H139">
        <f t="shared" ca="1" si="13"/>
        <v>11006.714802414856</v>
      </c>
      <c r="I139">
        <f t="shared" ca="1" si="14"/>
        <v>109066.99491855837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54934</v>
      </c>
      <c r="B142" s="66">
        <v>54934</v>
      </c>
      <c r="D142">
        <f t="shared" si="10"/>
        <v>73.862826563403388</v>
      </c>
      <c r="E142">
        <f t="shared" si="11"/>
        <v>73.862826563403388</v>
      </c>
      <c r="G142">
        <f t="shared" ca="1" si="12"/>
        <v>140</v>
      </c>
      <c r="H142">
        <f t="shared" ca="1" si="13"/>
        <v>10340.795718876474</v>
      </c>
      <c r="I142">
        <f t="shared" ca="1" si="14"/>
        <v>117266.16811437508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50513</v>
      </c>
      <c r="B144" s="66">
        <v>50513</v>
      </c>
      <c r="D144">
        <f t="shared" si="10"/>
        <v>67.918465034353872</v>
      </c>
      <c r="E144">
        <f t="shared" si="11"/>
        <v>67.918465034353872</v>
      </c>
      <c r="G144">
        <f t="shared" ca="1" si="12"/>
        <v>142</v>
      </c>
      <c r="H144">
        <f t="shared" ca="1" si="13"/>
        <v>9644.4220348782492</v>
      </c>
      <c r="I144">
        <f t="shared" ca="1" si="14"/>
        <v>118925.28364557025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45785</v>
      </c>
      <c r="B147" s="66">
        <v>45785</v>
      </c>
      <c r="D147">
        <f t="shared" si="10"/>
        <v>61.561319295981072</v>
      </c>
      <c r="E147">
        <f t="shared" si="11"/>
        <v>61.561319295981072</v>
      </c>
      <c r="G147">
        <f t="shared" ca="1" si="12"/>
        <v>145</v>
      </c>
      <c r="H147">
        <f t="shared" ca="1" si="13"/>
        <v>8926.3912979172546</v>
      </c>
      <c r="I147">
        <f t="shared" ca="1" si="14"/>
        <v>123804.15453247436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43973</v>
      </c>
      <c r="B149" s="66">
        <v>43973</v>
      </c>
      <c r="D149">
        <f t="shared" si="10"/>
        <v>59.124951259193523</v>
      </c>
      <c r="E149">
        <f t="shared" si="11"/>
        <v>59.124951259193523</v>
      </c>
      <c r="G149">
        <f t="shared" ca="1" si="12"/>
        <v>147</v>
      </c>
      <c r="H149">
        <f t="shared" ca="1" si="13"/>
        <v>8691.3678351014478</v>
      </c>
      <c r="I149">
        <f t="shared" ca="1" si="14"/>
        <v>129746.77091794372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38807</v>
      </c>
      <c r="B152" s="66">
        <v>38807</v>
      </c>
      <c r="D152">
        <f t="shared" si="10"/>
        <v>52.178882121199898</v>
      </c>
      <c r="E152">
        <f t="shared" si="11"/>
        <v>52.178882121199898</v>
      </c>
      <c r="G152">
        <f t="shared" ca="1" si="12"/>
        <v>150</v>
      </c>
      <c r="H152">
        <f t="shared" ca="1" si="13"/>
        <v>7826.8323181799851</v>
      </c>
      <c r="I152">
        <f t="shared" ca="1" si="14"/>
        <v>129639.48306660018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38613</v>
      </c>
      <c r="B154" s="66">
        <v>38613</v>
      </c>
      <c r="D154">
        <f t="shared" si="10"/>
        <v>51.918034770682908</v>
      </c>
      <c r="E154">
        <f t="shared" si="11"/>
        <v>51.918034770682908</v>
      </c>
      <c r="G154">
        <f t="shared" ca="1" si="12"/>
        <v>152</v>
      </c>
      <c r="H154">
        <f t="shared" ca="1" si="13"/>
        <v>7891.5412851438023</v>
      </c>
      <c r="I154">
        <f t="shared" ca="1" si="14"/>
        <v>139550.48437369836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34603</v>
      </c>
      <c r="B157" s="66">
        <v>34603</v>
      </c>
      <c r="D157">
        <f t="shared" si="10"/>
        <v>46.526293144017316</v>
      </c>
      <c r="E157">
        <f t="shared" si="11"/>
        <v>46.526293144017316</v>
      </c>
      <c r="G157">
        <f t="shared" ca="1" si="12"/>
        <v>155</v>
      </c>
      <c r="H157">
        <f t="shared" ca="1" si="13"/>
        <v>7211.5754373226837</v>
      </c>
      <c r="I157">
        <f t="shared" ca="1" si="14"/>
        <v>139949.68193263115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36497</v>
      </c>
      <c r="B160" s="66">
        <v>36497</v>
      </c>
      <c r="D160">
        <f t="shared" si="10"/>
        <v>49.072916246487303</v>
      </c>
      <c r="E160">
        <f t="shared" si="11"/>
        <v>49.072916246487303</v>
      </c>
      <c r="G160">
        <f t="shared" ca="1" si="12"/>
        <v>158</v>
      </c>
      <c r="H160">
        <f t="shared" ca="1" si="13"/>
        <v>7753.5207669449937</v>
      </c>
      <c r="I160">
        <f t="shared" ca="1" si="14"/>
        <v>164199.91646201382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30870</v>
      </c>
      <c r="B162" s="66">
        <v>30870</v>
      </c>
      <c r="D162">
        <f t="shared" si="10"/>
        <v>41.506998507522894</v>
      </c>
      <c r="E162">
        <f t="shared" si="11"/>
        <v>41.506998507522894</v>
      </c>
      <c r="G162">
        <f t="shared" ca="1" si="12"/>
        <v>160</v>
      </c>
      <c r="H162">
        <f t="shared" ca="1" si="13"/>
        <v>6641.1197612036631</v>
      </c>
      <c r="I162">
        <f t="shared" ca="1" si="14"/>
        <v>148653.96762839661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27713</v>
      </c>
      <c r="B165" s="66">
        <v>27713</v>
      </c>
      <c r="D165">
        <f t="shared" si="10"/>
        <v>37.262178478749007</v>
      </c>
      <c r="E165">
        <f t="shared" si="11"/>
        <v>37.262178478749007</v>
      </c>
      <c r="G165">
        <f t="shared" ca="1" si="12"/>
        <v>163</v>
      </c>
      <c r="H165">
        <f t="shared" ca="1" si="13"/>
        <v>6073.7350920360877</v>
      </c>
      <c r="I165">
        <f t="shared" ca="1" si="14"/>
        <v>147166.56833940308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25480</v>
      </c>
      <c r="B167" s="66">
        <v>25480</v>
      </c>
      <c r="D167">
        <f t="shared" si="10"/>
        <v>34.259744799860165</v>
      </c>
      <c r="E167">
        <f t="shared" si="11"/>
        <v>34.259744799860165</v>
      </c>
      <c r="G167">
        <f t="shared" ca="1" si="12"/>
        <v>165</v>
      </c>
      <c r="H167">
        <f t="shared" ca="1" si="13"/>
        <v>5652.857891976927</v>
      </c>
      <c r="I167">
        <f t="shared" ca="1" si="14"/>
        <v>144057.73747790043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23030</v>
      </c>
      <c r="B170" s="66">
        <v>23030</v>
      </c>
      <c r="D170">
        <f t="shared" si="10"/>
        <v>30.965538569104378</v>
      </c>
      <c r="E170">
        <f t="shared" si="11"/>
        <v>30.965538569104378</v>
      </c>
      <c r="G170">
        <f t="shared" ca="1" si="12"/>
        <v>168</v>
      </c>
      <c r="H170">
        <f t="shared" ca="1" si="13"/>
        <v>5202.2104796095355</v>
      </c>
      <c r="I170">
        <f t="shared" ca="1" si="14"/>
        <v>142532.47663292964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20925</v>
      </c>
      <c r="B173" s="66">
        <v>20925</v>
      </c>
      <c r="D173">
        <f t="shared" si="10"/>
        <v>28.135210358597877</v>
      </c>
      <c r="E173">
        <f t="shared" si="11"/>
        <v>28.135210358597877</v>
      </c>
      <c r="G173">
        <f t="shared" ca="1" si="12"/>
        <v>171</v>
      </c>
      <c r="H173">
        <f t="shared" ca="1" si="13"/>
        <v>4811.120971320237</v>
      </c>
      <c r="I173">
        <f t="shared" ca="1" si="14"/>
        <v>141210.8596878738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15786</v>
      </c>
      <c r="B175" s="66">
        <v>15786</v>
      </c>
      <c r="D175">
        <f t="shared" si="10"/>
        <v>21.225444717841153</v>
      </c>
      <c r="E175">
        <f t="shared" si="11"/>
        <v>21.225444717841153</v>
      </c>
      <c r="G175">
        <f t="shared" ca="1" si="12"/>
        <v>173</v>
      </c>
      <c r="H175">
        <f t="shared" ca="1" si="13"/>
        <v>3672.0019361865193</v>
      </c>
      <c r="I175">
        <f t="shared" ca="1" si="14"/>
        <v>112630.4522526425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14206</v>
      </c>
      <c r="B178" s="66">
        <v>14206</v>
      </c>
      <c r="D178">
        <f t="shared" si="10"/>
        <v>19.101017842496606</v>
      </c>
      <c r="E178">
        <f t="shared" si="11"/>
        <v>19.101017842496606</v>
      </c>
      <c r="G178">
        <f t="shared" ca="1" si="12"/>
        <v>176</v>
      </c>
      <c r="H178">
        <f t="shared" ca="1" si="13"/>
        <v>3361.7791402794028</v>
      </c>
      <c r="I178">
        <f t="shared" ca="1" si="14"/>
        <v>109877.80481596064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13059</v>
      </c>
      <c r="B180" s="66">
        <v>13059</v>
      </c>
      <c r="D180">
        <f t="shared" si="10"/>
        <v>17.558791496914203</v>
      </c>
      <c r="E180">
        <f t="shared" si="11"/>
        <v>17.558791496914203</v>
      </c>
      <c r="G180">
        <f t="shared" ca="1" si="12"/>
        <v>178</v>
      </c>
      <c r="H180">
        <f t="shared" ca="1" si="13"/>
        <v>3125.464886450728</v>
      </c>
      <c r="I180">
        <f t="shared" ca="1" si="14"/>
        <v>106403.43096867719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7576</v>
      </c>
      <c r="B183" s="66">
        <v>7576</v>
      </c>
      <c r="D183">
        <f t="shared" si="10"/>
        <v>10.18649240987993</v>
      </c>
      <c r="E183">
        <f t="shared" si="11"/>
        <v>10.18649240987993</v>
      </c>
      <c r="G183">
        <f t="shared" ca="1" si="12"/>
        <v>181</v>
      </c>
      <c r="H183">
        <f t="shared" ca="1" si="13"/>
        <v>1843.7551261882675</v>
      </c>
      <c r="I183">
        <f t="shared" ca="1" si="14"/>
        <v>66577.974278969035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4528</v>
      </c>
      <c r="B185" s="66">
        <v>4528</v>
      </c>
      <c r="D185">
        <f t="shared" si="10"/>
        <v>6.0882309440253852</v>
      </c>
      <c r="E185">
        <f t="shared" si="11"/>
        <v>6.0882309440253852</v>
      </c>
      <c r="G185">
        <f t="shared" ca="1" si="12"/>
        <v>183</v>
      </c>
      <c r="H185">
        <f t="shared" ca="1" si="13"/>
        <v>1114.1462627566455</v>
      </c>
      <c r="I185">
        <f t="shared" ca="1" si="14"/>
        <v>41785.279662257024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3547</v>
      </c>
      <c r="B188" s="66">
        <v>3547</v>
      </c>
      <c r="D188">
        <f t="shared" si="10"/>
        <v>4.7692038777513348</v>
      </c>
      <c r="E188">
        <f t="shared" si="11"/>
        <v>4.7692038777513348</v>
      </c>
      <c r="G188">
        <f t="shared" ca="1" si="12"/>
        <v>186</v>
      </c>
      <c r="H188">
        <f t="shared" ca="1" si="13"/>
        <v>887.07192126174823</v>
      </c>
      <c r="I188">
        <f t="shared" ca="1" si="14"/>
        <v>35145.967504088483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966</v>
      </c>
      <c r="B191" s="66">
        <v>966</v>
      </c>
      <c r="D191">
        <f t="shared" si="10"/>
        <v>1.2988584566979953</v>
      </c>
      <c r="E191">
        <f t="shared" si="11"/>
        <v>1.2988584566979953</v>
      </c>
      <c r="G191">
        <f t="shared" ca="1" si="12"/>
        <v>189</v>
      </c>
      <c r="H191">
        <f t="shared" ca="1" si="13"/>
        <v>245.48424831592109</v>
      </c>
      <c r="I191">
        <f t="shared" ca="1" si="14"/>
        <v>10252.444521724483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892</v>
      </c>
      <c r="B193" s="66">
        <v>892</v>
      </c>
      <c r="D193">
        <f t="shared" si="10"/>
        <v>1.1993599827894532</v>
      </c>
      <c r="E193">
        <f t="shared" si="11"/>
        <v>1.1993599827894532</v>
      </c>
      <c r="G193">
        <f t="shared" ca="1" si="12"/>
        <v>191</v>
      </c>
      <c r="H193">
        <f t="shared" ca="1" si="13"/>
        <v>229.07775671278557</v>
      </c>
      <c r="I193">
        <f t="shared" ca="1" si="14"/>
        <v>9898.0863760984739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448</v>
      </c>
      <c r="B196" s="66">
        <v>448</v>
      </c>
      <c r="D196">
        <f t="shared" si="15"/>
        <v>0.60236913933820069</v>
      </c>
      <c r="E196">
        <f t="shared" si="16"/>
        <v>0.60236913933820069</v>
      </c>
      <c r="G196">
        <f t="shared" ca="1" si="17"/>
        <v>194</v>
      </c>
      <c r="H196">
        <f t="shared" ca="1" si="18"/>
        <v>116.85961303161093</v>
      </c>
      <c r="I196">
        <f t="shared" ca="1" si="19"/>
        <v>5304.9907347038807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585</v>
      </c>
      <c r="B198" s="66">
        <v>585</v>
      </c>
      <c r="D198">
        <f t="shared" si="15"/>
        <v>0.78657577346617724</v>
      </c>
      <c r="E198">
        <f t="shared" si="16"/>
        <v>0.78657577346617724</v>
      </c>
      <c r="G198">
        <f t="shared" ca="1" si="17"/>
        <v>196</v>
      </c>
      <c r="H198">
        <f t="shared" ca="1" si="18"/>
        <v>154.16885159937073</v>
      </c>
      <c r="I198">
        <f t="shared" ca="1" si="19"/>
        <v>7225.6868418254871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647</v>
      </c>
      <c r="B201" s="66">
        <v>647</v>
      </c>
      <c r="D201">
        <f t="shared" si="15"/>
        <v>0.8699393597138747</v>
      </c>
      <c r="E201">
        <f t="shared" si="16"/>
        <v>0.8699393597138747</v>
      </c>
      <c r="G201">
        <f t="shared" ca="1" si="17"/>
        <v>199</v>
      </c>
      <c r="H201">
        <f t="shared" ca="1" si="18"/>
        <v>173.11793258306108</v>
      </c>
      <c r="I201">
        <f t="shared" ca="1" si="19"/>
        <v>8499.5914090114111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81.853651293775343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1.58038856986779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0.58104785701016559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1604</v>
      </c>
      <c r="B8" s="66">
        <v>1604</v>
      </c>
      <c r="D8">
        <f t="shared" si="0"/>
        <v>1.4436014436014437</v>
      </c>
      <c r="E8">
        <f t="shared" si="1"/>
        <v>1.4436014436014437</v>
      </c>
      <c r="G8">
        <f t="shared" ca="1" si="2"/>
        <v>6</v>
      </c>
      <c r="H8">
        <f t="shared" ca="1" si="3"/>
        <v>8.6616086616086623</v>
      </c>
      <c r="I8">
        <f t="shared" ca="1" si="4"/>
        <v>8306.1599382731292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9074</v>
      </c>
      <c r="B10" s="66">
        <v>9074</v>
      </c>
      <c r="D10">
        <f t="shared" si="0"/>
        <v>8.1666081666081674</v>
      </c>
      <c r="E10">
        <f t="shared" si="1"/>
        <v>8.1666081666081674</v>
      </c>
      <c r="G10">
        <f t="shared" ca="1" si="2"/>
        <v>8</v>
      </c>
      <c r="H10">
        <f t="shared" ca="1" si="3"/>
        <v>65.332865332865339</v>
      </c>
      <c r="I10">
        <f t="shared" ca="1" si="4"/>
        <v>44543.635696466008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13486</v>
      </c>
      <c r="B13" s="66">
        <v>13486</v>
      </c>
      <c r="D13">
        <f t="shared" si="0"/>
        <v>12.137412137412138</v>
      </c>
      <c r="E13">
        <f t="shared" si="1"/>
        <v>12.137412137412138</v>
      </c>
      <c r="G13">
        <f t="shared" ca="1" si="2"/>
        <v>11</v>
      </c>
      <c r="H13">
        <f t="shared" ca="1" si="3"/>
        <v>133.51153351153351</v>
      </c>
      <c r="I13">
        <f t="shared" ca="1" si="4"/>
        <v>60932.720715127733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13127</v>
      </c>
      <c r="B15" s="66">
        <v>13127</v>
      </c>
      <c r="D15">
        <f t="shared" si="0"/>
        <v>11.814311814311814</v>
      </c>
      <c r="E15">
        <f t="shared" si="1"/>
        <v>11.814311814311814</v>
      </c>
      <c r="G15">
        <f t="shared" ca="1" si="2"/>
        <v>13</v>
      </c>
      <c r="H15">
        <f t="shared" ca="1" si="3"/>
        <v>153.58605358605359</v>
      </c>
      <c r="I15">
        <f t="shared" ca="1" si="4"/>
        <v>56009.588309848812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14134</v>
      </c>
      <c r="B18" s="66">
        <v>14134</v>
      </c>
      <c r="D18">
        <f t="shared" si="0"/>
        <v>12.720612720612721</v>
      </c>
      <c r="E18">
        <f t="shared" si="1"/>
        <v>12.720612720612721</v>
      </c>
      <c r="G18">
        <f t="shared" ca="1" si="2"/>
        <v>16</v>
      </c>
      <c r="H18">
        <f t="shared" ca="1" si="3"/>
        <v>203.52980352980353</v>
      </c>
      <c r="I18">
        <f t="shared" ca="1" si="4"/>
        <v>55165.524292103386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9233</v>
      </c>
      <c r="B21" s="66">
        <v>9233</v>
      </c>
      <c r="D21">
        <f t="shared" si="0"/>
        <v>8.3097083097083093</v>
      </c>
      <c r="E21">
        <f t="shared" si="1"/>
        <v>8.3097083097083093</v>
      </c>
      <c r="G21">
        <f t="shared" ca="1" si="2"/>
        <v>19</v>
      </c>
      <c r="H21">
        <f t="shared" ca="1" si="3"/>
        <v>157.88445788445787</v>
      </c>
      <c r="I21">
        <f t="shared" ca="1" si="4"/>
        <v>32828.179760508974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9220</v>
      </c>
      <c r="B23" s="66">
        <v>9220</v>
      </c>
      <c r="D23">
        <f t="shared" si="0"/>
        <v>8.2980082980082983</v>
      </c>
      <c r="E23">
        <f t="shared" si="1"/>
        <v>8.2980082980082983</v>
      </c>
      <c r="G23">
        <f t="shared" ca="1" si="2"/>
        <v>21</v>
      </c>
      <c r="H23">
        <f t="shared" ca="1" si="3"/>
        <v>174.25817425817428</v>
      </c>
      <c r="I23">
        <f t="shared" ca="1" si="4"/>
        <v>30728.909464168461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11716</v>
      </c>
      <c r="B26" s="66">
        <v>11716</v>
      </c>
      <c r="D26">
        <f t="shared" si="0"/>
        <v>10.544410544410544</v>
      </c>
      <c r="E26">
        <f t="shared" si="1"/>
        <v>10.544410544410544</v>
      </c>
      <c r="G26">
        <f t="shared" ca="1" si="2"/>
        <v>24</v>
      </c>
      <c r="H26">
        <f t="shared" ca="1" si="3"/>
        <v>253.06585306585305</v>
      </c>
      <c r="I26">
        <f t="shared" ca="1" si="4"/>
        <v>35292.616253424829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11109</v>
      </c>
      <c r="B28" s="66">
        <v>11109</v>
      </c>
      <c r="D28">
        <f t="shared" si="0"/>
        <v>9.9981099981099977</v>
      </c>
      <c r="E28">
        <f t="shared" si="1"/>
        <v>9.9981099981099977</v>
      </c>
      <c r="G28">
        <f t="shared" ca="1" si="2"/>
        <v>26</v>
      </c>
      <c r="H28">
        <f t="shared" ca="1" si="3"/>
        <v>259.95085995085992</v>
      </c>
      <c r="I28">
        <f t="shared" ca="1" si="4"/>
        <v>31190.407521184632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14290</v>
      </c>
      <c r="B31" s="66">
        <v>14290</v>
      </c>
      <c r="D31">
        <f t="shared" si="0"/>
        <v>12.861012861012862</v>
      </c>
      <c r="E31">
        <f t="shared" si="1"/>
        <v>12.861012861012862</v>
      </c>
      <c r="G31">
        <f t="shared" ca="1" si="2"/>
        <v>29</v>
      </c>
      <c r="H31">
        <f t="shared" ca="1" si="3"/>
        <v>372.96937296937301</v>
      </c>
      <c r="I31">
        <f t="shared" ca="1" si="4"/>
        <v>35927.348168183496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17938</v>
      </c>
      <c r="B33" s="66">
        <v>17938</v>
      </c>
      <c r="D33">
        <f t="shared" si="0"/>
        <v>16.144216144216145</v>
      </c>
      <c r="E33">
        <f t="shared" si="1"/>
        <v>16.144216144216145</v>
      </c>
      <c r="G33">
        <f t="shared" ca="1" si="2"/>
        <v>31</v>
      </c>
      <c r="H33">
        <f t="shared" ca="1" si="3"/>
        <v>500.47070047070048</v>
      </c>
      <c r="I33">
        <f t="shared" ca="1" si="4"/>
        <v>41750.458082157318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19251</v>
      </c>
      <c r="B36" s="66">
        <v>19251</v>
      </c>
      <c r="D36">
        <f t="shared" si="0"/>
        <v>17.325917325917327</v>
      </c>
      <c r="E36">
        <f t="shared" si="1"/>
        <v>17.325917325917327</v>
      </c>
      <c r="G36">
        <f t="shared" ca="1" si="2"/>
        <v>34</v>
      </c>
      <c r="H36">
        <f t="shared" ca="1" si="3"/>
        <v>589.08118908118911</v>
      </c>
      <c r="I36">
        <f t="shared" ca="1" si="4"/>
        <v>39675.864548296202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25095</v>
      </c>
      <c r="B39" s="66">
        <v>25095</v>
      </c>
      <c r="D39">
        <f t="shared" si="0"/>
        <v>22.585522585522586</v>
      </c>
      <c r="E39">
        <f t="shared" si="1"/>
        <v>22.585522585522586</v>
      </c>
      <c r="G39">
        <f t="shared" ca="1" si="2"/>
        <v>37</v>
      </c>
      <c r="H39">
        <f t="shared" ca="1" si="3"/>
        <v>835.66433566433568</v>
      </c>
      <c r="I39">
        <f t="shared" ca="1" si="4"/>
        <v>45438.684390255061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29123</v>
      </c>
      <c r="B41" s="66">
        <v>29123</v>
      </c>
      <c r="D41">
        <f t="shared" si="0"/>
        <v>26.210726210726211</v>
      </c>
      <c r="E41">
        <f t="shared" si="1"/>
        <v>26.210726210726211</v>
      </c>
      <c r="G41">
        <f t="shared" ca="1" si="2"/>
        <v>39</v>
      </c>
      <c r="H41">
        <f t="shared" ca="1" si="3"/>
        <v>1022.2183222183222</v>
      </c>
      <c r="I41">
        <f t="shared" ca="1" si="4"/>
        <v>48134.306238661287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33824</v>
      </c>
      <c r="B44" s="66">
        <v>33824</v>
      </c>
      <c r="D44">
        <f t="shared" si="0"/>
        <v>30.441630441630441</v>
      </c>
      <c r="E44">
        <f t="shared" si="1"/>
        <v>30.441630441630441</v>
      </c>
      <c r="G44">
        <f t="shared" ca="1" si="2"/>
        <v>42</v>
      </c>
      <c r="H44">
        <f t="shared" ca="1" si="3"/>
        <v>1278.5484785484784</v>
      </c>
      <c r="I44">
        <f t="shared" ca="1" si="4"/>
        <v>48350.85324529896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37679</v>
      </c>
      <c r="B46" s="66">
        <v>37679</v>
      </c>
      <c r="D46">
        <f t="shared" si="0"/>
        <v>33.911133911133909</v>
      </c>
      <c r="E46">
        <f t="shared" si="1"/>
        <v>33.911133911133909</v>
      </c>
      <c r="G46">
        <f t="shared" ca="1" si="2"/>
        <v>44</v>
      </c>
      <c r="H46">
        <f t="shared" ca="1" si="3"/>
        <v>1492.0898920898919</v>
      </c>
      <c r="I46">
        <f t="shared" ca="1" si="4"/>
        <v>48591.227030775706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43120</v>
      </c>
      <c r="B49" s="66">
        <v>43120</v>
      </c>
      <c r="D49">
        <f t="shared" si="0"/>
        <v>38.808038808038809</v>
      </c>
      <c r="E49">
        <f t="shared" si="1"/>
        <v>38.808038808038809</v>
      </c>
      <c r="G49">
        <f t="shared" ca="1" si="2"/>
        <v>47</v>
      </c>
      <c r="H49">
        <f t="shared" ca="1" si="3"/>
        <v>1823.9778239778241</v>
      </c>
      <c r="I49">
        <f t="shared" ca="1" si="4"/>
        <v>47143.113289295157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44986</v>
      </c>
      <c r="B51" s="66">
        <v>44986</v>
      </c>
      <c r="D51">
        <f t="shared" si="0"/>
        <v>40.487440487440487</v>
      </c>
      <c r="E51">
        <f t="shared" si="1"/>
        <v>40.487440487440487</v>
      </c>
      <c r="G51">
        <f t="shared" ca="1" si="2"/>
        <v>49</v>
      </c>
      <c r="H51">
        <f t="shared" ca="1" si="3"/>
        <v>1983.8845838845839</v>
      </c>
      <c r="I51">
        <f t="shared" ca="1" si="4"/>
        <v>43700.621069325018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50237</v>
      </c>
      <c r="B54" s="66">
        <v>50237</v>
      </c>
      <c r="D54">
        <f t="shared" si="0"/>
        <v>45.213345213345214</v>
      </c>
      <c r="E54">
        <f t="shared" si="1"/>
        <v>45.213345213345214</v>
      </c>
      <c r="G54">
        <f t="shared" ca="1" si="2"/>
        <v>52</v>
      </c>
      <c r="H54">
        <f t="shared" ca="1" si="3"/>
        <v>2351.0939510939511</v>
      </c>
      <c r="I54">
        <f t="shared" ca="1" si="4"/>
        <v>40295.964194334389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51505</v>
      </c>
      <c r="B57" s="66">
        <v>51505</v>
      </c>
      <c r="D57">
        <f t="shared" si="0"/>
        <v>46.354546354546358</v>
      </c>
      <c r="E57">
        <f t="shared" si="1"/>
        <v>46.354546354546358</v>
      </c>
      <c r="G57">
        <f t="shared" ca="1" si="2"/>
        <v>55</v>
      </c>
      <c r="H57">
        <f t="shared" ca="1" si="3"/>
        <v>2549.5000495000495</v>
      </c>
      <c r="I57">
        <f t="shared" ca="1" si="4"/>
        <v>33427.125005656213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53935</v>
      </c>
      <c r="B59" s="66">
        <v>53935</v>
      </c>
      <c r="D59">
        <f t="shared" si="0"/>
        <v>48.541548541548543</v>
      </c>
      <c r="E59">
        <f t="shared" si="1"/>
        <v>48.541548541548543</v>
      </c>
      <c r="G59">
        <f t="shared" ca="1" si="2"/>
        <v>57</v>
      </c>
      <c r="H59">
        <f t="shared" ca="1" si="3"/>
        <v>2766.8682668682668</v>
      </c>
      <c r="I59">
        <f t="shared" ca="1" si="4"/>
        <v>29984.307857267275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57812</v>
      </c>
      <c r="B62" s="66">
        <v>57812</v>
      </c>
      <c r="D62">
        <f t="shared" si="0"/>
        <v>52.030852030852031</v>
      </c>
      <c r="E62">
        <f t="shared" si="1"/>
        <v>52.030852030852031</v>
      </c>
      <c r="G62">
        <f t="shared" ca="1" si="2"/>
        <v>60</v>
      </c>
      <c r="H62">
        <f t="shared" ca="1" si="3"/>
        <v>3121.8511218511221</v>
      </c>
      <c r="I62">
        <f t="shared" ca="1" si="4"/>
        <v>24849.002270144556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67667</v>
      </c>
      <c r="B64" s="66">
        <v>67667</v>
      </c>
      <c r="D64">
        <f t="shared" si="0"/>
        <v>60.900360900360901</v>
      </c>
      <c r="E64">
        <f t="shared" si="1"/>
        <v>60.900360900360901</v>
      </c>
      <c r="G64">
        <f t="shared" ca="1" si="2"/>
        <v>62</v>
      </c>
      <c r="H64">
        <f t="shared" ca="1" si="3"/>
        <v>3775.8223758223758</v>
      </c>
      <c r="I64">
        <f t="shared" ca="1" si="4"/>
        <v>24004.941159597052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77927</v>
      </c>
      <c r="B67" s="66">
        <v>77927</v>
      </c>
      <c r="D67">
        <f t="shared" ref="D67:D130" si="5">IFERROR(100*A67/MAX(A$2:A$257), 0 )</f>
        <v>70.13437013437013</v>
      </c>
      <c r="E67">
        <f t="shared" ref="E67:E130" si="6">IFERROR(100*B67/MAX(B$2:B$257), 0 )</f>
        <v>70.13437013437013</v>
      </c>
      <c r="G67">
        <f t="shared" ref="G67:G130" ca="1" si="7">CELL("row",D67)-2</f>
        <v>65</v>
      </c>
      <c r="H67">
        <f t="shared" ref="H67:H130" ca="1" si="8">D67*G67</f>
        <v>4558.7340587340586</v>
      </c>
      <c r="I67">
        <f t="shared" ref="I67:I130" ca="1" si="9">D67*((G67-$L$1)^2)</f>
        <v>19921.356575576337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84825</v>
      </c>
      <c r="B69" s="66">
        <v>84825</v>
      </c>
      <c r="D69">
        <f t="shared" si="5"/>
        <v>76.342576342576336</v>
      </c>
      <c r="E69">
        <f t="shared" si="6"/>
        <v>76.342576342576336</v>
      </c>
      <c r="G69">
        <f t="shared" ca="1" si="7"/>
        <v>67</v>
      </c>
      <c r="H69">
        <f t="shared" ca="1" si="8"/>
        <v>5114.9526149526146</v>
      </c>
      <c r="I69">
        <f t="shared" ca="1" si="9"/>
        <v>16843.535659762572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96103</v>
      </c>
      <c r="B72" s="66">
        <v>96103</v>
      </c>
      <c r="D72">
        <f t="shared" si="5"/>
        <v>86.492786492786493</v>
      </c>
      <c r="E72">
        <f t="shared" si="6"/>
        <v>86.492786492786493</v>
      </c>
      <c r="G72">
        <f t="shared" ca="1" si="7"/>
        <v>70</v>
      </c>
      <c r="H72">
        <f t="shared" ca="1" si="8"/>
        <v>6054.4950544950543</v>
      </c>
      <c r="I72">
        <f t="shared" ca="1" si="9"/>
        <v>12153.019174979005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103571</v>
      </c>
      <c r="B75" s="66">
        <v>103571</v>
      </c>
      <c r="D75">
        <f t="shared" si="5"/>
        <v>93.21399321399322</v>
      </c>
      <c r="E75">
        <f t="shared" si="6"/>
        <v>93.21399321399322</v>
      </c>
      <c r="G75">
        <f t="shared" ca="1" si="7"/>
        <v>73</v>
      </c>
      <c r="H75">
        <f t="shared" ca="1" si="8"/>
        <v>6804.6215046215048</v>
      </c>
      <c r="I75">
        <f t="shared" ca="1" si="9"/>
        <v>7306.7784508425184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108657</v>
      </c>
      <c r="B77" s="66">
        <v>108657</v>
      </c>
      <c r="D77">
        <f t="shared" si="5"/>
        <v>97.791397791397785</v>
      </c>
      <c r="E77">
        <f t="shared" si="6"/>
        <v>97.791397791397785</v>
      </c>
      <c r="G77">
        <f t="shared" ca="1" si="7"/>
        <v>75</v>
      </c>
      <c r="H77">
        <f t="shared" ca="1" si="8"/>
        <v>7334.3548343548337</v>
      </c>
      <c r="I77">
        <f t="shared" ca="1" si="9"/>
        <v>4593.5099587884379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111111</v>
      </c>
      <c r="B80" s="66">
        <v>111111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1485.0628294016374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109701</v>
      </c>
      <c r="B82" s="66">
        <v>109701</v>
      </c>
      <c r="D82">
        <f t="shared" si="5"/>
        <v>98.730998730998735</v>
      </c>
      <c r="E82">
        <f t="shared" si="6"/>
        <v>98.730998730998735</v>
      </c>
      <c r="G82">
        <f t="shared" ca="1" si="7"/>
        <v>80</v>
      </c>
      <c r="H82">
        <f t="shared" ca="1" si="8"/>
        <v>7898.479898479899</v>
      </c>
      <c r="I82">
        <f t="shared" ca="1" si="9"/>
        <v>339.24199419327942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94883</v>
      </c>
      <c r="B85" s="66">
        <v>94883</v>
      </c>
      <c r="D85">
        <f t="shared" si="5"/>
        <v>85.394785394785401</v>
      </c>
      <c r="E85">
        <f t="shared" si="6"/>
        <v>85.394785394785401</v>
      </c>
      <c r="G85">
        <f t="shared" ca="1" si="7"/>
        <v>83</v>
      </c>
      <c r="H85">
        <f t="shared" ca="1" si="8"/>
        <v>7087.7671877671883</v>
      </c>
      <c r="I85">
        <f t="shared" ca="1" si="9"/>
        <v>112.21859883206618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94446</v>
      </c>
      <c r="B88" s="66">
        <v>94446</v>
      </c>
      <c r="D88">
        <f t="shared" si="5"/>
        <v>85.001485001485008</v>
      </c>
      <c r="E88">
        <f t="shared" si="6"/>
        <v>85.001485001485008</v>
      </c>
      <c r="G88">
        <f t="shared" ca="1" si="7"/>
        <v>86</v>
      </c>
      <c r="H88">
        <f t="shared" ca="1" si="8"/>
        <v>7310.127710127711</v>
      </c>
      <c r="I88">
        <f t="shared" ca="1" si="9"/>
        <v>1461.3631759107325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90806</v>
      </c>
      <c r="B90" s="66">
        <v>90806</v>
      </c>
      <c r="D90">
        <f t="shared" si="5"/>
        <v>81.725481725481728</v>
      </c>
      <c r="E90">
        <f t="shared" si="6"/>
        <v>81.725481725481728</v>
      </c>
      <c r="G90">
        <f t="shared" ca="1" si="7"/>
        <v>88</v>
      </c>
      <c r="H90">
        <f t="shared" ca="1" si="8"/>
        <v>7191.8423918423923</v>
      </c>
      <c r="I90">
        <f t="shared" ca="1" si="9"/>
        <v>3087.392756086414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86477</v>
      </c>
      <c r="B93" s="66">
        <v>86477</v>
      </c>
      <c r="D93">
        <f t="shared" si="5"/>
        <v>77.829377829377833</v>
      </c>
      <c r="E93">
        <f t="shared" si="6"/>
        <v>77.829377829377833</v>
      </c>
      <c r="G93">
        <f t="shared" ca="1" si="7"/>
        <v>91</v>
      </c>
      <c r="H93">
        <f t="shared" ca="1" si="8"/>
        <v>7082.473382473383</v>
      </c>
      <c r="I93">
        <f t="shared" ca="1" si="9"/>
        <v>6510.8706669497942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83074</v>
      </c>
      <c r="B95" s="66">
        <v>83074</v>
      </c>
      <c r="D95">
        <f t="shared" si="5"/>
        <v>74.766674766674768</v>
      </c>
      <c r="E95">
        <f t="shared" si="6"/>
        <v>74.766674766674768</v>
      </c>
      <c r="G95">
        <f t="shared" ca="1" si="7"/>
        <v>93</v>
      </c>
      <c r="H95">
        <f t="shared" ca="1" si="8"/>
        <v>6953.3007533007531</v>
      </c>
      <c r="I95">
        <f t="shared" ca="1" si="9"/>
        <v>9289.0931298650285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80570</v>
      </c>
      <c r="B98" s="66">
        <v>80570</v>
      </c>
      <c r="D98">
        <f t="shared" si="5"/>
        <v>72.513072513072515</v>
      </c>
      <c r="E98">
        <f t="shared" si="6"/>
        <v>72.513072513072515</v>
      </c>
      <c r="G98">
        <f t="shared" ca="1" si="7"/>
        <v>96</v>
      </c>
      <c r="H98">
        <f t="shared" ca="1" si="8"/>
        <v>6961.254961254961</v>
      </c>
      <c r="I98">
        <f t="shared" ca="1" si="9"/>
        <v>14511.256735181612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76187</v>
      </c>
      <c r="B100" s="66">
        <v>76187</v>
      </c>
      <c r="D100">
        <f t="shared" si="5"/>
        <v>68.56836856836857</v>
      </c>
      <c r="E100">
        <f t="shared" si="6"/>
        <v>68.56836856836857</v>
      </c>
      <c r="G100">
        <f t="shared" ca="1" si="7"/>
        <v>98</v>
      </c>
      <c r="H100">
        <f t="shared" ca="1" si="8"/>
        <v>6719.70011970012</v>
      </c>
      <c r="I100">
        <f t="shared" ca="1" si="9"/>
        <v>17876.087491861061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71795</v>
      </c>
      <c r="B103" s="66">
        <v>71795</v>
      </c>
      <c r="D103">
        <f t="shared" si="5"/>
        <v>64.615564615564622</v>
      </c>
      <c r="E103">
        <f t="shared" si="6"/>
        <v>64.615564615564622</v>
      </c>
      <c r="G103">
        <f t="shared" ca="1" si="7"/>
        <v>101</v>
      </c>
      <c r="H103">
        <f t="shared" ca="1" si="8"/>
        <v>6526.1720261720266</v>
      </c>
      <c r="I103">
        <f t="shared" ca="1" si="9"/>
        <v>23686.946121522869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57460</v>
      </c>
      <c r="B106" s="66">
        <v>57460</v>
      </c>
      <c r="D106">
        <f t="shared" si="5"/>
        <v>51.714051714051713</v>
      </c>
      <c r="E106">
        <f t="shared" si="6"/>
        <v>51.714051714051713</v>
      </c>
      <c r="G106">
        <f t="shared" ca="1" si="7"/>
        <v>104</v>
      </c>
      <c r="H106">
        <f t="shared" ca="1" si="8"/>
        <v>5378.261378261378</v>
      </c>
      <c r="I106">
        <f t="shared" ca="1" si="9"/>
        <v>25363.71315898242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49053</v>
      </c>
      <c r="B108" s="66">
        <v>49053</v>
      </c>
      <c r="D108">
        <f t="shared" si="5"/>
        <v>44.147744147744149</v>
      </c>
      <c r="E108">
        <f t="shared" si="6"/>
        <v>44.147744147744149</v>
      </c>
      <c r="G108">
        <f t="shared" ca="1" si="7"/>
        <v>106</v>
      </c>
      <c r="H108">
        <f t="shared" ca="1" si="8"/>
        <v>4679.6608796608798</v>
      </c>
      <c r="I108">
        <f t="shared" ca="1" si="9"/>
        <v>25740.172514464743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38000</v>
      </c>
      <c r="B111" s="66">
        <v>38000</v>
      </c>
      <c r="D111">
        <f t="shared" si="5"/>
        <v>34.200034200034203</v>
      </c>
      <c r="E111">
        <f t="shared" si="6"/>
        <v>34.200034200034203</v>
      </c>
      <c r="G111">
        <f t="shared" ca="1" si="7"/>
        <v>109</v>
      </c>
      <c r="H111">
        <f t="shared" ca="1" si="8"/>
        <v>3727.8037278037282</v>
      </c>
      <c r="I111">
        <f t="shared" ca="1" si="9"/>
        <v>25202.834487168609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32492</v>
      </c>
      <c r="B113" s="66">
        <v>32492</v>
      </c>
      <c r="D113">
        <f t="shared" si="5"/>
        <v>29.242829242829242</v>
      </c>
      <c r="E113">
        <f t="shared" si="6"/>
        <v>29.242829242829242</v>
      </c>
      <c r="G113">
        <f t="shared" ca="1" si="7"/>
        <v>111</v>
      </c>
      <c r="H113">
        <f t="shared" ca="1" si="8"/>
        <v>3245.9540459540458</v>
      </c>
      <c r="I113">
        <f t="shared" ca="1" si="9"/>
        <v>24842.065427603193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32197</v>
      </c>
      <c r="B116" s="66">
        <v>32197</v>
      </c>
      <c r="D116">
        <f t="shared" si="5"/>
        <v>28.977328977328977</v>
      </c>
      <c r="E116">
        <f t="shared" si="6"/>
        <v>28.977328977328977</v>
      </c>
      <c r="G116">
        <f t="shared" ca="1" si="7"/>
        <v>114</v>
      </c>
      <c r="H116">
        <f t="shared" ca="1" si="8"/>
        <v>3303.4155034155033</v>
      </c>
      <c r="I116">
        <f t="shared" ca="1" si="9"/>
        <v>29944.816362352194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27231</v>
      </c>
      <c r="B118" s="66">
        <v>27231</v>
      </c>
      <c r="D118">
        <f t="shared" si="5"/>
        <v>24.507924507924507</v>
      </c>
      <c r="E118">
        <f t="shared" si="6"/>
        <v>24.507924507924507</v>
      </c>
      <c r="G118">
        <f t="shared" ca="1" si="7"/>
        <v>116</v>
      </c>
      <c r="H118">
        <f t="shared" ca="1" si="8"/>
        <v>2842.9192429192426</v>
      </c>
      <c r="I118">
        <f t="shared" ca="1" si="9"/>
        <v>28575.581447501896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28025</v>
      </c>
      <c r="B121" s="66">
        <v>28025</v>
      </c>
      <c r="D121">
        <f t="shared" si="5"/>
        <v>25.222525222525224</v>
      </c>
      <c r="E121">
        <f t="shared" si="6"/>
        <v>25.222525222525224</v>
      </c>
      <c r="G121">
        <f t="shared" ca="1" si="7"/>
        <v>119</v>
      </c>
      <c r="H121">
        <f t="shared" ca="1" si="8"/>
        <v>3001.4805014805015</v>
      </c>
      <c r="I121">
        <f t="shared" ca="1" si="9"/>
        <v>34803.332255383699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23338</v>
      </c>
      <c r="B124" s="66">
        <v>23338</v>
      </c>
      <c r="D124">
        <f t="shared" si="5"/>
        <v>21.004221004221005</v>
      </c>
      <c r="E124">
        <f t="shared" si="6"/>
        <v>21.004221004221005</v>
      </c>
      <c r="G124">
        <f t="shared" ca="1" si="7"/>
        <v>122</v>
      </c>
      <c r="H124">
        <f t="shared" ca="1" si="8"/>
        <v>2562.5149625149625</v>
      </c>
      <c r="I124">
        <f t="shared" ca="1" si="9"/>
        <v>33853.11871951689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20878</v>
      </c>
      <c r="B126" s="66">
        <v>20878</v>
      </c>
      <c r="D126">
        <f t="shared" si="5"/>
        <v>18.790218790218791</v>
      </c>
      <c r="E126">
        <f t="shared" si="6"/>
        <v>18.790218790218791</v>
      </c>
      <c r="G126">
        <f t="shared" ca="1" si="7"/>
        <v>124</v>
      </c>
      <c r="H126">
        <f t="shared" ca="1" si="8"/>
        <v>2329.9871299871302</v>
      </c>
      <c r="I126">
        <f t="shared" ca="1" si="9"/>
        <v>33377.342027404891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26380</v>
      </c>
      <c r="B129" s="66">
        <v>26380</v>
      </c>
      <c r="D129">
        <f t="shared" si="5"/>
        <v>23.742023742023743</v>
      </c>
      <c r="E129">
        <f t="shared" si="6"/>
        <v>23.742023742023743</v>
      </c>
      <c r="G129">
        <f t="shared" ca="1" si="7"/>
        <v>127</v>
      </c>
      <c r="H129">
        <f t="shared" ca="1" si="8"/>
        <v>3015.2370152370154</v>
      </c>
      <c r="I129">
        <f t="shared" ca="1" si="9"/>
        <v>48390.821884130637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23904</v>
      </c>
      <c r="B131" s="66">
        <v>23904</v>
      </c>
      <c r="D131">
        <f t="shared" ref="D131:D194" si="10">IFERROR(100*A131/MAX(A$2:A$257), 0 )</f>
        <v>21.513621513621512</v>
      </c>
      <c r="E131">
        <f t="shared" ref="E131:E194" si="11">IFERROR(100*B131/MAX(B$2:B$257), 0 )</f>
        <v>21.513621513621512</v>
      </c>
      <c r="G131">
        <f t="shared" ref="G131:G194" ca="1" si="12">CELL("row",D131)-2</f>
        <v>129</v>
      </c>
      <c r="H131">
        <f t="shared" ref="H131:H194" ca="1" si="13">D131*G131</f>
        <v>2775.2571752571753</v>
      </c>
      <c r="I131">
        <f t="shared" ref="I131:I194" ca="1" si="14">D131*((G131-$L$1)^2)</f>
        <v>47820.008824550918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21141</v>
      </c>
      <c r="B134" s="66">
        <v>21141</v>
      </c>
      <c r="D134">
        <f t="shared" si="10"/>
        <v>19.026919026919028</v>
      </c>
      <c r="E134">
        <f t="shared" si="11"/>
        <v>19.026919026919028</v>
      </c>
      <c r="G134">
        <f t="shared" ca="1" si="12"/>
        <v>132</v>
      </c>
      <c r="H134">
        <f t="shared" ca="1" si="13"/>
        <v>2511.5533115533117</v>
      </c>
      <c r="I134">
        <f t="shared" ca="1" si="14"/>
        <v>47846.161583083325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18402</v>
      </c>
      <c r="B136" s="66">
        <v>18402</v>
      </c>
      <c r="D136">
        <f t="shared" si="10"/>
        <v>16.561816561816563</v>
      </c>
      <c r="E136">
        <f t="shared" si="11"/>
        <v>16.561816561816563</v>
      </c>
      <c r="G136">
        <f t="shared" ca="1" si="12"/>
        <v>134</v>
      </c>
      <c r="H136">
        <f t="shared" ca="1" si="13"/>
        <v>2219.2834192834193</v>
      </c>
      <c r="I136">
        <f t="shared" ca="1" si="14"/>
        <v>45035.581947569961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17065</v>
      </c>
      <c r="B139" s="66">
        <v>17065</v>
      </c>
      <c r="D139">
        <f t="shared" si="10"/>
        <v>15.358515358515358</v>
      </c>
      <c r="E139">
        <f t="shared" si="11"/>
        <v>15.358515358515358</v>
      </c>
      <c r="G139">
        <f t="shared" ca="1" si="12"/>
        <v>137</v>
      </c>
      <c r="H139">
        <f t="shared" ca="1" si="13"/>
        <v>2104.1166041166043</v>
      </c>
      <c r="I139">
        <f t="shared" ca="1" si="14"/>
        <v>46707.0847810755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18166</v>
      </c>
      <c r="B142" s="66">
        <v>18166</v>
      </c>
      <c r="D142">
        <f t="shared" si="10"/>
        <v>16.349416349416348</v>
      </c>
      <c r="E142">
        <f t="shared" si="11"/>
        <v>16.349416349416348</v>
      </c>
      <c r="G142">
        <f t="shared" ca="1" si="12"/>
        <v>140</v>
      </c>
      <c r="H142">
        <f t="shared" ca="1" si="13"/>
        <v>2288.9182889182889</v>
      </c>
      <c r="I142">
        <f t="shared" ca="1" si="14"/>
        <v>55277.341818228131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16136</v>
      </c>
      <c r="B144" s="66">
        <v>16136</v>
      </c>
      <c r="D144">
        <f t="shared" si="10"/>
        <v>14.522414522414522</v>
      </c>
      <c r="E144">
        <f t="shared" si="11"/>
        <v>14.522414522414522</v>
      </c>
      <c r="G144">
        <f t="shared" ca="1" si="12"/>
        <v>142</v>
      </c>
      <c r="H144">
        <f t="shared" ca="1" si="13"/>
        <v>2062.1828621828622</v>
      </c>
      <c r="I144">
        <f t="shared" ca="1" si="14"/>
        <v>52536.043710144186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15614</v>
      </c>
      <c r="B147" s="66">
        <v>15614</v>
      </c>
      <c r="D147">
        <f t="shared" si="10"/>
        <v>14.052614052614052</v>
      </c>
      <c r="E147">
        <f t="shared" si="11"/>
        <v>14.052614052614052</v>
      </c>
      <c r="G147">
        <f t="shared" ca="1" si="12"/>
        <v>145</v>
      </c>
      <c r="H147">
        <f t="shared" ca="1" si="13"/>
        <v>2037.6290376290376</v>
      </c>
      <c r="I147">
        <f t="shared" ca="1" si="14"/>
        <v>56034.255470518372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13989</v>
      </c>
      <c r="B149" s="66">
        <v>13989</v>
      </c>
      <c r="D149">
        <f t="shared" si="10"/>
        <v>12.590112590112589</v>
      </c>
      <c r="E149">
        <f t="shared" si="11"/>
        <v>12.590112590112589</v>
      </c>
      <c r="G149">
        <f t="shared" ca="1" si="12"/>
        <v>147</v>
      </c>
      <c r="H149">
        <f t="shared" ca="1" si="13"/>
        <v>1850.7465507465506</v>
      </c>
      <c r="I149">
        <f t="shared" ca="1" si="14"/>
        <v>53433.026417091896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11972</v>
      </c>
      <c r="B152" s="66">
        <v>11972</v>
      </c>
      <c r="D152">
        <f t="shared" si="10"/>
        <v>10.774810774810774</v>
      </c>
      <c r="E152">
        <f t="shared" si="11"/>
        <v>10.774810774810774</v>
      </c>
      <c r="G152">
        <f t="shared" ca="1" si="12"/>
        <v>150</v>
      </c>
      <c r="H152">
        <f t="shared" ca="1" si="13"/>
        <v>1616.2216162216162</v>
      </c>
      <c r="I152">
        <f t="shared" ca="1" si="14"/>
        <v>50037.411424889229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11597</v>
      </c>
      <c r="B154" s="66">
        <v>11597</v>
      </c>
      <c r="D154">
        <f t="shared" si="10"/>
        <v>10.437310437310437</v>
      </c>
      <c r="E154">
        <f t="shared" si="11"/>
        <v>10.437310437310437</v>
      </c>
      <c r="G154">
        <f t="shared" ca="1" si="12"/>
        <v>152</v>
      </c>
      <c r="H154">
        <f t="shared" ca="1" si="13"/>
        <v>1586.4711864711865</v>
      </c>
      <c r="I154">
        <f t="shared" ca="1" si="14"/>
        <v>51356.892851604818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9856</v>
      </c>
      <c r="B157" s="66">
        <v>9856</v>
      </c>
      <c r="D157">
        <f t="shared" si="10"/>
        <v>8.8704088704088697</v>
      </c>
      <c r="E157">
        <f t="shared" si="11"/>
        <v>8.8704088704088697</v>
      </c>
      <c r="G157">
        <f t="shared" ca="1" si="12"/>
        <v>155</v>
      </c>
      <c r="H157">
        <f t="shared" ca="1" si="13"/>
        <v>1374.9133749133748</v>
      </c>
      <c r="I157">
        <f t="shared" ca="1" si="14"/>
        <v>47460.132094160392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6640</v>
      </c>
      <c r="B160" s="66">
        <v>6640</v>
      </c>
      <c r="D160">
        <f t="shared" si="10"/>
        <v>5.9760059760059763</v>
      </c>
      <c r="E160">
        <f t="shared" si="11"/>
        <v>5.9760059760059763</v>
      </c>
      <c r="G160">
        <f t="shared" ca="1" si="12"/>
        <v>158</v>
      </c>
      <c r="H160">
        <f t="shared" ca="1" si="13"/>
        <v>944.20894420894422</v>
      </c>
      <c r="I160">
        <f t="shared" ca="1" si="14"/>
        <v>34650.474784103601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4695</v>
      </c>
      <c r="B162" s="66">
        <v>4695</v>
      </c>
      <c r="D162">
        <f t="shared" si="10"/>
        <v>4.2255042255042259</v>
      </c>
      <c r="E162">
        <f t="shared" si="11"/>
        <v>4.2255042255042259</v>
      </c>
      <c r="G162">
        <f t="shared" ca="1" si="12"/>
        <v>160</v>
      </c>
      <c r="H162">
        <f t="shared" ca="1" si="13"/>
        <v>676.08067608067608</v>
      </c>
      <c r="I162">
        <f t="shared" ca="1" si="14"/>
        <v>25804.5281535215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3246</v>
      </c>
      <c r="B165" s="66">
        <v>3246</v>
      </c>
      <c r="D165">
        <f t="shared" si="10"/>
        <v>2.9214029214029216</v>
      </c>
      <c r="E165">
        <f t="shared" si="11"/>
        <v>2.9214029214029216</v>
      </c>
      <c r="G165">
        <f t="shared" ca="1" si="12"/>
        <v>163</v>
      </c>
      <c r="H165">
        <f t="shared" ca="1" si="13"/>
        <v>476.1886761886762</v>
      </c>
      <c r="I165">
        <f t="shared" ca="1" si="14"/>
        <v>19236.649190909335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2615</v>
      </c>
      <c r="B167" s="66">
        <v>2615</v>
      </c>
      <c r="D167">
        <f t="shared" si="10"/>
        <v>2.3535023535023534</v>
      </c>
      <c r="E167">
        <f t="shared" si="11"/>
        <v>2.3535023535023534</v>
      </c>
      <c r="G167">
        <f t="shared" ca="1" si="12"/>
        <v>165</v>
      </c>
      <c r="H167">
        <f t="shared" ca="1" si="13"/>
        <v>388.32788832788833</v>
      </c>
      <c r="I167">
        <f t="shared" ca="1" si="14"/>
        <v>16270.503836531158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2946</v>
      </c>
      <c r="B170" s="66">
        <v>2946</v>
      </c>
      <c r="D170">
        <f t="shared" si="10"/>
        <v>2.6514026514026514</v>
      </c>
      <c r="E170">
        <f t="shared" si="11"/>
        <v>2.6514026514026514</v>
      </c>
      <c r="G170">
        <f t="shared" ca="1" si="12"/>
        <v>168</v>
      </c>
      <c r="H170">
        <f t="shared" ca="1" si="13"/>
        <v>445.43564543564543</v>
      </c>
      <c r="I170">
        <f t="shared" ca="1" si="14"/>
        <v>19676.57184517373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2196</v>
      </c>
      <c r="B173" s="66">
        <v>2196</v>
      </c>
      <c r="D173">
        <f t="shared" si="10"/>
        <v>1.9764019764019765</v>
      </c>
      <c r="E173">
        <f t="shared" si="11"/>
        <v>1.9764019764019765</v>
      </c>
      <c r="G173">
        <f t="shared" ca="1" si="12"/>
        <v>171</v>
      </c>
      <c r="H173">
        <f t="shared" ca="1" si="13"/>
        <v>337.96473796473799</v>
      </c>
      <c r="I173">
        <f t="shared" ca="1" si="14"/>
        <v>15706.607794802818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1769</v>
      </c>
      <c r="B175" s="66">
        <v>1769</v>
      </c>
      <c r="D175">
        <f t="shared" si="10"/>
        <v>1.5921015921015922</v>
      </c>
      <c r="E175">
        <f t="shared" si="11"/>
        <v>1.5921015921015922</v>
      </c>
      <c r="G175">
        <f t="shared" ca="1" si="12"/>
        <v>173</v>
      </c>
      <c r="H175">
        <f t="shared" ca="1" si="13"/>
        <v>275.43357543357547</v>
      </c>
      <c r="I175">
        <f t="shared" ca="1" si="14"/>
        <v>13226.633749224908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1479</v>
      </c>
      <c r="B178" s="66">
        <v>1479</v>
      </c>
      <c r="D178">
        <f t="shared" si="10"/>
        <v>1.3311013311013311</v>
      </c>
      <c r="E178">
        <f t="shared" si="11"/>
        <v>1.3311013311013311</v>
      </c>
      <c r="G178">
        <f t="shared" ca="1" si="12"/>
        <v>176</v>
      </c>
      <c r="H178">
        <f t="shared" ca="1" si="13"/>
        <v>234.27383427383427</v>
      </c>
      <c r="I178">
        <f t="shared" ca="1" si="14"/>
        <v>11798.263203105074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541</v>
      </c>
      <c r="B180" s="66">
        <v>541</v>
      </c>
      <c r="D180">
        <f t="shared" si="10"/>
        <v>0.48690048690048687</v>
      </c>
      <c r="E180">
        <f t="shared" si="11"/>
        <v>0.48690048690048687</v>
      </c>
      <c r="G180">
        <f t="shared" ca="1" si="12"/>
        <v>178</v>
      </c>
      <c r="H180">
        <f t="shared" ca="1" si="13"/>
        <v>86.668286668286669</v>
      </c>
      <c r="I180">
        <f t="shared" ca="1" si="14"/>
        <v>4500.9667088952228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635</v>
      </c>
      <c r="B183" s="66">
        <v>635</v>
      </c>
      <c r="D183">
        <f t="shared" si="10"/>
        <v>0.57150057150057154</v>
      </c>
      <c r="E183">
        <f t="shared" si="11"/>
        <v>0.57150057150057154</v>
      </c>
      <c r="G183">
        <f t="shared" ca="1" si="12"/>
        <v>181</v>
      </c>
      <c r="H183">
        <f t="shared" ca="1" si="13"/>
        <v>103.44160344160345</v>
      </c>
      <c r="I183">
        <f t="shared" ca="1" si="14"/>
        <v>5617.8497387548923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250</v>
      </c>
      <c r="B185" s="66">
        <v>250</v>
      </c>
      <c r="D185">
        <f t="shared" si="10"/>
        <v>0.22500022500022501</v>
      </c>
      <c r="E185">
        <f t="shared" si="11"/>
        <v>0.22500022500022501</v>
      </c>
      <c r="G185">
        <f t="shared" ca="1" si="12"/>
        <v>183</v>
      </c>
      <c r="H185">
        <f t="shared" ca="1" si="13"/>
        <v>41.17504117504118</v>
      </c>
      <c r="I185">
        <f t="shared" ca="1" si="14"/>
        <v>2301.8836696189383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0.25201299999999999</v>
      </c>
      <c r="B2" s="68">
        <v>0.52798199999999995</v>
      </c>
      <c r="C2" s="68">
        <v>0</v>
      </c>
      <c r="D2" s="68">
        <v>1</v>
      </c>
      <c r="E2" s="68" t="s">
        <v>409</v>
      </c>
    </row>
    <row r="3" spans="1:5">
      <c r="A3" s="68">
        <v>0.26089899999999999</v>
      </c>
      <c r="B3" s="68">
        <v>0.51954500000000003</v>
      </c>
      <c r="C3" s="68">
        <v>0.40785199999999999</v>
      </c>
      <c r="D3" s="89">
        <v>1</v>
      </c>
      <c r="E3" s="68" t="s">
        <v>410</v>
      </c>
    </row>
    <row r="4" spans="1:5">
      <c r="A4" s="68">
        <v>0.26979599999999998</v>
      </c>
      <c r="B4" s="68">
        <v>0.51015900000000003</v>
      </c>
      <c r="C4" s="68">
        <v>0.810809</v>
      </c>
      <c r="D4" s="89">
        <v>1</v>
      </c>
      <c r="E4" s="68" t="s">
        <v>411</v>
      </c>
    </row>
    <row r="5" spans="1:5">
      <c r="A5" s="89">
        <v>0.27899099999999999</v>
      </c>
      <c r="B5" s="89">
        <v>0.49999900000000003</v>
      </c>
      <c r="C5" s="89">
        <v>1.2186999999999999</v>
      </c>
      <c r="D5" s="89">
        <v>1</v>
      </c>
      <c r="E5" s="68" t="s">
        <v>412</v>
      </c>
    </row>
    <row r="6" spans="1:5">
      <c r="A6" s="68">
        <v>0.28802800000000001</v>
      </c>
      <c r="B6" s="68">
        <v>0.49112</v>
      </c>
      <c r="C6" s="68">
        <v>1.62479</v>
      </c>
      <c r="D6" s="68">
        <v>1</v>
      </c>
      <c r="E6" s="68" t="s">
        <v>413</v>
      </c>
    </row>
    <row r="7" spans="1:5">
      <c r="A7" s="68">
        <v>0.29744999999999999</v>
      </c>
      <c r="B7" s="68">
        <v>0.48031099999999999</v>
      </c>
      <c r="C7" s="68">
        <v>2.0305</v>
      </c>
      <c r="D7" s="68">
        <v>1</v>
      </c>
      <c r="E7" s="68" t="s">
        <v>414</v>
      </c>
    </row>
    <row r="8" spans="1:5">
      <c r="A8" s="68">
        <v>0.30657400000000001</v>
      </c>
      <c r="B8" s="68">
        <v>0.46888000000000002</v>
      </c>
      <c r="C8" s="68">
        <v>2.4404300000000001</v>
      </c>
      <c r="D8" s="68">
        <v>1</v>
      </c>
      <c r="E8" s="68" t="s">
        <v>415</v>
      </c>
    </row>
    <row r="9" spans="1:5">
      <c r="A9" s="68">
        <v>0.31536399999999998</v>
      </c>
      <c r="B9" s="68">
        <v>0.45740999999999998</v>
      </c>
      <c r="C9" s="68">
        <v>2.84273</v>
      </c>
      <c r="D9" s="68">
        <v>1</v>
      </c>
      <c r="E9" s="68" t="s">
        <v>416</v>
      </c>
    </row>
    <row r="10" spans="1:5">
      <c r="A10" s="68">
        <v>0.32417699999999999</v>
      </c>
      <c r="B10" s="68">
        <v>0.44664300000000001</v>
      </c>
      <c r="C10" s="68">
        <v>3.2502200000000001</v>
      </c>
      <c r="D10" s="68">
        <v>1</v>
      </c>
      <c r="E10" s="68" t="s">
        <v>417</v>
      </c>
    </row>
    <row r="11" spans="1:5">
      <c r="A11" s="68">
        <v>0.33331499999999997</v>
      </c>
      <c r="B11" s="68">
        <v>0.43453599999999998</v>
      </c>
      <c r="C11" s="68">
        <v>3.6551499999999999</v>
      </c>
      <c r="D11" s="68">
        <v>1</v>
      </c>
      <c r="E11" s="68" t="s">
        <v>418</v>
      </c>
    </row>
    <row r="12" spans="1:5">
      <c r="A12" s="68">
        <v>0.34240900000000002</v>
      </c>
      <c r="B12" s="68">
        <v>0.42271599999999998</v>
      </c>
      <c r="C12" s="68">
        <v>4.0580699999999998</v>
      </c>
      <c r="D12" s="68">
        <v>1</v>
      </c>
      <c r="E12" s="68" t="s">
        <v>419</v>
      </c>
    </row>
    <row r="13" spans="1:5">
      <c r="A13" s="68">
        <v>0.35162399999999999</v>
      </c>
      <c r="B13" s="68">
        <v>0.41020499999999999</v>
      </c>
      <c r="C13" s="68">
        <v>4.4692299999999996</v>
      </c>
      <c r="D13" s="68">
        <v>1</v>
      </c>
      <c r="E13" s="68" t="s">
        <v>420</v>
      </c>
    </row>
    <row r="14" spans="1:5">
      <c r="A14" s="68">
        <v>0.36063800000000001</v>
      </c>
      <c r="B14" s="68">
        <v>0.39869300000000002</v>
      </c>
      <c r="C14" s="68">
        <v>4.8780200000000002</v>
      </c>
      <c r="D14" s="68">
        <v>1</v>
      </c>
      <c r="E14" s="68" t="s">
        <v>421</v>
      </c>
    </row>
    <row r="15" spans="1:5">
      <c r="A15" s="68">
        <v>0.36951000000000001</v>
      </c>
      <c r="B15" s="68">
        <v>0.38782899999999998</v>
      </c>
      <c r="C15" s="68">
        <v>5.2777399999999997</v>
      </c>
      <c r="D15" s="68">
        <v>1</v>
      </c>
      <c r="E15" s="68" t="s">
        <v>422</v>
      </c>
    </row>
    <row r="16" spans="1:5">
      <c r="A16" s="68">
        <v>0.37851400000000002</v>
      </c>
      <c r="B16" s="68">
        <v>0.37615199999999999</v>
      </c>
      <c r="C16" s="68">
        <v>5.6897599999999997</v>
      </c>
      <c r="D16" s="68">
        <v>1</v>
      </c>
      <c r="E16" s="68" t="s">
        <v>423</v>
      </c>
    </row>
    <row r="17" spans="1:5">
      <c r="A17" s="68">
        <v>0.38730399999999998</v>
      </c>
      <c r="B17" s="68">
        <v>0.36643999999999999</v>
      </c>
      <c r="C17" s="68">
        <v>6.0917399999999997</v>
      </c>
      <c r="D17" s="68">
        <v>1</v>
      </c>
      <c r="E17" s="68" t="s">
        <v>424</v>
      </c>
    </row>
    <row r="18" spans="1:5">
      <c r="A18" s="68">
        <v>0.395899</v>
      </c>
      <c r="B18" s="68">
        <v>0.35779100000000003</v>
      </c>
      <c r="C18" s="68">
        <v>6.49986</v>
      </c>
      <c r="D18" s="68">
        <v>1</v>
      </c>
      <c r="E18" s="68" t="s">
        <v>425</v>
      </c>
    </row>
    <row r="19" spans="1:5">
      <c r="A19" s="68">
        <v>0.40411599999999998</v>
      </c>
      <c r="B19" s="68">
        <v>0.35034900000000002</v>
      </c>
      <c r="C19" s="68">
        <v>6.90869</v>
      </c>
      <c r="D19" s="68">
        <v>1</v>
      </c>
      <c r="E19" s="68" t="s">
        <v>426</v>
      </c>
    </row>
    <row r="20" spans="1:5">
      <c r="A20" s="68">
        <v>0.41186899999999999</v>
      </c>
      <c r="B20" s="68">
        <v>0.34544200000000003</v>
      </c>
      <c r="C20" s="68">
        <v>7.3104300000000002</v>
      </c>
      <c r="D20" s="68">
        <v>1</v>
      </c>
      <c r="E20" s="68" t="s">
        <v>427</v>
      </c>
    </row>
    <row r="21" spans="1:5">
      <c r="A21" s="68">
        <v>0.419296</v>
      </c>
      <c r="B21" s="68">
        <v>0.34037899999999999</v>
      </c>
      <c r="C21" s="68">
        <v>7.7202900000000003</v>
      </c>
      <c r="D21" s="68">
        <v>1</v>
      </c>
      <c r="E21" s="68" t="s">
        <v>428</v>
      </c>
    </row>
    <row r="22" spans="1:5">
      <c r="A22" s="68">
        <v>0.42637599999999998</v>
      </c>
      <c r="B22" s="68">
        <v>0.33566400000000002</v>
      </c>
      <c r="C22" s="68">
        <v>8.12547</v>
      </c>
      <c r="D22" s="68">
        <v>1</v>
      </c>
      <c r="E22" s="68" t="s">
        <v>429</v>
      </c>
    </row>
    <row r="23" spans="1:5">
      <c r="A23" s="68">
        <v>0.432975</v>
      </c>
      <c r="B23" s="68">
        <v>0.33192100000000002</v>
      </c>
      <c r="C23" s="68">
        <v>8.5313300000000005</v>
      </c>
      <c r="D23" s="68">
        <v>1</v>
      </c>
      <c r="E23" s="68" t="s">
        <v>430</v>
      </c>
    </row>
    <row r="24" spans="1:5">
      <c r="A24" s="68">
        <v>0.43904399999999999</v>
      </c>
      <c r="B24" s="68">
        <v>0.32913599999999998</v>
      </c>
      <c r="C24" s="68">
        <v>8.94008</v>
      </c>
      <c r="D24" s="68">
        <v>1</v>
      </c>
      <c r="E24" s="68" t="s">
        <v>431</v>
      </c>
    </row>
    <row r="25" spans="1:5">
      <c r="A25" s="68">
        <v>0.44462299999999999</v>
      </c>
      <c r="B25" s="68">
        <v>0.32821299999999998</v>
      </c>
      <c r="C25" s="68">
        <v>9.3440300000000001</v>
      </c>
      <c r="D25" s="68">
        <v>1</v>
      </c>
      <c r="E25" s="68" t="s">
        <v>432</v>
      </c>
    </row>
    <row r="26" spans="1:5">
      <c r="A26" s="68">
        <v>0.44990799999999997</v>
      </c>
      <c r="B26" s="68">
        <v>0.32744000000000001</v>
      </c>
      <c r="C26" s="68">
        <v>9.7508900000000001</v>
      </c>
      <c r="D26" s="68">
        <v>1</v>
      </c>
      <c r="E26" s="68" t="s">
        <v>433</v>
      </c>
    </row>
    <row r="27" spans="1:5">
      <c r="A27" s="68">
        <v>0.454899</v>
      </c>
      <c r="B27" s="68">
        <v>0.32529400000000003</v>
      </c>
      <c r="C27" s="68">
        <v>10.161799999999999</v>
      </c>
      <c r="D27" s="68">
        <v>1</v>
      </c>
      <c r="E27" s="68" t="s">
        <v>434</v>
      </c>
    </row>
    <row r="28" spans="1:5">
      <c r="A28" s="68">
        <v>0.45955099999999999</v>
      </c>
      <c r="B28" s="68">
        <v>0.32319399999999998</v>
      </c>
      <c r="C28" s="68">
        <v>10.5608</v>
      </c>
      <c r="D28" s="68">
        <v>1</v>
      </c>
      <c r="E28" s="68" t="s">
        <v>435</v>
      </c>
    </row>
    <row r="29" spans="1:5">
      <c r="A29" s="68">
        <v>0.46355400000000002</v>
      </c>
      <c r="B29" s="68">
        <v>0.32222099999999998</v>
      </c>
      <c r="C29" s="68">
        <v>10.9686</v>
      </c>
      <c r="D29" s="68">
        <v>1</v>
      </c>
      <c r="E29" s="68" t="s">
        <v>436</v>
      </c>
    </row>
    <row r="30" spans="1:5">
      <c r="A30" s="68">
        <v>0.46697899999999998</v>
      </c>
      <c r="B30" s="68">
        <v>0.32155499999999998</v>
      </c>
      <c r="C30" s="68">
        <v>11.3726</v>
      </c>
      <c r="D30" s="68">
        <v>1</v>
      </c>
      <c r="E30" s="68" t="s">
        <v>437</v>
      </c>
    </row>
    <row r="31" spans="1:5">
      <c r="A31" s="68">
        <v>0.46999299999999999</v>
      </c>
      <c r="B31" s="68">
        <v>0.32144699999999998</v>
      </c>
      <c r="C31" s="68">
        <v>11.7807</v>
      </c>
      <c r="D31" s="68">
        <v>1</v>
      </c>
      <c r="E31" s="68" t="s">
        <v>438</v>
      </c>
    </row>
    <row r="32" spans="1:5">
      <c r="A32" s="68">
        <v>0.47230800000000001</v>
      </c>
      <c r="B32" s="68">
        <v>0.32073299999999999</v>
      </c>
      <c r="C32" s="68">
        <v>12.1884</v>
      </c>
      <c r="D32" s="68">
        <v>1</v>
      </c>
      <c r="E32" s="68" t="s">
        <v>439</v>
      </c>
    </row>
    <row r="33" spans="1:5">
      <c r="A33" s="68">
        <v>0.47415000000000002</v>
      </c>
      <c r="B33" s="68">
        <v>0.31948599999999999</v>
      </c>
      <c r="C33" s="68">
        <v>12.5913</v>
      </c>
      <c r="D33" s="68">
        <v>1</v>
      </c>
      <c r="E33" s="68" t="s">
        <v>440</v>
      </c>
    </row>
    <row r="34" spans="1:5">
      <c r="A34" s="68">
        <v>0.475771</v>
      </c>
      <c r="B34" s="68">
        <v>0.31841199999999997</v>
      </c>
      <c r="C34" s="68">
        <v>13.0002</v>
      </c>
      <c r="D34" s="68">
        <v>1</v>
      </c>
      <c r="E34" s="68" t="s">
        <v>441</v>
      </c>
    </row>
    <row r="35" spans="1:5">
      <c r="A35" s="68">
        <v>0.47710799999999998</v>
      </c>
      <c r="B35" s="68">
        <v>0.31806899999999999</v>
      </c>
      <c r="C35" s="68">
        <v>13.4071</v>
      </c>
      <c r="D35" s="68">
        <v>1</v>
      </c>
      <c r="E35" s="68" t="s">
        <v>442</v>
      </c>
    </row>
    <row r="36" spans="1:5">
      <c r="A36" s="68">
        <v>0.47786600000000001</v>
      </c>
      <c r="B36" s="68">
        <v>0.317577</v>
      </c>
      <c r="C36" s="68">
        <v>13.812099999999999</v>
      </c>
      <c r="D36" s="68">
        <v>1</v>
      </c>
      <c r="E36" s="68" t="s">
        <v>443</v>
      </c>
    </row>
    <row r="37" spans="1:5">
      <c r="A37" s="68">
        <v>0.47827999999999998</v>
      </c>
      <c r="B37" s="68">
        <v>0.31725999999999999</v>
      </c>
      <c r="C37" s="68">
        <v>14.22</v>
      </c>
      <c r="D37" s="68">
        <v>1</v>
      </c>
      <c r="E37" s="68" t="s">
        <v>444</v>
      </c>
    </row>
    <row r="38" spans="1:5">
      <c r="A38" s="68">
        <v>0.477744</v>
      </c>
      <c r="B38" s="68">
        <v>0.31687700000000002</v>
      </c>
      <c r="C38" s="68">
        <v>14.626899999999999</v>
      </c>
      <c r="D38" s="68">
        <v>1</v>
      </c>
      <c r="E38" s="68" t="s">
        <v>445</v>
      </c>
    </row>
    <row r="39" spans="1:5">
      <c r="A39" s="68">
        <v>0.47664499999999999</v>
      </c>
      <c r="B39" s="68">
        <v>0.31649500000000003</v>
      </c>
      <c r="C39" s="68">
        <v>15.0318</v>
      </c>
      <c r="D39" s="68">
        <v>1</v>
      </c>
      <c r="E39" s="68" t="s">
        <v>446</v>
      </c>
    </row>
    <row r="40" spans="1:5">
      <c r="A40" s="68">
        <v>0.47488399999999997</v>
      </c>
      <c r="B40" s="68">
        <v>0.31550299999999998</v>
      </c>
      <c r="C40" s="68">
        <v>15.4366</v>
      </c>
      <c r="D40" s="68">
        <v>1</v>
      </c>
      <c r="E40" s="68" t="s">
        <v>447</v>
      </c>
    </row>
    <row r="41" spans="1:5">
      <c r="A41" s="68">
        <v>0.47222999999999998</v>
      </c>
      <c r="B41" s="68">
        <v>0.31510899999999997</v>
      </c>
      <c r="C41" s="68">
        <v>15.843999999999999</v>
      </c>
      <c r="D41" s="68">
        <v>1</v>
      </c>
      <c r="E41" s="68" t="s">
        <v>448</v>
      </c>
    </row>
    <row r="42" spans="1:5">
      <c r="A42" s="68">
        <v>0.46918599999999999</v>
      </c>
      <c r="B42" s="68">
        <v>0.314971</v>
      </c>
      <c r="C42" s="68">
        <v>16.2515</v>
      </c>
      <c r="D42" s="68">
        <v>1</v>
      </c>
      <c r="E42" s="68" t="s">
        <v>449</v>
      </c>
    </row>
    <row r="43" spans="1:5">
      <c r="A43" s="68">
        <v>0.46562199999999998</v>
      </c>
      <c r="B43" s="68">
        <v>0.31534800000000002</v>
      </c>
      <c r="C43" s="68">
        <v>16.659700000000001</v>
      </c>
      <c r="D43" s="68">
        <v>1</v>
      </c>
      <c r="E43" s="68" t="s">
        <v>450</v>
      </c>
    </row>
    <row r="44" spans="1:5">
      <c r="A44" s="68">
        <v>0.46198299999999998</v>
      </c>
      <c r="B44" s="68">
        <v>0.31659500000000002</v>
      </c>
      <c r="C44" s="68">
        <v>17.065300000000001</v>
      </c>
      <c r="D44" s="68">
        <v>1</v>
      </c>
      <c r="E44" s="68" t="s">
        <v>451</v>
      </c>
    </row>
    <row r="45" spans="1:5">
      <c r="A45" s="68">
        <v>0.45828999999999998</v>
      </c>
      <c r="B45" s="68">
        <v>0.31772699999999998</v>
      </c>
      <c r="C45" s="68">
        <v>17.4693</v>
      </c>
      <c r="D45" s="68">
        <v>1</v>
      </c>
      <c r="E45" s="68" t="s">
        <v>452</v>
      </c>
    </row>
    <row r="46" spans="1:5">
      <c r="A46" s="68">
        <v>0.45437</v>
      </c>
      <c r="B46" s="68">
        <v>0.31936900000000001</v>
      </c>
      <c r="C46" s="68">
        <v>17.874199999999998</v>
      </c>
      <c r="D46" s="68">
        <v>1</v>
      </c>
      <c r="E46" s="68" t="s">
        <v>453</v>
      </c>
    </row>
    <row r="47" spans="1:5">
      <c r="A47" s="68">
        <v>0.450264</v>
      </c>
      <c r="B47" s="68">
        <v>0.32179999999999997</v>
      </c>
      <c r="C47" s="68">
        <v>18.278500000000001</v>
      </c>
      <c r="D47" s="68">
        <v>1</v>
      </c>
      <c r="E47" s="68" t="s">
        <v>454</v>
      </c>
    </row>
    <row r="48" spans="1:5">
      <c r="A48" s="68">
        <v>0.44597900000000001</v>
      </c>
      <c r="B48" s="68">
        <v>0.324376</v>
      </c>
      <c r="C48" s="68">
        <v>18.684000000000001</v>
      </c>
      <c r="D48" s="68">
        <v>1</v>
      </c>
      <c r="E48" s="68" t="s">
        <v>455</v>
      </c>
    </row>
    <row r="49" spans="1:5">
      <c r="A49" s="68">
        <v>0.44173499999999999</v>
      </c>
      <c r="B49" s="68">
        <v>0.32719700000000002</v>
      </c>
      <c r="C49" s="68">
        <v>19.092700000000001</v>
      </c>
      <c r="D49" s="68">
        <v>1</v>
      </c>
      <c r="E49" s="68" t="s">
        <v>456</v>
      </c>
    </row>
    <row r="50" spans="1:5">
      <c r="A50" s="68">
        <v>0.43776100000000001</v>
      </c>
      <c r="B50" s="68">
        <v>0.32988899999999999</v>
      </c>
      <c r="C50" s="68">
        <v>19.501799999999999</v>
      </c>
      <c r="D50" s="68">
        <v>1</v>
      </c>
      <c r="E50" s="68" t="s">
        <v>457</v>
      </c>
    </row>
    <row r="51" spans="1:5">
      <c r="A51" s="68">
        <v>0.43360700000000002</v>
      </c>
      <c r="B51" s="68">
        <v>0.33287299999999997</v>
      </c>
      <c r="C51" s="68">
        <v>19.909099999999999</v>
      </c>
      <c r="D51" s="68">
        <v>1</v>
      </c>
      <c r="E51" s="68" t="s">
        <v>458</v>
      </c>
    </row>
    <row r="52" spans="1:5">
      <c r="A52" s="68">
        <v>0.428842</v>
      </c>
      <c r="B52" s="68">
        <v>0.33631499999999998</v>
      </c>
      <c r="C52" s="68">
        <v>20.313600000000001</v>
      </c>
      <c r="D52" s="68">
        <v>1</v>
      </c>
      <c r="E52" s="68" t="s">
        <v>459</v>
      </c>
    </row>
    <row r="53" spans="1:5">
      <c r="A53" s="68">
        <v>0.42501</v>
      </c>
      <c r="B53" s="68">
        <v>0.34115499999999999</v>
      </c>
      <c r="C53" s="68">
        <v>20.717600000000001</v>
      </c>
      <c r="D53" s="68">
        <v>1</v>
      </c>
      <c r="E53" s="68" t="s">
        <v>460</v>
      </c>
    </row>
    <row r="54" spans="1:5">
      <c r="A54" s="68">
        <v>0.42010900000000001</v>
      </c>
      <c r="B54" s="68">
        <v>0.34369100000000002</v>
      </c>
      <c r="C54" s="68">
        <v>21.122399999999999</v>
      </c>
      <c r="D54" s="68">
        <v>1</v>
      </c>
      <c r="E54" s="68" t="s">
        <v>461</v>
      </c>
    </row>
    <row r="55" spans="1:5">
      <c r="A55" s="68">
        <v>0.41372500000000001</v>
      </c>
      <c r="B55" s="68">
        <v>0.34376499999999999</v>
      </c>
      <c r="C55" s="68">
        <v>21.531300000000002</v>
      </c>
      <c r="D55" s="68">
        <v>1</v>
      </c>
      <c r="E55" s="68" t="s">
        <v>462</v>
      </c>
    </row>
    <row r="56" spans="1:5">
      <c r="A56" s="68">
        <v>0.40861599999999998</v>
      </c>
      <c r="B56" s="68">
        <v>0.34404000000000001</v>
      </c>
      <c r="C56" s="68">
        <v>21.9374</v>
      </c>
      <c r="D56" s="68">
        <v>1</v>
      </c>
      <c r="E56" s="68" t="s">
        <v>463</v>
      </c>
    </row>
    <row r="57" spans="1:5">
      <c r="A57" s="68">
        <v>0.40342499999999998</v>
      </c>
      <c r="B57" s="68">
        <v>0.34292499999999998</v>
      </c>
      <c r="C57" s="68">
        <v>22.3462</v>
      </c>
      <c r="D57" s="68">
        <v>1</v>
      </c>
      <c r="E57" s="68" t="s">
        <v>464</v>
      </c>
    </row>
    <row r="58" spans="1:5">
      <c r="A58" s="68">
        <v>0.39967000000000003</v>
      </c>
      <c r="B58" s="68">
        <v>0.343947</v>
      </c>
      <c r="C58" s="68">
        <v>22.7501</v>
      </c>
      <c r="D58" s="68">
        <v>1</v>
      </c>
      <c r="E58" s="68" t="s">
        <v>465</v>
      </c>
    </row>
    <row r="59" spans="1:5">
      <c r="A59" s="68">
        <v>0.39417200000000002</v>
      </c>
      <c r="B59" s="68">
        <v>0.34395300000000001</v>
      </c>
      <c r="C59" s="68">
        <v>23.155100000000001</v>
      </c>
      <c r="D59" s="68">
        <v>1</v>
      </c>
      <c r="E59" s="68" t="s">
        <v>466</v>
      </c>
    </row>
    <row r="60" spans="1:5">
      <c r="A60" s="68">
        <v>0.38703700000000002</v>
      </c>
      <c r="B60" s="68">
        <v>0.34304499999999999</v>
      </c>
      <c r="C60" s="68">
        <v>23.565100000000001</v>
      </c>
      <c r="D60" s="68">
        <v>1</v>
      </c>
      <c r="E60" s="68" t="s">
        <v>467</v>
      </c>
    </row>
    <row r="61" spans="1:5">
      <c r="A61" s="68">
        <v>0.38105600000000001</v>
      </c>
      <c r="B61" s="68">
        <v>0.34449600000000002</v>
      </c>
      <c r="C61" s="68">
        <v>23.972000000000001</v>
      </c>
      <c r="D61" s="68">
        <v>1</v>
      </c>
      <c r="E61" s="68" t="s">
        <v>468</v>
      </c>
    </row>
    <row r="62" spans="1:5">
      <c r="A62" s="68">
        <v>0.37481700000000001</v>
      </c>
      <c r="B62" s="68">
        <v>0.34675600000000001</v>
      </c>
      <c r="C62" s="68">
        <v>24.377800000000001</v>
      </c>
      <c r="D62" s="68">
        <v>1</v>
      </c>
      <c r="E62" s="68" t="s">
        <v>469</v>
      </c>
    </row>
    <row r="63" spans="1:5">
      <c r="A63" s="68">
        <v>0.36893599999999999</v>
      </c>
      <c r="B63" s="68">
        <v>0.34819600000000001</v>
      </c>
      <c r="C63" s="68">
        <v>24.7807</v>
      </c>
      <c r="D63" s="68">
        <v>1</v>
      </c>
      <c r="E63" s="68" t="s">
        <v>470</v>
      </c>
    </row>
    <row r="64" spans="1:5">
      <c r="A64" s="68">
        <v>0.36442799999999997</v>
      </c>
      <c r="B64" s="68">
        <v>0.350271</v>
      </c>
      <c r="C64" s="68">
        <v>25.186599999999999</v>
      </c>
      <c r="D64" s="68">
        <v>1</v>
      </c>
      <c r="E64" s="68" t="s">
        <v>471</v>
      </c>
    </row>
    <row r="65" spans="1:5">
      <c r="A65" s="68">
        <v>0.35775099999999999</v>
      </c>
      <c r="B65" s="68">
        <v>0.35071600000000003</v>
      </c>
      <c r="C65" s="68">
        <v>25.595500000000001</v>
      </c>
      <c r="D65" s="68">
        <v>1</v>
      </c>
      <c r="E65" s="68" t="s">
        <v>472</v>
      </c>
    </row>
    <row r="66" spans="1:5">
      <c r="A66" s="68">
        <v>0.35364499999999999</v>
      </c>
      <c r="B66" s="68">
        <v>0.35197600000000001</v>
      </c>
      <c r="C66" s="68">
        <v>25.9985</v>
      </c>
      <c r="D66" s="68">
        <v>1</v>
      </c>
      <c r="E66" s="68" t="s">
        <v>473</v>
      </c>
    </row>
    <row r="67" spans="1:5">
      <c r="A67" s="68">
        <v>0.34866200000000003</v>
      </c>
      <c r="B67" s="68">
        <v>0.35275299999999998</v>
      </c>
      <c r="C67" s="68">
        <v>26.407499999999999</v>
      </c>
      <c r="D67" s="68">
        <v>1</v>
      </c>
      <c r="E67" s="68" t="s">
        <v>474</v>
      </c>
    </row>
    <row r="68" spans="1:5">
      <c r="A68" s="68">
        <v>0.34326899999999999</v>
      </c>
      <c r="B68" s="68">
        <v>0.35394700000000001</v>
      </c>
      <c r="C68" s="68">
        <v>26.812200000000001</v>
      </c>
      <c r="D68" s="68">
        <v>1</v>
      </c>
      <c r="E68" s="68" t="s">
        <v>475</v>
      </c>
    </row>
    <row r="69" spans="1:5">
      <c r="A69" s="68">
        <v>0.33880399999999999</v>
      </c>
      <c r="B69" s="68">
        <v>0.356267</v>
      </c>
      <c r="C69" s="68">
        <v>27.2211</v>
      </c>
      <c r="D69" s="68">
        <v>1</v>
      </c>
      <c r="E69" s="68" t="s">
        <v>476</v>
      </c>
    </row>
    <row r="70" spans="1:5">
      <c r="A70" s="68">
        <v>0.33465099999999998</v>
      </c>
      <c r="B70" s="68">
        <v>0.35941699999999999</v>
      </c>
      <c r="C70" s="68">
        <v>27.6265</v>
      </c>
      <c r="D70" s="68">
        <v>1</v>
      </c>
      <c r="E70" s="68" t="s">
        <v>477</v>
      </c>
    </row>
    <row r="71" spans="1:5">
      <c r="A71" s="68">
        <v>0.33091999999999999</v>
      </c>
      <c r="B71" s="68">
        <v>0.36349399999999998</v>
      </c>
      <c r="C71" s="68">
        <v>28.030200000000001</v>
      </c>
      <c r="D71" s="68">
        <v>1</v>
      </c>
      <c r="E71" s="68" t="s">
        <v>478</v>
      </c>
    </row>
    <row r="72" spans="1:5">
      <c r="A72" s="68">
        <v>0.32785300000000001</v>
      </c>
      <c r="B72" s="68">
        <v>0.36727700000000002</v>
      </c>
      <c r="C72" s="68">
        <v>28.4392</v>
      </c>
      <c r="D72" s="68">
        <v>1</v>
      </c>
      <c r="E72" s="68" t="s">
        <v>479</v>
      </c>
    </row>
    <row r="73" spans="1:5">
      <c r="A73" s="68">
        <v>0.324687</v>
      </c>
      <c r="B73" s="68">
        <v>0.37412499999999999</v>
      </c>
      <c r="C73" s="68">
        <v>28.849900000000002</v>
      </c>
      <c r="D73" s="68">
        <v>1</v>
      </c>
      <c r="E73" s="68" t="s">
        <v>480</v>
      </c>
    </row>
    <row r="74" spans="1:5">
      <c r="A74" s="68">
        <v>0.32177499999999998</v>
      </c>
      <c r="B74" s="68">
        <v>0.37911099999999998</v>
      </c>
      <c r="C74" s="68">
        <v>29.249600000000001</v>
      </c>
      <c r="D74" s="68">
        <v>1</v>
      </c>
      <c r="E74" s="68" t="s">
        <v>481</v>
      </c>
    </row>
    <row r="75" spans="1:5">
      <c r="A75" s="68">
        <v>0.318716</v>
      </c>
      <c r="B75" s="68">
        <v>0.386438</v>
      </c>
      <c r="C75" s="68">
        <v>29.660699999999999</v>
      </c>
      <c r="D75" s="68">
        <v>1</v>
      </c>
      <c r="E75" s="68" t="s">
        <v>482</v>
      </c>
    </row>
    <row r="76" spans="1:5">
      <c r="A76" s="68">
        <v>0.315882</v>
      </c>
      <c r="B76" s="68">
        <v>0.391513</v>
      </c>
      <c r="C76" s="68">
        <v>30.061599999999999</v>
      </c>
      <c r="D76" s="68">
        <v>2</v>
      </c>
      <c r="E76" s="68" t="s">
        <v>483</v>
      </c>
    </row>
    <row r="77" spans="1:5">
      <c r="A77" s="68">
        <v>0.31362600000000002</v>
      </c>
      <c r="B77" s="68">
        <v>0.39816699999999999</v>
      </c>
      <c r="C77" s="68">
        <v>30.5183</v>
      </c>
      <c r="D77" s="68">
        <v>2</v>
      </c>
      <c r="E77" s="68" t="s">
        <v>484</v>
      </c>
    </row>
    <row r="78" spans="1:5">
      <c r="A78" s="68">
        <v>0.31194</v>
      </c>
      <c r="B78" s="68">
        <v>0.40341199999999999</v>
      </c>
      <c r="C78" s="68">
        <v>30.926500000000001</v>
      </c>
      <c r="D78" s="68">
        <v>2</v>
      </c>
      <c r="E78" s="68" t="s">
        <v>485</v>
      </c>
    </row>
    <row r="79" spans="1:5">
      <c r="A79" s="68">
        <v>0.31099500000000002</v>
      </c>
      <c r="B79" s="68">
        <v>0.407447</v>
      </c>
      <c r="C79" s="68">
        <v>31.331299999999999</v>
      </c>
      <c r="D79" s="68">
        <v>2</v>
      </c>
      <c r="E79" s="68" t="s">
        <v>486</v>
      </c>
    </row>
    <row r="80" spans="1:5">
      <c r="A80" s="68">
        <v>0.31069799999999997</v>
      </c>
      <c r="B80" s="68">
        <v>0.41093499999999999</v>
      </c>
      <c r="C80" s="68">
        <v>31.7361</v>
      </c>
      <c r="D80" s="68">
        <v>2</v>
      </c>
      <c r="E80" s="68" t="s">
        <v>487</v>
      </c>
    </row>
    <row r="81" spans="1:5">
      <c r="A81" s="68">
        <v>0.31079400000000001</v>
      </c>
      <c r="B81" s="68">
        <v>0.41363800000000001</v>
      </c>
      <c r="C81" s="68">
        <v>32.141100000000002</v>
      </c>
      <c r="D81" s="68">
        <v>2</v>
      </c>
      <c r="E81" s="68" t="s">
        <v>488</v>
      </c>
    </row>
    <row r="82" spans="1:5">
      <c r="A82" s="68">
        <v>0.31156299999999998</v>
      </c>
      <c r="B82" s="68">
        <v>0.41573300000000002</v>
      </c>
      <c r="C82" s="68">
        <v>32.548999999999999</v>
      </c>
      <c r="D82" s="68">
        <v>2</v>
      </c>
      <c r="E82" s="68" t="s">
        <v>489</v>
      </c>
    </row>
    <row r="83" spans="1:5">
      <c r="A83" s="68">
        <v>0.31234099999999998</v>
      </c>
      <c r="B83" s="68">
        <v>0.41834900000000003</v>
      </c>
      <c r="C83" s="68">
        <v>32.956800000000001</v>
      </c>
      <c r="D83" s="68">
        <v>2</v>
      </c>
      <c r="E83" s="68" t="s">
        <v>490</v>
      </c>
    </row>
    <row r="84" spans="1:5">
      <c r="A84" s="68">
        <v>0.31323200000000001</v>
      </c>
      <c r="B84" s="68">
        <v>0.42089500000000002</v>
      </c>
      <c r="C84" s="68">
        <v>33.3628</v>
      </c>
      <c r="D84" s="68">
        <v>2</v>
      </c>
      <c r="E84" s="68" t="s">
        <v>491</v>
      </c>
    </row>
    <row r="85" spans="1:5">
      <c r="A85" s="68">
        <v>0.31444699999999998</v>
      </c>
      <c r="B85" s="68">
        <v>0.42247600000000002</v>
      </c>
      <c r="C85" s="68">
        <v>33.765700000000002</v>
      </c>
      <c r="D85" s="68">
        <v>2</v>
      </c>
      <c r="E85" s="68" t="s">
        <v>492</v>
      </c>
    </row>
    <row r="86" spans="1:5">
      <c r="A86" s="68">
        <v>0.31556800000000002</v>
      </c>
      <c r="B86" s="68">
        <v>0.42425200000000002</v>
      </c>
      <c r="C86" s="68">
        <v>34.177599999999998</v>
      </c>
      <c r="D86" s="68">
        <v>2</v>
      </c>
      <c r="E86" s="68" t="s">
        <v>493</v>
      </c>
    </row>
    <row r="87" spans="1:5">
      <c r="A87" s="68">
        <v>0.31663799999999998</v>
      </c>
      <c r="B87" s="68">
        <v>0.42625600000000002</v>
      </c>
      <c r="C87" s="68">
        <v>34.584600000000002</v>
      </c>
      <c r="D87" s="68">
        <v>2</v>
      </c>
      <c r="E87" s="68" t="s">
        <v>494</v>
      </c>
    </row>
    <row r="88" spans="1:5">
      <c r="A88" s="68">
        <v>0.31780399999999998</v>
      </c>
      <c r="B88" s="68">
        <v>0.42754399999999998</v>
      </c>
      <c r="C88" s="68">
        <v>34.986400000000003</v>
      </c>
      <c r="D88" s="68">
        <v>2</v>
      </c>
      <c r="E88" s="68" t="s">
        <v>495</v>
      </c>
    </row>
    <row r="89" spans="1:5">
      <c r="A89" s="68">
        <v>0.31894400000000001</v>
      </c>
      <c r="B89" s="68">
        <v>0.428726</v>
      </c>
      <c r="C89" s="68">
        <v>35.390500000000003</v>
      </c>
      <c r="D89" s="68">
        <v>2</v>
      </c>
      <c r="E89" s="68" t="s">
        <v>496</v>
      </c>
    </row>
    <row r="90" spans="1:5">
      <c r="A90" s="68">
        <v>0.320407</v>
      </c>
      <c r="B90" s="68">
        <v>0.43011700000000003</v>
      </c>
      <c r="C90" s="68">
        <v>35.7956</v>
      </c>
      <c r="D90" s="68">
        <v>2</v>
      </c>
      <c r="E90" s="68" t="s">
        <v>497</v>
      </c>
    </row>
    <row r="91" spans="1:5">
      <c r="A91" s="68">
        <v>0.32178099999999998</v>
      </c>
      <c r="B91" s="68">
        <v>0.43156600000000001</v>
      </c>
      <c r="C91" s="68">
        <v>36.201700000000002</v>
      </c>
      <c r="D91" s="68">
        <v>2</v>
      </c>
      <c r="E91" s="68" t="s">
        <v>498</v>
      </c>
    </row>
    <row r="92" spans="1:5">
      <c r="A92" s="68">
        <v>0.32292999999999999</v>
      </c>
      <c r="B92" s="68">
        <v>0.432726</v>
      </c>
      <c r="C92" s="68">
        <v>36.609499999999997</v>
      </c>
      <c r="D92" s="68">
        <v>2</v>
      </c>
      <c r="E92" s="68" t="s">
        <v>499</v>
      </c>
    </row>
    <row r="93" spans="1:5">
      <c r="A93" s="68">
        <v>0.32386999999999999</v>
      </c>
      <c r="B93" s="68">
        <v>0.43342799999999998</v>
      </c>
      <c r="C93" s="68">
        <v>37.014699999999998</v>
      </c>
      <c r="D93" s="68">
        <v>2</v>
      </c>
      <c r="E93" s="68" t="s">
        <v>500</v>
      </c>
    </row>
    <row r="94" spans="1:5">
      <c r="A94" s="68">
        <v>0.32448100000000002</v>
      </c>
      <c r="B94" s="68">
        <v>0.43418400000000001</v>
      </c>
      <c r="C94" s="68">
        <v>37.4251</v>
      </c>
      <c r="D94" s="68">
        <v>2</v>
      </c>
      <c r="E94" s="68" t="s">
        <v>501</v>
      </c>
    </row>
    <row r="95" spans="1:5">
      <c r="A95" s="68">
        <v>0.32472400000000001</v>
      </c>
      <c r="B95" s="68">
        <v>0.43472899999999998</v>
      </c>
      <c r="C95" s="68">
        <v>37.83</v>
      </c>
      <c r="D95" s="68">
        <v>2</v>
      </c>
      <c r="E95" s="68" t="s">
        <v>502</v>
      </c>
    </row>
    <row r="96" spans="1:5">
      <c r="A96" s="68">
        <v>0.32447599999999999</v>
      </c>
      <c r="B96" s="68">
        <v>0.43524800000000002</v>
      </c>
      <c r="C96" s="68">
        <v>38.237000000000002</v>
      </c>
      <c r="D96" s="68">
        <v>2</v>
      </c>
      <c r="E96" s="68" t="s">
        <v>503</v>
      </c>
    </row>
    <row r="97" spans="1:5">
      <c r="A97" s="68">
        <v>0.32391500000000001</v>
      </c>
      <c r="B97" s="68">
        <v>0.43529000000000001</v>
      </c>
      <c r="C97" s="68">
        <v>38.6449</v>
      </c>
      <c r="D97" s="68">
        <v>2</v>
      </c>
      <c r="E97" s="68" t="s">
        <v>504</v>
      </c>
    </row>
    <row r="98" spans="1:5">
      <c r="A98" s="68">
        <v>0.32308100000000001</v>
      </c>
      <c r="B98" s="68">
        <v>0.43461</v>
      </c>
      <c r="C98" s="68">
        <v>39.048999999999999</v>
      </c>
      <c r="D98" s="68">
        <v>2</v>
      </c>
      <c r="E98" s="68" t="s">
        <v>505</v>
      </c>
    </row>
    <row r="99" spans="1:5">
      <c r="A99" s="68">
        <v>0.322131</v>
      </c>
      <c r="B99" s="68">
        <v>0.43342799999999998</v>
      </c>
      <c r="C99" s="68">
        <v>39.455399999999997</v>
      </c>
      <c r="D99" s="68">
        <v>2</v>
      </c>
      <c r="E99" s="68" t="s">
        <v>506</v>
      </c>
    </row>
    <row r="100" spans="1:5">
      <c r="A100" s="68">
        <v>0.32150099999999998</v>
      </c>
      <c r="B100" s="68">
        <v>0.43235099999999999</v>
      </c>
      <c r="C100" s="68">
        <v>39.8598</v>
      </c>
      <c r="D100" s="68">
        <v>2</v>
      </c>
      <c r="E100" s="68" t="s">
        <v>507</v>
      </c>
    </row>
    <row r="101" spans="1:5">
      <c r="A101" s="68">
        <v>0.32098199999999999</v>
      </c>
      <c r="B101" s="68">
        <v>0.43149700000000002</v>
      </c>
      <c r="C101" s="68">
        <v>40.264499999999998</v>
      </c>
      <c r="D101" s="68">
        <v>2</v>
      </c>
      <c r="E101" s="68" t="s">
        <v>508</v>
      </c>
    </row>
    <row r="102" spans="1:5">
      <c r="A102" s="68">
        <v>0.32045800000000002</v>
      </c>
      <c r="B102" s="68">
        <v>0.43037999999999998</v>
      </c>
      <c r="C102" s="68">
        <v>40.673400000000001</v>
      </c>
      <c r="D102" s="68">
        <v>2</v>
      </c>
      <c r="E102" s="68" t="s">
        <v>509</v>
      </c>
    </row>
    <row r="103" spans="1:5">
      <c r="A103" s="68">
        <v>0.31972499999999998</v>
      </c>
      <c r="B103" s="68">
        <v>0.42908200000000002</v>
      </c>
      <c r="C103" s="68">
        <v>41.0792</v>
      </c>
      <c r="D103" s="68">
        <v>2</v>
      </c>
      <c r="E103" s="68" t="s">
        <v>510</v>
      </c>
    </row>
    <row r="104" spans="1:5">
      <c r="A104" s="68">
        <v>0.31875300000000001</v>
      </c>
      <c r="B104" s="68">
        <v>0.428149</v>
      </c>
      <c r="C104" s="68">
        <v>41.481099999999998</v>
      </c>
      <c r="D104" s="68">
        <v>2</v>
      </c>
      <c r="E104" s="68" t="s">
        <v>511</v>
      </c>
    </row>
    <row r="105" spans="1:5">
      <c r="A105" s="68">
        <v>0.31773800000000002</v>
      </c>
      <c r="B105" s="68">
        <v>0.42682599999999998</v>
      </c>
      <c r="C105" s="68">
        <v>41.891100000000002</v>
      </c>
      <c r="D105" s="68">
        <v>2</v>
      </c>
      <c r="E105" s="68" t="s">
        <v>512</v>
      </c>
    </row>
    <row r="106" spans="1:5">
      <c r="A106" s="68">
        <v>0.31678000000000001</v>
      </c>
      <c r="B106" s="68">
        <v>0.42541299999999999</v>
      </c>
      <c r="C106" s="68">
        <v>42.2988</v>
      </c>
      <c r="D106" s="68">
        <v>2</v>
      </c>
      <c r="E106" s="68" t="s">
        <v>513</v>
      </c>
    </row>
    <row r="107" spans="1:5">
      <c r="A107" s="68">
        <v>0.31561899999999998</v>
      </c>
      <c r="B107" s="68">
        <v>0.424597</v>
      </c>
      <c r="C107" s="68">
        <v>42.704700000000003</v>
      </c>
      <c r="D107" s="68">
        <v>2</v>
      </c>
      <c r="E107" s="68" t="s">
        <v>514</v>
      </c>
    </row>
    <row r="108" spans="1:5">
      <c r="A108" s="68">
        <v>0.31442199999999998</v>
      </c>
      <c r="B108" s="68">
        <v>0.42408200000000001</v>
      </c>
      <c r="C108" s="68">
        <v>43.111699999999999</v>
      </c>
      <c r="D108" s="68">
        <v>2</v>
      </c>
      <c r="E108" s="68" t="s">
        <v>515</v>
      </c>
    </row>
    <row r="109" spans="1:5">
      <c r="A109" s="68">
        <v>0.31315300000000001</v>
      </c>
      <c r="B109" s="68">
        <v>0.42383700000000002</v>
      </c>
      <c r="C109" s="68">
        <v>43.516599999999997</v>
      </c>
      <c r="D109" s="68">
        <v>2</v>
      </c>
      <c r="E109" s="68" t="s">
        <v>516</v>
      </c>
    </row>
    <row r="110" spans="1:5">
      <c r="A110" s="68">
        <v>0.31160100000000002</v>
      </c>
      <c r="B110" s="68">
        <v>0.42426199999999997</v>
      </c>
      <c r="C110" s="68">
        <v>43.919499999999999</v>
      </c>
      <c r="D110" s="68">
        <v>2</v>
      </c>
      <c r="E110" s="68" t="s">
        <v>517</v>
      </c>
    </row>
    <row r="111" spans="1:5">
      <c r="A111" s="68">
        <v>0.31038900000000003</v>
      </c>
      <c r="B111" s="68">
        <v>0.42458099999999999</v>
      </c>
      <c r="C111" s="68">
        <v>44.330399999999997</v>
      </c>
      <c r="D111" s="68">
        <v>2</v>
      </c>
      <c r="E111" s="68" t="s">
        <v>518</v>
      </c>
    </row>
    <row r="112" spans="1:5">
      <c r="A112" s="68">
        <v>0.309784</v>
      </c>
      <c r="B112" s="68">
        <v>0.424342</v>
      </c>
      <c r="C112" s="68">
        <v>44.7395</v>
      </c>
      <c r="D112" s="68">
        <v>2</v>
      </c>
      <c r="E112" s="68" t="s">
        <v>519</v>
      </c>
    </row>
    <row r="113" spans="1:5">
      <c r="A113" s="68">
        <v>0.30940000000000001</v>
      </c>
      <c r="B113" s="68">
        <v>0.42423100000000002</v>
      </c>
      <c r="C113" s="68">
        <v>45.137599999999999</v>
      </c>
      <c r="D113" s="68">
        <v>2</v>
      </c>
      <c r="E113" s="68" t="s">
        <v>520</v>
      </c>
    </row>
    <row r="114" spans="1:5">
      <c r="A114" s="68">
        <v>0.30942399999999998</v>
      </c>
      <c r="B114" s="68">
        <v>0.42402000000000001</v>
      </c>
      <c r="C114" s="68">
        <v>45.551200000000001</v>
      </c>
      <c r="D114" s="68">
        <v>2</v>
      </c>
      <c r="E114" s="68" t="s">
        <v>521</v>
      </c>
    </row>
    <row r="115" spans="1:5">
      <c r="A115" s="68">
        <v>0.30932999999999999</v>
      </c>
      <c r="B115" s="68">
        <v>0.42417199999999999</v>
      </c>
      <c r="C115" s="68">
        <v>45.955399999999997</v>
      </c>
      <c r="D115" s="68">
        <v>2</v>
      </c>
      <c r="E115" s="68" t="s">
        <v>522</v>
      </c>
    </row>
    <row r="116" spans="1:5">
      <c r="A116" s="68">
        <v>0.30925599999999998</v>
      </c>
      <c r="B116" s="68">
        <v>0.424452</v>
      </c>
      <c r="C116" s="68">
        <v>46.363999999999997</v>
      </c>
      <c r="D116" s="68">
        <v>2</v>
      </c>
      <c r="E116" s="68" t="s">
        <v>523</v>
      </c>
    </row>
    <row r="117" spans="1:5">
      <c r="A117" s="68">
        <v>0.30942999999999998</v>
      </c>
      <c r="B117" s="68">
        <v>0.424618</v>
      </c>
      <c r="C117" s="68">
        <v>46.765999999999998</v>
      </c>
      <c r="D117" s="68">
        <v>2</v>
      </c>
      <c r="E117" s="68" t="s">
        <v>524</v>
      </c>
    </row>
    <row r="118" spans="1:5">
      <c r="A118" s="68">
        <v>0.31009199999999998</v>
      </c>
      <c r="B118" s="68">
        <v>0.42413000000000001</v>
      </c>
      <c r="C118" s="68">
        <v>47.17</v>
      </c>
      <c r="D118" s="68">
        <v>2</v>
      </c>
      <c r="E118" s="68" t="s">
        <v>525</v>
      </c>
    </row>
    <row r="119" spans="1:5">
      <c r="A119" s="68">
        <v>0.311307</v>
      </c>
      <c r="B119" s="68">
        <v>0.422537</v>
      </c>
      <c r="C119" s="68">
        <v>47.582799999999999</v>
      </c>
      <c r="D119" s="68">
        <v>2</v>
      </c>
      <c r="E119" s="68" t="s">
        <v>526</v>
      </c>
    </row>
    <row r="120" spans="1:5">
      <c r="A120" s="68">
        <v>0.31256899999999999</v>
      </c>
      <c r="B120" s="68">
        <v>0.42099399999999998</v>
      </c>
      <c r="C120" s="68">
        <v>47.985999999999997</v>
      </c>
      <c r="D120" s="68">
        <v>2</v>
      </c>
      <c r="E120" s="68" t="s">
        <v>527</v>
      </c>
    </row>
    <row r="121" spans="1:5">
      <c r="A121" s="68">
        <v>0.31424400000000002</v>
      </c>
      <c r="B121" s="68">
        <v>0.41831200000000002</v>
      </c>
      <c r="C121" s="68">
        <v>48.391500000000001</v>
      </c>
      <c r="D121" s="68">
        <v>2</v>
      </c>
      <c r="E121" s="68" t="s">
        <v>528</v>
      </c>
    </row>
    <row r="122" spans="1:5">
      <c r="A122" s="68">
        <v>0.31600600000000001</v>
      </c>
      <c r="B122" s="68">
        <v>0.41559499999999999</v>
      </c>
      <c r="C122" s="68">
        <v>48.796999999999997</v>
      </c>
      <c r="D122" s="68">
        <v>2</v>
      </c>
      <c r="E122" s="68" t="s">
        <v>529</v>
      </c>
    </row>
    <row r="123" spans="1:5">
      <c r="A123" s="68">
        <v>0.31793500000000002</v>
      </c>
      <c r="B123" s="68">
        <v>0.41353299999999998</v>
      </c>
      <c r="C123" s="68">
        <v>49.200400000000002</v>
      </c>
      <c r="D123" s="68">
        <v>2</v>
      </c>
      <c r="E123" s="68" t="s">
        <v>530</v>
      </c>
    </row>
    <row r="124" spans="1:5">
      <c r="A124" s="68">
        <v>0.32023200000000002</v>
      </c>
      <c r="B124" s="68">
        <v>0.41151599999999999</v>
      </c>
      <c r="C124" s="68">
        <v>49.6113</v>
      </c>
      <c r="D124" s="68">
        <v>2</v>
      </c>
      <c r="E124" s="68" t="s">
        <v>531</v>
      </c>
    </row>
    <row r="125" spans="1:5">
      <c r="A125" s="68">
        <v>0.322488</v>
      </c>
      <c r="B125" s="68">
        <v>0.409437</v>
      </c>
      <c r="C125" s="68">
        <v>50.018300000000004</v>
      </c>
      <c r="D125" s="68">
        <v>2</v>
      </c>
      <c r="E125" s="68" t="s">
        <v>532</v>
      </c>
    </row>
    <row r="126" spans="1:5">
      <c r="A126" s="68">
        <v>0.32332699999999998</v>
      </c>
      <c r="B126" s="68">
        <v>0.40944700000000001</v>
      </c>
      <c r="C126" s="68">
        <v>50.423200000000001</v>
      </c>
      <c r="D126" s="68">
        <v>2</v>
      </c>
      <c r="E126" s="68" t="s">
        <v>533</v>
      </c>
    </row>
    <row r="127" spans="1:5">
      <c r="A127" s="68">
        <v>0.32420599999999999</v>
      </c>
      <c r="B127" s="68">
        <v>0.409439</v>
      </c>
      <c r="C127" s="68">
        <v>50.828000000000003</v>
      </c>
      <c r="D127" s="68">
        <v>2</v>
      </c>
      <c r="E127" s="68" t="s">
        <v>534</v>
      </c>
    </row>
    <row r="128" spans="1:5">
      <c r="A128" s="68">
        <v>0.32524900000000001</v>
      </c>
      <c r="B128" s="68">
        <v>0.40939900000000001</v>
      </c>
      <c r="C128" s="68">
        <v>51.233899999999998</v>
      </c>
      <c r="D128" s="68">
        <v>2</v>
      </c>
      <c r="E128" s="68" t="s">
        <v>535</v>
      </c>
    </row>
    <row r="129" spans="1:5">
      <c r="A129" s="68">
        <v>0.32629799999999998</v>
      </c>
      <c r="B129" s="68">
        <v>0.409161</v>
      </c>
      <c r="C129" s="68">
        <v>51.6432</v>
      </c>
      <c r="D129" s="68">
        <v>2</v>
      </c>
      <c r="E129" s="68" t="s">
        <v>536</v>
      </c>
    </row>
    <row r="130" spans="1:5">
      <c r="A130" s="68">
        <v>0.32735300000000001</v>
      </c>
      <c r="B130" s="68">
        <v>0.408912</v>
      </c>
      <c r="C130" s="68">
        <v>52.044899999999998</v>
      </c>
      <c r="D130" s="68">
        <v>2</v>
      </c>
      <c r="E130" s="68" t="s">
        <v>537</v>
      </c>
    </row>
    <row r="131" spans="1:5">
      <c r="A131" s="68">
        <v>0.32845000000000002</v>
      </c>
      <c r="B131" s="68">
        <v>0.40919899999999998</v>
      </c>
      <c r="C131" s="68">
        <v>52.454799999999999</v>
      </c>
      <c r="D131" s="68">
        <v>2</v>
      </c>
      <c r="E131" s="68" t="s">
        <v>538</v>
      </c>
    </row>
    <row r="132" spans="1:5">
      <c r="A132" s="68">
        <v>0.32977899999999999</v>
      </c>
      <c r="B132" s="68">
        <v>0.40943299999999999</v>
      </c>
      <c r="C132" s="68">
        <v>52.8626</v>
      </c>
      <c r="D132" s="68">
        <v>2</v>
      </c>
      <c r="E132" s="68" t="s">
        <v>539</v>
      </c>
    </row>
    <row r="133" spans="1:5">
      <c r="A133" s="68">
        <v>0.33130799999999999</v>
      </c>
      <c r="B133" s="68">
        <v>0.40920800000000002</v>
      </c>
      <c r="C133" s="68">
        <v>53.268599999999999</v>
      </c>
      <c r="D133" s="68">
        <v>2</v>
      </c>
      <c r="E133" s="68" t="s">
        <v>540</v>
      </c>
    </row>
    <row r="134" spans="1:5">
      <c r="A134" s="68">
        <v>0.33300999999999997</v>
      </c>
      <c r="B134" s="68">
        <v>0.40893800000000002</v>
      </c>
      <c r="C134" s="68">
        <v>53.673499999999997</v>
      </c>
      <c r="D134" s="68">
        <v>2</v>
      </c>
      <c r="E134" s="68" t="s">
        <v>541</v>
      </c>
    </row>
    <row r="135" spans="1:5">
      <c r="A135" s="68">
        <v>0.33498499999999998</v>
      </c>
      <c r="B135" s="68">
        <v>0.40911599999999998</v>
      </c>
      <c r="C135" s="68">
        <v>54.078299999999999</v>
      </c>
      <c r="D135" s="68">
        <v>2</v>
      </c>
      <c r="E135" s="68" t="s">
        <v>542</v>
      </c>
    </row>
    <row r="136" spans="1:5">
      <c r="A136" s="68">
        <v>0.336953</v>
      </c>
      <c r="B136" s="68">
        <v>0.409055</v>
      </c>
      <c r="C136" s="68">
        <v>54.482300000000002</v>
      </c>
      <c r="D136" s="68">
        <v>2</v>
      </c>
      <c r="E136" s="68" t="s">
        <v>543</v>
      </c>
    </row>
    <row r="137" spans="1:5">
      <c r="A137" s="68">
        <v>0.33856900000000001</v>
      </c>
      <c r="B137" s="68">
        <v>0.40878500000000001</v>
      </c>
      <c r="C137" s="68">
        <v>54.889200000000002</v>
      </c>
      <c r="D137" s="68">
        <v>2</v>
      </c>
      <c r="E137" s="68" t="s">
        <v>544</v>
      </c>
    </row>
    <row r="138" spans="1:5">
      <c r="A138" s="68">
        <v>0.34015299999999998</v>
      </c>
      <c r="B138" s="68">
        <v>0.40870499999999998</v>
      </c>
      <c r="C138" s="68">
        <v>55.299300000000002</v>
      </c>
      <c r="D138" s="68">
        <v>2</v>
      </c>
      <c r="E138" s="68" t="s">
        <v>545</v>
      </c>
    </row>
    <row r="139" spans="1:5">
      <c r="A139" s="68">
        <v>0.34154099999999998</v>
      </c>
      <c r="B139" s="68">
        <v>0.40799099999999999</v>
      </c>
      <c r="C139" s="68">
        <v>55.705100000000002</v>
      </c>
      <c r="D139" s="68">
        <v>2</v>
      </c>
      <c r="E139" s="68" t="s">
        <v>546</v>
      </c>
    </row>
    <row r="140" spans="1:5">
      <c r="A140" s="68">
        <v>0.34306599999999998</v>
      </c>
      <c r="B140" s="68">
        <v>0.40660000000000002</v>
      </c>
      <c r="C140" s="68">
        <v>56.110900000000001</v>
      </c>
      <c r="D140" s="68">
        <v>2</v>
      </c>
      <c r="E140" s="68" t="s">
        <v>547</v>
      </c>
    </row>
    <row r="141" spans="1:5">
      <c r="A141" s="68">
        <v>0.34454600000000002</v>
      </c>
      <c r="B141" s="68">
        <v>0.40479599999999999</v>
      </c>
      <c r="C141" s="68">
        <v>56.516100000000002</v>
      </c>
      <c r="D141" s="68">
        <v>2</v>
      </c>
      <c r="E141" s="68" t="s">
        <v>548</v>
      </c>
    </row>
    <row r="142" spans="1:5">
      <c r="A142" s="68">
        <v>0.34610000000000002</v>
      </c>
      <c r="B142" s="68">
        <v>0.40162500000000001</v>
      </c>
      <c r="C142" s="68">
        <v>56.921900000000001</v>
      </c>
      <c r="D142" s="68">
        <v>2</v>
      </c>
      <c r="E142" s="68" t="s">
        <v>549</v>
      </c>
    </row>
    <row r="143" spans="1:5">
      <c r="A143" s="68">
        <v>0.347051</v>
      </c>
      <c r="B143" s="68">
        <v>0.39890799999999998</v>
      </c>
      <c r="C143" s="68">
        <v>57.328699999999998</v>
      </c>
      <c r="D143" s="68">
        <v>2</v>
      </c>
      <c r="E143" s="68" t="s">
        <v>550</v>
      </c>
    </row>
    <row r="144" spans="1:5">
      <c r="A144" s="68">
        <v>0.34731200000000001</v>
      </c>
      <c r="B144" s="68">
        <v>0.39554400000000001</v>
      </c>
      <c r="C144" s="68">
        <v>57.733600000000003</v>
      </c>
      <c r="D144" s="68">
        <v>2</v>
      </c>
      <c r="E144" s="68" t="s">
        <v>551</v>
      </c>
    </row>
    <row r="145" spans="1:5">
      <c r="A145" s="68">
        <v>0.34835500000000003</v>
      </c>
      <c r="B145" s="68">
        <v>0.390571</v>
      </c>
      <c r="C145" s="68">
        <v>58.140500000000003</v>
      </c>
      <c r="D145" s="68">
        <v>2</v>
      </c>
      <c r="E145" s="68" t="s">
        <v>552</v>
      </c>
    </row>
    <row r="146" spans="1:5">
      <c r="A146" s="68">
        <v>0.34955000000000003</v>
      </c>
      <c r="B146" s="68">
        <v>0.38838</v>
      </c>
      <c r="C146" s="68">
        <v>58.545400000000001</v>
      </c>
      <c r="D146" s="68">
        <v>2</v>
      </c>
      <c r="E146" s="68" t="s">
        <v>553</v>
      </c>
    </row>
    <row r="147" spans="1:5">
      <c r="A147" s="68">
        <v>0.35115600000000002</v>
      </c>
      <c r="B147" s="68">
        <v>0.38731700000000002</v>
      </c>
      <c r="C147" s="68">
        <v>58.952399999999997</v>
      </c>
      <c r="D147" s="68">
        <v>2</v>
      </c>
      <c r="E147" s="68" t="s">
        <v>554</v>
      </c>
    </row>
    <row r="148" spans="1:5">
      <c r="A148" s="68">
        <v>0.35409400000000002</v>
      </c>
      <c r="B148" s="68">
        <v>0.38544499999999998</v>
      </c>
      <c r="C148" s="68">
        <v>59.361199999999997</v>
      </c>
      <c r="D148" s="68">
        <v>2</v>
      </c>
      <c r="E148" s="68" t="s">
        <v>555</v>
      </c>
    </row>
    <row r="149" spans="1:5">
      <c r="A149" s="68">
        <v>0.35558400000000001</v>
      </c>
      <c r="B149" s="68">
        <v>0.38218400000000002</v>
      </c>
      <c r="C149" s="68">
        <v>59.7622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293</v>
      </c>
      <c r="G1" s="66" t="s">
        <v>294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43607.656782407408</v>
      </c>
      <c r="B2" s="66" t="s">
        <v>559</v>
      </c>
      <c r="C2" s="66"/>
      <c r="D2" s="66"/>
      <c r="E2" s="66">
        <v>4.9234099999999996</v>
      </c>
      <c r="F2" s="66">
        <v>1.5799700000000001</v>
      </c>
      <c r="G2" s="66">
        <v>0.58151299999999995</v>
      </c>
      <c r="H2" s="66">
        <v>0</v>
      </c>
      <c r="I2" s="66">
        <v>111111</v>
      </c>
      <c r="J2" s="66">
        <v>78</v>
      </c>
      <c r="K2" s="66">
        <v>78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2019-05-21T09:17:45Z</cp:lastPrinted>
  <dcterms:created xsi:type="dcterms:W3CDTF">2010-10-29T12:53:05Z</dcterms:created>
  <dcterms:modified xsi:type="dcterms:W3CDTF">2019-05-22T07:46:40Z</dcterms:modified>
</cp:coreProperties>
</file>