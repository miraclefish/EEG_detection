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P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Q17" i="11" l="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R2" i="16" s="1" a="1"/>
  <c r="R2" i="16" s="1"/>
  <c r="S12" i="11"/>
  <c r="J2" i="16" s="1" a="1"/>
  <c r="J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<sst xmlns="http://schemas.openxmlformats.org/spreadsheetml/2006/main" count="702" uniqueCount="575">
  <si>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</si>
  <si>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</si>
  <si>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</si>
  <si>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</si>
  <si>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</si>
  <si>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</si>
  <si>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</si>
  <si>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</si>
  <si>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</si>
  <si>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</si>
  <si>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</si>
  <si>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</si>
  <si>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</si>
  <si>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</si>
  <si>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</si>
  <si>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</si>
  <si>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</si>
  <si>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</si>
  <si>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</si>
  <si>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</si>
  <si>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</si>
  <si>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</si>
  <si>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</si>
  <si>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</si>
  <si>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</si>
  <si>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</si>
  <si>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</si>
  <si>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</si>
  <si>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</si>
  <si>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</si>
  <si>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</si>
  <si>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</si>
  <si>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</si>
  <si>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</si>
  <si>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</si>
  <si>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</si>
  <si>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</si>
  <si>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</si>
  <si>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</si>
  <si>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</si>
  <si>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</si>
  <si>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</si>
  <si>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</si>
  <si>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</si>
  <si>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</si>
  <si>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</si>
  <si>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</si>
  <si>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</si>
  <si>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</si>
  <si>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</si>
  <si>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</si>
  <si>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</si>
  <si>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</si>
  <si>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</si>
  <si>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</si>
  <si>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</si>
  <si>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</si>
  <si>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</si>
  <si>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</si>
  <si>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</si>
  <si>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</si>
  <si>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</si>
  <si>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</si>
  <si>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</si>
  <si>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</si>
  <si>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</si>
  <si>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</si>
  <si>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</si>
  <si>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</si>
  <si>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</si>
  <si>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</si>
  <si>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</si>
  <si>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</si>
  <si>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</si>
  <si>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</si>
  <si>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</si>
  <si>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</si>
  <si>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</si>
  <si>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</si>
  <si>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</si>
  <si>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</si>
  <si>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</si>
  <si>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</si>
  <si>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</si>
  <si>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</si>
  <si>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</si>
  <si>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</si>
  <si>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</si>
  <si>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</si>
  <si>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</si>
  <si>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</si>
  <si>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</si>
  <si>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</si>
  <si>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</si>
  <si>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</si>
  <si>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</si>
  <si>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</si>
  <si>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</si>
  <si>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</si>
  <si>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</si>
  <si>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</si>
  <si>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</si>
  <si>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</si>
  <si>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</si>
  <si>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</si>
  <si>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</si>
  <si>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</si>
  <si>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</si>
  <si>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</si>
  <si>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</si>
  <si>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</si>
  <si>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</si>
  <si>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</si>
  <si>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</si>
  <si>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</si>
  <si>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</si>
  <si>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</si>
  <si>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</si>
  <si>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</si>
  <si>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</si>
  <si>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</si>
  <si>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</si>
  <si>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</si>
  <si>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</si>
  <si>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</si>
  <si>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</si>
  <si>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</si>
  <si>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</si>
  <si>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</si>
  <si>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</si>
  <si>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</si>
  <si>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</si>
  <si>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</si>
  <si>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</si>
  <si>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</si>
  <si>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</si>
  <si>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</si>
  <si>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</si>
  <si>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</si>
  <si>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</si>
  <si>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</si>
  <si>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</si>
  <si>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</si>
  <si>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</si>
  <si>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</si>
  <si>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</si>
  <si>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</si>
  <si>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</si>
  <si>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</si>
  <si>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</si>
  <si>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</si>
  <si>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</si>
  <si>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</si>
  <si>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</si>
  <si>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</si>
  <si>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</si>
  <si>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</si>
  <si>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</si>
  <si>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</si>
  <si>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</si>
  <si>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</si>
  <si>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</si>
  <si>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</si>
  <si>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</si>
  <si>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</si>
  <si>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</si>
  <si>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</si>
  <si>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</si>
  <si>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</si>
  <si>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</si>
  <si>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</si>
  <si>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</si>
  <si>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</si>
  <si>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</si>
  <si>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</si>
  <si>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</si>
  <si>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</si>
  <si>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</si>
  <si>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</si>
  <si>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</si>
  <si>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</si>
  <si>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</si>
  <si>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</si>
  <si>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</si>
  <si>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</si>
  <si>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</si>
  <si>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</si>
  <si>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</si>
  <si>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</si>
  <si>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</si>
  <si>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</si>
  <si>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</si>
  <si>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</si>
  <si>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</si>
  <si>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</si>
  <si>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</si>
  <si>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</si>
  <si>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</si>
  <si>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</si>
  <si>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</si>
  <si>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</si>
  <si>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</si>
  <si>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</si>
  <si>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</si>
  <si>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</si>
  <si>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</si>
  <si>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</si>
  <si>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</si>
  <si>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</si>
  <si>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</si>
  <si>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</si>
  <si>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</si>
  <si>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</si>
  <si>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</si>
  <si>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</si>
  <si>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</si>
  <si>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</si>
  <si>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</si>
  <si>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</si>
  <si>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</si>
  <si>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</si>
  <si>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</si>
  <si>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</si>
  <si>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</si>
  <si>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</si>
  <si>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</si>
  <si>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</si>
  <si>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</si>
  <si>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</si>
  <si>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</si>
  <si>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</si>
  <si>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</si>
  <si>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</si>
  <si>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</si>
  <si>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</si>
  <si>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</si>
  <si>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</si>
  <si>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</si>
  <si>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</si>
  <si>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</si>
  <si>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</si>
  <si>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</si>
  <si>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</si>
  <si>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</si>
  <si>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</si>
  <si>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</si>
  <si>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</si>
  <si>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</si>
  <si>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</si>
  <si>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</si>
  <si>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</si>
  <si>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</si>
  <si>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</si>
  <si>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</si>
  <si>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</si>
  <si>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</si>
  <si>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</si>
  <si>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</si>
  <si>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</si>
  <si>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</si>
  <si>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</si>
  <si>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</si>
  <si>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</si>
  <si>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</si>
  <si>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</si>
  <si>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</si>
  <si>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</si>
  <si>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</si>
  <si>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</si>
  <si>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</si>
  <si>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</si>
  <si>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</si>
  <si>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</si>
  <si>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</si>
  <si>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</si>
  <si>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</si>
  <si>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</si>
  <si>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</si>
  <si>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</si>
  <si>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</si>
  <si>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</si>
  <si>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</si>
  <si>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</si>
  <si>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</si>
  <si>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</si>
  <si>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</si>
  <si>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</si>
  <si>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</si>
  <si>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</si>
  <si>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</si>
  <si>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</si>
  <si>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</si>
  <si>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</si>
  <si>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</si>
  <si>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</si>
  <si>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</si>
  <si>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</si>
  <si>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</si>
  <si>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</si>
  <si>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</si>
  <si>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</si>
  <si>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</si>
  <si>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</si>
  <si>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</si>
  <si>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</si>
  <si>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</si>
  <si>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</si>
  <si>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</si>
  <si>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</si>
  <si>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</si>
  <si>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</si>
  <si>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</si>
  <si>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</si>
  <si>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</si>
  <si>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</si>
  <si>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</si>
  <si>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</si>
  <si>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</si>
  <si>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</si>
  <si>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</si>
  <si>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</si>
  <si>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</si>
  <si>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</si>
  <si>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</si>
  <si>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</si>
  <si>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</si>
  <si>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</si>
  <si>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</si>
  <si>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</si>
  <si>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</si>
  <si>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</si>
  <si>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</si>
  <si>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</si>
  <si>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</si>
  <si>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</si>
  <si>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</si>
  <si>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</si>
  <si>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</si>
  <si>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</si>
  <si>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</si>
  <si>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</si>
  <si>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</si>
  <si>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</si>
  <si>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</si>
  <si>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</si>
  <si>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</si>
  <si>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</si>
  <si>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</si>
  <si>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</si>
  <si>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</si>
  <si>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</si>
  <si>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</si>
  <si>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</si>
  <si>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</si>
  <si>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</si>
  <si>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</si>
  <si>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</si>
  <si>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</si>
  <si>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</si>
  <si>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</si>
  <si>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</si>
  <si>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</si>
  <si>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</si>
  <si>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</si>
  <si>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</si>
  <si>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</si>
  <si>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</si>
  <si>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</si>
  <si>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</si>
  <si>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</si>
  <si>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</si>
  <si>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</si>
  <si>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</si>
  <si>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</si>
  <si>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</si>
  <si>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</si>
  <si>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</si>
  <si>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</si>
  <si>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</si>
  <si>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</si>
  <si>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</si>
  <si>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</si>
  <si>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</si>
  <si>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</si>
  <si>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</si>
  <si>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</si>
  <si>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</si>
  <si>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</si>
  <si>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</si>
  <si>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</si>
  <si>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</si>
  <si>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</si>
  <si>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</si>
  <si>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</si>
  <si>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</si>
  <si>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</si>
  <si>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</si>
  <si>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</si>
  <si>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</si>
  <si>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</si>
  <si>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</si>
  <si>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A1 (fast)</t>
    <phoneticPr fontId="29" type="noConversion"/>
  </si>
  <si>
    <t>A4 (fast)</t>
    <phoneticPr fontId="29" type="noConversion"/>
  </si>
  <si>
    <t>h</t>
    <phoneticPr fontId="29" type="noConversion"/>
  </si>
  <si>
    <t>ha</t>
    <phoneticPr fontId="29" type="noConversion"/>
  </si>
  <si>
    <t>ha</t>
    <phoneticPr fontId="29" type="noConversion"/>
  </si>
  <si>
    <t>h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</si>
  <si>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</si>
  <si>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</si>
  <si>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</si>
  <si>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</si>
  <si>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</si>
  <si>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</si>
  <si>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[0.354445]</t>
  </si>
  <si>
    <t>1 [0.763882]</t>
  </si>
  <si>
    <t>1 [1.164500]</t>
  </si>
  <si>
    <t>1 [1.574604]</t>
  </si>
  <si>
    <t>1 [1.982833]</t>
  </si>
  <si>
    <t>1 [2.387584]</t>
  </si>
  <si>
    <t>1 [2.793506]</t>
  </si>
  <si>
    <t>1 [3.195308]</t>
  </si>
  <si>
    <t>1 [3.606173]</t>
  </si>
  <si>
    <t>1 [4.013020]</t>
  </si>
  <si>
    <t>1 [4.417104]</t>
  </si>
  <si>
    <t>1 [4.821319]</t>
  </si>
  <si>
    <t>1 [5.228252]</t>
  </si>
  <si>
    <t>1 [5.635767]</t>
  </si>
  <si>
    <t>1 [6.043484]</t>
  </si>
  <si>
    <t>1 [6.452151]</t>
  </si>
  <si>
    <t>1 [6.852476]</t>
  </si>
  <si>
    <t>1 [7.260659]</t>
  </si>
  <si>
    <t>1 [7.666963]</t>
  </si>
  <si>
    <t>1 [8.077485]</t>
  </si>
  <si>
    <t>1 [8.479326]</t>
  </si>
  <si>
    <t>1 [8.883913]</t>
  </si>
  <si>
    <t>1 [9.289747]</t>
  </si>
  <si>
    <t>1 [9.696963]</t>
  </si>
  <si>
    <t>1 [10.105907]</t>
  </si>
  <si>
    <t>1 [10.512691]</t>
  </si>
  <si>
    <t>1 [10.916418]</t>
  </si>
  <si>
    <t>1 [11.322149]</t>
  </si>
  <si>
    <t>1 [11.726245]</t>
  </si>
  <si>
    <t>1 [12.135624]</t>
  </si>
  <si>
    <t>1 [12.547444]</t>
  </si>
  <si>
    <t>1 [12.950520]</t>
  </si>
  <si>
    <t>1 [13.358868]</t>
  </si>
  <si>
    <t>1 [13.760695]</t>
  </si>
  <si>
    <t>1 [14.166207]</t>
  </si>
  <si>
    <t>1 [14.575405]</t>
  </si>
  <si>
    <t>1 [14.979957]</t>
  </si>
  <si>
    <t>1 [15.383346]</t>
  </si>
  <si>
    <t>1 [15.792719]</t>
  </si>
  <si>
    <t>1 [16.197783]</t>
  </si>
  <si>
    <t>1 [16.609219]</t>
  </si>
  <si>
    <t>1 [17.012639]</t>
  </si>
  <si>
    <t>1 [17.415736]</t>
  </si>
  <si>
    <t>1 [17.822519]</t>
  </si>
  <si>
    <t>1 [18.229805]</t>
  </si>
  <si>
    <t>1 [18.638731]</t>
  </si>
  <si>
    <t>1 [19.042268]</t>
  </si>
  <si>
    <t>1 [19.445991]</t>
  </si>
  <si>
    <t>1 [19.853747]</t>
  </si>
  <si>
    <t>1 [20.260930]</t>
  </si>
  <si>
    <t>1 [20.665925]</t>
  </si>
  <si>
    <t>1 [21.073555]</t>
  </si>
  <si>
    <t>1 [21.476540]</t>
  </si>
  <si>
    <t>1 [21.883486]</t>
  </si>
  <si>
    <t>1 [22.293857]</t>
  </si>
  <si>
    <t>1 [22.699698]</t>
  </si>
  <si>
    <t>1 [23.105335]</t>
  </si>
  <si>
    <t>1 [23.510104]</t>
  </si>
  <si>
    <t>1 [23.919959]</t>
  </si>
  <si>
    <t>1 [24.322531]</t>
  </si>
  <si>
    <t>1 [24.732381]</t>
  </si>
  <si>
    <t>1 [25.137234]</t>
  </si>
  <si>
    <t>1 [25.540228]</t>
  </si>
  <si>
    <t>1 [25.945382]</t>
  </si>
  <si>
    <t>1 [26.351619]</t>
  </si>
  <si>
    <t>1 [26.759647]</t>
  </si>
  <si>
    <t>1 [27.167940]</t>
  </si>
  <si>
    <t>1 [27.572581]</t>
  </si>
  <si>
    <t>1 [27.980116]</t>
  </si>
  <si>
    <t>1 [28.386927]</t>
  </si>
  <si>
    <t>1 [28.791599]</t>
  </si>
  <si>
    <t>1 [29.198003]</t>
  </si>
  <si>
    <t>1 [29.602516]</t>
  </si>
  <si>
    <t>1 [30.013402]</t>
  </si>
  <si>
    <t>2 [30.449202]</t>
  </si>
  <si>
    <t>2 [30.853864]</t>
  </si>
  <si>
    <t>2 [31.260170]</t>
  </si>
  <si>
    <t>2 [31.664647]</t>
  </si>
  <si>
    <t>2 [32.075437]</t>
  </si>
  <si>
    <t>2 [32.479215]</t>
  </si>
  <si>
    <t>2 [32.883873]</t>
  </si>
  <si>
    <t>2 [33.291626]</t>
  </si>
  <si>
    <t>2 [33.697946]</t>
  </si>
  <si>
    <t>2 [34.107534]</t>
  </si>
  <si>
    <t>2 [34.514120]</t>
  </si>
  <si>
    <t>2 [34.916969]</t>
  </si>
  <si>
    <t>2 [35.321758]</t>
  </si>
  <si>
    <t>2 [35.731133]</t>
  </si>
  <si>
    <t>2 [36.139900]</t>
  </si>
  <si>
    <t>2 [36.545061]</t>
  </si>
  <si>
    <t>2 [36.952388]</t>
  </si>
  <si>
    <t>2 [37.353170]</t>
  </si>
  <si>
    <t>2 [37.760072]</t>
  </si>
  <si>
    <t>2 [38.167629]</t>
  </si>
  <si>
    <t>2 [38.575467]</t>
  </si>
  <si>
    <t>2 [38.979363]</t>
  </si>
  <si>
    <t>2 [39.384059]</t>
  </si>
  <si>
    <t>2 [39.791734]</t>
  </si>
  <si>
    <t>2 [40.200460]</t>
  </si>
  <si>
    <t>2 [40.606737]</t>
  </si>
  <si>
    <t>2 [41.011485]</t>
  </si>
  <si>
    <t>2 [41.416754]</t>
  </si>
  <si>
    <t>2 [41.822595]</t>
  </si>
  <si>
    <t>2 [42.231136]</t>
  </si>
  <si>
    <t>2 [42.640266]</t>
  </si>
  <si>
    <t>2 [43.042369]</t>
  </si>
  <si>
    <t>2 [43.445501]</t>
  </si>
  <si>
    <t>2 [43.852195]</t>
  </si>
  <si>
    <t>2 [44.264188]</t>
  </si>
  <si>
    <t>2 [44.666144]</t>
  </si>
  <si>
    <t>2 [45.074272]</t>
  </si>
  <si>
    <t>2 [45.478127]</t>
  </si>
  <si>
    <t>2 [45.888041]</t>
  </si>
  <si>
    <t>2 [46.294149]</t>
  </si>
  <si>
    <t>2 [46.700524]</t>
  </si>
  <si>
    <t>2 [47.105081]</t>
  </si>
  <si>
    <t>2 [47.512457]</t>
  </si>
  <si>
    <t>2 [47.915655]</t>
  </si>
  <si>
    <t>2 [48.325768]</t>
  </si>
  <si>
    <t>2 [48.728372]</t>
  </si>
  <si>
    <t>2 [49.136253]</t>
  </si>
  <si>
    <t>2 [49.539632]</t>
  </si>
  <si>
    <t>2 [49.946156]</t>
  </si>
  <si>
    <t>2 [50.354787]</t>
  </si>
  <si>
    <t>2 [50.759665]</t>
  </si>
  <si>
    <t>2 [51.167492]</t>
  </si>
  <si>
    <t>2 [51.573100]</t>
  </si>
  <si>
    <t>2 [51.985388]</t>
  </si>
  <si>
    <t>2 [52.387349]</t>
  </si>
  <si>
    <t>2 [52.790242]</t>
  </si>
  <si>
    <t>2 [53.197974]</t>
  </si>
  <si>
    <t>2 [53.608009]</t>
  </si>
  <si>
    <t>2 [54.012290]</t>
  </si>
  <si>
    <t>2 [54.418295]</t>
  </si>
  <si>
    <t>2 [54.821531]</t>
  </si>
  <si>
    <t>2 [55.229813]</t>
  </si>
  <si>
    <t>2 [55.637176]</t>
  </si>
  <si>
    <t>2 [56.043441]</t>
  </si>
  <si>
    <t>2 [56.447663]</t>
  </si>
  <si>
    <t>2 [56.854329]</t>
  </si>
  <si>
    <t>2 [57.259755]</t>
  </si>
  <si>
    <t>2 [57.674372]</t>
  </si>
  <si>
    <t>2 [58.076825]</t>
  </si>
  <si>
    <t>2 [58.487383]</t>
  </si>
  <si>
    <t>2 [58.885418]</t>
  </si>
  <si>
    <t>2 [59.289804]</t>
  </si>
  <si>
    <t>2 [59.697502]</t>
  </si>
  <si>
    <t>2 [60.103251]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</si>
  <si>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</si>
  <si>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</si>
  <si>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</si>
  <si>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</si>
  <si>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</si>
  <si>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</si>
  <si>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</si>
  <si>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</si>
  <si>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</si>
  <si>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</si>
  <si>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</si>
  <si>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</si>
  <si>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男</t>
    <phoneticPr fontId="1" type="noConversion"/>
  </si>
  <si>
    <t>刘建珍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</si>
</sst>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45.428899999999999</c:v>
                </c:pt>
                <c:pt idx="1">
                  <c:v>31.7258</c:v>
                </c:pt>
                <c:pt idx="2">
                  <c:v>23.144100000000002</c:v>
                </c:pt>
                <c:pt idx="3">
                  <c:v>33.228999999999999</c:v>
                </c:pt>
                <c:pt idx="4">
                  <c:v>74.602999999999994</c:v>
                </c:pt>
                <c:pt idx="5">
                  <c:v>76.997500000000002</c:v>
                </c:pt>
                <c:pt idx="6">
                  <c:v>28.7087</c:v>
                </c:pt>
                <c:pt idx="7">
                  <c:v>75.781499999999994</c:v>
                </c:pt>
                <c:pt idx="8">
                  <c:v>20.561699999999998</c:v>
                </c:pt>
                <c:pt idx="9">
                  <c:v>32.244999999999997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0.51711269003470894</c:v>
                </c:pt>
                <c:pt idx="1">
                  <c:v>0.26962681523544829</c:v>
                </c:pt>
                <c:pt idx="2">
                  <c:v>0.21326049472984271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3455</c:v>
                </c:pt>
                <c:pt idx="7">
                  <c:v>0</c:v>
                </c:pt>
                <c:pt idx="8">
                  <c:v>5314</c:v>
                </c:pt>
                <c:pt idx="9">
                  <c:v>0</c:v>
                </c:pt>
                <c:pt idx="10">
                  <c:v>0</c:v>
                </c:pt>
                <c:pt idx="11">
                  <c:v>8591</c:v>
                </c:pt>
                <c:pt idx="12">
                  <c:v>0</c:v>
                </c:pt>
                <c:pt idx="13">
                  <c:v>11985</c:v>
                </c:pt>
                <c:pt idx="14">
                  <c:v>0</c:v>
                </c:pt>
                <c:pt idx="15">
                  <c:v>0</c:v>
                </c:pt>
                <c:pt idx="16">
                  <c:v>15282</c:v>
                </c:pt>
                <c:pt idx="17">
                  <c:v>0</c:v>
                </c:pt>
                <c:pt idx="18">
                  <c:v>0</c:v>
                </c:pt>
                <c:pt idx="19">
                  <c:v>20607</c:v>
                </c:pt>
                <c:pt idx="20">
                  <c:v>0</c:v>
                </c:pt>
                <c:pt idx="21">
                  <c:v>30059</c:v>
                </c:pt>
                <c:pt idx="22">
                  <c:v>0</c:v>
                </c:pt>
                <c:pt idx="23">
                  <c:v>0</c:v>
                </c:pt>
                <c:pt idx="24">
                  <c:v>32450</c:v>
                </c:pt>
                <c:pt idx="25">
                  <c:v>0</c:v>
                </c:pt>
                <c:pt idx="26">
                  <c:v>39437</c:v>
                </c:pt>
                <c:pt idx="27">
                  <c:v>0</c:v>
                </c:pt>
                <c:pt idx="28">
                  <c:v>0</c:v>
                </c:pt>
                <c:pt idx="29">
                  <c:v>40277</c:v>
                </c:pt>
                <c:pt idx="30">
                  <c:v>0</c:v>
                </c:pt>
                <c:pt idx="31">
                  <c:v>43768</c:v>
                </c:pt>
                <c:pt idx="32">
                  <c:v>0</c:v>
                </c:pt>
                <c:pt idx="33">
                  <c:v>0</c:v>
                </c:pt>
                <c:pt idx="34">
                  <c:v>39636</c:v>
                </c:pt>
                <c:pt idx="35">
                  <c:v>0</c:v>
                </c:pt>
                <c:pt idx="36">
                  <c:v>0</c:v>
                </c:pt>
                <c:pt idx="37">
                  <c:v>40520</c:v>
                </c:pt>
                <c:pt idx="38">
                  <c:v>0</c:v>
                </c:pt>
                <c:pt idx="39">
                  <c:v>43391</c:v>
                </c:pt>
                <c:pt idx="40">
                  <c:v>0</c:v>
                </c:pt>
                <c:pt idx="41">
                  <c:v>0</c:v>
                </c:pt>
                <c:pt idx="42">
                  <c:v>47312</c:v>
                </c:pt>
                <c:pt idx="43">
                  <c:v>0</c:v>
                </c:pt>
                <c:pt idx="44">
                  <c:v>52317</c:v>
                </c:pt>
                <c:pt idx="45">
                  <c:v>0</c:v>
                </c:pt>
                <c:pt idx="46">
                  <c:v>0</c:v>
                </c:pt>
                <c:pt idx="47">
                  <c:v>61682</c:v>
                </c:pt>
                <c:pt idx="48">
                  <c:v>0</c:v>
                </c:pt>
                <c:pt idx="49">
                  <c:v>63685</c:v>
                </c:pt>
                <c:pt idx="50">
                  <c:v>0</c:v>
                </c:pt>
                <c:pt idx="51">
                  <c:v>0</c:v>
                </c:pt>
                <c:pt idx="52">
                  <c:v>69336</c:v>
                </c:pt>
                <c:pt idx="53">
                  <c:v>0</c:v>
                </c:pt>
                <c:pt idx="54">
                  <c:v>0</c:v>
                </c:pt>
                <c:pt idx="55">
                  <c:v>72229</c:v>
                </c:pt>
                <c:pt idx="56">
                  <c:v>0</c:v>
                </c:pt>
                <c:pt idx="57">
                  <c:v>78086</c:v>
                </c:pt>
                <c:pt idx="58">
                  <c:v>0</c:v>
                </c:pt>
                <c:pt idx="59">
                  <c:v>0</c:v>
                </c:pt>
                <c:pt idx="60">
                  <c:v>80183</c:v>
                </c:pt>
                <c:pt idx="61">
                  <c:v>0</c:v>
                </c:pt>
                <c:pt idx="62">
                  <c:v>87373</c:v>
                </c:pt>
                <c:pt idx="63">
                  <c:v>0</c:v>
                </c:pt>
                <c:pt idx="64">
                  <c:v>0</c:v>
                </c:pt>
                <c:pt idx="65">
                  <c:v>95973</c:v>
                </c:pt>
                <c:pt idx="66">
                  <c:v>0</c:v>
                </c:pt>
                <c:pt idx="67">
                  <c:v>101652</c:v>
                </c:pt>
                <c:pt idx="68">
                  <c:v>0</c:v>
                </c:pt>
                <c:pt idx="69">
                  <c:v>0</c:v>
                </c:pt>
                <c:pt idx="70">
                  <c:v>99537</c:v>
                </c:pt>
                <c:pt idx="71">
                  <c:v>0</c:v>
                </c:pt>
                <c:pt idx="72">
                  <c:v>0</c:v>
                </c:pt>
                <c:pt idx="73">
                  <c:v>109004</c:v>
                </c:pt>
                <c:pt idx="74">
                  <c:v>0</c:v>
                </c:pt>
                <c:pt idx="75">
                  <c:v>116958</c:v>
                </c:pt>
                <c:pt idx="76">
                  <c:v>0</c:v>
                </c:pt>
                <c:pt idx="77">
                  <c:v>0</c:v>
                </c:pt>
                <c:pt idx="78">
                  <c:v>124891</c:v>
                </c:pt>
                <c:pt idx="79">
                  <c:v>0</c:v>
                </c:pt>
                <c:pt idx="80">
                  <c:v>127453</c:v>
                </c:pt>
                <c:pt idx="81">
                  <c:v>0</c:v>
                </c:pt>
                <c:pt idx="82">
                  <c:v>0</c:v>
                </c:pt>
                <c:pt idx="83">
                  <c:v>133088</c:v>
                </c:pt>
                <c:pt idx="84">
                  <c:v>0</c:v>
                </c:pt>
                <c:pt idx="85">
                  <c:v>0</c:v>
                </c:pt>
                <c:pt idx="86">
                  <c:v>134256</c:v>
                </c:pt>
                <c:pt idx="87">
                  <c:v>0</c:v>
                </c:pt>
                <c:pt idx="88">
                  <c:v>132760</c:v>
                </c:pt>
                <c:pt idx="89">
                  <c:v>0</c:v>
                </c:pt>
                <c:pt idx="90">
                  <c:v>0</c:v>
                </c:pt>
                <c:pt idx="91">
                  <c:v>134226</c:v>
                </c:pt>
                <c:pt idx="92">
                  <c:v>0</c:v>
                </c:pt>
                <c:pt idx="93">
                  <c:v>140454</c:v>
                </c:pt>
                <c:pt idx="94">
                  <c:v>0</c:v>
                </c:pt>
                <c:pt idx="95">
                  <c:v>0</c:v>
                </c:pt>
                <c:pt idx="96">
                  <c:v>153821</c:v>
                </c:pt>
                <c:pt idx="97">
                  <c:v>0</c:v>
                </c:pt>
                <c:pt idx="98">
                  <c:v>157461</c:v>
                </c:pt>
                <c:pt idx="99">
                  <c:v>0</c:v>
                </c:pt>
                <c:pt idx="100">
                  <c:v>0</c:v>
                </c:pt>
                <c:pt idx="101">
                  <c:v>169248</c:v>
                </c:pt>
                <c:pt idx="102">
                  <c:v>0</c:v>
                </c:pt>
                <c:pt idx="103">
                  <c:v>0</c:v>
                </c:pt>
                <c:pt idx="104">
                  <c:v>170019</c:v>
                </c:pt>
                <c:pt idx="105">
                  <c:v>0</c:v>
                </c:pt>
                <c:pt idx="106">
                  <c:v>176129</c:v>
                </c:pt>
                <c:pt idx="107">
                  <c:v>0</c:v>
                </c:pt>
                <c:pt idx="108">
                  <c:v>0</c:v>
                </c:pt>
                <c:pt idx="109">
                  <c:v>184144</c:v>
                </c:pt>
                <c:pt idx="110">
                  <c:v>0</c:v>
                </c:pt>
                <c:pt idx="111">
                  <c:v>182358</c:v>
                </c:pt>
                <c:pt idx="112">
                  <c:v>0</c:v>
                </c:pt>
                <c:pt idx="113">
                  <c:v>0</c:v>
                </c:pt>
                <c:pt idx="114">
                  <c:v>183152</c:v>
                </c:pt>
                <c:pt idx="115">
                  <c:v>0</c:v>
                </c:pt>
                <c:pt idx="116">
                  <c:v>180029</c:v>
                </c:pt>
                <c:pt idx="117">
                  <c:v>0</c:v>
                </c:pt>
                <c:pt idx="118">
                  <c:v>0</c:v>
                </c:pt>
                <c:pt idx="119">
                  <c:v>175622</c:v>
                </c:pt>
                <c:pt idx="120">
                  <c:v>0</c:v>
                </c:pt>
                <c:pt idx="121">
                  <c:v>0</c:v>
                </c:pt>
                <c:pt idx="122">
                  <c:v>168648</c:v>
                </c:pt>
                <c:pt idx="123">
                  <c:v>0</c:v>
                </c:pt>
                <c:pt idx="124">
                  <c:v>161147</c:v>
                </c:pt>
                <c:pt idx="125">
                  <c:v>0</c:v>
                </c:pt>
                <c:pt idx="126">
                  <c:v>0</c:v>
                </c:pt>
                <c:pt idx="127">
                  <c:v>153816</c:v>
                </c:pt>
                <c:pt idx="128">
                  <c:v>0</c:v>
                </c:pt>
                <c:pt idx="129">
                  <c:v>148110</c:v>
                </c:pt>
                <c:pt idx="130">
                  <c:v>0</c:v>
                </c:pt>
                <c:pt idx="131">
                  <c:v>0</c:v>
                </c:pt>
                <c:pt idx="132">
                  <c:v>138226</c:v>
                </c:pt>
                <c:pt idx="133">
                  <c:v>0</c:v>
                </c:pt>
                <c:pt idx="134">
                  <c:v>124111</c:v>
                </c:pt>
                <c:pt idx="135">
                  <c:v>0</c:v>
                </c:pt>
                <c:pt idx="136">
                  <c:v>0</c:v>
                </c:pt>
                <c:pt idx="137">
                  <c:v>118775</c:v>
                </c:pt>
                <c:pt idx="138">
                  <c:v>0</c:v>
                </c:pt>
                <c:pt idx="139">
                  <c:v>0</c:v>
                </c:pt>
                <c:pt idx="140">
                  <c:v>116373</c:v>
                </c:pt>
                <c:pt idx="141">
                  <c:v>0</c:v>
                </c:pt>
                <c:pt idx="142">
                  <c:v>110769</c:v>
                </c:pt>
                <c:pt idx="143">
                  <c:v>0</c:v>
                </c:pt>
                <c:pt idx="144">
                  <c:v>0</c:v>
                </c:pt>
                <c:pt idx="145">
                  <c:v>98695</c:v>
                </c:pt>
                <c:pt idx="146">
                  <c:v>0</c:v>
                </c:pt>
                <c:pt idx="147">
                  <c:v>88943</c:v>
                </c:pt>
                <c:pt idx="148">
                  <c:v>0</c:v>
                </c:pt>
                <c:pt idx="149">
                  <c:v>0</c:v>
                </c:pt>
                <c:pt idx="150">
                  <c:v>81847</c:v>
                </c:pt>
                <c:pt idx="151">
                  <c:v>0</c:v>
                </c:pt>
                <c:pt idx="152">
                  <c:v>73905</c:v>
                </c:pt>
                <c:pt idx="153">
                  <c:v>0</c:v>
                </c:pt>
                <c:pt idx="154">
                  <c:v>0</c:v>
                </c:pt>
                <c:pt idx="155">
                  <c:v>63844</c:v>
                </c:pt>
                <c:pt idx="156">
                  <c:v>0</c:v>
                </c:pt>
                <c:pt idx="157">
                  <c:v>0</c:v>
                </c:pt>
                <c:pt idx="158">
                  <c:v>57347</c:v>
                </c:pt>
                <c:pt idx="159">
                  <c:v>0</c:v>
                </c:pt>
                <c:pt idx="160">
                  <c:v>45201</c:v>
                </c:pt>
                <c:pt idx="161">
                  <c:v>0</c:v>
                </c:pt>
                <c:pt idx="162">
                  <c:v>0</c:v>
                </c:pt>
                <c:pt idx="163">
                  <c:v>37284</c:v>
                </c:pt>
                <c:pt idx="164">
                  <c:v>0</c:v>
                </c:pt>
                <c:pt idx="165">
                  <c:v>33855</c:v>
                </c:pt>
                <c:pt idx="166">
                  <c:v>0</c:v>
                </c:pt>
                <c:pt idx="167">
                  <c:v>0</c:v>
                </c:pt>
                <c:pt idx="168">
                  <c:v>30045</c:v>
                </c:pt>
                <c:pt idx="169">
                  <c:v>0</c:v>
                </c:pt>
                <c:pt idx="170">
                  <c:v>0</c:v>
                </c:pt>
                <c:pt idx="171">
                  <c:v>24707</c:v>
                </c:pt>
                <c:pt idx="172">
                  <c:v>0</c:v>
                </c:pt>
                <c:pt idx="173">
                  <c:v>17989</c:v>
                </c:pt>
                <c:pt idx="174">
                  <c:v>0</c:v>
                </c:pt>
                <c:pt idx="175">
                  <c:v>0</c:v>
                </c:pt>
                <c:pt idx="176">
                  <c:v>13533</c:v>
                </c:pt>
                <c:pt idx="177">
                  <c:v>0</c:v>
                </c:pt>
                <c:pt idx="178">
                  <c:v>8385</c:v>
                </c:pt>
                <c:pt idx="179">
                  <c:v>0</c:v>
                </c:pt>
                <c:pt idx="180">
                  <c:v>0</c:v>
                </c:pt>
                <c:pt idx="181">
                  <c:v>6695</c:v>
                </c:pt>
                <c:pt idx="182">
                  <c:v>0</c:v>
                </c:pt>
                <c:pt idx="183">
                  <c:v>5516</c:v>
                </c:pt>
                <c:pt idx="184">
                  <c:v>0</c:v>
                </c:pt>
                <c:pt idx="185">
                  <c:v>0</c:v>
                </c:pt>
                <c:pt idx="186">
                  <c:v>3663</c:v>
                </c:pt>
                <c:pt idx="187">
                  <c:v>0</c:v>
                </c:pt>
                <c:pt idx="188">
                  <c:v>0</c:v>
                </c:pt>
                <c:pt idx="189">
                  <c:v>2279</c:v>
                </c:pt>
                <c:pt idx="190">
                  <c:v>0</c:v>
                </c:pt>
                <c:pt idx="191">
                  <c:v>1421</c:v>
                </c:pt>
                <c:pt idx="192">
                  <c:v>0</c:v>
                </c:pt>
                <c:pt idx="193">
                  <c:v>0</c:v>
                </c:pt>
                <c:pt idx="194">
                  <c:v>326</c:v>
                </c:pt>
                <c:pt idx="195">
                  <c:v>0</c:v>
                </c:pt>
                <c:pt idx="196">
                  <c:v>231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  <c:pt idx="75">
                  <c:v>4.5897800000000002</c:v>
                </c:pt>
                <c:pt idx="76">
                  <c:v>4.61015</c:v>
                </c:pt>
                <c:pt idx="77">
                  <c:v>4.6278799999999993</c:v>
                </c:pt>
                <c:pt idx="78">
                  <c:v>4.6434800000000003</c:v>
                </c:pt>
                <c:pt idx="79">
                  <c:v>4.65754</c:v>
                </c:pt>
                <c:pt idx="80">
                  <c:v>4.6688200000000002</c:v>
                </c:pt>
                <c:pt idx="81">
                  <c:v>4.6766999999999994</c:v>
                </c:pt>
                <c:pt idx="82">
                  <c:v>4.6812399999999998</c:v>
                </c:pt>
                <c:pt idx="83">
                  <c:v>4.6804800000000002</c:v>
                </c:pt>
                <c:pt idx="84">
                  <c:v>4.6765099999999995</c:v>
                </c:pt>
                <c:pt idx="85">
                  <c:v>4.6655600000000002</c:v>
                </c:pt>
                <c:pt idx="86">
                  <c:v>4.6530300000000002</c:v>
                </c:pt>
                <c:pt idx="87">
                  <c:v>4.6411300000000004</c:v>
                </c:pt>
                <c:pt idx="88">
                  <c:v>4.6303599999999996</c:v>
                </c:pt>
                <c:pt idx="89">
                  <c:v>4.6232299999999995</c:v>
                </c:pt>
                <c:pt idx="90">
                  <c:v>4.6163500000000006</c:v>
                </c:pt>
                <c:pt idx="91">
                  <c:v>4.6073500000000003</c:v>
                </c:pt>
                <c:pt idx="92">
                  <c:v>4.5960900000000002</c:v>
                </c:pt>
                <c:pt idx="93">
                  <c:v>4.58406</c:v>
                </c:pt>
                <c:pt idx="94">
                  <c:v>4.5694900000000001</c:v>
                </c:pt>
                <c:pt idx="95">
                  <c:v>4.5522499999999999</c:v>
                </c:pt>
                <c:pt idx="96">
                  <c:v>4.5333899999999998</c:v>
                </c:pt>
                <c:pt idx="97">
                  <c:v>4.5107699999999999</c:v>
                </c:pt>
                <c:pt idx="98">
                  <c:v>4.4843299999999999</c:v>
                </c:pt>
                <c:pt idx="99">
                  <c:v>4.4524900000000001</c:v>
                </c:pt>
                <c:pt idx="100">
                  <c:v>4.4192900000000002</c:v>
                </c:pt>
                <c:pt idx="101">
                  <c:v>4.3850299999999995</c:v>
                </c:pt>
                <c:pt idx="102">
                  <c:v>4.3520300000000001</c:v>
                </c:pt>
                <c:pt idx="103">
                  <c:v>4.3245000000000005</c:v>
                </c:pt>
                <c:pt idx="104">
                  <c:v>4.2962699999999998</c:v>
                </c:pt>
                <c:pt idx="105">
                  <c:v>4.2672100000000004</c:v>
                </c:pt>
                <c:pt idx="106">
                  <c:v>4.2413499999999997</c:v>
                </c:pt>
                <c:pt idx="107">
                  <c:v>4.2173999999999996</c:v>
                </c:pt>
                <c:pt idx="108">
                  <c:v>4.1913</c:v>
                </c:pt>
                <c:pt idx="109">
                  <c:v>4.1655499999999996</c:v>
                </c:pt>
                <c:pt idx="110">
                  <c:v>4.1426099999999995</c:v>
                </c:pt>
                <c:pt idx="111">
                  <c:v>4.1214399999999998</c:v>
                </c:pt>
                <c:pt idx="112">
                  <c:v>4.1018100000000004</c:v>
                </c:pt>
                <c:pt idx="113">
                  <c:v>4.0837400000000006</c:v>
                </c:pt>
                <c:pt idx="114">
                  <c:v>4.0675400000000002</c:v>
                </c:pt>
                <c:pt idx="115">
                  <c:v>4.0508100000000002</c:v>
                </c:pt>
                <c:pt idx="116">
                  <c:v>4.0322300000000002</c:v>
                </c:pt>
                <c:pt idx="117">
                  <c:v>4.0139100000000001</c:v>
                </c:pt>
                <c:pt idx="118">
                  <c:v>4.0003700000000002</c:v>
                </c:pt>
                <c:pt idx="119">
                  <c:v>3.9924500000000003</c:v>
                </c:pt>
                <c:pt idx="120">
                  <c:v>3.9865200000000001</c:v>
                </c:pt>
                <c:pt idx="121">
                  <c:v>3.9836200000000002</c:v>
                </c:pt>
                <c:pt idx="122">
                  <c:v>3.98421</c:v>
                </c:pt>
                <c:pt idx="123">
                  <c:v>3.9889599999999996</c:v>
                </c:pt>
                <c:pt idx="124">
                  <c:v>3.9934500000000002</c:v>
                </c:pt>
                <c:pt idx="125">
                  <c:v>3.9972999999999996</c:v>
                </c:pt>
                <c:pt idx="126">
                  <c:v>4.00204</c:v>
                </c:pt>
                <c:pt idx="127">
                  <c:v>4.0066299999999995</c:v>
                </c:pt>
                <c:pt idx="128">
                  <c:v>4.0079399999999996</c:v>
                </c:pt>
                <c:pt idx="129">
                  <c:v>4.0069100000000004</c:v>
                </c:pt>
                <c:pt idx="130">
                  <c:v>4.0048399999999997</c:v>
                </c:pt>
                <c:pt idx="131">
                  <c:v>4.00122</c:v>
                </c:pt>
                <c:pt idx="132">
                  <c:v>3.9977</c:v>
                </c:pt>
                <c:pt idx="133">
                  <c:v>3.9999899999999999</c:v>
                </c:pt>
                <c:pt idx="134">
                  <c:v>4.00793</c:v>
                </c:pt>
                <c:pt idx="135">
                  <c:v>4.0183799999999996</c:v>
                </c:pt>
                <c:pt idx="136">
                  <c:v>4.0293400000000004</c:v>
                </c:pt>
                <c:pt idx="137">
                  <c:v>4.0411599999999996</c:v>
                </c:pt>
                <c:pt idx="138">
                  <c:v>4.0506199999999994</c:v>
                </c:pt>
                <c:pt idx="139">
                  <c:v>4.0542699999999998</c:v>
                </c:pt>
                <c:pt idx="140">
                  <c:v>4.06135</c:v>
                </c:pt>
                <c:pt idx="141">
                  <c:v>4.0730899999999997</c:v>
                </c:pt>
                <c:pt idx="142">
                  <c:v>4.0869</c:v>
                </c:pt>
                <c:pt idx="143">
                  <c:v>4.0998299999999999</c:v>
                </c:pt>
                <c:pt idx="144">
                  <c:v>4.1125800000000003</c:v>
                </c:pt>
                <c:pt idx="145">
                  <c:v>4.11707</c:v>
                </c:pt>
                <c:pt idx="146">
                  <c:v>4.1176300000000001</c:v>
                </c:pt>
                <c:pt idx="147">
                  <c:v>4.1215200000000003</c:v>
                </c:pt>
                <c:pt idx="148">
                  <c:v>4.1097599999999996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  <c:pt idx="75">
                  <c:v>36.689100000000003</c:v>
                </c:pt>
                <c:pt idx="76">
                  <c:v>36.474800000000002</c:v>
                </c:pt>
                <c:pt idx="77">
                  <c:v>36.240499999999997</c:v>
                </c:pt>
                <c:pt idx="78">
                  <c:v>36.091000000000001</c:v>
                </c:pt>
                <c:pt idx="79">
                  <c:v>35.977699999999999</c:v>
                </c:pt>
                <c:pt idx="80">
                  <c:v>35.893999999999998</c:v>
                </c:pt>
                <c:pt idx="81">
                  <c:v>35.8324</c:v>
                </c:pt>
                <c:pt idx="82">
                  <c:v>35.782199999999996</c:v>
                </c:pt>
                <c:pt idx="83">
                  <c:v>35.768999999999998</c:v>
                </c:pt>
                <c:pt idx="84">
                  <c:v>35.691400000000002</c:v>
                </c:pt>
                <c:pt idx="85">
                  <c:v>35.642600000000002</c:v>
                </c:pt>
                <c:pt idx="86">
                  <c:v>35.618400000000001</c:v>
                </c:pt>
                <c:pt idx="87">
                  <c:v>35.619900000000001</c:v>
                </c:pt>
                <c:pt idx="88">
                  <c:v>35.635600000000004</c:v>
                </c:pt>
                <c:pt idx="89">
                  <c:v>35.683799999999998</c:v>
                </c:pt>
                <c:pt idx="90">
                  <c:v>35.734400000000001</c:v>
                </c:pt>
                <c:pt idx="91">
                  <c:v>35.794699999999999</c:v>
                </c:pt>
                <c:pt idx="92">
                  <c:v>35.889500000000005</c:v>
                </c:pt>
                <c:pt idx="93">
                  <c:v>35.938400000000001</c:v>
                </c:pt>
                <c:pt idx="94">
                  <c:v>35.990400000000001</c:v>
                </c:pt>
                <c:pt idx="95">
                  <c:v>36.127400000000002</c:v>
                </c:pt>
                <c:pt idx="96">
                  <c:v>36.275500000000001</c:v>
                </c:pt>
                <c:pt idx="97">
                  <c:v>36.436600000000006</c:v>
                </c:pt>
                <c:pt idx="98">
                  <c:v>36.619800000000005</c:v>
                </c:pt>
                <c:pt idx="99">
                  <c:v>36.831499999999998</c:v>
                </c:pt>
                <c:pt idx="100">
                  <c:v>37.008299999999998</c:v>
                </c:pt>
                <c:pt idx="101">
                  <c:v>37.196600000000004</c:v>
                </c:pt>
                <c:pt idx="102">
                  <c:v>37.405000000000001</c:v>
                </c:pt>
                <c:pt idx="103">
                  <c:v>37.5809</c:v>
                </c:pt>
                <c:pt idx="104">
                  <c:v>37.8523</c:v>
                </c:pt>
                <c:pt idx="105">
                  <c:v>38.198799999999999</c:v>
                </c:pt>
                <c:pt idx="106">
                  <c:v>38.523400000000002</c:v>
                </c:pt>
                <c:pt idx="107">
                  <c:v>38.786500000000004</c:v>
                </c:pt>
                <c:pt idx="108">
                  <c:v>39.003399999999999</c:v>
                </c:pt>
                <c:pt idx="109">
                  <c:v>39.286700000000003</c:v>
                </c:pt>
                <c:pt idx="110">
                  <c:v>39.516600000000004</c:v>
                </c:pt>
                <c:pt idx="111">
                  <c:v>39.743400000000001</c:v>
                </c:pt>
                <c:pt idx="112">
                  <c:v>39.929199999999994</c:v>
                </c:pt>
                <c:pt idx="113">
                  <c:v>40.125300000000003</c:v>
                </c:pt>
                <c:pt idx="114">
                  <c:v>40.258899999999997</c:v>
                </c:pt>
                <c:pt idx="115">
                  <c:v>40.369500000000002</c:v>
                </c:pt>
                <c:pt idx="116">
                  <c:v>40.483200000000004</c:v>
                </c:pt>
                <c:pt idx="117">
                  <c:v>40.576099999999997</c:v>
                </c:pt>
                <c:pt idx="118">
                  <c:v>40.565200000000004</c:v>
                </c:pt>
                <c:pt idx="119">
                  <c:v>40.427999999999997</c:v>
                </c:pt>
                <c:pt idx="120">
                  <c:v>40.215699999999998</c:v>
                </c:pt>
                <c:pt idx="121">
                  <c:v>39.9544</c:v>
                </c:pt>
                <c:pt idx="122">
                  <c:v>39.637599999999999</c:v>
                </c:pt>
                <c:pt idx="123">
                  <c:v>39.271299999999997</c:v>
                </c:pt>
                <c:pt idx="124">
                  <c:v>39.0364</c:v>
                </c:pt>
                <c:pt idx="125">
                  <c:v>38.929299999999998</c:v>
                </c:pt>
                <c:pt idx="126">
                  <c:v>38.839700000000001</c:v>
                </c:pt>
                <c:pt idx="127">
                  <c:v>38.753100000000003</c:v>
                </c:pt>
                <c:pt idx="128">
                  <c:v>38.645299999999999</c:v>
                </c:pt>
                <c:pt idx="129">
                  <c:v>38.4998</c:v>
                </c:pt>
                <c:pt idx="130">
                  <c:v>38.3339</c:v>
                </c:pt>
                <c:pt idx="131">
                  <c:v>38.174400000000006</c:v>
                </c:pt>
                <c:pt idx="132">
                  <c:v>37.9985</c:v>
                </c:pt>
                <c:pt idx="133">
                  <c:v>37.774299999999997</c:v>
                </c:pt>
                <c:pt idx="134">
                  <c:v>37.533000000000001</c:v>
                </c:pt>
                <c:pt idx="135">
                  <c:v>37.319200000000002</c:v>
                </c:pt>
                <c:pt idx="136">
                  <c:v>37.0456</c:v>
                </c:pt>
                <c:pt idx="137">
                  <c:v>36.727600000000002</c:v>
                </c:pt>
                <c:pt idx="138">
                  <c:v>36.399300000000004</c:v>
                </c:pt>
                <c:pt idx="139">
                  <c:v>36.109200000000001</c:v>
                </c:pt>
                <c:pt idx="140">
                  <c:v>35.788499999999999</c:v>
                </c:pt>
                <c:pt idx="141">
                  <c:v>35.493000000000002</c:v>
                </c:pt>
                <c:pt idx="142">
                  <c:v>35.221699999999998</c:v>
                </c:pt>
                <c:pt idx="143">
                  <c:v>35.020299999999999</c:v>
                </c:pt>
                <c:pt idx="144">
                  <c:v>34.765499999999996</c:v>
                </c:pt>
                <c:pt idx="145">
                  <c:v>34.658099999999997</c:v>
                </c:pt>
                <c:pt idx="146">
                  <c:v>34.561</c:v>
                </c:pt>
                <c:pt idx="147">
                  <c:v>34.234400000000001</c:v>
                </c:pt>
                <c:pt idx="148">
                  <c:v>33.890500000000003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4.5679599999999994</c:v>
                </c:pt>
                <c:pt idx="1">
                  <c:v>4.5897800000000002</c:v>
                </c:pt>
                <c:pt idx="2">
                  <c:v>4.61015</c:v>
                </c:pt>
                <c:pt idx="3">
                  <c:v>4.6278799999999993</c:v>
                </c:pt>
                <c:pt idx="4">
                  <c:v>4.6434800000000003</c:v>
                </c:pt>
                <c:pt idx="5">
                  <c:v>4.65754</c:v>
                </c:pt>
                <c:pt idx="6">
                  <c:v>4.6688200000000002</c:v>
                </c:pt>
                <c:pt idx="7">
                  <c:v>4.6766999999999994</c:v>
                </c:pt>
                <c:pt idx="8">
                  <c:v>4.6812399999999998</c:v>
                </c:pt>
                <c:pt idx="9">
                  <c:v>4.6804800000000002</c:v>
                </c:pt>
                <c:pt idx="10">
                  <c:v>4.6765099999999995</c:v>
                </c:pt>
                <c:pt idx="11">
                  <c:v>4.6655600000000002</c:v>
                </c:pt>
                <c:pt idx="12">
                  <c:v>4.6530300000000002</c:v>
                </c:pt>
                <c:pt idx="13">
                  <c:v>4.6411300000000004</c:v>
                </c:pt>
                <c:pt idx="14">
                  <c:v>4.6303599999999996</c:v>
                </c:pt>
                <c:pt idx="15">
                  <c:v>4.6232299999999995</c:v>
                </c:pt>
                <c:pt idx="16">
                  <c:v>4.6163500000000006</c:v>
                </c:pt>
                <c:pt idx="17">
                  <c:v>4.6073500000000003</c:v>
                </c:pt>
                <c:pt idx="18">
                  <c:v>4.5960900000000002</c:v>
                </c:pt>
                <c:pt idx="19">
                  <c:v>4.58406</c:v>
                </c:pt>
                <c:pt idx="20">
                  <c:v>4.5694900000000001</c:v>
                </c:pt>
                <c:pt idx="21">
                  <c:v>4.5522499999999999</c:v>
                </c:pt>
                <c:pt idx="22">
                  <c:v>4.5333899999999998</c:v>
                </c:pt>
                <c:pt idx="23">
                  <c:v>4.5107699999999999</c:v>
                </c:pt>
                <c:pt idx="24">
                  <c:v>4.4843299999999999</c:v>
                </c:pt>
                <c:pt idx="25">
                  <c:v>4.4524900000000001</c:v>
                </c:pt>
                <c:pt idx="26">
                  <c:v>4.4192900000000002</c:v>
                </c:pt>
                <c:pt idx="27">
                  <c:v>4.3850299999999995</c:v>
                </c:pt>
                <c:pt idx="28">
                  <c:v>4.3520300000000001</c:v>
                </c:pt>
                <c:pt idx="29">
                  <c:v>4.3245000000000005</c:v>
                </c:pt>
                <c:pt idx="30">
                  <c:v>4.2962699999999998</c:v>
                </c:pt>
                <c:pt idx="31">
                  <c:v>4.2672100000000004</c:v>
                </c:pt>
                <c:pt idx="32">
                  <c:v>4.2413499999999997</c:v>
                </c:pt>
                <c:pt idx="33">
                  <c:v>4.2173999999999996</c:v>
                </c:pt>
                <c:pt idx="34">
                  <c:v>4.1913</c:v>
                </c:pt>
                <c:pt idx="35">
                  <c:v>4.1655499999999996</c:v>
                </c:pt>
                <c:pt idx="36">
                  <c:v>4.1426099999999995</c:v>
                </c:pt>
                <c:pt idx="37">
                  <c:v>4.1214399999999998</c:v>
                </c:pt>
                <c:pt idx="38">
                  <c:v>4.1018100000000004</c:v>
                </c:pt>
                <c:pt idx="39">
                  <c:v>4.0837400000000006</c:v>
                </c:pt>
                <c:pt idx="40">
                  <c:v>4.0675400000000002</c:v>
                </c:pt>
                <c:pt idx="41">
                  <c:v>4.0508100000000002</c:v>
                </c:pt>
                <c:pt idx="42">
                  <c:v>4.0322300000000002</c:v>
                </c:pt>
                <c:pt idx="43">
                  <c:v>4.0139100000000001</c:v>
                </c:pt>
                <c:pt idx="44">
                  <c:v>4.0003700000000002</c:v>
                </c:pt>
                <c:pt idx="45">
                  <c:v>3.9924500000000003</c:v>
                </c:pt>
                <c:pt idx="46">
                  <c:v>3.9865200000000001</c:v>
                </c:pt>
                <c:pt idx="47">
                  <c:v>3.9836200000000002</c:v>
                </c:pt>
                <c:pt idx="48">
                  <c:v>3.98421</c:v>
                </c:pt>
                <c:pt idx="49">
                  <c:v>3.9889599999999996</c:v>
                </c:pt>
                <c:pt idx="50">
                  <c:v>3.9934500000000002</c:v>
                </c:pt>
                <c:pt idx="51">
                  <c:v>3.9972999999999996</c:v>
                </c:pt>
                <c:pt idx="52">
                  <c:v>4.00204</c:v>
                </c:pt>
                <c:pt idx="53">
                  <c:v>4.0066299999999995</c:v>
                </c:pt>
                <c:pt idx="54">
                  <c:v>4.0079399999999996</c:v>
                </c:pt>
                <c:pt idx="55">
                  <c:v>4.0069100000000004</c:v>
                </c:pt>
                <c:pt idx="56">
                  <c:v>4.0048399999999997</c:v>
                </c:pt>
                <c:pt idx="57">
                  <c:v>4.00122</c:v>
                </c:pt>
                <c:pt idx="58">
                  <c:v>3.9977</c:v>
                </c:pt>
                <c:pt idx="59">
                  <c:v>3.9999899999999999</c:v>
                </c:pt>
                <c:pt idx="60">
                  <c:v>4.00793</c:v>
                </c:pt>
                <c:pt idx="61">
                  <c:v>4.0183799999999996</c:v>
                </c:pt>
                <c:pt idx="62">
                  <c:v>4.0293400000000004</c:v>
                </c:pt>
                <c:pt idx="63">
                  <c:v>4.0411599999999996</c:v>
                </c:pt>
                <c:pt idx="64">
                  <c:v>4.0506199999999994</c:v>
                </c:pt>
                <c:pt idx="65">
                  <c:v>4.0542699999999998</c:v>
                </c:pt>
                <c:pt idx="66">
                  <c:v>4.06135</c:v>
                </c:pt>
                <c:pt idx="67">
                  <c:v>4.0730899999999997</c:v>
                </c:pt>
                <c:pt idx="68">
                  <c:v>4.0869</c:v>
                </c:pt>
                <c:pt idx="69">
                  <c:v>4.0998299999999999</c:v>
                </c:pt>
                <c:pt idx="70">
                  <c:v>4.1125800000000003</c:v>
                </c:pt>
                <c:pt idx="71">
                  <c:v>4.11707</c:v>
                </c:pt>
                <c:pt idx="72">
                  <c:v>4.1176300000000001</c:v>
                </c:pt>
                <c:pt idx="73">
                  <c:v>4.1215200000000003</c:v>
                </c:pt>
                <c:pt idx="74">
                  <c:v>4.1097599999999996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36.889499999999998</c:v>
                </c:pt>
                <c:pt idx="1">
                  <c:v>36.689100000000003</c:v>
                </c:pt>
                <c:pt idx="2">
                  <c:v>36.474800000000002</c:v>
                </c:pt>
                <c:pt idx="3">
                  <c:v>36.240499999999997</c:v>
                </c:pt>
                <c:pt idx="4">
                  <c:v>36.091000000000001</c:v>
                </c:pt>
                <c:pt idx="5">
                  <c:v>35.977699999999999</c:v>
                </c:pt>
                <c:pt idx="6">
                  <c:v>35.893999999999998</c:v>
                </c:pt>
                <c:pt idx="7">
                  <c:v>35.8324</c:v>
                </c:pt>
                <c:pt idx="8">
                  <c:v>35.782199999999996</c:v>
                </c:pt>
                <c:pt idx="9">
                  <c:v>35.768999999999998</c:v>
                </c:pt>
                <c:pt idx="10">
                  <c:v>35.691400000000002</c:v>
                </c:pt>
                <c:pt idx="11">
                  <c:v>35.642600000000002</c:v>
                </c:pt>
                <c:pt idx="12">
                  <c:v>35.618400000000001</c:v>
                </c:pt>
                <c:pt idx="13">
                  <c:v>35.619900000000001</c:v>
                </c:pt>
                <c:pt idx="14">
                  <c:v>35.635600000000004</c:v>
                </c:pt>
                <c:pt idx="15">
                  <c:v>35.683799999999998</c:v>
                </c:pt>
                <c:pt idx="16">
                  <c:v>35.734400000000001</c:v>
                </c:pt>
                <c:pt idx="17">
                  <c:v>35.794699999999999</c:v>
                </c:pt>
                <c:pt idx="18">
                  <c:v>35.889500000000005</c:v>
                </c:pt>
                <c:pt idx="19">
                  <c:v>35.938400000000001</c:v>
                </c:pt>
                <c:pt idx="20">
                  <c:v>35.990400000000001</c:v>
                </c:pt>
                <c:pt idx="21">
                  <c:v>36.127400000000002</c:v>
                </c:pt>
                <c:pt idx="22">
                  <c:v>36.275500000000001</c:v>
                </c:pt>
                <c:pt idx="23">
                  <c:v>36.436600000000006</c:v>
                </c:pt>
                <c:pt idx="24">
                  <c:v>36.619800000000005</c:v>
                </c:pt>
                <c:pt idx="25">
                  <c:v>36.831499999999998</c:v>
                </c:pt>
                <c:pt idx="26">
                  <c:v>37.008299999999998</c:v>
                </c:pt>
                <c:pt idx="27">
                  <c:v>37.196600000000004</c:v>
                </c:pt>
                <c:pt idx="28">
                  <c:v>37.405000000000001</c:v>
                </c:pt>
                <c:pt idx="29">
                  <c:v>37.5809</c:v>
                </c:pt>
                <c:pt idx="30">
                  <c:v>37.8523</c:v>
                </c:pt>
                <c:pt idx="31">
                  <c:v>38.198799999999999</c:v>
                </c:pt>
                <c:pt idx="32">
                  <c:v>38.523400000000002</c:v>
                </c:pt>
                <c:pt idx="33">
                  <c:v>38.786500000000004</c:v>
                </c:pt>
                <c:pt idx="34">
                  <c:v>39.003399999999999</c:v>
                </c:pt>
                <c:pt idx="35">
                  <c:v>39.286700000000003</c:v>
                </c:pt>
                <c:pt idx="36">
                  <c:v>39.516600000000004</c:v>
                </c:pt>
                <c:pt idx="37">
                  <c:v>39.743400000000001</c:v>
                </c:pt>
                <c:pt idx="38">
                  <c:v>39.929199999999994</c:v>
                </c:pt>
                <c:pt idx="39">
                  <c:v>40.125300000000003</c:v>
                </c:pt>
                <c:pt idx="40">
                  <c:v>40.258899999999997</c:v>
                </c:pt>
                <c:pt idx="41">
                  <c:v>40.369500000000002</c:v>
                </c:pt>
                <c:pt idx="42">
                  <c:v>40.483200000000004</c:v>
                </c:pt>
                <c:pt idx="43">
                  <c:v>40.576099999999997</c:v>
                </c:pt>
                <c:pt idx="44">
                  <c:v>40.565200000000004</c:v>
                </c:pt>
                <c:pt idx="45">
                  <c:v>40.427999999999997</c:v>
                </c:pt>
                <c:pt idx="46">
                  <c:v>40.215699999999998</c:v>
                </c:pt>
                <c:pt idx="47">
                  <c:v>39.9544</c:v>
                </c:pt>
                <c:pt idx="48">
                  <c:v>39.637599999999999</c:v>
                </c:pt>
                <c:pt idx="49">
                  <c:v>39.271299999999997</c:v>
                </c:pt>
                <c:pt idx="50">
                  <c:v>39.0364</c:v>
                </c:pt>
                <c:pt idx="51">
                  <c:v>38.929299999999998</c:v>
                </c:pt>
                <c:pt idx="52">
                  <c:v>38.839700000000001</c:v>
                </c:pt>
                <c:pt idx="53">
                  <c:v>38.753100000000003</c:v>
                </c:pt>
                <c:pt idx="54">
                  <c:v>38.645299999999999</c:v>
                </c:pt>
                <c:pt idx="55">
                  <c:v>38.4998</c:v>
                </c:pt>
                <c:pt idx="56">
                  <c:v>38.3339</c:v>
                </c:pt>
                <c:pt idx="57">
                  <c:v>38.174400000000006</c:v>
                </c:pt>
                <c:pt idx="58">
                  <c:v>37.9985</c:v>
                </c:pt>
                <c:pt idx="59">
                  <c:v>37.774299999999997</c:v>
                </c:pt>
                <c:pt idx="60">
                  <c:v>37.533000000000001</c:v>
                </c:pt>
                <c:pt idx="61">
                  <c:v>37.319200000000002</c:v>
                </c:pt>
                <c:pt idx="62">
                  <c:v>37.0456</c:v>
                </c:pt>
                <c:pt idx="63">
                  <c:v>36.727600000000002</c:v>
                </c:pt>
                <c:pt idx="64">
                  <c:v>36.399300000000004</c:v>
                </c:pt>
                <c:pt idx="65">
                  <c:v>36.109200000000001</c:v>
                </c:pt>
                <c:pt idx="66">
                  <c:v>35.788499999999999</c:v>
                </c:pt>
                <c:pt idx="67">
                  <c:v>35.493000000000002</c:v>
                </c:pt>
                <c:pt idx="68">
                  <c:v>35.221699999999998</c:v>
                </c:pt>
                <c:pt idx="69">
                  <c:v>35.020299999999999</c:v>
                </c:pt>
                <c:pt idx="70">
                  <c:v>34.765499999999996</c:v>
                </c:pt>
                <c:pt idx="71">
                  <c:v>34.658099999999997</c:v>
                </c:pt>
                <c:pt idx="72">
                  <c:v>34.561</c:v>
                </c:pt>
                <c:pt idx="73">
                  <c:v>34.234400000000001</c:v>
                </c:pt>
                <c:pt idx="74">
                  <c:v>33.890500000000003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3.7477591891891904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42.099675675675677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4.2732467567567571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37.36415540540542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4.2732467567567571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37.36415540540542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0.18713180122417825</c:v>
                </c:pt>
                <c:pt idx="1">
                  <c:v>0.33379965750938229</c:v>
                </c:pt>
                <c:pt idx="2">
                  <c:v>0.47906854126643944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  <c:pt idx="75">
                  <c:v>30.449200000000001</c:v>
                </c:pt>
                <c:pt idx="76">
                  <c:v>30.853899999999999</c:v>
                </c:pt>
                <c:pt idx="77">
                  <c:v>31.260200000000001</c:v>
                </c:pt>
                <c:pt idx="78">
                  <c:v>31.6646</c:v>
                </c:pt>
                <c:pt idx="79">
                  <c:v>32.075400000000002</c:v>
                </c:pt>
                <c:pt idx="80">
                  <c:v>32.479199999999999</c:v>
                </c:pt>
                <c:pt idx="81">
                  <c:v>32.883899999999997</c:v>
                </c:pt>
                <c:pt idx="82">
                  <c:v>33.291600000000003</c:v>
                </c:pt>
                <c:pt idx="83">
                  <c:v>33.697899999999997</c:v>
                </c:pt>
                <c:pt idx="84">
                  <c:v>34.107500000000002</c:v>
                </c:pt>
                <c:pt idx="85">
                  <c:v>34.514099999999999</c:v>
                </c:pt>
                <c:pt idx="86">
                  <c:v>34.917000000000002</c:v>
                </c:pt>
                <c:pt idx="87">
                  <c:v>35.321800000000003</c:v>
                </c:pt>
                <c:pt idx="88">
                  <c:v>35.731099999999998</c:v>
                </c:pt>
                <c:pt idx="89">
                  <c:v>36.139899999999997</c:v>
                </c:pt>
                <c:pt idx="90">
                  <c:v>36.545099999999998</c:v>
                </c:pt>
                <c:pt idx="91">
                  <c:v>36.952399999999997</c:v>
                </c:pt>
                <c:pt idx="92">
                  <c:v>37.353200000000001</c:v>
                </c:pt>
                <c:pt idx="93">
                  <c:v>37.760100000000001</c:v>
                </c:pt>
                <c:pt idx="94">
                  <c:v>38.1676</c:v>
                </c:pt>
                <c:pt idx="95">
                  <c:v>38.575499999999998</c:v>
                </c:pt>
                <c:pt idx="96">
                  <c:v>38.979399999999998</c:v>
                </c:pt>
                <c:pt idx="97">
                  <c:v>39.384099999999997</c:v>
                </c:pt>
                <c:pt idx="98">
                  <c:v>39.791699999999999</c:v>
                </c:pt>
                <c:pt idx="99">
                  <c:v>40.200499999999998</c:v>
                </c:pt>
                <c:pt idx="100">
                  <c:v>40.606699999999996</c:v>
                </c:pt>
                <c:pt idx="101">
                  <c:v>41.011499999999998</c:v>
                </c:pt>
                <c:pt idx="102">
                  <c:v>41.416800000000002</c:v>
                </c:pt>
                <c:pt idx="103">
                  <c:v>41.822600000000001</c:v>
                </c:pt>
                <c:pt idx="104">
                  <c:v>42.231099999999998</c:v>
                </c:pt>
                <c:pt idx="105">
                  <c:v>42.640300000000003</c:v>
                </c:pt>
                <c:pt idx="106">
                  <c:v>43.042400000000001</c:v>
                </c:pt>
                <c:pt idx="107">
                  <c:v>43.445500000000003</c:v>
                </c:pt>
                <c:pt idx="108">
                  <c:v>43.852200000000003</c:v>
                </c:pt>
                <c:pt idx="109">
                  <c:v>44.264200000000002</c:v>
                </c:pt>
                <c:pt idx="110">
                  <c:v>44.6661</c:v>
                </c:pt>
                <c:pt idx="111">
                  <c:v>45.074300000000001</c:v>
                </c:pt>
                <c:pt idx="112">
                  <c:v>45.478099999999998</c:v>
                </c:pt>
                <c:pt idx="113">
                  <c:v>45.887999999999998</c:v>
                </c:pt>
                <c:pt idx="114">
                  <c:v>46.2941</c:v>
                </c:pt>
                <c:pt idx="115">
                  <c:v>46.700499999999998</c:v>
                </c:pt>
                <c:pt idx="116">
                  <c:v>47.1051</c:v>
                </c:pt>
                <c:pt idx="117">
                  <c:v>47.512500000000003</c:v>
                </c:pt>
                <c:pt idx="118">
                  <c:v>47.915700000000001</c:v>
                </c:pt>
                <c:pt idx="119">
                  <c:v>48.325800000000001</c:v>
                </c:pt>
                <c:pt idx="120">
                  <c:v>48.728400000000001</c:v>
                </c:pt>
                <c:pt idx="121">
                  <c:v>49.136299999999999</c:v>
                </c:pt>
                <c:pt idx="122">
                  <c:v>49.5396</c:v>
                </c:pt>
                <c:pt idx="123">
                  <c:v>49.946199999999997</c:v>
                </c:pt>
                <c:pt idx="124">
                  <c:v>50.354799999999997</c:v>
                </c:pt>
                <c:pt idx="125">
                  <c:v>50.759700000000002</c:v>
                </c:pt>
                <c:pt idx="126">
                  <c:v>51.167499999999997</c:v>
                </c:pt>
                <c:pt idx="127">
                  <c:v>51.573099999999997</c:v>
                </c:pt>
                <c:pt idx="128">
                  <c:v>51.985399999999998</c:v>
                </c:pt>
                <c:pt idx="129">
                  <c:v>52.387300000000003</c:v>
                </c:pt>
                <c:pt idx="130">
                  <c:v>52.790199999999999</c:v>
                </c:pt>
                <c:pt idx="131">
                  <c:v>53.198</c:v>
                </c:pt>
                <c:pt idx="132">
                  <c:v>53.607999999999997</c:v>
                </c:pt>
                <c:pt idx="133">
                  <c:v>54.012300000000003</c:v>
                </c:pt>
                <c:pt idx="134">
                  <c:v>54.418300000000002</c:v>
                </c:pt>
                <c:pt idx="135">
                  <c:v>54.8215</c:v>
                </c:pt>
                <c:pt idx="136">
                  <c:v>55.229799999999997</c:v>
                </c:pt>
                <c:pt idx="137">
                  <c:v>55.6372</c:v>
                </c:pt>
                <c:pt idx="138">
                  <c:v>56.043399999999998</c:v>
                </c:pt>
                <c:pt idx="139">
                  <c:v>56.447699999999998</c:v>
                </c:pt>
                <c:pt idx="140">
                  <c:v>56.854300000000002</c:v>
                </c:pt>
                <c:pt idx="141">
                  <c:v>57.259799999999998</c:v>
                </c:pt>
                <c:pt idx="142">
                  <c:v>57.674399999999999</c:v>
                </c:pt>
                <c:pt idx="143">
                  <c:v>58.076799999999999</c:v>
                </c:pt>
                <c:pt idx="144">
                  <c:v>58.487400000000001</c:v>
                </c:pt>
                <c:pt idx="145">
                  <c:v>58.885399999999997</c:v>
                </c:pt>
                <c:pt idx="146">
                  <c:v>59.2898</c:v>
                </c:pt>
                <c:pt idx="147">
                  <c:v>59.697499999999998</c:v>
                </c:pt>
                <c:pt idx="148">
                  <c:v>60.103299999999997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  <c:pt idx="75">
                  <c:v>4.5897800000000002</c:v>
                </c:pt>
                <c:pt idx="76">
                  <c:v>4.61015</c:v>
                </c:pt>
                <c:pt idx="77">
                  <c:v>4.6278799999999993</c:v>
                </c:pt>
                <c:pt idx="78">
                  <c:v>4.6434800000000003</c:v>
                </c:pt>
                <c:pt idx="79">
                  <c:v>4.65754</c:v>
                </c:pt>
                <c:pt idx="80">
                  <c:v>4.6688200000000002</c:v>
                </c:pt>
                <c:pt idx="81">
                  <c:v>4.6766999999999994</c:v>
                </c:pt>
                <c:pt idx="82">
                  <c:v>4.6812399999999998</c:v>
                </c:pt>
                <c:pt idx="83">
                  <c:v>4.6804800000000002</c:v>
                </c:pt>
                <c:pt idx="84">
                  <c:v>4.6765099999999995</c:v>
                </c:pt>
                <c:pt idx="85">
                  <c:v>4.6655600000000002</c:v>
                </c:pt>
                <c:pt idx="86">
                  <c:v>4.6530300000000002</c:v>
                </c:pt>
                <c:pt idx="87">
                  <c:v>4.6411300000000004</c:v>
                </c:pt>
                <c:pt idx="88">
                  <c:v>4.6303599999999996</c:v>
                </c:pt>
                <c:pt idx="89">
                  <c:v>4.6232299999999995</c:v>
                </c:pt>
                <c:pt idx="90">
                  <c:v>4.6163500000000006</c:v>
                </c:pt>
                <c:pt idx="91">
                  <c:v>4.6073500000000003</c:v>
                </c:pt>
                <c:pt idx="92">
                  <c:v>4.5960900000000002</c:v>
                </c:pt>
                <c:pt idx="93">
                  <c:v>4.58406</c:v>
                </c:pt>
                <c:pt idx="94">
                  <c:v>4.5694900000000001</c:v>
                </c:pt>
                <c:pt idx="95">
                  <c:v>4.5522499999999999</c:v>
                </c:pt>
                <c:pt idx="96">
                  <c:v>4.5333899999999998</c:v>
                </c:pt>
                <c:pt idx="97">
                  <c:v>4.5107699999999999</c:v>
                </c:pt>
                <c:pt idx="98">
                  <c:v>4.4843299999999999</c:v>
                </c:pt>
                <c:pt idx="99">
                  <c:v>4.4524900000000001</c:v>
                </c:pt>
                <c:pt idx="100">
                  <c:v>4.4192900000000002</c:v>
                </c:pt>
                <c:pt idx="101">
                  <c:v>4.3850299999999995</c:v>
                </c:pt>
                <c:pt idx="102">
                  <c:v>4.3520300000000001</c:v>
                </c:pt>
                <c:pt idx="103">
                  <c:v>4.3245000000000005</c:v>
                </c:pt>
                <c:pt idx="104">
                  <c:v>4.2962699999999998</c:v>
                </c:pt>
                <c:pt idx="105">
                  <c:v>4.2672100000000004</c:v>
                </c:pt>
                <c:pt idx="106">
                  <c:v>4.2413499999999997</c:v>
                </c:pt>
                <c:pt idx="107">
                  <c:v>4.2173999999999996</c:v>
                </c:pt>
                <c:pt idx="108">
                  <c:v>4.1913</c:v>
                </c:pt>
                <c:pt idx="109">
                  <c:v>4.1655499999999996</c:v>
                </c:pt>
                <c:pt idx="110">
                  <c:v>4.1426099999999995</c:v>
                </c:pt>
                <c:pt idx="111">
                  <c:v>4.1214399999999998</c:v>
                </c:pt>
                <c:pt idx="112">
                  <c:v>4.1018100000000004</c:v>
                </c:pt>
                <c:pt idx="113">
                  <c:v>4.0837400000000006</c:v>
                </c:pt>
                <c:pt idx="114">
                  <c:v>4.0675400000000002</c:v>
                </c:pt>
                <c:pt idx="115">
                  <c:v>4.0508100000000002</c:v>
                </c:pt>
                <c:pt idx="116">
                  <c:v>4.0322300000000002</c:v>
                </c:pt>
                <c:pt idx="117">
                  <c:v>4.0139100000000001</c:v>
                </c:pt>
                <c:pt idx="118">
                  <c:v>4.0003700000000002</c:v>
                </c:pt>
                <c:pt idx="119">
                  <c:v>3.9924500000000003</c:v>
                </c:pt>
                <c:pt idx="120">
                  <c:v>3.9865200000000001</c:v>
                </c:pt>
                <c:pt idx="121">
                  <c:v>3.9836200000000002</c:v>
                </c:pt>
                <c:pt idx="122">
                  <c:v>3.98421</c:v>
                </c:pt>
                <c:pt idx="123">
                  <c:v>3.9889599999999996</c:v>
                </c:pt>
                <c:pt idx="124">
                  <c:v>3.9934500000000002</c:v>
                </c:pt>
                <c:pt idx="125">
                  <c:v>3.9972999999999996</c:v>
                </c:pt>
                <c:pt idx="126">
                  <c:v>4.00204</c:v>
                </c:pt>
                <c:pt idx="127">
                  <c:v>4.0066299999999995</c:v>
                </c:pt>
                <c:pt idx="128">
                  <c:v>4.0079399999999996</c:v>
                </c:pt>
                <c:pt idx="129">
                  <c:v>4.0069100000000004</c:v>
                </c:pt>
                <c:pt idx="130">
                  <c:v>4.0048399999999997</c:v>
                </c:pt>
                <c:pt idx="131">
                  <c:v>4.00122</c:v>
                </c:pt>
                <c:pt idx="132">
                  <c:v>3.9977</c:v>
                </c:pt>
                <c:pt idx="133">
                  <c:v>3.9999899999999999</c:v>
                </c:pt>
                <c:pt idx="134">
                  <c:v>4.00793</c:v>
                </c:pt>
                <c:pt idx="135">
                  <c:v>4.0183799999999996</c:v>
                </c:pt>
                <c:pt idx="136">
                  <c:v>4.0293400000000004</c:v>
                </c:pt>
                <c:pt idx="137">
                  <c:v>4.0411599999999996</c:v>
                </c:pt>
                <c:pt idx="138">
                  <c:v>4.0506199999999994</c:v>
                </c:pt>
                <c:pt idx="139">
                  <c:v>4.0542699999999998</c:v>
                </c:pt>
                <c:pt idx="140">
                  <c:v>4.06135</c:v>
                </c:pt>
                <c:pt idx="141">
                  <c:v>4.0730899999999997</c:v>
                </c:pt>
                <c:pt idx="142">
                  <c:v>4.0869</c:v>
                </c:pt>
                <c:pt idx="143">
                  <c:v>4.0998299999999999</c:v>
                </c:pt>
                <c:pt idx="144">
                  <c:v>4.1125800000000003</c:v>
                </c:pt>
                <c:pt idx="145">
                  <c:v>4.11707</c:v>
                </c:pt>
                <c:pt idx="146">
                  <c:v>4.1176300000000001</c:v>
                </c:pt>
                <c:pt idx="147">
                  <c:v>4.1215200000000003</c:v>
                </c:pt>
                <c:pt idx="148">
                  <c:v>4.1097599999999996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30.013400000000001</c:v>
                </c:pt>
                <c:pt idx="1">
                  <c:v>30.449200000000001</c:v>
                </c:pt>
                <c:pt idx="2">
                  <c:v>30.853899999999999</c:v>
                </c:pt>
                <c:pt idx="3">
                  <c:v>31.260200000000001</c:v>
                </c:pt>
                <c:pt idx="4">
                  <c:v>31.6646</c:v>
                </c:pt>
                <c:pt idx="5">
                  <c:v>32.075400000000002</c:v>
                </c:pt>
                <c:pt idx="6">
                  <c:v>32.479199999999999</c:v>
                </c:pt>
                <c:pt idx="7">
                  <c:v>32.883899999999997</c:v>
                </c:pt>
                <c:pt idx="8">
                  <c:v>33.291600000000003</c:v>
                </c:pt>
                <c:pt idx="9">
                  <c:v>33.697899999999997</c:v>
                </c:pt>
                <c:pt idx="10">
                  <c:v>34.107500000000002</c:v>
                </c:pt>
                <c:pt idx="11">
                  <c:v>34.514099999999999</c:v>
                </c:pt>
                <c:pt idx="12">
                  <c:v>34.917000000000002</c:v>
                </c:pt>
                <c:pt idx="13">
                  <c:v>35.321800000000003</c:v>
                </c:pt>
                <c:pt idx="14">
                  <c:v>35.731099999999998</c:v>
                </c:pt>
                <c:pt idx="15">
                  <c:v>36.139899999999997</c:v>
                </c:pt>
                <c:pt idx="16">
                  <c:v>36.545099999999998</c:v>
                </c:pt>
                <c:pt idx="17">
                  <c:v>36.952399999999997</c:v>
                </c:pt>
                <c:pt idx="18">
                  <c:v>37.353200000000001</c:v>
                </c:pt>
                <c:pt idx="19">
                  <c:v>37.760100000000001</c:v>
                </c:pt>
                <c:pt idx="20">
                  <c:v>38.1676</c:v>
                </c:pt>
                <c:pt idx="21">
                  <c:v>38.575499999999998</c:v>
                </c:pt>
                <c:pt idx="22">
                  <c:v>38.979399999999998</c:v>
                </c:pt>
                <c:pt idx="23">
                  <c:v>39.384099999999997</c:v>
                </c:pt>
                <c:pt idx="24">
                  <c:v>39.791699999999999</c:v>
                </c:pt>
                <c:pt idx="25">
                  <c:v>40.200499999999998</c:v>
                </c:pt>
                <c:pt idx="26">
                  <c:v>40.606699999999996</c:v>
                </c:pt>
                <c:pt idx="27">
                  <c:v>41.011499999999998</c:v>
                </c:pt>
                <c:pt idx="28">
                  <c:v>41.416800000000002</c:v>
                </c:pt>
                <c:pt idx="29">
                  <c:v>41.822600000000001</c:v>
                </c:pt>
                <c:pt idx="30">
                  <c:v>42.231099999999998</c:v>
                </c:pt>
                <c:pt idx="31">
                  <c:v>42.640300000000003</c:v>
                </c:pt>
                <c:pt idx="32">
                  <c:v>43.042400000000001</c:v>
                </c:pt>
                <c:pt idx="33">
                  <c:v>43.445500000000003</c:v>
                </c:pt>
                <c:pt idx="34">
                  <c:v>43.852200000000003</c:v>
                </c:pt>
                <c:pt idx="35">
                  <c:v>44.264200000000002</c:v>
                </c:pt>
                <c:pt idx="36">
                  <c:v>44.6661</c:v>
                </c:pt>
                <c:pt idx="37">
                  <c:v>45.074300000000001</c:v>
                </c:pt>
                <c:pt idx="38">
                  <c:v>45.478099999999998</c:v>
                </c:pt>
                <c:pt idx="39">
                  <c:v>45.887999999999998</c:v>
                </c:pt>
                <c:pt idx="40">
                  <c:v>46.2941</c:v>
                </c:pt>
                <c:pt idx="41">
                  <c:v>46.700499999999998</c:v>
                </c:pt>
                <c:pt idx="42">
                  <c:v>47.1051</c:v>
                </c:pt>
                <c:pt idx="43">
                  <c:v>47.512500000000003</c:v>
                </c:pt>
                <c:pt idx="44">
                  <c:v>47.915700000000001</c:v>
                </c:pt>
                <c:pt idx="45">
                  <c:v>48.325800000000001</c:v>
                </c:pt>
                <c:pt idx="46">
                  <c:v>48.728400000000001</c:v>
                </c:pt>
                <c:pt idx="47">
                  <c:v>49.136299999999999</c:v>
                </c:pt>
                <c:pt idx="48">
                  <c:v>49.5396</c:v>
                </c:pt>
                <c:pt idx="49">
                  <c:v>49.946199999999997</c:v>
                </c:pt>
                <c:pt idx="50">
                  <c:v>50.354799999999997</c:v>
                </c:pt>
                <c:pt idx="51">
                  <c:v>50.759700000000002</c:v>
                </c:pt>
                <c:pt idx="52">
                  <c:v>51.167499999999997</c:v>
                </c:pt>
                <c:pt idx="53">
                  <c:v>51.573099999999997</c:v>
                </c:pt>
                <c:pt idx="54">
                  <c:v>51.985399999999998</c:v>
                </c:pt>
                <c:pt idx="55">
                  <c:v>52.387300000000003</c:v>
                </c:pt>
                <c:pt idx="56">
                  <c:v>52.790199999999999</c:v>
                </c:pt>
                <c:pt idx="57">
                  <c:v>53.198</c:v>
                </c:pt>
                <c:pt idx="58">
                  <c:v>53.607999999999997</c:v>
                </c:pt>
                <c:pt idx="59">
                  <c:v>54.012300000000003</c:v>
                </c:pt>
                <c:pt idx="60">
                  <c:v>54.418300000000002</c:v>
                </c:pt>
                <c:pt idx="61">
                  <c:v>54.8215</c:v>
                </c:pt>
                <c:pt idx="62">
                  <c:v>55.229799999999997</c:v>
                </c:pt>
                <c:pt idx="63">
                  <c:v>55.6372</c:v>
                </c:pt>
                <c:pt idx="64">
                  <c:v>56.043399999999998</c:v>
                </c:pt>
                <c:pt idx="65">
                  <c:v>56.447699999999998</c:v>
                </c:pt>
                <c:pt idx="66">
                  <c:v>56.854300000000002</c:v>
                </c:pt>
                <c:pt idx="67">
                  <c:v>57.259799999999998</c:v>
                </c:pt>
                <c:pt idx="68">
                  <c:v>57.674399999999999</c:v>
                </c:pt>
                <c:pt idx="69">
                  <c:v>58.076799999999999</c:v>
                </c:pt>
                <c:pt idx="70">
                  <c:v>58.487400000000001</c:v>
                </c:pt>
                <c:pt idx="71">
                  <c:v>58.885399999999997</c:v>
                </c:pt>
                <c:pt idx="72">
                  <c:v>59.2898</c:v>
                </c:pt>
                <c:pt idx="73">
                  <c:v>59.697499999999998</c:v>
                </c:pt>
                <c:pt idx="74">
                  <c:v>60.103299999999997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4.5679599999999994</c:v>
                </c:pt>
                <c:pt idx="1">
                  <c:v>4.5897800000000002</c:v>
                </c:pt>
                <c:pt idx="2">
                  <c:v>4.61015</c:v>
                </c:pt>
                <c:pt idx="3">
                  <c:v>4.6278799999999993</c:v>
                </c:pt>
                <c:pt idx="4">
                  <c:v>4.6434800000000003</c:v>
                </c:pt>
                <c:pt idx="5">
                  <c:v>4.65754</c:v>
                </c:pt>
                <c:pt idx="6">
                  <c:v>4.6688200000000002</c:v>
                </c:pt>
                <c:pt idx="7">
                  <c:v>4.6766999999999994</c:v>
                </c:pt>
                <c:pt idx="8">
                  <c:v>4.6812399999999998</c:v>
                </c:pt>
                <c:pt idx="9">
                  <c:v>4.6804800000000002</c:v>
                </c:pt>
                <c:pt idx="10">
                  <c:v>4.6765099999999995</c:v>
                </c:pt>
                <c:pt idx="11">
                  <c:v>4.6655600000000002</c:v>
                </c:pt>
                <c:pt idx="12">
                  <c:v>4.6530300000000002</c:v>
                </c:pt>
                <c:pt idx="13">
                  <c:v>4.6411300000000004</c:v>
                </c:pt>
                <c:pt idx="14">
                  <c:v>4.6303599999999996</c:v>
                </c:pt>
                <c:pt idx="15">
                  <c:v>4.6232299999999995</c:v>
                </c:pt>
                <c:pt idx="16">
                  <c:v>4.6163500000000006</c:v>
                </c:pt>
                <c:pt idx="17">
                  <c:v>4.6073500000000003</c:v>
                </c:pt>
                <c:pt idx="18">
                  <c:v>4.5960900000000002</c:v>
                </c:pt>
                <c:pt idx="19">
                  <c:v>4.58406</c:v>
                </c:pt>
                <c:pt idx="20">
                  <c:v>4.5694900000000001</c:v>
                </c:pt>
                <c:pt idx="21">
                  <c:v>4.5522499999999999</c:v>
                </c:pt>
                <c:pt idx="22">
                  <c:v>4.5333899999999998</c:v>
                </c:pt>
                <c:pt idx="23">
                  <c:v>4.5107699999999999</c:v>
                </c:pt>
                <c:pt idx="24">
                  <c:v>4.4843299999999999</c:v>
                </c:pt>
                <c:pt idx="25">
                  <c:v>4.4524900000000001</c:v>
                </c:pt>
                <c:pt idx="26">
                  <c:v>4.4192900000000002</c:v>
                </c:pt>
                <c:pt idx="27">
                  <c:v>4.3850299999999995</c:v>
                </c:pt>
                <c:pt idx="28">
                  <c:v>4.3520300000000001</c:v>
                </c:pt>
                <c:pt idx="29">
                  <c:v>4.3245000000000005</c:v>
                </c:pt>
                <c:pt idx="30">
                  <c:v>4.2962699999999998</c:v>
                </c:pt>
                <c:pt idx="31">
                  <c:v>4.2672100000000004</c:v>
                </c:pt>
                <c:pt idx="32">
                  <c:v>4.2413499999999997</c:v>
                </c:pt>
                <c:pt idx="33">
                  <c:v>4.2173999999999996</c:v>
                </c:pt>
                <c:pt idx="34">
                  <c:v>4.1913</c:v>
                </c:pt>
                <c:pt idx="35">
                  <c:v>4.1655499999999996</c:v>
                </c:pt>
                <c:pt idx="36">
                  <c:v>4.1426099999999995</c:v>
                </c:pt>
                <c:pt idx="37">
                  <c:v>4.1214399999999998</c:v>
                </c:pt>
                <c:pt idx="38">
                  <c:v>4.1018100000000004</c:v>
                </c:pt>
                <c:pt idx="39">
                  <c:v>4.0837400000000006</c:v>
                </c:pt>
                <c:pt idx="40">
                  <c:v>4.0675400000000002</c:v>
                </c:pt>
                <c:pt idx="41">
                  <c:v>4.0508100000000002</c:v>
                </c:pt>
                <c:pt idx="42">
                  <c:v>4.0322300000000002</c:v>
                </c:pt>
                <c:pt idx="43">
                  <c:v>4.0139100000000001</c:v>
                </c:pt>
                <c:pt idx="44">
                  <c:v>4.0003700000000002</c:v>
                </c:pt>
                <c:pt idx="45">
                  <c:v>3.9924500000000003</c:v>
                </c:pt>
                <c:pt idx="46">
                  <c:v>3.9865200000000001</c:v>
                </c:pt>
                <c:pt idx="47">
                  <c:v>3.9836200000000002</c:v>
                </c:pt>
                <c:pt idx="48">
                  <c:v>3.98421</c:v>
                </c:pt>
                <c:pt idx="49">
                  <c:v>3.9889599999999996</c:v>
                </c:pt>
                <c:pt idx="50">
                  <c:v>3.9934500000000002</c:v>
                </c:pt>
                <c:pt idx="51">
                  <c:v>3.9972999999999996</c:v>
                </c:pt>
                <c:pt idx="52">
                  <c:v>4.00204</c:v>
                </c:pt>
                <c:pt idx="53">
                  <c:v>4.0066299999999995</c:v>
                </c:pt>
                <c:pt idx="54">
                  <c:v>4.0079399999999996</c:v>
                </c:pt>
                <c:pt idx="55">
                  <c:v>4.0069100000000004</c:v>
                </c:pt>
                <c:pt idx="56">
                  <c:v>4.0048399999999997</c:v>
                </c:pt>
                <c:pt idx="57">
                  <c:v>4.00122</c:v>
                </c:pt>
                <c:pt idx="58">
                  <c:v>3.9977</c:v>
                </c:pt>
                <c:pt idx="59">
                  <c:v>3.9999899999999999</c:v>
                </c:pt>
                <c:pt idx="60">
                  <c:v>4.00793</c:v>
                </c:pt>
                <c:pt idx="61">
                  <c:v>4.0183799999999996</c:v>
                </c:pt>
                <c:pt idx="62">
                  <c:v>4.0293400000000004</c:v>
                </c:pt>
                <c:pt idx="63">
                  <c:v>4.0411599999999996</c:v>
                </c:pt>
                <c:pt idx="64">
                  <c:v>4.0506199999999994</c:v>
                </c:pt>
                <c:pt idx="65">
                  <c:v>4.0542699999999998</c:v>
                </c:pt>
                <c:pt idx="66">
                  <c:v>4.06135</c:v>
                </c:pt>
                <c:pt idx="67">
                  <c:v>4.0730899999999997</c:v>
                </c:pt>
                <c:pt idx="68">
                  <c:v>4.0869</c:v>
                </c:pt>
                <c:pt idx="69">
                  <c:v>4.0998299999999999</c:v>
                </c:pt>
                <c:pt idx="70">
                  <c:v>4.1125800000000003</c:v>
                </c:pt>
                <c:pt idx="71">
                  <c:v>4.11707</c:v>
                </c:pt>
                <c:pt idx="72">
                  <c:v>4.1176300000000001</c:v>
                </c:pt>
                <c:pt idx="73">
                  <c:v>4.1215200000000003</c:v>
                </c:pt>
                <c:pt idx="74">
                  <c:v>4.1097599999999996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15.025824999999999</c:v>
                </c:pt>
                <c:pt idx="1">
                  <c:v>45.077475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3.7477591891891904</c:v>
                </c:pt>
                <c:pt idx="1">
                  <c:v>4.2732467567567571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  <c:pt idx="75">
                  <c:v>30.449200000000001</c:v>
                </c:pt>
                <c:pt idx="76">
                  <c:v>30.853899999999999</c:v>
                </c:pt>
                <c:pt idx="77">
                  <c:v>31.260200000000001</c:v>
                </c:pt>
                <c:pt idx="78">
                  <c:v>31.6646</c:v>
                </c:pt>
                <c:pt idx="79">
                  <c:v>32.075400000000002</c:v>
                </c:pt>
                <c:pt idx="80">
                  <c:v>32.479199999999999</c:v>
                </c:pt>
                <c:pt idx="81">
                  <c:v>32.883899999999997</c:v>
                </c:pt>
                <c:pt idx="82">
                  <c:v>33.291600000000003</c:v>
                </c:pt>
                <c:pt idx="83">
                  <c:v>33.697899999999997</c:v>
                </c:pt>
                <c:pt idx="84">
                  <c:v>34.107500000000002</c:v>
                </c:pt>
                <c:pt idx="85">
                  <c:v>34.514099999999999</c:v>
                </c:pt>
                <c:pt idx="86">
                  <c:v>34.917000000000002</c:v>
                </c:pt>
                <c:pt idx="87">
                  <c:v>35.321800000000003</c:v>
                </c:pt>
                <c:pt idx="88">
                  <c:v>35.731099999999998</c:v>
                </c:pt>
                <c:pt idx="89">
                  <c:v>36.139899999999997</c:v>
                </c:pt>
                <c:pt idx="90">
                  <c:v>36.545099999999998</c:v>
                </c:pt>
                <c:pt idx="91">
                  <c:v>36.952399999999997</c:v>
                </c:pt>
                <c:pt idx="92">
                  <c:v>37.353200000000001</c:v>
                </c:pt>
                <c:pt idx="93">
                  <c:v>37.760100000000001</c:v>
                </c:pt>
                <c:pt idx="94">
                  <c:v>38.1676</c:v>
                </c:pt>
                <c:pt idx="95">
                  <c:v>38.575499999999998</c:v>
                </c:pt>
                <c:pt idx="96">
                  <c:v>38.979399999999998</c:v>
                </c:pt>
                <c:pt idx="97">
                  <c:v>39.384099999999997</c:v>
                </c:pt>
                <c:pt idx="98">
                  <c:v>39.791699999999999</c:v>
                </c:pt>
                <c:pt idx="99">
                  <c:v>40.200499999999998</c:v>
                </c:pt>
                <c:pt idx="100">
                  <c:v>40.606699999999996</c:v>
                </c:pt>
                <c:pt idx="101">
                  <c:v>41.011499999999998</c:v>
                </c:pt>
                <c:pt idx="102">
                  <c:v>41.416800000000002</c:v>
                </c:pt>
                <c:pt idx="103">
                  <c:v>41.822600000000001</c:v>
                </c:pt>
                <c:pt idx="104">
                  <c:v>42.231099999999998</c:v>
                </c:pt>
                <c:pt idx="105">
                  <c:v>42.640300000000003</c:v>
                </c:pt>
                <c:pt idx="106">
                  <c:v>43.042400000000001</c:v>
                </c:pt>
                <c:pt idx="107">
                  <c:v>43.445500000000003</c:v>
                </c:pt>
                <c:pt idx="108">
                  <c:v>43.852200000000003</c:v>
                </c:pt>
                <c:pt idx="109">
                  <c:v>44.264200000000002</c:v>
                </c:pt>
                <c:pt idx="110">
                  <c:v>44.6661</c:v>
                </c:pt>
                <c:pt idx="111">
                  <c:v>45.074300000000001</c:v>
                </c:pt>
                <c:pt idx="112">
                  <c:v>45.478099999999998</c:v>
                </c:pt>
                <c:pt idx="113">
                  <c:v>45.887999999999998</c:v>
                </c:pt>
                <c:pt idx="114">
                  <c:v>46.2941</c:v>
                </c:pt>
                <c:pt idx="115">
                  <c:v>46.700499999999998</c:v>
                </c:pt>
                <c:pt idx="116">
                  <c:v>47.1051</c:v>
                </c:pt>
                <c:pt idx="117">
                  <c:v>47.512500000000003</c:v>
                </c:pt>
                <c:pt idx="118">
                  <c:v>47.915700000000001</c:v>
                </c:pt>
                <c:pt idx="119">
                  <c:v>48.325800000000001</c:v>
                </c:pt>
                <c:pt idx="120">
                  <c:v>48.728400000000001</c:v>
                </c:pt>
                <c:pt idx="121">
                  <c:v>49.136299999999999</c:v>
                </c:pt>
                <c:pt idx="122">
                  <c:v>49.5396</c:v>
                </c:pt>
                <c:pt idx="123">
                  <c:v>49.946199999999997</c:v>
                </c:pt>
                <c:pt idx="124">
                  <c:v>50.354799999999997</c:v>
                </c:pt>
                <c:pt idx="125">
                  <c:v>50.759700000000002</c:v>
                </c:pt>
                <c:pt idx="126">
                  <c:v>51.167499999999997</c:v>
                </c:pt>
                <c:pt idx="127">
                  <c:v>51.573099999999997</c:v>
                </c:pt>
                <c:pt idx="128">
                  <c:v>51.985399999999998</c:v>
                </c:pt>
                <c:pt idx="129">
                  <c:v>52.387300000000003</c:v>
                </c:pt>
                <c:pt idx="130">
                  <c:v>52.790199999999999</c:v>
                </c:pt>
                <c:pt idx="131">
                  <c:v>53.198</c:v>
                </c:pt>
                <c:pt idx="132">
                  <c:v>53.607999999999997</c:v>
                </c:pt>
                <c:pt idx="133">
                  <c:v>54.012300000000003</c:v>
                </c:pt>
                <c:pt idx="134">
                  <c:v>54.418300000000002</c:v>
                </c:pt>
                <c:pt idx="135">
                  <c:v>54.8215</c:v>
                </c:pt>
                <c:pt idx="136">
                  <c:v>55.229799999999997</c:v>
                </c:pt>
                <c:pt idx="137">
                  <c:v>55.6372</c:v>
                </c:pt>
                <c:pt idx="138">
                  <c:v>56.043399999999998</c:v>
                </c:pt>
                <c:pt idx="139">
                  <c:v>56.447699999999998</c:v>
                </c:pt>
                <c:pt idx="140">
                  <c:v>56.854300000000002</c:v>
                </c:pt>
                <c:pt idx="141">
                  <c:v>57.259799999999998</c:v>
                </c:pt>
                <c:pt idx="142">
                  <c:v>57.674399999999999</c:v>
                </c:pt>
                <c:pt idx="143">
                  <c:v>58.076799999999999</c:v>
                </c:pt>
                <c:pt idx="144">
                  <c:v>58.487400000000001</c:v>
                </c:pt>
                <c:pt idx="145">
                  <c:v>58.885399999999997</c:v>
                </c:pt>
                <c:pt idx="146">
                  <c:v>59.2898</c:v>
                </c:pt>
                <c:pt idx="147">
                  <c:v>59.697499999999998</c:v>
                </c:pt>
                <c:pt idx="148">
                  <c:v>60.103299999999997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  <c:pt idx="75">
                  <c:v>36.689100000000003</c:v>
                </c:pt>
                <c:pt idx="76">
                  <c:v>36.474800000000002</c:v>
                </c:pt>
                <c:pt idx="77">
                  <c:v>36.240499999999997</c:v>
                </c:pt>
                <c:pt idx="78">
                  <c:v>36.091000000000001</c:v>
                </c:pt>
                <c:pt idx="79">
                  <c:v>35.977699999999999</c:v>
                </c:pt>
                <c:pt idx="80">
                  <c:v>35.893999999999998</c:v>
                </c:pt>
                <c:pt idx="81">
                  <c:v>35.8324</c:v>
                </c:pt>
                <c:pt idx="82">
                  <c:v>35.782199999999996</c:v>
                </c:pt>
                <c:pt idx="83">
                  <c:v>35.768999999999998</c:v>
                </c:pt>
                <c:pt idx="84">
                  <c:v>35.691400000000002</c:v>
                </c:pt>
                <c:pt idx="85">
                  <c:v>35.642600000000002</c:v>
                </c:pt>
                <c:pt idx="86">
                  <c:v>35.618400000000001</c:v>
                </c:pt>
                <c:pt idx="87">
                  <c:v>35.619900000000001</c:v>
                </c:pt>
                <c:pt idx="88">
                  <c:v>35.635600000000004</c:v>
                </c:pt>
                <c:pt idx="89">
                  <c:v>35.683799999999998</c:v>
                </c:pt>
                <c:pt idx="90">
                  <c:v>35.734400000000001</c:v>
                </c:pt>
                <c:pt idx="91">
                  <c:v>35.794699999999999</c:v>
                </c:pt>
                <c:pt idx="92">
                  <c:v>35.889500000000005</c:v>
                </c:pt>
                <c:pt idx="93">
                  <c:v>35.938400000000001</c:v>
                </c:pt>
                <c:pt idx="94">
                  <c:v>35.990400000000001</c:v>
                </c:pt>
                <c:pt idx="95">
                  <c:v>36.127400000000002</c:v>
                </c:pt>
                <c:pt idx="96">
                  <c:v>36.275500000000001</c:v>
                </c:pt>
                <c:pt idx="97">
                  <c:v>36.436600000000006</c:v>
                </c:pt>
                <c:pt idx="98">
                  <c:v>36.619800000000005</c:v>
                </c:pt>
                <c:pt idx="99">
                  <c:v>36.831499999999998</c:v>
                </c:pt>
                <c:pt idx="100">
                  <c:v>37.008299999999998</c:v>
                </c:pt>
                <c:pt idx="101">
                  <c:v>37.196600000000004</c:v>
                </c:pt>
                <c:pt idx="102">
                  <c:v>37.405000000000001</c:v>
                </c:pt>
                <c:pt idx="103">
                  <c:v>37.5809</c:v>
                </c:pt>
                <c:pt idx="104">
                  <c:v>37.8523</c:v>
                </c:pt>
                <c:pt idx="105">
                  <c:v>38.198799999999999</c:v>
                </c:pt>
                <c:pt idx="106">
                  <c:v>38.523400000000002</c:v>
                </c:pt>
                <c:pt idx="107">
                  <c:v>38.786500000000004</c:v>
                </c:pt>
                <c:pt idx="108">
                  <c:v>39.003399999999999</c:v>
                </c:pt>
                <c:pt idx="109">
                  <c:v>39.286700000000003</c:v>
                </c:pt>
                <c:pt idx="110">
                  <c:v>39.516600000000004</c:v>
                </c:pt>
                <c:pt idx="111">
                  <c:v>39.743400000000001</c:v>
                </c:pt>
                <c:pt idx="112">
                  <c:v>39.929199999999994</c:v>
                </c:pt>
                <c:pt idx="113">
                  <c:v>40.125300000000003</c:v>
                </c:pt>
                <c:pt idx="114">
                  <c:v>40.258899999999997</c:v>
                </c:pt>
                <c:pt idx="115">
                  <c:v>40.369500000000002</c:v>
                </c:pt>
                <c:pt idx="116">
                  <c:v>40.483200000000004</c:v>
                </c:pt>
                <c:pt idx="117">
                  <c:v>40.576099999999997</c:v>
                </c:pt>
                <c:pt idx="118">
                  <c:v>40.565200000000004</c:v>
                </c:pt>
                <c:pt idx="119">
                  <c:v>40.427999999999997</c:v>
                </c:pt>
                <c:pt idx="120">
                  <c:v>40.215699999999998</c:v>
                </c:pt>
                <c:pt idx="121">
                  <c:v>39.9544</c:v>
                </c:pt>
                <c:pt idx="122">
                  <c:v>39.637599999999999</c:v>
                </c:pt>
                <c:pt idx="123">
                  <c:v>39.271299999999997</c:v>
                </c:pt>
                <c:pt idx="124">
                  <c:v>39.0364</c:v>
                </c:pt>
                <c:pt idx="125">
                  <c:v>38.929299999999998</c:v>
                </c:pt>
                <c:pt idx="126">
                  <c:v>38.839700000000001</c:v>
                </c:pt>
                <c:pt idx="127">
                  <c:v>38.753100000000003</c:v>
                </c:pt>
                <c:pt idx="128">
                  <c:v>38.645299999999999</c:v>
                </c:pt>
                <c:pt idx="129">
                  <c:v>38.4998</c:v>
                </c:pt>
                <c:pt idx="130">
                  <c:v>38.3339</c:v>
                </c:pt>
                <c:pt idx="131">
                  <c:v>38.174400000000006</c:v>
                </c:pt>
                <c:pt idx="132">
                  <c:v>37.9985</c:v>
                </c:pt>
                <c:pt idx="133">
                  <c:v>37.774299999999997</c:v>
                </c:pt>
                <c:pt idx="134">
                  <c:v>37.533000000000001</c:v>
                </c:pt>
                <c:pt idx="135">
                  <c:v>37.319200000000002</c:v>
                </c:pt>
                <c:pt idx="136">
                  <c:v>37.0456</c:v>
                </c:pt>
                <c:pt idx="137">
                  <c:v>36.727600000000002</c:v>
                </c:pt>
                <c:pt idx="138">
                  <c:v>36.399300000000004</c:v>
                </c:pt>
                <c:pt idx="139">
                  <c:v>36.109200000000001</c:v>
                </c:pt>
                <c:pt idx="140">
                  <c:v>35.788499999999999</c:v>
                </c:pt>
                <c:pt idx="141">
                  <c:v>35.493000000000002</c:v>
                </c:pt>
                <c:pt idx="142">
                  <c:v>35.221699999999998</c:v>
                </c:pt>
                <c:pt idx="143">
                  <c:v>35.020299999999999</c:v>
                </c:pt>
                <c:pt idx="144">
                  <c:v>34.765499999999996</c:v>
                </c:pt>
                <c:pt idx="145">
                  <c:v>34.658099999999997</c:v>
                </c:pt>
                <c:pt idx="146">
                  <c:v>34.561</c:v>
                </c:pt>
                <c:pt idx="147">
                  <c:v>34.234400000000001</c:v>
                </c:pt>
                <c:pt idx="148">
                  <c:v>33.890500000000003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30.013400000000001</c:v>
                </c:pt>
                <c:pt idx="1">
                  <c:v>30.449200000000001</c:v>
                </c:pt>
                <c:pt idx="2">
                  <c:v>30.853899999999999</c:v>
                </c:pt>
                <c:pt idx="3">
                  <c:v>31.260200000000001</c:v>
                </c:pt>
                <c:pt idx="4">
                  <c:v>31.6646</c:v>
                </c:pt>
                <c:pt idx="5">
                  <c:v>32.075400000000002</c:v>
                </c:pt>
                <c:pt idx="6">
                  <c:v>32.479199999999999</c:v>
                </c:pt>
                <c:pt idx="7">
                  <c:v>32.883899999999997</c:v>
                </c:pt>
                <c:pt idx="8">
                  <c:v>33.291600000000003</c:v>
                </c:pt>
                <c:pt idx="9">
                  <c:v>33.697899999999997</c:v>
                </c:pt>
                <c:pt idx="10">
                  <c:v>34.107500000000002</c:v>
                </c:pt>
                <c:pt idx="11">
                  <c:v>34.514099999999999</c:v>
                </c:pt>
                <c:pt idx="12">
                  <c:v>34.917000000000002</c:v>
                </c:pt>
                <c:pt idx="13">
                  <c:v>35.321800000000003</c:v>
                </c:pt>
                <c:pt idx="14">
                  <c:v>35.731099999999998</c:v>
                </c:pt>
                <c:pt idx="15">
                  <c:v>36.139899999999997</c:v>
                </c:pt>
                <c:pt idx="16">
                  <c:v>36.545099999999998</c:v>
                </c:pt>
                <c:pt idx="17">
                  <c:v>36.952399999999997</c:v>
                </c:pt>
                <c:pt idx="18">
                  <c:v>37.353200000000001</c:v>
                </c:pt>
                <c:pt idx="19">
                  <c:v>37.760100000000001</c:v>
                </c:pt>
                <c:pt idx="20">
                  <c:v>38.1676</c:v>
                </c:pt>
                <c:pt idx="21">
                  <c:v>38.575499999999998</c:v>
                </c:pt>
                <c:pt idx="22">
                  <c:v>38.979399999999998</c:v>
                </c:pt>
                <c:pt idx="23">
                  <c:v>39.384099999999997</c:v>
                </c:pt>
                <c:pt idx="24">
                  <c:v>39.791699999999999</c:v>
                </c:pt>
                <c:pt idx="25">
                  <c:v>40.200499999999998</c:v>
                </c:pt>
                <c:pt idx="26">
                  <c:v>40.606699999999996</c:v>
                </c:pt>
                <c:pt idx="27">
                  <c:v>41.011499999999998</c:v>
                </c:pt>
                <c:pt idx="28">
                  <c:v>41.416800000000002</c:v>
                </c:pt>
                <c:pt idx="29">
                  <c:v>41.822600000000001</c:v>
                </c:pt>
                <c:pt idx="30">
                  <c:v>42.231099999999998</c:v>
                </c:pt>
                <c:pt idx="31">
                  <c:v>42.640300000000003</c:v>
                </c:pt>
                <c:pt idx="32">
                  <c:v>43.042400000000001</c:v>
                </c:pt>
                <c:pt idx="33">
                  <c:v>43.445500000000003</c:v>
                </c:pt>
                <c:pt idx="34">
                  <c:v>43.852200000000003</c:v>
                </c:pt>
                <c:pt idx="35">
                  <c:v>44.264200000000002</c:v>
                </c:pt>
                <c:pt idx="36">
                  <c:v>44.6661</c:v>
                </c:pt>
                <c:pt idx="37">
                  <c:v>45.074300000000001</c:v>
                </c:pt>
                <c:pt idx="38">
                  <c:v>45.478099999999998</c:v>
                </c:pt>
                <c:pt idx="39">
                  <c:v>45.887999999999998</c:v>
                </c:pt>
                <c:pt idx="40">
                  <c:v>46.2941</c:v>
                </c:pt>
                <c:pt idx="41">
                  <c:v>46.700499999999998</c:v>
                </c:pt>
                <c:pt idx="42">
                  <c:v>47.1051</c:v>
                </c:pt>
                <c:pt idx="43">
                  <c:v>47.512500000000003</c:v>
                </c:pt>
                <c:pt idx="44">
                  <c:v>47.915700000000001</c:v>
                </c:pt>
                <c:pt idx="45">
                  <c:v>48.325800000000001</c:v>
                </c:pt>
                <c:pt idx="46">
                  <c:v>48.728400000000001</c:v>
                </c:pt>
                <c:pt idx="47">
                  <c:v>49.136299999999999</c:v>
                </c:pt>
                <c:pt idx="48">
                  <c:v>49.5396</c:v>
                </c:pt>
                <c:pt idx="49">
                  <c:v>49.946199999999997</c:v>
                </c:pt>
                <c:pt idx="50">
                  <c:v>50.354799999999997</c:v>
                </c:pt>
                <c:pt idx="51">
                  <c:v>50.759700000000002</c:v>
                </c:pt>
                <c:pt idx="52">
                  <c:v>51.167499999999997</c:v>
                </c:pt>
                <c:pt idx="53">
                  <c:v>51.573099999999997</c:v>
                </c:pt>
                <c:pt idx="54">
                  <c:v>51.985399999999998</c:v>
                </c:pt>
                <c:pt idx="55">
                  <c:v>52.387300000000003</c:v>
                </c:pt>
                <c:pt idx="56">
                  <c:v>52.790199999999999</c:v>
                </c:pt>
                <c:pt idx="57">
                  <c:v>53.198</c:v>
                </c:pt>
                <c:pt idx="58">
                  <c:v>53.607999999999997</c:v>
                </c:pt>
                <c:pt idx="59">
                  <c:v>54.012300000000003</c:v>
                </c:pt>
                <c:pt idx="60">
                  <c:v>54.418300000000002</c:v>
                </c:pt>
                <c:pt idx="61">
                  <c:v>54.8215</c:v>
                </c:pt>
                <c:pt idx="62">
                  <c:v>55.229799999999997</c:v>
                </c:pt>
                <c:pt idx="63">
                  <c:v>55.6372</c:v>
                </c:pt>
                <c:pt idx="64">
                  <c:v>56.043399999999998</c:v>
                </c:pt>
                <c:pt idx="65">
                  <c:v>56.447699999999998</c:v>
                </c:pt>
                <c:pt idx="66">
                  <c:v>56.854300000000002</c:v>
                </c:pt>
                <c:pt idx="67">
                  <c:v>57.259799999999998</c:v>
                </c:pt>
                <c:pt idx="68">
                  <c:v>57.674399999999999</c:v>
                </c:pt>
                <c:pt idx="69">
                  <c:v>58.076799999999999</c:v>
                </c:pt>
                <c:pt idx="70">
                  <c:v>58.487400000000001</c:v>
                </c:pt>
                <c:pt idx="71">
                  <c:v>58.885399999999997</c:v>
                </c:pt>
                <c:pt idx="72">
                  <c:v>59.2898</c:v>
                </c:pt>
                <c:pt idx="73">
                  <c:v>59.697499999999998</c:v>
                </c:pt>
                <c:pt idx="74">
                  <c:v>60.103299999999997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36.889499999999998</c:v>
                </c:pt>
                <c:pt idx="1">
                  <c:v>36.689100000000003</c:v>
                </c:pt>
                <c:pt idx="2">
                  <c:v>36.474800000000002</c:v>
                </c:pt>
                <c:pt idx="3">
                  <c:v>36.240499999999997</c:v>
                </c:pt>
                <c:pt idx="4">
                  <c:v>36.091000000000001</c:v>
                </c:pt>
                <c:pt idx="5">
                  <c:v>35.977699999999999</c:v>
                </c:pt>
                <c:pt idx="6">
                  <c:v>35.893999999999998</c:v>
                </c:pt>
                <c:pt idx="7">
                  <c:v>35.8324</c:v>
                </c:pt>
                <c:pt idx="8">
                  <c:v>35.782199999999996</c:v>
                </c:pt>
                <c:pt idx="9">
                  <c:v>35.768999999999998</c:v>
                </c:pt>
                <c:pt idx="10">
                  <c:v>35.691400000000002</c:v>
                </c:pt>
                <c:pt idx="11">
                  <c:v>35.642600000000002</c:v>
                </c:pt>
                <c:pt idx="12">
                  <c:v>35.618400000000001</c:v>
                </c:pt>
                <c:pt idx="13">
                  <c:v>35.619900000000001</c:v>
                </c:pt>
                <c:pt idx="14">
                  <c:v>35.635600000000004</c:v>
                </c:pt>
                <c:pt idx="15">
                  <c:v>35.683799999999998</c:v>
                </c:pt>
                <c:pt idx="16">
                  <c:v>35.734400000000001</c:v>
                </c:pt>
                <c:pt idx="17">
                  <c:v>35.794699999999999</c:v>
                </c:pt>
                <c:pt idx="18">
                  <c:v>35.889500000000005</c:v>
                </c:pt>
                <c:pt idx="19">
                  <c:v>35.938400000000001</c:v>
                </c:pt>
                <c:pt idx="20">
                  <c:v>35.990400000000001</c:v>
                </c:pt>
                <c:pt idx="21">
                  <c:v>36.127400000000002</c:v>
                </c:pt>
                <c:pt idx="22">
                  <c:v>36.275500000000001</c:v>
                </c:pt>
                <c:pt idx="23">
                  <c:v>36.436600000000006</c:v>
                </c:pt>
                <c:pt idx="24">
                  <c:v>36.619800000000005</c:v>
                </c:pt>
                <c:pt idx="25">
                  <c:v>36.831499999999998</c:v>
                </c:pt>
                <c:pt idx="26">
                  <c:v>37.008299999999998</c:v>
                </c:pt>
                <c:pt idx="27">
                  <c:v>37.196600000000004</c:v>
                </c:pt>
                <c:pt idx="28">
                  <c:v>37.405000000000001</c:v>
                </c:pt>
                <c:pt idx="29">
                  <c:v>37.5809</c:v>
                </c:pt>
                <c:pt idx="30">
                  <c:v>37.8523</c:v>
                </c:pt>
                <c:pt idx="31">
                  <c:v>38.198799999999999</c:v>
                </c:pt>
                <c:pt idx="32">
                  <c:v>38.523400000000002</c:v>
                </c:pt>
                <c:pt idx="33">
                  <c:v>38.786500000000004</c:v>
                </c:pt>
                <c:pt idx="34">
                  <c:v>39.003399999999999</c:v>
                </c:pt>
                <c:pt idx="35">
                  <c:v>39.286700000000003</c:v>
                </c:pt>
                <c:pt idx="36">
                  <c:v>39.516600000000004</c:v>
                </c:pt>
                <c:pt idx="37">
                  <c:v>39.743400000000001</c:v>
                </c:pt>
                <c:pt idx="38">
                  <c:v>39.929199999999994</c:v>
                </c:pt>
                <c:pt idx="39">
                  <c:v>40.125300000000003</c:v>
                </c:pt>
                <c:pt idx="40">
                  <c:v>40.258899999999997</c:v>
                </c:pt>
                <c:pt idx="41">
                  <c:v>40.369500000000002</c:v>
                </c:pt>
                <c:pt idx="42">
                  <c:v>40.483200000000004</c:v>
                </c:pt>
                <c:pt idx="43">
                  <c:v>40.576099999999997</c:v>
                </c:pt>
                <c:pt idx="44">
                  <c:v>40.565200000000004</c:v>
                </c:pt>
                <c:pt idx="45">
                  <c:v>40.427999999999997</c:v>
                </c:pt>
                <c:pt idx="46">
                  <c:v>40.215699999999998</c:v>
                </c:pt>
                <c:pt idx="47">
                  <c:v>39.9544</c:v>
                </c:pt>
                <c:pt idx="48">
                  <c:v>39.637599999999999</c:v>
                </c:pt>
                <c:pt idx="49">
                  <c:v>39.271299999999997</c:v>
                </c:pt>
                <c:pt idx="50">
                  <c:v>39.0364</c:v>
                </c:pt>
                <c:pt idx="51">
                  <c:v>38.929299999999998</c:v>
                </c:pt>
                <c:pt idx="52">
                  <c:v>38.839700000000001</c:v>
                </c:pt>
                <c:pt idx="53">
                  <c:v>38.753100000000003</c:v>
                </c:pt>
                <c:pt idx="54">
                  <c:v>38.645299999999999</c:v>
                </c:pt>
                <c:pt idx="55">
                  <c:v>38.4998</c:v>
                </c:pt>
                <c:pt idx="56">
                  <c:v>38.3339</c:v>
                </c:pt>
                <c:pt idx="57">
                  <c:v>38.174400000000006</c:v>
                </c:pt>
                <c:pt idx="58">
                  <c:v>37.9985</c:v>
                </c:pt>
                <c:pt idx="59">
                  <c:v>37.774299999999997</c:v>
                </c:pt>
                <c:pt idx="60">
                  <c:v>37.533000000000001</c:v>
                </c:pt>
                <c:pt idx="61">
                  <c:v>37.319200000000002</c:v>
                </c:pt>
                <c:pt idx="62">
                  <c:v>37.0456</c:v>
                </c:pt>
                <c:pt idx="63">
                  <c:v>36.727600000000002</c:v>
                </c:pt>
                <c:pt idx="64">
                  <c:v>36.399300000000004</c:v>
                </c:pt>
                <c:pt idx="65">
                  <c:v>36.109200000000001</c:v>
                </c:pt>
                <c:pt idx="66">
                  <c:v>35.788499999999999</c:v>
                </c:pt>
                <c:pt idx="67">
                  <c:v>35.493000000000002</c:v>
                </c:pt>
                <c:pt idx="68">
                  <c:v>35.221699999999998</c:v>
                </c:pt>
                <c:pt idx="69">
                  <c:v>35.020299999999999</c:v>
                </c:pt>
                <c:pt idx="70">
                  <c:v>34.765499999999996</c:v>
                </c:pt>
                <c:pt idx="71">
                  <c:v>34.658099999999997</c:v>
                </c:pt>
                <c:pt idx="72">
                  <c:v>34.561</c:v>
                </c:pt>
                <c:pt idx="73">
                  <c:v>34.234400000000001</c:v>
                </c:pt>
                <c:pt idx="74">
                  <c:v>33.890500000000003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15.025824999999999</c:v>
                </c:pt>
                <c:pt idx="1">
                  <c:v>45.077475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42.099675675675677</c:v>
                </c:pt>
                <c:pt idx="1">
                  <c:v>37.36415540540542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41.768900000000002</c:v>
                </c:pt>
                <c:pt idx="1">
                  <c:v>32.865299999999998</c:v>
                </c:pt>
                <c:pt idx="2">
                  <c:v>23.217300000000002</c:v>
                </c:pt>
                <c:pt idx="3">
                  <c:v>31.9788</c:v>
                </c:pt>
                <c:pt idx="4">
                  <c:v>74.513000000000005</c:v>
                </c:pt>
                <c:pt idx="5">
                  <c:v>77.098699999999994</c:v>
                </c:pt>
                <c:pt idx="6">
                  <c:v>25.612400000000001</c:v>
                </c:pt>
                <c:pt idx="7">
                  <c:v>76.139099999999999</c:v>
                </c:pt>
                <c:pt idx="8">
                  <c:v>20.026599999999998</c:v>
                </c:pt>
                <c:pt idx="9">
                  <c:v>22.2944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47.362499999999997</c:v>
                </c:pt>
                <c:pt idx="1">
                  <c:v>31.263500000000001</c:v>
                </c:pt>
                <c:pt idx="2">
                  <c:v>23.086200000000002</c:v>
                </c:pt>
                <c:pt idx="3">
                  <c:v>33.936500000000002</c:v>
                </c:pt>
                <c:pt idx="4">
                  <c:v>74.701899999999995</c:v>
                </c:pt>
                <c:pt idx="5">
                  <c:v>76.828500000000005</c:v>
                </c:pt>
                <c:pt idx="6">
                  <c:v>31.417100000000001</c:v>
                </c:pt>
                <c:pt idx="7">
                  <c:v>75.181200000000004</c:v>
                </c:pt>
                <c:pt idx="8">
                  <c:v>21.3354</c:v>
                </c:pt>
                <c:pt idx="9">
                  <c:v>38.566699999999997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0.54156471665788519</c:v>
                </c:pt>
                <c:pt idx="1">
                  <c:v>0.2775127154737082</c:v>
                </c:pt>
                <c:pt idx="2">
                  <c:v>0.18092256786840674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2110</c:v>
                </c:pt>
                <c:pt idx="7">
                  <c:v>0</c:v>
                </c:pt>
                <c:pt idx="8">
                  <c:v>2731</c:v>
                </c:pt>
                <c:pt idx="9">
                  <c:v>0</c:v>
                </c:pt>
                <c:pt idx="10">
                  <c:v>0</c:v>
                </c:pt>
                <c:pt idx="11">
                  <c:v>5645</c:v>
                </c:pt>
                <c:pt idx="12">
                  <c:v>0</c:v>
                </c:pt>
                <c:pt idx="13">
                  <c:v>6429</c:v>
                </c:pt>
                <c:pt idx="14">
                  <c:v>0</c:v>
                </c:pt>
                <c:pt idx="15">
                  <c:v>0</c:v>
                </c:pt>
                <c:pt idx="16">
                  <c:v>9799</c:v>
                </c:pt>
                <c:pt idx="17">
                  <c:v>0</c:v>
                </c:pt>
                <c:pt idx="18">
                  <c:v>0</c:v>
                </c:pt>
                <c:pt idx="19">
                  <c:v>15545</c:v>
                </c:pt>
                <c:pt idx="20">
                  <c:v>0</c:v>
                </c:pt>
                <c:pt idx="21">
                  <c:v>23888</c:v>
                </c:pt>
                <c:pt idx="22">
                  <c:v>0</c:v>
                </c:pt>
                <c:pt idx="23">
                  <c:v>0</c:v>
                </c:pt>
                <c:pt idx="24">
                  <c:v>26413</c:v>
                </c:pt>
                <c:pt idx="25">
                  <c:v>0</c:v>
                </c:pt>
                <c:pt idx="26">
                  <c:v>32384</c:v>
                </c:pt>
                <c:pt idx="27">
                  <c:v>0</c:v>
                </c:pt>
                <c:pt idx="28">
                  <c:v>0</c:v>
                </c:pt>
                <c:pt idx="29">
                  <c:v>32366</c:v>
                </c:pt>
                <c:pt idx="30">
                  <c:v>0</c:v>
                </c:pt>
                <c:pt idx="31">
                  <c:v>37114</c:v>
                </c:pt>
                <c:pt idx="32">
                  <c:v>0</c:v>
                </c:pt>
                <c:pt idx="33">
                  <c:v>0</c:v>
                </c:pt>
                <c:pt idx="34">
                  <c:v>34475</c:v>
                </c:pt>
                <c:pt idx="35">
                  <c:v>0</c:v>
                </c:pt>
                <c:pt idx="36">
                  <c:v>0</c:v>
                </c:pt>
                <c:pt idx="37">
                  <c:v>34252</c:v>
                </c:pt>
                <c:pt idx="38">
                  <c:v>0</c:v>
                </c:pt>
                <c:pt idx="39">
                  <c:v>35245</c:v>
                </c:pt>
                <c:pt idx="40">
                  <c:v>0</c:v>
                </c:pt>
                <c:pt idx="41">
                  <c:v>0</c:v>
                </c:pt>
                <c:pt idx="42">
                  <c:v>36880</c:v>
                </c:pt>
                <c:pt idx="43">
                  <c:v>0</c:v>
                </c:pt>
                <c:pt idx="44">
                  <c:v>38648</c:v>
                </c:pt>
                <c:pt idx="45">
                  <c:v>0</c:v>
                </c:pt>
                <c:pt idx="46">
                  <c:v>0</c:v>
                </c:pt>
                <c:pt idx="47">
                  <c:v>42654</c:v>
                </c:pt>
                <c:pt idx="48">
                  <c:v>0</c:v>
                </c:pt>
                <c:pt idx="49">
                  <c:v>46144</c:v>
                </c:pt>
                <c:pt idx="50">
                  <c:v>0</c:v>
                </c:pt>
                <c:pt idx="51">
                  <c:v>0</c:v>
                </c:pt>
                <c:pt idx="52">
                  <c:v>47685</c:v>
                </c:pt>
                <c:pt idx="53">
                  <c:v>0</c:v>
                </c:pt>
                <c:pt idx="54">
                  <c:v>0</c:v>
                </c:pt>
                <c:pt idx="55">
                  <c:v>49826</c:v>
                </c:pt>
                <c:pt idx="56">
                  <c:v>0</c:v>
                </c:pt>
                <c:pt idx="57">
                  <c:v>55298</c:v>
                </c:pt>
                <c:pt idx="58">
                  <c:v>0</c:v>
                </c:pt>
                <c:pt idx="59">
                  <c:v>0</c:v>
                </c:pt>
                <c:pt idx="60">
                  <c:v>57333</c:v>
                </c:pt>
                <c:pt idx="61">
                  <c:v>0</c:v>
                </c:pt>
                <c:pt idx="62">
                  <c:v>57034</c:v>
                </c:pt>
                <c:pt idx="63">
                  <c:v>0</c:v>
                </c:pt>
                <c:pt idx="64">
                  <c:v>0</c:v>
                </c:pt>
                <c:pt idx="65">
                  <c:v>58593</c:v>
                </c:pt>
                <c:pt idx="66">
                  <c:v>0</c:v>
                </c:pt>
                <c:pt idx="67">
                  <c:v>62317</c:v>
                </c:pt>
                <c:pt idx="68">
                  <c:v>0</c:v>
                </c:pt>
                <c:pt idx="69">
                  <c:v>0</c:v>
                </c:pt>
                <c:pt idx="70">
                  <c:v>60470</c:v>
                </c:pt>
                <c:pt idx="71">
                  <c:v>0</c:v>
                </c:pt>
                <c:pt idx="72">
                  <c:v>0</c:v>
                </c:pt>
                <c:pt idx="73">
                  <c:v>65803</c:v>
                </c:pt>
                <c:pt idx="74">
                  <c:v>0</c:v>
                </c:pt>
                <c:pt idx="75">
                  <c:v>65489</c:v>
                </c:pt>
                <c:pt idx="76">
                  <c:v>0</c:v>
                </c:pt>
                <c:pt idx="77">
                  <c:v>0</c:v>
                </c:pt>
                <c:pt idx="78">
                  <c:v>67770</c:v>
                </c:pt>
                <c:pt idx="79">
                  <c:v>0</c:v>
                </c:pt>
                <c:pt idx="80">
                  <c:v>66360</c:v>
                </c:pt>
                <c:pt idx="81">
                  <c:v>0</c:v>
                </c:pt>
                <c:pt idx="82">
                  <c:v>0</c:v>
                </c:pt>
                <c:pt idx="83">
                  <c:v>71526</c:v>
                </c:pt>
                <c:pt idx="84">
                  <c:v>0</c:v>
                </c:pt>
                <c:pt idx="85">
                  <c:v>0</c:v>
                </c:pt>
                <c:pt idx="86">
                  <c:v>72341</c:v>
                </c:pt>
                <c:pt idx="87">
                  <c:v>0</c:v>
                </c:pt>
                <c:pt idx="88">
                  <c:v>68637</c:v>
                </c:pt>
                <c:pt idx="89">
                  <c:v>0</c:v>
                </c:pt>
                <c:pt idx="90">
                  <c:v>0</c:v>
                </c:pt>
                <c:pt idx="91">
                  <c:v>69157</c:v>
                </c:pt>
                <c:pt idx="92">
                  <c:v>0</c:v>
                </c:pt>
                <c:pt idx="93">
                  <c:v>72624</c:v>
                </c:pt>
                <c:pt idx="94">
                  <c:v>0</c:v>
                </c:pt>
                <c:pt idx="95">
                  <c:v>0</c:v>
                </c:pt>
                <c:pt idx="96">
                  <c:v>75670</c:v>
                </c:pt>
                <c:pt idx="97">
                  <c:v>0</c:v>
                </c:pt>
                <c:pt idx="98">
                  <c:v>76226</c:v>
                </c:pt>
                <c:pt idx="99">
                  <c:v>0</c:v>
                </c:pt>
                <c:pt idx="100">
                  <c:v>0</c:v>
                </c:pt>
                <c:pt idx="101">
                  <c:v>80478</c:v>
                </c:pt>
                <c:pt idx="102">
                  <c:v>0</c:v>
                </c:pt>
                <c:pt idx="103">
                  <c:v>0</c:v>
                </c:pt>
                <c:pt idx="104">
                  <c:v>75358</c:v>
                </c:pt>
                <c:pt idx="105">
                  <c:v>0</c:v>
                </c:pt>
                <c:pt idx="106">
                  <c:v>75586</c:v>
                </c:pt>
                <c:pt idx="107">
                  <c:v>0</c:v>
                </c:pt>
                <c:pt idx="108">
                  <c:v>0</c:v>
                </c:pt>
                <c:pt idx="109">
                  <c:v>73206</c:v>
                </c:pt>
                <c:pt idx="110">
                  <c:v>0</c:v>
                </c:pt>
                <c:pt idx="111">
                  <c:v>72578</c:v>
                </c:pt>
                <c:pt idx="112">
                  <c:v>0</c:v>
                </c:pt>
                <c:pt idx="113">
                  <c:v>0</c:v>
                </c:pt>
                <c:pt idx="114">
                  <c:v>74111</c:v>
                </c:pt>
                <c:pt idx="115">
                  <c:v>0</c:v>
                </c:pt>
                <c:pt idx="116">
                  <c:v>71523</c:v>
                </c:pt>
                <c:pt idx="117">
                  <c:v>0</c:v>
                </c:pt>
                <c:pt idx="118">
                  <c:v>0</c:v>
                </c:pt>
                <c:pt idx="119">
                  <c:v>68056</c:v>
                </c:pt>
                <c:pt idx="120">
                  <c:v>0</c:v>
                </c:pt>
                <c:pt idx="121">
                  <c:v>0</c:v>
                </c:pt>
                <c:pt idx="122">
                  <c:v>63617</c:v>
                </c:pt>
                <c:pt idx="123">
                  <c:v>0</c:v>
                </c:pt>
                <c:pt idx="124">
                  <c:v>60002</c:v>
                </c:pt>
                <c:pt idx="125">
                  <c:v>0</c:v>
                </c:pt>
                <c:pt idx="126">
                  <c:v>0</c:v>
                </c:pt>
                <c:pt idx="127">
                  <c:v>54283</c:v>
                </c:pt>
                <c:pt idx="128">
                  <c:v>0</c:v>
                </c:pt>
                <c:pt idx="129">
                  <c:v>49627</c:v>
                </c:pt>
                <c:pt idx="130">
                  <c:v>0</c:v>
                </c:pt>
                <c:pt idx="131">
                  <c:v>0</c:v>
                </c:pt>
                <c:pt idx="132">
                  <c:v>46002</c:v>
                </c:pt>
                <c:pt idx="133">
                  <c:v>0</c:v>
                </c:pt>
                <c:pt idx="134">
                  <c:v>40772</c:v>
                </c:pt>
                <c:pt idx="135">
                  <c:v>0</c:v>
                </c:pt>
                <c:pt idx="136">
                  <c:v>0</c:v>
                </c:pt>
                <c:pt idx="137">
                  <c:v>40011</c:v>
                </c:pt>
                <c:pt idx="138">
                  <c:v>0</c:v>
                </c:pt>
                <c:pt idx="139">
                  <c:v>0</c:v>
                </c:pt>
                <c:pt idx="140">
                  <c:v>40818</c:v>
                </c:pt>
                <c:pt idx="141">
                  <c:v>0</c:v>
                </c:pt>
                <c:pt idx="142">
                  <c:v>36506</c:v>
                </c:pt>
                <c:pt idx="143">
                  <c:v>0</c:v>
                </c:pt>
                <c:pt idx="144">
                  <c:v>0</c:v>
                </c:pt>
                <c:pt idx="145">
                  <c:v>32054</c:v>
                </c:pt>
                <c:pt idx="146">
                  <c:v>0</c:v>
                </c:pt>
                <c:pt idx="147">
                  <c:v>26687</c:v>
                </c:pt>
                <c:pt idx="148">
                  <c:v>0</c:v>
                </c:pt>
                <c:pt idx="149">
                  <c:v>0</c:v>
                </c:pt>
                <c:pt idx="150">
                  <c:v>22262</c:v>
                </c:pt>
                <c:pt idx="151">
                  <c:v>0</c:v>
                </c:pt>
                <c:pt idx="152">
                  <c:v>19285</c:v>
                </c:pt>
                <c:pt idx="153">
                  <c:v>0</c:v>
                </c:pt>
                <c:pt idx="154">
                  <c:v>0</c:v>
                </c:pt>
                <c:pt idx="155">
                  <c:v>18373</c:v>
                </c:pt>
                <c:pt idx="156">
                  <c:v>0</c:v>
                </c:pt>
                <c:pt idx="157">
                  <c:v>0</c:v>
                </c:pt>
                <c:pt idx="158">
                  <c:v>16459</c:v>
                </c:pt>
                <c:pt idx="159">
                  <c:v>0</c:v>
                </c:pt>
                <c:pt idx="160">
                  <c:v>9982</c:v>
                </c:pt>
                <c:pt idx="161">
                  <c:v>0</c:v>
                </c:pt>
                <c:pt idx="162">
                  <c:v>0</c:v>
                </c:pt>
                <c:pt idx="163">
                  <c:v>7490</c:v>
                </c:pt>
                <c:pt idx="164">
                  <c:v>0</c:v>
                </c:pt>
                <c:pt idx="165">
                  <c:v>6745</c:v>
                </c:pt>
                <c:pt idx="166">
                  <c:v>0</c:v>
                </c:pt>
                <c:pt idx="167">
                  <c:v>0</c:v>
                </c:pt>
                <c:pt idx="168">
                  <c:v>6164</c:v>
                </c:pt>
                <c:pt idx="169">
                  <c:v>0</c:v>
                </c:pt>
                <c:pt idx="170">
                  <c:v>0</c:v>
                </c:pt>
                <c:pt idx="171">
                  <c:v>3065</c:v>
                </c:pt>
                <c:pt idx="172">
                  <c:v>0</c:v>
                </c:pt>
                <c:pt idx="173">
                  <c:v>1435</c:v>
                </c:pt>
                <c:pt idx="174">
                  <c:v>0</c:v>
                </c:pt>
                <c:pt idx="175">
                  <c:v>0</c:v>
                </c:pt>
                <c:pt idx="176">
                  <c:v>1044</c:v>
                </c:pt>
                <c:pt idx="177">
                  <c:v>0</c:v>
                </c:pt>
                <c:pt idx="178">
                  <c:v>315</c:v>
                </c:pt>
                <c:pt idx="179">
                  <c:v>0</c:v>
                </c:pt>
                <c:pt idx="180">
                  <c:v>0</c:v>
                </c:pt>
                <c:pt idx="181">
                  <c:v>206</c:v>
                </c:pt>
                <c:pt idx="182">
                  <c:v>0</c:v>
                </c:pt>
                <c:pt idx="183">
                  <c:v>295</c:v>
                </c:pt>
                <c:pt idx="184">
                  <c:v>0</c:v>
                </c:pt>
                <c:pt idx="185">
                  <c:v>0</c:v>
                </c:pt>
                <c:pt idx="186">
                  <c:v>252</c:v>
                </c:pt>
                <c:pt idx="187">
                  <c:v>0</c:v>
                </c:pt>
                <c:pt idx="188">
                  <c:v>0</c:v>
                </c:pt>
                <c:pt idx="189">
                  <c:v>167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1404</c:v>
                </c:pt>
                <c:pt idx="7">
                  <c:v>0</c:v>
                </c:pt>
                <c:pt idx="8">
                  <c:v>2645</c:v>
                </c:pt>
                <c:pt idx="9">
                  <c:v>0</c:v>
                </c:pt>
                <c:pt idx="10">
                  <c:v>0</c:v>
                </c:pt>
                <c:pt idx="11">
                  <c:v>2984</c:v>
                </c:pt>
                <c:pt idx="12">
                  <c:v>0</c:v>
                </c:pt>
                <c:pt idx="13">
                  <c:v>5741</c:v>
                </c:pt>
                <c:pt idx="14">
                  <c:v>0</c:v>
                </c:pt>
                <c:pt idx="15">
                  <c:v>0</c:v>
                </c:pt>
                <c:pt idx="16">
                  <c:v>5684</c:v>
                </c:pt>
                <c:pt idx="17">
                  <c:v>0</c:v>
                </c:pt>
                <c:pt idx="18">
                  <c:v>0</c:v>
                </c:pt>
                <c:pt idx="19">
                  <c:v>5165</c:v>
                </c:pt>
                <c:pt idx="20">
                  <c:v>0</c:v>
                </c:pt>
                <c:pt idx="21">
                  <c:v>6251</c:v>
                </c:pt>
                <c:pt idx="22">
                  <c:v>0</c:v>
                </c:pt>
                <c:pt idx="23">
                  <c:v>0</c:v>
                </c:pt>
                <c:pt idx="24">
                  <c:v>6207</c:v>
                </c:pt>
                <c:pt idx="25">
                  <c:v>0</c:v>
                </c:pt>
                <c:pt idx="26">
                  <c:v>7172</c:v>
                </c:pt>
                <c:pt idx="27">
                  <c:v>0</c:v>
                </c:pt>
                <c:pt idx="28">
                  <c:v>0</c:v>
                </c:pt>
                <c:pt idx="29">
                  <c:v>8021</c:v>
                </c:pt>
                <c:pt idx="30">
                  <c:v>0</c:v>
                </c:pt>
                <c:pt idx="31">
                  <c:v>6732</c:v>
                </c:pt>
                <c:pt idx="32">
                  <c:v>0</c:v>
                </c:pt>
                <c:pt idx="33">
                  <c:v>0</c:v>
                </c:pt>
                <c:pt idx="34">
                  <c:v>5309</c:v>
                </c:pt>
                <c:pt idx="35">
                  <c:v>0</c:v>
                </c:pt>
                <c:pt idx="36">
                  <c:v>0</c:v>
                </c:pt>
                <c:pt idx="37">
                  <c:v>6374</c:v>
                </c:pt>
                <c:pt idx="38">
                  <c:v>0</c:v>
                </c:pt>
                <c:pt idx="39">
                  <c:v>8527</c:v>
                </c:pt>
                <c:pt idx="40">
                  <c:v>0</c:v>
                </c:pt>
                <c:pt idx="41">
                  <c:v>0</c:v>
                </c:pt>
                <c:pt idx="42">
                  <c:v>10570</c:v>
                </c:pt>
                <c:pt idx="43">
                  <c:v>0</c:v>
                </c:pt>
                <c:pt idx="44">
                  <c:v>13898</c:v>
                </c:pt>
                <c:pt idx="45">
                  <c:v>0</c:v>
                </c:pt>
                <c:pt idx="46">
                  <c:v>0</c:v>
                </c:pt>
                <c:pt idx="47">
                  <c:v>19581</c:v>
                </c:pt>
                <c:pt idx="48">
                  <c:v>0</c:v>
                </c:pt>
                <c:pt idx="49">
                  <c:v>17919</c:v>
                </c:pt>
                <c:pt idx="50">
                  <c:v>0</c:v>
                </c:pt>
                <c:pt idx="51">
                  <c:v>0</c:v>
                </c:pt>
                <c:pt idx="52">
                  <c:v>22234</c:v>
                </c:pt>
                <c:pt idx="53">
                  <c:v>0</c:v>
                </c:pt>
                <c:pt idx="54">
                  <c:v>0</c:v>
                </c:pt>
                <c:pt idx="55">
                  <c:v>23062</c:v>
                </c:pt>
                <c:pt idx="56">
                  <c:v>0</c:v>
                </c:pt>
                <c:pt idx="57">
                  <c:v>23472</c:v>
                </c:pt>
                <c:pt idx="58">
                  <c:v>0</c:v>
                </c:pt>
                <c:pt idx="59">
                  <c:v>0</c:v>
                </c:pt>
                <c:pt idx="60">
                  <c:v>23563</c:v>
                </c:pt>
                <c:pt idx="61">
                  <c:v>0</c:v>
                </c:pt>
                <c:pt idx="62">
                  <c:v>30955</c:v>
                </c:pt>
                <c:pt idx="63">
                  <c:v>0</c:v>
                </c:pt>
                <c:pt idx="64">
                  <c:v>0</c:v>
                </c:pt>
                <c:pt idx="65">
                  <c:v>38084</c:v>
                </c:pt>
                <c:pt idx="66">
                  <c:v>0</c:v>
                </c:pt>
                <c:pt idx="67">
                  <c:v>40418</c:v>
                </c:pt>
                <c:pt idx="68">
                  <c:v>0</c:v>
                </c:pt>
                <c:pt idx="69">
                  <c:v>0</c:v>
                </c:pt>
                <c:pt idx="70">
                  <c:v>40586</c:v>
                </c:pt>
                <c:pt idx="71">
                  <c:v>0</c:v>
                </c:pt>
                <c:pt idx="72">
                  <c:v>0</c:v>
                </c:pt>
                <c:pt idx="73">
                  <c:v>44513</c:v>
                </c:pt>
                <c:pt idx="74">
                  <c:v>0</c:v>
                </c:pt>
                <c:pt idx="75">
                  <c:v>52588</c:v>
                </c:pt>
                <c:pt idx="76">
                  <c:v>0</c:v>
                </c:pt>
                <c:pt idx="77">
                  <c:v>0</c:v>
                </c:pt>
                <c:pt idx="78">
                  <c:v>58370</c:v>
                </c:pt>
                <c:pt idx="79">
                  <c:v>0</c:v>
                </c:pt>
                <c:pt idx="80">
                  <c:v>62477</c:v>
                </c:pt>
                <c:pt idx="81">
                  <c:v>0</c:v>
                </c:pt>
                <c:pt idx="82">
                  <c:v>0</c:v>
                </c:pt>
                <c:pt idx="83">
                  <c:v>63704</c:v>
                </c:pt>
                <c:pt idx="84">
                  <c:v>0</c:v>
                </c:pt>
                <c:pt idx="85">
                  <c:v>0</c:v>
                </c:pt>
                <c:pt idx="86">
                  <c:v>63425</c:v>
                </c:pt>
                <c:pt idx="87">
                  <c:v>0</c:v>
                </c:pt>
                <c:pt idx="88">
                  <c:v>65314</c:v>
                </c:pt>
                <c:pt idx="89">
                  <c:v>0</c:v>
                </c:pt>
                <c:pt idx="90">
                  <c:v>0</c:v>
                </c:pt>
                <c:pt idx="91">
                  <c:v>66608</c:v>
                </c:pt>
                <c:pt idx="92">
                  <c:v>0</c:v>
                </c:pt>
                <c:pt idx="93">
                  <c:v>69403</c:v>
                </c:pt>
                <c:pt idx="94">
                  <c:v>0</c:v>
                </c:pt>
                <c:pt idx="95">
                  <c:v>0</c:v>
                </c:pt>
                <c:pt idx="96">
                  <c:v>80541</c:v>
                </c:pt>
                <c:pt idx="97">
                  <c:v>0</c:v>
                </c:pt>
                <c:pt idx="98">
                  <c:v>84098</c:v>
                </c:pt>
                <c:pt idx="99">
                  <c:v>0</c:v>
                </c:pt>
                <c:pt idx="100">
                  <c:v>0</c:v>
                </c:pt>
                <c:pt idx="101">
                  <c:v>92014</c:v>
                </c:pt>
                <c:pt idx="102">
                  <c:v>0</c:v>
                </c:pt>
                <c:pt idx="103">
                  <c:v>0</c:v>
                </c:pt>
                <c:pt idx="104">
                  <c:v>97888</c:v>
                </c:pt>
                <c:pt idx="105">
                  <c:v>0</c:v>
                </c:pt>
                <c:pt idx="106">
                  <c:v>103132</c:v>
                </c:pt>
                <c:pt idx="107">
                  <c:v>0</c:v>
                </c:pt>
                <c:pt idx="108">
                  <c:v>0</c:v>
                </c:pt>
                <c:pt idx="109">
                  <c:v>113788</c:v>
                </c:pt>
                <c:pt idx="110">
                  <c:v>0</c:v>
                </c:pt>
                <c:pt idx="111">
                  <c:v>112444</c:v>
                </c:pt>
                <c:pt idx="112">
                  <c:v>0</c:v>
                </c:pt>
                <c:pt idx="113">
                  <c:v>0</c:v>
                </c:pt>
                <c:pt idx="114">
                  <c:v>111500</c:v>
                </c:pt>
                <c:pt idx="115">
                  <c:v>0</c:v>
                </c:pt>
                <c:pt idx="116">
                  <c:v>111271</c:v>
                </c:pt>
                <c:pt idx="117">
                  <c:v>0</c:v>
                </c:pt>
                <c:pt idx="118">
                  <c:v>0</c:v>
                </c:pt>
                <c:pt idx="119">
                  <c:v>110387</c:v>
                </c:pt>
                <c:pt idx="120">
                  <c:v>0</c:v>
                </c:pt>
                <c:pt idx="121">
                  <c:v>0</c:v>
                </c:pt>
                <c:pt idx="122">
                  <c:v>107091</c:v>
                </c:pt>
                <c:pt idx="123">
                  <c:v>0</c:v>
                </c:pt>
                <c:pt idx="124">
                  <c:v>103225</c:v>
                </c:pt>
                <c:pt idx="125">
                  <c:v>0</c:v>
                </c:pt>
                <c:pt idx="126">
                  <c:v>0</c:v>
                </c:pt>
                <c:pt idx="127">
                  <c:v>101231</c:v>
                </c:pt>
                <c:pt idx="128">
                  <c:v>0</c:v>
                </c:pt>
                <c:pt idx="129">
                  <c:v>100945</c:v>
                </c:pt>
                <c:pt idx="130">
                  <c:v>0</c:v>
                </c:pt>
                <c:pt idx="131">
                  <c:v>0</c:v>
                </c:pt>
                <c:pt idx="132">
                  <c:v>93933</c:v>
                </c:pt>
                <c:pt idx="133">
                  <c:v>0</c:v>
                </c:pt>
                <c:pt idx="134">
                  <c:v>84845</c:v>
                </c:pt>
                <c:pt idx="135">
                  <c:v>0</c:v>
                </c:pt>
                <c:pt idx="136">
                  <c:v>0</c:v>
                </c:pt>
                <c:pt idx="137">
                  <c:v>80473</c:v>
                </c:pt>
                <c:pt idx="138">
                  <c:v>0</c:v>
                </c:pt>
                <c:pt idx="139">
                  <c:v>0</c:v>
                </c:pt>
                <c:pt idx="140">
                  <c:v>76852</c:v>
                </c:pt>
                <c:pt idx="141">
                  <c:v>0</c:v>
                </c:pt>
                <c:pt idx="142">
                  <c:v>75599</c:v>
                </c:pt>
                <c:pt idx="143">
                  <c:v>0</c:v>
                </c:pt>
                <c:pt idx="144">
                  <c:v>0</c:v>
                </c:pt>
                <c:pt idx="145">
                  <c:v>68037</c:v>
                </c:pt>
                <c:pt idx="146">
                  <c:v>0</c:v>
                </c:pt>
                <c:pt idx="147">
                  <c:v>62844</c:v>
                </c:pt>
                <c:pt idx="148">
                  <c:v>0</c:v>
                </c:pt>
                <c:pt idx="149">
                  <c:v>0</c:v>
                </c:pt>
                <c:pt idx="150">
                  <c:v>60453</c:v>
                </c:pt>
                <c:pt idx="151">
                  <c:v>0</c:v>
                </c:pt>
                <c:pt idx="152">
                  <c:v>55862</c:v>
                </c:pt>
                <c:pt idx="153">
                  <c:v>0</c:v>
                </c:pt>
                <c:pt idx="154">
                  <c:v>0</c:v>
                </c:pt>
                <c:pt idx="155">
                  <c:v>46221</c:v>
                </c:pt>
                <c:pt idx="156">
                  <c:v>0</c:v>
                </c:pt>
                <c:pt idx="157">
                  <c:v>0</c:v>
                </c:pt>
                <c:pt idx="158">
                  <c:v>41189</c:v>
                </c:pt>
                <c:pt idx="159">
                  <c:v>0</c:v>
                </c:pt>
                <c:pt idx="160">
                  <c:v>35640</c:v>
                </c:pt>
                <c:pt idx="161">
                  <c:v>0</c:v>
                </c:pt>
                <c:pt idx="162">
                  <c:v>0</c:v>
                </c:pt>
                <c:pt idx="163">
                  <c:v>30101</c:v>
                </c:pt>
                <c:pt idx="164">
                  <c:v>0</c:v>
                </c:pt>
                <c:pt idx="165">
                  <c:v>27341</c:v>
                </c:pt>
                <c:pt idx="166">
                  <c:v>0</c:v>
                </c:pt>
                <c:pt idx="167">
                  <c:v>0</c:v>
                </c:pt>
                <c:pt idx="168">
                  <c:v>24094</c:v>
                </c:pt>
                <c:pt idx="169">
                  <c:v>0</c:v>
                </c:pt>
                <c:pt idx="170">
                  <c:v>0</c:v>
                </c:pt>
                <c:pt idx="171">
                  <c:v>21700</c:v>
                </c:pt>
                <c:pt idx="172">
                  <c:v>0</c:v>
                </c:pt>
                <c:pt idx="173">
                  <c:v>16554</c:v>
                </c:pt>
                <c:pt idx="174">
                  <c:v>0</c:v>
                </c:pt>
                <c:pt idx="175">
                  <c:v>0</c:v>
                </c:pt>
                <c:pt idx="176">
                  <c:v>12489</c:v>
                </c:pt>
                <c:pt idx="177">
                  <c:v>0</c:v>
                </c:pt>
                <c:pt idx="178">
                  <c:v>8070</c:v>
                </c:pt>
                <c:pt idx="179">
                  <c:v>0</c:v>
                </c:pt>
                <c:pt idx="180">
                  <c:v>0</c:v>
                </c:pt>
                <c:pt idx="181">
                  <c:v>6489</c:v>
                </c:pt>
                <c:pt idx="182">
                  <c:v>0</c:v>
                </c:pt>
                <c:pt idx="183">
                  <c:v>5221</c:v>
                </c:pt>
                <c:pt idx="184">
                  <c:v>0</c:v>
                </c:pt>
                <c:pt idx="185">
                  <c:v>0</c:v>
                </c:pt>
                <c:pt idx="186">
                  <c:v>3411</c:v>
                </c:pt>
                <c:pt idx="187">
                  <c:v>0</c:v>
                </c:pt>
                <c:pt idx="188">
                  <c:v>0</c:v>
                </c:pt>
                <c:pt idx="189">
                  <c:v>2112</c:v>
                </c:pt>
                <c:pt idx="190">
                  <c:v>0</c:v>
                </c:pt>
                <c:pt idx="191">
                  <c:v>1421</c:v>
                </c:pt>
                <c:pt idx="192">
                  <c:v>0</c:v>
                </c:pt>
                <c:pt idx="193">
                  <c:v>0</c:v>
                </c:pt>
                <c:pt idx="194">
                  <c:v>326</c:v>
                </c:pt>
                <c:pt idx="195">
                  <c:v>0</c:v>
                </c:pt>
                <c:pt idx="196">
                  <c:v>231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0.2163367098715421</c:v>
                </c:pt>
                <c:pt idx="1">
                  <c:v>0.33520380219203688</c:v>
                </c:pt>
                <c:pt idx="2">
                  <c:v>0.44845948793642099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0.50260503880980156</c:v>
                </c:pt>
                <c:pt idx="1">
                  <c:v>0.26412297481062408</c:v>
                </c:pt>
                <c:pt idx="2">
                  <c:v>0.23327198637957433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4.4493375000000004</c:v>
                </c:pt>
                <c:pt idx="1">
                  <c:v>11.240947500000001</c:v>
                </c:pt>
                <c:pt idx="2">
                  <c:v>22.53725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  <c:pt idx="75">
                  <c:v>30.449200000000001</c:v>
                </c:pt>
                <c:pt idx="76">
                  <c:v>30.853899999999999</c:v>
                </c:pt>
                <c:pt idx="77">
                  <c:v>31.260200000000001</c:v>
                </c:pt>
                <c:pt idx="78">
                  <c:v>31.6646</c:v>
                </c:pt>
                <c:pt idx="79">
                  <c:v>32.075400000000002</c:v>
                </c:pt>
                <c:pt idx="80">
                  <c:v>32.479199999999999</c:v>
                </c:pt>
                <c:pt idx="81">
                  <c:v>32.883899999999997</c:v>
                </c:pt>
                <c:pt idx="82">
                  <c:v>33.291600000000003</c:v>
                </c:pt>
                <c:pt idx="83">
                  <c:v>33.697899999999997</c:v>
                </c:pt>
                <c:pt idx="84">
                  <c:v>34.107500000000002</c:v>
                </c:pt>
                <c:pt idx="85">
                  <c:v>34.514099999999999</c:v>
                </c:pt>
                <c:pt idx="86">
                  <c:v>34.917000000000002</c:v>
                </c:pt>
                <c:pt idx="87">
                  <c:v>35.321800000000003</c:v>
                </c:pt>
                <c:pt idx="88">
                  <c:v>35.731099999999998</c:v>
                </c:pt>
                <c:pt idx="89">
                  <c:v>36.139899999999997</c:v>
                </c:pt>
                <c:pt idx="90">
                  <c:v>36.545099999999998</c:v>
                </c:pt>
                <c:pt idx="91">
                  <c:v>36.952399999999997</c:v>
                </c:pt>
                <c:pt idx="92">
                  <c:v>37.353200000000001</c:v>
                </c:pt>
                <c:pt idx="93">
                  <c:v>37.760100000000001</c:v>
                </c:pt>
                <c:pt idx="94">
                  <c:v>38.1676</c:v>
                </c:pt>
                <c:pt idx="95">
                  <c:v>38.575499999999998</c:v>
                </c:pt>
                <c:pt idx="96">
                  <c:v>38.979399999999998</c:v>
                </c:pt>
                <c:pt idx="97">
                  <c:v>39.384099999999997</c:v>
                </c:pt>
                <c:pt idx="98">
                  <c:v>39.791699999999999</c:v>
                </c:pt>
                <c:pt idx="99">
                  <c:v>40.200499999999998</c:v>
                </c:pt>
                <c:pt idx="100">
                  <c:v>40.606699999999996</c:v>
                </c:pt>
                <c:pt idx="101">
                  <c:v>41.011499999999998</c:v>
                </c:pt>
                <c:pt idx="102">
                  <c:v>41.416800000000002</c:v>
                </c:pt>
                <c:pt idx="103">
                  <c:v>41.822600000000001</c:v>
                </c:pt>
                <c:pt idx="104">
                  <c:v>42.231099999999998</c:v>
                </c:pt>
                <c:pt idx="105">
                  <c:v>42.640300000000003</c:v>
                </c:pt>
                <c:pt idx="106">
                  <c:v>43.042400000000001</c:v>
                </c:pt>
                <c:pt idx="107">
                  <c:v>43.445500000000003</c:v>
                </c:pt>
                <c:pt idx="108">
                  <c:v>43.852200000000003</c:v>
                </c:pt>
                <c:pt idx="109">
                  <c:v>44.264200000000002</c:v>
                </c:pt>
                <c:pt idx="110">
                  <c:v>44.6661</c:v>
                </c:pt>
                <c:pt idx="111">
                  <c:v>45.074300000000001</c:v>
                </c:pt>
                <c:pt idx="112">
                  <c:v>45.478099999999998</c:v>
                </c:pt>
                <c:pt idx="113">
                  <c:v>45.887999999999998</c:v>
                </c:pt>
                <c:pt idx="114">
                  <c:v>46.2941</c:v>
                </c:pt>
                <c:pt idx="115">
                  <c:v>46.700499999999998</c:v>
                </c:pt>
                <c:pt idx="116">
                  <c:v>47.1051</c:v>
                </c:pt>
                <c:pt idx="117">
                  <c:v>47.512500000000003</c:v>
                </c:pt>
                <c:pt idx="118">
                  <c:v>47.915700000000001</c:v>
                </c:pt>
                <c:pt idx="119">
                  <c:v>48.325800000000001</c:v>
                </c:pt>
                <c:pt idx="120">
                  <c:v>48.728400000000001</c:v>
                </c:pt>
                <c:pt idx="121">
                  <c:v>49.136299999999999</c:v>
                </c:pt>
                <c:pt idx="122">
                  <c:v>49.5396</c:v>
                </c:pt>
                <c:pt idx="123">
                  <c:v>49.946199999999997</c:v>
                </c:pt>
                <c:pt idx="124">
                  <c:v>50.354799999999997</c:v>
                </c:pt>
                <c:pt idx="125">
                  <c:v>50.759700000000002</c:v>
                </c:pt>
                <c:pt idx="126">
                  <c:v>51.167499999999997</c:v>
                </c:pt>
                <c:pt idx="127">
                  <c:v>51.573099999999997</c:v>
                </c:pt>
                <c:pt idx="128">
                  <c:v>51.985399999999998</c:v>
                </c:pt>
                <c:pt idx="129">
                  <c:v>52.387300000000003</c:v>
                </c:pt>
                <c:pt idx="130">
                  <c:v>52.790199999999999</c:v>
                </c:pt>
                <c:pt idx="131">
                  <c:v>53.198</c:v>
                </c:pt>
                <c:pt idx="132">
                  <c:v>53.607999999999997</c:v>
                </c:pt>
                <c:pt idx="133">
                  <c:v>54.012300000000003</c:v>
                </c:pt>
                <c:pt idx="134">
                  <c:v>54.418300000000002</c:v>
                </c:pt>
                <c:pt idx="135">
                  <c:v>54.8215</c:v>
                </c:pt>
                <c:pt idx="136">
                  <c:v>55.229799999999997</c:v>
                </c:pt>
                <c:pt idx="137">
                  <c:v>55.6372</c:v>
                </c:pt>
                <c:pt idx="138">
                  <c:v>56.043399999999998</c:v>
                </c:pt>
                <c:pt idx="139">
                  <c:v>56.447699999999998</c:v>
                </c:pt>
                <c:pt idx="140">
                  <c:v>56.854300000000002</c:v>
                </c:pt>
                <c:pt idx="141">
                  <c:v>57.259799999999998</c:v>
                </c:pt>
                <c:pt idx="142">
                  <c:v>57.674399999999999</c:v>
                </c:pt>
                <c:pt idx="143">
                  <c:v>58.076799999999999</c:v>
                </c:pt>
                <c:pt idx="144">
                  <c:v>58.487400000000001</c:v>
                </c:pt>
                <c:pt idx="145">
                  <c:v>58.885399999999997</c:v>
                </c:pt>
                <c:pt idx="146">
                  <c:v>59.2898</c:v>
                </c:pt>
                <c:pt idx="147">
                  <c:v>59.697499999999998</c:v>
                </c:pt>
                <c:pt idx="148">
                  <c:v>60.103299999999997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9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  <c:pt idx="75">
                  <c:v>4.5897800000000002</c:v>
                </c:pt>
                <c:pt idx="76">
                  <c:v>4.61015</c:v>
                </c:pt>
                <c:pt idx="77">
                  <c:v>4.6278799999999993</c:v>
                </c:pt>
                <c:pt idx="78">
                  <c:v>4.6434800000000003</c:v>
                </c:pt>
                <c:pt idx="79">
                  <c:v>4.65754</c:v>
                </c:pt>
                <c:pt idx="80">
                  <c:v>4.6688200000000002</c:v>
                </c:pt>
                <c:pt idx="81">
                  <c:v>4.6766999999999994</c:v>
                </c:pt>
                <c:pt idx="82">
                  <c:v>4.6812399999999998</c:v>
                </c:pt>
                <c:pt idx="83">
                  <c:v>4.6804800000000002</c:v>
                </c:pt>
                <c:pt idx="84">
                  <c:v>4.6765099999999995</c:v>
                </c:pt>
                <c:pt idx="85">
                  <c:v>4.6655600000000002</c:v>
                </c:pt>
                <c:pt idx="86">
                  <c:v>4.6530300000000002</c:v>
                </c:pt>
                <c:pt idx="87">
                  <c:v>4.6411300000000004</c:v>
                </c:pt>
                <c:pt idx="88">
                  <c:v>4.6303599999999996</c:v>
                </c:pt>
                <c:pt idx="89">
                  <c:v>4.6232299999999995</c:v>
                </c:pt>
                <c:pt idx="90">
                  <c:v>4.6163500000000006</c:v>
                </c:pt>
                <c:pt idx="91">
                  <c:v>4.6073500000000003</c:v>
                </c:pt>
                <c:pt idx="92">
                  <c:v>4.5960900000000002</c:v>
                </c:pt>
                <c:pt idx="93">
                  <c:v>4.58406</c:v>
                </c:pt>
                <c:pt idx="94">
                  <c:v>4.5694900000000001</c:v>
                </c:pt>
                <c:pt idx="95">
                  <c:v>4.5522499999999999</c:v>
                </c:pt>
                <c:pt idx="96">
                  <c:v>4.5333899999999998</c:v>
                </c:pt>
                <c:pt idx="97">
                  <c:v>4.5107699999999999</c:v>
                </c:pt>
                <c:pt idx="98">
                  <c:v>4.4843299999999999</c:v>
                </c:pt>
                <c:pt idx="99">
                  <c:v>4.4524900000000001</c:v>
                </c:pt>
                <c:pt idx="100">
                  <c:v>4.4192900000000002</c:v>
                </c:pt>
                <c:pt idx="101">
                  <c:v>4.3850299999999995</c:v>
                </c:pt>
                <c:pt idx="102">
                  <c:v>4.3520300000000001</c:v>
                </c:pt>
                <c:pt idx="103">
                  <c:v>4.3245000000000005</c:v>
                </c:pt>
                <c:pt idx="104">
                  <c:v>4.2962699999999998</c:v>
                </c:pt>
                <c:pt idx="105">
                  <c:v>4.2672100000000004</c:v>
                </c:pt>
                <c:pt idx="106">
                  <c:v>4.2413499999999997</c:v>
                </c:pt>
                <c:pt idx="107">
                  <c:v>4.2173999999999996</c:v>
                </c:pt>
                <c:pt idx="108">
                  <c:v>4.1913</c:v>
                </c:pt>
                <c:pt idx="109">
                  <c:v>4.1655499999999996</c:v>
                </c:pt>
                <c:pt idx="110">
                  <c:v>4.1426099999999995</c:v>
                </c:pt>
                <c:pt idx="111">
                  <c:v>4.1214399999999998</c:v>
                </c:pt>
                <c:pt idx="112">
                  <c:v>4.1018100000000004</c:v>
                </c:pt>
                <c:pt idx="113">
                  <c:v>4.0837400000000006</c:v>
                </c:pt>
                <c:pt idx="114">
                  <c:v>4.0675400000000002</c:v>
                </c:pt>
                <c:pt idx="115">
                  <c:v>4.0508100000000002</c:v>
                </c:pt>
                <c:pt idx="116">
                  <c:v>4.0322300000000002</c:v>
                </c:pt>
                <c:pt idx="117">
                  <c:v>4.0139100000000001</c:v>
                </c:pt>
                <c:pt idx="118">
                  <c:v>4.0003700000000002</c:v>
                </c:pt>
                <c:pt idx="119">
                  <c:v>3.9924500000000003</c:v>
                </c:pt>
                <c:pt idx="120">
                  <c:v>3.9865200000000001</c:v>
                </c:pt>
                <c:pt idx="121">
                  <c:v>3.9836200000000002</c:v>
                </c:pt>
                <c:pt idx="122">
                  <c:v>3.98421</c:v>
                </c:pt>
                <c:pt idx="123">
                  <c:v>3.9889599999999996</c:v>
                </c:pt>
                <c:pt idx="124">
                  <c:v>3.9934500000000002</c:v>
                </c:pt>
                <c:pt idx="125">
                  <c:v>3.9972999999999996</c:v>
                </c:pt>
                <c:pt idx="126">
                  <c:v>4.00204</c:v>
                </c:pt>
                <c:pt idx="127">
                  <c:v>4.0066299999999995</c:v>
                </c:pt>
                <c:pt idx="128">
                  <c:v>4.0079399999999996</c:v>
                </c:pt>
                <c:pt idx="129">
                  <c:v>4.0069100000000004</c:v>
                </c:pt>
                <c:pt idx="130">
                  <c:v>4.0048399999999997</c:v>
                </c:pt>
                <c:pt idx="131">
                  <c:v>4.00122</c:v>
                </c:pt>
                <c:pt idx="132">
                  <c:v>3.9977</c:v>
                </c:pt>
                <c:pt idx="133">
                  <c:v>3.9999899999999999</c:v>
                </c:pt>
                <c:pt idx="134">
                  <c:v>4.00793</c:v>
                </c:pt>
                <c:pt idx="135">
                  <c:v>4.0183799999999996</c:v>
                </c:pt>
                <c:pt idx="136">
                  <c:v>4.0293400000000004</c:v>
                </c:pt>
                <c:pt idx="137">
                  <c:v>4.0411599999999996</c:v>
                </c:pt>
                <c:pt idx="138">
                  <c:v>4.0506199999999994</c:v>
                </c:pt>
                <c:pt idx="139">
                  <c:v>4.0542699999999998</c:v>
                </c:pt>
                <c:pt idx="140">
                  <c:v>4.06135</c:v>
                </c:pt>
                <c:pt idx="141">
                  <c:v>4.0730899999999997</c:v>
                </c:pt>
                <c:pt idx="142">
                  <c:v>4.0869</c:v>
                </c:pt>
                <c:pt idx="143">
                  <c:v>4.0998299999999999</c:v>
                </c:pt>
                <c:pt idx="144">
                  <c:v>4.1125800000000003</c:v>
                </c:pt>
                <c:pt idx="145">
                  <c:v>4.11707</c:v>
                </c:pt>
                <c:pt idx="146">
                  <c:v>4.1176300000000001</c:v>
                </c:pt>
                <c:pt idx="147">
                  <c:v>4.1215200000000003</c:v>
                </c:pt>
                <c:pt idx="148">
                  <c:v>4.1097599999999996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5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30.013400000000001</c:v>
                </c:pt>
                <c:pt idx="1">
                  <c:v>30.449200000000001</c:v>
                </c:pt>
                <c:pt idx="2">
                  <c:v>30.853899999999999</c:v>
                </c:pt>
                <c:pt idx="3">
                  <c:v>31.260200000000001</c:v>
                </c:pt>
                <c:pt idx="4">
                  <c:v>31.6646</c:v>
                </c:pt>
                <c:pt idx="5">
                  <c:v>32.075400000000002</c:v>
                </c:pt>
                <c:pt idx="6">
                  <c:v>32.479199999999999</c:v>
                </c:pt>
                <c:pt idx="7">
                  <c:v>32.883899999999997</c:v>
                </c:pt>
                <c:pt idx="8">
                  <c:v>33.291600000000003</c:v>
                </c:pt>
                <c:pt idx="9">
                  <c:v>33.697899999999997</c:v>
                </c:pt>
                <c:pt idx="10">
                  <c:v>34.107500000000002</c:v>
                </c:pt>
                <c:pt idx="11">
                  <c:v>34.514099999999999</c:v>
                </c:pt>
                <c:pt idx="12">
                  <c:v>34.917000000000002</c:v>
                </c:pt>
                <c:pt idx="13">
                  <c:v>35.321800000000003</c:v>
                </c:pt>
                <c:pt idx="14">
                  <c:v>35.731099999999998</c:v>
                </c:pt>
                <c:pt idx="15">
                  <c:v>36.139899999999997</c:v>
                </c:pt>
                <c:pt idx="16">
                  <c:v>36.545099999999998</c:v>
                </c:pt>
                <c:pt idx="17">
                  <c:v>36.952399999999997</c:v>
                </c:pt>
                <c:pt idx="18">
                  <c:v>37.353200000000001</c:v>
                </c:pt>
                <c:pt idx="19">
                  <c:v>37.760100000000001</c:v>
                </c:pt>
                <c:pt idx="20">
                  <c:v>38.1676</c:v>
                </c:pt>
                <c:pt idx="21">
                  <c:v>38.575499999999998</c:v>
                </c:pt>
                <c:pt idx="22">
                  <c:v>38.979399999999998</c:v>
                </c:pt>
                <c:pt idx="23">
                  <c:v>39.384099999999997</c:v>
                </c:pt>
                <c:pt idx="24">
                  <c:v>39.791699999999999</c:v>
                </c:pt>
                <c:pt idx="25">
                  <c:v>40.200499999999998</c:v>
                </c:pt>
                <c:pt idx="26">
                  <c:v>40.606699999999996</c:v>
                </c:pt>
                <c:pt idx="27">
                  <c:v>41.011499999999998</c:v>
                </c:pt>
                <c:pt idx="28">
                  <c:v>41.416800000000002</c:v>
                </c:pt>
                <c:pt idx="29">
                  <c:v>41.822600000000001</c:v>
                </c:pt>
                <c:pt idx="30">
                  <c:v>42.231099999999998</c:v>
                </c:pt>
                <c:pt idx="31">
                  <c:v>42.640300000000003</c:v>
                </c:pt>
                <c:pt idx="32">
                  <c:v>43.042400000000001</c:v>
                </c:pt>
                <c:pt idx="33">
                  <c:v>43.445500000000003</c:v>
                </c:pt>
                <c:pt idx="34">
                  <c:v>43.852200000000003</c:v>
                </c:pt>
                <c:pt idx="35">
                  <c:v>44.264200000000002</c:v>
                </c:pt>
                <c:pt idx="36">
                  <c:v>44.6661</c:v>
                </c:pt>
                <c:pt idx="37">
                  <c:v>45.074300000000001</c:v>
                </c:pt>
                <c:pt idx="38">
                  <c:v>45.478099999999998</c:v>
                </c:pt>
                <c:pt idx="39">
                  <c:v>45.887999999999998</c:v>
                </c:pt>
                <c:pt idx="40">
                  <c:v>46.2941</c:v>
                </c:pt>
                <c:pt idx="41">
                  <c:v>46.700499999999998</c:v>
                </c:pt>
                <c:pt idx="42">
                  <c:v>47.1051</c:v>
                </c:pt>
                <c:pt idx="43">
                  <c:v>47.512500000000003</c:v>
                </c:pt>
                <c:pt idx="44">
                  <c:v>47.915700000000001</c:v>
                </c:pt>
                <c:pt idx="45">
                  <c:v>48.325800000000001</c:v>
                </c:pt>
                <c:pt idx="46">
                  <c:v>48.728400000000001</c:v>
                </c:pt>
                <c:pt idx="47">
                  <c:v>49.136299999999999</c:v>
                </c:pt>
                <c:pt idx="48">
                  <c:v>49.5396</c:v>
                </c:pt>
                <c:pt idx="49">
                  <c:v>49.946199999999997</c:v>
                </c:pt>
                <c:pt idx="50">
                  <c:v>50.354799999999997</c:v>
                </c:pt>
                <c:pt idx="51">
                  <c:v>50.759700000000002</c:v>
                </c:pt>
                <c:pt idx="52">
                  <c:v>51.167499999999997</c:v>
                </c:pt>
                <c:pt idx="53">
                  <c:v>51.573099999999997</c:v>
                </c:pt>
                <c:pt idx="54">
                  <c:v>51.985399999999998</c:v>
                </c:pt>
                <c:pt idx="55">
                  <c:v>52.387300000000003</c:v>
                </c:pt>
                <c:pt idx="56">
                  <c:v>52.790199999999999</c:v>
                </c:pt>
                <c:pt idx="57">
                  <c:v>53.198</c:v>
                </c:pt>
                <c:pt idx="58">
                  <c:v>53.607999999999997</c:v>
                </c:pt>
                <c:pt idx="59">
                  <c:v>54.012300000000003</c:v>
                </c:pt>
                <c:pt idx="60">
                  <c:v>54.418300000000002</c:v>
                </c:pt>
                <c:pt idx="61">
                  <c:v>54.8215</c:v>
                </c:pt>
                <c:pt idx="62">
                  <c:v>55.229799999999997</c:v>
                </c:pt>
                <c:pt idx="63">
                  <c:v>55.6372</c:v>
                </c:pt>
                <c:pt idx="64">
                  <c:v>56.043399999999998</c:v>
                </c:pt>
                <c:pt idx="65">
                  <c:v>56.447699999999998</c:v>
                </c:pt>
                <c:pt idx="66">
                  <c:v>56.854300000000002</c:v>
                </c:pt>
                <c:pt idx="67">
                  <c:v>57.259799999999998</c:v>
                </c:pt>
                <c:pt idx="68">
                  <c:v>57.674399999999999</c:v>
                </c:pt>
                <c:pt idx="69">
                  <c:v>58.076799999999999</c:v>
                </c:pt>
                <c:pt idx="70">
                  <c:v>58.487400000000001</c:v>
                </c:pt>
                <c:pt idx="71">
                  <c:v>58.885399999999997</c:v>
                </c:pt>
                <c:pt idx="72">
                  <c:v>59.2898</c:v>
                </c:pt>
                <c:pt idx="73">
                  <c:v>59.697499999999998</c:v>
                </c:pt>
                <c:pt idx="74">
                  <c:v>60.103299999999997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4.5679599999999994</c:v>
                </c:pt>
                <c:pt idx="1">
                  <c:v>4.5897800000000002</c:v>
                </c:pt>
                <c:pt idx="2">
                  <c:v>4.61015</c:v>
                </c:pt>
                <c:pt idx="3">
                  <c:v>4.6278799999999993</c:v>
                </c:pt>
                <c:pt idx="4">
                  <c:v>4.6434800000000003</c:v>
                </c:pt>
                <c:pt idx="5">
                  <c:v>4.65754</c:v>
                </c:pt>
                <c:pt idx="6">
                  <c:v>4.6688200000000002</c:v>
                </c:pt>
                <c:pt idx="7">
                  <c:v>4.6766999999999994</c:v>
                </c:pt>
                <c:pt idx="8">
                  <c:v>4.6812399999999998</c:v>
                </c:pt>
                <c:pt idx="9">
                  <c:v>4.6804800000000002</c:v>
                </c:pt>
                <c:pt idx="10">
                  <c:v>4.6765099999999995</c:v>
                </c:pt>
                <c:pt idx="11">
                  <c:v>4.6655600000000002</c:v>
                </c:pt>
                <c:pt idx="12">
                  <c:v>4.6530300000000002</c:v>
                </c:pt>
                <c:pt idx="13">
                  <c:v>4.6411300000000004</c:v>
                </c:pt>
                <c:pt idx="14">
                  <c:v>4.6303599999999996</c:v>
                </c:pt>
                <c:pt idx="15">
                  <c:v>4.6232299999999995</c:v>
                </c:pt>
                <c:pt idx="16">
                  <c:v>4.6163500000000006</c:v>
                </c:pt>
                <c:pt idx="17">
                  <c:v>4.6073500000000003</c:v>
                </c:pt>
                <c:pt idx="18">
                  <c:v>4.5960900000000002</c:v>
                </c:pt>
                <c:pt idx="19">
                  <c:v>4.58406</c:v>
                </c:pt>
                <c:pt idx="20">
                  <c:v>4.5694900000000001</c:v>
                </c:pt>
                <c:pt idx="21">
                  <c:v>4.5522499999999999</c:v>
                </c:pt>
                <c:pt idx="22">
                  <c:v>4.5333899999999998</c:v>
                </c:pt>
                <c:pt idx="23">
                  <c:v>4.5107699999999999</c:v>
                </c:pt>
                <c:pt idx="24">
                  <c:v>4.4843299999999999</c:v>
                </c:pt>
                <c:pt idx="25">
                  <c:v>4.4524900000000001</c:v>
                </c:pt>
                <c:pt idx="26">
                  <c:v>4.4192900000000002</c:v>
                </c:pt>
                <c:pt idx="27">
                  <c:v>4.3850299999999995</c:v>
                </c:pt>
                <c:pt idx="28">
                  <c:v>4.3520300000000001</c:v>
                </c:pt>
                <c:pt idx="29">
                  <c:v>4.3245000000000005</c:v>
                </c:pt>
                <c:pt idx="30">
                  <c:v>4.2962699999999998</c:v>
                </c:pt>
                <c:pt idx="31">
                  <c:v>4.2672100000000004</c:v>
                </c:pt>
                <c:pt idx="32">
                  <c:v>4.2413499999999997</c:v>
                </c:pt>
                <c:pt idx="33">
                  <c:v>4.2173999999999996</c:v>
                </c:pt>
                <c:pt idx="34">
                  <c:v>4.1913</c:v>
                </c:pt>
                <c:pt idx="35">
                  <c:v>4.1655499999999996</c:v>
                </c:pt>
                <c:pt idx="36">
                  <c:v>4.1426099999999995</c:v>
                </c:pt>
                <c:pt idx="37">
                  <c:v>4.1214399999999998</c:v>
                </c:pt>
                <c:pt idx="38">
                  <c:v>4.1018100000000004</c:v>
                </c:pt>
                <c:pt idx="39">
                  <c:v>4.0837400000000006</c:v>
                </c:pt>
                <c:pt idx="40">
                  <c:v>4.0675400000000002</c:v>
                </c:pt>
                <c:pt idx="41">
                  <c:v>4.0508100000000002</c:v>
                </c:pt>
                <c:pt idx="42">
                  <c:v>4.0322300000000002</c:v>
                </c:pt>
                <c:pt idx="43">
                  <c:v>4.0139100000000001</c:v>
                </c:pt>
                <c:pt idx="44">
                  <c:v>4.0003700000000002</c:v>
                </c:pt>
                <c:pt idx="45">
                  <c:v>3.9924500000000003</c:v>
                </c:pt>
                <c:pt idx="46">
                  <c:v>3.9865200000000001</c:v>
                </c:pt>
                <c:pt idx="47">
                  <c:v>3.9836200000000002</c:v>
                </c:pt>
                <c:pt idx="48">
                  <c:v>3.98421</c:v>
                </c:pt>
                <c:pt idx="49">
                  <c:v>3.9889599999999996</c:v>
                </c:pt>
                <c:pt idx="50">
                  <c:v>3.9934500000000002</c:v>
                </c:pt>
                <c:pt idx="51">
                  <c:v>3.9972999999999996</c:v>
                </c:pt>
                <c:pt idx="52">
                  <c:v>4.00204</c:v>
                </c:pt>
                <c:pt idx="53">
                  <c:v>4.0066299999999995</c:v>
                </c:pt>
                <c:pt idx="54">
                  <c:v>4.0079399999999996</c:v>
                </c:pt>
                <c:pt idx="55">
                  <c:v>4.0069100000000004</c:v>
                </c:pt>
                <c:pt idx="56">
                  <c:v>4.0048399999999997</c:v>
                </c:pt>
                <c:pt idx="57">
                  <c:v>4.00122</c:v>
                </c:pt>
                <c:pt idx="58">
                  <c:v>3.9977</c:v>
                </c:pt>
                <c:pt idx="59">
                  <c:v>3.9999899999999999</c:v>
                </c:pt>
                <c:pt idx="60">
                  <c:v>4.00793</c:v>
                </c:pt>
                <c:pt idx="61">
                  <c:v>4.0183799999999996</c:v>
                </c:pt>
                <c:pt idx="62">
                  <c:v>4.0293400000000004</c:v>
                </c:pt>
                <c:pt idx="63">
                  <c:v>4.0411599999999996</c:v>
                </c:pt>
                <c:pt idx="64">
                  <c:v>4.0506199999999994</c:v>
                </c:pt>
                <c:pt idx="65">
                  <c:v>4.0542699999999998</c:v>
                </c:pt>
                <c:pt idx="66">
                  <c:v>4.06135</c:v>
                </c:pt>
                <c:pt idx="67">
                  <c:v>4.0730899999999997</c:v>
                </c:pt>
                <c:pt idx="68">
                  <c:v>4.0869</c:v>
                </c:pt>
                <c:pt idx="69">
                  <c:v>4.0998299999999999</c:v>
                </c:pt>
                <c:pt idx="70">
                  <c:v>4.1125800000000003</c:v>
                </c:pt>
                <c:pt idx="71">
                  <c:v>4.11707</c:v>
                </c:pt>
                <c:pt idx="72">
                  <c:v>4.1176300000000001</c:v>
                </c:pt>
                <c:pt idx="73">
                  <c:v>4.1215200000000003</c:v>
                </c:pt>
                <c:pt idx="74">
                  <c:v>4.1097599999999996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15.025824999999999</c:v>
                </c:pt>
                <c:pt idx="1">
                  <c:v>45.077475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3.7477591891891904</c:v>
                </c:pt>
                <c:pt idx="1">
                  <c:v>4.2732467567567571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9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  <c:pt idx="75">
                  <c:v>30.449200000000001</c:v>
                </c:pt>
                <c:pt idx="76">
                  <c:v>30.853899999999999</c:v>
                </c:pt>
                <c:pt idx="77">
                  <c:v>31.260200000000001</c:v>
                </c:pt>
                <c:pt idx="78">
                  <c:v>31.6646</c:v>
                </c:pt>
                <c:pt idx="79">
                  <c:v>32.075400000000002</c:v>
                </c:pt>
                <c:pt idx="80">
                  <c:v>32.479199999999999</c:v>
                </c:pt>
                <c:pt idx="81">
                  <c:v>32.883899999999997</c:v>
                </c:pt>
                <c:pt idx="82">
                  <c:v>33.291600000000003</c:v>
                </c:pt>
                <c:pt idx="83">
                  <c:v>33.697899999999997</c:v>
                </c:pt>
                <c:pt idx="84">
                  <c:v>34.107500000000002</c:v>
                </c:pt>
                <c:pt idx="85">
                  <c:v>34.514099999999999</c:v>
                </c:pt>
                <c:pt idx="86">
                  <c:v>34.917000000000002</c:v>
                </c:pt>
                <c:pt idx="87">
                  <c:v>35.321800000000003</c:v>
                </c:pt>
                <c:pt idx="88">
                  <c:v>35.731099999999998</c:v>
                </c:pt>
                <c:pt idx="89">
                  <c:v>36.139899999999997</c:v>
                </c:pt>
                <c:pt idx="90">
                  <c:v>36.545099999999998</c:v>
                </c:pt>
                <c:pt idx="91">
                  <c:v>36.952399999999997</c:v>
                </c:pt>
                <c:pt idx="92">
                  <c:v>37.353200000000001</c:v>
                </c:pt>
                <c:pt idx="93">
                  <c:v>37.760100000000001</c:v>
                </c:pt>
                <c:pt idx="94">
                  <c:v>38.1676</c:v>
                </c:pt>
                <c:pt idx="95">
                  <c:v>38.575499999999998</c:v>
                </c:pt>
                <c:pt idx="96">
                  <c:v>38.979399999999998</c:v>
                </c:pt>
                <c:pt idx="97">
                  <c:v>39.384099999999997</c:v>
                </c:pt>
                <c:pt idx="98">
                  <c:v>39.791699999999999</c:v>
                </c:pt>
                <c:pt idx="99">
                  <c:v>40.200499999999998</c:v>
                </c:pt>
                <c:pt idx="100">
                  <c:v>40.606699999999996</c:v>
                </c:pt>
                <c:pt idx="101">
                  <c:v>41.011499999999998</c:v>
                </c:pt>
                <c:pt idx="102">
                  <c:v>41.416800000000002</c:v>
                </c:pt>
                <c:pt idx="103">
                  <c:v>41.822600000000001</c:v>
                </c:pt>
                <c:pt idx="104">
                  <c:v>42.231099999999998</c:v>
                </c:pt>
                <c:pt idx="105">
                  <c:v>42.640300000000003</c:v>
                </c:pt>
                <c:pt idx="106">
                  <c:v>43.042400000000001</c:v>
                </c:pt>
                <c:pt idx="107">
                  <c:v>43.445500000000003</c:v>
                </c:pt>
                <c:pt idx="108">
                  <c:v>43.852200000000003</c:v>
                </c:pt>
                <c:pt idx="109">
                  <c:v>44.264200000000002</c:v>
                </c:pt>
                <c:pt idx="110">
                  <c:v>44.6661</c:v>
                </c:pt>
                <c:pt idx="111">
                  <c:v>45.074300000000001</c:v>
                </c:pt>
                <c:pt idx="112">
                  <c:v>45.478099999999998</c:v>
                </c:pt>
                <c:pt idx="113">
                  <c:v>45.887999999999998</c:v>
                </c:pt>
                <c:pt idx="114">
                  <c:v>46.2941</c:v>
                </c:pt>
                <c:pt idx="115">
                  <c:v>46.700499999999998</c:v>
                </c:pt>
                <c:pt idx="116">
                  <c:v>47.1051</c:v>
                </c:pt>
                <c:pt idx="117">
                  <c:v>47.512500000000003</c:v>
                </c:pt>
                <c:pt idx="118">
                  <c:v>47.915700000000001</c:v>
                </c:pt>
                <c:pt idx="119">
                  <c:v>48.325800000000001</c:v>
                </c:pt>
                <c:pt idx="120">
                  <c:v>48.728400000000001</c:v>
                </c:pt>
                <c:pt idx="121">
                  <c:v>49.136299999999999</c:v>
                </c:pt>
                <c:pt idx="122">
                  <c:v>49.5396</c:v>
                </c:pt>
                <c:pt idx="123">
                  <c:v>49.946199999999997</c:v>
                </c:pt>
                <c:pt idx="124">
                  <c:v>50.354799999999997</c:v>
                </c:pt>
                <c:pt idx="125">
                  <c:v>50.759700000000002</c:v>
                </c:pt>
                <c:pt idx="126">
                  <c:v>51.167499999999997</c:v>
                </c:pt>
                <c:pt idx="127">
                  <c:v>51.573099999999997</c:v>
                </c:pt>
                <c:pt idx="128">
                  <c:v>51.985399999999998</c:v>
                </c:pt>
                <c:pt idx="129">
                  <c:v>52.387300000000003</c:v>
                </c:pt>
                <c:pt idx="130">
                  <c:v>52.790199999999999</c:v>
                </c:pt>
                <c:pt idx="131">
                  <c:v>53.198</c:v>
                </c:pt>
                <c:pt idx="132">
                  <c:v>53.607999999999997</c:v>
                </c:pt>
                <c:pt idx="133">
                  <c:v>54.012300000000003</c:v>
                </c:pt>
                <c:pt idx="134">
                  <c:v>54.418300000000002</c:v>
                </c:pt>
                <c:pt idx="135">
                  <c:v>54.8215</c:v>
                </c:pt>
                <c:pt idx="136">
                  <c:v>55.229799999999997</c:v>
                </c:pt>
                <c:pt idx="137">
                  <c:v>55.6372</c:v>
                </c:pt>
                <c:pt idx="138">
                  <c:v>56.043399999999998</c:v>
                </c:pt>
                <c:pt idx="139">
                  <c:v>56.447699999999998</c:v>
                </c:pt>
                <c:pt idx="140">
                  <c:v>56.854300000000002</c:v>
                </c:pt>
                <c:pt idx="141">
                  <c:v>57.259799999999998</c:v>
                </c:pt>
                <c:pt idx="142">
                  <c:v>57.674399999999999</c:v>
                </c:pt>
                <c:pt idx="143">
                  <c:v>58.076799999999999</c:v>
                </c:pt>
                <c:pt idx="144">
                  <c:v>58.487400000000001</c:v>
                </c:pt>
                <c:pt idx="145">
                  <c:v>58.885399999999997</c:v>
                </c:pt>
                <c:pt idx="146">
                  <c:v>59.2898</c:v>
                </c:pt>
                <c:pt idx="147">
                  <c:v>59.697499999999998</c:v>
                </c:pt>
                <c:pt idx="148">
                  <c:v>60.103299999999997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  <c:pt idx="75">
                  <c:v>36.689100000000003</c:v>
                </c:pt>
                <c:pt idx="76">
                  <c:v>36.474800000000002</c:v>
                </c:pt>
                <c:pt idx="77">
                  <c:v>36.240499999999997</c:v>
                </c:pt>
                <c:pt idx="78">
                  <c:v>36.091000000000001</c:v>
                </c:pt>
                <c:pt idx="79">
                  <c:v>35.977699999999999</c:v>
                </c:pt>
                <c:pt idx="80">
                  <c:v>35.893999999999998</c:v>
                </c:pt>
                <c:pt idx="81">
                  <c:v>35.8324</c:v>
                </c:pt>
                <c:pt idx="82">
                  <c:v>35.782199999999996</c:v>
                </c:pt>
                <c:pt idx="83">
                  <c:v>35.768999999999998</c:v>
                </c:pt>
                <c:pt idx="84">
                  <c:v>35.691400000000002</c:v>
                </c:pt>
                <c:pt idx="85">
                  <c:v>35.642600000000002</c:v>
                </c:pt>
                <c:pt idx="86">
                  <c:v>35.618400000000001</c:v>
                </c:pt>
                <c:pt idx="87">
                  <c:v>35.619900000000001</c:v>
                </c:pt>
                <c:pt idx="88">
                  <c:v>35.635600000000004</c:v>
                </c:pt>
                <c:pt idx="89">
                  <c:v>35.683799999999998</c:v>
                </c:pt>
                <c:pt idx="90">
                  <c:v>35.734400000000001</c:v>
                </c:pt>
                <c:pt idx="91">
                  <c:v>35.794699999999999</c:v>
                </c:pt>
                <c:pt idx="92">
                  <c:v>35.889500000000005</c:v>
                </c:pt>
                <c:pt idx="93">
                  <c:v>35.938400000000001</c:v>
                </c:pt>
                <c:pt idx="94">
                  <c:v>35.990400000000001</c:v>
                </c:pt>
                <c:pt idx="95">
                  <c:v>36.127400000000002</c:v>
                </c:pt>
                <c:pt idx="96">
                  <c:v>36.275500000000001</c:v>
                </c:pt>
                <c:pt idx="97">
                  <c:v>36.436600000000006</c:v>
                </c:pt>
                <c:pt idx="98">
                  <c:v>36.619800000000005</c:v>
                </c:pt>
                <c:pt idx="99">
                  <c:v>36.831499999999998</c:v>
                </c:pt>
                <c:pt idx="100">
                  <c:v>37.008299999999998</c:v>
                </c:pt>
                <c:pt idx="101">
                  <c:v>37.196600000000004</c:v>
                </c:pt>
                <c:pt idx="102">
                  <c:v>37.405000000000001</c:v>
                </c:pt>
                <c:pt idx="103">
                  <c:v>37.5809</c:v>
                </c:pt>
                <c:pt idx="104">
                  <c:v>37.8523</c:v>
                </c:pt>
                <c:pt idx="105">
                  <c:v>38.198799999999999</c:v>
                </c:pt>
                <c:pt idx="106">
                  <c:v>38.523400000000002</c:v>
                </c:pt>
                <c:pt idx="107">
                  <c:v>38.786500000000004</c:v>
                </c:pt>
                <c:pt idx="108">
                  <c:v>39.003399999999999</c:v>
                </c:pt>
                <c:pt idx="109">
                  <c:v>39.286700000000003</c:v>
                </c:pt>
                <c:pt idx="110">
                  <c:v>39.516600000000004</c:v>
                </c:pt>
                <c:pt idx="111">
                  <c:v>39.743400000000001</c:v>
                </c:pt>
                <c:pt idx="112">
                  <c:v>39.929199999999994</c:v>
                </c:pt>
                <c:pt idx="113">
                  <c:v>40.125300000000003</c:v>
                </c:pt>
                <c:pt idx="114">
                  <c:v>40.258899999999997</c:v>
                </c:pt>
                <c:pt idx="115">
                  <c:v>40.369500000000002</c:v>
                </c:pt>
                <c:pt idx="116">
                  <c:v>40.483200000000004</c:v>
                </c:pt>
                <c:pt idx="117">
                  <c:v>40.576099999999997</c:v>
                </c:pt>
                <c:pt idx="118">
                  <c:v>40.565200000000004</c:v>
                </c:pt>
                <c:pt idx="119">
                  <c:v>40.427999999999997</c:v>
                </c:pt>
                <c:pt idx="120">
                  <c:v>40.215699999999998</c:v>
                </c:pt>
                <c:pt idx="121">
                  <c:v>39.9544</c:v>
                </c:pt>
                <c:pt idx="122">
                  <c:v>39.637599999999999</c:v>
                </c:pt>
                <c:pt idx="123">
                  <c:v>39.271299999999997</c:v>
                </c:pt>
                <c:pt idx="124">
                  <c:v>39.0364</c:v>
                </c:pt>
                <c:pt idx="125">
                  <c:v>38.929299999999998</c:v>
                </c:pt>
                <c:pt idx="126">
                  <c:v>38.839700000000001</c:v>
                </c:pt>
                <c:pt idx="127">
                  <c:v>38.753100000000003</c:v>
                </c:pt>
                <c:pt idx="128">
                  <c:v>38.645299999999999</c:v>
                </c:pt>
                <c:pt idx="129">
                  <c:v>38.4998</c:v>
                </c:pt>
                <c:pt idx="130">
                  <c:v>38.3339</c:v>
                </c:pt>
                <c:pt idx="131">
                  <c:v>38.174400000000006</c:v>
                </c:pt>
                <c:pt idx="132">
                  <c:v>37.9985</c:v>
                </c:pt>
                <c:pt idx="133">
                  <c:v>37.774299999999997</c:v>
                </c:pt>
                <c:pt idx="134">
                  <c:v>37.533000000000001</c:v>
                </c:pt>
                <c:pt idx="135">
                  <c:v>37.319200000000002</c:v>
                </c:pt>
                <c:pt idx="136">
                  <c:v>37.0456</c:v>
                </c:pt>
                <c:pt idx="137">
                  <c:v>36.727600000000002</c:v>
                </c:pt>
                <c:pt idx="138">
                  <c:v>36.399300000000004</c:v>
                </c:pt>
                <c:pt idx="139">
                  <c:v>36.109200000000001</c:v>
                </c:pt>
                <c:pt idx="140">
                  <c:v>35.788499999999999</c:v>
                </c:pt>
                <c:pt idx="141">
                  <c:v>35.493000000000002</c:v>
                </c:pt>
                <c:pt idx="142">
                  <c:v>35.221699999999998</c:v>
                </c:pt>
                <c:pt idx="143">
                  <c:v>35.020299999999999</c:v>
                </c:pt>
                <c:pt idx="144">
                  <c:v>34.765499999999996</c:v>
                </c:pt>
                <c:pt idx="145">
                  <c:v>34.658099999999997</c:v>
                </c:pt>
                <c:pt idx="146">
                  <c:v>34.561</c:v>
                </c:pt>
                <c:pt idx="147">
                  <c:v>34.234400000000001</c:v>
                </c:pt>
                <c:pt idx="148">
                  <c:v>33.890500000000003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5"/>
                <c:pt idx="0">
                  <c:v>0</c:v>
                </c:pt>
                <c:pt idx="1">
                  <c:v>0.35444500000000001</c:v>
                </c:pt>
                <c:pt idx="2">
                  <c:v>0.76388199999999995</c:v>
                </c:pt>
                <c:pt idx="3">
                  <c:v>1.1645000000000001</c:v>
                </c:pt>
                <c:pt idx="4">
                  <c:v>1.5746</c:v>
                </c:pt>
                <c:pt idx="5">
                  <c:v>1.9828300000000001</c:v>
                </c:pt>
                <c:pt idx="6">
                  <c:v>2.3875799999999998</c:v>
                </c:pt>
                <c:pt idx="7">
                  <c:v>2.7935099999999999</c:v>
                </c:pt>
                <c:pt idx="8">
                  <c:v>3.1953100000000001</c:v>
                </c:pt>
                <c:pt idx="9">
                  <c:v>3.6061700000000001</c:v>
                </c:pt>
                <c:pt idx="10">
                  <c:v>4.01302</c:v>
                </c:pt>
                <c:pt idx="11">
                  <c:v>4.4170999999999996</c:v>
                </c:pt>
                <c:pt idx="12">
                  <c:v>4.8213200000000001</c:v>
                </c:pt>
                <c:pt idx="13">
                  <c:v>5.2282500000000001</c:v>
                </c:pt>
                <c:pt idx="14">
                  <c:v>5.6357699999999999</c:v>
                </c:pt>
                <c:pt idx="15">
                  <c:v>6.0434799999999997</c:v>
                </c:pt>
                <c:pt idx="16">
                  <c:v>6.4521499999999996</c:v>
                </c:pt>
                <c:pt idx="17">
                  <c:v>6.8524799999999999</c:v>
                </c:pt>
                <c:pt idx="18">
                  <c:v>7.2606599999999997</c:v>
                </c:pt>
                <c:pt idx="19">
                  <c:v>7.6669600000000004</c:v>
                </c:pt>
                <c:pt idx="20">
                  <c:v>8.0774799999999995</c:v>
                </c:pt>
                <c:pt idx="21">
                  <c:v>8.4793299999999991</c:v>
                </c:pt>
                <c:pt idx="22">
                  <c:v>8.8839100000000002</c:v>
                </c:pt>
                <c:pt idx="23">
                  <c:v>9.2897499999999997</c:v>
                </c:pt>
                <c:pt idx="24">
                  <c:v>9.6969600000000007</c:v>
                </c:pt>
                <c:pt idx="25">
                  <c:v>10.1059</c:v>
                </c:pt>
                <c:pt idx="26">
                  <c:v>10.512700000000001</c:v>
                </c:pt>
                <c:pt idx="27">
                  <c:v>10.916399999999999</c:v>
                </c:pt>
                <c:pt idx="28">
                  <c:v>11.322100000000001</c:v>
                </c:pt>
                <c:pt idx="29">
                  <c:v>11.7262</c:v>
                </c:pt>
                <c:pt idx="30">
                  <c:v>12.1356</c:v>
                </c:pt>
                <c:pt idx="31">
                  <c:v>12.5474</c:v>
                </c:pt>
                <c:pt idx="32">
                  <c:v>12.9505</c:v>
                </c:pt>
                <c:pt idx="33">
                  <c:v>13.3589</c:v>
                </c:pt>
                <c:pt idx="34">
                  <c:v>13.7607</c:v>
                </c:pt>
                <c:pt idx="35">
                  <c:v>14.1662</c:v>
                </c:pt>
                <c:pt idx="36">
                  <c:v>14.5754</c:v>
                </c:pt>
                <c:pt idx="37">
                  <c:v>14.98</c:v>
                </c:pt>
                <c:pt idx="38">
                  <c:v>15.3833</c:v>
                </c:pt>
                <c:pt idx="39">
                  <c:v>15.7927</c:v>
                </c:pt>
                <c:pt idx="40">
                  <c:v>16.197800000000001</c:v>
                </c:pt>
                <c:pt idx="41">
                  <c:v>16.609200000000001</c:v>
                </c:pt>
                <c:pt idx="42">
                  <c:v>17.012599999999999</c:v>
                </c:pt>
                <c:pt idx="43">
                  <c:v>17.415700000000001</c:v>
                </c:pt>
                <c:pt idx="44">
                  <c:v>17.822500000000002</c:v>
                </c:pt>
                <c:pt idx="45">
                  <c:v>18.229800000000001</c:v>
                </c:pt>
                <c:pt idx="46">
                  <c:v>18.6387</c:v>
                </c:pt>
                <c:pt idx="47">
                  <c:v>19.042300000000001</c:v>
                </c:pt>
                <c:pt idx="48">
                  <c:v>19.446000000000002</c:v>
                </c:pt>
                <c:pt idx="49">
                  <c:v>19.8537</c:v>
                </c:pt>
                <c:pt idx="50">
                  <c:v>20.260899999999999</c:v>
                </c:pt>
                <c:pt idx="51">
                  <c:v>20.665900000000001</c:v>
                </c:pt>
                <c:pt idx="52">
                  <c:v>21.073599999999999</c:v>
                </c:pt>
                <c:pt idx="53">
                  <c:v>21.476500000000001</c:v>
                </c:pt>
                <c:pt idx="54">
                  <c:v>21.883500000000002</c:v>
                </c:pt>
                <c:pt idx="55">
                  <c:v>22.293900000000001</c:v>
                </c:pt>
                <c:pt idx="56">
                  <c:v>22.6997</c:v>
                </c:pt>
                <c:pt idx="57">
                  <c:v>23.1053</c:v>
                </c:pt>
                <c:pt idx="58">
                  <c:v>23.510100000000001</c:v>
                </c:pt>
                <c:pt idx="59">
                  <c:v>23.92</c:v>
                </c:pt>
                <c:pt idx="60">
                  <c:v>24.322500000000002</c:v>
                </c:pt>
                <c:pt idx="61">
                  <c:v>24.732399999999998</c:v>
                </c:pt>
                <c:pt idx="62">
                  <c:v>25.1372</c:v>
                </c:pt>
                <c:pt idx="63">
                  <c:v>25.540199999999999</c:v>
                </c:pt>
                <c:pt idx="64">
                  <c:v>25.945399999999999</c:v>
                </c:pt>
                <c:pt idx="65">
                  <c:v>26.351600000000001</c:v>
                </c:pt>
                <c:pt idx="66">
                  <c:v>26.759599999999999</c:v>
                </c:pt>
                <c:pt idx="67">
                  <c:v>27.167899999999999</c:v>
                </c:pt>
                <c:pt idx="68">
                  <c:v>27.572600000000001</c:v>
                </c:pt>
                <c:pt idx="69">
                  <c:v>27.9801</c:v>
                </c:pt>
                <c:pt idx="70">
                  <c:v>28.386900000000001</c:v>
                </c:pt>
                <c:pt idx="71">
                  <c:v>28.791599999999999</c:v>
                </c:pt>
                <c:pt idx="72">
                  <c:v>29.198</c:v>
                </c:pt>
                <c:pt idx="73">
                  <c:v>29.602499999999999</c:v>
                </c:pt>
                <c:pt idx="74">
                  <c:v>30.013400000000001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30.013400000000001</c:v>
                </c:pt>
                <c:pt idx="1">
                  <c:v>30.449200000000001</c:v>
                </c:pt>
                <c:pt idx="2">
                  <c:v>30.853899999999999</c:v>
                </c:pt>
                <c:pt idx="3">
                  <c:v>31.260200000000001</c:v>
                </c:pt>
                <c:pt idx="4">
                  <c:v>31.6646</c:v>
                </c:pt>
                <c:pt idx="5">
                  <c:v>32.075400000000002</c:v>
                </c:pt>
                <c:pt idx="6">
                  <c:v>32.479199999999999</c:v>
                </c:pt>
                <c:pt idx="7">
                  <c:v>32.883899999999997</c:v>
                </c:pt>
                <c:pt idx="8">
                  <c:v>33.291600000000003</c:v>
                </c:pt>
                <c:pt idx="9">
                  <c:v>33.697899999999997</c:v>
                </c:pt>
                <c:pt idx="10">
                  <c:v>34.107500000000002</c:v>
                </c:pt>
                <c:pt idx="11">
                  <c:v>34.514099999999999</c:v>
                </c:pt>
                <c:pt idx="12">
                  <c:v>34.917000000000002</c:v>
                </c:pt>
                <c:pt idx="13">
                  <c:v>35.321800000000003</c:v>
                </c:pt>
                <c:pt idx="14">
                  <c:v>35.731099999999998</c:v>
                </c:pt>
                <c:pt idx="15">
                  <c:v>36.139899999999997</c:v>
                </c:pt>
                <c:pt idx="16">
                  <c:v>36.545099999999998</c:v>
                </c:pt>
                <c:pt idx="17">
                  <c:v>36.952399999999997</c:v>
                </c:pt>
                <c:pt idx="18">
                  <c:v>37.353200000000001</c:v>
                </c:pt>
                <c:pt idx="19">
                  <c:v>37.760100000000001</c:v>
                </c:pt>
                <c:pt idx="20">
                  <c:v>38.1676</c:v>
                </c:pt>
                <c:pt idx="21">
                  <c:v>38.575499999999998</c:v>
                </c:pt>
                <c:pt idx="22">
                  <c:v>38.979399999999998</c:v>
                </c:pt>
                <c:pt idx="23">
                  <c:v>39.384099999999997</c:v>
                </c:pt>
                <c:pt idx="24">
                  <c:v>39.791699999999999</c:v>
                </c:pt>
                <c:pt idx="25">
                  <c:v>40.200499999999998</c:v>
                </c:pt>
                <c:pt idx="26">
                  <c:v>40.606699999999996</c:v>
                </c:pt>
                <c:pt idx="27">
                  <c:v>41.011499999999998</c:v>
                </c:pt>
                <c:pt idx="28">
                  <c:v>41.416800000000002</c:v>
                </c:pt>
                <c:pt idx="29">
                  <c:v>41.822600000000001</c:v>
                </c:pt>
                <c:pt idx="30">
                  <c:v>42.231099999999998</c:v>
                </c:pt>
                <c:pt idx="31">
                  <c:v>42.640300000000003</c:v>
                </c:pt>
                <c:pt idx="32">
                  <c:v>43.042400000000001</c:v>
                </c:pt>
                <c:pt idx="33">
                  <c:v>43.445500000000003</c:v>
                </c:pt>
                <c:pt idx="34">
                  <c:v>43.852200000000003</c:v>
                </c:pt>
                <c:pt idx="35">
                  <c:v>44.264200000000002</c:v>
                </c:pt>
                <c:pt idx="36">
                  <c:v>44.6661</c:v>
                </c:pt>
                <c:pt idx="37">
                  <c:v>45.074300000000001</c:v>
                </c:pt>
                <c:pt idx="38">
                  <c:v>45.478099999999998</c:v>
                </c:pt>
                <c:pt idx="39">
                  <c:v>45.887999999999998</c:v>
                </c:pt>
                <c:pt idx="40">
                  <c:v>46.2941</c:v>
                </c:pt>
                <c:pt idx="41">
                  <c:v>46.700499999999998</c:v>
                </c:pt>
                <c:pt idx="42">
                  <c:v>47.1051</c:v>
                </c:pt>
                <c:pt idx="43">
                  <c:v>47.512500000000003</c:v>
                </c:pt>
                <c:pt idx="44">
                  <c:v>47.915700000000001</c:v>
                </c:pt>
                <c:pt idx="45">
                  <c:v>48.325800000000001</c:v>
                </c:pt>
                <c:pt idx="46">
                  <c:v>48.728400000000001</c:v>
                </c:pt>
                <c:pt idx="47">
                  <c:v>49.136299999999999</c:v>
                </c:pt>
                <c:pt idx="48">
                  <c:v>49.5396</c:v>
                </c:pt>
                <c:pt idx="49">
                  <c:v>49.946199999999997</c:v>
                </c:pt>
                <c:pt idx="50">
                  <c:v>50.354799999999997</c:v>
                </c:pt>
                <c:pt idx="51">
                  <c:v>50.759700000000002</c:v>
                </c:pt>
                <c:pt idx="52">
                  <c:v>51.167499999999997</c:v>
                </c:pt>
                <c:pt idx="53">
                  <c:v>51.573099999999997</c:v>
                </c:pt>
                <c:pt idx="54">
                  <c:v>51.985399999999998</c:v>
                </c:pt>
                <c:pt idx="55">
                  <c:v>52.387300000000003</c:v>
                </c:pt>
                <c:pt idx="56">
                  <c:v>52.790199999999999</c:v>
                </c:pt>
                <c:pt idx="57">
                  <c:v>53.198</c:v>
                </c:pt>
                <c:pt idx="58">
                  <c:v>53.607999999999997</c:v>
                </c:pt>
                <c:pt idx="59">
                  <c:v>54.012300000000003</c:v>
                </c:pt>
                <c:pt idx="60">
                  <c:v>54.418300000000002</c:v>
                </c:pt>
                <c:pt idx="61">
                  <c:v>54.8215</c:v>
                </c:pt>
                <c:pt idx="62">
                  <c:v>55.229799999999997</c:v>
                </c:pt>
                <c:pt idx="63">
                  <c:v>55.6372</c:v>
                </c:pt>
                <c:pt idx="64">
                  <c:v>56.043399999999998</c:v>
                </c:pt>
                <c:pt idx="65">
                  <c:v>56.447699999999998</c:v>
                </c:pt>
                <c:pt idx="66">
                  <c:v>56.854300000000002</c:v>
                </c:pt>
                <c:pt idx="67">
                  <c:v>57.259799999999998</c:v>
                </c:pt>
                <c:pt idx="68">
                  <c:v>57.674399999999999</c:v>
                </c:pt>
                <c:pt idx="69">
                  <c:v>58.076799999999999</c:v>
                </c:pt>
                <c:pt idx="70">
                  <c:v>58.487400000000001</c:v>
                </c:pt>
                <c:pt idx="71">
                  <c:v>58.885399999999997</c:v>
                </c:pt>
                <c:pt idx="72">
                  <c:v>59.2898</c:v>
                </c:pt>
                <c:pt idx="73">
                  <c:v>59.697499999999998</c:v>
                </c:pt>
                <c:pt idx="74">
                  <c:v>60.103299999999997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36.889499999999998</c:v>
                </c:pt>
                <c:pt idx="1">
                  <c:v>36.689100000000003</c:v>
                </c:pt>
                <c:pt idx="2">
                  <c:v>36.474800000000002</c:v>
                </c:pt>
                <c:pt idx="3">
                  <c:v>36.240499999999997</c:v>
                </c:pt>
                <c:pt idx="4">
                  <c:v>36.091000000000001</c:v>
                </c:pt>
                <c:pt idx="5">
                  <c:v>35.977699999999999</c:v>
                </c:pt>
                <c:pt idx="6">
                  <c:v>35.893999999999998</c:v>
                </c:pt>
                <c:pt idx="7">
                  <c:v>35.8324</c:v>
                </c:pt>
                <c:pt idx="8">
                  <c:v>35.782199999999996</c:v>
                </c:pt>
                <c:pt idx="9">
                  <c:v>35.768999999999998</c:v>
                </c:pt>
                <c:pt idx="10">
                  <c:v>35.691400000000002</c:v>
                </c:pt>
                <c:pt idx="11">
                  <c:v>35.642600000000002</c:v>
                </c:pt>
                <c:pt idx="12">
                  <c:v>35.618400000000001</c:v>
                </c:pt>
                <c:pt idx="13">
                  <c:v>35.619900000000001</c:v>
                </c:pt>
                <c:pt idx="14">
                  <c:v>35.635600000000004</c:v>
                </c:pt>
                <c:pt idx="15">
                  <c:v>35.683799999999998</c:v>
                </c:pt>
                <c:pt idx="16">
                  <c:v>35.734400000000001</c:v>
                </c:pt>
                <c:pt idx="17">
                  <c:v>35.794699999999999</c:v>
                </c:pt>
                <c:pt idx="18">
                  <c:v>35.889500000000005</c:v>
                </c:pt>
                <c:pt idx="19">
                  <c:v>35.938400000000001</c:v>
                </c:pt>
                <c:pt idx="20">
                  <c:v>35.990400000000001</c:v>
                </c:pt>
                <c:pt idx="21">
                  <c:v>36.127400000000002</c:v>
                </c:pt>
                <c:pt idx="22">
                  <c:v>36.275500000000001</c:v>
                </c:pt>
                <c:pt idx="23">
                  <c:v>36.436600000000006</c:v>
                </c:pt>
                <c:pt idx="24">
                  <c:v>36.619800000000005</c:v>
                </c:pt>
                <c:pt idx="25">
                  <c:v>36.831499999999998</c:v>
                </c:pt>
                <c:pt idx="26">
                  <c:v>37.008299999999998</c:v>
                </c:pt>
                <c:pt idx="27">
                  <c:v>37.196600000000004</c:v>
                </c:pt>
                <c:pt idx="28">
                  <c:v>37.405000000000001</c:v>
                </c:pt>
                <c:pt idx="29">
                  <c:v>37.5809</c:v>
                </c:pt>
                <c:pt idx="30">
                  <c:v>37.8523</c:v>
                </c:pt>
                <c:pt idx="31">
                  <c:v>38.198799999999999</c:v>
                </c:pt>
                <c:pt idx="32">
                  <c:v>38.523400000000002</c:v>
                </c:pt>
                <c:pt idx="33">
                  <c:v>38.786500000000004</c:v>
                </c:pt>
                <c:pt idx="34">
                  <c:v>39.003399999999999</c:v>
                </c:pt>
                <c:pt idx="35">
                  <c:v>39.286700000000003</c:v>
                </c:pt>
                <c:pt idx="36">
                  <c:v>39.516600000000004</c:v>
                </c:pt>
                <c:pt idx="37">
                  <c:v>39.743400000000001</c:v>
                </c:pt>
                <c:pt idx="38">
                  <c:v>39.929199999999994</c:v>
                </c:pt>
                <c:pt idx="39">
                  <c:v>40.125300000000003</c:v>
                </c:pt>
                <c:pt idx="40">
                  <c:v>40.258899999999997</c:v>
                </c:pt>
                <c:pt idx="41">
                  <c:v>40.369500000000002</c:v>
                </c:pt>
                <c:pt idx="42">
                  <c:v>40.483200000000004</c:v>
                </c:pt>
                <c:pt idx="43">
                  <c:v>40.576099999999997</c:v>
                </c:pt>
                <c:pt idx="44">
                  <c:v>40.565200000000004</c:v>
                </c:pt>
                <c:pt idx="45">
                  <c:v>40.427999999999997</c:v>
                </c:pt>
                <c:pt idx="46">
                  <c:v>40.215699999999998</c:v>
                </c:pt>
                <c:pt idx="47">
                  <c:v>39.9544</c:v>
                </c:pt>
                <c:pt idx="48">
                  <c:v>39.637599999999999</c:v>
                </c:pt>
                <c:pt idx="49">
                  <c:v>39.271299999999997</c:v>
                </c:pt>
                <c:pt idx="50">
                  <c:v>39.0364</c:v>
                </c:pt>
                <c:pt idx="51">
                  <c:v>38.929299999999998</c:v>
                </c:pt>
                <c:pt idx="52">
                  <c:v>38.839700000000001</c:v>
                </c:pt>
                <c:pt idx="53">
                  <c:v>38.753100000000003</c:v>
                </c:pt>
                <c:pt idx="54">
                  <c:v>38.645299999999999</c:v>
                </c:pt>
                <c:pt idx="55">
                  <c:v>38.4998</c:v>
                </c:pt>
                <c:pt idx="56">
                  <c:v>38.3339</c:v>
                </c:pt>
                <c:pt idx="57">
                  <c:v>38.174400000000006</c:v>
                </c:pt>
                <c:pt idx="58">
                  <c:v>37.9985</c:v>
                </c:pt>
                <c:pt idx="59">
                  <c:v>37.774299999999997</c:v>
                </c:pt>
                <c:pt idx="60">
                  <c:v>37.533000000000001</c:v>
                </c:pt>
                <c:pt idx="61">
                  <c:v>37.319200000000002</c:v>
                </c:pt>
                <c:pt idx="62">
                  <c:v>37.0456</c:v>
                </c:pt>
                <c:pt idx="63">
                  <c:v>36.727600000000002</c:v>
                </c:pt>
                <c:pt idx="64">
                  <c:v>36.399300000000004</c:v>
                </c:pt>
                <c:pt idx="65">
                  <c:v>36.109200000000001</c:v>
                </c:pt>
                <c:pt idx="66">
                  <c:v>35.788499999999999</c:v>
                </c:pt>
                <c:pt idx="67">
                  <c:v>35.493000000000002</c:v>
                </c:pt>
                <c:pt idx="68">
                  <c:v>35.221699999999998</c:v>
                </c:pt>
                <c:pt idx="69">
                  <c:v>35.020299999999999</c:v>
                </c:pt>
                <c:pt idx="70">
                  <c:v>34.765499999999996</c:v>
                </c:pt>
                <c:pt idx="71">
                  <c:v>34.658099999999997</c:v>
                </c:pt>
                <c:pt idx="72">
                  <c:v>34.561</c:v>
                </c:pt>
                <c:pt idx="73">
                  <c:v>34.234400000000001</c:v>
                </c:pt>
                <c:pt idx="74">
                  <c:v>33.890500000000003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15.025824999999999</c:v>
                </c:pt>
                <c:pt idx="1">
                  <c:v>45.077475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42.099675675675677</c:v>
                </c:pt>
                <c:pt idx="1">
                  <c:v>37.36415540540542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9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  <c:pt idx="75">
                  <c:v>4.5897800000000002</c:v>
                </c:pt>
                <c:pt idx="76">
                  <c:v>4.61015</c:v>
                </c:pt>
                <c:pt idx="77">
                  <c:v>4.6278799999999993</c:v>
                </c:pt>
                <c:pt idx="78">
                  <c:v>4.6434800000000003</c:v>
                </c:pt>
                <c:pt idx="79">
                  <c:v>4.65754</c:v>
                </c:pt>
                <c:pt idx="80">
                  <c:v>4.6688200000000002</c:v>
                </c:pt>
                <c:pt idx="81">
                  <c:v>4.6766999999999994</c:v>
                </c:pt>
                <c:pt idx="82">
                  <c:v>4.6812399999999998</c:v>
                </c:pt>
                <c:pt idx="83">
                  <c:v>4.6804800000000002</c:v>
                </c:pt>
                <c:pt idx="84">
                  <c:v>4.6765099999999995</c:v>
                </c:pt>
                <c:pt idx="85">
                  <c:v>4.6655600000000002</c:v>
                </c:pt>
                <c:pt idx="86">
                  <c:v>4.6530300000000002</c:v>
                </c:pt>
                <c:pt idx="87">
                  <c:v>4.6411300000000004</c:v>
                </c:pt>
                <c:pt idx="88">
                  <c:v>4.6303599999999996</c:v>
                </c:pt>
                <c:pt idx="89">
                  <c:v>4.6232299999999995</c:v>
                </c:pt>
                <c:pt idx="90">
                  <c:v>4.6163500000000006</c:v>
                </c:pt>
                <c:pt idx="91">
                  <c:v>4.6073500000000003</c:v>
                </c:pt>
                <c:pt idx="92">
                  <c:v>4.5960900000000002</c:v>
                </c:pt>
                <c:pt idx="93">
                  <c:v>4.58406</c:v>
                </c:pt>
                <c:pt idx="94">
                  <c:v>4.5694900000000001</c:v>
                </c:pt>
                <c:pt idx="95">
                  <c:v>4.5522499999999999</c:v>
                </c:pt>
                <c:pt idx="96">
                  <c:v>4.5333899999999998</c:v>
                </c:pt>
                <c:pt idx="97">
                  <c:v>4.5107699999999999</c:v>
                </c:pt>
                <c:pt idx="98">
                  <c:v>4.4843299999999999</c:v>
                </c:pt>
                <c:pt idx="99">
                  <c:v>4.4524900000000001</c:v>
                </c:pt>
                <c:pt idx="100">
                  <c:v>4.4192900000000002</c:v>
                </c:pt>
                <c:pt idx="101">
                  <c:v>4.3850299999999995</c:v>
                </c:pt>
                <c:pt idx="102">
                  <c:v>4.3520300000000001</c:v>
                </c:pt>
                <c:pt idx="103">
                  <c:v>4.3245000000000005</c:v>
                </c:pt>
                <c:pt idx="104">
                  <c:v>4.2962699999999998</c:v>
                </c:pt>
                <c:pt idx="105">
                  <c:v>4.2672100000000004</c:v>
                </c:pt>
                <c:pt idx="106">
                  <c:v>4.2413499999999997</c:v>
                </c:pt>
                <c:pt idx="107">
                  <c:v>4.2173999999999996</c:v>
                </c:pt>
                <c:pt idx="108">
                  <c:v>4.1913</c:v>
                </c:pt>
                <c:pt idx="109">
                  <c:v>4.1655499999999996</c:v>
                </c:pt>
                <c:pt idx="110">
                  <c:v>4.1426099999999995</c:v>
                </c:pt>
                <c:pt idx="111">
                  <c:v>4.1214399999999998</c:v>
                </c:pt>
                <c:pt idx="112">
                  <c:v>4.1018100000000004</c:v>
                </c:pt>
                <c:pt idx="113">
                  <c:v>4.0837400000000006</c:v>
                </c:pt>
                <c:pt idx="114">
                  <c:v>4.0675400000000002</c:v>
                </c:pt>
                <c:pt idx="115">
                  <c:v>4.0508100000000002</c:v>
                </c:pt>
                <c:pt idx="116">
                  <c:v>4.0322300000000002</c:v>
                </c:pt>
                <c:pt idx="117">
                  <c:v>4.0139100000000001</c:v>
                </c:pt>
                <c:pt idx="118">
                  <c:v>4.0003700000000002</c:v>
                </c:pt>
                <c:pt idx="119">
                  <c:v>3.9924500000000003</c:v>
                </c:pt>
                <c:pt idx="120">
                  <c:v>3.9865200000000001</c:v>
                </c:pt>
                <c:pt idx="121">
                  <c:v>3.9836200000000002</c:v>
                </c:pt>
                <c:pt idx="122">
                  <c:v>3.98421</c:v>
                </c:pt>
                <c:pt idx="123">
                  <c:v>3.9889599999999996</c:v>
                </c:pt>
                <c:pt idx="124">
                  <c:v>3.9934500000000002</c:v>
                </c:pt>
                <c:pt idx="125">
                  <c:v>3.9972999999999996</c:v>
                </c:pt>
                <c:pt idx="126">
                  <c:v>4.00204</c:v>
                </c:pt>
                <c:pt idx="127">
                  <c:v>4.0066299999999995</c:v>
                </c:pt>
                <c:pt idx="128">
                  <c:v>4.0079399999999996</c:v>
                </c:pt>
                <c:pt idx="129">
                  <c:v>4.0069100000000004</c:v>
                </c:pt>
                <c:pt idx="130">
                  <c:v>4.0048399999999997</c:v>
                </c:pt>
                <c:pt idx="131">
                  <c:v>4.00122</c:v>
                </c:pt>
                <c:pt idx="132">
                  <c:v>3.9977</c:v>
                </c:pt>
                <c:pt idx="133">
                  <c:v>3.9999899999999999</c:v>
                </c:pt>
                <c:pt idx="134">
                  <c:v>4.00793</c:v>
                </c:pt>
                <c:pt idx="135">
                  <c:v>4.0183799999999996</c:v>
                </c:pt>
                <c:pt idx="136">
                  <c:v>4.0293400000000004</c:v>
                </c:pt>
                <c:pt idx="137">
                  <c:v>4.0411599999999996</c:v>
                </c:pt>
                <c:pt idx="138">
                  <c:v>4.0506199999999994</c:v>
                </c:pt>
                <c:pt idx="139">
                  <c:v>4.0542699999999998</c:v>
                </c:pt>
                <c:pt idx="140">
                  <c:v>4.06135</c:v>
                </c:pt>
                <c:pt idx="141">
                  <c:v>4.0730899999999997</c:v>
                </c:pt>
                <c:pt idx="142">
                  <c:v>4.0869</c:v>
                </c:pt>
                <c:pt idx="143">
                  <c:v>4.0998299999999999</c:v>
                </c:pt>
                <c:pt idx="144">
                  <c:v>4.1125800000000003</c:v>
                </c:pt>
                <c:pt idx="145">
                  <c:v>4.11707</c:v>
                </c:pt>
                <c:pt idx="146">
                  <c:v>4.1176300000000001</c:v>
                </c:pt>
                <c:pt idx="147">
                  <c:v>4.1215200000000003</c:v>
                </c:pt>
                <c:pt idx="148">
                  <c:v>4.1097599999999996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9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  <c:pt idx="75">
                  <c:v>36.689100000000003</c:v>
                </c:pt>
                <c:pt idx="76">
                  <c:v>36.474800000000002</c:v>
                </c:pt>
                <c:pt idx="77">
                  <c:v>36.240499999999997</c:v>
                </c:pt>
                <c:pt idx="78">
                  <c:v>36.091000000000001</c:v>
                </c:pt>
                <c:pt idx="79">
                  <c:v>35.977699999999999</c:v>
                </c:pt>
                <c:pt idx="80">
                  <c:v>35.893999999999998</c:v>
                </c:pt>
                <c:pt idx="81">
                  <c:v>35.8324</c:v>
                </c:pt>
                <c:pt idx="82">
                  <c:v>35.782199999999996</c:v>
                </c:pt>
                <c:pt idx="83">
                  <c:v>35.768999999999998</c:v>
                </c:pt>
                <c:pt idx="84">
                  <c:v>35.691400000000002</c:v>
                </c:pt>
                <c:pt idx="85">
                  <c:v>35.642600000000002</c:v>
                </c:pt>
                <c:pt idx="86">
                  <c:v>35.618400000000001</c:v>
                </c:pt>
                <c:pt idx="87">
                  <c:v>35.619900000000001</c:v>
                </c:pt>
                <c:pt idx="88">
                  <c:v>35.635600000000004</c:v>
                </c:pt>
                <c:pt idx="89">
                  <c:v>35.683799999999998</c:v>
                </c:pt>
                <c:pt idx="90">
                  <c:v>35.734400000000001</c:v>
                </c:pt>
                <c:pt idx="91">
                  <c:v>35.794699999999999</c:v>
                </c:pt>
                <c:pt idx="92">
                  <c:v>35.889500000000005</c:v>
                </c:pt>
                <c:pt idx="93">
                  <c:v>35.938400000000001</c:v>
                </c:pt>
                <c:pt idx="94">
                  <c:v>35.990400000000001</c:v>
                </c:pt>
                <c:pt idx="95">
                  <c:v>36.127400000000002</c:v>
                </c:pt>
                <c:pt idx="96">
                  <c:v>36.275500000000001</c:v>
                </c:pt>
                <c:pt idx="97">
                  <c:v>36.436600000000006</c:v>
                </c:pt>
                <c:pt idx="98">
                  <c:v>36.619800000000005</c:v>
                </c:pt>
                <c:pt idx="99">
                  <c:v>36.831499999999998</c:v>
                </c:pt>
                <c:pt idx="100">
                  <c:v>37.008299999999998</c:v>
                </c:pt>
                <c:pt idx="101">
                  <c:v>37.196600000000004</c:v>
                </c:pt>
                <c:pt idx="102">
                  <c:v>37.405000000000001</c:v>
                </c:pt>
                <c:pt idx="103">
                  <c:v>37.5809</c:v>
                </c:pt>
                <c:pt idx="104">
                  <c:v>37.8523</c:v>
                </c:pt>
                <c:pt idx="105">
                  <c:v>38.198799999999999</c:v>
                </c:pt>
                <c:pt idx="106">
                  <c:v>38.523400000000002</c:v>
                </c:pt>
                <c:pt idx="107">
                  <c:v>38.786500000000004</c:v>
                </c:pt>
                <c:pt idx="108">
                  <c:v>39.003399999999999</c:v>
                </c:pt>
                <c:pt idx="109">
                  <c:v>39.286700000000003</c:v>
                </c:pt>
                <c:pt idx="110">
                  <c:v>39.516600000000004</c:v>
                </c:pt>
                <c:pt idx="111">
                  <c:v>39.743400000000001</c:v>
                </c:pt>
                <c:pt idx="112">
                  <c:v>39.929199999999994</c:v>
                </c:pt>
                <c:pt idx="113">
                  <c:v>40.125300000000003</c:v>
                </c:pt>
                <c:pt idx="114">
                  <c:v>40.258899999999997</c:v>
                </c:pt>
                <c:pt idx="115">
                  <c:v>40.369500000000002</c:v>
                </c:pt>
                <c:pt idx="116">
                  <c:v>40.483200000000004</c:v>
                </c:pt>
                <c:pt idx="117">
                  <c:v>40.576099999999997</c:v>
                </c:pt>
                <c:pt idx="118">
                  <c:v>40.565200000000004</c:v>
                </c:pt>
                <c:pt idx="119">
                  <c:v>40.427999999999997</c:v>
                </c:pt>
                <c:pt idx="120">
                  <c:v>40.215699999999998</c:v>
                </c:pt>
                <c:pt idx="121">
                  <c:v>39.9544</c:v>
                </c:pt>
                <c:pt idx="122">
                  <c:v>39.637599999999999</c:v>
                </c:pt>
                <c:pt idx="123">
                  <c:v>39.271299999999997</c:v>
                </c:pt>
                <c:pt idx="124">
                  <c:v>39.0364</c:v>
                </c:pt>
                <c:pt idx="125">
                  <c:v>38.929299999999998</c:v>
                </c:pt>
                <c:pt idx="126">
                  <c:v>38.839700000000001</c:v>
                </c:pt>
                <c:pt idx="127">
                  <c:v>38.753100000000003</c:v>
                </c:pt>
                <c:pt idx="128">
                  <c:v>38.645299999999999</c:v>
                </c:pt>
                <c:pt idx="129">
                  <c:v>38.4998</c:v>
                </c:pt>
                <c:pt idx="130">
                  <c:v>38.3339</c:v>
                </c:pt>
                <c:pt idx="131">
                  <c:v>38.174400000000006</c:v>
                </c:pt>
                <c:pt idx="132">
                  <c:v>37.9985</c:v>
                </c:pt>
                <c:pt idx="133">
                  <c:v>37.774299999999997</c:v>
                </c:pt>
                <c:pt idx="134">
                  <c:v>37.533000000000001</c:v>
                </c:pt>
                <c:pt idx="135">
                  <c:v>37.319200000000002</c:v>
                </c:pt>
                <c:pt idx="136">
                  <c:v>37.0456</c:v>
                </c:pt>
                <c:pt idx="137">
                  <c:v>36.727600000000002</c:v>
                </c:pt>
                <c:pt idx="138">
                  <c:v>36.399300000000004</c:v>
                </c:pt>
                <c:pt idx="139">
                  <c:v>36.109200000000001</c:v>
                </c:pt>
                <c:pt idx="140">
                  <c:v>35.788499999999999</c:v>
                </c:pt>
                <c:pt idx="141">
                  <c:v>35.493000000000002</c:v>
                </c:pt>
                <c:pt idx="142">
                  <c:v>35.221699999999998</c:v>
                </c:pt>
                <c:pt idx="143">
                  <c:v>35.020299999999999</c:v>
                </c:pt>
                <c:pt idx="144">
                  <c:v>34.765499999999996</c:v>
                </c:pt>
                <c:pt idx="145">
                  <c:v>34.658099999999997</c:v>
                </c:pt>
                <c:pt idx="146">
                  <c:v>34.561</c:v>
                </c:pt>
                <c:pt idx="147">
                  <c:v>34.234400000000001</c:v>
                </c:pt>
                <c:pt idx="148">
                  <c:v>33.890500000000003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5"/>
                <c:pt idx="0">
                  <c:v>2.0472000000000001</c:v>
                </c:pt>
                <c:pt idx="1">
                  <c:v>2.1243099999999999</c:v>
                </c:pt>
                <c:pt idx="2">
                  <c:v>2.2004799999999998</c:v>
                </c:pt>
                <c:pt idx="3">
                  <c:v>2.27894</c:v>
                </c:pt>
                <c:pt idx="4">
                  <c:v>2.3584299999999998</c:v>
                </c:pt>
                <c:pt idx="5">
                  <c:v>2.4342899999999998</c:v>
                </c:pt>
                <c:pt idx="6">
                  <c:v>2.5094499999999997</c:v>
                </c:pt>
                <c:pt idx="7">
                  <c:v>2.5854400000000002</c:v>
                </c:pt>
                <c:pt idx="8">
                  <c:v>2.66031</c:v>
                </c:pt>
                <c:pt idx="9">
                  <c:v>2.7328900000000003</c:v>
                </c:pt>
                <c:pt idx="10">
                  <c:v>2.8030899999999996</c:v>
                </c:pt>
                <c:pt idx="11">
                  <c:v>2.8709199999999999</c:v>
                </c:pt>
                <c:pt idx="12">
                  <c:v>2.94163</c:v>
                </c:pt>
                <c:pt idx="13">
                  <c:v>3.0134499999999997</c:v>
                </c:pt>
                <c:pt idx="14">
                  <c:v>3.0886000000000005</c:v>
                </c:pt>
                <c:pt idx="15">
                  <c:v>3.1682800000000002</c:v>
                </c:pt>
                <c:pt idx="16">
                  <c:v>3.2461000000000002</c:v>
                </c:pt>
                <c:pt idx="17">
                  <c:v>3.3195000000000001</c:v>
                </c:pt>
                <c:pt idx="18">
                  <c:v>3.3910499999999999</c:v>
                </c:pt>
                <c:pt idx="19">
                  <c:v>3.46455</c:v>
                </c:pt>
                <c:pt idx="20">
                  <c:v>3.5349699999999999</c:v>
                </c:pt>
                <c:pt idx="21">
                  <c:v>3.59816</c:v>
                </c:pt>
                <c:pt idx="22">
                  <c:v>3.6559799999999996</c:v>
                </c:pt>
                <c:pt idx="23">
                  <c:v>3.7091699999999999</c:v>
                </c:pt>
                <c:pt idx="24">
                  <c:v>3.7587799999999998</c:v>
                </c:pt>
                <c:pt idx="25">
                  <c:v>3.8063899999999999</c:v>
                </c:pt>
                <c:pt idx="26">
                  <c:v>3.8500099999999997</c:v>
                </c:pt>
                <c:pt idx="27">
                  <c:v>3.8917000000000002</c:v>
                </c:pt>
                <c:pt idx="28">
                  <c:v>3.9301000000000004</c:v>
                </c:pt>
                <c:pt idx="29">
                  <c:v>3.96347</c:v>
                </c:pt>
                <c:pt idx="30">
                  <c:v>3.9934099999999999</c:v>
                </c:pt>
                <c:pt idx="31">
                  <c:v>4.0218799999999995</c:v>
                </c:pt>
                <c:pt idx="32">
                  <c:v>4.0462600000000002</c:v>
                </c:pt>
                <c:pt idx="33">
                  <c:v>4.0674100000000006</c:v>
                </c:pt>
                <c:pt idx="34">
                  <c:v>4.0872000000000002</c:v>
                </c:pt>
                <c:pt idx="35">
                  <c:v>4.1088800000000001</c:v>
                </c:pt>
                <c:pt idx="36">
                  <c:v>4.1289300000000004</c:v>
                </c:pt>
                <c:pt idx="37">
                  <c:v>4.1465699999999996</c:v>
                </c:pt>
                <c:pt idx="38">
                  <c:v>4.1567300000000005</c:v>
                </c:pt>
                <c:pt idx="39">
                  <c:v>4.1608400000000003</c:v>
                </c:pt>
                <c:pt idx="40">
                  <c:v>4.1594699999999998</c:v>
                </c:pt>
                <c:pt idx="41">
                  <c:v>4.1552899999999999</c:v>
                </c:pt>
                <c:pt idx="42">
                  <c:v>4.1477500000000003</c:v>
                </c:pt>
                <c:pt idx="43">
                  <c:v>4.1376600000000003</c:v>
                </c:pt>
                <c:pt idx="44">
                  <c:v>4.1248100000000001</c:v>
                </c:pt>
                <c:pt idx="45">
                  <c:v>4.1126399999999999</c:v>
                </c:pt>
                <c:pt idx="46">
                  <c:v>4.10189</c:v>
                </c:pt>
                <c:pt idx="47">
                  <c:v>4.09171</c:v>
                </c:pt>
                <c:pt idx="48">
                  <c:v>4.0817999999999994</c:v>
                </c:pt>
                <c:pt idx="49">
                  <c:v>4.0758400000000004</c:v>
                </c:pt>
                <c:pt idx="50">
                  <c:v>4.0737899999999998</c:v>
                </c:pt>
                <c:pt idx="51">
                  <c:v>4.0753500000000003</c:v>
                </c:pt>
                <c:pt idx="52">
                  <c:v>4.0782699999999998</c:v>
                </c:pt>
                <c:pt idx="53">
                  <c:v>4.0801999999999996</c:v>
                </c:pt>
                <c:pt idx="54">
                  <c:v>4.0873299999999997</c:v>
                </c:pt>
                <c:pt idx="55">
                  <c:v>4.1005399999999996</c:v>
                </c:pt>
                <c:pt idx="56">
                  <c:v>4.1138500000000002</c:v>
                </c:pt>
                <c:pt idx="57">
                  <c:v>4.1295599999999997</c:v>
                </c:pt>
                <c:pt idx="58">
                  <c:v>4.1504300000000001</c:v>
                </c:pt>
                <c:pt idx="59">
                  <c:v>4.1753499999999999</c:v>
                </c:pt>
                <c:pt idx="60">
                  <c:v>4.2027000000000001</c:v>
                </c:pt>
                <c:pt idx="61">
                  <c:v>4.2304700000000004</c:v>
                </c:pt>
                <c:pt idx="62">
                  <c:v>4.2549000000000001</c:v>
                </c:pt>
                <c:pt idx="63">
                  <c:v>4.2812200000000002</c:v>
                </c:pt>
                <c:pt idx="64">
                  <c:v>4.3057299999999996</c:v>
                </c:pt>
                <c:pt idx="65">
                  <c:v>4.3299700000000003</c:v>
                </c:pt>
                <c:pt idx="66">
                  <c:v>4.3572199999999999</c:v>
                </c:pt>
                <c:pt idx="67">
                  <c:v>4.3879299999999999</c:v>
                </c:pt>
                <c:pt idx="68">
                  <c:v>4.4162800000000004</c:v>
                </c:pt>
                <c:pt idx="69">
                  <c:v>4.44102</c:v>
                </c:pt>
                <c:pt idx="70">
                  <c:v>4.4668799999999997</c:v>
                </c:pt>
                <c:pt idx="71">
                  <c:v>4.4913400000000001</c:v>
                </c:pt>
                <c:pt idx="72">
                  <c:v>4.5167700000000002</c:v>
                </c:pt>
                <c:pt idx="73">
                  <c:v>4.5424699999999998</c:v>
                </c:pt>
                <c:pt idx="74">
                  <c:v>4.5679599999999994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5"/>
                <c:pt idx="0">
                  <c:v>55.031399999999998</c:v>
                </c:pt>
                <c:pt idx="1">
                  <c:v>54.214600000000004</c:v>
                </c:pt>
                <c:pt idx="2">
                  <c:v>53.436300000000003</c:v>
                </c:pt>
                <c:pt idx="3">
                  <c:v>52.538499999999999</c:v>
                </c:pt>
                <c:pt idx="4">
                  <c:v>51.682499999999997</c:v>
                </c:pt>
                <c:pt idx="5">
                  <c:v>51.028799999999997</c:v>
                </c:pt>
                <c:pt idx="6">
                  <c:v>50.364100000000001</c:v>
                </c:pt>
                <c:pt idx="7">
                  <c:v>49.688099999999999</c:v>
                </c:pt>
                <c:pt idx="8">
                  <c:v>49.026499999999999</c:v>
                </c:pt>
                <c:pt idx="9">
                  <c:v>48.438800000000001</c:v>
                </c:pt>
                <c:pt idx="10">
                  <c:v>48.066099999999999</c:v>
                </c:pt>
                <c:pt idx="11">
                  <c:v>47.714800000000004</c:v>
                </c:pt>
                <c:pt idx="12">
                  <c:v>47.2637</c:v>
                </c:pt>
                <c:pt idx="13">
                  <c:v>46.643799999999999</c:v>
                </c:pt>
                <c:pt idx="14">
                  <c:v>45.857300000000002</c:v>
                </c:pt>
                <c:pt idx="15">
                  <c:v>44.926700000000004</c:v>
                </c:pt>
                <c:pt idx="16">
                  <c:v>44.021000000000001</c:v>
                </c:pt>
                <c:pt idx="17">
                  <c:v>43.249300000000005</c:v>
                </c:pt>
                <c:pt idx="18">
                  <c:v>42.482300000000002</c:v>
                </c:pt>
                <c:pt idx="19">
                  <c:v>41.573599999999999</c:v>
                </c:pt>
                <c:pt idx="20">
                  <c:v>40.864699999999999</c:v>
                </c:pt>
                <c:pt idx="21">
                  <c:v>40.331400000000002</c:v>
                </c:pt>
                <c:pt idx="22">
                  <c:v>39.9011</c:v>
                </c:pt>
                <c:pt idx="23">
                  <c:v>39.462800000000001</c:v>
                </c:pt>
                <c:pt idx="24">
                  <c:v>39.121600000000001</c:v>
                </c:pt>
                <c:pt idx="25">
                  <c:v>38.848799999999997</c:v>
                </c:pt>
                <c:pt idx="26">
                  <c:v>38.676200000000001</c:v>
                </c:pt>
                <c:pt idx="27">
                  <c:v>38.578699999999998</c:v>
                </c:pt>
                <c:pt idx="28">
                  <c:v>38.536700000000003</c:v>
                </c:pt>
                <c:pt idx="29">
                  <c:v>38.524000000000001</c:v>
                </c:pt>
                <c:pt idx="30">
                  <c:v>38.602499999999999</c:v>
                </c:pt>
                <c:pt idx="31">
                  <c:v>38.697900000000004</c:v>
                </c:pt>
                <c:pt idx="32">
                  <c:v>38.7958</c:v>
                </c:pt>
                <c:pt idx="33">
                  <c:v>38.875500000000002</c:v>
                </c:pt>
                <c:pt idx="34">
                  <c:v>38.9572</c:v>
                </c:pt>
                <c:pt idx="35">
                  <c:v>39.0473</c:v>
                </c:pt>
                <c:pt idx="36">
                  <c:v>39.179900000000004</c:v>
                </c:pt>
                <c:pt idx="37">
                  <c:v>39.264299999999999</c:v>
                </c:pt>
                <c:pt idx="38">
                  <c:v>39.366599999999998</c:v>
                </c:pt>
                <c:pt idx="39">
                  <c:v>39.492399999999996</c:v>
                </c:pt>
                <c:pt idx="40">
                  <c:v>39.6492</c:v>
                </c:pt>
                <c:pt idx="41">
                  <c:v>39.881100000000004</c:v>
                </c:pt>
                <c:pt idx="42">
                  <c:v>40.080399999999997</c:v>
                </c:pt>
                <c:pt idx="43">
                  <c:v>40.282499999999999</c:v>
                </c:pt>
                <c:pt idx="44">
                  <c:v>40.556100000000001</c:v>
                </c:pt>
                <c:pt idx="45">
                  <c:v>40.806399999999996</c:v>
                </c:pt>
                <c:pt idx="46">
                  <c:v>41.006500000000003</c:v>
                </c:pt>
                <c:pt idx="47">
                  <c:v>41.198700000000002</c:v>
                </c:pt>
                <c:pt idx="48">
                  <c:v>41.441000000000003</c:v>
                </c:pt>
                <c:pt idx="49">
                  <c:v>41.674299999999995</c:v>
                </c:pt>
                <c:pt idx="50">
                  <c:v>41.8904</c:v>
                </c:pt>
                <c:pt idx="51">
                  <c:v>42.097799999999999</c:v>
                </c:pt>
                <c:pt idx="52">
                  <c:v>42.294699999999999</c:v>
                </c:pt>
                <c:pt idx="53">
                  <c:v>42.454999999999998</c:v>
                </c:pt>
                <c:pt idx="54">
                  <c:v>42.456400000000002</c:v>
                </c:pt>
                <c:pt idx="55">
                  <c:v>42.277200000000001</c:v>
                </c:pt>
                <c:pt idx="56">
                  <c:v>42.052900000000001</c:v>
                </c:pt>
                <c:pt idx="57">
                  <c:v>41.812100000000001</c:v>
                </c:pt>
                <c:pt idx="58">
                  <c:v>41.494900000000001</c:v>
                </c:pt>
                <c:pt idx="59">
                  <c:v>41.100500000000004</c:v>
                </c:pt>
                <c:pt idx="60">
                  <c:v>40.591500000000003</c:v>
                </c:pt>
                <c:pt idx="61">
                  <c:v>40.082499999999996</c:v>
                </c:pt>
                <c:pt idx="62">
                  <c:v>39.660699999999999</c:v>
                </c:pt>
                <c:pt idx="63">
                  <c:v>39.262500000000003</c:v>
                </c:pt>
                <c:pt idx="64">
                  <c:v>38.943600000000004</c:v>
                </c:pt>
                <c:pt idx="65">
                  <c:v>38.659199999999998</c:v>
                </c:pt>
                <c:pt idx="66">
                  <c:v>38.349299999999999</c:v>
                </c:pt>
                <c:pt idx="67">
                  <c:v>38.067</c:v>
                </c:pt>
                <c:pt idx="68">
                  <c:v>37.882300000000001</c:v>
                </c:pt>
                <c:pt idx="69">
                  <c:v>37.730599999999995</c:v>
                </c:pt>
                <c:pt idx="70">
                  <c:v>37.542999999999999</c:v>
                </c:pt>
                <c:pt idx="71">
                  <c:v>37.378</c:v>
                </c:pt>
                <c:pt idx="72">
                  <c:v>37.243300000000005</c:v>
                </c:pt>
                <c:pt idx="73">
                  <c:v>37.1008</c:v>
                </c:pt>
                <c:pt idx="74">
                  <c:v>36.889499999999998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4.5679599999999994</c:v>
                </c:pt>
                <c:pt idx="1">
                  <c:v>4.5897800000000002</c:v>
                </c:pt>
                <c:pt idx="2">
                  <c:v>4.61015</c:v>
                </c:pt>
                <c:pt idx="3">
                  <c:v>4.6278799999999993</c:v>
                </c:pt>
                <c:pt idx="4">
                  <c:v>4.6434800000000003</c:v>
                </c:pt>
                <c:pt idx="5">
                  <c:v>4.65754</c:v>
                </c:pt>
                <c:pt idx="6">
                  <c:v>4.6688200000000002</c:v>
                </c:pt>
                <c:pt idx="7">
                  <c:v>4.6766999999999994</c:v>
                </c:pt>
                <c:pt idx="8">
                  <c:v>4.6812399999999998</c:v>
                </c:pt>
                <c:pt idx="9">
                  <c:v>4.6804800000000002</c:v>
                </c:pt>
                <c:pt idx="10">
                  <c:v>4.6765099999999995</c:v>
                </c:pt>
                <c:pt idx="11">
                  <c:v>4.6655600000000002</c:v>
                </c:pt>
                <c:pt idx="12">
                  <c:v>4.6530300000000002</c:v>
                </c:pt>
                <c:pt idx="13">
                  <c:v>4.6411300000000004</c:v>
                </c:pt>
                <c:pt idx="14">
                  <c:v>4.6303599999999996</c:v>
                </c:pt>
                <c:pt idx="15">
                  <c:v>4.6232299999999995</c:v>
                </c:pt>
                <c:pt idx="16">
                  <c:v>4.6163500000000006</c:v>
                </c:pt>
                <c:pt idx="17">
                  <c:v>4.6073500000000003</c:v>
                </c:pt>
                <c:pt idx="18">
                  <c:v>4.5960900000000002</c:v>
                </c:pt>
                <c:pt idx="19">
                  <c:v>4.58406</c:v>
                </c:pt>
                <c:pt idx="20">
                  <c:v>4.5694900000000001</c:v>
                </c:pt>
                <c:pt idx="21">
                  <c:v>4.5522499999999999</c:v>
                </c:pt>
                <c:pt idx="22">
                  <c:v>4.5333899999999998</c:v>
                </c:pt>
                <c:pt idx="23">
                  <c:v>4.5107699999999999</c:v>
                </c:pt>
                <c:pt idx="24">
                  <c:v>4.4843299999999999</c:v>
                </c:pt>
                <c:pt idx="25">
                  <c:v>4.4524900000000001</c:v>
                </c:pt>
                <c:pt idx="26">
                  <c:v>4.4192900000000002</c:v>
                </c:pt>
                <c:pt idx="27">
                  <c:v>4.3850299999999995</c:v>
                </c:pt>
                <c:pt idx="28">
                  <c:v>4.3520300000000001</c:v>
                </c:pt>
                <c:pt idx="29">
                  <c:v>4.3245000000000005</c:v>
                </c:pt>
                <c:pt idx="30">
                  <c:v>4.2962699999999998</c:v>
                </c:pt>
                <c:pt idx="31">
                  <c:v>4.2672100000000004</c:v>
                </c:pt>
                <c:pt idx="32">
                  <c:v>4.2413499999999997</c:v>
                </c:pt>
                <c:pt idx="33">
                  <c:v>4.2173999999999996</c:v>
                </c:pt>
                <c:pt idx="34">
                  <c:v>4.1913</c:v>
                </c:pt>
                <c:pt idx="35">
                  <c:v>4.1655499999999996</c:v>
                </c:pt>
                <c:pt idx="36">
                  <c:v>4.1426099999999995</c:v>
                </c:pt>
                <c:pt idx="37">
                  <c:v>4.1214399999999998</c:v>
                </c:pt>
                <c:pt idx="38">
                  <c:v>4.1018100000000004</c:v>
                </c:pt>
                <c:pt idx="39">
                  <c:v>4.0837400000000006</c:v>
                </c:pt>
                <c:pt idx="40">
                  <c:v>4.0675400000000002</c:v>
                </c:pt>
                <c:pt idx="41">
                  <c:v>4.0508100000000002</c:v>
                </c:pt>
                <c:pt idx="42">
                  <c:v>4.0322300000000002</c:v>
                </c:pt>
                <c:pt idx="43">
                  <c:v>4.0139100000000001</c:v>
                </c:pt>
                <c:pt idx="44">
                  <c:v>4.0003700000000002</c:v>
                </c:pt>
                <c:pt idx="45">
                  <c:v>3.9924500000000003</c:v>
                </c:pt>
                <c:pt idx="46">
                  <c:v>3.9865200000000001</c:v>
                </c:pt>
                <c:pt idx="47">
                  <c:v>3.9836200000000002</c:v>
                </c:pt>
                <c:pt idx="48">
                  <c:v>3.98421</c:v>
                </c:pt>
                <c:pt idx="49">
                  <c:v>3.9889599999999996</c:v>
                </c:pt>
                <c:pt idx="50">
                  <c:v>3.9934500000000002</c:v>
                </c:pt>
                <c:pt idx="51">
                  <c:v>3.9972999999999996</c:v>
                </c:pt>
                <c:pt idx="52">
                  <c:v>4.00204</c:v>
                </c:pt>
                <c:pt idx="53">
                  <c:v>4.0066299999999995</c:v>
                </c:pt>
                <c:pt idx="54">
                  <c:v>4.0079399999999996</c:v>
                </c:pt>
                <c:pt idx="55">
                  <c:v>4.0069100000000004</c:v>
                </c:pt>
                <c:pt idx="56">
                  <c:v>4.0048399999999997</c:v>
                </c:pt>
                <c:pt idx="57">
                  <c:v>4.00122</c:v>
                </c:pt>
                <c:pt idx="58">
                  <c:v>3.9977</c:v>
                </c:pt>
                <c:pt idx="59">
                  <c:v>3.9999899999999999</c:v>
                </c:pt>
                <c:pt idx="60">
                  <c:v>4.00793</c:v>
                </c:pt>
                <c:pt idx="61">
                  <c:v>4.0183799999999996</c:v>
                </c:pt>
                <c:pt idx="62">
                  <c:v>4.0293400000000004</c:v>
                </c:pt>
                <c:pt idx="63">
                  <c:v>4.0411599999999996</c:v>
                </c:pt>
                <c:pt idx="64">
                  <c:v>4.0506199999999994</c:v>
                </c:pt>
                <c:pt idx="65">
                  <c:v>4.0542699999999998</c:v>
                </c:pt>
                <c:pt idx="66">
                  <c:v>4.06135</c:v>
                </c:pt>
                <c:pt idx="67">
                  <c:v>4.0730899999999997</c:v>
                </c:pt>
                <c:pt idx="68">
                  <c:v>4.0869</c:v>
                </c:pt>
                <c:pt idx="69">
                  <c:v>4.0998299999999999</c:v>
                </c:pt>
                <c:pt idx="70">
                  <c:v>4.1125800000000003</c:v>
                </c:pt>
                <c:pt idx="71">
                  <c:v>4.11707</c:v>
                </c:pt>
                <c:pt idx="72">
                  <c:v>4.1176300000000001</c:v>
                </c:pt>
                <c:pt idx="73">
                  <c:v>4.1215200000000003</c:v>
                </c:pt>
                <c:pt idx="74">
                  <c:v>4.1097599999999996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36.889499999999998</c:v>
                </c:pt>
                <c:pt idx="1">
                  <c:v>36.689100000000003</c:v>
                </c:pt>
                <c:pt idx="2">
                  <c:v>36.474800000000002</c:v>
                </c:pt>
                <c:pt idx="3">
                  <c:v>36.240499999999997</c:v>
                </c:pt>
                <c:pt idx="4">
                  <c:v>36.091000000000001</c:v>
                </c:pt>
                <c:pt idx="5">
                  <c:v>35.977699999999999</c:v>
                </c:pt>
                <c:pt idx="6">
                  <c:v>35.893999999999998</c:v>
                </c:pt>
                <c:pt idx="7">
                  <c:v>35.8324</c:v>
                </c:pt>
                <c:pt idx="8">
                  <c:v>35.782199999999996</c:v>
                </c:pt>
                <c:pt idx="9">
                  <c:v>35.768999999999998</c:v>
                </c:pt>
                <c:pt idx="10">
                  <c:v>35.691400000000002</c:v>
                </c:pt>
                <c:pt idx="11">
                  <c:v>35.642600000000002</c:v>
                </c:pt>
                <c:pt idx="12">
                  <c:v>35.618400000000001</c:v>
                </c:pt>
                <c:pt idx="13">
                  <c:v>35.619900000000001</c:v>
                </c:pt>
                <c:pt idx="14">
                  <c:v>35.635600000000004</c:v>
                </c:pt>
                <c:pt idx="15">
                  <c:v>35.683799999999998</c:v>
                </c:pt>
                <c:pt idx="16">
                  <c:v>35.734400000000001</c:v>
                </c:pt>
                <c:pt idx="17">
                  <c:v>35.794699999999999</c:v>
                </c:pt>
                <c:pt idx="18">
                  <c:v>35.889500000000005</c:v>
                </c:pt>
                <c:pt idx="19">
                  <c:v>35.938400000000001</c:v>
                </c:pt>
                <c:pt idx="20">
                  <c:v>35.990400000000001</c:v>
                </c:pt>
                <c:pt idx="21">
                  <c:v>36.127400000000002</c:v>
                </c:pt>
                <c:pt idx="22">
                  <c:v>36.275500000000001</c:v>
                </c:pt>
                <c:pt idx="23">
                  <c:v>36.436600000000006</c:v>
                </c:pt>
                <c:pt idx="24">
                  <c:v>36.619800000000005</c:v>
                </c:pt>
                <c:pt idx="25">
                  <c:v>36.831499999999998</c:v>
                </c:pt>
                <c:pt idx="26">
                  <c:v>37.008299999999998</c:v>
                </c:pt>
                <c:pt idx="27">
                  <c:v>37.196600000000004</c:v>
                </c:pt>
                <c:pt idx="28">
                  <c:v>37.405000000000001</c:v>
                </c:pt>
                <c:pt idx="29">
                  <c:v>37.5809</c:v>
                </c:pt>
                <c:pt idx="30">
                  <c:v>37.8523</c:v>
                </c:pt>
                <c:pt idx="31">
                  <c:v>38.198799999999999</c:v>
                </c:pt>
                <c:pt idx="32">
                  <c:v>38.523400000000002</c:v>
                </c:pt>
                <c:pt idx="33">
                  <c:v>38.786500000000004</c:v>
                </c:pt>
                <c:pt idx="34">
                  <c:v>39.003399999999999</c:v>
                </c:pt>
                <c:pt idx="35">
                  <c:v>39.286700000000003</c:v>
                </c:pt>
                <c:pt idx="36">
                  <c:v>39.516600000000004</c:v>
                </c:pt>
                <c:pt idx="37">
                  <c:v>39.743400000000001</c:v>
                </c:pt>
                <c:pt idx="38">
                  <c:v>39.929199999999994</c:v>
                </c:pt>
                <c:pt idx="39">
                  <c:v>40.125300000000003</c:v>
                </c:pt>
                <c:pt idx="40">
                  <c:v>40.258899999999997</c:v>
                </c:pt>
                <c:pt idx="41">
                  <c:v>40.369500000000002</c:v>
                </c:pt>
                <c:pt idx="42">
                  <c:v>40.483200000000004</c:v>
                </c:pt>
                <c:pt idx="43">
                  <c:v>40.576099999999997</c:v>
                </c:pt>
                <c:pt idx="44">
                  <c:v>40.565200000000004</c:v>
                </c:pt>
                <c:pt idx="45">
                  <c:v>40.427999999999997</c:v>
                </c:pt>
                <c:pt idx="46">
                  <c:v>40.215699999999998</c:v>
                </c:pt>
                <c:pt idx="47">
                  <c:v>39.9544</c:v>
                </c:pt>
                <c:pt idx="48">
                  <c:v>39.637599999999999</c:v>
                </c:pt>
                <c:pt idx="49">
                  <c:v>39.271299999999997</c:v>
                </c:pt>
                <c:pt idx="50">
                  <c:v>39.0364</c:v>
                </c:pt>
                <c:pt idx="51">
                  <c:v>38.929299999999998</c:v>
                </c:pt>
                <c:pt idx="52">
                  <c:v>38.839700000000001</c:v>
                </c:pt>
                <c:pt idx="53">
                  <c:v>38.753100000000003</c:v>
                </c:pt>
                <c:pt idx="54">
                  <c:v>38.645299999999999</c:v>
                </c:pt>
                <c:pt idx="55">
                  <c:v>38.4998</c:v>
                </c:pt>
                <c:pt idx="56">
                  <c:v>38.3339</c:v>
                </c:pt>
                <c:pt idx="57">
                  <c:v>38.174400000000006</c:v>
                </c:pt>
                <c:pt idx="58">
                  <c:v>37.9985</c:v>
                </c:pt>
                <c:pt idx="59">
                  <c:v>37.774299999999997</c:v>
                </c:pt>
                <c:pt idx="60">
                  <c:v>37.533000000000001</c:v>
                </c:pt>
                <c:pt idx="61">
                  <c:v>37.319200000000002</c:v>
                </c:pt>
                <c:pt idx="62">
                  <c:v>37.0456</c:v>
                </c:pt>
                <c:pt idx="63">
                  <c:v>36.727600000000002</c:v>
                </c:pt>
                <c:pt idx="64">
                  <c:v>36.399300000000004</c:v>
                </c:pt>
                <c:pt idx="65">
                  <c:v>36.109200000000001</c:v>
                </c:pt>
                <c:pt idx="66">
                  <c:v>35.788499999999999</c:v>
                </c:pt>
                <c:pt idx="67">
                  <c:v>35.493000000000002</c:v>
                </c:pt>
                <c:pt idx="68">
                  <c:v>35.221699999999998</c:v>
                </c:pt>
                <c:pt idx="69">
                  <c:v>35.020299999999999</c:v>
                </c:pt>
                <c:pt idx="70">
                  <c:v>34.765499999999996</c:v>
                </c:pt>
                <c:pt idx="71">
                  <c:v>34.658099999999997</c:v>
                </c:pt>
                <c:pt idx="72">
                  <c:v>34.561</c:v>
                </c:pt>
                <c:pt idx="73">
                  <c:v>34.234400000000001</c:v>
                </c:pt>
                <c:pt idx="74">
                  <c:v>33.890500000000003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2.0472000000000001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55.031399999999998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3.7477591891891904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42.099675675675677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4.2732467567567571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37.36415540540542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4.2732467567567571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37.36415540540542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574</v>
      </c>
      <c r="D5" s="191"/>
      <c r="E5" s="191"/>
      <c r="F5" s="192"/>
      <c r="G5" s="48" t="str">
        <f>lang!B27</f>
        <v>编号</v>
      </c>
      <c r="H5" s="190">
        <v>2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573</v>
      </c>
      <c r="D6" s="145"/>
      <c r="E6" s="145"/>
      <c r="F6" s="146"/>
      <c r="G6" s="49" t="str">
        <f>lang!B28</f>
        <v xml:space="preserve"> 日期</v>
      </c>
      <c r="H6" s="129">
        <f>FH_info!A2</f>
        <v>43614.386469907404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51</v>
      </c>
      <c r="D7" s="148"/>
      <c r="E7" s="148"/>
      <c r="F7" s="149"/>
      <c r="G7" s="50" t="str">
        <f>lang!B29</f>
        <v>误差率（%）</v>
      </c>
      <c r="H7" s="132">
        <f>M!B17*1</f>
        <v>14.5067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45.428899999999999</v>
      </c>
      <c r="O8" s="59">
        <f>M!C5*1</f>
        <v>10.234999999999999</v>
      </c>
      <c r="P8" s="59">
        <f>M!D5*1</f>
        <v>22.529800000000002</v>
      </c>
      <c r="Q8" s="59">
        <f>M!E5*1</f>
        <v>20</v>
      </c>
      <c r="R8" s="59">
        <f>M!F5*1</f>
        <v>9.6640599999999992</v>
      </c>
      <c r="S8" s="59">
        <f>M!G5*1</f>
        <v>50</v>
      </c>
      <c r="T8" s="59">
        <f>M!H5*1</f>
        <v>52.26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31.7258</v>
      </c>
      <c r="O9" s="59">
        <f>M!C6*1</f>
        <v>1.42363</v>
      </c>
      <c r="P9" s="59">
        <f>M!D6*1</f>
        <v>4.4873000000000003</v>
      </c>
      <c r="Q9" s="59">
        <f>M!E6*1</f>
        <v>20</v>
      </c>
      <c r="R9" s="59">
        <f>M!F6*1</f>
        <v>29.180499999999999</v>
      </c>
      <c r="S9" s="59">
        <f>M!G6*1</f>
        <v>40</v>
      </c>
      <c r="T9" s="59">
        <f>M!H6*1</f>
        <v>35.687600000000003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9.6640599999999992</v>
      </c>
      <c r="D10" s="99">
        <f>N8</f>
        <v>45.428899999999999</v>
      </c>
      <c r="E10" s="100">
        <f>T8</f>
        <v>52.26</v>
      </c>
      <c r="F10" s="91">
        <f>P8</f>
        <v>22.529800000000002</v>
      </c>
      <c r="G10" s="81" t="str">
        <f>CONCATENATE(M9,"
(20 ~ 40)")</f>
        <v>压力
(20 ~ 40)</v>
      </c>
      <c r="H10" s="98">
        <f>R9</f>
        <v>29.180499999999999</v>
      </c>
      <c r="I10" s="108">
        <f>N9</f>
        <v>31.7258</v>
      </c>
      <c r="J10" s="98">
        <f>T9</f>
        <v>35.687600000000003</v>
      </c>
      <c r="K10" s="92">
        <f>P9</f>
        <v>4.4873000000000003</v>
      </c>
      <c r="L10" s="6"/>
      <c r="M10" s="27" t="str">
        <f>lang!B16</f>
        <v>焦虑</v>
      </c>
      <c r="N10" s="59">
        <f>M!B7*1</f>
        <v>23.144100000000002</v>
      </c>
      <c r="O10" s="59">
        <f>M!C7*1</f>
        <v>5.5469600000000003</v>
      </c>
      <c r="P10" s="59">
        <f>M!D7*1</f>
        <v>23.967099999999999</v>
      </c>
      <c r="Q10" s="59">
        <f>M!E7*1</f>
        <v>15</v>
      </c>
      <c r="R10" s="59">
        <f>M!F7*1</f>
        <v>11.992800000000001</v>
      </c>
      <c r="S10" s="59">
        <f>M!G7*1</f>
        <v>40</v>
      </c>
      <c r="T10" s="59">
        <f>M!H7*1</f>
        <v>42.5871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11.992800000000001</v>
      </c>
      <c r="D11" s="102">
        <f>N10</f>
        <v>23.144100000000002</v>
      </c>
      <c r="E11" s="103">
        <f>T10</f>
        <v>42.5871</v>
      </c>
      <c r="F11" s="94">
        <f>P10</f>
        <v>23.967099999999999</v>
      </c>
      <c r="G11" s="52" t="str">
        <f>CONCATENATE(M11,"
(20 ~ 50)")</f>
        <v>可疑
(20 ~ 50)</v>
      </c>
      <c r="H11" s="101">
        <f>R11</f>
        <v>19.6873</v>
      </c>
      <c r="I11" s="104">
        <f>N11</f>
        <v>33.228999999999999</v>
      </c>
      <c r="J11" s="101">
        <f>T11</f>
        <v>39.890700000000002</v>
      </c>
      <c r="K11" s="95">
        <f>P11</f>
        <v>12.6919</v>
      </c>
      <c r="L11" s="4"/>
      <c r="M11" s="27" t="str">
        <f>lang!B17</f>
        <v>可疑</v>
      </c>
      <c r="N11" s="59">
        <f>M!B8*1</f>
        <v>33.228999999999999</v>
      </c>
      <c r="O11" s="59">
        <f>M!C8*1</f>
        <v>4.2173800000000004</v>
      </c>
      <c r="P11" s="59">
        <f>M!D8*1</f>
        <v>12.6919</v>
      </c>
      <c r="Q11" s="59">
        <f>M!E8*1</f>
        <v>20</v>
      </c>
      <c r="R11" s="59">
        <f>M!F8*1</f>
        <v>19.6873</v>
      </c>
      <c r="S11" s="59">
        <f>M!G8*1</f>
        <v>50</v>
      </c>
      <c r="T11" s="59">
        <f>M!H8*1</f>
        <v>39.890700000000002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65.703199999999995</v>
      </c>
      <c r="D12" s="104">
        <f>N12</f>
        <v>74.602999999999994</v>
      </c>
      <c r="E12" s="101">
        <f>T12</f>
        <v>88.203100000000006</v>
      </c>
      <c r="F12" s="93">
        <f>P12</f>
        <v>5.78355</v>
      </c>
      <c r="G12" s="52" t="str">
        <f>CONCATENATE(M13,"
(40 ~ 100)")</f>
        <v>自信
(40 ~ 100)</v>
      </c>
      <c r="H12" s="101">
        <f>R13</f>
        <v>67.790899999999993</v>
      </c>
      <c r="I12" s="104">
        <f>N13</f>
        <v>76.997500000000002</v>
      </c>
      <c r="J12" s="101">
        <f>T13</f>
        <v>80.533299999999997</v>
      </c>
      <c r="K12" s="95">
        <f>P13</f>
        <v>3.11747</v>
      </c>
      <c r="L12" s="4"/>
      <c r="M12" s="27" t="str">
        <f>lang!B18</f>
        <v>平衡</v>
      </c>
      <c r="N12" s="59">
        <f>M!B9*1</f>
        <v>74.602999999999994</v>
      </c>
      <c r="O12" s="59">
        <f>M!C9*1</f>
        <v>4.3147000000000002</v>
      </c>
      <c r="P12" s="59">
        <f>M!D9*1</f>
        <v>5.78355</v>
      </c>
      <c r="Q12" s="59">
        <f>M!E9*1</f>
        <v>50</v>
      </c>
      <c r="R12" s="59">
        <f>M!F9*1</f>
        <v>65.703199999999995</v>
      </c>
      <c r="S12" s="59">
        <f>M!G9*1</f>
        <v>100</v>
      </c>
      <c r="T12" s="59">
        <f>M!H9*1</f>
        <v>88.203100000000006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6.3954000000000004</v>
      </c>
      <c r="D13" s="102">
        <f>N14</f>
        <v>28.7087</v>
      </c>
      <c r="E13" s="103">
        <f>T14</f>
        <v>35.199800000000003</v>
      </c>
      <c r="F13" s="94">
        <f>P14</f>
        <v>24.375599999999999</v>
      </c>
      <c r="G13" s="52" t="str">
        <f>CONCATENATE(M15,"
(50 ~ 100)")</f>
        <v>自我调节
(50 ~ 100)</v>
      </c>
      <c r="H13" s="101">
        <f>R15</f>
        <v>71.298900000000003</v>
      </c>
      <c r="I13" s="104">
        <f>N15</f>
        <v>75.781499999999994</v>
      </c>
      <c r="J13" s="101">
        <f>T15</f>
        <v>81.0398</v>
      </c>
      <c r="K13" s="95">
        <f>P15</f>
        <v>2.4209100000000001</v>
      </c>
      <c r="L13" s="4"/>
      <c r="M13" s="27" t="str">
        <f>lang!B19</f>
        <v>自信</v>
      </c>
      <c r="N13" s="59">
        <f>M!B10*1</f>
        <v>76.997500000000002</v>
      </c>
      <c r="O13" s="59">
        <f>M!C10*1</f>
        <v>2.4003700000000001</v>
      </c>
      <c r="P13" s="59">
        <f>M!D10*1</f>
        <v>3.11747</v>
      </c>
      <c r="Q13" s="59">
        <f>M!E10*1</f>
        <v>40</v>
      </c>
      <c r="R13" s="59">
        <f>M!F10*1</f>
        <v>67.790899999999993</v>
      </c>
      <c r="S13" s="59">
        <f>M!G10*1</f>
        <v>100</v>
      </c>
      <c r="T13" s="59">
        <f>M!H10*1</f>
        <v>80.533299999999997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15.5397</v>
      </c>
      <c r="D14" s="106">
        <f>N16</f>
        <v>20.561699999999998</v>
      </c>
      <c r="E14" s="107">
        <f>T16</f>
        <v>32.563200000000002</v>
      </c>
      <c r="F14" s="96">
        <f>P16</f>
        <v>15.6821</v>
      </c>
      <c r="G14" s="112" t="str">
        <f>CONCATENATE(M17,"
(10 ~ 50)")</f>
        <v>神经质
(10 ~ 50)</v>
      </c>
      <c r="H14" s="105">
        <f>R17</f>
        <v>0.109628</v>
      </c>
      <c r="I14" s="106">
        <f>N17</f>
        <v>32.244999999999997</v>
      </c>
      <c r="J14" s="107">
        <f>T17</f>
        <v>36.446399999999997</v>
      </c>
      <c r="K14" s="97">
        <f>P17</f>
        <v>30.011800000000001</v>
      </c>
      <c r="M14" s="27" t="str">
        <f>lang!B20</f>
        <v>活力</v>
      </c>
      <c r="N14" s="59">
        <f>M!B11*1</f>
        <v>28.7087</v>
      </c>
      <c r="O14" s="59">
        <f>M!C11*1</f>
        <v>6.9979100000000001</v>
      </c>
      <c r="P14" s="59">
        <f>M!D11*1</f>
        <v>24.375599999999999</v>
      </c>
      <c r="Q14" s="59">
        <f>M!E11*1</f>
        <v>10</v>
      </c>
      <c r="R14" s="59">
        <f>M!F11*1</f>
        <v>6.3954000000000004</v>
      </c>
      <c r="S14" s="59">
        <f>M!G11*1</f>
        <v>50</v>
      </c>
      <c r="T14" s="59">
        <f>M!H11*1</f>
        <v>35.199800000000003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75.781499999999994</v>
      </c>
      <c r="O15" s="59">
        <f>M!C12*1</f>
        <v>1.8346</v>
      </c>
      <c r="P15" s="59">
        <f>M!D12*1</f>
        <v>2.4209100000000001</v>
      </c>
      <c r="Q15" s="59">
        <f>M!E12*1</f>
        <v>50</v>
      </c>
      <c r="R15" s="59">
        <f>M!F12*1</f>
        <v>71.298900000000003</v>
      </c>
      <c r="S15" s="59">
        <f>M!G12*1</f>
        <v>100</v>
      </c>
      <c r="T15" s="59">
        <f>M!H12*1</f>
        <v>81.0398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20.561699999999998</v>
      </c>
      <c r="O16" s="59">
        <f>M!C13*1</f>
        <v>3.2244999999999999</v>
      </c>
      <c r="P16" s="59">
        <f>M!D13*1</f>
        <v>15.6821</v>
      </c>
      <c r="Q16" s="59">
        <f>M!E13*1</f>
        <v>10</v>
      </c>
      <c r="R16" s="59">
        <f>M!F13*1</f>
        <v>15.5397</v>
      </c>
      <c r="S16" s="59">
        <f>M!G13*1</f>
        <v>25</v>
      </c>
      <c r="T16" s="59">
        <f>M!H13*1</f>
        <v>32.563200000000002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32.244999999999997</v>
      </c>
      <c r="O17" s="59">
        <f>M!C14*1</f>
        <v>9.6773199999999999</v>
      </c>
      <c r="P17" s="59">
        <f>M!D14*1</f>
        <v>30.011800000000001</v>
      </c>
      <c r="Q17" s="59">
        <f>M!E14*1</f>
        <v>10</v>
      </c>
      <c r="R17" s="59">
        <f>M!F14*1</f>
        <v>0.109628</v>
      </c>
      <c r="S17" s="59">
        <f>M!G14*1</f>
        <v>50</v>
      </c>
      <c r="T17" s="59">
        <f>M!H14*1</f>
        <v>36.446399999999997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64.022674999999992</v>
      </c>
      <c r="O18" s="22">
        <f>N18/(N18+N19+N20)</f>
        <v>0.51711269003470894</v>
      </c>
      <c r="P18" s="65">
        <f>SUM(P12:P15)/4</f>
        <v>8.9243824999999983</v>
      </c>
      <c r="Q18" s="22">
        <f>P18/(P18+P19+P20)</f>
        <v>0.18713180122417825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33.381950000000003</v>
      </c>
      <c r="O19" s="22">
        <f>N19/(N18+N19+N20)</f>
        <v>0.26962681523544829</v>
      </c>
      <c r="P19" s="18">
        <f>SUM(P8:P11)/4</f>
        <v>15.919025000000001</v>
      </c>
      <c r="Q19" s="22">
        <f>P19/(P18+P19+P20)</f>
        <v>0.33379965750938229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26.403349999999996</v>
      </c>
      <c r="O20" s="22">
        <f>N20/(N18+N19+N20)</f>
        <v>0.21326049472984271</v>
      </c>
      <c r="P20" s="18">
        <f>(P16+P17)/2</f>
        <v>22.84695</v>
      </c>
      <c r="Q20" s="22">
        <f>P20/(P18+P19+P20)</f>
        <v>0.47906854126643944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-9.990395945945918E-2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1.9512048585538764</v>
      </c>
      <c r="D25" s="44" t="str">
        <f>lang!B11</f>
        <v>频率方差</v>
      </c>
      <c r="E25" s="182">
        <f ca="1">FH!L3</f>
        <v>0.6868641294671799</v>
      </c>
      <c r="F25" s="183"/>
      <c r="G25" s="174" t="str">
        <f>lang!B12</f>
        <v>生理变化率</v>
      </c>
      <c r="H25" s="175"/>
      <c r="I25" s="62" t="str">
        <f ca="1">CONCATENATE(info!M7,"-",info!M8)</f>
        <v>33.9-55</v>
      </c>
      <c r="J25" s="42" t="str">
        <f>lang!B13</f>
        <v>千卡l/分钟</v>
      </c>
      <c r="K25" s="41" t="str">
        <f ca="1">CONCATENATE(info!M5,"-",info!M6)</f>
        <v>2-4.7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46.066400000000002</v>
      </c>
      <c r="F28" s="121"/>
      <c r="G28" s="135" t="str">
        <f>lang!B33</f>
        <v>稳定性</v>
      </c>
      <c r="H28" s="136"/>
      <c r="I28" s="137"/>
      <c r="J28" s="138">
        <f>M!B19*100</f>
        <v>52.245399999999997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43614.386469907404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5.593599999999995</v>
      </c>
      <c r="O7" s="59">
        <f t="shared" ref="O7:T7" si="2">AG7-X7</f>
        <v>-9.5056900000000013</v>
      </c>
      <c r="P7" s="59">
        <f t="shared" si="2"/>
        <v>-23.463740000000001</v>
      </c>
      <c r="Q7" s="59">
        <f t="shared" si="2"/>
        <v>0</v>
      </c>
      <c r="R7" s="59">
        <f t="shared" si="2"/>
        <v>32.30444</v>
      </c>
      <c r="S7" s="59">
        <f t="shared" si="2"/>
        <v>0</v>
      </c>
      <c r="T7" s="59">
        <f t="shared" si="2"/>
        <v>1.4777999999999949</v>
      </c>
      <c r="U7" s="14"/>
      <c r="V7" s="27" t="str">
        <f>M7</f>
        <v>攻击性</v>
      </c>
      <c r="W7" s="59">
        <f>'M1'!B5*1</f>
        <v>41.768900000000002</v>
      </c>
      <c r="X7" s="59">
        <f>'M1'!C5*1</f>
        <v>12.0021</v>
      </c>
      <c r="Y7" s="59">
        <f>'M1'!D5*1</f>
        <v>28.7346</v>
      </c>
      <c r="Z7" s="59">
        <f>'M1'!E5*1</f>
        <v>20</v>
      </c>
      <c r="AA7" s="59">
        <f>'M1'!F5*1</f>
        <v>9.6640599999999992</v>
      </c>
      <c r="AB7" s="59">
        <f>'M1'!G5*1</f>
        <v>50</v>
      </c>
      <c r="AC7" s="59">
        <f>'M1'!H5*1</f>
        <v>50.782200000000003</v>
      </c>
      <c r="AE7" s="27" t="str">
        <f>V7</f>
        <v>攻击性</v>
      </c>
      <c r="AF7" s="59">
        <f>'M2'!B5*1</f>
        <v>47.362499999999997</v>
      </c>
      <c r="AG7" s="59">
        <f>'M2'!C5*1</f>
        <v>2.49641</v>
      </c>
      <c r="AH7" s="59">
        <f>'M2'!D5*1</f>
        <v>5.2708599999999999</v>
      </c>
      <c r="AI7" s="59">
        <f>'M2'!E5*1</f>
        <v>20</v>
      </c>
      <c r="AJ7" s="59">
        <f>'M2'!F5*1</f>
        <v>41.968499999999999</v>
      </c>
      <c r="AK7" s="59">
        <f>'M2'!G5*1</f>
        <v>50</v>
      </c>
      <c r="AL7" s="59">
        <f>'M2'!H5*1</f>
        <v>52.26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-1.6017999999999972</v>
      </c>
      <c r="O8" s="59">
        <f t="shared" ref="O8:O16" si="5">AG8-X8</f>
        <v>-0.17703999999999986</v>
      </c>
      <c r="P8" s="59">
        <f t="shared" ref="P8:P16" si="6">AH8-Y8</f>
        <v>-0.36315999999999971</v>
      </c>
      <c r="Q8" s="59">
        <f t="shared" ref="Q8:Q16" si="7">AI8-Z8</f>
        <v>0</v>
      </c>
      <c r="R8" s="59">
        <f t="shared" ref="R8:R16" si="8">AJ8-AA8</f>
        <v>-0.41290000000000049</v>
      </c>
      <c r="S8" s="59">
        <f t="shared" ref="S8:S16" si="9">AK8-AB8</f>
        <v>0</v>
      </c>
      <c r="T8" s="59">
        <f t="shared" ref="T8:T16" si="10">AL8-AC8</f>
        <v>-2.2720000000000056</v>
      </c>
      <c r="U8" s="15"/>
      <c r="V8" s="27" t="str">
        <f t="shared" ref="V8:V16" si="11">M8</f>
        <v>压力</v>
      </c>
      <c r="W8" s="59">
        <f>'M1'!B6*1</f>
        <v>32.865299999999998</v>
      </c>
      <c r="X8" s="59">
        <f>'M1'!C6*1</f>
        <v>1.3029299999999999</v>
      </c>
      <c r="Y8" s="59">
        <f>'M1'!D6*1</f>
        <v>3.9644499999999998</v>
      </c>
      <c r="Z8" s="59">
        <f>'M1'!E6*1</f>
        <v>20</v>
      </c>
      <c r="AA8" s="59">
        <f>'M1'!F6*1</f>
        <v>29.593399999999999</v>
      </c>
      <c r="AB8" s="59">
        <f>'M1'!G6*1</f>
        <v>40</v>
      </c>
      <c r="AC8" s="59">
        <f>'M1'!H6*1</f>
        <v>35.687600000000003</v>
      </c>
      <c r="AE8" s="27" t="str">
        <f t="shared" ref="AE8:AE16" si="12">V8</f>
        <v>压力</v>
      </c>
      <c r="AF8" s="59">
        <f>'M2'!B6*1</f>
        <v>31.263500000000001</v>
      </c>
      <c r="AG8" s="59">
        <f>'M2'!C6*1</f>
        <v>1.1258900000000001</v>
      </c>
      <c r="AH8" s="59">
        <f>'M2'!D6*1</f>
        <v>3.6012900000000001</v>
      </c>
      <c r="AI8" s="59">
        <f>'M2'!E6*1</f>
        <v>20</v>
      </c>
      <c r="AJ8" s="59">
        <f>'M2'!F6*1</f>
        <v>29.180499999999999</v>
      </c>
      <c r="AK8" s="59">
        <f>'M2'!G6*1</f>
        <v>40</v>
      </c>
      <c r="AL8" s="59">
        <f>'M2'!H6*1</f>
        <v>33.415599999999998</v>
      </c>
    </row>
    <row r="9" spans="2:38" s="7" customFormat="1" ht="21" customHeight="1">
      <c r="B9" s="76" t="str">
        <f>CONCATENATE(M7,"
(20 ~ 50)")</f>
        <v>攻击性
(20 ~ 50)</v>
      </c>
      <c r="C9" s="77">
        <f>R7</f>
        <v>32.30444</v>
      </c>
      <c r="D9" s="78">
        <f>N7</f>
        <v>5.593599999999995</v>
      </c>
      <c r="E9" s="79">
        <f>T7</f>
        <v>1.4777999999999949</v>
      </c>
      <c r="F9" s="79">
        <f>P7</f>
        <v>-23.463740000000001</v>
      </c>
      <c r="G9" s="80" t="str">
        <f>CONCATENATE(M8,"
(20 ~ 40)")</f>
        <v>压力
(20 ~ 40)</v>
      </c>
      <c r="H9" s="77">
        <f>R8</f>
        <v>-0.41290000000000049</v>
      </c>
      <c r="I9" s="81">
        <f>N8</f>
        <v>-1.6017999999999972</v>
      </c>
      <c r="J9" s="77">
        <f>T8</f>
        <v>-2.2720000000000056</v>
      </c>
      <c r="K9" s="82">
        <f>P8</f>
        <v>-0.36315999999999971</v>
      </c>
      <c r="L9" s="6"/>
      <c r="M9" s="27" t="str">
        <f>lang!B16</f>
        <v>焦虑</v>
      </c>
      <c r="N9" s="59">
        <f t="shared" si="4"/>
        <v>-0.13109999999999999</v>
      </c>
      <c r="O9" s="59">
        <f t="shared" si="5"/>
        <v>2.6317399999999997</v>
      </c>
      <c r="P9" s="59">
        <f t="shared" si="6"/>
        <v>11.499300000000002</v>
      </c>
      <c r="Q9" s="59">
        <f t="shared" si="7"/>
        <v>0</v>
      </c>
      <c r="R9" s="59">
        <f t="shared" si="8"/>
        <v>-5.8118999999999996</v>
      </c>
      <c r="S9" s="59">
        <f t="shared" si="9"/>
        <v>0</v>
      </c>
      <c r="T9" s="59">
        <f t="shared" si="10"/>
        <v>5.5679000000000016</v>
      </c>
      <c r="U9" s="14"/>
      <c r="V9" s="27" t="str">
        <f t="shared" si="11"/>
        <v>焦虑</v>
      </c>
      <c r="W9" s="59">
        <f>'M1'!B7*1</f>
        <v>23.217300000000002</v>
      </c>
      <c r="X9" s="59">
        <f>'M1'!C7*1</f>
        <v>4.0722399999999999</v>
      </c>
      <c r="Y9" s="59">
        <f>'M1'!D7*1</f>
        <v>17.5397</v>
      </c>
      <c r="Z9" s="59">
        <f>'M1'!E7*1</f>
        <v>15</v>
      </c>
      <c r="AA9" s="59">
        <f>'M1'!F7*1</f>
        <v>17.8047</v>
      </c>
      <c r="AB9" s="59">
        <f>'M1'!G7*1</f>
        <v>40</v>
      </c>
      <c r="AC9" s="59">
        <f>'M1'!H7*1</f>
        <v>37.019199999999998</v>
      </c>
      <c r="AE9" s="27" t="str">
        <f t="shared" si="12"/>
        <v>焦虑</v>
      </c>
      <c r="AF9" s="59">
        <f>'M2'!B7*1</f>
        <v>23.086200000000002</v>
      </c>
      <c r="AG9" s="59">
        <f>'M2'!C7*1</f>
        <v>6.7039799999999996</v>
      </c>
      <c r="AH9" s="59">
        <f>'M2'!D7*1</f>
        <v>29.039000000000001</v>
      </c>
      <c r="AI9" s="59">
        <f>'M2'!E7*1</f>
        <v>15</v>
      </c>
      <c r="AJ9" s="59">
        <f>'M2'!F7*1</f>
        <v>11.992800000000001</v>
      </c>
      <c r="AK9" s="59">
        <f>'M2'!G7*1</f>
        <v>40</v>
      </c>
      <c r="AL9" s="59">
        <f>'M2'!H7*1</f>
        <v>42.5871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-5.8118999999999996</v>
      </c>
      <c r="D10" s="51">
        <f>N9</f>
        <v>-0.13109999999999999</v>
      </c>
      <c r="E10" s="53">
        <f>T9</f>
        <v>5.5679000000000016</v>
      </c>
      <c r="F10" s="53">
        <f>P9</f>
        <v>11.499300000000002</v>
      </c>
      <c r="G10" s="73" t="str">
        <f>CONCATENATE(M10,"
(20 ~ 50)")</f>
        <v>可疑
(20 ~ 50)</v>
      </c>
      <c r="H10" s="24">
        <f>R10</f>
        <v>10.3657</v>
      </c>
      <c r="I10" s="52">
        <f>N10</f>
        <v>1.9577000000000027</v>
      </c>
      <c r="J10" s="24">
        <f>T10</f>
        <v>2.411999999999999</v>
      </c>
      <c r="K10" s="25">
        <f>P10</f>
        <v>-7.9679599999999997</v>
      </c>
      <c r="L10" s="4"/>
      <c r="M10" s="27" t="str">
        <f>lang!B17</f>
        <v>可疑</v>
      </c>
      <c r="N10" s="59">
        <f t="shared" si="4"/>
        <v>1.9577000000000027</v>
      </c>
      <c r="O10" s="59">
        <f t="shared" si="5"/>
        <v>-2.40998</v>
      </c>
      <c r="P10" s="59">
        <f t="shared" si="6"/>
        <v>-7.9679599999999997</v>
      </c>
      <c r="Q10" s="59">
        <f t="shared" si="7"/>
        <v>0</v>
      </c>
      <c r="R10" s="59">
        <f t="shared" si="8"/>
        <v>10.3657</v>
      </c>
      <c r="S10" s="59">
        <f t="shared" si="9"/>
        <v>0</v>
      </c>
      <c r="T10" s="59">
        <f t="shared" si="10"/>
        <v>2.411999999999999</v>
      </c>
      <c r="U10" s="14"/>
      <c r="V10" s="27" t="str">
        <f t="shared" si="11"/>
        <v>可疑</v>
      </c>
      <c r="W10" s="59">
        <f>'M1'!B8*1</f>
        <v>31.9788</v>
      </c>
      <c r="X10" s="59">
        <f>'M1'!C8*1</f>
        <v>4.8033999999999999</v>
      </c>
      <c r="Y10" s="59">
        <f>'M1'!D8*1</f>
        <v>15.0206</v>
      </c>
      <c r="Z10" s="59">
        <f>'M1'!E8*1</f>
        <v>20</v>
      </c>
      <c r="AA10" s="59">
        <f>'M1'!F8*1</f>
        <v>19.6873</v>
      </c>
      <c r="AB10" s="59">
        <f>'M1'!G8*1</f>
        <v>50</v>
      </c>
      <c r="AC10" s="59">
        <f>'M1'!H8*1</f>
        <v>37.478700000000003</v>
      </c>
      <c r="AE10" s="27" t="str">
        <f t="shared" si="12"/>
        <v>可疑</v>
      </c>
      <c r="AF10" s="59">
        <f>'M2'!B8*1</f>
        <v>33.936500000000002</v>
      </c>
      <c r="AG10" s="59">
        <f>'M2'!C8*1</f>
        <v>2.3934199999999999</v>
      </c>
      <c r="AH10" s="59">
        <f>'M2'!D8*1</f>
        <v>7.0526400000000002</v>
      </c>
      <c r="AI10" s="59">
        <f>'M2'!E8*1</f>
        <v>20</v>
      </c>
      <c r="AJ10" s="59">
        <f>'M2'!F8*1</f>
        <v>30.053000000000001</v>
      </c>
      <c r="AK10" s="59">
        <f>'M2'!G8*1</f>
        <v>50</v>
      </c>
      <c r="AL10" s="59">
        <f>'M2'!H8*1</f>
        <v>39.890700000000002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-2.2208000000000112</v>
      </c>
      <c r="D11" s="52">
        <f>N11</f>
        <v>0.18889999999998963</v>
      </c>
      <c r="E11" s="24">
        <f>T11</f>
        <v>-7.5135000000000076</v>
      </c>
      <c r="F11" s="24">
        <f>P11</f>
        <v>-2.5150699999999997</v>
      </c>
      <c r="G11" s="73" t="str">
        <f>CONCATENATE(M12,"
(40 ~ 100)")</f>
        <v>自信
(40 ~ 100)</v>
      </c>
      <c r="H11" s="24">
        <f>R12</f>
        <v>4.4294000000000011</v>
      </c>
      <c r="I11" s="52">
        <f>N12</f>
        <v>-0.27019999999998845</v>
      </c>
      <c r="J11" s="24">
        <f>T12</f>
        <v>-1.2801999999999936</v>
      </c>
      <c r="K11" s="25">
        <f>P12</f>
        <v>-0.83799000000000001</v>
      </c>
      <c r="L11" s="4"/>
      <c r="M11" s="27" t="str">
        <f>lang!B18</f>
        <v>平衡</v>
      </c>
      <c r="N11" s="59">
        <f t="shared" si="4"/>
        <v>0.18889999999998963</v>
      </c>
      <c r="O11" s="59">
        <f t="shared" si="5"/>
        <v>-1.8660900000000002</v>
      </c>
      <c r="P11" s="59">
        <f t="shared" si="6"/>
        <v>-2.5150699999999997</v>
      </c>
      <c r="Q11" s="59">
        <f t="shared" si="7"/>
        <v>0</v>
      </c>
      <c r="R11" s="59">
        <f t="shared" si="8"/>
        <v>-2.2208000000000112</v>
      </c>
      <c r="S11" s="59">
        <f t="shared" si="9"/>
        <v>0</v>
      </c>
      <c r="T11" s="59">
        <f t="shared" si="10"/>
        <v>-7.5135000000000076</v>
      </c>
      <c r="U11" s="14"/>
      <c r="V11" s="27" t="str">
        <f t="shared" si="11"/>
        <v>平衡</v>
      </c>
      <c r="W11" s="59">
        <f>'M1'!B9*1</f>
        <v>74.513000000000005</v>
      </c>
      <c r="X11" s="59">
        <f>'M1'!C9*1</f>
        <v>5.01363</v>
      </c>
      <c r="Y11" s="59">
        <f>'M1'!D9*1</f>
        <v>6.7285399999999997</v>
      </c>
      <c r="Z11" s="59">
        <f>'M1'!E9*1</f>
        <v>50</v>
      </c>
      <c r="AA11" s="59">
        <f>'M1'!F9*1</f>
        <v>67.924000000000007</v>
      </c>
      <c r="AB11" s="59">
        <f>'M1'!G9*1</f>
        <v>100</v>
      </c>
      <c r="AC11" s="59">
        <f>'M1'!H9*1</f>
        <v>88.203100000000006</v>
      </c>
      <c r="AE11" s="27" t="str">
        <f t="shared" si="12"/>
        <v>平衡</v>
      </c>
      <c r="AF11" s="59">
        <f>'M2'!B9*1</f>
        <v>74.701899999999995</v>
      </c>
      <c r="AG11" s="59">
        <f>'M2'!C9*1</f>
        <v>3.1475399999999998</v>
      </c>
      <c r="AH11" s="59">
        <f>'M2'!D9*1</f>
        <v>4.21347</v>
      </c>
      <c r="AI11" s="59">
        <f>'M2'!E9*1</f>
        <v>50</v>
      </c>
      <c r="AJ11" s="59">
        <f>'M2'!F9*1</f>
        <v>65.703199999999995</v>
      </c>
      <c r="AK11" s="59">
        <f>'M2'!G9*1</f>
        <v>100</v>
      </c>
      <c r="AL11" s="59">
        <f>'M2'!H9*1</f>
        <v>80.689599999999999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20.066299999999998</v>
      </c>
      <c r="D12" s="51">
        <f>N13</f>
        <v>5.8047000000000004</v>
      </c>
      <c r="E12" s="53">
        <f>T13</f>
        <v>4.7263000000000019</v>
      </c>
      <c r="F12" s="53">
        <f>P13</f>
        <v>-21.240469999999998</v>
      </c>
      <c r="G12" s="73" t="str">
        <f>CONCATENATE(M14,"
(50 ~ 100)")</f>
        <v>自我调节
(50 ~ 100)</v>
      </c>
      <c r="H12" s="24">
        <f>R14</f>
        <v>-1.113900000000001</v>
      </c>
      <c r="I12" s="52">
        <f>N14</f>
        <v>-0.95789999999999509</v>
      </c>
      <c r="J12" s="24">
        <f>T14</f>
        <v>-1.1854000000000013</v>
      </c>
      <c r="K12" s="25">
        <f>P14</f>
        <v>0.27324000000000037</v>
      </c>
      <c r="L12" s="4"/>
      <c r="M12" s="27" t="str">
        <f>lang!B19</f>
        <v>自信</v>
      </c>
      <c r="N12" s="59">
        <f t="shared" si="4"/>
        <v>-0.27019999999998845</v>
      </c>
      <c r="O12" s="59">
        <f t="shared" si="5"/>
        <v>-0.65331000000000028</v>
      </c>
      <c r="P12" s="59">
        <f t="shared" si="6"/>
        <v>-0.83799000000000001</v>
      </c>
      <c r="Q12" s="59">
        <f t="shared" si="7"/>
        <v>0</v>
      </c>
      <c r="R12" s="59">
        <f t="shared" si="8"/>
        <v>4.4294000000000011</v>
      </c>
      <c r="S12" s="59">
        <f t="shared" si="9"/>
        <v>0</v>
      </c>
      <c r="T12" s="59">
        <f t="shared" si="10"/>
        <v>-1.2801999999999936</v>
      </c>
      <c r="U12" s="15"/>
      <c r="V12" s="27" t="str">
        <f t="shared" si="11"/>
        <v>自信</v>
      </c>
      <c r="W12" s="59">
        <f>'M1'!B10*1</f>
        <v>77.098699999999994</v>
      </c>
      <c r="X12" s="59">
        <f>'M1'!C10*1</f>
        <v>2.7086100000000002</v>
      </c>
      <c r="Y12" s="59">
        <f>'M1'!D10*1</f>
        <v>3.5131700000000001</v>
      </c>
      <c r="Z12" s="59">
        <f>'M1'!E10*1</f>
        <v>40</v>
      </c>
      <c r="AA12" s="59">
        <f>'M1'!F10*1</f>
        <v>67.790899999999993</v>
      </c>
      <c r="AB12" s="59">
        <f>'M1'!G10*1</f>
        <v>100</v>
      </c>
      <c r="AC12" s="59">
        <f>'M1'!H10*1</f>
        <v>80.533299999999997</v>
      </c>
      <c r="AE12" s="27" t="str">
        <f t="shared" si="12"/>
        <v>自信</v>
      </c>
      <c r="AF12" s="59">
        <f>'M2'!B10*1</f>
        <v>76.828500000000005</v>
      </c>
      <c r="AG12" s="59">
        <f>'M2'!C10*1</f>
        <v>2.0552999999999999</v>
      </c>
      <c r="AH12" s="59">
        <f>'M2'!D10*1</f>
        <v>2.6751800000000001</v>
      </c>
      <c r="AI12" s="59">
        <f>'M2'!E10*1</f>
        <v>40</v>
      </c>
      <c r="AJ12" s="59">
        <f>'M2'!F10*1</f>
        <v>72.220299999999995</v>
      </c>
      <c r="AK12" s="59">
        <f>'M2'!G10*1</f>
        <v>100</v>
      </c>
      <c r="AL12" s="59">
        <f>'M2'!H10*1</f>
        <v>79.253100000000003</v>
      </c>
    </row>
    <row r="13" spans="2:38" ht="25.5" customHeight="1" thickBot="1">
      <c r="B13" s="72" t="str">
        <f>CONCATENATE(M15,"
(10 ~ 25)")</f>
        <v>抑郁
(10 ~ 25)</v>
      </c>
      <c r="C13" s="54">
        <f>R15</f>
        <v>-0.42800000000000082</v>
      </c>
      <c r="D13" s="55">
        <f>N15</f>
        <v>1.3088000000000015</v>
      </c>
      <c r="E13" s="56">
        <f>T15</f>
        <v>7.5178000000000011</v>
      </c>
      <c r="F13" s="56">
        <f>P15</f>
        <v>6.9439999999999991</v>
      </c>
      <c r="G13" s="74" t="str">
        <f>CONCATENATE(M16,"
(10 ~ 50)")</f>
        <v>神经质
(10 ~ 50)</v>
      </c>
      <c r="H13" s="54">
        <f>R16</f>
        <v>3.3006320000000002</v>
      </c>
      <c r="I13" s="55">
        <f>N16</f>
        <v>16.272299999999998</v>
      </c>
      <c r="J13" s="56">
        <f>T16</f>
        <v>8.5929999999999964</v>
      </c>
      <c r="K13" s="57">
        <f>P16</f>
        <v>-5.5238000000000014</v>
      </c>
      <c r="M13" s="27" t="str">
        <f>lang!B20</f>
        <v>活力</v>
      </c>
      <c r="N13" s="59">
        <f t="shared" si="4"/>
        <v>5.8047000000000004</v>
      </c>
      <c r="O13" s="59">
        <f t="shared" si="5"/>
        <v>-4.9498999999999995</v>
      </c>
      <c r="P13" s="59">
        <f t="shared" si="6"/>
        <v>-21.240469999999998</v>
      </c>
      <c r="Q13" s="59">
        <f t="shared" si="7"/>
        <v>0</v>
      </c>
      <c r="R13" s="59">
        <f t="shared" si="8"/>
        <v>20.066299999999998</v>
      </c>
      <c r="S13" s="59">
        <f t="shared" si="9"/>
        <v>0</v>
      </c>
      <c r="T13" s="59">
        <f t="shared" si="10"/>
        <v>4.7263000000000019</v>
      </c>
      <c r="U13" s="14"/>
      <c r="V13" s="27" t="str">
        <f t="shared" si="11"/>
        <v>活力</v>
      </c>
      <c r="W13" s="59">
        <f>'M1'!B11*1</f>
        <v>25.612400000000001</v>
      </c>
      <c r="X13" s="59">
        <f>'M1'!C11*1</f>
        <v>7.6034600000000001</v>
      </c>
      <c r="Y13" s="59">
        <f>'M1'!D11*1</f>
        <v>29.686699999999998</v>
      </c>
      <c r="Z13" s="59">
        <f>'M1'!E11*1</f>
        <v>10</v>
      </c>
      <c r="AA13" s="59">
        <f>'M1'!F11*1</f>
        <v>6.3954000000000004</v>
      </c>
      <c r="AB13" s="59">
        <f>'M1'!G11*1</f>
        <v>50</v>
      </c>
      <c r="AC13" s="59">
        <f>'M1'!H11*1</f>
        <v>30.473500000000001</v>
      </c>
      <c r="AE13" s="27" t="str">
        <f t="shared" si="12"/>
        <v>活力</v>
      </c>
      <c r="AF13" s="59">
        <f>'M2'!B11*1</f>
        <v>31.417100000000001</v>
      </c>
      <c r="AG13" s="59">
        <f>'M2'!C11*1</f>
        <v>2.6535600000000001</v>
      </c>
      <c r="AH13" s="59">
        <f>'M2'!D11*1</f>
        <v>8.4462299999999999</v>
      </c>
      <c r="AI13" s="59">
        <f>'M2'!E11*1</f>
        <v>10</v>
      </c>
      <c r="AJ13" s="59">
        <f>'M2'!F11*1</f>
        <v>26.4617</v>
      </c>
      <c r="AK13" s="59">
        <f>'M2'!G11*1</f>
        <v>50</v>
      </c>
      <c r="AL13" s="59">
        <f>'M2'!H11*1</f>
        <v>35.199800000000003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-0.95789999999999509</v>
      </c>
      <c r="O14" s="59">
        <f t="shared" si="5"/>
        <v>0.18445</v>
      </c>
      <c r="P14" s="59">
        <f t="shared" si="6"/>
        <v>0.27324000000000037</v>
      </c>
      <c r="Q14" s="59">
        <f t="shared" si="7"/>
        <v>0</v>
      </c>
      <c r="R14" s="59">
        <f t="shared" si="8"/>
        <v>-1.113900000000001</v>
      </c>
      <c r="S14" s="59">
        <f t="shared" si="9"/>
        <v>0</v>
      </c>
      <c r="T14" s="59">
        <f t="shared" si="10"/>
        <v>-1.1854000000000013</v>
      </c>
      <c r="U14" s="14"/>
      <c r="V14" s="27" t="str">
        <f t="shared" si="11"/>
        <v>自我调节</v>
      </c>
      <c r="W14" s="59">
        <f>'M1'!B12*1</f>
        <v>76.139099999999999</v>
      </c>
      <c r="X14" s="59">
        <f>'M1'!C12*1</f>
        <v>1.66686</v>
      </c>
      <c r="Y14" s="59">
        <f>'M1'!D12*1</f>
        <v>2.1892299999999998</v>
      </c>
      <c r="Z14" s="59">
        <f>'M1'!E12*1</f>
        <v>50</v>
      </c>
      <c r="AA14" s="59">
        <f>'M1'!F12*1</f>
        <v>72.412800000000004</v>
      </c>
      <c r="AB14" s="59">
        <f>'M1'!G12*1</f>
        <v>100</v>
      </c>
      <c r="AC14" s="59">
        <f>'M1'!H12*1</f>
        <v>81.0398</v>
      </c>
      <c r="AE14" s="27" t="str">
        <f t="shared" si="12"/>
        <v>自我调节</v>
      </c>
      <c r="AF14" s="59">
        <f>'M2'!B12*1</f>
        <v>75.181200000000004</v>
      </c>
      <c r="AG14" s="59">
        <f>'M2'!C12*1</f>
        <v>1.85131</v>
      </c>
      <c r="AH14" s="59">
        <f>'M2'!D12*1</f>
        <v>2.4624700000000002</v>
      </c>
      <c r="AI14" s="59">
        <f>'M2'!E12*1</f>
        <v>50</v>
      </c>
      <c r="AJ14" s="59">
        <f>'M2'!F12*1</f>
        <v>71.298900000000003</v>
      </c>
      <c r="AK14" s="59">
        <f>'M2'!G12*1</f>
        <v>100</v>
      </c>
      <c r="AL14" s="59">
        <f>'M2'!H12*1</f>
        <v>79.854399999999998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1.3088000000000015</v>
      </c>
      <c r="O15" s="59">
        <f t="shared" si="5"/>
        <v>1.62723</v>
      </c>
      <c r="P15" s="59">
        <f t="shared" si="6"/>
        <v>6.9439999999999991</v>
      </c>
      <c r="Q15" s="59">
        <f t="shared" si="7"/>
        <v>0</v>
      </c>
      <c r="R15" s="59">
        <f t="shared" si="8"/>
        <v>-0.42800000000000082</v>
      </c>
      <c r="S15" s="59">
        <f t="shared" si="9"/>
        <v>0</v>
      </c>
      <c r="T15" s="59">
        <f t="shared" si="10"/>
        <v>7.5178000000000011</v>
      </c>
      <c r="U15" s="14"/>
      <c r="V15" s="27" t="str">
        <f t="shared" si="11"/>
        <v>抑郁</v>
      </c>
      <c r="W15" s="59">
        <f>'M1'!B13*1</f>
        <v>20.026599999999998</v>
      </c>
      <c r="X15" s="59">
        <f>'M1'!C13*1</f>
        <v>2.2294399999999999</v>
      </c>
      <c r="Y15" s="59">
        <f>'M1'!D13*1</f>
        <v>11.132400000000001</v>
      </c>
      <c r="Z15" s="59">
        <f>'M1'!E13*1</f>
        <v>10</v>
      </c>
      <c r="AA15" s="59">
        <f>'M1'!F13*1</f>
        <v>15.967700000000001</v>
      </c>
      <c r="AB15" s="59">
        <f>'M1'!G13*1</f>
        <v>25</v>
      </c>
      <c r="AC15" s="59">
        <f>'M1'!H13*1</f>
        <v>25.045400000000001</v>
      </c>
      <c r="AE15" s="27" t="str">
        <f t="shared" si="12"/>
        <v>抑郁</v>
      </c>
      <c r="AF15" s="59">
        <f>'M2'!B13*1</f>
        <v>21.3354</v>
      </c>
      <c r="AG15" s="59">
        <f>'M2'!C13*1</f>
        <v>3.8566699999999998</v>
      </c>
      <c r="AH15" s="59">
        <f>'M2'!D13*1</f>
        <v>18.0764</v>
      </c>
      <c r="AI15" s="59">
        <f>'M2'!E13*1</f>
        <v>10</v>
      </c>
      <c r="AJ15" s="59">
        <f>'M2'!F13*1</f>
        <v>15.5397</v>
      </c>
      <c r="AK15" s="59">
        <f>'M2'!G13*1</f>
        <v>25</v>
      </c>
      <c r="AL15" s="59">
        <f>'M2'!H13*1</f>
        <v>32.563200000000002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16.272299999999998</v>
      </c>
      <c r="O16" s="59">
        <f t="shared" si="5"/>
        <v>3.16174</v>
      </c>
      <c r="P16" s="59">
        <f t="shared" si="6"/>
        <v>-5.5238000000000014</v>
      </c>
      <c r="Q16" s="59">
        <f t="shared" si="7"/>
        <v>0</v>
      </c>
      <c r="R16" s="59">
        <f t="shared" si="8"/>
        <v>3.3006320000000002</v>
      </c>
      <c r="S16" s="59">
        <f t="shared" si="9"/>
        <v>0</v>
      </c>
      <c r="T16" s="59">
        <f t="shared" si="10"/>
        <v>8.5929999999999964</v>
      </c>
      <c r="U16" s="15"/>
      <c r="V16" s="27" t="str">
        <f t="shared" si="11"/>
        <v>神经质</v>
      </c>
      <c r="W16" s="59">
        <f>'M1'!B14*1</f>
        <v>22.2944</v>
      </c>
      <c r="X16" s="59">
        <f>'M1'!C14*1</f>
        <v>7.2505600000000001</v>
      </c>
      <c r="Y16" s="59">
        <f>'M1'!D14*1</f>
        <v>32.521900000000002</v>
      </c>
      <c r="Z16" s="59">
        <f>'M1'!E14*1</f>
        <v>10</v>
      </c>
      <c r="AA16" s="59">
        <f>'M1'!F14*1</f>
        <v>0.109628</v>
      </c>
      <c r="AB16" s="59">
        <f>'M1'!G14*1</f>
        <v>50</v>
      </c>
      <c r="AC16" s="59">
        <f>'M1'!H14*1</f>
        <v>27.853400000000001</v>
      </c>
      <c r="AE16" s="27" t="str">
        <f t="shared" si="12"/>
        <v>神经质</v>
      </c>
      <c r="AF16" s="59">
        <f>'M2'!B14*1</f>
        <v>38.566699999999997</v>
      </c>
      <c r="AG16" s="59">
        <f>'M2'!C14*1</f>
        <v>10.4123</v>
      </c>
      <c r="AH16" s="59">
        <f>'M2'!D14*1</f>
        <v>26.998100000000001</v>
      </c>
      <c r="AI16" s="59">
        <f>'M2'!E14*1</f>
        <v>10</v>
      </c>
      <c r="AJ16" s="59">
        <f>'M2'!F14*1</f>
        <v>3.4102600000000001</v>
      </c>
      <c r="AK16" s="59">
        <f>'M2'!G14*1</f>
        <v>50</v>
      </c>
      <c r="AL16" s="59">
        <f>'M2'!H14*1</f>
        <v>36.446399999999997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1.1913750000000016</v>
      </c>
      <c r="O17" s="22">
        <f>N17/(N17+N18+N19)</f>
        <v>0.10417281473174775</v>
      </c>
      <c r="P17" s="65">
        <f>SUM(P11:P14)/4</f>
        <v>-6.0800724999999991</v>
      </c>
      <c r="Q17" s="22">
        <f>P17/(P17+P18+P19)</f>
        <v>0.5821670382964157</v>
      </c>
      <c r="R17" s="14"/>
      <c r="S17" s="14"/>
      <c r="T17" s="14"/>
      <c r="U17" s="14"/>
      <c r="V17" s="21" t="str">
        <f>M17</f>
        <v>Positive</v>
      </c>
      <c r="W17" s="65">
        <f>SUM(W11:W14)/4</f>
        <v>63.340800000000002</v>
      </c>
      <c r="X17" s="22">
        <f>W17/(W17+W18+W19)</f>
        <v>0.54156471665788519</v>
      </c>
      <c r="Y17" s="65">
        <f>SUM(Y11:Y14)/4</f>
        <v>10.52941</v>
      </c>
      <c r="Z17" s="22">
        <f>Y17/(Y17+Y18+Y19)</f>
        <v>0.2163367098715421</v>
      </c>
      <c r="AA17" s="14"/>
      <c r="AB17" s="14"/>
      <c r="AC17" s="14"/>
      <c r="AE17" s="21" t="str">
        <f>V17</f>
        <v>Positive</v>
      </c>
      <c r="AF17" s="65">
        <f>SUM(AF11:AF14)/4</f>
        <v>64.532174999999995</v>
      </c>
      <c r="AG17" s="22">
        <f>AF17/(AF17+AF18+AF19)</f>
        <v>0.50260503880980156</v>
      </c>
      <c r="AH17" s="65">
        <f>SUM(AH11:AH14)/4</f>
        <v>4.4493375000000004</v>
      </c>
      <c r="AI17" s="22">
        <f>AH17/(AH17+AH18+AH19)</f>
        <v>0.11639090775798126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1.4546000000000001</v>
      </c>
      <c r="O18" s="22">
        <f>N18/(N17+N18+N19)</f>
        <v>0.12718898441615786</v>
      </c>
      <c r="P18" s="18">
        <f>SUM(P7:P10)/4</f>
        <v>-5.0738900000000005</v>
      </c>
      <c r="Q18" s="22">
        <f>P18/(P17+P18+P19)</f>
        <v>0.4858250479647736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32.457574999999999</v>
      </c>
      <c r="X18" s="22">
        <f>W18/(W17+W18+W19)</f>
        <v>0.2775127154737082</v>
      </c>
      <c r="Y18" s="18">
        <f>SUM(Y7:Y10)/4</f>
        <v>16.314837499999999</v>
      </c>
      <c r="Z18" s="22">
        <f>Y18/(Y17+Y18+Y19)</f>
        <v>0.33520380219203688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33.912175000000005</v>
      </c>
      <c r="AG18" s="22">
        <f>AF18/(AF17+AF18+AF19)</f>
        <v>0.26412297481062408</v>
      </c>
      <c r="AH18" s="18">
        <f>SUM(AH7:AH10)/4</f>
        <v>11.240947500000001</v>
      </c>
      <c r="AI18" s="22">
        <f>AH18/(AH17+AH18+AH19)</f>
        <v>0.29405368407876675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8.7905499999999996</v>
      </c>
      <c r="O19" s="22">
        <f>N19/(N17+N18+N19)</f>
        <v>0.76863820085209433</v>
      </c>
      <c r="P19" s="18">
        <f>(P15+P16)/2</f>
        <v>0.71009999999999884</v>
      </c>
      <c r="Q19" s="22">
        <f>P19/(P17+P18+P19)</f>
        <v>-6.7992086261189175E-2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21.160499999999999</v>
      </c>
      <c r="X19" s="22">
        <f>W19/(W17+W18+W19)</f>
        <v>0.18092256786840674</v>
      </c>
      <c r="Y19" s="18">
        <f>(Y15+Y16)/2</f>
        <v>21.827150000000003</v>
      </c>
      <c r="Z19" s="22">
        <f>Y19/(Y17+Y18+Y19)</f>
        <v>0.44845948793642099</v>
      </c>
      <c r="AA19" s="14"/>
      <c r="AB19" s="14"/>
      <c r="AC19" s="14"/>
      <c r="AE19" s="21" t="str">
        <f t="shared" si="14"/>
        <v>Physiological</v>
      </c>
      <c r="AF19" s="18">
        <f>(AF15+AF16)/2</f>
        <v>29.951049999999999</v>
      </c>
      <c r="AG19" s="22">
        <f>AF19/(AF17+AF18+AF19)</f>
        <v>0.23327198637957433</v>
      </c>
      <c r="AH19" s="18">
        <f>(AH15+AH16)/2</f>
        <v>22.53725</v>
      </c>
      <c r="AI19" s="22">
        <f>AH19/(AH17+AH18+AH19)</f>
        <v>0.58955540816325191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1.73/2.15</v>
      </c>
      <c r="D24" s="44" t="str">
        <f>lang!B11</f>
        <v>频率方差</v>
      </c>
      <c r="E24" s="182" t="str">
        <f ca="1">CONCATENATE(ROUND('FH1'!L3,2),"/",ROUND('FH2'!L3,2))</f>
        <v>0.68/0.63</v>
      </c>
      <c r="F24" s="183"/>
      <c r="G24" s="174" t="str">
        <f>lang!B12</f>
        <v>生理变化率</v>
      </c>
      <c r="H24" s="175"/>
      <c r="I24" s="62" t="str">
        <f ca="1">CONCATENATE(info!M7,"-",info!M8)</f>
        <v>33.9-55</v>
      </c>
      <c r="J24" s="42" t="str">
        <f>lang!B13</f>
        <v>千卡l/分钟</v>
      </c>
      <c r="K24" s="41" t="str">
        <f ca="1">CONCATENATE(info!M5,"-",info!M6)</f>
        <v>2-4.7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-0.57729999999999726</v>
      </c>
      <c r="F27" s="121"/>
      <c r="G27" s="135" t="str">
        <f>lang!B33</f>
        <v>稳定性</v>
      </c>
      <c r="H27" s="136"/>
      <c r="I27" s="137"/>
      <c r="J27" s="138">
        <f>dM!B19*100</f>
        <v>5.6783999999999999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-0.94125036681939389</v>
      </c>
      <c r="C2">
        <f t="array" aca="1" ref="C2" ca="1">CORREL(FT_E02,FT_PH02)</f>
        <v>-0.56023863530895435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2.0472000000000001</v>
      </c>
      <c r="G2" s="61">
        <f>IF(FT!B2&lt;&gt;"",FT!B2*100,"")</f>
        <v>55.031399999999998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2.1243099999999999</v>
      </c>
      <c r="G3" s="61">
        <f>IF(FT!B3&lt;&gt;"",FT!B3*100,"")</f>
        <v>54.214600000000004</v>
      </c>
      <c r="H3" s="61">
        <f t="shared" ref="H3:H66" si="1">(IF(F3&lt;&gt;"",1,""))</f>
        <v>1</v>
      </c>
      <c r="I3" t="str">
        <f>IF(FT!B3&lt;&gt;"",FT!E3,"")</f>
        <v>1 [0.354445]</v>
      </c>
      <c r="J3">
        <f>IF(FT!B3&lt;&gt;"",FT!C3,"")</f>
        <v>0.35444500000000001</v>
      </c>
      <c r="K3" t="s">
        <v>52</v>
      </c>
      <c r="L3">
        <f>SUM(H2:H2005)</f>
        <v>149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0.42099675675675674</v>
      </c>
      <c r="V3">
        <f ca="1">AVERAGE(OFFSET(FT!B2,info!$L$3/2,0,info!$L$3/2,1))</f>
        <v>0.37364155405405419</v>
      </c>
      <c r="W3">
        <f ca="1">AVERAGE(OFFSET(FT!A2,0,0,info!$L$3/2,1))</f>
        <v>0.37477591891891904</v>
      </c>
      <c r="X3">
        <f ca="1">AVERAGE(OFFSET(FT!A2,info!$L$3/2,0,info!$L$3/2,1))</f>
        <v>0.42732467567567567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2.2004799999999998</v>
      </c>
      <c r="G4" s="61">
        <f>IF(FT!B4&lt;&gt;"",FT!B4*100,"")</f>
        <v>53.436300000000003</v>
      </c>
      <c r="H4" s="61">
        <f t="shared" si="1"/>
        <v>1</v>
      </c>
      <c r="I4" t="str">
        <f>IF(FT!B4&lt;&gt;"",FT!E4,"")</f>
        <v>1 [0.763882]</v>
      </c>
      <c r="J4">
        <f>IF(FT!B4&lt;&gt;"",FT!C4,"")</f>
        <v>0.76388199999999995</v>
      </c>
      <c r="O4">
        <f>O3+1</f>
        <v>1</v>
      </c>
      <c r="P4">
        <v>0</v>
      </c>
      <c r="Q4">
        <f>IF(R4=1998,0,R4)</f>
        <v>74</v>
      </c>
      <c r="R4">
        <f t="array" ref="R4">MAX(IF(ft_nq=O4,row_n))</f>
        <v>74</v>
      </c>
      <c r="S4">
        <f>Q4-P4+1</f>
        <v>75</v>
      </c>
      <c r="U4">
        <f>MAX(FT!C2:C4000)/4</f>
        <v>15.025824999999999</v>
      </c>
      <c r="V4">
        <f>U4*3</f>
        <v>45.077475</v>
      </c>
      <c r="W4">
        <f>U4</f>
        <v>15.025824999999999</v>
      </c>
      <c r="X4">
        <f>V4</f>
        <v>45.077475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2.27894</v>
      </c>
      <c r="G5" s="61">
        <f>IF(FT!B5&lt;&gt;"",FT!B5*100,"")</f>
        <v>52.538499999999999</v>
      </c>
      <c r="H5" s="61">
        <f t="shared" si="1"/>
        <v>1</v>
      </c>
      <c r="I5" t="str">
        <f>IF(FT!B5&lt;&gt;"",FT!E5,"")</f>
        <v>1 [1.164500]</v>
      </c>
      <c r="J5">
        <f>IF(FT!B5&lt;&gt;"",FT!C5,"")</f>
        <v>1.1645000000000001</v>
      </c>
      <c r="K5" t="s">
        <v>53</v>
      </c>
      <c r="L5" s="63">
        <f ca="1">MIN(FT_E)</f>
        <v>2.0472000000000001</v>
      </c>
      <c r="M5" s="63">
        <f ca="1">ROUND(L5,1)</f>
        <v>2</v>
      </c>
      <c r="O5">
        <f t="shared" ref="O5:O27" si="4">O4+1</f>
        <v>2</v>
      </c>
      <c r="P5">
        <f>IF(OR(R5=1998,R5=0),0,Q4)</f>
        <v>74</v>
      </c>
      <c r="Q5">
        <f>IF(R5=1998,0,R5)</f>
        <v>148</v>
      </c>
      <c r="R5">
        <f t="array" ref="R5">MAX(IF(ft_nq=O5,row_n))</f>
        <v>148</v>
      </c>
      <c r="S5">
        <f t="shared" ref="S5:S27" si="5">Q5-P5+1</f>
        <v>75</v>
      </c>
      <c r="U5">
        <f ca="1">U3*100</f>
        <v>42.099675675675677</v>
      </c>
      <c r="V5">
        <f ca="1">V3*100</f>
        <v>37.36415540540542</v>
      </c>
      <c r="W5">
        <f ca="1">W3*10</f>
        <v>3.7477591891891904</v>
      </c>
      <c r="X5">
        <f ca="1">X3*10</f>
        <v>4.2732467567567571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2.3584299999999998</v>
      </c>
      <c r="G6" s="61">
        <f>IF(FT!B6&lt;&gt;"",FT!B6*100,"")</f>
        <v>51.682499999999997</v>
      </c>
      <c r="H6" s="61">
        <f t="shared" si="1"/>
        <v>1</v>
      </c>
      <c r="I6" t="str">
        <f>IF(FT!B6&lt;&gt;"",FT!E6,"")</f>
        <v>1 [1.574604]</v>
      </c>
      <c r="J6">
        <f>IF(FT!B6&lt;&gt;"",FT!C6,"")</f>
        <v>1.5746</v>
      </c>
      <c r="K6" t="s">
        <v>54</v>
      </c>
      <c r="L6" s="63">
        <f ca="1">MAX(FT_E)</f>
        <v>4.6812399999999998</v>
      </c>
      <c r="M6" s="63">
        <f ca="1">ROUND(L6,1)</f>
        <v>4.7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2.4342899999999998</v>
      </c>
      <c r="G7" s="61">
        <f>IF(FT!B7&lt;&gt;"",FT!B7*100,"")</f>
        <v>51.028799999999997</v>
      </c>
      <c r="H7" s="61">
        <f t="shared" si="1"/>
        <v>1</v>
      </c>
      <c r="I7" t="str">
        <f>IF(FT!B7&lt;&gt;"",FT!E7,"")</f>
        <v>1 [1.982833]</v>
      </c>
      <c r="J7">
        <f>IF(FT!B7&lt;&gt;"",FT!C7,"")</f>
        <v>1.9828300000000001</v>
      </c>
      <c r="K7" t="s">
        <v>55</v>
      </c>
      <c r="L7" s="63">
        <f ca="1">MIN(FT_PH)</f>
        <v>33.890500000000003</v>
      </c>
      <c r="M7" s="63">
        <f ca="1">ROUND(L7,1)</f>
        <v>33.9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3455</v>
      </c>
      <c r="D8" s="61">
        <f>FH!B8*1</f>
        <v>3455</v>
      </c>
      <c r="E8">
        <f t="shared" si="3"/>
        <v>6</v>
      </c>
      <c r="F8" s="61">
        <f>IF(FT!A8&lt;&gt;"",FT!A8*10,"")</f>
        <v>2.5094499999999997</v>
      </c>
      <c r="G8" s="61">
        <f>IF(FT!B8&lt;&gt;"",FT!B8*100,"")</f>
        <v>50.364100000000001</v>
      </c>
      <c r="H8" s="61">
        <f t="shared" si="1"/>
        <v>1</v>
      </c>
      <c r="I8" t="str">
        <f>IF(FT!B8&lt;&gt;"",FT!E8,"")</f>
        <v>1 [2.387584]</v>
      </c>
      <c r="J8">
        <f>IF(FT!B8&lt;&gt;"",FT!C8,"")</f>
        <v>2.3875799999999998</v>
      </c>
      <c r="K8" t="s">
        <v>56</v>
      </c>
      <c r="L8" s="63">
        <f ca="1">MAX(FT_PH)</f>
        <v>55.031399999999998</v>
      </c>
      <c r="M8" s="63">
        <f ca="1">ROUND(L8,1)</f>
        <v>55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2.5854400000000002</v>
      </c>
      <c r="G9" s="61">
        <f>IF(FT!B9&lt;&gt;"",FT!B9*100,"")</f>
        <v>49.688099999999999</v>
      </c>
      <c r="H9" s="61">
        <f t="shared" si="1"/>
        <v>1</v>
      </c>
      <c r="I9" t="str">
        <f>IF(FT!B9&lt;&gt;"",FT!E9,"")</f>
        <v>1 [2.793506]</v>
      </c>
      <c r="J9">
        <f>IF(FT!B9&lt;&gt;"",FT!C9,"")</f>
        <v>2.7935099999999999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5314</v>
      </c>
      <c r="D10" s="61">
        <f>FH!B10*1</f>
        <v>5314</v>
      </c>
      <c r="E10">
        <f t="shared" si="3"/>
        <v>8</v>
      </c>
      <c r="F10" s="61">
        <f>IF(FT!A10&lt;&gt;"",FT!A10*10,"")</f>
        <v>2.66031</v>
      </c>
      <c r="G10" s="61">
        <f>IF(FT!B10&lt;&gt;"",FT!B10*100,"")</f>
        <v>49.026499999999999</v>
      </c>
      <c r="H10" s="61">
        <f t="shared" si="1"/>
        <v>1</v>
      </c>
      <c r="I10" t="str">
        <f>IF(FT!B10&lt;&gt;"",FT!E10,"")</f>
        <v>1 [3.195308]</v>
      </c>
      <c r="J10">
        <f>IF(FT!B10&lt;&gt;"",FT!C10,"")</f>
        <v>3.1953100000000001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2.7328900000000003</v>
      </c>
      <c r="G11" s="61">
        <f>IF(FT!B11&lt;&gt;"",FT!B11*100,"")</f>
        <v>48.438800000000001</v>
      </c>
      <c r="H11" s="61">
        <f t="shared" si="1"/>
        <v>1</v>
      </c>
      <c r="I11" t="str">
        <f>IF(FT!B11&lt;&gt;"",FT!E11,"")</f>
        <v>1 [3.606173]</v>
      </c>
      <c r="J11">
        <f>IF(FT!B11&lt;&gt;"",FT!C11,"")</f>
        <v>3.6061700000000001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2.8030899999999996</v>
      </c>
      <c r="G12" s="61">
        <f>IF(FT!B12&lt;&gt;"",FT!B12*100,"")</f>
        <v>48.066099999999999</v>
      </c>
      <c r="H12" s="61">
        <f t="shared" si="1"/>
        <v>1</v>
      </c>
      <c r="I12" t="str">
        <f>IF(FT!B12&lt;&gt;"",FT!E12,"")</f>
        <v>1 [4.013020]</v>
      </c>
      <c r="J12">
        <f>IF(FT!B12&lt;&gt;"",FT!C12,"")</f>
        <v>4.01302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8591</v>
      </c>
      <c r="D13" s="61">
        <f>FH!B13*1</f>
        <v>8591</v>
      </c>
      <c r="E13">
        <f t="shared" si="3"/>
        <v>11</v>
      </c>
      <c r="F13" s="61">
        <f>IF(FT!A13&lt;&gt;"",FT!A13*10,"")</f>
        <v>2.8709199999999999</v>
      </c>
      <c r="G13" s="61">
        <f>IF(FT!B13&lt;&gt;"",FT!B13*100,"")</f>
        <v>47.714800000000004</v>
      </c>
      <c r="H13" s="61">
        <f t="shared" si="1"/>
        <v>1</v>
      </c>
      <c r="I13" t="str">
        <f>IF(FT!B13&lt;&gt;"",FT!E13,"")</f>
        <v>1 [4.417104]</v>
      </c>
      <c r="J13">
        <f>IF(FT!B13&lt;&gt;"",FT!C13,"")</f>
        <v>4.4170999999999996</v>
      </c>
      <c r="L13" s="67">
        <f t="array" ref="L13">MAX(IF(ft_nq=2,row_n))</f>
        <v>148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2.94163</v>
      </c>
      <c r="G14" s="61">
        <f>IF(FT!B14&lt;&gt;"",FT!B14*100,"")</f>
        <v>47.2637</v>
      </c>
      <c r="H14" s="61">
        <f t="shared" si="1"/>
        <v>1</v>
      </c>
      <c r="I14" t="str">
        <f>IF(FT!B14&lt;&gt;"",FT!E14,"")</f>
        <v>1 [4.821319]</v>
      </c>
      <c r="J14">
        <f>IF(FT!B14&lt;&gt;"",FT!C14,"")</f>
        <v>4.8213200000000001</v>
      </c>
      <c r="L14">
        <f>L13+1</f>
        <v>149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11985</v>
      </c>
      <c r="D15" s="61">
        <f>FH!B15*1</f>
        <v>11985</v>
      </c>
      <c r="E15">
        <f t="shared" si="3"/>
        <v>13</v>
      </c>
      <c r="F15" s="61">
        <f>IF(FT!A15&lt;&gt;"",FT!A15*10,"")</f>
        <v>3.0134499999999997</v>
      </c>
      <c r="G15" s="61">
        <f>IF(FT!B15&lt;&gt;"",FT!B15*100,"")</f>
        <v>46.643799999999999</v>
      </c>
      <c r="H15" s="61">
        <f t="shared" si="1"/>
        <v>1</v>
      </c>
      <c r="I15" t="str">
        <f>IF(FT!B15&lt;&gt;"",FT!E15,"")</f>
        <v>1 [5.228252]</v>
      </c>
      <c r="J15">
        <f>IF(FT!B15&lt;&gt;"",FT!C15,"")</f>
        <v>5.2282500000000001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3.0886000000000005</v>
      </c>
      <c r="G16" s="61">
        <f>IF(FT!B16&lt;&gt;"",FT!B16*100,"")</f>
        <v>45.857300000000002</v>
      </c>
      <c r="H16" s="61">
        <f t="shared" si="1"/>
        <v>1</v>
      </c>
      <c r="I16" t="str">
        <f>IF(FT!B16&lt;&gt;"",FT!E16,"")</f>
        <v>1 [5.635767]</v>
      </c>
      <c r="J16">
        <f>IF(FT!B16&lt;&gt;"",FT!C16,"")</f>
        <v>5.6357699999999999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3.1682800000000002</v>
      </c>
      <c r="G17" s="61">
        <f>IF(FT!B17&lt;&gt;"",FT!B17*100,"")</f>
        <v>44.926700000000004</v>
      </c>
      <c r="H17" s="61">
        <f t="shared" si="1"/>
        <v>1</v>
      </c>
      <c r="I17" t="str">
        <f>IF(FT!B17&lt;&gt;"",FT!E17,"")</f>
        <v>1 [6.043484]</v>
      </c>
      <c r="J17">
        <f>IF(FT!B17&lt;&gt;"",FT!C17,"")</f>
        <v>6.0434799999999997</v>
      </c>
      <c r="L17">
        <f>L3+1</f>
        <v>150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15282</v>
      </c>
      <c r="D18" s="61">
        <f>FH!B18*1</f>
        <v>15282</v>
      </c>
      <c r="E18">
        <f t="shared" si="3"/>
        <v>16</v>
      </c>
      <c r="F18" s="61">
        <f>IF(FT!A18&lt;&gt;"",FT!A18*10,"")</f>
        <v>3.2461000000000002</v>
      </c>
      <c r="G18" s="61">
        <f>IF(FT!B18&lt;&gt;"",FT!B18*100,"")</f>
        <v>44.021000000000001</v>
      </c>
      <c r="H18" s="61">
        <f t="shared" si="1"/>
        <v>1</v>
      </c>
      <c r="I18" t="str">
        <f>IF(FT!B18&lt;&gt;"",FT!E18,"")</f>
        <v>1 [6.452151]</v>
      </c>
      <c r="J18">
        <f>IF(FT!B18&lt;&gt;"",FT!C18,"")</f>
        <v>6.4521499999999996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3.3195000000000001</v>
      </c>
      <c r="G19" s="61">
        <f>IF(FT!B19&lt;&gt;"",FT!B19*100,"")</f>
        <v>43.249300000000005</v>
      </c>
      <c r="H19" s="61">
        <f t="shared" si="1"/>
        <v>1</v>
      </c>
      <c r="I19" t="str">
        <f>IF(FT!B19&lt;&gt;"",FT!E19,"")</f>
        <v>1 [6.852476]</v>
      </c>
      <c r="J19">
        <f>IF(FT!B19&lt;&gt;"",FT!C19,"")</f>
        <v>6.8524799999999999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3.3910499999999999</v>
      </c>
      <c r="G20" s="61">
        <f>IF(FT!B20&lt;&gt;"",FT!B20*100,"")</f>
        <v>42.482300000000002</v>
      </c>
      <c r="H20" s="61">
        <f t="shared" si="1"/>
        <v>1</v>
      </c>
      <c r="I20" t="str">
        <f>IF(FT!B20&lt;&gt;"",FT!E20,"")</f>
        <v>1 [7.260659]</v>
      </c>
      <c r="J20">
        <f>IF(FT!B20&lt;&gt;"",FT!C20,"")</f>
        <v>7.2606599999999997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20607</v>
      </c>
      <c r="D21" s="61">
        <f>FH!B21*1</f>
        <v>20607</v>
      </c>
      <c r="E21">
        <f t="shared" si="3"/>
        <v>19</v>
      </c>
      <c r="F21" s="61">
        <f>IF(FT!A21&lt;&gt;"",FT!A21*10,"")</f>
        <v>3.46455</v>
      </c>
      <c r="G21" s="61">
        <f>IF(FT!B21&lt;&gt;"",FT!B21*100,"")</f>
        <v>41.573599999999999</v>
      </c>
      <c r="H21" s="61">
        <f t="shared" si="1"/>
        <v>1</v>
      </c>
      <c r="I21" t="str">
        <f>IF(FT!B21&lt;&gt;"",FT!E21,"")</f>
        <v>1 [7.666963]</v>
      </c>
      <c r="J21">
        <f>IF(FT!B21&lt;&gt;"",FT!C21,"")</f>
        <v>7.6669600000000004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3.5349699999999999</v>
      </c>
      <c r="G22" s="61">
        <f>IF(FT!B22&lt;&gt;"",FT!B22*100,"")</f>
        <v>40.864699999999999</v>
      </c>
      <c r="H22" s="61">
        <f t="shared" si="1"/>
        <v>1</v>
      </c>
      <c r="I22" t="str">
        <f>IF(FT!B22&lt;&gt;"",FT!E22,"")</f>
        <v>1 [8.077485]</v>
      </c>
      <c r="J22">
        <f>IF(FT!B22&lt;&gt;"",FT!C22,"")</f>
        <v>8.0774799999999995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30059</v>
      </c>
      <c r="D23" s="61">
        <f>FH!B23*1</f>
        <v>30059</v>
      </c>
      <c r="E23">
        <f t="shared" si="3"/>
        <v>21</v>
      </c>
      <c r="F23" s="61">
        <f>IF(FT!A23&lt;&gt;"",FT!A23*10,"")</f>
        <v>3.59816</v>
      </c>
      <c r="G23" s="61">
        <f>IF(FT!B23&lt;&gt;"",FT!B23*100,"")</f>
        <v>40.331400000000002</v>
      </c>
      <c r="H23" s="61">
        <f t="shared" si="1"/>
        <v>1</v>
      </c>
      <c r="I23" t="str">
        <f>IF(FT!B23&lt;&gt;"",FT!E23,"")</f>
        <v>1 [8.479326]</v>
      </c>
      <c r="J23">
        <f>IF(FT!B23&lt;&gt;"",FT!C23,"")</f>
        <v>8.4793299999999991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3.6559799999999996</v>
      </c>
      <c r="G24" s="61">
        <f>IF(FT!B24&lt;&gt;"",FT!B24*100,"")</f>
        <v>39.9011</v>
      </c>
      <c r="H24" s="61">
        <f t="shared" si="1"/>
        <v>1</v>
      </c>
      <c r="I24" t="str">
        <f>IF(FT!B24&lt;&gt;"",FT!E24,"")</f>
        <v>1 [8.883913]</v>
      </c>
      <c r="J24">
        <f>IF(FT!B24&lt;&gt;"",FT!C24,"")</f>
        <v>8.8839100000000002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3.7091699999999999</v>
      </c>
      <c r="G25" s="61">
        <f>IF(FT!B25&lt;&gt;"",FT!B25*100,"")</f>
        <v>39.462800000000001</v>
      </c>
      <c r="H25" s="61">
        <f t="shared" si="1"/>
        <v>1</v>
      </c>
      <c r="I25" t="str">
        <f>IF(FT!B25&lt;&gt;"",FT!E25,"")</f>
        <v>1 [9.289747]</v>
      </c>
      <c r="J25">
        <f>IF(FT!B25&lt;&gt;"",FT!C25,"")</f>
        <v>9.2897499999999997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32450</v>
      </c>
      <c r="D26" s="61">
        <f>FH!B26*1</f>
        <v>32450</v>
      </c>
      <c r="E26">
        <f t="shared" si="3"/>
        <v>24</v>
      </c>
      <c r="F26" s="61">
        <f>IF(FT!A26&lt;&gt;"",FT!A26*10,"")</f>
        <v>3.7587799999999998</v>
      </c>
      <c r="G26" s="61">
        <f>IF(FT!B26&lt;&gt;"",FT!B26*100,"")</f>
        <v>39.121600000000001</v>
      </c>
      <c r="H26" s="61">
        <f t="shared" si="1"/>
        <v>1</v>
      </c>
      <c r="I26" t="str">
        <f>IF(FT!B26&lt;&gt;"",FT!E26,"")</f>
        <v>1 [9.696963]</v>
      </c>
      <c r="J26">
        <f>IF(FT!B26&lt;&gt;"",FT!C26,"")</f>
        <v>9.6969600000000007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3.8063899999999999</v>
      </c>
      <c r="G27" s="61">
        <f>IF(FT!B27&lt;&gt;"",FT!B27*100,"")</f>
        <v>38.848799999999997</v>
      </c>
      <c r="H27" s="61">
        <f t="shared" si="1"/>
        <v>1</v>
      </c>
      <c r="I27" t="str">
        <f>IF(FT!B27&lt;&gt;"",FT!E27,"")</f>
        <v>1 [10.105907]</v>
      </c>
      <c r="J27">
        <f>IF(FT!B27&lt;&gt;"",FT!C27,"")</f>
        <v>10.1059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39437</v>
      </c>
      <c r="D28" s="61">
        <f>FH!B28*1</f>
        <v>39437</v>
      </c>
      <c r="E28">
        <f t="shared" si="3"/>
        <v>26</v>
      </c>
      <c r="F28" s="61">
        <f>IF(FT!A28&lt;&gt;"",FT!A28*10,"")</f>
        <v>3.8500099999999997</v>
      </c>
      <c r="G28" s="61">
        <f>IF(FT!B28&lt;&gt;"",FT!B28*100,"")</f>
        <v>38.676200000000001</v>
      </c>
      <c r="H28" s="61">
        <f t="shared" si="1"/>
        <v>1</v>
      </c>
      <c r="I28" t="str">
        <f>IF(FT!B28&lt;&gt;"",FT!E28,"")</f>
        <v>1 [10.512691]</v>
      </c>
      <c r="J28">
        <f>IF(FT!B28&lt;&gt;"",FT!C28,"")</f>
        <v>10.512700000000001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3.8917000000000002</v>
      </c>
      <c r="G29" s="61">
        <f>IF(FT!B29&lt;&gt;"",FT!B29*100,"")</f>
        <v>38.578699999999998</v>
      </c>
      <c r="H29" s="61">
        <f t="shared" si="1"/>
        <v>1</v>
      </c>
      <c r="I29" t="str">
        <f>IF(FT!B29&lt;&gt;"",FT!E29,"")</f>
        <v>1 [10.916418]</v>
      </c>
      <c r="J29">
        <f>IF(FT!B29&lt;&gt;"",FT!C29,"")</f>
        <v>10.916399999999999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3.9301000000000004</v>
      </c>
      <c r="G30" s="61">
        <f>IF(FT!B30&lt;&gt;"",FT!B30*100,"")</f>
        <v>38.536700000000003</v>
      </c>
      <c r="H30" s="61">
        <f t="shared" si="1"/>
        <v>1</v>
      </c>
      <c r="I30" t="str">
        <f>IF(FT!B30&lt;&gt;"",FT!E30,"")</f>
        <v>1 [11.322149]</v>
      </c>
      <c r="J30">
        <f>IF(FT!B30&lt;&gt;"",FT!C30,"")</f>
        <v>11.322100000000001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40277</v>
      </c>
      <c r="D31" s="61">
        <f>FH!B31*1</f>
        <v>40277</v>
      </c>
      <c r="E31">
        <f t="shared" si="3"/>
        <v>29</v>
      </c>
      <c r="F31" s="61">
        <f>IF(FT!A31&lt;&gt;"",FT!A31*10,"")</f>
        <v>3.96347</v>
      </c>
      <c r="G31" s="61">
        <f>IF(FT!B31&lt;&gt;"",FT!B31*100,"")</f>
        <v>38.524000000000001</v>
      </c>
      <c r="H31" s="61">
        <f t="shared" si="1"/>
        <v>1</v>
      </c>
      <c r="I31" t="str">
        <f>IF(FT!B31&lt;&gt;"",FT!E31,"")</f>
        <v>1 [11.726245]</v>
      </c>
      <c r="J31">
        <f>IF(FT!B31&lt;&gt;"",FT!C31,"")</f>
        <v>11.7262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3.9934099999999999</v>
      </c>
      <c r="G32" s="61">
        <f>IF(FT!B32&lt;&gt;"",FT!B32*100,"")</f>
        <v>38.602499999999999</v>
      </c>
      <c r="H32" s="61">
        <f t="shared" si="1"/>
        <v>1</v>
      </c>
      <c r="I32" t="str">
        <f>IF(FT!B32&lt;&gt;"",FT!E32,"")</f>
        <v>1 [12.135624]</v>
      </c>
      <c r="J32">
        <f>IF(FT!B32&lt;&gt;"",FT!C32,"")</f>
        <v>12.1356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43768</v>
      </c>
      <c r="D33" s="61">
        <f>FH!B33*1</f>
        <v>43768</v>
      </c>
      <c r="E33">
        <f t="shared" si="3"/>
        <v>31</v>
      </c>
      <c r="F33" s="61">
        <f>IF(FT!A33&lt;&gt;"",FT!A33*10,"")</f>
        <v>4.0218799999999995</v>
      </c>
      <c r="G33" s="61">
        <f>IF(FT!B33&lt;&gt;"",FT!B33*100,"")</f>
        <v>38.697900000000004</v>
      </c>
      <c r="H33" s="61">
        <f t="shared" si="1"/>
        <v>1</v>
      </c>
      <c r="I33" t="str">
        <f>IF(FT!B33&lt;&gt;"",FT!E33,"")</f>
        <v>1 [12.547444]</v>
      </c>
      <c r="J33">
        <f>IF(FT!B33&lt;&gt;"",FT!C33,"")</f>
        <v>12.5474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4.0462600000000002</v>
      </c>
      <c r="G34" s="61">
        <f>IF(FT!B34&lt;&gt;"",FT!B34*100,"")</f>
        <v>38.7958</v>
      </c>
      <c r="H34" s="61">
        <f t="shared" si="1"/>
        <v>1</v>
      </c>
      <c r="I34" t="str">
        <f>IF(FT!B34&lt;&gt;"",FT!E34,"")</f>
        <v>1 [12.950520]</v>
      </c>
      <c r="J34">
        <f>IF(FT!B34&lt;&gt;"",FT!C34,"")</f>
        <v>12.9505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4.0674100000000006</v>
      </c>
      <c r="G35" s="61">
        <f>IF(FT!B35&lt;&gt;"",FT!B35*100,"")</f>
        <v>38.875500000000002</v>
      </c>
      <c r="H35" s="61">
        <f t="shared" si="1"/>
        <v>1</v>
      </c>
      <c r="I35" t="str">
        <f>IF(FT!B35&lt;&gt;"",FT!E35,"")</f>
        <v>1 [13.358868]</v>
      </c>
      <c r="J35">
        <f>IF(FT!B35&lt;&gt;"",FT!C35,"")</f>
        <v>13.3589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39636</v>
      </c>
      <c r="D36" s="61">
        <f>FH!B36*1</f>
        <v>39636</v>
      </c>
      <c r="E36">
        <f t="shared" si="3"/>
        <v>34</v>
      </c>
      <c r="F36" s="61">
        <f>IF(FT!A36&lt;&gt;"",FT!A36*10,"")</f>
        <v>4.0872000000000002</v>
      </c>
      <c r="G36" s="61">
        <f>IF(FT!B36&lt;&gt;"",FT!B36*100,"")</f>
        <v>38.9572</v>
      </c>
      <c r="H36" s="61">
        <f t="shared" si="1"/>
        <v>1</v>
      </c>
      <c r="I36" t="str">
        <f>IF(FT!B36&lt;&gt;"",FT!E36,"")</f>
        <v>1 [13.760695]</v>
      </c>
      <c r="J36">
        <f>IF(FT!B36&lt;&gt;"",FT!C36,"")</f>
        <v>13.7607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4.1088800000000001</v>
      </c>
      <c r="G37" s="61">
        <f>IF(FT!B37&lt;&gt;"",FT!B37*100,"")</f>
        <v>39.0473</v>
      </c>
      <c r="H37" s="61">
        <f t="shared" si="1"/>
        <v>1</v>
      </c>
      <c r="I37" t="str">
        <f>IF(FT!B37&lt;&gt;"",FT!E37,"")</f>
        <v>1 [14.166207]</v>
      </c>
      <c r="J37">
        <f>IF(FT!B37&lt;&gt;"",FT!C37,"")</f>
        <v>14.1662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4.1289300000000004</v>
      </c>
      <c r="G38" s="61">
        <f>IF(FT!B38&lt;&gt;"",FT!B38*100,"")</f>
        <v>39.179900000000004</v>
      </c>
      <c r="H38" s="61">
        <f t="shared" si="1"/>
        <v>1</v>
      </c>
      <c r="I38" t="str">
        <f>IF(FT!B38&lt;&gt;"",FT!E38,"")</f>
        <v>1 [14.575405]</v>
      </c>
      <c r="J38">
        <f>IF(FT!B38&lt;&gt;"",FT!C38,"")</f>
        <v>14.5754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40520</v>
      </c>
      <c r="D39" s="61">
        <f>FH!B39*1</f>
        <v>40520</v>
      </c>
      <c r="E39">
        <f t="shared" si="3"/>
        <v>37</v>
      </c>
      <c r="F39" s="61">
        <f>IF(FT!A39&lt;&gt;"",FT!A39*10,"")</f>
        <v>4.1465699999999996</v>
      </c>
      <c r="G39" s="61">
        <f>IF(FT!B39&lt;&gt;"",FT!B39*100,"")</f>
        <v>39.264299999999999</v>
      </c>
      <c r="H39" s="61">
        <f t="shared" si="1"/>
        <v>1</v>
      </c>
      <c r="I39" t="str">
        <f>IF(FT!B39&lt;&gt;"",FT!E39,"")</f>
        <v>1 [14.979957]</v>
      </c>
      <c r="J39">
        <f>IF(FT!B39&lt;&gt;"",FT!C39,"")</f>
        <v>14.98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4.1567300000000005</v>
      </c>
      <c r="G40" s="61">
        <f>IF(FT!B40&lt;&gt;"",FT!B40*100,"")</f>
        <v>39.366599999999998</v>
      </c>
      <c r="H40" s="61">
        <f t="shared" si="1"/>
        <v>1</v>
      </c>
      <c r="I40" t="str">
        <f>IF(FT!B40&lt;&gt;"",FT!E40,"")</f>
        <v>1 [15.383346]</v>
      </c>
      <c r="J40">
        <f>IF(FT!B40&lt;&gt;"",FT!C40,"")</f>
        <v>15.3833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43391</v>
      </c>
      <c r="D41" s="61">
        <f>FH!B41*1</f>
        <v>43391</v>
      </c>
      <c r="E41">
        <f t="shared" si="3"/>
        <v>39</v>
      </c>
      <c r="F41" s="61">
        <f>IF(FT!A41&lt;&gt;"",FT!A41*10,"")</f>
        <v>4.1608400000000003</v>
      </c>
      <c r="G41" s="61">
        <f>IF(FT!B41&lt;&gt;"",FT!B41*100,"")</f>
        <v>39.492399999999996</v>
      </c>
      <c r="H41" s="61">
        <f t="shared" si="1"/>
        <v>1</v>
      </c>
      <c r="I41" t="str">
        <f>IF(FT!B41&lt;&gt;"",FT!E41,"")</f>
        <v>1 [15.792719]</v>
      </c>
      <c r="J41">
        <f>IF(FT!B41&lt;&gt;"",FT!C41,"")</f>
        <v>15.7927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4.1594699999999998</v>
      </c>
      <c r="G42" s="61">
        <f>IF(FT!B42&lt;&gt;"",FT!B42*100,"")</f>
        <v>39.6492</v>
      </c>
      <c r="H42" s="61">
        <f t="shared" si="1"/>
        <v>1</v>
      </c>
      <c r="I42" t="str">
        <f>IF(FT!B42&lt;&gt;"",FT!E42,"")</f>
        <v>1 [16.197783]</v>
      </c>
      <c r="J42">
        <f>IF(FT!B42&lt;&gt;"",FT!C42,"")</f>
        <v>16.197800000000001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4.1552899999999999</v>
      </c>
      <c r="G43" s="61">
        <f>IF(FT!B43&lt;&gt;"",FT!B43*100,"")</f>
        <v>39.881100000000004</v>
      </c>
      <c r="H43" s="61">
        <f t="shared" si="1"/>
        <v>1</v>
      </c>
      <c r="I43" t="str">
        <f>IF(FT!B43&lt;&gt;"",FT!E43,"")</f>
        <v>1 [16.609219]</v>
      </c>
      <c r="J43">
        <f>IF(FT!B43&lt;&gt;"",FT!C43,"")</f>
        <v>16.609200000000001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47312</v>
      </c>
      <c r="D44" s="61">
        <f>FH!B44*1</f>
        <v>47312</v>
      </c>
      <c r="E44">
        <f t="shared" si="3"/>
        <v>42</v>
      </c>
      <c r="F44" s="61">
        <f>IF(FT!A44&lt;&gt;"",FT!A44*10,"")</f>
        <v>4.1477500000000003</v>
      </c>
      <c r="G44" s="61">
        <f>IF(FT!B44&lt;&gt;"",FT!B44*100,"")</f>
        <v>40.080399999999997</v>
      </c>
      <c r="H44" s="61">
        <f t="shared" si="1"/>
        <v>1</v>
      </c>
      <c r="I44" t="str">
        <f>IF(FT!B44&lt;&gt;"",FT!E44,"")</f>
        <v>1 [17.012639]</v>
      </c>
      <c r="J44">
        <f>IF(FT!B44&lt;&gt;"",FT!C44,"")</f>
        <v>17.012599999999999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4.1376600000000003</v>
      </c>
      <c r="G45" s="61">
        <f>IF(FT!B45&lt;&gt;"",FT!B45*100,"")</f>
        <v>40.282499999999999</v>
      </c>
      <c r="H45" s="61">
        <f t="shared" si="1"/>
        <v>1</v>
      </c>
      <c r="I45" t="str">
        <f>IF(FT!B45&lt;&gt;"",FT!E45,"")</f>
        <v>1 [17.415736]</v>
      </c>
      <c r="J45">
        <f>IF(FT!B45&lt;&gt;"",FT!C45,"")</f>
        <v>17.415700000000001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52317</v>
      </c>
      <c r="D46" s="61">
        <f>FH!B46*1</f>
        <v>52317</v>
      </c>
      <c r="E46">
        <f t="shared" si="3"/>
        <v>44</v>
      </c>
      <c r="F46" s="61">
        <f>IF(FT!A46&lt;&gt;"",FT!A46*10,"")</f>
        <v>4.1248100000000001</v>
      </c>
      <c r="G46" s="61">
        <f>IF(FT!B46&lt;&gt;"",FT!B46*100,"")</f>
        <v>40.556100000000001</v>
      </c>
      <c r="H46" s="61">
        <f t="shared" si="1"/>
        <v>1</v>
      </c>
      <c r="I46" t="str">
        <f>IF(FT!B46&lt;&gt;"",FT!E46,"")</f>
        <v>1 [17.822519]</v>
      </c>
      <c r="J46">
        <f>IF(FT!B46&lt;&gt;"",FT!C46,"")</f>
        <v>17.822500000000002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4.1126399999999999</v>
      </c>
      <c r="G47" s="61">
        <f>IF(FT!B47&lt;&gt;"",FT!B47*100,"")</f>
        <v>40.806399999999996</v>
      </c>
      <c r="H47" s="61">
        <f t="shared" si="1"/>
        <v>1</v>
      </c>
      <c r="I47" t="str">
        <f>IF(FT!B47&lt;&gt;"",FT!E47,"")</f>
        <v>1 [18.229805]</v>
      </c>
      <c r="J47">
        <f>IF(FT!B47&lt;&gt;"",FT!C47,"")</f>
        <v>18.229800000000001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4.10189</v>
      </c>
      <c r="G48" s="61">
        <f>IF(FT!B48&lt;&gt;"",FT!B48*100,"")</f>
        <v>41.006500000000003</v>
      </c>
      <c r="H48" s="61">
        <f t="shared" si="1"/>
        <v>1</v>
      </c>
      <c r="I48" t="str">
        <f>IF(FT!B48&lt;&gt;"",FT!E48,"")</f>
        <v>1 [18.638731]</v>
      </c>
      <c r="J48">
        <f>IF(FT!B48&lt;&gt;"",FT!C48,"")</f>
        <v>18.6387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61682</v>
      </c>
      <c r="D49" s="61">
        <f>FH!B49*1</f>
        <v>61682</v>
      </c>
      <c r="E49">
        <f t="shared" si="3"/>
        <v>47</v>
      </c>
      <c r="F49" s="61">
        <f>IF(FT!A49&lt;&gt;"",FT!A49*10,"")</f>
        <v>4.09171</v>
      </c>
      <c r="G49" s="61">
        <f>IF(FT!B49&lt;&gt;"",FT!B49*100,"")</f>
        <v>41.198700000000002</v>
      </c>
      <c r="H49" s="61">
        <f t="shared" si="1"/>
        <v>1</v>
      </c>
      <c r="I49" t="str">
        <f>IF(FT!B49&lt;&gt;"",FT!E49,"")</f>
        <v>1 [19.042268]</v>
      </c>
      <c r="J49">
        <f>IF(FT!B49&lt;&gt;"",FT!C49,"")</f>
        <v>19.042300000000001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4.0817999999999994</v>
      </c>
      <c r="G50" s="61">
        <f>IF(FT!B50&lt;&gt;"",FT!B50*100,"")</f>
        <v>41.441000000000003</v>
      </c>
      <c r="H50" s="61">
        <f t="shared" si="1"/>
        <v>1</v>
      </c>
      <c r="I50" t="str">
        <f>IF(FT!B50&lt;&gt;"",FT!E50,"")</f>
        <v>1 [19.445991]</v>
      </c>
      <c r="J50">
        <f>IF(FT!B50&lt;&gt;"",FT!C50,"")</f>
        <v>19.446000000000002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63685</v>
      </c>
      <c r="D51" s="61">
        <f>FH!B51*1</f>
        <v>63685</v>
      </c>
      <c r="E51">
        <f t="shared" si="3"/>
        <v>49</v>
      </c>
      <c r="F51" s="61">
        <f>IF(FT!A51&lt;&gt;"",FT!A51*10,"")</f>
        <v>4.0758400000000004</v>
      </c>
      <c r="G51" s="61">
        <f>IF(FT!B51&lt;&gt;"",FT!B51*100,"")</f>
        <v>41.674299999999995</v>
      </c>
      <c r="H51" s="61">
        <f t="shared" si="1"/>
        <v>1</v>
      </c>
      <c r="I51" t="str">
        <f>IF(FT!B51&lt;&gt;"",FT!E51,"")</f>
        <v>1 [19.853747]</v>
      </c>
      <c r="J51">
        <f>IF(FT!B51&lt;&gt;"",FT!C51,"")</f>
        <v>19.8537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4.0737899999999998</v>
      </c>
      <c r="G52" s="61">
        <f>IF(FT!B52&lt;&gt;"",FT!B52*100,"")</f>
        <v>41.8904</v>
      </c>
      <c r="H52" s="61">
        <f t="shared" si="1"/>
        <v>1</v>
      </c>
      <c r="I52" t="str">
        <f>IF(FT!B52&lt;&gt;"",FT!E52,"")</f>
        <v>1 [20.260930]</v>
      </c>
      <c r="J52">
        <f>IF(FT!B52&lt;&gt;"",FT!C52,"")</f>
        <v>20.260899999999999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4.0753500000000003</v>
      </c>
      <c r="G53" s="61">
        <f>IF(FT!B53&lt;&gt;"",FT!B53*100,"")</f>
        <v>42.097799999999999</v>
      </c>
      <c r="H53" s="61">
        <f t="shared" si="1"/>
        <v>1</v>
      </c>
      <c r="I53" t="str">
        <f>IF(FT!B53&lt;&gt;"",FT!E53,"")</f>
        <v>1 [20.665925]</v>
      </c>
      <c r="J53">
        <f>IF(FT!B53&lt;&gt;"",FT!C53,"")</f>
        <v>20.665900000000001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69336</v>
      </c>
      <c r="D54" s="61">
        <f>FH!B54*1</f>
        <v>69336</v>
      </c>
      <c r="E54">
        <f t="shared" si="3"/>
        <v>52</v>
      </c>
      <c r="F54" s="61">
        <f>IF(FT!A54&lt;&gt;"",FT!A54*10,"")</f>
        <v>4.0782699999999998</v>
      </c>
      <c r="G54" s="61">
        <f>IF(FT!B54&lt;&gt;"",FT!B54*100,"")</f>
        <v>42.294699999999999</v>
      </c>
      <c r="H54" s="61">
        <f t="shared" si="1"/>
        <v>1</v>
      </c>
      <c r="I54" t="str">
        <f>IF(FT!B54&lt;&gt;"",FT!E54,"")</f>
        <v>1 [21.073555]</v>
      </c>
      <c r="J54">
        <f>IF(FT!B54&lt;&gt;"",FT!C54,"")</f>
        <v>21.073599999999999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4.0801999999999996</v>
      </c>
      <c r="G55" s="61">
        <f>IF(FT!B55&lt;&gt;"",FT!B55*100,"")</f>
        <v>42.454999999999998</v>
      </c>
      <c r="H55" s="61">
        <f t="shared" si="1"/>
        <v>1</v>
      </c>
      <c r="I55" t="str">
        <f>IF(FT!B55&lt;&gt;"",FT!E55,"")</f>
        <v>1 [21.476540]</v>
      </c>
      <c r="J55">
        <f>IF(FT!B55&lt;&gt;"",FT!C55,"")</f>
        <v>21.476500000000001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4.0873299999999997</v>
      </c>
      <c r="G56" s="61">
        <f>IF(FT!B56&lt;&gt;"",FT!B56*100,"")</f>
        <v>42.456400000000002</v>
      </c>
      <c r="H56" s="61">
        <f t="shared" si="1"/>
        <v>1</v>
      </c>
      <c r="I56" t="str">
        <f>IF(FT!B56&lt;&gt;"",FT!E56,"")</f>
        <v>1 [21.883486]</v>
      </c>
      <c r="J56">
        <f>IF(FT!B56&lt;&gt;"",FT!C56,"")</f>
        <v>21.883500000000002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72229</v>
      </c>
      <c r="D57" s="61">
        <f>FH!B57*1</f>
        <v>72229</v>
      </c>
      <c r="E57">
        <f t="shared" si="3"/>
        <v>55</v>
      </c>
      <c r="F57" s="61">
        <f>IF(FT!A57&lt;&gt;"",FT!A57*10,"")</f>
        <v>4.1005399999999996</v>
      </c>
      <c r="G57" s="61">
        <f>IF(FT!B57&lt;&gt;"",FT!B57*100,"")</f>
        <v>42.277200000000001</v>
      </c>
      <c r="H57" s="61">
        <f t="shared" si="1"/>
        <v>1</v>
      </c>
      <c r="I57" t="str">
        <f>IF(FT!B57&lt;&gt;"",FT!E57,"")</f>
        <v>1 [22.293857]</v>
      </c>
      <c r="J57">
        <f>IF(FT!B57&lt;&gt;"",FT!C57,"")</f>
        <v>22.293900000000001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4.1138500000000002</v>
      </c>
      <c r="G58" s="61">
        <f>IF(FT!B58&lt;&gt;"",FT!B58*100,"")</f>
        <v>42.052900000000001</v>
      </c>
      <c r="H58" s="61">
        <f t="shared" si="1"/>
        <v>1</v>
      </c>
      <c r="I58" t="str">
        <f>IF(FT!B58&lt;&gt;"",FT!E58,"")</f>
        <v>1 [22.699698]</v>
      </c>
      <c r="J58">
        <f>IF(FT!B58&lt;&gt;"",FT!C58,"")</f>
        <v>22.6997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78086</v>
      </c>
      <c r="D59" s="61">
        <f>FH!B59*1</f>
        <v>78086</v>
      </c>
      <c r="E59">
        <f t="shared" si="3"/>
        <v>57</v>
      </c>
      <c r="F59" s="61">
        <f>IF(FT!A59&lt;&gt;"",FT!A59*10,"")</f>
        <v>4.1295599999999997</v>
      </c>
      <c r="G59" s="61">
        <f>IF(FT!B59&lt;&gt;"",FT!B59*100,"")</f>
        <v>41.812100000000001</v>
      </c>
      <c r="H59" s="61">
        <f t="shared" si="1"/>
        <v>1</v>
      </c>
      <c r="I59" t="str">
        <f>IF(FT!B59&lt;&gt;"",FT!E59,"")</f>
        <v>1 [23.105335]</v>
      </c>
      <c r="J59">
        <f>IF(FT!B59&lt;&gt;"",FT!C59,"")</f>
        <v>23.1053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4.1504300000000001</v>
      </c>
      <c r="G60" s="61">
        <f>IF(FT!B60&lt;&gt;"",FT!B60*100,"")</f>
        <v>41.494900000000001</v>
      </c>
      <c r="H60" s="61">
        <f t="shared" si="1"/>
        <v>1</v>
      </c>
      <c r="I60" t="str">
        <f>IF(FT!B60&lt;&gt;"",FT!E60,"")</f>
        <v>1 [23.510104]</v>
      </c>
      <c r="J60">
        <f>IF(FT!B60&lt;&gt;"",FT!C60,"")</f>
        <v>23.510100000000001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4.1753499999999999</v>
      </c>
      <c r="G61" s="61">
        <f>IF(FT!B61&lt;&gt;"",FT!B61*100,"")</f>
        <v>41.100500000000004</v>
      </c>
      <c r="H61" s="61">
        <f t="shared" si="1"/>
        <v>1</v>
      </c>
      <c r="I61" t="str">
        <f>IF(FT!B61&lt;&gt;"",FT!E61,"")</f>
        <v>1 [23.919959]</v>
      </c>
      <c r="J61">
        <f>IF(FT!B61&lt;&gt;"",FT!C61,"")</f>
        <v>23.92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80183</v>
      </c>
      <c r="D62" s="61">
        <f>FH!B62*1</f>
        <v>80183</v>
      </c>
      <c r="E62">
        <f t="shared" si="3"/>
        <v>60</v>
      </c>
      <c r="F62" s="61">
        <f>IF(FT!A62&lt;&gt;"",FT!A62*10,"")</f>
        <v>4.2027000000000001</v>
      </c>
      <c r="G62" s="61">
        <f>IF(FT!B62&lt;&gt;"",FT!B62*100,"")</f>
        <v>40.591500000000003</v>
      </c>
      <c r="H62" s="61">
        <f t="shared" si="1"/>
        <v>1</v>
      </c>
      <c r="I62" t="str">
        <f>IF(FT!B62&lt;&gt;"",FT!E62,"")</f>
        <v>1 [24.322531]</v>
      </c>
      <c r="J62">
        <f>IF(FT!B62&lt;&gt;"",FT!C62,"")</f>
        <v>24.322500000000002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4.2304700000000004</v>
      </c>
      <c r="G63" s="61">
        <f>IF(FT!B63&lt;&gt;"",FT!B63*100,"")</f>
        <v>40.082499999999996</v>
      </c>
      <c r="H63" s="61">
        <f t="shared" si="1"/>
        <v>1</v>
      </c>
      <c r="I63" t="str">
        <f>IF(FT!B63&lt;&gt;"",FT!E63,"")</f>
        <v>1 [24.732381]</v>
      </c>
      <c r="J63">
        <f>IF(FT!B63&lt;&gt;"",FT!C63,"")</f>
        <v>24.732399999999998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87373</v>
      </c>
      <c r="D64" s="61">
        <f>FH!B64*1</f>
        <v>87373</v>
      </c>
      <c r="E64">
        <f t="shared" si="3"/>
        <v>62</v>
      </c>
      <c r="F64" s="61">
        <f>IF(FT!A64&lt;&gt;"",FT!A64*10,"")</f>
        <v>4.2549000000000001</v>
      </c>
      <c r="G64" s="61">
        <f>IF(FT!B64&lt;&gt;"",FT!B64*100,"")</f>
        <v>39.660699999999999</v>
      </c>
      <c r="H64" s="61">
        <f t="shared" si="1"/>
        <v>1</v>
      </c>
      <c r="I64" t="str">
        <f>IF(FT!B64&lt;&gt;"",FT!E64,"")</f>
        <v>1 [25.137234]</v>
      </c>
      <c r="J64">
        <f>IF(FT!B64&lt;&gt;"",FT!C64,"")</f>
        <v>25.1372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4.2812200000000002</v>
      </c>
      <c r="G65" s="61">
        <f>IF(FT!B65&lt;&gt;"",FT!B65*100,"")</f>
        <v>39.262500000000003</v>
      </c>
      <c r="H65" s="61">
        <f t="shared" si="1"/>
        <v>1</v>
      </c>
      <c r="I65" t="str">
        <f>IF(FT!B65&lt;&gt;"",FT!E65,"")</f>
        <v>1 [25.540228]</v>
      </c>
      <c r="J65">
        <f>IF(FT!B65&lt;&gt;"",FT!C65,"")</f>
        <v>25.540199999999999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4.3057299999999996</v>
      </c>
      <c r="G66" s="61">
        <f>IF(FT!B66&lt;&gt;"",FT!B66*100,"")</f>
        <v>38.943600000000004</v>
      </c>
      <c r="H66" s="61">
        <f t="shared" si="1"/>
        <v>1</v>
      </c>
      <c r="I66" t="str">
        <f>IF(FT!B66&lt;&gt;"",FT!E66,"")</f>
        <v>1 [25.945382]</v>
      </c>
      <c r="J66">
        <f>IF(FT!B66&lt;&gt;"",FT!C66,"")</f>
        <v>25.945399999999999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95973</v>
      </c>
      <c r="D67" s="61">
        <f>FH!B67*1</f>
        <v>95973</v>
      </c>
      <c r="E67">
        <f t="shared" si="3"/>
        <v>65</v>
      </c>
      <c r="F67" s="61">
        <f>IF(FT!A67&lt;&gt;"",FT!A67*10,"")</f>
        <v>4.3299700000000003</v>
      </c>
      <c r="G67" s="61">
        <f>IF(FT!B67&lt;&gt;"",FT!B67*100,"")</f>
        <v>38.659199999999998</v>
      </c>
      <c r="H67" s="61">
        <f t="shared" ref="H67:H130" si="9">(IF(F67&lt;&gt;"",1,""))</f>
        <v>1</v>
      </c>
      <c r="I67" t="str">
        <f>IF(FT!B67&lt;&gt;"",FT!E67,"")</f>
        <v>1 [26.351619]</v>
      </c>
      <c r="J67">
        <f>IF(FT!B67&lt;&gt;"",FT!C67,"")</f>
        <v>26.351600000000001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4.3572199999999999</v>
      </c>
      <c r="G68" s="61">
        <f>IF(FT!B68&lt;&gt;"",FT!B68*100,"")</f>
        <v>38.349299999999999</v>
      </c>
      <c r="H68" s="61">
        <f t="shared" si="9"/>
        <v>1</v>
      </c>
      <c r="I68" t="str">
        <f>IF(FT!B68&lt;&gt;"",FT!E68,"")</f>
        <v>1 [26.759647]</v>
      </c>
      <c r="J68">
        <f>IF(FT!B68&lt;&gt;"",FT!C68,"")</f>
        <v>26.759599999999999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101652</v>
      </c>
      <c r="D69" s="61">
        <f>FH!B69*1</f>
        <v>101652</v>
      </c>
      <c r="E69">
        <f t="shared" si="11"/>
        <v>67</v>
      </c>
      <c r="F69" s="61">
        <f>IF(FT!A69&lt;&gt;"",FT!A69*10,"")</f>
        <v>4.3879299999999999</v>
      </c>
      <c r="G69" s="61">
        <f>IF(FT!B69&lt;&gt;"",FT!B69*100,"")</f>
        <v>38.067</v>
      </c>
      <c r="H69" s="61">
        <f t="shared" si="9"/>
        <v>1</v>
      </c>
      <c r="I69" t="str">
        <f>IF(FT!B69&lt;&gt;"",FT!E69,"")</f>
        <v>1 [27.167940]</v>
      </c>
      <c r="J69">
        <f>IF(FT!B69&lt;&gt;"",FT!C69,"")</f>
        <v>27.167899999999999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4.4162800000000004</v>
      </c>
      <c r="G70" s="61">
        <f>IF(FT!B70&lt;&gt;"",FT!B70*100,"")</f>
        <v>37.882300000000001</v>
      </c>
      <c r="H70" s="61">
        <f t="shared" si="9"/>
        <v>1</v>
      </c>
      <c r="I70" t="str">
        <f>IF(FT!B70&lt;&gt;"",FT!E70,"")</f>
        <v>1 [27.572581]</v>
      </c>
      <c r="J70">
        <f>IF(FT!B70&lt;&gt;"",FT!C70,"")</f>
        <v>27.572600000000001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4.44102</v>
      </c>
      <c r="G71" s="61">
        <f>IF(FT!B71&lt;&gt;"",FT!B71*100,"")</f>
        <v>37.730599999999995</v>
      </c>
      <c r="H71" s="61">
        <f t="shared" si="9"/>
        <v>1</v>
      </c>
      <c r="I71" t="str">
        <f>IF(FT!B71&lt;&gt;"",FT!E71,"")</f>
        <v>1 [27.980116]</v>
      </c>
      <c r="J71">
        <f>IF(FT!B71&lt;&gt;"",FT!C71,"")</f>
        <v>27.9801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99537</v>
      </c>
      <c r="D72" s="61">
        <f>FH!B72*1</f>
        <v>99537</v>
      </c>
      <c r="E72">
        <f t="shared" si="11"/>
        <v>70</v>
      </c>
      <c r="F72" s="61">
        <f>IF(FT!A72&lt;&gt;"",FT!A72*10,"")</f>
        <v>4.4668799999999997</v>
      </c>
      <c r="G72" s="61">
        <f>IF(FT!B72&lt;&gt;"",FT!B72*100,"")</f>
        <v>37.542999999999999</v>
      </c>
      <c r="H72" s="61">
        <f t="shared" si="9"/>
        <v>1</v>
      </c>
      <c r="I72" t="str">
        <f>IF(FT!B72&lt;&gt;"",FT!E72,"")</f>
        <v>1 [28.386927]</v>
      </c>
      <c r="J72">
        <f>IF(FT!B72&lt;&gt;"",FT!C72,"")</f>
        <v>28.386900000000001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4.4913400000000001</v>
      </c>
      <c r="G73" s="61">
        <f>IF(FT!B73&lt;&gt;"",FT!B73*100,"")</f>
        <v>37.378</v>
      </c>
      <c r="H73" s="61">
        <f t="shared" si="9"/>
        <v>1</v>
      </c>
      <c r="I73" t="str">
        <f>IF(FT!B73&lt;&gt;"",FT!E73,"")</f>
        <v>1 [28.791599]</v>
      </c>
      <c r="J73">
        <f>IF(FT!B73&lt;&gt;"",FT!C73,"")</f>
        <v>28.791599999999999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4.5167700000000002</v>
      </c>
      <c r="G74" s="61">
        <f>IF(FT!B74&lt;&gt;"",FT!B74*100,"")</f>
        <v>37.243300000000005</v>
      </c>
      <c r="H74" s="61">
        <f t="shared" si="9"/>
        <v>1</v>
      </c>
      <c r="I74" t="str">
        <f>IF(FT!B74&lt;&gt;"",FT!E74,"")</f>
        <v>1 [29.198003]</v>
      </c>
      <c r="J74">
        <f>IF(FT!B74&lt;&gt;"",FT!C74,"")</f>
        <v>29.198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109004</v>
      </c>
      <c r="D75" s="61">
        <f>FH!B75*1</f>
        <v>109004</v>
      </c>
      <c r="E75">
        <f t="shared" si="11"/>
        <v>73</v>
      </c>
      <c r="F75" s="61">
        <f>IF(FT!A75&lt;&gt;"",FT!A75*10,"")</f>
        <v>4.5424699999999998</v>
      </c>
      <c r="G75" s="61">
        <f>IF(FT!B75&lt;&gt;"",FT!B75*100,"")</f>
        <v>37.1008</v>
      </c>
      <c r="H75" s="61">
        <f t="shared" si="9"/>
        <v>1</v>
      </c>
      <c r="I75" t="str">
        <f>IF(FT!B75&lt;&gt;"",FT!E75,"")</f>
        <v>1 [29.602516]</v>
      </c>
      <c r="J75">
        <f>IF(FT!B75&lt;&gt;"",FT!C75,"")</f>
        <v>29.602499999999999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4.5679599999999994</v>
      </c>
      <c r="G76" s="61">
        <f>IF(FT!B76&lt;&gt;"",FT!B76*100,"")</f>
        <v>36.889499999999998</v>
      </c>
      <c r="H76" s="61">
        <f t="shared" si="9"/>
        <v>1</v>
      </c>
      <c r="I76" t="str">
        <f>IF(FT!B76&lt;&gt;"",FT!E76,"")</f>
        <v>1 [30.013402]</v>
      </c>
      <c r="J76">
        <f>IF(FT!B76&lt;&gt;"",FT!C76,"")</f>
        <v>30.013400000000001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116958</v>
      </c>
      <c r="D77" s="61">
        <f>FH!B77*1</f>
        <v>116958</v>
      </c>
      <c r="E77">
        <f t="shared" si="11"/>
        <v>75</v>
      </c>
      <c r="F77" s="61">
        <f>IF(FT!A77&lt;&gt;"",FT!A77*10,"")</f>
        <v>4.5897800000000002</v>
      </c>
      <c r="G77" s="61">
        <f>IF(FT!B77&lt;&gt;"",FT!B77*100,"")</f>
        <v>36.689100000000003</v>
      </c>
      <c r="H77" s="61">
        <f t="shared" si="9"/>
        <v>1</v>
      </c>
      <c r="I77" t="str">
        <f>IF(FT!B77&lt;&gt;"",FT!E77,"")</f>
        <v>2 [30.449202]</v>
      </c>
      <c r="J77">
        <f>IF(FT!B77&lt;&gt;"",FT!C77,"")</f>
        <v>30.449200000000001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4.61015</v>
      </c>
      <c r="G78" s="61">
        <f>IF(FT!B78&lt;&gt;"",FT!B78*100,"")</f>
        <v>36.474800000000002</v>
      </c>
      <c r="H78" s="61">
        <f t="shared" si="9"/>
        <v>1</v>
      </c>
      <c r="I78" t="str">
        <f>IF(FT!B78&lt;&gt;"",FT!E78,"")</f>
        <v>2 [30.853864]</v>
      </c>
      <c r="J78">
        <f>IF(FT!B78&lt;&gt;"",FT!C78,"")</f>
        <v>30.853899999999999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4.6278799999999993</v>
      </c>
      <c r="G79" s="61">
        <f>IF(FT!B79&lt;&gt;"",FT!B79*100,"")</f>
        <v>36.240499999999997</v>
      </c>
      <c r="H79" s="61">
        <f t="shared" si="9"/>
        <v>1</v>
      </c>
      <c r="I79" t="str">
        <f>IF(FT!B79&lt;&gt;"",FT!E79,"")</f>
        <v>2 [31.260170]</v>
      </c>
      <c r="J79">
        <f>IF(FT!B79&lt;&gt;"",FT!C79,"")</f>
        <v>31.260200000000001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124891</v>
      </c>
      <c r="D80" s="61">
        <f>FH!B80*1</f>
        <v>124891</v>
      </c>
      <c r="E80">
        <f t="shared" si="11"/>
        <v>78</v>
      </c>
      <c r="F80" s="61">
        <f>IF(FT!A80&lt;&gt;"",FT!A80*10,"")</f>
        <v>4.6434800000000003</v>
      </c>
      <c r="G80" s="61">
        <f>IF(FT!B80&lt;&gt;"",FT!B80*100,"")</f>
        <v>36.091000000000001</v>
      </c>
      <c r="H80" s="61">
        <f t="shared" si="9"/>
        <v>1</v>
      </c>
      <c r="I80" t="str">
        <f>IF(FT!B80&lt;&gt;"",FT!E80,"")</f>
        <v>2 [31.664647]</v>
      </c>
      <c r="J80">
        <f>IF(FT!B80&lt;&gt;"",FT!C80,"")</f>
        <v>31.6646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4.65754</v>
      </c>
      <c r="G81" s="61">
        <f>IF(FT!B81&lt;&gt;"",FT!B81*100,"")</f>
        <v>35.977699999999999</v>
      </c>
      <c r="H81" s="61">
        <f t="shared" si="9"/>
        <v>1</v>
      </c>
      <c r="I81" t="str">
        <f>IF(FT!B81&lt;&gt;"",FT!E81,"")</f>
        <v>2 [32.075437]</v>
      </c>
      <c r="J81">
        <f>IF(FT!B81&lt;&gt;"",FT!C81,"")</f>
        <v>32.075400000000002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127453</v>
      </c>
      <c r="D82" s="61">
        <f>FH!B82*1</f>
        <v>127453</v>
      </c>
      <c r="E82">
        <f t="shared" si="11"/>
        <v>80</v>
      </c>
      <c r="F82" s="61">
        <f>IF(FT!A82&lt;&gt;"",FT!A82*10,"")</f>
        <v>4.6688200000000002</v>
      </c>
      <c r="G82" s="61">
        <f>IF(FT!B82&lt;&gt;"",FT!B82*100,"")</f>
        <v>35.893999999999998</v>
      </c>
      <c r="H82" s="61">
        <f t="shared" si="9"/>
        <v>1</v>
      </c>
      <c r="I82" t="str">
        <f>IF(FT!B82&lt;&gt;"",FT!E82,"")</f>
        <v>2 [32.479215]</v>
      </c>
      <c r="J82">
        <f>IF(FT!B82&lt;&gt;"",FT!C82,"")</f>
        <v>32.479199999999999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4.6766999999999994</v>
      </c>
      <c r="G83" s="61">
        <f>IF(FT!B83&lt;&gt;"",FT!B83*100,"")</f>
        <v>35.8324</v>
      </c>
      <c r="H83" s="61">
        <f t="shared" si="9"/>
        <v>1</v>
      </c>
      <c r="I83" t="str">
        <f>IF(FT!B83&lt;&gt;"",FT!E83,"")</f>
        <v>2 [32.883873]</v>
      </c>
      <c r="J83">
        <f>IF(FT!B83&lt;&gt;"",FT!C83,"")</f>
        <v>32.883899999999997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4.6812399999999998</v>
      </c>
      <c r="G84" s="61">
        <f>IF(FT!B84&lt;&gt;"",FT!B84*100,"")</f>
        <v>35.782199999999996</v>
      </c>
      <c r="H84" s="61">
        <f t="shared" si="9"/>
        <v>1</v>
      </c>
      <c r="I84" t="str">
        <f>IF(FT!B84&lt;&gt;"",FT!E84,"")</f>
        <v>2 [33.291626]</v>
      </c>
      <c r="J84">
        <f>IF(FT!B84&lt;&gt;"",FT!C84,"")</f>
        <v>33.291600000000003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133088</v>
      </c>
      <c r="D85" s="61">
        <f>FH!B85*1</f>
        <v>133088</v>
      </c>
      <c r="E85">
        <f t="shared" si="11"/>
        <v>83</v>
      </c>
      <c r="F85" s="61">
        <f>IF(FT!A85&lt;&gt;"",FT!A85*10,"")</f>
        <v>4.6804800000000002</v>
      </c>
      <c r="G85" s="61">
        <f>IF(FT!B85&lt;&gt;"",FT!B85*100,"")</f>
        <v>35.768999999999998</v>
      </c>
      <c r="H85" s="61">
        <f t="shared" si="9"/>
        <v>1</v>
      </c>
      <c r="I85" t="str">
        <f>IF(FT!B85&lt;&gt;"",FT!E85,"")</f>
        <v>2 [33.697946]</v>
      </c>
      <c r="J85">
        <f>IF(FT!B85&lt;&gt;"",FT!C85,"")</f>
        <v>33.697899999999997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4.6765099999999995</v>
      </c>
      <c r="G86" s="61">
        <f>IF(FT!B86&lt;&gt;"",FT!B86*100,"")</f>
        <v>35.691400000000002</v>
      </c>
      <c r="H86" s="61">
        <f t="shared" si="9"/>
        <v>1</v>
      </c>
      <c r="I86" t="str">
        <f>IF(FT!B86&lt;&gt;"",FT!E86,"")</f>
        <v>2 [34.107534]</v>
      </c>
      <c r="J86">
        <f>IF(FT!B86&lt;&gt;"",FT!C86,"")</f>
        <v>34.107500000000002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4.6655600000000002</v>
      </c>
      <c r="G87" s="61">
        <f>IF(FT!B87&lt;&gt;"",FT!B87*100,"")</f>
        <v>35.642600000000002</v>
      </c>
      <c r="H87" s="61">
        <f t="shared" si="9"/>
        <v>1</v>
      </c>
      <c r="I87" t="str">
        <f>IF(FT!B87&lt;&gt;"",FT!E87,"")</f>
        <v>2 [34.514120]</v>
      </c>
      <c r="J87">
        <f>IF(FT!B87&lt;&gt;"",FT!C87,"")</f>
        <v>34.514099999999999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134256</v>
      </c>
      <c r="D88" s="61">
        <f>FH!B88*1</f>
        <v>134256</v>
      </c>
      <c r="E88">
        <f t="shared" si="11"/>
        <v>86</v>
      </c>
      <c r="F88" s="61">
        <f>IF(FT!A88&lt;&gt;"",FT!A88*10,"")</f>
        <v>4.6530300000000002</v>
      </c>
      <c r="G88" s="61">
        <f>IF(FT!B88&lt;&gt;"",FT!B88*100,"")</f>
        <v>35.618400000000001</v>
      </c>
      <c r="H88" s="61">
        <f t="shared" si="9"/>
        <v>1</v>
      </c>
      <c r="I88" t="str">
        <f>IF(FT!B88&lt;&gt;"",FT!E88,"")</f>
        <v>2 [34.916969]</v>
      </c>
      <c r="J88">
        <f>IF(FT!B88&lt;&gt;"",FT!C88,"")</f>
        <v>34.917000000000002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4.6411300000000004</v>
      </c>
      <c r="G89" s="61">
        <f>IF(FT!B89&lt;&gt;"",FT!B89*100,"")</f>
        <v>35.619900000000001</v>
      </c>
      <c r="H89" s="61">
        <f t="shared" si="9"/>
        <v>1</v>
      </c>
      <c r="I89" t="str">
        <f>IF(FT!B89&lt;&gt;"",FT!E89,"")</f>
        <v>2 [35.321758]</v>
      </c>
      <c r="J89">
        <f>IF(FT!B89&lt;&gt;"",FT!C89,"")</f>
        <v>35.321800000000003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132760</v>
      </c>
      <c r="D90" s="61">
        <f>FH!B90*1</f>
        <v>132760</v>
      </c>
      <c r="E90">
        <f t="shared" si="11"/>
        <v>88</v>
      </c>
      <c r="F90" s="61">
        <f>IF(FT!A90&lt;&gt;"",FT!A90*10,"")</f>
        <v>4.6303599999999996</v>
      </c>
      <c r="G90" s="61">
        <f>IF(FT!B90&lt;&gt;"",FT!B90*100,"")</f>
        <v>35.635600000000004</v>
      </c>
      <c r="H90" s="61">
        <f t="shared" si="9"/>
        <v>1</v>
      </c>
      <c r="I90" t="str">
        <f>IF(FT!B90&lt;&gt;"",FT!E90,"")</f>
        <v>2 [35.731133]</v>
      </c>
      <c r="J90">
        <f>IF(FT!B90&lt;&gt;"",FT!C90,"")</f>
        <v>35.731099999999998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4.6232299999999995</v>
      </c>
      <c r="G91" s="61">
        <f>IF(FT!B91&lt;&gt;"",FT!B91*100,"")</f>
        <v>35.683799999999998</v>
      </c>
      <c r="H91" s="61">
        <f t="shared" si="9"/>
        <v>1</v>
      </c>
      <c r="I91" t="str">
        <f>IF(FT!B91&lt;&gt;"",FT!E91,"")</f>
        <v>2 [36.139900]</v>
      </c>
      <c r="J91">
        <f>IF(FT!B91&lt;&gt;"",FT!C91,"")</f>
        <v>36.139899999999997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4.6163500000000006</v>
      </c>
      <c r="G92" s="61">
        <f>IF(FT!B92&lt;&gt;"",FT!B92*100,"")</f>
        <v>35.734400000000001</v>
      </c>
      <c r="H92" s="61">
        <f t="shared" si="9"/>
        <v>1</v>
      </c>
      <c r="I92" t="str">
        <f>IF(FT!B92&lt;&gt;"",FT!E92,"")</f>
        <v>2 [36.545061]</v>
      </c>
      <c r="J92">
        <f>IF(FT!B92&lt;&gt;"",FT!C92,"")</f>
        <v>36.545099999999998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134226</v>
      </c>
      <c r="D93" s="61">
        <f>FH!B93*1</f>
        <v>134226</v>
      </c>
      <c r="E93">
        <f t="shared" si="11"/>
        <v>91</v>
      </c>
      <c r="F93" s="61">
        <f>IF(FT!A93&lt;&gt;"",FT!A93*10,"")</f>
        <v>4.6073500000000003</v>
      </c>
      <c r="G93" s="61">
        <f>IF(FT!B93&lt;&gt;"",FT!B93*100,"")</f>
        <v>35.794699999999999</v>
      </c>
      <c r="H93" s="61">
        <f t="shared" si="9"/>
        <v>1</v>
      </c>
      <c r="I93" t="str">
        <f>IF(FT!B93&lt;&gt;"",FT!E93,"")</f>
        <v>2 [36.952388]</v>
      </c>
      <c r="J93">
        <f>IF(FT!B93&lt;&gt;"",FT!C93,"")</f>
        <v>36.952399999999997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4.5960900000000002</v>
      </c>
      <c r="G94" s="61">
        <f>IF(FT!B94&lt;&gt;"",FT!B94*100,"")</f>
        <v>35.889500000000005</v>
      </c>
      <c r="H94" s="61">
        <f t="shared" si="9"/>
        <v>1</v>
      </c>
      <c r="I94" t="str">
        <f>IF(FT!B94&lt;&gt;"",FT!E94,"")</f>
        <v>2 [37.353170]</v>
      </c>
      <c r="J94">
        <f>IF(FT!B94&lt;&gt;"",FT!C94,"")</f>
        <v>37.353200000000001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140454</v>
      </c>
      <c r="D95" s="61">
        <f>FH!B95*1</f>
        <v>140454</v>
      </c>
      <c r="E95">
        <f t="shared" si="11"/>
        <v>93</v>
      </c>
      <c r="F95" s="61">
        <f>IF(FT!A95&lt;&gt;"",FT!A95*10,"")</f>
        <v>4.58406</v>
      </c>
      <c r="G95" s="61">
        <f>IF(FT!B95&lt;&gt;"",FT!B95*100,"")</f>
        <v>35.938400000000001</v>
      </c>
      <c r="H95" s="61">
        <f t="shared" si="9"/>
        <v>1</v>
      </c>
      <c r="I95" t="str">
        <f>IF(FT!B95&lt;&gt;"",FT!E95,"")</f>
        <v>2 [37.760072]</v>
      </c>
      <c r="J95">
        <f>IF(FT!B95&lt;&gt;"",FT!C95,"")</f>
        <v>37.760100000000001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4.5694900000000001</v>
      </c>
      <c r="G96" s="61">
        <f>IF(FT!B96&lt;&gt;"",FT!B96*100,"")</f>
        <v>35.990400000000001</v>
      </c>
      <c r="H96" s="61">
        <f t="shared" si="9"/>
        <v>1</v>
      </c>
      <c r="I96" t="str">
        <f>IF(FT!B96&lt;&gt;"",FT!E96,"")</f>
        <v>2 [38.167629]</v>
      </c>
      <c r="J96">
        <f>IF(FT!B96&lt;&gt;"",FT!C96,"")</f>
        <v>38.1676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4.5522499999999999</v>
      </c>
      <c r="G97" s="61">
        <f>IF(FT!B97&lt;&gt;"",FT!B97*100,"")</f>
        <v>36.127400000000002</v>
      </c>
      <c r="H97" s="61">
        <f t="shared" si="9"/>
        <v>1</v>
      </c>
      <c r="I97" t="str">
        <f>IF(FT!B97&lt;&gt;"",FT!E97,"")</f>
        <v>2 [38.575467]</v>
      </c>
      <c r="J97">
        <f>IF(FT!B97&lt;&gt;"",FT!C97,"")</f>
        <v>38.575499999999998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153821</v>
      </c>
      <c r="D98" s="61">
        <f>FH!B98*1</f>
        <v>153821</v>
      </c>
      <c r="E98">
        <f t="shared" si="11"/>
        <v>96</v>
      </c>
      <c r="F98" s="61">
        <f>IF(FT!A98&lt;&gt;"",FT!A98*10,"")</f>
        <v>4.5333899999999998</v>
      </c>
      <c r="G98" s="61">
        <f>IF(FT!B98&lt;&gt;"",FT!B98*100,"")</f>
        <v>36.275500000000001</v>
      </c>
      <c r="H98" s="61">
        <f t="shared" si="9"/>
        <v>1</v>
      </c>
      <c r="I98" t="str">
        <f>IF(FT!B98&lt;&gt;"",FT!E98,"")</f>
        <v>2 [38.979363]</v>
      </c>
      <c r="J98">
        <f>IF(FT!B98&lt;&gt;"",FT!C98,"")</f>
        <v>38.979399999999998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4.5107699999999999</v>
      </c>
      <c r="G99" s="61">
        <f>IF(FT!B99&lt;&gt;"",FT!B99*100,"")</f>
        <v>36.436600000000006</v>
      </c>
      <c r="H99" s="61">
        <f t="shared" si="9"/>
        <v>1</v>
      </c>
      <c r="I99" t="str">
        <f>IF(FT!B99&lt;&gt;"",FT!E99,"")</f>
        <v>2 [39.384059]</v>
      </c>
      <c r="J99">
        <f>IF(FT!B99&lt;&gt;"",FT!C99,"")</f>
        <v>39.384099999999997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157461</v>
      </c>
      <c r="D100" s="61">
        <f>FH!B100*1</f>
        <v>157461</v>
      </c>
      <c r="E100">
        <f t="shared" si="11"/>
        <v>98</v>
      </c>
      <c r="F100" s="61">
        <f>IF(FT!A100&lt;&gt;"",FT!A100*10,"")</f>
        <v>4.4843299999999999</v>
      </c>
      <c r="G100" s="61">
        <f>IF(FT!B100&lt;&gt;"",FT!B100*100,"")</f>
        <v>36.619800000000005</v>
      </c>
      <c r="H100" s="61">
        <f t="shared" si="9"/>
        <v>1</v>
      </c>
      <c r="I100" t="str">
        <f>IF(FT!B100&lt;&gt;"",FT!E100,"")</f>
        <v>2 [39.791734]</v>
      </c>
      <c r="J100">
        <f>IF(FT!B100&lt;&gt;"",FT!C100,"")</f>
        <v>39.791699999999999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4.4524900000000001</v>
      </c>
      <c r="G101" s="61">
        <f>IF(FT!B101&lt;&gt;"",FT!B101*100,"")</f>
        <v>36.831499999999998</v>
      </c>
      <c r="H101" s="61">
        <f t="shared" si="9"/>
        <v>1</v>
      </c>
      <c r="I101" t="str">
        <f>IF(FT!B101&lt;&gt;"",FT!E101,"")</f>
        <v>2 [40.200460]</v>
      </c>
      <c r="J101">
        <f>IF(FT!B101&lt;&gt;"",FT!C101,"")</f>
        <v>40.200499999999998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4.4192900000000002</v>
      </c>
      <c r="G102" s="61">
        <f>IF(FT!B102&lt;&gt;"",FT!B102*100,"")</f>
        <v>37.008299999999998</v>
      </c>
      <c r="H102" s="61">
        <f t="shared" si="9"/>
        <v>1</v>
      </c>
      <c r="I102" t="str">
        <f>IF(FT!B102&lt;&gt;"",FT!E102,"")</f>
        <v>2 [40.606737]</v>
      </c>
      <c r="J102">
        <f>IF(FT!B102&lt;&gt;"",FT!C102,"")</f>
        <v>40.606699999999996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169248</v>
      </c>
      <c r="D103" s="61">
        <f>FH!B103*1</f>
        <v>169248</v>
      </c>
      <c r="E103">
        <f t="shared" si="11"/>
        <v>101</v>
      </c>
      <c r="F103" s="61">
        <f>IF(FT!A103&lt;&gt;"",FT!A103*10,"")</f>
        <v>4.3850299999999995</v>
      </c>
      <c r="G103" s="61">
        <f>IF(FT!B103&lt;&gt;"",FT!B103*100,"")</f>
        <v>37.196600000000004</v>
      </c>
      <c r="H103" s="61">
        <f t="shared" si="9"/>
        <v>1</v>
      </c>
      <c r="I103" t="str">
        <f>IF(FT!B103&lt;&gt;"",FT!E103,"")</f>
        <v>2 [41.011485]</v>
      </c>
      <c r="J103">
        <f>IF(FT!B103&lt;&gt;"",FT!C103,"")</f>
        <v>41.011499999999998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4.3520300000000001</v>
      </c>
      <c r="G104" s="61">
        <f>IF(FT!B104&lt;&gt;"",FT!B104*100,"")</f>
        <v>37.405000000000001</v>
      </c>
      <c r="H104" s="61">
        <f t="shared" si="9"/>
        <v>1</v>
      </c>
      <c r="I104" t="str">
        <f>IF(FT!B104&lt;&gt;"",FT!E104,"")</f>
        <v>2 [41.416754]</v>
      </c>
      <c r="J104">
        <f>IF(FT!B104&lt;&gt;"",FT!C104,"")</f>
        <v>41.416800000000002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4.3245000000000005</v>
      </c>
      <c r="G105" s="61">
        <f>IF(FT!B105&lt;&gt;"",FT!B105*100,"")</f>
        <v>37.5809</v>
      </c>
      <c r="H105" s="61">
        <f t="shared" si="9"/>
        <v>1</v>
      </c>
      <c r="I105" t="str">
        <f>IF(FT!B105&lt;&gt;"",FT!E105,"")</f>
        <v>2 [41.822595]</v>
      </c>
      <c r="J105">
        <f>IF(FT!B105&lt;&gt;"",FT!C105,"")</f>
        <v>41.822600000000001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170019</v>
      </c>
      <c r="D106" s="61">
        <f>FH!B106*1</f>
        <v>170019</v>
      </c>
      <c r="E106">
        <f t="shared" si="11"/>
        <v>104</v>
      </c>
      <c r="F106" s="61">
        <f>IF(FT!A106&lt;&gt;"",FT!A106*10,"")</f>
        <v>4.2962699999999998</v>
      </c>
      <c r="G106" s="61">
        <f>IF(FT!B106&lt;&gt;"",FT!B106*100,"")</f>
        <v>37.8523</v>
      </c>
      <c r="H106" s="61">
        <f t="shared" si="9"/>
        <v>1</v>
      </c>
      <c r="I106" t="str">
        <f>IF(FT!B106&lt;&gt;"",FT!E106,"")</f>
        <v>2 [42.231136]</v>
      </c>
      <c r="J106">
        <f>IF(FT!B106&lt;&gt;"",FT!C106,"")</f>
        <v>42.231099999999998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4.2672100000000004</v>
      </c>
      <c r="G107" s="61">
        <f>IF(FT!B107&lt;&gt;"",FT!B107*100,"")</f>
        <v>38.198799999999999</v>
      </c>
      <c r="H107" s="61">
        <f t="shared" si="9"/>
        <v>1</v>
      </c>
      <c r="I107" t="str">
        <f>IF(FT!B107&lt;&gt;"",FT!E107,"")</f>
        <v>2 [42.640266]</v>
      </c>
      <c r="J107">
        <f>IF(FT!B107&lt;&gt;"",FT!C107,"")</f>
        <v>42.640300000000003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176129</v>
      </c>
      <c r="D108" s="61">
        <f>FH!B108*1</f>
        <v>176129</v>
      </c>
      <c r="E108">
        <f t="shared" si="11"/>
        <v>106</v>
      </c>
      <c r="F108" s="61">
        <f>IF(FT!A108&lt;&gt;"",FT!A108*10,"")</f>
        <v>4.2413499999999997</v>
      </c>
      <c r="G108" s="61">
        <f>IF(FT!B108&lt;&gt;"",FT!B108*100,"")</f>
        <v>38.523400000000002</v>
      </c>
      <c r="H108" s="61">
        <f t="shared" si="9"/>
        <v>1</v>
      </c>
      <c r="I108" t="str">
        <f>IF(FT!B108&lt;&gt;"",FT!E108,"")</f>
        <v>2 [43.042369]</v>
      </c>
      <c r="J108">
        <f>IF(FT!B108&lt;&gt;"",FT!C108,"")</f>
        <v>43.042400000000001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4.2173999999999996</v>
      </c>
      <c r="G109" s="61">
        <f>IF(FT!B109&lt;&gt;"",FT!B109*100,"")</f>
        <v>38.786500000000004</v>
      </c>
      <c r="H109" s="61">
        <f t="shared" si="9"/>
        <v>1</v>
      </c>
      <c r="I109" t="str">
        <f>IF(FT!B109&lt;&gt;"",FT!E109,"")</f>
        <v>2 [43.445501]</v>
      </c>
      <c r="J109">
        <f>IF(FT!B109&lt;&gt;"",FT!C109,"")</f>
        <v>43.445500000000003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4.1913</v>
      </c>
      <c r="G110" s="61">
        <f>IF(FT!B110&lt;&gt;"",FT!B110*100,"")</f>
        <v>39.003399999999999</v>
      </c>
      <c r="H110" s="61">
        <f t="shared" si="9"/>
        <v>1</v>
      </c>
      <c r="I110" t="str">
        <f>IF(FT!B110&lt;&gt;"",FT!E110,"")</f>
        <v>2 [43.852195]</v>
      </c>
      <c r="J110">
        <f>IF(FT!B110&lt;&gt;"",FT!C110,"")</f>
        <v>43.852200000000003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184144</v>
      </c>
      <c r="D111" s="61">
        <f>FH!B111*1</f>
        <v>184144</v>
      </c>
      <c r="E111">
        <f t="shared" si="11"/>
        <v>109</v>
      </c>
      <c r="F111" s="61">
        <f>IF(FT!A111&lt;&gt;"",FT!A111*10,"")</f>
        <v>4.1655499999999996</v>
      </c>
      <c r="G111" s="61">
        <f>IF(FT!B111&lt;&gt;"",FT!B111*100,"")</f>
        <v>39.286700000000003</v>
      </c>
      <c r="H111" s="61">
        <f t="shared" si="9"/>
        <v>1</v>
      </c>
      <c r="I111" t="str">
        <f>IF(FT!B111&lt;&gt;"",FT!E111,"")</f>
        <v>2 [44.264188]</v>
      </c>
      <c r="J111">
        <f>IF(FT!B111&lt;&gt;"",FT!C111,"")</f>
        <v>44.264200000000002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4.1426099999999995</v>
      </c>
      <c r="G112" s="61">
        <f>IF(FT!B112&lt;&gt;"",FT!B112*100,"")</f>
        <v>39.516600000000004</v>
      </c>
      <c r="H112" s="61">
        <f t="shared" si="9"/>
        <v>1</v>
      </c>
      <c r="I112" t="str">
        <f>IF(FT!B112&lt;&gt;"",FT!E112,"")</f>
        <v>2 [44.666144]</v>
      </c>
      <c r="J112">
        <f>IF(FT!B112&lt;&gt;"",FT!C112,"")</f>
        <v>44.6661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182358</v>
      </c>
      <c r="D113" s="61">
        <f>FH!B113*1</f>
        <v>182358</v>
      </c>
      <c r="E113">
        <f t="shared" si="11"/>
        <v>111</v>
      </c>
      <c r="F113" s="61">
        <f>IF(FT!A113&lt;&gt;"",FT!A113*10,"")</f>
        <v>4.1214399999999998</v>
      </c>
      <c r="G113" s="61">
        <f>IF(FT!B113&lt;&gt;"",FT!B113*100,"")</f>
        <v>39.743400000000001</v>
      </c>
      <c r="H113" s="61">
        <f t="shared" si="9"/>
        <v>1</v>
      </c>
      <c r="I113" t="str">
        <f>IF(FT!B113&lt;&gt;"",FT!E113,"")</f>
        <v>2 [45.074272]</v>
      </c>
      <c r="J113">
        <f>IF(FT!B113&lt;&gt;"",FT!C113,"")</f>
        <v>45.074300000000001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4.1018100000000004</v>
      </c>
      <c r="G114" s="61">
        <f>IF(FT!B114&lt;&gt;"",FT!B114*100,"")</f>
        <v>39.929199999999994</v>
      </c>
      <c r="H114" s="61">
        <f t="shared" si="9"/>
        <v>1</v>
      </c>
      <c r="I114" t="str">
        <f>IF(FT!B114&lt;&gt;"",FT!E114,"")</f>
        <v>2 [45.478127]</v>
      </c>
      <c r="J114">
        <f>IF(FT!B114&lt;&gt;"",FT!C114,"")</f>
        <v>45.478099999999998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4.0837400000000006</v>
      </c>
      <c r="G115" s="61">
        <f>IF(FT!B115&lt;&gt;"",FT!B115*100,"")</f>
        <v>40.125300000000003</v>
      </c>
      <c r="H115" s="61">
        <f t="shared" si="9"/>
        <v>1</v>
      </c>
      <c r="I115" t="str">
        <f>IF(FT!B115&lt;&gt;"",FT!E115,"")</f>
        <v>2 [45.888041]</v>
      </c>
      <c r="J115">
        <f>IF(FT!B115&lt;&gt;"",FT!C115,"")</f>
        <v>45.887999999999998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183152</v>
      </c>
      <c r="D116" s="61">
        <f>FH!B116*1</f>
        <v>183152</v>
      </c>
      <c r="E116">
        <f t="shared" si="11"/>
        <v>114</v>
      </c>
      <c r="F116" s="61">
        <f>IF(FT!A116&lt;&gt;"",FT!A116*10,"")</f>
        <v>4.0675400000000002</v>
      </c>
      <c r="G116" s="61">
        <f>IF(FT!B116&lt;&gt;"",FT!B116*100,"")</f>
        <v>40.258899999999997</v>
      </c>
      <c r="H116" s="61">
        <f t="shared" si="9"/>
        <v>1</v>
      </c>
      <c r="I116" t="str">
        <f>IF(FT!B116&lt;&gt;"",FT!E116,"")</f>
        <v>2 [46.294149]</v>
      </c>
      <c r="J116">
        <f>IF(FT!B116&lt;&gt;"",FT!C116,"")</f>
        <v>46.2941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4.0508100000000002</v>
      </c>
      <c r="G117" s="61">
        <f>IF(FT!B117&lt;&gt;"",FT!B117*100,"")</f>
        <v>40.369500000000002</v>
      </c>
      <c r="H117" s="61">
        <f t="shared" si="9"/>
        <v>1</v>
      </c>
      <c r="I117" t="str">
        <f>IF(FT!B117&lt;&gt;"",FT!E117,"")</f>
        <v>2 [46.700524]</v>
      </c>
      <c r="J117">
        <f>IF(FT!B117&lt;&gt;"",FT!C117,"")</f>
        <v>46.700499999999998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180029</v>
      </c>
      <c r="D118" s="61">
        <f>FH!B118*1</f>
        <v>180029</v>
      </c>
      <c r="E118">
        <f t="shared" si="11"/>
        <v>116</v>
      </c>
      <c r="F118" s="61">
        <f>IF(FT!A118&lt;&gt;"",FT!A118*10,"")</f>
        <v>4.0322300000000002</v>
      </c>
      <c r="G118" s="61">
        <f>IF(FT!B118&lt;&gt;"",FT!B118*100,"")</f>
        <v>40.483200000000004</v>
      </c>
      <c r="H118" s="61">
        <f t="shared" si="9"/>
        <v>1</v>
      </c>
      <c r="I118" t="str">
        <f>IF(FT!B118&lt;&gt;"",FT!E118,"")</f>
        <v>2 [47.105081]</v>
      </c>
      <c r="J118">
        <f>IF(FT!B118&lt;&gt;"",FT!C118,"")</f>
        <v>47.1051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4.0139100000000001</v>
      </c>
      <c r="G119" s="61">
        <f>IF(FT!B119&lt;&gt;"",FT!B119*100,"")</f>
        <v>40.576099999999997</v>
      </c>
      <c r="H119" s="61">
        <f t="shared" si="9"/>
        <v>1</v>
      </c>
      <c r="I119" t="str">
        <f>IF(FT!B119&lt;&gt;"",FT!E119,"")</f>
        <v>2 [47.512457]</v>
      </c>
      <c r="J119">
        <f>IF(FT!B119&lt;&gt;"",FT!C119,"")</f>
        <v>47.512500000000003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4.0003700000000002</v>
      </c>
      <c r="G120" s="61">
        <f>IF(FT!B120&lt;&gt;"",FT!B120*100,"")</f>
        <v>40.565200000000004</v>
      </c>
      <c r="H120" s="61">
        <f t="shared" si="9"/>
        <v>1</v>
      </c>
      <c r="I120" t="str">
        <f>IF(FT!B120&lt;&gt;"",FT!E120,"")</f>
        <v>2 [47.915655]</v>
      </c>
      <c r="J120">
        <f>IF(FT!B120&lt;&gt;"",FT!C120,"")</f>
        <v>47.915700000000001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175622</v>
      </c>
      <c r="D121" s="61">
        <f>FH!B121*1</f>
        <v>175622</v>
      </c>
      <c r="E121">
        <f t="shared" si="11"/>
        <v>119</v>
      </c>
      <c r="F121" s="61">
        <f>IF(FT!A121&lt;&gt;"",FT!A121*10,"")</f>
        <v>3.9924500000000003</v>
      </c>
      <c r="G121" s="61">
        <f>IF(FT!B121&lt;&gt;"",FT!B121*100,"")</f>
        <v>40.427999999999997</v>
      </c>
      <c r="H121" s="61">
        <f t="shared" si="9"/>
        <v>1</v>
      </c>
      <c r="I121" t="str">
        <f>IF(FT!B121&lt;&gt;"",FT!E121,"")</f>
        <v>2 [48.325768]</v>
      </c>
      <c r="J121">
        <f>IF(FT!B121&lt;&gt;"",FT!C121,"")</f>
        <v>48.325800000000001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3.9865200000000001</v>
      </c>
      <c r="G122" s="61">
        <f>IF(FT!B122&lt;&gt;"",FT!B122*100,"")</f>
        <v>40.215699999999998</v>
      </c>
      <c r="H122" s="61">
        <f t="shared" si="9"/>
        <v>1</v>
      </c>
      <c r="I122" t="str">
        <f>IF(FT!B122&lt;&gt;"",FT!E122,"")</f>
        <v>2 [48.728372]</v>
      </c>
      <c r="J122">
        <f>IF(FT!B122&lt;&gt;"",FT!C122,"")</f>
        <v>48.728400000000001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3.9836200000000002</v>
      </c>
      <c r="G123" s="61">
        <f>IF(FT!B123&lt;&gt;"",FT!B123*100,"")</f>
        <v>39.9544</v>
      </c>
      <c r="H123" s="61">
        <f t="shared" si="9"/>
        <v>1</v>
      </c>
      <c r="I123" t="str">
        <f>IF(FT!B123&lt;&gt;"",FT!E123,"")</f>
        <v>2 [49.136253]</v>
      </c>
      <c r="J123">
        <f>IF(FT!B123&lt;&gt;"",FT!C123,"")</f>
        <v>49.136299999999999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168648</v>
      </c>
      <c r="D124" s="61">
        <f>FH!B124*1</f>
        <v>168648</v>
      </c>
      <c r="E124">
        <f t="shared" si="11"/>
        <v>122</v>
      </c>
      <c r="F124" s="61">
        <f>IF(FT!A124&lt;&gt;"",FT!A124*10,"")</f>
        <v>3.98421</v>
      </c>
      <c r="G124" s="61">
        <f>IF(FT!B124&lt;&gt;"",FT!B124*100,"")</f>
        <v>39.637599999999999</v>
      </c>
      <c r="H124" s="61">
        <f t="shared" si="9"/>
        <v>1</v>
      </c>
      <c r="I124" t="str">
        <f>IF(FT!B124&lt;&gt;"",FT!E124,"")</f>
        <v>2 [49.539632]</v>
      </c>
      <c r="J124">
        <f>IF(FT!B124&lt;&gt;"",FT!C124,"")</f>
        <v>49.5396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3.9889599999999996</v>
      </c>
      <c r="G125" s="61">
        <f>IF(FT!B125&lt;&gt;"",FT!B125*100,"")</f>
        <v>39.271299999999997</v>
      </c>
      <c r="H125" s="61">
        <f t="shared" si="9"/>
        <v>1</v>
      </c>
      <c r="I125" t="str">
        <f>IF(FT!B125&lt;&gt;"",FT!E125,"")</f>
        <v>2 [49.946156]</v>
      </c>
      <c r="J125">
        <f>IF(FT!B125&lt;&gt;"",FT!C125,"")</f>
        <v>49.946199999999997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161147</v>
      </c>
      <c r="D126" s="61">
        <f>FH!B126*1</f>
        <v>161147</v>
      </c>
      <c r="E126">
        <f t="shared" si="11"/>
        <v>124</v>
      </c>
      <c r="F126" s="61">
        <f>IF(FT!A126&lt;&gt;"",FT!A126*10,"")</f>
        <v>3.9934500000000002</v>
      </c>
      <c r="G126" s="61">
        <f>IF(FT!B126&lt;&gt;"",FT!B126*100,"")</f>
        <v>39.0364</v>
      </c>
      <c r="H126" s="61">
        <f t="shared" si="9"/>
        <v>1</v>
      </c>
      <c r="I126" t="str">
        <f>IF(FT!B126&lt;&gt;"",FT!E126,"")</f>
        <v>2 [50.354787]</v>
      </c>
      <c r="J126">
        <f>IF(FT!B126&lt;&gt;"",FT!C126,"")</f>
        <v>50.354799999999997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3.9972999999999996</v>
      </c>
      <c r="G127" s="61">
        <f>IF(FT!B127&lt;&gt;"",FT!B127*100,"")</f>
        <v>38.929299999999998</v>
      </c>
      <c r="H127" s="61">
        <f t="shared" si="9"/>
        <v>1</v>
      </c>
      <c r="I127" t="str">
        <f>IF(FT!B127&lt;&gt;"",FT!E127,"")</f>
        <v>2 [50.759665]</v>
      </c>
      <c r="J127">
        <f>IF(FT!B127&lt;&gt;"",FT!C127,"")</f>
        <v>50.759700000000002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4.00204</v>
      </c>
      <c r="G128" s="61">
        <f>IF(FT!B128&lt;&gt;"",FT!B128*100,"")</f>
        <v>38.839700000000001</v>
      </c>
      <c r="H128" s="61">
        <f t="shared" si="9"/>
        <v>1</v>
      </c>
      <c r="I128" t="str">
        <f>IF(FT!B128&lt;&gt;"",FT!E128,"")</f>
        <v>2 [51.167492]</v>
      </c>
      <c r="J128">
        <f>IF(FT!B128&lt;&gt;"",FT!C128,"")</f>
        <v>51.167499999999997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153816</v>
      </c>
      <c r="D129" s="61">
        <f>FH!B129*1</f>
        <v>153816</v>
      </c>
      <c r="E129">
        <f t="shared" si="11"/>
        <v>127</v>
      </c>
      <c r="F129" s="61">
        <f>IF(FT!A129&lt;&gt;"",FT!A129*10,"")</f>
        <v>4.0066299999999995</v>
      </c>
      <c r="G129" s="61">
        <f>IF(FT!B129&lt;&gt;"",FT!B129*100,"")</f>
        <v>38.753100000000003</v>
      </c>
      <c r="H129" s="61">
        <f t="shared" si="9"/>
        <v>1</v>
      </c>
      <c r="I129" t="str">
        <f>IF(FT!B129&lt;&gt;"",FT!E129,"")</f>
        <v>2 [51.573100]</v>
      </c>
      <c r="J129">
        <f>IF(FT!B129&lt;&gt;"",FT!C129,"")</f>
        <v>51.573099999999997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4.0079399999999996</v>
      </c>
      <c r="G130" s="61">
        <f>IF(FT!B130&lt;&gt;"",FT!B130*100,"")</f>
        <v>38.645299999999999</v>
      </c>
      <c r="H130" s="61">
        <f t="shared" si="9"/>
        <v>1</v>
      </c>
      <c r="I130" t="str">
        <f>IF(FT!B130&lt;&gt;"",FT!E130,"")</f>
        <v>2 [51.985388]</v>
      </c>
      <c r="J130">
        <f>IF(FT!B130&lt;&gt;"",FT!C130,"")</f>
        <v>51.985399999999998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148110</v>
      </c>
      <c r="D131" s="61">
        <f>FH!B131*1</f>
        <v>148110</v>
      </c>
      <c r="E131">
        <f t="shared" si="11"/>
        <v>129</v>
      </c>
      <c r="F131" s="61">
        <f>IF(FT!A131&lt;&gt;"",FT!A131*10,"")</f>
        <v>4.0069100000000004</v>
      </c>
      <c r="G131" s="61">
        <f>IF(FT!B131&lt;&gt;"",FT!B131*100,"")</f>
        <v>38.4998</v>
      </c>
      <c r="H131" s="61">
        <f t="shared" ref="H131:H194" si="13">(IF(F131&lt;&gt;"",1,""))</f>
        <v>1</v>
      </c>
      <c r="I131" t="str">
        <f>IF(FT!B131&lt;&gt;"",FT!E131,"")</f>
        <v>2 [52.387349]</v>
      </c>
      <c r="J131">
        <f>IF(FT!B131&lt;&gt;"",FT!C131,"")</f>
        <v>52.387300000000003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4.0048399999999997</v>
      </c>
      <c r="G132" s="61">
        <f>IF(FT!B132&lt;&gt;"",FT!B132*100,"")</f>
        <v>38.3339</v>
      </c>
      <c r="H132" s="61">
        <f t="shared" si="13"/>
        <v>1</v>
      </c>
      <c r="I132" t="str">
        <f>IF(FT!B132&lt;&gt;"",FT!E132,"")</f>
        <v>2 [52.790242]</v>
      </c>
      <c r="J132">
        <f>IF(FT!B132&lt;&gt;"",FT!C132,"")</f>
        <v>52.790199999999999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4.00122</v>
      </c>
      <c r="G133" s="61">
        <f>IF(FT!B133&lt;&gt;"",FT!B133*100,"")</f>
        <v>38.174400000000006</v>
      </c>
      <c r="H133" s="61">
        <f t="shared" si="13"/>
        <v>1</v>
      </c>
      <c r="I133" t="str">
        <f>IF(FT!B133&lt;&gt;"",FT!E133,"")</f>
        <v>2 [53.197974]</v>
      </c>
      <c r="J133">
        <f>IF(FT!B133&lt;&gt;"",FT!C133,"")</f>
        <v>53.198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138226</v>
      </c>
      <c r="D134" s="61">
        <f>FH!B134*1</f>
        <v>138226</v>
      </c>
      <c r="E134">
        <f t="shared" si="15"/>
        <v>132</v>
      </c>
      <c r="F134" s="61">
        <f>IF(FT!A134&lt;&gt;"",FT!A134*10,"")</f>
        <v>3.9977</v>
      </c>
      <c r="G134" s="61">
        <f>IF(FT!B134&lt;&gt;"",FT!B134*100,"")</f>
        <v>37.9985</v>
      </c>
      <c r="H134" s="61">
        <f t="shared" si="13"/>
        <v>1</v>
      </c>
      <c r="I134" t="str">
        <f>IF(FT!B134&lt;&gt;"",FT!E134,"")</f>
        <v>2 [53.608009]</v>
      </c>
      <c r="J134">
        <f>IF(FT!B134&lt;&gt;"",FT!C134,"")</f>
        <v>53.607999999999997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3.9999899999999999</v>
      </c>
      <c r="G135" s="61">
        <f>IF(FT!B135&lt;&gt;"",FT!B135*100,"")</f>
        <v>37.774299999999997</v>
      </c>
      <c r="H135" s="61">
        <f t="shared" si="13"/>
        <v>1</v>
      </c>
      <c r="I135" t="str">
        <f>IF(FT!B135&lt;&gt;"",FT!E135,"")</f>
        <v>2 [54.012290]</v>
      </c>
      <c r="J135">
        <f>IF(FT!B135&lt;&gt;"",FT!C135,"")</f>
        <v>54.012300000000003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124111</v>
      </c>
      <c r="D136" s="61">
        <f>FH!B136*1</f>
        <v>124111</v>
      </c>
      <c r="E136">
        <f t="shared" si="15"/>
        <v>134</v>
      </c>
      <c r="F136" s="61">
        <f>IF(FT!A136&lt;&gt;"",FT!A136*10,"")</f>
        <v>4.00793</v>
      </c>
      <c r="G136" s="61">
        <f>IF(FT!B136&lt;&gt;"",FT!B136*100,"")</f>
        <v>37.533000000000001</v>
      </c>
      <c r="H136" s="61">
        <f t="shared" si="13"/>
        <v>1</v>
      </c>
      <c r="I136" t="str">
        <f>IF(FT!B136&lt;&gt;"",FT!E136,"")</f>
        <v>2 [54.418295]</v>
      </c>
      <c r="J136">
        <f>IF(FT!B136&lt;&gt;"",FT!C136,"")</f>
        <v>54.418300000000002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4.0183799999999996</v>
      </c>
      <c r="G137" s="61">
        <f>IF(FT!B137&lt;&gt;"",FT!B137*100,"")</f>
        <v>37.319200000000002</v>
      </c>
      <c r="H137" s="61">
        <f t="shared" si="13"/>
        <v>1</v>
      </c>
      <c r="I137" t="str">
        <f>IF(FT!B137&lt;&gt;"",FT!E137,"")</f>
        <v>2 [54.821531]</v>
      </c>
      <c r="J137">
        <f>IF(FT!B137&lt;&gt;"",FT!C137,"")</f>
        <v>54.8215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4.0293400000000004</v>
      </c>
      <c r="G138" s="61">
        <f>IF(FT!B138&lt;&gt;"",FT!B138*100,"")</f>
        <v>37.0456</v>
      </c>
      <c r="H138" s="61">
        <f t="shared" si="13"/>
        <v>1</v>
      </c>
      <c r="I138" t="str">
        <f>IF(FT!B138&lt;&gt;"",FT!E138,"")</f>
        <v>2 [55.229813]</v>
      </c>
      <c r="J138">
        <f>IF(FT!B138&lt;&gt;"",FT!C138,"")</f>
        <v>55.229799999999997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118775</v>
      </c>
      <c r="D139" s="61">
        <f>FH!B139*1</f>
        <v>118775</v>
      </c>
      <c r="E139">
        <f t="shared" si="15"/>
        <v>137</v>
      </c>
      <c r="F139" s="61">
        <f>IF(FT!A139&lt;&gt;"",FT!A139*10,"")</f>
        <v>4.0411599999999996</v>
      </c>
      <c r="G139" s="61">
        <f>IF(FT!B139&lt;&gt;"",FT!B139*100,"")</f>
        <v>36.727600000000002</v>
      </c>
      <c r="H139" s="61">
        <f t="shared" si="13"/>
        <v>1</v>
      </c>
      <c r="I139" t="str">
        <f>IF(FT!B139&lt;&gt;"",FT!E139,"")</f>
        <v>2 [55.637176]</v>
      </c>
      <c r="J139">
        <f>IF(FT!B139&lt;&gt;"",FT!C139,"")</f>
        <v>55.6372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4.0506199999999994</v>
      </c>
      <c r="G140" s="61">
        <f>IF(FT!B140&lt;&gt;"",FT!B140*100,"")</f>
        <v>36.399300000000004</v>
      </c>
      <c r="H140" s="61">
        <f t="shared" si="13"/>
        <v>1</v>
      </c>
      <c r="I140" t="str">
        <f>IF(FT!B140&lt;&gt;"",FT!E140,"")</f>
        <v>2 [56.043441]</v>
      </c>
      <c r="J140">
        <f>IF(FT!B140&lt;&gt;"",FT!C140,"")</f>
        <v>56.043399999999998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4.0542699999999998</v>
      </c>
      <c r="G141" s="61">
        <f>IF(FT!B141&lt;&gt;"",FT!B141*100,"")</f>
        <v>36.109200000000001</v>
      </c>
      <c r="H141" s="61">
        <f t="shared" si="13"/>
        <v>1</v>
      </c>
      <c r="I141" t="str">
        <f>IF(FT!B141&lt;&gt;"",FT!E141,"")</f>
        <v>2 [56.447663]</v>
      </c>
      <c r="J141">
        <f>IF(FT!B141&lt;&gt;"",FT!C141,"")</f>
        <v>56.447699999999998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116373</v>
      </c>
      <c r="D142" s="61">
        <f>FH!B142*1</f>
        <v>116373</v>
      </c>
      <c r="E142">
        <f t="shared" si="15"/>
        <v>140</v>
      </c>
      <c r="F142" s="61">
        <f>IF(FT!A142&lt;&gt;"",FT!A142*10,"")</f>
        <v>4.06135</v>
      </c>
      <c r="G142" s="61">
        <f>IF(FT!B142&lt;&gt;"",FT!B142*100,"")</f>
        <v>35.788499999999999</v>
      </c>
      <c r="H142" s="61">
        <f t="shared" si="13"/>
        <v>1</v>
      </c>
      <c r="I142" t="str">
        <f>IF(FT!B142&lt;&gt;"",FT!E142,"")</f>
        <v>2 [56.854329]</v>
      </c>
      <c r="J142">
        <f>IF(FT!B142&lt;&gt;"",FT!C142,"")</f>
        <v>56.854300000000002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4.0730899999999997</v>
      </c>
      <c r="G143" s="61">
        <f>IF(FT!B143&lt;&gt;"",FT!B143*100,"")</f>
        <v>35.493000000000002</v>
      </c>
      <c r="H143" s="61">
        <f t="shared" si="13"/>
        <v>1</v>
      </c>
      <c r="I143" t="str">
        <f>IF(FT!B143&lt;&gt;"",FT!E143,"")</f>
        <v>2 [57.259755]</v>
      </c>
      <c r="J143">
        <f>IF(FT!B143&lt;&gt;"",FT!C143,"")</f>
        <v>57.259799999999998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110769</v>
      </c>
      <c r="D144" s="61">
        <f>FH!B144*1</f>
        <v>110769</v>
      </c>
      <c r="E144">
        <f t="shared" si="15"/>
        <v>142</v>
      </c>
      <c r="F144" s="61">
        <f>IF(FT!A144&lt;&gt;"",FT!A144*10,"")</f>
        <v>4.0869</v>
      </c>
      <c r="G144" s="61">
        <f>IF(FT!B144&lt;&gt;"",FT!B144*100,"")</f>
        <v>35.221699999999998</v>
      </c>
      <c r="H144" s="61">
        <f t="shared" si="13"/>
        <v>1</v>
      </c>
      <c r="I144" t="str">
        <f>IF(FT!B144&lt;&gt;"",FT!E144,"")</f>
        <v>2 [57.674372]</v>
      </c>
      <c r="J144">
        <f>IF(FT!B144&lt;&gt;"",FT!C144,"")</f>
        <v>57.674399999999999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4.0998299999999999</v>
      </c>
      <c r="G145" s="61">
        <f>IF(FT!B145&lt;&gt;"",FT!B145*100,"")</f>
        <v>35.020299999999999</v>
      </c>
      <c r="H145" s="61">
        <f t="shared" si="13"/>
        <v>1</v>
      </c>
      <c r="I145" t="str">
        <f>IF(FT!B145&lt;&gt;"",FT!E145,"")</f>
        <v>2 [58.076825]</v>
      </c>
      <c r="J145">
        <f>IF(FT!B145&lt;&gt;"",FT!C145,"")</f>
        <v>58.076799999999999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4.1125800000000003</v>
      </c>
      <c r="G146" s="61">
        <f>IF(FT!B146&lt;&gt;"",FT!B146*100,"")</f>
        <v>34.765499999999996</v>
      </c>
      <c r="H146" s="61">
        <f t="shared" si="13"/>
        <v>1</v>
      </c>
      <c r="I146" t="str">
        <f>IF(FT!B146&lt;&gt;"",FT!E146,"")</f>
        <v>2 [58.487383]</v>
      </c>
      <c r="J146">
        <f>IF(FT!B146&lt;&gt;"",FT!C146,"")</f>
        <v>58.487400000000001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98695</v>
      </c>
      <c r="D147" s="61">
        <f>FH!B147*1</f>
        <v>98695</v>
      </c>
      <c r="E147">
        <f t="shared" si="15"/>
        <v>145</v>
      </c>
      <c r="F147" s="61">
        <f>IF(FT!A147&lt;&gt;"",FT!A147*10,"")</f>
        <v>4.11707</v>
      </c>
      <c r="G147" s="61">
        <f>IF(FT!B147&lt;&gt;"",FT!B147*100,"")</f>
        <v>34.658099999999997</v>
      </c>
      <c r="H147" s="61">
        <f t="shared" si="13"/>
        <v>1</v>
      </c>
      <c r="I147" t="str">
        <f>IF(FT!B147&lt;&gt;"",FT!E147,"")</f>
        <v>2 [58.885418]</v>
      </c>
      <c r="J147">
        <f>IF(FT!B147&lt;&gt;"",FT!C147,"")</f>
        <v>58.885399999999997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4.1176300000000001</v>
      </c>
      <c r="G148" s="61">
        <f>IF(FT!B148&lt;&gt;"",FT!B148*100,"")</f>
        <v>34.561</v>
      </c>
      <c r="H148" s="61">
        <f t="shared" si="13"/>
        <v>1</v>
      </c>
      <c r="I148" t="str">
        <f>IF(FT!B148&lt;&gt;"",FT!E148,"")</f>
        <v>2 [59.289804]</v>
      </c>
      <c r="J148">
        <f>IF(FT!B148&lt;&gt;"",FT!C148,"")</f>
        <v>59.2898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88943</v>
      </c>
      <c r="D149" s="61">
        <f>FH!B149*1</f>
        <v>88943</v>
      </c>
      <c r="E149">
        <f t="shared" si="15"/>
        <v>147</v>
      </c>
      <c r="F149" s="61">
        <f>IF(FT!A149&lt;&gt;"",FT!A149*10,"")</f>
        <v>4.1215200000000003</v>
      </c>
      <c r="G149" s="61">
        <f>IF(FT!B149&lt;&gt;"",FT!B149*100,"")</f>
        <v>34.234400000000001</v>
      </c>
      <c r="H149" s="61">
        <f t="shared" si="13"/>
        <v>1</v>
      </c>
      <c r="I149" t="str">
        <f>IF(FT!B149&lt;&gt;"",FT!E149,"")</f>
        <v>2 [59.697502]</v>
      </c>
      <c r="J149">
        <f>IF(FT!B149&lt;&gt;"",FT!C149,"")</f>
        <v>59.697499999999998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>
        <f>IF(FT!A150&lt;&gt;"",FT!A150*10,"")</f>
        <v>4.1097599999999996</v>
      </c>
      <c r="G150" s="61">
        <f>IF(FT!B150&lt;&gt;"",FT!B150*100,"")</f>
        <v>33.890500000000003</v>
      </c>
      <c r="H150" s="61">
        <f t="shared" si="13"/>
        <v>1</v>
      </c>
      <c r="I150" t="str">
        <f>IF(FT!B150&lt;&gt;"",FT!E150,"")</f>
        <v>2 [60.103251]</v>
      </c>
      <c r="J150">
        <f>IF(FT!B150&lt;&gt;"",FT!C150,"")</f>
        <v>60.103299999999997</v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81847</v>
      </c>
      <c r="D152" s="61">
        <f>FH!B152*1</f>
        <v>81847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73905</v>
      </c>
      <c r="D154" s="61">
        <f>FH!B154*1</f>
        <v>73905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63844</v>
      </c>
      <c r="D157" s="61">
        <f>FH!B157*1</f>
        <v>63844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57347</v>
      </c>
      <c r="D160" s="61">
        <f>FH!B160*1</f>
        <v>57347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45201</v>
      </c>
      <c r="D162" s="61">
        <f>FH!B162*1</f>
        <v>45201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37284</v>
      </c>
      <c r="D165" s="61">
        <f>FH!B165*1</f>
        <v>37284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33855</v>
      </c>
      <c r="D167" s="61">
        <f>FH!B167*1</f>
        <v>33855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30045</v>
      </c>
      <c r="D170" s="61">
        <f>FH!B170*1</f>
        <v>30045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24707</v>
      </c>
      <c r="D173" s="61">
        <f>FH!B173*1</f>
        <v>24707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17989</v>
      </c>
      <c r="D175" s="61">
        <f>FH!B175*1</f>
        <v>17989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13533</v>
      </c>
      <c r="D178" s="61">
        <f>FH!B178*1</f>
        <v>13533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8385</v>
      </c>
      <c r="D180" s="61">
        <f>FH!B180*1</f>
        <v>8385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6695</v>
      </c>
      <c r="D183" s="61">
        <f>FH!B183*1</f>
        <v>6695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5516</v>
      </c>
      <c r="D185" s="61">
        <f>FH!B185*1</f>
        <v>5516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3663</v>
      </c>
      <c r="D188" s="61">
        <f>FH!B188*1</f>
        <v>3663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2279</v>
      </c>
      <c r="D191" s="61">
        <f>FH!B191*1</f>
        <v>2279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1421</v>
      </c>
      <c r="D193" s="61">
        <f>FH!B193*1</f>
        <v>1421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326</v>
      </c>
      <c r="D196" s="61">
        <f>FH!B196*1</f>
        <v>326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231</v>
      </c>
      <c r="D198" s="61">
        <f>FH!B198*1</f>
        <v>231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45.428899999999999</v>
      </c>
      <c r="C5" s="66">
        <v>10.234999999999999</v>
      </c>
      <c r="D5" s="66">
        <v>22.529800000000002</v>
      </c>
      <c r="E5" s="66">
        <v>20</v>
      </c>
      <c r="F5" s="66">
        <v>9.6640599999999992</v>
      </c>
      <c r="G5" s="66">
        <v>50</v>
      </c>
      <c r="H5" s="66">
        <v>52.26</v>
      </c>
    </row>
    <row r="6" spans="1:8">
      <c r="A6" s="58" t="s">
        <v>303</v>
      </c>
      <c r="B6" s="66">
        <v>31.7258</v>
      </c>
      <c r="C6" s="66">
        <v>1.42363</v>
      </c>
      <c r="D6" s="66">
        <v>4.4873000000000003</v>
      </c>
      <c r="E6" s="66">
        <v>20</v>
      </c>
      <c r="F6" s="66">
        <v>29.180499999999999</v>
      </c>
      <c r="G6" s="66">
        <v>40</v>
      </c>
      <c r="H6" s="66">
        <v>35.687600000000003</v>
      </c>
    </row>
    <row r="7" spans="1:8">
      <c r="A7" s="58" t="s">
        <v>304</v>
      </c>
      <c r="B7" s="66">
        <v>23.144100000000002</v>
      </c>
      <c r="C7" s="66">
        <v>5.5469600000000003</v>
      </c>
      <c r="D7" s="66">
        <v>23.967099999999999</v>
      </c>
      <c r="E7" s="66">
        <v>15</v>
      </c>
      <c r="F7" s="66">
        <v>11.992800000000001</v>
      </c>
      <c r="G7" s="66">
        <v>40</v>
      </c>
      <c r="H7" s="66">
        <v>42.5871</v>
      </c>
    </row>
    <row r="8" spans="1:8">
      <c r="A8" s="58" t="s">
        <v>305</v>
      </c>
      <c r="B8" s="66">
        <v>33.228999999999999</v>
      </c>
      <c r="C8" s="66">
        <v>4.2173800000000004</v>
      </c>
      <c r="D8" s="66">
        <v>12.6919</v>
      </c>
      <c r="E8" s="66">
        <v>20</v>
      </c>
      <c r="F8" s="66">
        <v>19.6873</v>
      </c>
      <c r="G8" s="66">
        <v>50</v>
      </c>
      <c r="H8" s="66">
        <v>39.890700000000002</v>
      </c>
    </row>
    <row r="9" spans="1:8">
      <c r="A9" s="58" t="s">
        <v>306</v>
      </c>
      <c r="B9" s="66">
        <v>74.602999999999994</v>
      </c>
      <c r="C9" s="66">
        <v>4.3147000000000002</v>
      </c>
      <c r="D9" s="66">
        <v>5.78355</v>
      </c>
      <c r="E9" s="66">
        <v>50</v>
      </c>
      <c r="F9" s="66">
        <v>65.703199999999995</v>
      </c>
      <c r="G9" s="66">
        <v>100</v>
      </c>
      <c r="H9" s="66">
        <v>88.203100000000006</v>
      </c>
    </row>
    <row r="10" spans="1:8">
      <c r="A10" s="58" t="s">
        <v>307</v>
      </c>
      <c r="B10" s="66">
        <v>76.997500000000002</v>
      </c>
      <c r="C10" s="66">
        <v>2.4003700000000001</v>
      </c>
      <c r="D10" s="66">
        <v>3.11747</v>
      </c>
      <c r="E10" s="66">
        <v>40</v>
      </c>
      <c r="F10" s="66">
        <v>67.790899999999993</v>
      </c>
      <c r="G10" s="66">
        <v>100</v>
      </c>
      <c r="H10" s="66">
        <v>80.533299999999997</v>
      </c>
    </row>
    <row r="11" spans="1:8">
      <c r="A11" s="58" t="s">
        <v>308</v>
      </c>
      <c r="B11" s="66">
        <v>28.7087</v>
      </c>
      <c r="C11" s="66">
        <v>6.9979100000000001</v>
      </c>
      <c r="D11" s="66">
        <v>24.375599999999999</v>
      </c>
      <c r="E11" s="66">
        <v>10</v>
      </c>
      <c r="F11" s="66">
        <v>6.3954000000000004</v>
      </c>
      <c r="G11" s="66">
        <v>50</v>
      </c>
      <c r="H11" s="66">
        <v>35.199800000000003</v>
      </c>
    </row>
    <row r="12" spans="1:8">
      <c r="A12" s="58" t="s">
        <v>309</v>
      </c>
      <c r="B12" s="66">
        <v>75.781499999999994</v>
      </c>
      <c r="C12" s="66">
        <v>1.8346</v>
      </c>
      <c r="D12" s="66">
        <v>2.4209100000000001</v>
      </c>
      <c r="E12" s="66">
        <v>50</v>
      </c>
      <c r="F12" s="66">
        <v>71.298900000000003</v>
      </c>
      <c r="G12" s="66">
        <v>100</v>
      </c>
      <c r="H12" s="66">
        <v>81.0398</v>
      </c>
    </row>
    <row r="13" spans="1:8">
      <c r="A13" s="58" t="s">
        <v>310</v>
      </c>
      <c r="B13" s="66">
        <v>20.561699999999998</v>
      </c>
      <c r="C13" s="66">
        <v>3.2244999999999999</v>
      </c>
      <c r="D13" s="66">
        <v>15.6821</v>
      </c>
      <c r="E13" s="66">
        <v>10</v>
      </c>
      <c r="F13" s="66">
        <v>15.5397</v>
      </c>
      <c r="G13" s="66">
        <v>25</v>
      </c>
      <c r="H13" s="66">
        <v>32.563200000000002</v>
      </c>
    </row>
    <row r="14" spans="1:8">
      <c r="A14" s="58" t="s">
        <v>311</v>
      </c>
      <c r="B14" s="66">
        <v>32.244999999999997</v>
      </c>
      <c r="C14" s="66">
        <v>9.6773199999999999</v>
      </c>
      <c r="D14" s="66">
        <v>30.011800000000001</v>
      </c>
      <c r="E14" s="66">
        <v>10</v>
      </c>
      <c r="F14" s="66">
        <v>0.109628</v>
      </c>
      <c r="G14" s="66">
        <v>50</v>
      </c>
      <c r="H14" s="66">
        <v>36.446399999999997</v>
      </c>
    </row>
    <row r="15" spans="1:8">
      <c r="A15" s="58" t="s">
        <v>312</v>
      </c>
      <c r="B15" s="66">
        <v>3.1152300000000001E-2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-7.26802E-3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14.5067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0.46066400000000002</v>
      </c>
      <c r="C18" s="66">
        <v>7.8462699999999996E-2</v>
      </c>
      <c r="D18" s="66">
        <v>0.170325</v>
      </c>
      <c r="E18" s="66">
        <v>0</v>
      </c>
      <c r="F18" s="66">
        <v>0.38220199999999999</v>
      </c>
      <c r="G18" s="66">
        <v>0</v>
      </c>
      <c r="H18" s="66">
        <v>0.53912700000000002</v>
      </c>
    </row>
    <row r="19" spans="1:8">
      <c r="A19" s="58" t="s">
        <v>316</v>
      </c>
      <c r="B19" s="66">
        <v>0.52245399999999997</v>
      </c>
      <c r="C19" s="66">
        <v>1.7552499999999999E-2</v>
      </c>
      <c r="D19" s="66">
        <v>3.35962E-2</v>
      </c>
      <c r="E19" s="66">
        <v>0</v>
      </c>
      <c r="F19" s="66">
        <v>0.50490199999999996</v>
      </c>
      <c r="G19" s="66">
        <v>0</v>
      </c>
      <c r="H19" s="66">
        <v>0.54000700000000001</v>
      </c>
    </row>
    <row r="20" spans="1:8">
      <c r="A20" s="58" t="s">
        <v>317</v>
      </c>
      <c r="B20" s="66">
        <v>3.2149199999999999E-4</v>
      </c>
      <c r="C20" s="66">
        <v>1.26474E-2</v>
      </c>
      <c r="D20" s="66">
        <v>39.339599999999997</v>
      </c>
      <c r="E20" s="66">
        <v>0</v>
      </c>
      <c r="F20" s="196">
        <v>3.2555300000000003E-5</v>
      </c>
      <c r="G20" s="66">
        <v>0</v>
      </c>
      <c r="H20" s="66">
        <v>0.400841</v>
      </c>
    </row>
    <row r="21" spans="1:8">
      <c r="A21" s="58" t="s">
        <v>318</v>
      </c>
      <c r="B21" s="66">
        <v>5.4407200000000003E-2</v>
      </c>
      <c r="C21" s="66">
        <v>0.17130899999999999</v>
      </c>
      <c r="D21" s="66">
        <v>3.1486399999999999</v>
      </c>
      <c r="E21" s="66">
        <v>0</v>
      </c>
      <c r="F21" s="66">
        <v>1.14022E-4</v>
      </c>
      <c r="G21" s="66">
        <v>0</v>
      </c>
      <c r="H21" s="66">
        <v>1.3596900000000001</v>
      </c>
    </row>
    <row r="22" spans="1:8">
      <c r="A22" s="58" t="s">
        <v>319</v>
      </c>
      <c r="B22" s="66">
        <v>26.897400000000001</v>
      </c>
      <c r="C22" s="66">
        <v>7.6745000000000001</v>
      </c>
      <c r="D22" s="66">
        <v>0.285325</v>
      </c>
      <c r="E22" s="66">
        <v>0</v>
      </c>
      <c r="F22" s="66">
        <v>13.2646</v>
      </c>
      <c r="G22" s="66">
        <v>0</v>
      </c>
      <c r="H22" s="66">
        <v>63.140999999999998</v>
      </c>
    </row>
    <row r="23" spans="1:8">
      <c r="A23" s="58" t="s">
        <v>320</v>
      </c>
      <c r="B23" s="66">
        <v>12.8843</v>
      </c>
      <c r="C23" s="66">
        <v>2.0536500000000002</v>
      </c>
      <c r="D23" s="66">
        <v>0.159391</v>
      </c>
      <c r="E23" s="66">
        <v>0</v>
      </c>
      <c r="F23" s="66">
        <v>5.7742699999999996</v>
      </c>
      <c r="G23" s="66">
        <v>0</v>
      </c>
      <c r="H23" s="66">
        <v>14.0723</v>
      </c>
    </row>
    <row r="24" spans="1:8">
      <c r="A24" s="58" t="s">
        <v>321</v>
      </c>
      <c r="B24" s="66">
        <v>4.6508299999999998E-4</v>
      </c>
      <c r="C24" s="66">
        <v>7.0412399999999998E-3</v>
      </c>
      <c r="D24" s="66">
        <v>15.139699999999999</v>
      </c>
      <c r="E24" s="66">
        <v>0</v>
      </c>
      <c r="F24" s="66">
        <v>1.10192E-4</v>
      </c>
      <c r="G24" s="66">
        <v>0</v>
      </c>
      <c r="H24" s="66">
        <v>8.9252300000000007E-2</v>
      </c>
    </row>
    <row r="25" spans="1:8">
      <c r="A25" s="58" t="s">
        <v>322</v>
      </c>
      <c r="B25" s="66">
        <v>9.5361500000000002E-2</v>
      </c>
      <c r="C25" s="66">
        <v>7.1993600000000005E-2</v>
      </c>
      <c r="D25" s="66">
        <v>0.75495400000000001</v>
      </c>
      <c r="E25" s="66">
        <v>0</v>
      </c>
      <c r="F25" s="66">
        <v>2.2957600000000002E-2</v>
      </c>
      <c r="G25" s="66">
        <v>0</v>
      </c>
      <c r="H25" s="66">
        <v>0.32100600000000001</v>
      </c>
    </row>
    <row r="26" spans="1:8">
      <c r="A26" s="58" t="s">
        <v>323</v>
      </c>
      <c r="B26" s="66">
        <v>1.11607E-4</v>
      </c>
      <c r="C26" s="66">
        <v>9.2732600000000002E-4</v>
      </c>
      <c r="D26" s="66">
        <v>8.30884</v>
      </c>
      <c r="E26" s="66">
        <v>0</v>
      </c>
      <c r="F26" s="196">
        <v>6.5651299999999996E-6</v>
      </c>
      <c r="G26" s="66">
        <v>0</v>
      </c>
      <c r="H26" s="66">
        <v>2.26727E-2</v>
      </c>
    </row>
    <row r="27" spans="1:8">
      <c r="A27" s="58" t="s">
        <v>324</v>
      </c>
      <c r="B27" s="196">
        <v>-3.2825599999999999E-6</v>
      </c>
      <c r="C27" s="66">
        <v>7.5058700000000004E-4</v>
      </c>
      <c r="D27" s="66">
        <v>-228.65899999999999</v>
      </c>
      <c r="E27" s="66">
        <v>0</v>
      </c>
      <c r="F27" s="66">
        <v>-1.7817800000000002E-2</v>
      </c>
      <c r="G27" s="66">
        <v>0</v>
      </c>
      <c r="H27" s="66">
        <v>1.49751E-2</v>
      </c>
    </row>
    <row r="28" spans="1:8">
      <c r="A28" s="58" t="s">
        <v>325</v>
      </c>
      <c r="B28" s="66">
        <v>1.1712200000000001E-2</v>
      </c>
      <c r="C28" s="66">
        <v>2.0067499999999999E-2</v>
      </c>
      <c r="D28" s="66">
        <v>1.7133799999999999</v>
      </c>
      <c r="E28" s="66">
        <v>0</v>
      </c>
      <c r="F28" s="196">
        <v>4.5572899999999999E-5</v>
      </c>
      <c r="G28" s="66">
        <v>0</v>
      </c>
      <c r="H28" s="66">
        <v>0.14768200000000001</v>
      </c>
    </row>
    <row r="29" spans="1:8">
      <c r="A29" s="58" t="s">
        <v>326</v>
      </c>
      <c r="B29" s="66">
        <v>68.605000000000004</v>
      </c>
      <c r="C29" s="66">
        <v>11.527699999999999</v>
      </c>
      <c r="D29" s="66">
        <v>0.16803000000000001</v>
      </c>
      <c r="E29" s="66">
        <v>0</v>
      </c>
      <c r="F29" s="66">
        <v>40.004199999999997</v>
      </c>
      <c r="G29" s="66">
        <v>0</v>
      </c>
      <c r="H29" s="66">
        <v>95.475399999999993</v>
      </c>
    </row>
    <row r="30" spans="1:8">
      <c r="A30" s="58" t="s">
        <v>327</v>
      </c>
      <c r="B30" s="66">
        <v>22.261700000000001</v>
      </c>
      <c r="C30" s="66">
        <v>4.4654400000000001</v>
      </c>
      <c r="D30" s="66">
        <v>0.20058899999999999</v>
      </c>
      <c r="E30" s="66">
        <v>0</v>
      </c>
      <c r="F30" s="66">
        <v>8.7821300000000004</v>
      </c>
      <c r="G30" s="66">
        <v>0</v>
      </c>
      <c r="H30" s="66">
        <v>28.477</v>
      </c>
    </row>
    <row r="31" spans="1:8">
      <c r="A31" s="58" t="s">
        <v>328</v>
      </c>
      <c r="B31" s="66">
        <v>81.073599999999999</v>
      </c>
      <c r="C31" s="66">
        <v>21.964400000000001</v>
      </c>
      <c r="D31" s="66">
        <v>0.27091900000000002</v>
      </c>
      <c r="E31" s="66">
        <v>0</v>
      </c>
      <c r="F31" s="66">
        <v>19.4573</v>
      </c>
      <c r="G31" s="66">
        <v>0</v>
      </c>
      <c r="H31" s="66">
        <v>110.54</v>
      </c>
    </row>
    <row r="32" spans="1:8">
      <c r="A32" s="58" t="s">
        <v>329</v>
      </c>
      <c r="B32" s="66">
        <v>0.23144100000000001</v>
      </c>
      <c r="C32" s="66">
        <v>5.5469600000000001E-2</v>
      </c>
      <c r="D32" s="66">
        <v>0.239671</v>
      </c>
      <c r="E32" s="66">
        <v>0.15</v>
      </c>
      <c r="F32" s="66">
        <v>0.11992800000000001</v>
      </c>
      <c r="G32" s="66">
        <v>0.4</v>
      </c>
      <c r="H32" s="66">
        <v>0.425871</v>
      </c>
    </row>
    <row r="33" spans="1:8">
      <c r="A33" s="58" t="s">
        <v>330</v>
      </c>
      <c r="B33" s="66">
        <v>0.45117400000000002</v>
      </c>
      <c r="C33" s="66">
        <v>2.6184599999999999E-2</v>
      </c>
      <c r="D33" s="66">
        <v>5.8036600000000001E-2</v>
      </c>
      <c r="E33" s="66">
        <v>0</v>
      </c>
      <c r="F33" s="66">
        <v>0.41153000000000001</v>
      </c>
      <c r="G33" s="66">
        <v>0</v>
      </c>
      <c r="H33" s="66">
        <v>0.52879500000000002</v>
      </c>
    </row>
    <row r="34" spans="1:8">
      <c r="A34" s="58" t="s">
        <v>331</v>
      </c>
      <c r="B34" s="66">
        <v>0.20561699999999999</v>
      </c>
      <c r="C34" s="66">
        <v>3.2245000000000003E-2</v>
      </c>
      <c r="D34" s="66">
        <v>0.15682099999999999</v>
      </c>
      <c r="E34" s="66">
        <v>0.1</v>
      </c>
      <c r="F34" s="66">
        <v>0.15539700000000001</v>
      </c>
      <c r="G34" s="66">
        <v>0.25</v>
      </c>
      <c r="H34" s="66">
        <v>0.32563199999999998</v>
      </c>
    </row>
    <row r="35" spans="1:8">
      <c r="A35" s="58" t="s">
        <v>332</v>
      </c>
      <c r="B35" s="66">
        <v>8.8940599999999995E-2</v>
      </c>
      <c r="C35" s="66">
        <v>2.2953999999999999E-2</v>
      </c>
      <c r="D35" s="66">
        <v>0.25808300000000001</v>
      </c>
      <c r="E35" s="66">
        <v>0</v>
      </c>
      <c r="F35" s="66">
        <v>3.5521499999999998E-2</v>
      </c>
      <c r="G35" s="66">
        <v>0</v>
      </c>
      <c r="H35" s="66">
        <v>0.137958</v>
      </c>
    </row>
    <row r="36" spans="1:8">
      <c r="A36" s="58" t="s">
        <v>333</v>
      </c>
      <c r="B36" s="66">
        <v>0.184201</v>
      </c>
      <c r="C36" s="66">
        <v>9.7978499999999996E-2</v>
      </c>
      <c r="D36" s="66">
        <v>0.53190999999999999</v>
      </c>
      <c r="E36" s="66">
        <v>0</v>
      </c>
      <c r="F36" s="66">
        <v>4.2029799999999999E-2</v>
      </c>
      <c r="G36" s="66">
        <v>0</v>
      </c>
      <c r="H36" s="66">
        <v>0.50425799999999998</v>
      </c>
    </row>
    <row r="37" spans="1:8">
      <c r="A37" s="58" t="s">
        <v>334</v>
      </c>
      <c r="B37" s="66">
        <v>0.32245000000000001</v>
      </c>
      <c r="C37" s="66">
        <v>9.6773200000000004E-2</v>
      </c>
      <c r="D37" s="66">
        <v>0.300118</v>
      </c>
      <c r="E37" s="66">
        <v>0.1</v>
      </c>
      <c r="F37" s="66">
        <v>1.09628E-3</v>
      </c>
      <c r="G37" s="66">
        <v>0.5</v>
      </c>
      <c r="H37" s="66">
        <v>0.36446400000000001</v>
      </c>
    </row>
    <row r="38" spans="1:8">
      <c r="A38" s="58" t="s">
        <v>335</v>
      </c>
      <c r="B38" s="66">
        <v>-13.513199999999999</v>
      </c>
      <c r="C38" s="66">
        <v>32.661799999999999</v>
      </c>
      <c r="D38" s="66">
        <v>-2.4170199999999999</v>
      </c>
      <c r="E38" s="66">
        <v>0</v>
      </c>
      <c r="F38" s="66">
        <v>-106.181</v>
      </c>
      <c r="G38" s="66">
        <v>0</v>
      </c>
      <c r="H38" s="66">
        <v>225.60400000000001</v>
      </c>
    </row>
    <row r="39" spans="1:8">
      <c r="A39" s="58" t="s">
        <v>336</v>
      </c>
      <c r="B39" s="66">
        <v>-5.66465</v>
      </c>
      <c r="C39" s="66">
        <v>3.66126</v>
      </c>
      <c r="D39" s="66">
        <v>-0.64633399999999996</v>
      </c>
      <c r="E39" s="66">
        <v>0</v>
      </c>
      <c r="F39" s="66">
        <v>-15.2454</v>
      </c>
      <c r="G39" s="66">
        <v>0</v>
      </c>
      <c r="H39" s="66">
        <v>13.485200000000001</v>
      </c>
    </row>
    <row r="40" spans="1:8">
      <c r="A40" s="58" t="s">
        <v>337</v>
      </c>
      <c r="B40" s="66">
        <v>-2.4954299999999998</v>
      </c>
      <c r="C40" s="66">
        <v>0.76782399999999995</v>
      </c>
      <c r="D40" s="66">
        <v>-0.30769200000000002</v>
      </c>
      <c r="E40" s="66">
        <v>0</v>
      </c>
      <c r="F40" s="66">
        <v>-4.4698099999999998</v>
      </c>
      <c r="G40" s="66">
        <v>0</v>
      </c>
      <c r="H40" s="66">
        <v>-1.6114200000000001</v>
      </c>
    </row>
    <row r="41" spans="1:8">
      <c r="A41" s="58" t="s">
        <v>338</v>
      </c>
      <c r="B41" s="66">
        <v>-0.232404</v>
      </c>
      <c r="C41" s="66">
        <v>0.34543400000000002</v>
      </c>
      <c r="D41" s="66">
        <v>-1.4863500000000001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-0.21721499999999999</v>
      </c>
      <c r="C42" s="66">
        <v>0.119793</v>
      </c>
      <c r="D42" s="66">
        <v>-0.55149700000000001</v>
      </c>
      <c r="E42" s="66">
        <v>0</v>
      </c>
      <c r="F42" s="66">
        <v>-0.53782600000000003</v>
      </c>
      <c r="G42" s="66">
        <v>0</v>
      </c>
      <c r="H42" s="66">
        <v>0.213115</v>
      </c>
    </row>
    <row r="43" spans="1:8">
      <c r="A43" s="58" t="s">
        <v>340</v>
      </c>
      <c r="B43" s="66">
        <v>-0.17940900000000001</v>
      </c>
      <c r="C43" s="66">
        <v>8.0543500000000004E-2</v>
      </c>
      <c r="D43" s="66">
        <v>-0.448938</v>
      </c>
      <c r="E43" s="66">
        <v>0</v>
      </c>
      <c r="F43" s="66">
        <v>-0.396617</v>
      </c>
      <c r="G43" s="66">
        <v>0</v>
      </c>
      <c r="H43" s="66">
        <v>-0.125052</v>
      </c>
    </row>
    <row r="44" spans="1:8">
      <c r="A44" s="58" t="s">
        <v>341</v>
      </c>
      <c r="B44" s="66">
        <v>-3.2399200000000001</v>
      </c>
      <c r="C44" s="66">
        <v>9.2302</v>
      </c>
      <c r="D44" s="66">
        <v>-2.8489</v>
      </c>
      <c r="E44" s="66">
        <v>0</v>
      </c>
      <c r="F44" s="66">
        <v>-30.493500000000001</v>
      </c>
      <c r="G44" s="66">
        <v>0</v>
      </c>
      <c r="H44" s="66">
        <v>1.22763</v>
      </c>
    </row>
    <row r="45" spans="1:8">
      <c r="A45" s="58" t="s">
        <v>342</v>
      </c>
      <c r="B45" s="66">
        <v>52.261899999999997</v>
      </c>
      <c r="C45" s="66">
        <v>8.6136400000000002</v>
      </c>
      <c r="D45" s="66">
        <v>0.16481699999999999</v>
      </c>
      <c r="E45" s="66">
        <v>0</v>
      </c>
      <c r="F45" s="66">
        <v>33.3688</v>
      </c>
      <c r="G45" s="66">
        <v>0</v>
      </c>
      <c r="H45" s="66">
        <v>82.787899999999993</v>
      </c>
    </row>
    <row r="46" spans="1:8">
      <c r="A46" s="58" t="s">
        <v>343</v>
      </c>
      <c r="B46" s="66">
        <v>35.734999999999999</v>
      </c>
      <c r="C46" s="66">
        <v>8.2775099999999995</v>
      </c>
      <c r="D46" s="66">
        <v>0.23163600000000001</v>
      </c>
      <c r="E46" s="66">
        <v>0</v>
      </c>
      <c r="F46" s="66">
        <v>7.9265999999999996</v>
      </c>
      <c r="G46" s="66">
        <v>0</v>
      </c>
      <c r="H46" s="66">
        <v>42.8523</v>
      </c>
    </row>
    <row r="47" spans="1:8">
      <c r="A47" s="58" t="s">
        <v>344</v>
      </c>
      <c r="B47" s="66">
        <v>1.0311699999999999</v>
      </c>
      <c r="C47" s="66">
        <v>0.48433999999999999</v>
      </c>
      <c r="D47" s="66">
        <v>0.46969899999999998</v>
      </c>
      <c r="E47" s="66">
        <v>0</v>
      </c>
      <c r="F47" s="66">
        <v>0.32714199999999999</v>
      </c>
      <c r="G47" s="66">
        <v>0</v>
      </c>
      <c r="H47" s="66">
        <v>3.80871</v>
      </c>
    </row>
    <row r="48" spans="1:8">
      <c r="A48" s="58" t="s">
        <v>345</v>
      </c>
      <c r="B48" s="66">
        <v>1.2022299999999999</v>
      </c>
      <c r="C48" s="66">
        <v>0.101619</v>
      </c>
      <c r="D48" s="66">
        <v>8.4525500000000003E-2</v>
      </c>
      <c r="E48" s="66">
        <v>0</v>
      </c>
      <c r="F48" s="66">
        <v>0.89658099999999996</v>
      </c>
      <c r="G48" s="66">
        <v>0</v>
      </c>
      <c r="H48" s="66">
        <v>1.43445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5.593599999999995</v>
      </c>
      <c r="C5" s="66">
        <f>'M2'!C5-'M1'!C5</f>
        <v>-9.5056900000000013</v>
      </c>
      <c r="D5" s="66">
        <f>'M2'!D5-'M1'!D5</f>
        <v>-23.463740000000001</v>
      </c>
      <c r="E5" s="66">
        <f>'M2'!E5-'M1'!E5</f>
        <v>0</v>
      </c>
      <c r="F5" s="66">
        <f>'M2'!F5-'M1'!F5</f>
        <v>32.30444</v>
      </c>
      <c r="G5" s="66">
        <f>'M2'!G5-'M1'!G5</f>
        <v>0</v>
      </c>
      <c r="H5" s="66">
        <f>'M2'!H5-'M1'!H5</f>
        <v>1.4777999999999949</v>
      </c>
    </row>
    <row r="6" spans="1:8">
      <c r="A6" s="66" t="s">
        <v>244</v>
      </c>
      <c r="B6" s="66">
        <f>'M2'!B6-'M1'!B6</f>
        <v>-1.6017999999999972</v>
      </c>
      <c r="C6" s="66">
        <f>'M2'!C6-'M1'!C6</f>
        <v>-0.17703999999999986</v>
      </c>
      <c r="D6" s="66">
        <f>'M2'!D6-'M1'!D6</f>
        <v>-0.36315999999999971</v>
      </c>
      <c r="E6" s="66">
        <f>'M2'!E6-'M1'!E6</f>
        <v>0</v>
      </c>
      <c r="F6" s="66">
        <f>'M2'!F6-'M1'!F6</f>
        <v>-0.41290000000000049</v>
      </c>
      <c r="G6" s="66">
        <f>'M2'!G6-'M1'!G6</f>
        <v>0</v>
      </c>
      <c r="H6" s="66">
        <f>'M2'!H6-'M1'!H6</f>
        <v>-2.2720000000000056</v>
      </c>
    </row>
    <row r="7" spans="1:8">
      <c r="A7" s="66" t="s">
        <v>245</v>
      </c>
      <c r="B7" s="66">
        <f>'M2'!B7-'M1'!B7</f>
        <v>-0.13109999999999999</v>
      </c>
      <c r="C7" s="66">
        <f>'M2'!C7-'M1'!C7</f>
        <v>2.6317399999999997</v>
      </c>
      <c r="D7" s="66">
        <f>'M2'!D7-'M1'!D7</f>
        <v>11.499300000000002</v>
      </c>
      <c r="E7" s="66">
        <f>'M2'!E7-'M1'!E7</f>
        <v>0</v>
      </c>
      <c r="F7" s="66">
        <f>'M2'!F7-'M1'!F7</f>
        <v>-5.8118999999999996</v>
      </c>
      <c r="G7" s="66">
        <f>'M2'!G7-'M1'!G7</f>
        <v>0</v>
      </c>
      <c r="H7" s="66">
        <f>'M2'!H7-'M1'!H7</f>
        <v>5.5679000000000016</v>
      </c>
    </row>
    <row r="8" spans="1:8">
      <c r="A8" s="66" t="s">
        <v>246</v>
      </c>
      <c r="B8" s="66">
        <f>'M2'!B8-'M1'!B8</f>
        <v>1.9577000000000027</v>
      </c>
      <c r="C8" s="66">
        <f>'M2'!C8-'M1'!C8</f>
        <v>-2.40998</v>
      </c>
      <c r="D8" s="66">
        <f>'M2'!D8-'M1'!D8</f>
        <v>-7.9679599999999997</v>
      </c>
      <c r="E8" s="66">
        <f>'M2'!E8-'M1'!E8</f>
        <v>0</v>
      </c>
      <c r="F8" s="66">
        <f>'M2'!F8-'M1'!F8</f>
        <v>10.3657</v>
      </c>
      <c r="G8" s="66">
        <f>'M2'!G8-'M1'!G8</f>
        <v>0</v>
      </c>
      <c r="H8" s="66">
        <f>'M2'!H8-'M1'!H8</f>
        <v>2.411999999999999</v>
      </c>
    </row>
    <row r="9" spans="1:8">
      <c r="A9" s="66" t="s">
        <v>247</v>
      </c>
      <c r="B9" s="66">
        <f>'M2'!B9-'M1'!B9</f>
        <v>0.18889999999998963</v>
      </c>
      <c r="C9" s="66">
        <f>'M2'!C9-'M1'!C9</f>
        <v>-1.8660900000000002</v>
      </c>
      <c r="D9" s="66">
        <f>'M2'!D9-'M1'!D9</f>
        <v>-2.5150699999999997</v>
      </c>
      <c r="E9" s="66">
        <f>'M2'!E9-'M1'!E9</f>
        <v>0</v>
      </c>
      <c r="F9" s="66">
        <f>'M2'!F9-'M1'!F9</f>
        <v>-2.2208000000000112</v>
      </c>
      <c r="G9" s="66">
        <f>'M2'!G9-'M1'!G9</f>
        <v>0</v>
      </c>
      <c r="H9" s="66">
        <f>'M2'!H9-'M1'!H9</f>
        <v>-7.5135000000000076</v>
      </c>
    </row>
    <row r="10" spans="1:8">
      <c r="A10" s="66" t="s">
        <v>248</v>
      </c>
      <c r="B10" s="66">
        <f>'M2'!B10-'M1'!B10</f>
        <v>-0.27019999999998845</v>
      </c>
      <c r="C10" s="66">
        <f>'M2'!C10-'M1'!C10</f>
        <v>-0.65331000000000028</v>
      </c>
      <c r="D10" s="66">
        <f>'M2'!D10-'M1'!D10</f>
        <v>-0.83799000000000001</v>
      </c>
      <c r="E10" s="66">
        <f>'M2'!E10-'M1'!E10</f>
        <v>0</v>
      </c>
      <c r="F10" s="66">
        <f>'M2'!F10-'M1'!F10</f>
        <v>4.4294000000000011</v>
      </c>
      <c r="G10" s="66">
        <f>'M2'!G10-'M1'!G10</f>
        <v>0</v>
      </c>
      <c r="H10" s="66">
        <f>'M2'!H10-'M1'!H10</f>
        <v>-1.2801999999999936</v>
      </c>
    </row>
    <row r="11" spans="1:8">
      <c r="A11" s="66" t="s">
        <v>249</v>
      </c>
      <c r="B11" s="66">
        <f>'M2'!B11-'M1'!B11</f>
        <v>5.8047000000000004</v>
      </c>
      <c r="C11" s="66">
        <f>'M2'!C11-'M1'!C11</f>
        <v>-4.9498999999999995</v>
      </c>
      <c r="D11" s="66">
        <f>'M2'!D11-'M1'!D11</f>
        <v>-21.240469999999998</v>
      </c>
      <c r="E11" s="66">
        <f>'M2'!E11-'M1'!E11</f>
        <v>0</v>
      </c>
      <c r="F11" s="66">
        <f>'M2'!F11-'M1'!F11</f>
        <v>20.066299999999998</v>
      </c>
      <c r="G11" s="66">
        <f>'M2'!G11-'M1'!G11</f>
        <v>0</v>
      </c>
      <c r="H11" s="66">
        <f>'M2'!H11-'M1'!H11</f>
        <v>4.7263000000000019</v>
      </c>
    </row>
    <row r="12" spans="1:8">
      <c r="A12" s="66" t="s">
        <v>250</v>
      </c>
      <c r="B12" s="66">
        <f>'M2'!B12-'M1'!B12</f>
        <v>-0.95789999999999509</v>
      </c>
      <c r="C12" s="66">
        <f>'M2'!C12-'M1'!C12</f>
        <v>0.18445</v>
      </c>
      <c r="D12" s="66">
        <f>'M2'!D12-'M1'!D12</f>
        <v>0.27324000000000037</v>
      </c>
      <c r="E12" s="66">
        <f>'M2'!E12-'M1'!E12</f>
        <v>0</v>
      </c>
      <c r="F12" s="66">
        <f>'M2'!F12-'M1'!F12</f>
        <v>-1.113900000000001</v>
      </c>
      <c r="G12" s="66">
        <f>'M2'!G12-'M1'!G12</f>
        <v>0</v>
      </c>
      <c r="H12" s="66">
        <f>'M2'!H12-'M1'!H12</f>
        <v>-1.1854000000000013</v>
      </c>
    </row>
    <row r="13" spans="1:8">
      <c r="A13" s="66" t="s">
        <v>251</v>
      </c>
      <c r="B13" s="66">
        <f>'M2'!B13-'M1'!B13</f>
        <v>1.3088000000000015</v>
      </c>
      <c r="C13" s="66">
        <f>'M2'!C13-'M1'!C13</f>
        <v>1.62723</v>
      </c>
      <c r="D13" s="66">
        <f>'M2'!D13-'M1'!D13</f>
        <v>6.9439999999999991</v>
      </c>
      <c r="E13" s="66">
        <f>'M2'!E13-'M1'!E13</f>
        <v>0</v>
      </c>
      <c r="F13" s="66">
        <f>'M2'!F13-'M1'!F13</f>
        <v>-0.42800000000000082</v>
      </c>
      <c r="G13" s="66">
        <f>'M2'!G13-'M1'!G13</f>
        <v>0</v>
      </c>
      <c r="H13" s="66">
        <f>'M2'!H13-'M1'!H13</f>
        <v>7.5178000000000011</v>
      </c>
    </row>
    <row r="14" spans="1:8">
      <c r="A14" s="66" t="s">
        <v>252</v>
      </c>
      <c r="B14" s="66">
        <f>'M2'!B14-'M1'!B14</f>
        <v>16.272299999999998</v>
      </c>
      <c r="C14" s="66">
        <f>'M2'!C14-'M1'!C14</f>
        <v>3.16174</v>
      </c>
      <c r="D14" s="66">
        <f>'M2'!D14-'M1'!D14</f>
        <v>-5.5238000000000014</v>
      </c>
      <c r="E14" s="66">
        <f>'M2'!E14-'M1'!E14</f>
        <v>0</v>
      </c>
      <c r="F14" s="66">
        <f>'M2'!F14-'M1'!F14</f>
        <v>3.3006320000000002</v>
      </c>
      <c r="G14" s="66">
        <f>'M2'!G14-'M1'!G14</f>
        <v>0</v>
      </c>
      <c r="H14" s="66">
        <f>'M2'!H14-'M1'!H14</f>
        <v>8.5929999999999964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-5.7729999999999726E-3</v>
      </c>
      <c r="C18" s="66">
        <f>'M2'!C18-'M1'!C18</f>
        <v>7.8462699999999996E-2</v>
      </c>
      <c r="D18" s="66">
        <f>'M2'!D18-'M1'!D18</f>
        <v>0.170325</v>
      </c>
      <c r="E18" s="66">
        <f>'M2'!E18-'M1'!E18</f>
        <v>0</v>
      </c>
      <c r="F18" s="66">
        <f>'M2'!F18-'M1'!F18</f>
        <v>0.38220199999999999</v>
      </c>
      <c r="G18" s="66">
        <f>'M2'!G18-'M1'!G18</f>
        <v>0</v>
      </c>
      <c r="H18" s="66">
        <f>'M2'!H18-'M1'!H18</f>
        <v>0.53912700000000002</v>
      </c>
    </row>
    <row r="19" spans="1:8">
      <c r="A19" s="66" t="s">
        <v>256</v>
      </c>
      <c r="B19" s="66">
        <f>'M2'!B19-'M1'!B19</f>
        <v>5.6784000000000001E-2</v>
      </c>
      <c r="C19" s="66">
        <f>'M2'!C19-'M1'!C19</f>
        <v>1.7552499999999999E-2</v>
      </c>
      <c r="D19" s="66">
        <f>'M2'!D19-'M1'!D19</f>
        <v>3.35962E-2</v>
      </c>
      <c r="E19" s="66">
        <f>'M2'!E19-'M1'!E19</f>
        <v>0</v>
      </c>
      <c r="F19" s="66">
        <f>'M2'!F19-'M1'!F19</f>
        <v>0.50490199999999996</v>
      </c>
      <c r="G19" s="66">
        <f>'M2'!G19-'M1'!G19</f>
        <v>0</v>
      </c>
      <c r="H19" s="66">
        <f>'M2'!H19-'M1'!H19</f>
        <v>0.54000700000000001</v>
      </c>
    </row>
    <row r="20" spans="1:8">
      <c r="A20" s="66" t="s">
        <v>63</v>
      </c>
      <c r="B20" s="66">
        <f>'M2'!B20-'M1'!B20</f>
        <v>1.9657000000000019E-5</v>
      </c>
      <c r="C20" s="66">
        <f>'M2'!C20-'M1'!C20</f>
        <v>1.4672409999999999E-2</v>
      </c>
      <c r="D20" s="66">
        <f>'M2'!D20-'M1'!D20</f>
        <v>43.363780000000006</v>
      </c>
      <c r="E20" s="66">
        <f>'M2'!E20-'M1'!E20</f>
        <v>0</v>
      </c>
      <c r="F20" s="66">
        <f>'M2'!F20-'M1'!F20</f>
        <v>-1.5189999999999968E-6</v>
      </c>
      <c r="G20" s="66">
        <f>'M2'!G20-'M1'!G20</f>
        <v>0</v>
      </c>
      <c r="H20" s="66">
        <f>'M2'!H20-'M1'!H20</f>
        <v>0.35482360000000002</v>
      </c>
    </row>
    <row r="21" spans="1:8">
      <c r="A21" s="66" t="s">
        <v>64</v>
      </c>
      <c r="B21" s="66">
        <f>'M2'!B21-'M1'!B21</f>
        <v>7.2513999999999981E-3</v>
      </c>
      <c r="C21" s="66">
        <f>'M2'!C21-'M1'!C21</f>
        <v>8.2014999999999991E-2</v>
      </c>
      <c r="D21" s="66">
        <f>'M2'!D21-'M1'!D21</f>
        <v>1.11443</v>
      </c>
      <c r="E21" s="66">
        <f>'M2'!E21-'M1'!E21</f>
        <v>0</v>
      </c>
      <c r="F21" s="66">
        <f>'M2'!F21-'M1'!F21</f>
        <v>1.5835599999999999E-4</v>
      </c>
      <c r="G21" s="66">
        <f>'M2'!G21-'M1'!G21</f>
        <v>0</v>
      </c>
      <c r="H21" s="66">
        <f>'M2'!H21-'M1'!H21</f>
        <v>0.68863400000000008</v>
      </c>
    </row>
    <row r="22" spans="1:8">
      <c r="A22" s="66" t="s">
        <v>65</v>
      </c>
      <c r="B22" s="66">
        <f>'M2'!B22-'M1'!B22</f>
        <v>3.801400000000001</v>
      </c>
      <c r="C22" s="66">
        <f>'M2'!C22-'M1'!C22</f>
        <v>2.6041000000000007</v>
      </c>
      <c r="D22" s="66">
        <f>'M2'!D22-'M1'!D22</f>
        <v>5.8564999999999978E-2</v>
      </c>
      <c r="E22" s="66">
        <f>'M2'!E22-'M1'!E22</f>
        <v>0</v>
      </c>
      <c r="F22" s="66">
        <f>'M2'!F22-'M1'!F22</f>
        <v>0.47860000000000014</v>
      </c>
      <c r="G22" s="66">
        <f>'M2'!G22-'M1'!G22</f>
        <v>0</v>
      </c>
      <c r="H22" s="66">
        <f>'M2'!H22-'M1'!H22</f>
        <v>20.606200000000001</v>
      </c>
    </row>
    <row r="23" spans="1:8">
      <c r="A23" s="66" t="s">
        <v>66</v>
      </c>
      <c r="B23" s="66">
        <f>'M2'!B23-'M1'!B23</f>
        <v>0.56400000000000006</v>
      </c>
      <c r="C23" s="66">
        <f>'M2'!C23-'M1'!C23</f>
        <v>-1.4466700000000001</v>
      </c>
      <c r="D23" s="66">
        <f>'M2'!D23-'M1'!D23</f>
        <v>-0.11931989999999999</v>
      </c>
      <c r="E23" s="66">
        <f>'M2'!E23-'M1'!E23</f>
        <v>0</v>
      </c>
      <c r="F23" s="66">
        <f>'M2'!F23-'M1'!F23</f>
        <v>5.0775300000000012</v>
      </c>
      <c r="G23" s="66">
        <f>'M2'!G23-'M1'!G23</f>
        <v>0</v>
      </c>
      <c r="H23" s="66">
        <f>'M2'!H23-'M1'!H23</f>
        <v>-1.2399999999999523E-2</v>
      </c>
    </row>
    <row r="24" spans="1:8">
      <c r="A24" s="66" t="s">
        <v>67</v>
      </c>
      <c r="B24" s="66">
        <f>'M2'!B24-'M1'!B24</f>
        <v>4.5219999999999679E-6</v>
      </c>
      <c r="C24" s="66">
        <f>'M2'!C24-'M1'!C24</f>
        <v>8.1708400000000004E-3</v>
      </c>
      <c r="D24" s="66">
        <f>'M2'!D24-'M1'!D24</f>
        <v>17.373390000000001</v>
      </c>
      <c r="E24" s="66">
        <f>'M2'!E24-'M1'!E24</f>
        <v>0</v>
      </c>
      <c r="F24" s="66">
        <f>'M2'!F24-'M1'!F24</f>
        <v>-1.7578999999999989E-5</v>
      </c>
      <c r="G24" s="66">
        <f>'M2'!G24-'M1'!G24</f>
        <v>0</v>
      </c>
      <c r="H24" s="66">
        <f>'M2'!H24-'M1'!H24</f>
        <v>7.7594600000000014E-2</v>
      </c>
    </row>
    <row r="25" spans="1:8">
      <c r="A25" s="66" t="s">
        <v>68</v>
      </c>
      <c r="B25" s="66">
        <f>'M2'!B25-'M1'!B25</f>
        <v>4.9328699999999989E-2</v>
      </c>
      <c r="C25" s="66">
        <f>'M2'!C25-'M1'!C25</f>
        <v>1.2316400000000005E-2</v>
      </c>
      <c r="D25" s="66">
        <f>'M2'!D25-'M1'!D25</f>
        <v>-0.17924200000000001</v>
      </c>
      <c r="E25" s="66">
        <f>'M2'!E25-'M1'!E25</f>
        <v>0</v>
      </c>
      <c r="F25" s="66">
        <f>'M2'!F25-'M1'!F25</f>
        <v>1.8077999999999983E-3</v>
      </c>
      <c r="G25" s="66">
        <f>'M2'!G25-'M1'!G25</f>
        <v>0</v>
      </c>
      <c r="H25" s="66">
        <f>'M2'!H25-'M1'!H25</f>
        <v>-2.4177000000000004E-2</v>
      </c>
    </row>
    <row r="26" spans="1:8">
      <c r="A26" s="66" t="s">
        <v>69</v>
      </c>
      <c r="B26" s="66">
        <f>'M2'!B26-'M1'!B26</f>
        <v>6.5650000000000024E-6</v>
      </c>
      <c r="C26" s="66">
        <f>'M2'!C26-'M1'!C26</f>
        <v>6.7778400000000007E-4</v>
      </c>
      <c r="D26" s="66">
        <f>'M2'!D26-'M1'!D26</f>
        <v>5.6238200000000003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1.6383310000000002E-2</v>
      </c>
    </row>
    <row r="27" spans="1:8">
      <c r="A27" s="66" t="s">
        <v>70</v>
      </c>
      <c r="B27" s="66">
        <f>'M2'!B27-'M1'!B27</f>
        <v>-3.2825599999999999E-6</v>
      </c>
      <c r="C27" s="66">
        <f>'M2'!C27-'M1'!C27</f>
        <v>6.6150699999999998E-4</v>
      </c>
      <c r="D27" s="66">
        <f>'M2'!D27-'M1'!D27</f>
        <v>-306.42599999999999</v>
      </c>
      <c r="E27" s="66">
        <f>'M2'!E27-'M1'!E27</f>
        <v>0</v>
      </c>
      <c r="F27" s="66">
        <f>'M2'!F27-'M1'!F27</f>
        <v>-1.4174160000000002E-2</v>
      </c>
      <c r="G27" s="66">
        <f>'M2'!G27-'M1'!G27</f>
        <v>0</v>
      </c>
      <c r="H27" s="66">
        <f>'M2'!H27-'M1'!H27</f>
        <v>1.1324890000000001E-2</v>
      </c>
    </row>
    <row r="28" spans="1:8">
      <c r="A28" s="66" t="s">
        <v>71</v>
      </c>
      <c r="B28" s="66">
        <f>'M2'!B28-'M1'!B28</f>
        <v>6.1680000000000068E-4</v>
      </c>
      <c r="C28" s="66">
        <f>'M2'!C28-'M1'!C28</f>
        <v>7.6557000000000014E-3</v>
      </c>
      <c r="D28" s="66">
        <f>'M2'!D28-'M1'!D28</f>
        <v>0.56830000000000003</v>
      </c>
      <c r="E28" s="66">
        <f>'M2'!E28-'M1'!E28</f>
        <v>0</v>
      </c>
      <c r="F28" s="66">
        <f>'M2'!F28-'M1'!F28</f>
        <v>3.9062500000000008E-5</v>
      </c>
      <c r="G28" s="66">
        <f>'M2'!G28-'M1'!G28</f>
        <v>0</v>
      </c>
      <c r="H28" s="66">
        <f>'M2'!H28-'M1'!H28</f>
        <v>7.2610400000000005E-2</v>
      </c>
    </row>
    <row r="29" spans="1:8">
      <c r="A29" s="66" t="s">
        <v>72</v>
      </c>
      <c r="B29" s="66">
        <f>'M2'!B29-'M1'!B29</f>
        <v>2.0430000000000064</v>
      </c>
      <c r="C29" s="66">
        <f>'M2'!C29-'M1'!C29</f>
        <v>2.1788000000000007</v>
      </c>
      <c r="D29" s="66">
        <f>'M2'!D29-'M1'!D29</f>
        <v>2.6587E-2</v>
      </c>
      <c r="E29" s="66">
        <f>'M2'!E29-'M1'!E29</f>
        <v>0</v>
      </c>
      <c r="F29" s="66">
        <f>'M2'!F29-'M1'!F29</f>
        <v>-2.815800000000003</v>
      </c>
      <c r="G29" s="66">
        <f>'M2'!G29-'M1'!G29</f>
        <v>0</v>
      </c>
      <c r="H29" s="66">
        <f>'M2'!H29-'M1'!H29</f>
        <v>2.325499999999991</v>
      </c>
    </row>
    <row r="30" spans="1:8">
      <c r="A30" s="66" t="s">
        <v>73</v>
      </c>
      <c r="B30" s="66">
        <f>'M2'!B30-'M1'!B30</f>
        <v>-0.91960000000000264</v>
      </c>
      <c r="C30" s="66">
        <f>'M2'!C30-'M1'!C30</f>
        <v>-2.2304600000000003</v>
      </c>
      <c r="D30" s="66">
        <f>'M2'!D30-'M1'!D30</f>
        <v>-9.1216000000000019E-2</v>
      </c>
      <c r="E30" s="66">
        <f>'M2'!E30-'M1'!E30</f>
        <v>0</v>
      </c>
      <c r="F30" s="66">
        <f>'M2'!F30-'M1'!F30</f>
        <v>10.985269999999998</v>
      </c>
      <c r="G30" s="66">
        <f>'M2'!G30-'M1'!G30</f>
        <v>0</v>
      </c>
      <c r="H30" s="66">
        <f>'M2'!H30-'M1'!H30</f>
        <v>1.7045999999999992</v>
      </c>
    </row>
    <row r="31" spans="1:8">
      <c r="A31" s="66" t="s">
        <v>74</v>
      </c>
      <c r="B31" s="66">
        <f>'M2'!B31-'M1'!B31</f>
        <v>17.828199999999995</v>
      </c>
      <c r="C31" s="66">
        <f>'M2'!C31-'M1'!C31</f>
        <v>-10.313060000000002</v>
      </c>
      <c r="D31" s="66">
        <f>'M2'!D31-'M1'!D31</f>
        <v>-0.17017299999999996</v>
      </c>
      <c r="E31" s="66">
        <f>'M2'!E31-'M1'!E31</f>
        <v>0</v>
      </c>
      <c r="F31" s="66">
        <f>'M2'!F31-'M1'!F31</f>
        <v>56.246799999999993</v>
      </c>
      <c r="G31" s="66">
        <f>'M2'!G31-'M1'!G31</f>
        <v>0</v>
      </c>
      <c r="H31" s="66">
        <f>'M2'!H31-'M1'!H31</f>
        <v>26.203700000000012</v>
      </c>
    </row>
    <row r="32" spans="1:8">
      <c r="A32" s="66" t="s">
        <v>75</v>
      </c>
      <c r="B32" s="66">
        <f>'M2'!B32-'M1'!B32</f>
        <v>-1.3109999999999788E-3</v>
      </c>
      <c r="C32" s="66">
        <f>'M2'!C32-'M1'!C32</f>
        <v>2.6317399999999998E-2</v>
      </c>
      <c r="D32" s="66">
        <f>'M2'!D32-'M1'!D32</f>
        <v>0.11499299999999998</v>
      </c>
      <c r="E32" s="66">
        <f>'M2'!E32-'M1'!E32</f>
        <v>0</v>
      </c>
      <c r="F32" s="66">
        <f>'M2'!F32-'M1'!F32</f>
        <v>-5.8119000000000004E-2</v>
      </c>
      <c r="G32" s="66">
        <f>'M2'!G32-'M1'!G32</f>
        <v>0</v>
      </c>
      <c r="H32" s="66">
        <f>'M2'!H32-'M1'!H32</f>
        <v>5.5678999999999979E-2</v>
      </c>
    </row>
    <row r="33" spans="1:8">
      <c r="A33" s="66" t="s">
        <v>76</v>
      </c>
      <c r="B33" s="66">
        <f>'M2'!B33-'M1'!B33</f>
        <v>3.3754999999999979E-2</v>
      </c>
      <c r="C33" s="66">
        <f>'M2'!C33-'M1'!C33</f>
        <v>6.6049999999999998E-3</v>
      </c>
      <c r="D33" s="66">
        <f>'M2'!D33-'M1'!D33</f>
        <v>1.1509100000000001E-2</v>
      </c>
      <c r="E33" s="66">
        <f>'M2'!E33-'M1'!E33</f>
        <v>0</v>
      </c>
      <c r="F33" s="66">
        <f>'M2'!F33-'M1'!F33</f>
        <v>1.6633000000000009E-2</v>
      </c>
      <c r="G33" s="66">
        <f>'M2'!G33-'M1'!G33</f>
        <v>0</v>
      </c>
      <c r="H33" s="66">
        <f>'M2'!H33-'M1'!H33</f>
        <v>6.389800000000001E-2</v>
      </c>
    </row>
    <row r="34" spans="1:8">
      <c r="A34" s="66" t="s">
        <v>77</v>
      </c>
      <c r="B34" s="66">
        <f>'M2'!B34-'M1'!B34</f>
        <v>1.3087999999999989E-2</v>
      </c>
      <c r="C34" s="66">
        <f>'M2'!C34-'M1'!C34</f>
        <v>1.6272300000000003E-2</v>
      </c>
      <c r="D34" s="66">
        <f>'M2'!D34-'M1'!D34</f>
        <v>6.9440000000000002E-2</v>
      </c>
      <c r="E34" s="66">
        <f>'M2'!E34-'M1'!E34</f>
        <v>0</v>
      </c>
      <c r="F34" s="66">
        <f>'M2'!F34-'M1'!F34</f>
        <v>-4.280000000000006E-3</v>
      </c>
      <c r="G34" s="66">
        <f>'M2'!G34-'M1'!G34</f>
        <v>0</v>
      </c>
      <c r="H34" s="66">
        <f>'M2'!H34-'M1'!H34</f>
        <v>7.5177999999999967E-2</v>
      </c>
    </row>
    <row r="35" spans="1:8">
      <c r="A35" s="66" t="s">
        <v>78</v>
      </c>
      <c r="B35" s="66">
        <f>'M2'!B35-'M1'!B35</f>
        <v>8.9872000000000007E-3</v>
      </c>
      <c r="C35" s="66">
        <f>'M2'!C35-'M1'!C35</f>
        <v>5.9400000000001119E-5</v>
      </c>
      <c r="D35" s="66">
        <f>'M2'!D35-'M1'!D35</f>
        <v>-2.4943999999999994E-2</v>
      </c>
      <c r="E35" s="66">
        <f>'M2'!E35-'M1'!E35</f>
        <v>0</v>
      </c>
      <c r="F35" s="66">
        <f>'M2'!F35-'M1'!F35</f>
        <v>1.5521300000000002E-2</v>
      </c>
      <c r="G35" s="66">
        <f>'M2'!G35-'M1'!G35</f>
        <v>0</v>
      </c>
      <c r="H35" s="66">
        <f>'M2'!H35-'M1'!H35</f>
        <v>8.7869999999999893E-3</v>
      </c>
    </row>
    <row r="36" spans="1:8">
      <c r="A36" s="66" t="s">
        <v>79</v>
      </c>
      <c r="B36" s="66">
        <f>'M2'!B36-'M1'!B36</f>
        <v>1.2999999999999123E-4</v>
      </c>
      <c r="C36" s="66">
        <f>'M2'!C36-'M1'!C36</f>
        <v>1.3078500000000007E-2</v>
      </c>
      <c r="D36" s="66">
        <f>'M2'!D36-'M1'!D36</f>
        <v>7.0693999999999979E-2</v>
      </c>
      <c r="E36" s="66">
        <f>'M2'!E36-'M1'!E36</f>
        <v>0</v>
      </c>
      <c r="F36" s="66">
        <f>'M2'!F36-'M1'!F36</f>
        <v>-1.3337700000000001E-2</v>
      </c>
      <c r="G36" s="66">
        <f>'M2'!G36-'M1'!G36</f>
        <v>0</v>
      </c>
      <c r="H36" s="66">
        <f>'M2'!H36-'M1'!H36</f>
        <v>-6.2023999999999968E-2</v>
      </c>
    </row>
    <row r="37" spans="1:8">
      <c r="A37" s="66" t="s">
        <v>80</v>
      </c>
      <c r="B37" s="66">
        <f>'M2'!B37-'M1'!B37</f>
        <v>0.16272299999999998</v>
      </c>
      <c r="C37" s="66">
        <f>'M2'!C37-'M1'!C37</f>
        <v>3.161739999999999E-2</v>
      </c>
      <c r="D37" s="66">
        <f>'M2'!D37-'M1'!D37</f>
        <v>-5.5237999999999954E-2</v>
      </c>
      <c r="E37" s="66">
        <f>'M2'!E37-'M1'!E37</f>
        <v>0</v>
      </c>
      <c r="F37" s="66">
        <f>'M2'!F37-'M1'!F37</f>
        <v>3.3006319999999999E-2</v>
      </c>
      <c r="G37" s="66">
        <f>'M2'!G37-'M1'!G37</f>
        <v>0</v>
      </c>
      <c r="H37" s="66">
        <f>'M2'!H37-'M1'!H37</f>
        <v>8.5930000000000006E-2</v>
      </c>
    </row>
    <row r="38" spans="1:8">
      <c r="A38" s="66" t="s">
        <v>81</v>
      </c>
      <c r="B38" s="66">
        <f>'M2'!B38-'M1'!B38</f>
        <v>-4.0438000000000009</v>
      </c>
      <c r="C38" s="66">
        <f>'M2'!C38-'M1'!C38</f>
        <v>14.616199999999996</v>
      </c>
      <c r="D38" s="66">
        <f>'M2'!D38-'M1'!D38</f>
        <v>-0.38168999999999986</v>
      </c>
      <c r="E38" s="66">
        <f>'M2'!E38-'M1'!E38</f>
        <v>0</v>
      </c>
      <c r="F38" s="66">
        <f>'M2'!F38-'M1'!F38</f>
        <v>-47.322800000000001</v>
      </c>
      <c r="G38" s="66">
        <f>'M2'!G38-'M1'!G38</f>
        <v>0</v>
      </c>
      <c r="H38" s="66">
        <f>'M2'!H38-'M1'!H38</f>
        <v>153.08840000000001</v>
      </c>
    </row>
    <row r="39" spans="1:8">
      <c r="A39" s="66" t="s">
        <v>82</v>
      </c>
      <c r="B39" s="66">
        <f>'M2'!B39-'M1'!B39</f>
        <v>-1.13626</v>
      </c>
      <c r="C39" s="66">
        <f>'M2'!C39-'M1'!C39</f>
        <v>0.5064099999999998</v>
      </c>
      <c r="D39" s="66">
        <f>'M2'!D39-'M1'!D39</f>
        <v>3.8976000000000011E-2</v>
      </c>
      <c r="E39" s="66">
        <f>'M2'!E39-'M1'!E39</f>
        <v>0</v>
      </c>
      <c r="F39" s="66">
        <f>'M2'!F39-'M1'!F39</f>
        <v>-2.0360999999999994</v>
      </c>
      <c r="G39" s="66">
        <f>'M2'!G39-'M1'!G39</f>
        <v>0</v>
      </c>
      <c r="H39" s="66">
        <f>'M2'!H39-'M1'!H39</f>
        <v>10.731480000000001</v>
      </c>
    </row>
    <row r="40" spans="1:8">
      <c r="A40" s="66" t="s">
        <v>83</v>
      </c>
      <c r="B40" s="66">
        <f>'M2'!B40-'M1'!B40</f>
        <v>-0.88983999999999996</v>
      </c>
      <c r="C40" s="66">
        <f>'M2'!C40-'M1'!C40</f>
        <v>0.372396</v>
      </c>
      <c r="D40" s="66">
        <f>'M2'!D40-'M1'!D40</f>
        <v>-7.8277000000000013E-2</v>
      </c>
      <c r="E40" s="66">
        <f>'M2'!E40-'M1'!E40</f>
        <v>0</v>
      </c>
      <c r="F40" s="66">
        <f>'M2'!F40-'M1'!F40</f>
        <v>-1.4330599999999998</v>
      </c>
      <c r="G40" s="66">
        <f>'M2'!G40-'M1'!G40</f>
        <v>0</v>
      </c>
      <c r="H40" s="66">
        <f>'M2'!H40-'M1'!H40</f>
        <v>-0.43160999999999983</v>
      </c>
    </row>
    <row r="41" spans="1:8">
      <c r="A41" s="66" t="s">
        <v>84</v>
      </c>
      <c r="B41" s="66">
        <f>'M2'!B41-'M1'!B41</f>
        <v>-4.265399999999997E-2</v>
      </c>
      <c r="C41" s="66">
        <f>'M2'!C41-'M1'!C41</f>
        <v>-2.2411000000000014E-2</v>
      </c>
      <c r="D41" s="66">
        <f>'M2'!D41-'M1'!D41</f>
        <v>0.37979000000000007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-3.9599999999999913E-3</v>
      </c>
      <c r="C42" s="66">
        <f>'M2'!C42-'M1'!C42</f>
        <v>2.8569999999999984E-3</v>
      </c>
      <c r="D42" s="66">
        <f>'M2'!D42-'M1'!D42</f>
        <v>-3.1679999999999486E-3</v>
      </c>
      <c r="E42" s="66">
        <f>'M2'!E42-'M1'!E42</f>
        <v>0</v>
      </c>
      <c r="F42" s="66">
        <f>'M2'!F42-'M1'!F42</f>
        <v>3.315900000000005E-2</v>
      </c>
      <c r="G42" s="66">
        <f>'M2'!G42-'M1'!G42</f>
        <v>0</v>
      </c>
      <c r="H42" s="66">
        <f>'M2'!H42-'M1'!H42</f>
        <v>0.21558126999999999</v>
      </c>
    </row>
    <row r="43" spans="1:8">
      <c r="A43" s="66" t="s">
        <v>86</v>
      </c>
      <c r="B43" s="66">
        <f>'M2'!B43-'M1'!B43</f>
        <v>-7.8342000000000023E-2</v>
      </c>
      <c r="C43" s="66">
        <f>'M2'!C43-'M1'!C43</f>
        <v>5.76978E-2</v>
      </c>
      <c r="D43" s="66">
        <f>'M2'!D43-'M1'!D43</f>
        <v>-0.17039300000000002</v>
      </c>
      <c r="E43" s="66">
        <f>'M2'!E43-'M1'!E43</f>
        <v>0</v>
      </c>
      <c r="F43" s="66">
        <f>'M2'!F43-'M1'!F43</f>
        <v>-7.7205999999999997E-2</v>
      </c>
      <c r="G43" s="66">
        <f>'M2'!G43-'M1'!G43</f>
        <v>0</v>
      </c>
      <c r="H43" s="66">
        <f>'M2'!H43-'M1'!H43</f>
        <v>-1.111899999999999E-2</v>
      </c>
    </row>
    <row r="44" spans="1:8">
      <c r="A44" s="66" t="s">
        <v>87</v>
      </c>
      <c r="B44" s="66">
        <f>'M2'!B44-'M1'!B44</f>
        <v>-1.9767900000000003</v>
      </c>
      <c r="C44" s="66">
        <f>'M2'!C44-'M1'!C44</f>
        <v>9.3450200000000017</v>
      </c>
      <c r="D44" s="66">
        <f>'M2'!D44-'M1'!D44</f>
        <v>-1.7549050000000002</v>
      </c>
      <c r="E44" s="66">
        <f>'M2'!E44-'M1'!E44</f>
        <v>0</v>
      </c>
      <c r="F44" s="66">
        <f>'M2'!F44-'M1'!F44</f>
        <v>-24.000980000000002</v>
      </c>
      <c r="G44" s="66">
        <f>'M2'!G44-'M1'!G44</f>
        <v>0</v>
      </c>
      <c r="H44" s="66">
        <f>'M2'!H44-'M1'!H44</f>
        <v>-1.102142</v>
      </c>
    </row>
    <row r="45" spans="1:8">
      <c r="A45" s="66" t="s">
        <v>88</v>
      </c>
      <c r="B45" s="66">
        <f>'M2'!B45-'M1'!B45</f>
        <v>1.7283000000000044</v>
      </c>
      <c r="C45" s="66">
        <f>'M2'!C45-'M1'!C45</f>
        <v>-0.72212999999999994</v>
      </c>
      <c r="D45" s="66">
        <f>'M2'!D45-'M1'!D45</f>
        <v>-1.9215999999999983E-2</v>
      </c>
      <c r="E45" s="66">
        <f>'M2'!E45-'M1'!E45</f>
        <v>0</v>
      </c>
      <c r="F45" s="66">
        <f>'M2'!F45-'M1'!F45</f>
        <v>5.7685000000000031</v>
      </c>
      <c r="G45" s="66">
        <f>'M2'!G45-'M1'!G45</f>
        <v>0</v>
      </c>
      <c r="H45" s="66">
        <f>'M2'!H45-'M1'!H45</f>
        <v>8.5941999999999865</v>
      </c>
    </row>
    <row r="46" spans="1:8">
      <c r="A46" s="66" t="s">
        <v>89</v>
      </c>
      <c r="B46" s="66">
        <f>'M2'!B46-'M1'!B46</f>
        <v>5.7413000000000025</v>
      </c>
      <c r="C46" s="66">
        <f>'M2'!C46-'M1'!C46</f>
        <v>-6.3332800000000002</v>
      </c>
      <c r="D46" s="66">
        <f>'M2'!D46-'M1'!D46</f>
        <v>-0.20524130000000002</v>
      </c>
      <c r="E46" s="66">
        <f>'M2'!E46-'M1'!E46</f>
        <v>0</v>
      </c>
      <c r="F46" s="66">
        <f>'M2'!F46-'M1'!F46</f>
        <v>26.788800000000002</v>
      </c>
      <c r="G46" s="66">
        <f>'M2'!G46-'M1'!G46</f>
        <v>0</v>
      </c>
      <c r="H46" s="66">
        <f>'M2'!H46-'M1'!H46</f>
        <v>5.3770000000000024</v>
      </c>
    </row>
    <row r="47" spans="1:8">
      <c r="A47" s="66" t="s">
        <v>90</v>
      </c>
      <c r="B47" s="66">
        <f>'M2'!B47-'M1'!B47</f>
        <v>0.21358999999999995</v>
      </c>
      <c r="C47" s="66">
        <f>'M2'!C47-'M1'!C47</f>
        <v>7.1807999999999983E-2</v>
      </c>
      <c r="D47" s="66">
        <f>'M2'!D47-'M1'!D47</f>
        <v>-2.6707999999999954E-2</v>
      </c>
      <c r="E47" s="66">
        <f>'M2'!E47-'M1'!E47</f>
        <v>0</v>
      </c>
      <c r="F47" s="66">
        <f>'M2'!F47-'M1'!F47</f>
        <v>8.545999999999998E-3</v>
      </c>
      <c r="G47" s="66">
        <f>'M2'!G47-'M1'!G47</f>
        <v>0</v>
      </c>
      <c r="H47" s="66">
        <f>'M2'!H47-'M1'!H47</f>
        <v>1.52461</v>
      </c>
    </row>
    <row r="48" spans="1:8">
      <c r="A48" s="66" t="s">
        <v>91</v>
      </c>
      <c r="B48" s="66">
        <f>'M2'!B48-'M1'!B48</f>
        <v>0.10125999999999991</v>
      </c>
      <c r="C48" s="66">
        <f>'M2'!C48-'M1'!C48</f>
        <v>6.7780999999999952E-3</v>
      </c>
      <c r="D48" s="66">
        <f>'M2'!D48-'M1'!D48</f>
        <v>-9.0429999999999677E-4</v>
      </c>
      <c r="E48" s="66">
        <f>'M2'!E48-'M1'!E48</f>
        <v>0</v>
      </c>
      <c r="F48" s="66">
        <f>'M2'!F48-'M1'!F48</f>
        <v>0.15092899999999998</v>
      </c>
      <c r="G48" s="66">
        <f>'M2'!G48-'M1'!G48</f>
        <v>0</v>
      </c>
      <c r="H48" s="66">
        <f>'M2'!H48-'M1'!H48</f>
        <v>-3.0450000000000088E-2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41.768900000000002</v>
      </c>
      <c r="C5" s="66">
        <v>12.0021</v>
      </c>
      <c r="D5" s="66">
        <v>28.7346</v>
      </c>
      <c r="E5" s="66">
        <v>20</v>
      </c>
      <c r="F5" s="66">
        <v>9.6640599999999992</v>
      </c>
      <c r="G5" s="66">
        <v>50</v>
      </c>
      <c r="H5" s="66">
        <v>50.782200000000003</v>
      </c>
    </row>
    <row r="6" spans="1:8">
      <c r="A6" s="66" t="s">
        <v>358</v>
      </c>
      <c r="B6" s="66">
        <v>32.865299999999998</v>
      </c>
      <c r="C6" s="66">
        <v>1.3029299999999999</v>
      </c>
      <c r="D6" s="66">
        <v>3.9644499999999998</v>
      </c>
      <c r="E6" s="66">
        <v>20</v>
      </c>
      <c r="F6" s="66">
        <v>29.593399999999999</v>
      </c>
      <c r="G6" s="66">
        <v>40</v>
      </c>
      <c r="H6" s="66">
        <v>35.687600000000003</v>
      </c>
    </row>
    <row r="7" spans="1:8">
      <c r="A7" s="66" t="s">
        <v>359</v>
      </c>
      <c r="B7" s="66">
        <v>23.217300000000002</v>
      </c>
      <c r="C7" s="66">
        <v>4.0722399999999999</v>
      </c>
      <c r="D7" s="66">
        <v>17.5397</v>
      </c>
      <c r="E7" s="66">
        <v>15</v>
      </c>
      <c r="F7" s="66">
        <v>17.8047</v>
      </c>
      <c r="G7" s="66">
        <v>40</v>
      </c>
      <c r="H7" s="66">
        <v>37.019199999999998</v>
      </c>
    </row>
    <row r="8" spans="1:8">
      <c r="A8" s="66" t="s">
        <v>360</v>
      </c>
      <c r="B8" s="66">
        <v>31.9788</v>
      </c>
      <c r="C8" s="66">
        <v>4.8033999999999999</v>
      </c>
      <c r="D8" s="66">
        <v>15.0206</v>
      </c>
      <c r="E8" s="66">
        <v>20</v>
      </c>
      <c r="F8" s="66">
        <v>19.6873</v>
      </c>
      <c r="G8" s="66">
        <v>50</v>
      </c>
      <c r="H8" s="66">
        <v>37.478700000000003</v>
      </c>
    </row>
    <row r="9" spans="1:8">
      <c r="A9" s="66" t="s">
        <v>361</v>
      </c>
      <c r="B9" s="66">
        <v>74.513000000000005</v>
      </c>
      <c r="C9" s="66">
        <v>5.01363</v>
      </c>
      <c r="D9" s="66">
        <v>6.7285399999999997</v>
      </c>
      <c r="E9" s="66">
        <v>50</v>
      </c>
      <c r="F9" s="66">
        <v>67.924000000000007</v>
      </c>
      <c r="G9" s="66">
        <v>100</v>
      </c>
      <c r="H9" s="66">
        <v>88.203100000000006</v>
      </c>
    </row>
    <row r="10" spans="1:8">
      <c r="A10" s="66" t="s">
        <v>362</v>
      </c>
      <c r="B10" s="66">
        <v>77.098699999999994</v>
      </c>
      <c r="C10" s="66">
        <v>2.7086100000000002</v>
      </c>
      <c r="D10" s="66">
        <v>3.5131700000000001</v>
      </c>
      <c r="E10" s="66">
        <v>40</v>
      </c>
      <c r="F10" s="66">
        <v>67.790899999999993</v>
      </c>
      <c r="G10" s="66">
        <v>100</v>
      </c>
      <c r="H10" s="66">
        <v>80.533299999999997</v>
      </c>
    </row>
    <row r="11" spans="1:8">
      <c r="A11" s="66" t="s">
        <v>363</v>
      </c>
      <c r="B11" s="66">
        <v>25.612400000000001</v>
      </c>
      <c r="C11" s="66">
        <v>7.6034600000000001</v>
      </c>
      <c r="D11" s="66">
        <v>29.686699999999998</v>
      </c>
      <c r="E11" s="66">
        <v>10</v>
      </c>
      <c r="F11" s="66">
        <v>6.3954000000000004</v>
      </c>
      <c r="G11" s="66">
        <v>50</v>
      </c>
      <c r="H11" s="66">
        <v>30.473500000000001</v>
      </c>
    </row>
    <row r="12" spans="1:8">
      <c r="A12" s="66" t="s">
        <v>364</v>
      </c>
      <c r="B12" s="66">
        <v>76.139099999999999</v>
      </c>
      <c r="C12" s="66">
        <v>1.66686</v>
      </c>
      <c r="D12" s="66">
        <v>2.1892299999999998</v>
      </c>
      <c r="E12" s="66">
        <v>50</v>
      </c>
      <c r="F12" s="66">
        <v>72.412800000000004</v>
      </c>
      <c r="G12" s="66">
        <v>100</v>
      </c>
      <c r="H12" s="66">
        <v>81.0398</v>
      </c>
    </row>
    <row r="13" spans="1:8">
      <c r="A13" s="66" t="s">
        <v>365</v>
      </c>
      <c r="B13" s="66">
        <v>20.026599999999998</v>
      </c>
      <c r="C13" s="66">
        <v>2.2294399999999999</v>
      </c>
      <c r="D13" s="66">
        <v>11.132400000000001</v>
      </c>
      <c r="E13" s="66">
        <v>10</v>
      </c>
      <c r="F13" s="66">
        <v>15.967700000000001</v>
      </c>
      <c r="G13" s="66">
        <v>25</v>
      </c>
      <c r="H13" s="66">
        <v>25.045400000000001</v>
      </c>
    </row>
    <row r="14" spans="1:8">
      <c r="A14" s="66" t="s">
        <v>366</v>
      </c>
      <c r="B14" s="66">
        <v>22.2944</v>
      </c>
      <c r="C14" s="66">
        <v>7.2505600000000001</v>
      </c>
      <c r="D14" s="66">
        <v>32.521900000000002</v>
      </c>
      <c r="E14" s="66">
        <v>10</v>
      </c>
      <c r="F14" s="66">
        <v>0.109628</v>
      </c>
      <c r="G14" s="66">
        <v>50</v>
      </c>
      <c r="H14" s="66">
        <v>27.853400000000001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0.46643699999999999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371</v>
      </c>
      <c r="B19" s="66">
        <v>0.46566999999999997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372</v>
      </c>
      <c r="B20" s="66">
        <v>3.14431E-4</v>
      </c>
      <c r="C20" s="66">
        <v>2.9606900000000002E-3</v>
      </c>
      <c r="D20" s="66">
        <v>9.4160199999999996</v>
      </c>
      <c r="E20" s="66">
        <v>0</v>
      </c>
      <c r="F20" s="196">
        <v>3.40743E-5</v>
      </c>
      <c r="G20" s="66">
        <v>0</v>
      </c>
      <c r="H20" s="66">
        <v>4.60174E-2</v>
      </c>
    </row>
    <row r="21" spans="1:8">
      <c r="A21" s="66" t="s">
        <v>373</v>
      </c>
      <c r="B21" s="66">
        <v>5.0310300000000002E-2</v>
      </c>
      <c r="C21" s="66">
        <v>0.123962</v>
      </c>
      <c r="D21" s="66">
        <v>2.4639500000000001</v>
      </c>
      <c r="E21" s="66">
        <v>0</v>
      </c>
      <c r="F21" s="66">
        <v>1.14022E-4</v>
      </c>
      <c r="G21" s="66">
        <v>0</v>
      </c>
      <c r="H21" s="66">
        <v>0.67105599999999999</v>
      </c>
    </row>
    <row r="22" spans="1:8">
      <c r="A22" s="66" t="s">
        <v>374</v>
      </c>
      <c r="B22" s="66">
        <v>25.227699999999999</v>
      </c>
      <c r="C22" s="66">
        <v>5.99953</v>
      </c>
      <c r="D22" s="66">
        <v>0.237815</v>
      </c>
      <c r="E22" s="66">
        <v>0</v>
      </c>
      <c r="F22" s="66">
        <v>13.2646</v>
      </c>
      <c r="G22" s="66">
        <v>0</v>
      </c>
      <c r="H22" s="66">
        <v>42.534799999999997</v>
      </c>
    </row>
    <row r="23" spans="1:8">
      <c r="A23" s="66" t="s">
        <v>375</v>
      </c>
      <c r="B23" s="66">
        <v>12.5082</v>
      </c>
      <c r="C23" s="66">
        <v>2.50807</v>
      </c>
      <c r="D23" s="66">
        <v>0.200515</v>
      </c>
      <c r="E23" s="66">
        <v>0</v>
      </c>
      <c r="F23" s="66">
        <v>5.7742699999999996</v>
      </c>
      <c r="G23" s="66">
        <v>0</v>
      </c>
      <c r="H23" s="66">
        <v>14.0723</v>
      </c>
    </row>
    <row r="24" spans="1:8">
      <c r="A24" s="66" t="s">
        <v>376</v>
      </c>
      <c r="B24" s="66">
        <v>4.6488600000000002E-4</v>
      </c>
      <c r="C24" s="66">
        <v>1.60768E-3</v>
      </c>
      <c r="D24" s="66">
        <v>3.4582099999999998</v>
      </c>
      <c r="E24" s="66">
        <v>0</v>
      </c>
      <c r="F24" s="66">
        <v>1.2777099999999999E-4</v>
      </c>
      <c r="G24" s="66">
        <v>0</v>
      </c>
      <c r="H24" s="66">
        <v>1.16577E-2</v>
      </c>
    </row>
    <row r="25" spans="1:8">
      <c r="A25" s="66" t="s">
        <v>377</v>
      </c>
      <c r="B25" s="66">
        <v>8.3651299999999998E-2</v>
      </c>
      <c r="C25" s="66">
        <v>6.13065E-2</v>
      </c>
      <c r="D25" s="66">
        <v>0.73288200000000003</v>
      </c>
      <c r="E25" s="66">
        <v>0</v>
      </c>
      <c r="F25" s="66">
        <v>2.2957600000000002E-2</v>
      </c>
      <c r="G25" s="66">
        <v>0</v>
      </c>
      <c r="H25" s="66">
        <v>0.32100600000000001</v>
      </c>
    </row>
    <row r="26" spans="1:8">
      <c r="A26" s="66" t="s">
        <v>378</v>
      </c>
      <c r="B26" s="66">
        <v>1.08325E-4</v>
      </c>
      <c r="C26" s="66">
        <v>5.2243600000000004E-4</v>
      </c>
      <c r="D26" s="66">
        <v>4.8228799999999996</v>
      </c>
      <c r="E26" s="66">
        <v>0</v>
      </c>
      <c r="F26" s="196">
        <v>6.5651299999999996E-6</v>
      </c>
      <c r="G26" s="66">
        <v>0</v>
      </c>
      <c r="H26" s="66">
        <v>6.2893899999999997E-3</v>
      </c>
    </row>
    <row r="27" spans="1:8">
      <c r="A27" s="66" t="s">
        <v>379</v>
      </c>
      <c r="B27" s="66">
        <v>0</v>
      </c>
      <c r="C27" s="66">
        <v>3.4435299999999999E-4</v>
      </c>
      <c r="D27" s="66">
        <v>0</v>
      </c>
      <c r="E27" s="66">
        <v>0</v>
      </c>
      <c r="F27" s="66">
        <v>-3.6436400000000001E-3</v>
      </c>
      <c r="G27" s="66">
        <v>0</v>
      </c>
      <c r="H27" s="66">
        <v>3.6502100000000001E-3</v>
      </c>
    </row>
    <row r="28" spans="1:8">
      <c r="A28" s="66" t="s">
        <v>380</v>
      </c>
      <c r="B28" s="66">
        <v>1.13493E-2</v>
      </c>
      <c r="C28" s="66">
        <v>1.57383E-2</v>
      </c>
      <c r="D28" s="66">
        <v>1.38672</v>
      </c>
      <c r="E28" s="66">
        <v>0</v>
      </c>
      <c r="F28" s="196">
        <v>4.5572899999999999E-5</v>
      </c>
      <c r="G28" s="66">
        <v>0</v>
      </c>
      <c r="H28" s="66">
        <v>7.5071600000000002E-2</v>
      </c>
    </row>
    <row r="29" spans="1:8">
      <c r="A29" s="66" t="s">
        <v>381</v>
      </c>
      <c r="B29" s="66">
        <v>68.191800000000001</v>
      </c>
      <c r="C29" s="66">
        <v>10.392799999999999</v>
      </c>
      <c r="D29" s="66">
        <v>0.15240600000000001</v>
      </c>
      <c r="E29" s="66">
        <v>0</v>
      </c>
      <c r="F29" s="66">
        <v>42.82</v>
      </c>
      <c r="G29" s="66">
        <v>0</v>
      </c>
      <c r="H29" s="66">
        <v>93.149900000000002</v>
      </c>
    </row>
    <row r="30" spans="1:8">
      <c r="A30" s="66" t="s">
        <v>382</v>
      </c>
      <c r="B30" s="66">
        <v>23.071100000000001</v>
      </c>
      <c r="C30" s="66">
        <v>5.2654500000000004</v>
      </c>
      <c r="D30" s="66">
        <v>0.22822700000000001</v>
      </c>
      <c r="E30" s="66">
        <v>0</v>
      </c>
      <c r="F30" s="66">
        <v>8.7821300000000004</v>
      </c>
      <c r="G30" s="66">
        <v>0</v>
      </c>
      <c r="H30" s="66">
        <v>26.772400000000001</v>
      </c>
    </row>
    <row r="31" spans="1:8">
      <c r="A31" s="66" t="s">
        <v>383</v>
      </c>
      <c r="B31" s="66">
        <v>72.049000000000007</v>
      </c>
      <c r="C31" s="66">
        <v>20.132000000000001</v>
      </c>
      <c r="D31" s="66">
        <v>0.27942099999999997</v>
      </c>
      <c r="E31" s="66">
        <v>0</v>
      </c>
      <c r="F31" s="66">
        <v>19.4573</v>
      </c>
      <c r="G31" s="66">
        <v>0</v>
      </c>
      <c r="H31" s="66">
        <v>84.336299999999994</v>
      </c>
    </row>
    <row r="32" spans="1:8">
      <c r="A32" s="66" t="s">
        <v>384</v>
      </c>
      <c r="B32" s="66">
        <v>0.23217299999999999</v>
      </c>
      <c r="C32" s="66">
        <v>4.0722399999999999E-2</v>
      </c>
      <c r="D32" s="66">
        <v>0.175397</v>
      </c>
      <c r="E32" s="66">
        <v>0.15</v>
      </c>
      <c r="F32" s="66">
        <v>0.17804700000000001</v>
      </c>
      <c r="G32" s="66">
        <v>0.4</v>
      </c>
      <c r="H32" s="66">
        <v>0.37019200000000002</v>
      </c>
    </row>
    <row r="33" spans="1:8">
      <c r="A33" s="66" t="s">
        <v>385</v>
      </c>
      <c r="B33" s="66">
        <v>0.43964300000000001</v>
      </c>
      <c r="C33" s="66">
        <v>1.5062900000000001E-2</v>
      </c>
      <c r="D33" s="66">
        <v>3.4261800000000002E-2</v>
      </c>
      <c r="E33" s="66">
        <v>0</v>
      </c>
      <c r="F33" s="66">
        <v>0.41153000000000001</v>
      </c>
      <c r="G33" s="66">
        <v>0</v>
      </c>
      <c r="H33" s="66">
        <v>0.464897</v>
      </c>
    </row>
    <row r="34" spans="1:8">
      <c r="A34" s="66" t="s">
        <v>386</v>
      </c>
      <c r="B34" s="66">
        <v>0.200266</v>
      </c>
      <c r="C34" s="66">
        <v>2.2294399999999999E-2</v>
      </c>
      <c r="D34" s="66">
        <v>0.11132400000000001</v>
      </c>
      <c r="E34" s="66">
        <v>0.1</v>
      </c>
      <c r="F34" s="66">
        <v>0.15967700000000001</v>
      </c>
      <c r="G34" s="66">
        <v>0.25</v>
      </c>
      <c r="H34" s="66">
        <v>0.25045400000000001</v>
      </c>
    </row>
    <row r="35" spans="1:8">
      <c r="A35" s="66" t="s">
        <v>387</v>
      </c>
      <c r="B35" s="66">
        <v>8.4578299999999995E-2</v>
      </c>
      <c r="C35" s="66">
        <v>2.2522799999999999E-2</v>
      </c>
      <c r="D35" s="66">
        <v>0.266295</v>
      </c>
      <c r="E35" s="66">
        <v>0</v>
      </c>
      <c r="F35" s="66">
        <v>3.5521499999999998E-2</v>
      </c>
      <c r="G35" s="66">
        <v>0</v>
      </c>
      <c r="H35" s="66">
        <v>0.12917100000000001</v>
      </c>
    </row>
    <row r="36" spans="1:8">
      <c r="A36" s="66" t="s">
        <v>388</v>
      </c>
      <c r="B36" s="66">
        <v>0.18396100000000001</v>
      </c>
      <c r="C36" s="66">
        <v>9.1362499999999999E-2</v>
      </c>
      <c r="D36" s="66">
        <v>0.49664000000000003</v>
      </c>
      <c r="E36" s="66">
        <v>0</v>
      </c>
      <c r="F36" s="66">
        <v>5.53675E-2</v>
      </c>
      <c r="G36" s="66">
        <v>0</v>
      </c>
      <c r="H36" s="66">
        <v>0.50425799999999998</v>
      </c>
    </row>
    <row r="37" spans="1:8">
      <c r="A37" s="66" t="s">
        <v>389</v>
      </c>
      <c r="B37" s="66">
        <v>0.222944</v>
      </c>
      <c r="C37" s="66">
        <v>7.2505600000000003E-2</v>
      </c>
      <c r="D37" s="66">
        <v>0.32521899999999998</v>
      </c>
      <c r="E37" s="66">
        <v>0.1</v>
      </c>
      <c r="F37" s="66">
        <v>1.09628E-3</v>
      </c>
      <c r="G37" s="66">
        <v>0.5</v>
      </c>
      <c r="H37" s="66">
        <v>0.278534</v>
      </c>
    </row>
    <row r="38" spans="1:8">
      <c r="A38" s="66" t="s">
        <v>390</v>
      </c>
      <c r="B38" s="66">
        <v>-11.370699999999999</v>
      </c>
      <c r="C38" s="66">
        <v>24.555800000000001</v>
      </c>
      <c r="D38" s="66">
        <v>-2.1595599999999999</v>
      </c>
      <c r="E38" s="66">
        <v>0</v>
      </c>
      <c r="F38" s="66">
        <v>-58.858199999999997</v>
      </c>
      <c r="G38" s="66">
        <v>0</v>
      </c>
      <c r="H38" s="66">
        <v>72.515600000000006</v>
      </c>
    </row>
    <row r="39" spans="1:8">
      <c r="A39" s="66" t="s">
        <v>391</v>
      </c>
      <c r="B39" s="66">
        <v>-5.0918400000000004</v>
      </c>
      <c r="C39" s="66">
        <v>3.3571300000000002</v>
      </c>
      <c r="D39" s="66">
        <v>-0.65931700000000004</v>
      </c>
      <c r="E39" s="66">
        <v>0</v>
      </c>
      <c r="F39" s="66">
        <v>-13.209300000000001</v>
      </c>
      <c r="G39" s="66">
        <v>0</v>
      </c>
      <c r="H39" s="66">
        <v>2.7537199999999999</v>
      </c>
    </row>
    <row r="40" spans="1:8">
      <c r="A40" s="66" t="s">
        <v>392</v>
      </c>
      <c r="B40" s="66">
        <v>-2.22139</v>
      </c>
      <c r="C40" s="66">
        <v>0.32167899999999999</v>
      </c>
      <c r="D40" s="66">
        <v>-0.14480999999999999</v>
      </c>
      <c r="E40" s="66">
        <v>0</v>
      </c>
      <c r="F40" s="66">
        <v>-3.0367500000000001</v>
      </c>
      <c r="G40" s="66">
        <v>0</v>
      </c>
      <c r="H40" s="66">
        <v>-1.6114200000000001</v>
      </c>
    </row>
    <row r="41" spans="1:8">
      <c r="A41" s="66" t="s">
        <v>393</v>
      </c>
      <c r="B41" s="66">
        <v>-0.208484</v>
      </c>
      <c r="C41" s="66">
        <v>0.35665200000000002</v>
      </c>
      <c r="D41" s="66">
        <v>-1.71069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-0.21657000000000001</v>
      </c>
      <c r="C42" s="66">
        <v>0.11805300000000001</v>
      </c>
      <c r="D42" s="66">
        <v>-0.545103</v>
      </c>
      <c r="E42" s="66">
        <v>0</v>
      </c>
      <c r="F42" s="66">
        <v>-0.53782600000000003</v>
      </c>
      <c r="G42" s="66">
        <v>0</v>
      </c>
      <c r="H42" s="66">
        <v>-2.46627E-3</v>
      </c>
    </row>
    <row r="43" spans="1:8">
      <c r="A43" s="66" t="s">
        <v>395</v>
      </c>
      <c r="B43" s="66">
        <v>-0.172711</v>
      </c>
      <c r="C43" s="66">
        <v>3.2891999999999998E-2</v>
      </c>
      <c r="D43" s="66">
        <v>-0.190446</v>
      </c>
      <c r="E43" s="66">
        <v>0</v>
      </c>
      <c r="F43" s="66">
        <v>-0.319411</v>
      </c>
      <c r="G43" s="66">
        <v>0</v>
      </c>
      <c r="H43" s="66">
        <v>-0.125052</v>
      </c>
    </row>
    <row r="44" spans="1:8">
      <c r="A44" s="66" t="s">
        <v>396</v>
      </c>
      <c r="B44" s="66">
        <v>-2.6051799999999998</v>
      </c>
      <c r="C44" s="66">
        <v>1.71868</v>
      </c>
      <c r="D44" s="66">
        <v>-0.65971500000000005</v>
      </c>
      <c r="E44" s="66">
        <v>0</v>
      </c>
      <c r="F44" s="66">
        <v>-6.4925199999999998</v>
      </c>
      <c r="G44" s="66">
        <v>0</v>
      </c>
      <c r="H44" s="66">
        <v>1.22763</v>
      </c>
    </row>
    <row r="45" spans="1:8">
      <c r="A45" s="66" t="s">
        <v>397</v>
      </c>
      <c r="B45" s="66">
        <v>51.455199999999998</v>
      </c>
      <c r="C45" s="66">
        <v>8.9261199999999992</v>
      </c>
      <c r="D45" s="66">
        <v>0.17347399999999999</v>
      </c>
      <c r="E45" s="66">
        <v>0</v>
      </c>
      <c r="F45" s="66">
        <v>33.3688</v>
      </c>
      <c r="G45" s="66">
        <v>0</v>
      </c>
      <c r="H45" s="66">
        <v>74.193700000000007</v>
      </c>
    </row>
    <row r="46" spans="1:8">
      <c r="A46" s="66" t="s">
        <v>398</v>
      </c>
      <c r="B46" s="66">
        <v>32.726199999999999</v>
      </c>
      <c r="C46" s="66">
        <v>8.9026300000000003</v>
      </c>
      <c r="D46" s="66">
        <v>0.272034</v>
      </c>
      <c r="E46" s="66">
        <v>0</v>
      </c>
      <c r="F46" s="66">
        <v>7.9265999999999996</v>
      </c>
      <c r="G46" s="66">
        <v>0</v>
      </c>
      <c r="H46" s="66">
        <v>37.475299999999997</v>
      </c>
    </row>
    <row r="47" spans="1:8">
      <c r="A47" s="66" t="s">
        <v>399</v>
      </c>
      <c r="B47" s="66">
        <v>0.91381000000000001</v>
      </c>
      <c r="C47" s="66">
        <v>0.43603999999999998</v>
      </c>
      <c r="D47" s="66">
        <v>0.47716799999999998</v>
      </c>
      <c r="E47" s="66">
        <v>0</v>
      </c>
      <c r="F47" s="66">
        <v>0.32714199999999999</v>
      </c>
      <c r="G47" s="66">
        <v>0</v>
      </c>
      <c r="H47" s="66">
        <v>2.2841</v>
      </c>
    </row>
    <row r="48" spans="1:8">
      <c r="A48" s="66" t="s">
        <v>400</v>
      </c>
      <c r="B48" s="66">
        <v>1.1671</v>
      </c>
      <c r="C48" s="66">
        <v>9.1343900000000006E-2</v>
      </c>
      <c r="D48" s="66">
        <v>7.8265699999999994E-2</v>
      </c>
      <c r="E48" s="66">
        <v>0</v>
      </c>
      <c r="F48" s="66">
        <v>0.89658099999999996</v>
      </c>
      <c r="G48" s="66">
        <v>0</v>
      </c>
      <c r="H48" s="66">
        <v>1.43445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348</v>
      </c>
      <c r="C1" s="66" t="s">
        <v>349</v>
      </c>
      <c r="D1" s="66" t="s">
        <v>350</v>
      </c>
      <c r="E1" s="66" t="s">
        <v>351</v>
      </c>
      <c r="F1" s="66" t="s">
        <v>352</v>
      </c>
      <c r="G1" s="66" t="s">
        <v>353</v>
      </c>
      <c r="H1" s="66" t="s">
        <v>354</v>
      </c>
    </row>
    <row r="2" spans="1:8">
      <c r="A2" s="66" t="s">
        <v>347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355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356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357</v>
      </c>
      <c r="B5" s="66">
        <v>47.362499999999997</v>
      </c>
      <c r="C5" s="66">
        <v>2.49641</v>
      </c>
      <c r="D5" s="66">
        <v>5.2708599999999999</v>
      </c>
      <c r="E5" s="66">
        <v>20</v>
      </c>
      <c r="F5" s="66">
        <v>41.968499999999999</v>
      </c>
      <c r="G5" s="66">
        <v>50</v>
      </c>
      <c r="H5" s="66">
        <v>52.26</v>
      </c>
    </row>
    <row r="6" spans="1:8">
      <c r="A6" s="66" t="s">
        <v>358</v>
      </c>
      <c r="B6" s="66">
        <v>31.263500000000001</v>
      </c>
      <c r="C6" s="66">
        <v>1.1258900000000001</v>
      </c>
      <c r="D6" s="66">
        <v>3.6012900000000001</v>
      </c>
      <c r="E6" s="66">
        <v>20</v>
      </c>
      <c r="F6" s="66">
        <v>29.180499999999999</v>
      </c>
      <c r="G6" s="66">
        <v>40</v>
      </c>
      <c r="H6" s="66">
        <v>33.415599999999998</v>
      </c>
    </row>
    <row r="7" spans="1:8">
      <c r="A7" s="66" t="s">
        <v>359</v>
      </c>
      <c r="B7" s="66">
        <v>23.086200000000002</v>
      </c>
      <c r="C7" s="66">
        <v>6.7039799999999996</v>
      </c>
      <c r="D7" s="66">
        <v>29.039000000000001</v>
      </c>
      <c r="E7" s="66">
        <v>15</v>
      </c>
      <c r="F7" s="66">
        <v>11.992800000000001</v>
      </c>
      <c r="G7" s="66">
        <v>40</v>
      </c>
      <c r="H7" s="66">
        <v>42.5871</v>
      </c>
    </row>
    <row r="8" spans="1:8">
      <c r="A8" s="66" t="s">
        <v>360</v>
      </c>
      <c r="B8" s="66">
        <v>33.936500000000002</v>
      </c>
      <c r="C8" s="66">
        <v>2.3934199999999999</v>
      </c>
      <c r="D8" s="66">
        <v>7.0526400000000002</v>
      </c>
      <c r="E8" s="66">
        <v>20</v>
      </c>
      <c r="F8" s="66">
        <v>30.053000000000001</v>
      </c>
      <c r="G8" s="66">
        <v>50</v>
      </c>
      <c r="H8" s="66">
        <v>39.890700000000002</v>
      </c>
    </row>
    <row r="9" spans="1:8">
      <c r="A9" s="66" t="s">
        <v>361</v>
      </c>
      <c r="B9" s="66">
        <v>74.701899999999995</v>
      </c>
      <c r="C9" s="66">
        <v>3.1475399999999998</v>
      </c>
      <c r="D9" s="66">
        <v>4.21347</v>
      </c>
      <c r="E9" s="66">
        <v>50</v>
      </c>
      <c r="F9" s="66">
        <v>65.703199999999995</v>
      </c>
      <c r="G9" s="66">
        <v>100</v>
      </c>
      <c r="H9" s="66">
        <v>80.689599999999999</v>
      </c>
    </row>
    <row r="10" spans="1:8">
      <c r="A10" s="66" t="s">
        <v>362</v>
      </c>
      <c r="B10" s="66">
        <v>76.828500000000005</v>
      </c>
      <c r="C10" s="66">
        <v>2.0552999999999999</v>
      </c>
      <c r="D10" s="66">
        <v>2.6751800000000001</v>
      </c>
      <c r="E10" s="66">
        <v>40</v>
      </c>
      <c r="F10" s="66">
        <v>72.220299999999995</v>
      </c>
      <c r="G10" s="66">
        <v>100</v>
      </c>
      <c r="H10" s="66">
        <v>79.253100000000003</v>
      </c>
    </row>
    <row r="11" spans="1:8">
      <c r="A11" s="66" t="s">
        <v>363</v>
      </c>
      <c r="B11" s="66">
        <v>31.417100000000001</v>
      </c>
      <c r="C11" s="66">
        <v>2.6535600000000001</v>
      </c>
      <c r="D11" s="66">
        <v>8.4462299999999999</v>
      </c>
      <c r="E11" s="66">
        <v>10</v>
      </c>
      <c r="F11" s="66">
        <v>26.4617</v>
      </c>
      <c r="G11" s="66">
        <v>50</v>
      </c>
      <c r="H11" s="66">
        <v>35.199800000000003</v>
      </c>
    </row>
    <row r="12" spans="1:8">
      <c r="A12" s="66" t="s">
        <v>364</v>
      </c>
      <c r="B12" s="66">
        <v>75.181200000000004</v>
      </c>
      <c r="C12" s="66">
        <v>1.85131</v>
      </c>
      <c r="D12" s="66">
        <v>2.4624700000000002</v>
      </c>
      <c r="E12" s="66">
        <v>50</v>
      </c>
      <c r="F12" s="66">
        <v>71.298900000000003</v>
      </c>
      <c r="G12" s="66">
        <v>100</v>
      </c>
      <c r="H12" s="66">
        <v>79.854399999999998</v>
      </c>
    </row>
    <row r="13" spans="1:8">
      <c r="A13" s="66" t="s">
        <v>365</v>
      </c>
      <c r="B13" s="66">
        <v>21.3354</v>
      </c>
      <c r="C13" s="66">
        <v>3.8566699999999998</v>
      </c>
      <c r="D13" s="66">
        <v>18.0764</v>
      </c>
      <c r="E13" s="66">
        <v>10</v>
      </c>
      <c r="F13" s="66">
        <v>15.5397</v>
      </c>
      <c r="G13" s="66">
        <v>25</v>
      </c>
      <c r="H13" s="66">
        <v>32.563200000000002</v>
      </c>
    </row>
    <row r="14" spans="1:8">
      <c r="A14" s="66" t="s">
        <v>366</v>
      </c>
      <c r="B14" s="66">
        <v>38.566699999999997</v>
      </c>
      <c r="C14" s="66">
        <v>10.4123</v>
      </c>
      <c r="D14" s="66">
        <v>26.998100000000001</v>
      </c>
      <c r="E14" s="66">
        <v>10</v>
      </c>
      <c r="F14" s="66">
        <v>3.4102600000000001</v>
      </c>
      <c r="G14" s="66">
        <v>50</v>
      </c>
      <c r="H14" s="66">
        <v>36.446399999999997</v>
      </c>
    </row>
    <row r="15" spans="1:8">
      <c r="A15" s="66" t="s">
        <v>367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368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369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370</v>
      </c>
      <c r="B18" s="66">
        <v>0.46066400000000002</v>
      </c>
      <c r="C18" s="66">
        <v>7.8462699999999996E-2</v>
      </c>
      <c r="D18" s="66">
        <v>0.170325</v>
      </c>
      <c r="E18" s="66">
        <v>0</v>
      </c>
      <c r="F18" s="66">
        <v>0.38220199999999999</v>
      </c>
      <c r="G18" s="66">
        <v>0</v>
      </c>
      <c r="H18" s="66">
        <v>0.53912700000000002</v>
      </c>
    </row>
    <row r="19" spans="1:8">
      <c r="A19" s="66" t="s">
        <v>371</v>
      </c>
      <c r="B19" s="66">
        <v>0.52245399999999997</v>
      </c>
      <c r="C19" s="66">
        <v>1.7552499999999999E-2</v>
      </c>
      <c r="D19" s="66">
        <v>3.35962E-2</v>
      </c>
      <c r="E19" s="66">
        <v>0</v>
      </c>
      <c r="F19" s="66">
        <v>0.50490199999999996</v>
      </c>
      <c r="G19" s="66">
        <v>0</v>
      </c>
      <c r="H19" s="66">
        <v>0.54000700000000001</v>
      </c>
    </row>
    <row r="20" spans="1:8">
      <c r="A20" s="66" t="s">
        <v>401</v>
      </c>
      <c r="B20" s="66">
        <v>3.3408800000000002E-4</v>
      </c>
      <c r="C20" s="66">
        <v>1.7633099999999999E-2</v>
      </c>
      <c r="D20" s="66">
        <v>52.779800000000002</v>
      </c>
      <c r="E20" s="66">
        <v>0</v>
      </c>
      <c r="F20" s="196">
        <v>3.2555300000000003E-5</v>
      </c>
      <c r="G20" s="66">
        <v>0</v>
      </c>
      <c r="H20" s="66">
        <v>0.400841</v>
      </c>
    </row>
    <row r="21" spans="1:8">
      <c r="A21" s="66" t="s">
        <v>373</v>
      </c>
      <c r="B21" s="66">
        <v>5.75617E-2</v>
      </c>
      <c r="C21" s="66">
        <v>0.20597699999999999</v>
      </c>
      <c r="D21" s="66">
        <v>3.5783800000000001</v>
      </c>
      <c r="E21" s="66">
        <v>0</v>
      </c>
      <c r="F21" s="66">
        <v>2.7237799999999999E-4</v>
      </c>
      <c r="G21" s="66">
        <v>0</v>
      </c>
      <c r="H21" s="66">
        <v>1.3596900000000001</v>
      </c>
    </row>
    <row r="22" spans="1:8">
      <c r="A22" s="66" t="s">
        <v>374</v>
      </c>
      <c r="B22" s="66">
        <v>29.0291</v>
      </c>
      <c r="C22" s="66">
        <v>8.6036300000000008</v>
      </c>
      <c r="D22" s="66">
        <v>0.29637999999999998</v>
      </c>
      <c r="E22" s="66">
        <v>0</v>
      </c>
      <c r="F22" s="66">
        <v>13.7432</v>
      </c>
      <c r="G22" s="66">
        <v>0</v>
      </c>
      <c r="H22" s="66">
        <v>63.140999999999998</v>
      </c>
    </row>
    <row r="23" spans="1:8">
      <c r="A23" s="66" t="s">
        <v>375</v>
      </c>
      <c r="B23" s="66">
        <v>13.0722</v>
      </c>
      <c r="C23" s="66">
        <v>1.0613999999999999</v>
      </c>
      <c r="D23" s="66">
        <v>8.1195100000000006E-2</v>
      </c>
      <c r="E23" s="66">
        <v>0</v>
      </c>
      <c r="F23" s="66">
        <v>10.851800000000001</v>
      </c>
      <c r="G23" s="66">
        <v>0</v>
      </c>
      <c r="H23" s="66">
        <v>14.059900000000001</v>
      </c>
    </row>
    <row r="24" spans="1:8">
      <c r="A24" s="66" t="s">
        <v>402</v>
      </c>
      <c r="B24" s="66">
        <v>4.6940799999999999E-4</v>
      </c>
      <c r="C24" s="66">
        <v>9.7785200000000006E-3</v>
      </c>
      <c r="D24" s="66">
        <v>20.831600000000002</v>
      </c>
      <c r="E24" s="66">
        <v>0</v>
      </c>
      <c r="F24" s="66">
        <v>1.10192E-4</v>
      </c>
      <c r="G24" s="66">
        <v>0</v>
      </c>
      <c r="H24" s="66">
        <v>8.9252300000000007E-2</v>
      </c>
    </row>
    <row r="25" spans="1:8">
      <c r="A25" s="66" t="s">
        <v>377</v>
      </c>
      <c r="B25" s="66">
        <v>0.13297999999999999</v>
      </c>
      <c r="C25" s="66">
        <v>7.3622900000000005E-2</v>
      </c>
      <c r="D25" s="66">
        <v>0.55364000000000002</v>
      </c>
      <c r="E25" s="66">
        <v>0</v>
      </c>
      <c r="F25" s="66">
        <v>2.47654E-2</v>
      </c>
      <c r="G25" s="66">
        <v>0</v>
      </c>
      <c r="H25" s="66">
        <v>0.29682900000000001</v>
      </c>
    </row>
    <row r="26" spans="1:8">
      <c r="A26" s="66" t="s">
        <v>378</v>
      </c>
      <c r="B26" s="66">
        <v>1.1489000000000001E-4</v>
      </c>
      <c r="C26" s="66">
        <v>1.2002200000000001E-3</v>
      </c>
      <c r="D26" s="66">
        <v>10.4467</v>
      </c>
      <c r="E26" s="66">
        <v>0</v>
      </c>
      <c r="F26" s="196">
        <v>6.5651299999999996E-6</v>
      </c>
      <c r="G26" s="66">
        <v>0</v>
      </c>
      <c r="H26" s="66">
        <v>2.26727E-2</v>
      </c>
    </row>
    <row r="27" spans="1:8">
      <c r="A27" s="66" t="s">
        <v>379</v>
      </c>
      <c r="B27" s="196">
        <v>-3.2825599999999999E-6</v>
      </c>
      <c r="C27" s="66">
        <v>1.0058599999999999E-3</v>
      </c>
      <c r="D27" s="66">
        <v>-306.42599999999999</v>
      </c>
      <c r="E27" s="66">
        <v>0</v>
      </c>
      <c r="F27" s="66">
        <v>-1.7817800000000002E-2</v>
      </c>
      <c r="G27" s="66">
        <v>0</v>
      </c>
      <c r="H27" s="66">
        <v>1.49751E-2</v>
      </c>
    </row>
    <row r="28" spans="1:8">
      <c r="A28" s="66" t="s">
        <v>380</v>
      </c>
      <c r="B28" s="66">
        <v>1.19661E-2</v>
      </c>
      <c r="C28" s="66">
        <v>2.3394000000000002E-2</v>
      </c>
      <c r="D28" s="66">
        <v>1.95502</v>
      </c>
      <c r="E28" s="66">
        <v>0</v>
      </c>
      <c r="F28" s="196">
        <v>8.4635400000000006E-5</v>
      </c>
      <c r="G28" s="66">
        <v>0</v>
      </c>
      <c r="H28" s="66">
        <v>0.14768200000000001</v>
      </c>
    </row>
    <row r="29" spans="1:8">
      <c r="A29" s="66" t="s">
        <v>381</v>
      </c>
      <c r="B29" s="66">
        <v>70.234800000000007</v>
      </c>
      <c r="C29" s="66">
        <v>12.5716</v>
      </c>
      <c r="D29" s="66">
        <v>0.17899300000000001</v>
      </c>
      <c r="E29" s="66">
        <v>0</v>
      </c>
      <c r="F29" s="66">
        <v>40.004199999999997</v>
      </c>
      <c r="G29" s="66">
        <v>0</v>
      </c>
      <c r="H29" s="66">
        <v>95.475399999999993</v>
      </c>
    </row>
    <row r="30" spans="1:8">
      <c r="A30" s="66" t="s">
        <v>382</v>
      </c>
      <c r="B30" s="66">
        <v>22.151499999999999</v>
      </c>
      <c r="C30" s="66">
        <v>3.0349900000000001</v>
      </c>
      <c r="D30" s="66">
        <v>0.13701099999999999</v>
      </c>
      <c r="E30" s="66">
        <v>0</v>
      </c>
      <c r="F30" s="66">
        <v>19.767399999999999</v>
      </c>
      <c r="G30" s="66">
        <v>0</v>
      </c>
      <c r="H30" s="66">
        <v>28.477</v>
      </c>
    </row>
    <row r="31" spans="1:8">
      <c r="A31" s="66" t="s">
        <v>383</v>
      </c>
      <c r="B31" s="66">
        <v>89.877200000000002</v>
      </c>
      <c r="C31" s="66">
        <v>9.8189399999999996</v>
      </c>
      <c r="D31" s="66">
        <v>0.109248</v>
      </c>
      <c r="E31" s="66">
        <v>0</v>
      </c>
      <c r="F31" s="66">
        <v>75.704099999999997</v>
      </c>
      <c r="G31" s="66">
        <v>0</v>
      </c>
      <c r="H31" s="66">
        <v>110.54</v>
      </c>
    </row>
    <row r="32" spans="1:8">
      <c r="A32" s="66" t="s">
        <v>384</v>
      </c>
      <c r="B32" s="66">
        <v>0.23086200000000001</v>
      </c>
      <c r="C32" s="66">
        <v>6.7039799999999997E-2</v>
      </c>
      <c r="D32" s="66">
        <v>0.29038999999999998</v>
      </c>
      <c r="E32" s="66">
        <v>0.15</v>
      </c>
      <c r="F32" s="66">
        <v>0.11992800000000001</v>
      </c>
      <c r="G32" s="66">
        <v>0.4</v>
      </c>
      <c r="H32" s="66">
        <v>0.425871</v>
      </c>
    </row>
    <row r="33" spans="1:8">
      <c r="A33" s="66" t="s">
        <v>385</v>
      </c>
      <c r="B33" s="66">
        <v>0.47339799999999999</v>
      </c>
      <c r="C33" s="66">
        <v>2.16679E-2</v>
      </c>
      <c r="D33" s="66">
        <v>4.5770900000000003E-2</v>
      </c>
      <c r="E33" s="66">
        <v>0</v>
      </c>
      <c r="F33" s="66">
        <v>0.42816300000000002</v>
      </c>
      <c r="G33" s="66">
        <v>0</v>
      </c>
      <c r="H33" s="66">
        <v>0.52879500000000002</v>
      </c>
    </row>
    <row r="34" spans="1:8">
      <c r="A34" s="66" t="s">
        <v>386</v>
      </c>
      <c r="B34" s="66">
        <v>0.21335399999999999</v>
      </c>
      <c r="C34" s="66">
        <v>3.8566700000000002E-2</v>
      </c>
      <c r="D34" s="66">
        <v>0.18076400000000001</v>
      </c>
      <c r="E34" s="66">
        <v>0.1</v>
      </c>
      <c r="F34" s="66">
        <v>0.15539700000000001</v>
      </c>
      <c r="G34" s="66">
        <v>0.25</v>
      </c>
      <c r="H34" s="66">
        <v>0.32563199999999998</v>
      </c>
    </row>
    <row r="35" spans="1:8">
      <c r="A35" s="66" t="s">
        <v>387</v>
      </c>
      <c r="B35" s="66">
        <v>9.3565499999999996E-2</v>
      </c>
      <c r="C35" s="66">
        <v>2.25822E-2</v>
      </c>
      <c r="D35" s="66">
        <v>0.24135100000000001</v>
      </c>
      <c r="E35" s="66">
        <v>0</v>
      </c>
      <c r="F35" s="66">
        <v>5.1042799999999999E-2</v>
      </c>
      <c r="G35" s="66">
        <v>0</v>
      </c>
      <c r="H35" s="66">
        <v>0.137958</v>
      </c>
    </row>
    <row r="36" spans="1:8">
      <c r="A36" s="66" t="s">
        <v>388</v>
      </c>
      <c r="B36" s="66">
        <v>0.184091</v>
      </c>
      <c r="C36" s="66">
        <v>0.10444100000000001</v>
      </c>
      <c r="D36" s="66">
        <v>0.567334</v>
      </c>
      <c r="E36" s="66">
        <v>0</v>
      </c>
      <c r="F36" s="66">
        <v>4.2029799999999999E-2</v>
      </c>
      <c r="G36" s="66">
        <v>0</v>
      </c>
      <c r="H36" s="66">
        <v>0.44223400000000002</v>
      </c>
    </row>
    <row r="37" spans="1:8">
      <c r="A37" s="66" t="s">
        <v>389</v>
      </c>
      <c r="B37" s="66">
        <v>0.38566699999999998</v>
      </c>
      <c r="C37" s="66">
        <v>0.10412299999999999</v>
      </c>
      <c r="D37" s="66">
        <v>0.26998100000000003</v>
      </c>
      <c r="E37" s="66">
        <v>0.1</v>
      </c>
      <c r="F37" s="66">
        <v>3.4102599999999997E-2</v>
      </c>
      <c r="G37" s="66">
        <v>0.5</v>
      </c>
      <c r="H37" s="66">
        <v>0.36446400000000001</v>
      </c>
    </row>
    <row r="38" spans="1:8">
      <c r="A38" s="66" t="s">
        <v>390</v>
      </c>
      <c r="B38" s="66">
        <v>-15.4145</v>
      </c>
      <c r="C38" s="66">
        <v>39.171999999999997</v>
      </c>
      <c r="D38" s="66">
        <v>-2.5412499999999998</v>
      </c>
      <c r="E38" s="66">
        <v>0</v>
      </c>
      <c r="F38" s="66">
        <v>-106.181</v>
      </c>
      <c r="G38" s="66">
        <v>0</v>
      </c>
      <c r="H38" s="66">
        <v>225.60400000000001</v>
      </c>
    </row>
    <row r="39" spans="1:8">
      <c r="A39" s="66" t="s">
        <v>391</v>
      </c>
      <c r="B39" s="66">
        <v>-6.2281000000000004</v>
      </c>
      <c r="C39" s="66">
        <v>3.86354</v>
      </c>
      <c r="D39" s="66">
        <v>-0.62034100000000003</v>
      </c>
      <c r="E39" s="66">
        <v>0</v>
      </c>
      <c r="F39" s="66">
        <v>-15.2454</v>
      </c>
      <c r="G39" s="66">
        <v>0</v>
      </c>
      <c r="H39" s="66">
        <v>13.485200000000001</v>
      </c>
    </row>
    <row r="40" spans="1:8">
      <c r="A40" s="66" t="s">
        <v>392</v>
      </c>
      <c r="B40" s="66">
        <v>-3.1112299999999999</v>
      </c>
      <c r="C40" s="66">
        <v>0.694075</v>
      </c>
      <c r="D40" s="66">
        <v>-0.22308700000000001</v>
      </c>
      <c r="E40" s="66">
        <v>0</v>
      </c>
      <c r="F40" s="66">
        <v>-4.4698099999999998</v>
      </c>
      <c r="G40" s="66">
        <v>0</v>
      </c>
      <c r="H40" s="66">
        <v>-2.0430299999999999</v>
      </c>
    </row>
    <row r="41" spans="1:8">
      <c r="A41" s="66" t="s">
        <v>393</v>
      </c>
      <c r="B41" s="66">
        <v>-0.25113799999999997</v>
      </c>
      <c r="C41" s="66">
        <v>0.33424100000000001</v>
      </c>
      <c r="D41" s="66">
        <v>-1.3309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394</v>
      </c>
      <c r="B42" s="66">
        <v>-0.22053</v>
      </c>
      <c r="C42" s="66">
        <v>0.12091</v>
      </c>
      <c r="D42" s="66">
        <v>-0.54827099999999995</v>
      </c>
      <c r="E42" s="66">
        <v>0</v>
      </c>
      <c r="F42" s="66">
        <v>-0.50466699999999998</v>
      </c>
      <c r="G42" s="66">
        <v>0</v>
      </c>
      <c r="H42" s="66">
        <v>0.213115</v>
      </c>
    </row>
    <row r="43" spans="1:8">
      <c r="A43" s="66" t="s">
        <v>395</v>
      </c>
      <c r="B43" s="66">
        <v>-0.25105300000000003</v>
      </c>
      <c r="C43" s="66">
        <v>9.0589799999999998E-2</v>
      </c>
      <c r="D43" s="66">
        <v>-0.36083900000000002</v>
      </c>
      <c r="E43" s="66">
        <v>0</v>
      </c>
      <c r="F43" s="66">
        <v>-0.396617</v>
      </c>
      <c r="G43" s="66">
        <v>0</v>
      </c>
      <c r="H43" s="66">
        <v>-0.13617099999999999</v>
      </c>
    </row>
    <row r="44" spans="1:8">
      <c r="A44" s="66" t="s">
        <v>396</v>
      </c>
      <c r="B44" s="66">
        <v>-4.5819700000000001</v>
      </c>
      <c r="C44" s="66">
        <v>11.063700000000001</v>
      </c>
      <c r="D44" s="66">
        <v>-2.4146200000000002</v>
      </c>
      <c r="E44" s="66">
        <v>0</v>
      </c>
      <c r="F44" s="66">
        <v>-30.493500000000001</v>
      </c>
      <c r="G44" s="66">
        <v>0</v>
      </c>
      <c r="H44" s="66">
        <v>0.12548799999999999</v>
      </c>
    </row>
    <row r="45" spans="1:8">
      <c r="A45" s="66" t="s">
        <v>397</v>
      </c>
      <c r="B45" s="66">
        <v>53.183500000000002</v>
      </c>
      <c r="C45" s="66">
        <v>8.2039899999999992</v>
      </c>
      <c r="D45" s="66">
        <v>0.15425800000000001</v>
      </c>
      <c r="E45" s="66">
        <v>0</v>
      </c>
      <c r="F45" s="66">
        <v>39.137300000000003</v>
      </c>
      <c r="G45" s="66">
        <v>0</v>
      </c>
      <c r="H45" s="66">
        <v>82.787899999999993</v>
      </c>
    </row>
    <row r="46" spans="1:8">
      <c r="A46" s="66" t="s">
        <v>398</v>
      </c>
      <c r="B46" s="66">
        <v>38.467500000000001</v>
      </c>
      <c r="C46" s="66">
        <v>2.56935</v>
      </c>
      <c r="D46" s="66">
        <v>6.6792699999999997E-2</v>
      </c>
      <c r="E46" s="66">
        <v>0</v>
      </c>
      <c r="F46" s="66">
        <v>34.715400000000002</v>
      </c>
      <c r="G46" s="66">
        <v>0</v>
      </c>
      <c r="H46" s="66">
        <v>42.8523</v>
      </c>
    </row>
    <row r="47" spans="1:8">
      <c r="A47" s="66" t="s">
        <v>399</v>
      </c>
      <c r="B47" s="66">
        <v>1.1274</v>
      </c>
      <c r="C47" s="66">
        <v>0.50784799999999997</v>
      </c>
      <c r="D47" s="66">
        <v>0.45046000000000003</v>
      </c>
      <c r="E47" s="66">
        <v>0</v>
      </c>
      <c r="F47" s="66">
        <v>0.33568799999999999</v>
      </c>
      <c r="G47" s="66">
        <v>0</v>
      </c>
      <c r="H47" s="66">
        <v>3.80871</v>
      </c>
    </row>
    <row r="48" spans="1:8">
      <c r="A48" s="66" t="s">
        <v>400</v>
      </c>
      <c r="B48" s="66">
        <v>1.2683599999999999</v>
      </c>
      <c r="C48" s="66">
        <v>9.8122000000000001E-2</v>
      </c>
      <c r="D48" s="66">
        <v>7.7361399999999997E-2</v>
      </c>
      <c r="E48" s="66">
        <v>0</v>
      </c>
      <c r="F48" s="66">
        <v>1.0475099999999999</v>
      </c>
      <c r="G48" s="66">
        <v>0</v>
      </c>
      <c r="H48" s="66">
        <v>1.4039999999999999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403</v>
      </c>
      <c r="B1" s="60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101.05947685267701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1.9512048585538764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0.6868641294671799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3455</v>
      </c>
      <c r="B8" s="66">
        <v>3455</v>
      </c>
      <c r="D8">
        <f t="shared" si="0"/>
        <v>1.8762490225041274E-2</v>
      </c>
      <c r="E8">
        <f t="shared" si="0"/>
        <v>1.8762490225041274E-2</v>
      </c>
      <c r="G8">
        <f t="shared" ca="1" si="1"/>
        <v>6</v>
      </c>
      <c r="H8">
        <f t="shared" ca="1" si="2"/>
        <v>0.11257494135024765</v>
      </c>
      <c r="I8">
        <f t="shared" ca="1" si="3"/>
        <v>169.54356808795575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5314</v>
      </c>
      <c r="B10" s="66">
        <v>5314</v>
      </c>
      <c r="D10">
        <f t="shared" si="0"/>
        <v>2.885785037796507E-2</v>
      </c>
      <c r="E10">
        <f t="shared" si="0"/>
        <v>2.885785037796507E-2</v>
      </c>
      <c r="G10">
        <f t="shared" ca="1" si="1"/>
        <v>8</v>
      </c>
      <c r="H10">
        <f t="shared" ca="1" si="2"/>
        <v>0.23086280302372056</v>
      </c>
      <c r="I10">
        <f t="shared" ca="1" si="3"/>
        <v>249.91089558903431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8591</v>
      </c>
      <c r="B13" s="66">
        <v>8591</v>
      </c>
      <c r="D13">
        <f t="shared" si="0"/>
        <v>4.665370579546442E-2</v>
      </c>
      <c r="E13">
        <f t="shared" si="0"/>
        <v>4.665370579546442E-2</v>
      </c>
      <c r="G13">
        <f t="shared" ca="1" si="1"/>
        <v>11</v>
      </c>
      <c r="H13">
        <f t="shared" ca="1" si="2"/>
        <v>0.51319076375010864</v>
      </c>
      <c r="I13">
        <f t="shared" ca="1" si="3"/>
        <v>378.39464878611761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11985</v>
      </c>
      <c r="B15" s="66">
        <v>11985</v>
      </c>
      <c r="D15">
        <f t="shared" si="0"/>
        <v>6.508493353028065E-2</v>
      </c>
      <c r="E15">
        <f t="shared" si="0"/>
        <v>6.508493353028065E-2</v>
      </c>
      <c r="G15">
        <f t="shared" ca="1" si="1"/>
        <v>13</v>
      </c>
      <c r="H15">
        <f t="shared" ca="1" si="2"/>
        <v>0.84610413589364841</v>
      </c>
      <c r="I15">
        <f t="shared" ca="1" si="3"/>
        <v>504.69925976872662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15282</v>
      </c>
      <c r="B18" s="66">
        <v>15282</v>
      </c>
      <c r="D18">
        <f t="shared" si="0"/>
        <v>8.2989399600312805E-2</v>
      </c>
      <c r="E18">
        <f t="shared" si="0"/>
        <v>8.2989399600312805E-2</v>
      </c>
      <c r="G18">
        <f t="shared" ca="1" si="1"/>
        <v>16</v>
      </c>
      <c r="H18">
        <f t="shared" ca="1" si="2"/>
        <v>1.3278303936050049</v>
      </c>
      <c r="I18">
        <f t="shared" ca="1" si="3"/>
        <v>600.43781689687228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20607</v>
      </c>
      <c r="B21" s="66">
        <v>20607</v>
      </c>
      <c r="D21">
        <f t="shared" si="0"/>
        <v>0.11190698583717092</v>
      </c>
      <c r="E21">
        <f t="shared" si="0"/>
        <v>0.11190698583717092</v>
      </c>
      <c r="G21">
        <f t="shared" ca="1" si="1"/>
        <v>19</v>
      </c>
      <c r="H21">
        <f t="shared" ca="1" si="2"/>
        <v>2.1262327309062474</v>
      </c>
      <c r="I21">
        <f t="shared" ca="1" si="3"/>
        <v>753.55453219051958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30059</v>
      </c>
      <c r="B23" s="66">
        <v>30059</v>
      </c>
      <c r="D23">
        <f t="shared" si="0"/>
        <v>0.16323638022417239</v>
      </c>
      <c r="E23">
        <f t="shared" si="0"/>
        <v>0.16323638022417239</v>
      </c>
      <c r="G23">
        <f t="shared" ca="1" si="1"/>
        <v>21</v>
      </c>
      <c r="H23">
        <f t="shared" ca="1" si="2"/>
        <v>3.42796398470762</v>
      </c>
      <c r="I23">
        <f t="shared" ca="1" si="3"/>
        <v>1046.2668166648455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32450</v>
      </c>
      <c r="B26" s="66">
        <v>32450</v>
      </c>
      <c r="D26">
        <f t="shared" si="0"/>
        <v>0.17622078373446867</v>
      </c>
      <c r="E26">
        <f t="shared" si="0"/>
        <v>0.17622078373446867</v>
      </c>
      <c r="G26">
        <f t="shared" ca="1" si="1"/>
        <v>24</v>
      </c>
      <c r="H26">
        <f t="shared" ca="1" si="2"/>
        <v>4.2292988096272479</v>
      </c>
      <c r="I26">
        <f t="shared" ca="1" si="3"/>
        <v>1046.4277330112745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39437</v>
      </c>
      <c r="B28" s="66">
        <v>39437</v>
      </c>
      <c r="D28">
        <f t="shared" si="0"/>
        <v>0.2141639151968025</v>
      </c>
      <c r="E28">
        <f t="shared" si="0"/>
        <v>0.2141639151968025</v>
      </c>
      <c r="G28">
        <f t="shared" ca="1" si="1"/>
        <v>26</v>
      </c>
      <c r="H28">
        <f t="shared" ca="1" si="2"/>
        <v>5.5682617951168654</v>
      </c>
      <c r="I28">
        <f t="shared" ca="1" si="3"/>
        <v>1206.5834499309422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40277</v>
      </c>
      <c r="B31" s="66">
        <v>40277</v>
      </c>
      <c r="D31">
        <f t="shared" si="0"/>
        <v>0.21872556260318013</v>
      </c>
      <c r="E31">
        <f t="shared" si="0"/>
        <v>0.21872556260318013</v>
      </c>
      <c r="G31">
        <f t="shared" ca="1" si="1"/>
        <v>29</v>
      </c>
      <c r="H31">
        <f t="shared" ca="1" si="2"/>
        <v>6.3430413154922238</v>
      </c>
      <c r="I31">
        <f t="shared" ca="1" si="3"/>
        <v>1135.7474018368544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43768</v>
      </c>
      <c r="B33" s="66">
        <v>43768</v>
      </c>
      <c r="D33">
        <f t="shared" si="0"/>
        <v>0.23768355200278043</v>
      </c>
      <c r="E33">
        <f t="shared" si="0"/>
        <v>0.23768355200278043</v>
      </c>
      <c r="G33">
        <f t="shared" ca="1" si="1"/>
        <v>31</v>
      </c>
      <c r="H33">
        <f t="shared" ca="1" si="2"/>
        <v>7.3681901120861939</v>
      </c>
      <c r="I33">
        <f t="shared" ca="1" si="3"/>
        <v>1166.62937936311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39636</v>
      </c>
      <c r="B36" s="66">
        <v>39636</v>
      </c>
      <c r="D36">
        <f t="shared" si="0"/>
        <v>0.21524459118950387</v>
      </c>
      <c r="E36">
        <f t="shared" si="0"/>
        <v>0.21524459118950387</v>
      </c>
      <c r="G36">
        <f t="shared" ca="1" si="1"/>
        <v>34</v>
      </c>
      <c r="H36">
        <f t="shared" ca="1" si="2"/>
        <v>7.3183161004431314</v>
      </c>
      <c r="I36">
        <f t="shared" ca="1" si="3"/>
        <v>967.94920876908407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40520</v>
      </c>
      <c r="B39" s="66">
        <v>40520</v>
      </c>
      <c r="D39">
        <f t="shared" si="0"/>
        <v>0.22004518203145365</v>
      </c>
      <c r="E39">
        <f t="shared" si="0"/>
        <v>0.22004518203145365</v>
      </c>
      <c r="G39">
        <f t="shared" ca="1" si="1"/>
        <v>37</v>
      </c>
      <c r="H39">
        <f t="shared" ca="1" si="2"/>
        <v>8.1416717351637846</v>
      </c>
      <c r="I39">
        <f t="shared" ca="1" si="3"/>
        <v>902.98105615365455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43391</v>
      </c>
      <c r="B41" s="66">
        <v>43391</v>
      </c>
      <c r="D41">
        <f t="shared" si="0"/>
        <v>0.23563624120253715</v>
      </c>
      <c r="E41">
        <f t="shared" si="0"/>
        <v>0.23563624120253715</v>
      </c>
      <c r="G41">
        <f t="shared" ca="1" si="1"/>
        <v>39</v>
      </c>
      <c r="H41">
        <f t="shared" ca="1" si="2"/>
        <v>9.1898134068989492</v>
      </c>
      <c r="I41">
        <f t="shared" ca="1" si="3"/>
        <v>907.52439259323205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47312</v>
      </c>
      <c r="B44" s="66">
        <v>47312</v>
      </c>
      <c r="D44">
        <f t="shared" si="0"/>
        <v>0.25692935963159269</v>
      </c>
      <c r="E44">
        <f t="shared" si="0"/>
        <v>0.25692935963159269</v>
      </c>
      <c r="G44">
        <f t="shared" ca="1" si="1"/>
        <v>42</v>
      </c>
      <c r="H44">
        <f t="shared" ca="1" si="2"/>
        <v>10.791033104526893</v>
      </c>
      <c r="I44">
        <f t="shared" ca="1" si="3"/>
        <v>896.17520902535955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52317</v>
      </c>
      <c r="B46" s="66">
        <v>52317</v>
      </c>
      <c r="D46">
        <f t="shared" si="0"/>
        <v>0.28410917542792596</v>
      </c>
      <c r="E46">
        <f t="shared" si="0"/>
        <v>0.28410917542792596</v>
      </c>
      <c r="G46">
        <f t="shared" ca="1" si="1"/>
        <v>44</v>
      </c>
      <c r="H46">
        <f t="shared" ca="1" si="2"/>
        <v>12.500803718828742</v>
      </c>
      <c r="I46">
        <f t="shared" ca="1" si="3"/>
        <v>924.99807883151118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61682</v>
      </c>
      <c r="B49" s="66">
        <v>61682</v>
      </c>
      <c r="D49">
        <f t="shared" si="0"/>
        <v>0.33496611347640975</v>
      </c>
      <c r="E49">
        <f t="shared" si="0"/>
        <v>0.33496611347640975</v>
      </c>
      <c r="G49">
        <f t="shared" ca="1" si="1"/>
        <v>47</v>
      </c>
      <c r="H49">
        <f t="shared" ca="1" si="2"/>
        <v>15.743407333391259</v>
      </c>
      <c r="I49">
        <f t="shared" ca="1" si="3"/>
        <v>978.91402669826562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63685</v>
      </c>
      <c r="B51" s="66">
        <v>63685</v>
      </c>
      <c r="D51">
        <f t="shared" si="0"/>
        <v>0.34584347032756974</v>
      </c>
      <c r="E51">
        <f t="shared" si="0"/>
        <v>0.34584347032756974</v>
      </c>
      <c r="G51">
        <f t="shared" ca="1" si="1"/>
        <v>49</v>
      </c>
      <c r="H51">
        <f t="shared" ca="1" si="2"/>
        <v>16.946330046050917</v>
      </c>
      <c r="I51">
        <f t="shared" ca="1" si="3"/>
        <v>937.30121402357668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69336</v>
      </c>
      <c r="B54" s="66">
        <v>69336</v>
      </c>
      <c r="D54">
        <f t="shared" si="0"/>
        <v>0.37653141020071251</v>
      </c>
      <c r="E54">
        <f t="shared" si="0"/>
        <v>0.37653141020071251</v>
      </c>
      <c r="G54">
        <f t="shared" ca="1" si="1"/>
        <v>52</v>
      </c>
      <c r="H54">
        <f t="shared" ca="1" si="2"/>
        <v>19.579633330437051</v>
      </c>
      <c r="I54">
        <f t="shared" ca="1" si="3"/>
        <v>906.24794838512173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72229</v>
      </c>
      <c r="B57" s="66">
        <v>72229</v>
      </c>
      <c r="D57">
        <f t="shared" si="0"/>
        <v>0.39224194108958205</v>
      </c>
      <c r="E57">
        <f t="shared" si="0"/>
        <v>0.39224194108958205</v>
      </c>
      <c r="G57">
        <f t="shared" ca="1" si="1"/>
        <v>55</v>
      </c>
      <c r="H57">
        <f t="shared" ca="1" si="2"/>
        <v>21.573306759927014</v>
      </c>
      <c r="I57">
        <f t="shared" ca="1" si="3"/>
        <v>832.13163198509642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78086</v>
      </c>
      <c r="B59" s="66">
        <v>78086</v>
      </c>
      <c r="D59">
        <f t="shared" si="0"/>
        <v>0.42404857068381269</v>
      </c>
      <c r="E59">
        <f t="shared" si="0"/>
        <v>0.42404857068381269</v>
      </c>
      <c r="G59">
        <f t="shared" ca="1" si="1"/>
        <v>57</v>
      </c>
      <c r="H59">
        <f t="shared" ca="1" si="2"/>
        <v>24.170768528977323</v>
      </c>
      <c r="I59">
        <f t="shared" ca="1" si="3"/>
        <v>823.17898745823402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80183</v>
      </c>
      <c r="B62" s="66">
        <v>80183</v>
      </c>
      <c r="D62">
        <f t="shared" si="0"/>
        <v>0.4354363976018768</v>
      </c>
      <c r="E62">
        <f t="shared" si="0"/>
        <v>0.4354363976018768</v>
      </c>
      <c r="G62">
        <f t="shared" ca="1" si="1"/>
        <v>60</v>
      </c>
      <c r="H62">
        <f t="shared" ca="1" si="2"/>
        <v>26.126183856112608</v>
      </c>
      <c r="I62">
        <f t="shared" ca="1" si="3"/>
        <v>734.09379241384227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87373</v>
      </c>
      <c r="B64" s="66">
        <v>87373</v>
      </c>
      <c r="D64">
        <f t="shared" si="0"/>
        <v>0.47448192718741855</v>
      </c>
      <c r="E64">
        <f t="shared" si="0"/>
        <v>0.47448192718741855</v>
      </c>
      <c r="G64">
        <f t="shared" ca="1" si="1"/>
        <v>62</v>
      </c>
      <c r="H64">
        <f t="shared" ca="1" si="2"/>
        <v>29.417879485619949</v>
      </c>
      <c r="I64">
        <f t="shared" ca="1" si="3"/>
        <v>723.88990368112104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95973</v>
      </c>
      <c r="B67" s="66">
        <v>95973</v>
      </c>
      <c r="D67">
        <f t="shared" ref="D67:E130" si="4">IFERROR( A67/MAX(A$2:A$257), 0 )</f>
        <v>0.5211845077765227</v>
      </c>
      <c r="E67">
        <f t="shared" si="4"/>
        <v>0.5211845077765227</v>
      </c>
      <c r="G67">
        <f t="shared" ref="G67:G130" ca="1" si="5">CELL("row",D67)-2</f>
        <v>65</v>
      </c>
      <c r="H67">
        <f t="shared" ref="H67:H130" ca="1" si="6">D67*G67</f>
        <v>33.876993005473977</v>
      </c>
      <c r="I67">
        <f t="shared" ref="I67:I130" ca="1" si="7">D67*((G67-$L$1)^2)</f>
        <v>677.68885158791977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101652</v>
      </c>
      <c r="B69" s="66">
        <v>101652</v>
      </c>
      <c r="D69">
        <f t="shared" si="4"/>
        <v>0.55202450256321145</v>
      </c>
      <c r="E69">
        <f t="shared" si="4"/>
        <v>0.55202450256321145</v>
      </c>
      <c r="G69">
        <f t="shared" ca="1" si="5"/>
        <v>67</v>
      </c>
      <c r="H69">
        <f t="shared" ca="1" si="6"/>
        <v>36.985641671735166</v>
      </c>
      <c r="I69">
        <f t="shared" ca="1" si="7"/>
        <v>640.37489998843193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99537</v>
      </c>
      <c r="B72" s="66">
        <v>99537</v>
      </c>
      <c r="D72">
        <f t="shared" si="4"/>
        <v>0.5405389260578678</v>
      </c>
      <c r="E72">
        <f t="shared" si="4"/>
        <v>0.5405389260578678</v>
      </c>
      <c r="G72">
        <f t="shared" ca="1" si="5"/>
        <v>70</v>
      </c>
      <c r="H72">
        <f t="shared" ca="1" si="6"/>
        <v>37.837724824050746</v>
      </c>
      <c r="I72">
        <f t="shared" ca="1" si="7"/>
        <v>521.4530924483247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109004</v>
      </c>
      <c r="B75" s="66">
        <v>109004</v>
      </c>
      <c r="D75">
        <f t="shared" si="4"/>
        <v>0.59194977843426888</v>
      </c>
      <c r="E75">
        <f t="shared" si="4"/>
        <v>0.59194977843426888</v>
      </c>
      <c r="G75">
        <f t="shared" ca="1" si="5"/>
        <v>73</v>
      </c>
      <c r="H75">
        <f t="shared" ca="1" si="6"/>
        <v>43.212333825701627</v>
      </c>
      <c r="I75">
        <f t="shared" ca="1" si="7"/>
        <v>466.06232965923368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116958</v>
      </c>
      <c r="B77" s="66">
        <v>116958</v>
      </c>
      <c r="D77">
        <f t="shared" si="4"/>
        <v>0.63514423494656358</v>
      </c>
      <c r="E77">
        <f t="shared" si="4"/>
        <v>0.63514423494656358</v>
      </c>
      <c r="G77">
        <f t="shared" ca="1" si="5"/>
        <v>75</v>
      </c>
      <c r="H77">
        <f t="shared" ca="1" si="6"/>
        <v>47.63581762099227</v>
      </c>
      <c r="I77">
        <f t="shared" ca="1" si="7"/>
        <v>431.32412140877983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124891</v>
      </c>
      <c r="B80" s="66">
        <v>124891</v>
      </c>
      <c r="D80">
        <f t="shared" si="4"/>
        <v>0.67822465027369883</v>
      </c>
      <c r="E80">
        <f t="shared" si="4"/>
        <v>0.67822465027369883</v>
      </c>
      <c r="G80">
        <f t="shared" ca="1" si="5"/>
        <v>78</v>
      </c>
      <c r="H80">
        <f t="shared" ca="1" si="6"/>
        <v>52.901522721348506</v>
      </c>
      <c r="I80">
        <f t="shared" ca="1" si="7"/>
        <v>360.63881792166433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127453</v>
      </c>
      <c r="B82" s="66">
        <v>127453</v>
      </c>
      <c r="D82">
        <f t="shared" si="4"/>
        <v>0.69213767486315059</v>
      </c>
      <c r="E82">
        <f t="shared" si="4"/>
        <v>0.69213767486315059</v>
      </c>
      <c r="G82">
        <f t="shared" ca="1" si="5"/>
        <v>80</v>
      </c>
      <c r="H82">
        <f t="shared" ca="1" si="6"/>
        <v>55.371013989052045</v>
      </c>
      <c r="I82">
        <f t="shared" ca="1" si="7"/>
        <v>306.96414221075054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133088</v>
      </c>
      <c r="B85" s="66">
        <v>133088</v>
      </c>
      <c r="D85">
        <f t="shared" si="4"/>
        <v>0.72273872621426705</v>
      </c>
      <c r="E85">
        <f t="shared" si="4"/>
        <v>0.72273872621426705</v>
      </c>
      <c r="G85">
        <f t="shared" ca="1" si="5"/>
        <v>83</v>
      </c>
      <c r="H85">
        <f t="shared" ca="1" si="6"/>
        <v>59.987314275784165</v>
      </c>
      <c r="I85">
        <f t="shared" ca="1" si="7"/>
        <v>235.71740806952721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134256</v>
      </c>
      <c r="B88" s="66">
        <v>134256</v>
      </c>
      <c r="D88">
        <f t="shared" si="4"/>
        <v>0.72908158832218262</v>
      </c>
      <c r="E88">
        <f t="shared" si="4"/>
        <v>0.72908158832218262</v>
      </c>
      <c r="G88">
        <f t="shared" ca="1" si="5"/>
        <v>86</v>
      </c>
      <c r="H88">
        <f t="shared" ca="1" si="6"/>
        <v>62.701016595707706</v>
      </c>
      <c r="I88">
        <f t="shared" ca="1" si="7"/>
        <v>165.34684084224136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132760</v>
      </c>
      <c r="B90" s="66">
        <v>132760</v>
      </c>
      <c r="D90">
        <f t="shared" si="4"/>
        <v>0.72095751151272913</v>
      </c>
      <c r="E90">
        <f t="shared" si="4"/>
        <v>0.72095751151272913</v>
      </c>
      <c r="G90">
        <f t="shared" ca="1" si="5"/>
        <v>88</v>
      </c>
      <c r="H90">
        <f t="shared" ca="1" si="6"/>
        <v>63.444261013120162</v>
      </c>
      <c r="I90">
        <f t="shared" ca="1" si="7"/>
        <v>122.95925720613177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134226</v>
      </c>
      <c r="B93" s="66">
        <v>134226</v>
      </c>
      <c r="D93">
        <f t="shared" si="4"/>
        <v>0.72891867234338348</v>
      </c>
      <c r="E93">
        <f t="shared" si="4"/>
        <v>0.72891867234338348</v>
      </c>
      <c r="G93">
        <f t="shared" ca="1" si="5"/>
        <v>91</v>
      </c>
      <c r="H93">
        <f t="shared" ca="1" si="6"/>
        <v>66.331599183247903</v>
      </c>
      <c r="I93">
        <f t="shared" ca="1" si="7"/>
        <v>73.761521550999021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140454</v>
      </c>
      <c r="B95" s="66">
        <v>140454</v>
      </c>
      <c r="D95">
        <f t="shared" si="4"/>
        <v>0.76274002954209752</v>
      </c>
      <c r="E95">
        <f t="shared" si="4"/>
        <v>0.76274002954209752</v>
      </c>
      <c r="G95">
        <f t="shared" ca="1" si="5"/>
        <v>93</v>
      </c>
      <c r="H95">
        <f t="shared" ca="1" si="6"/>
        <v>70.934822747415069</v>
      </c>
      <c r="I95">
        <f t="shared" ca="1" si="7"/>
        <v>49.543906102388021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153821</v>
      </c>
      <c r="B98" s="66">
        <v>153821</v>
      </c>
      <c r="D98">
        <f t="shared" si="4"/>
        <v>0.83532995916239461</v>
      </c>
      <c r="E98">
        <f t="shared" si="4"/>
        <v>0.83532995916239461</v>
      </c>
      <c r="G98">
        <f t="shared" ca="1" si="5"/>
        <v>96</v>
      </c>
      <c r="H98">
        <f t="shared" ca="1" si="6"/>
        <v>80.191676079589882</v>
      </c>
      <c r="I98">
        <f t="shared" ca="1" si="7"/>
        <v>21.383031924630657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157461</v>
      </c>
      <c r="B100" s="66">
        <v>157461</v>
      </c>
      <c r="D100">
        <f t="shared" si="4"/>
        <v>0.8550970979233643</v>
      </c>
      <c r="E100">
        <f t="shared" si="4"/>
        <v>0.8550970979233643</v>
      </c>
      <c r="G100">
        <f t="shared" ca="1" si="5"/>
        <v>98</v>
      </c>
      <c r="H100">
        <f t="shared" ca="1" si="6"/>
        <v>83.799515596489698</v>
      </c>
      <c r="I100">
        <f t="shared" ca="1" si="7"/>
        <v>8.0040496885838763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169248</v>
      </c>
      <c r="B103" s="66">
        <v>169248</v>
      </c>
      <c r="D103">
        <f t="shared" si="4"/>
        <v>0.91910678599357021</v>
      </c>
      <c r="E103">
        <f t="shared" si="4"/>
        <v>0.91910678599357021</v>
      </c>
      <c r="G103">
        <f t="shared" ca="1" si="5"/>
        <v>101</v>
      </c>
      <c r="H103">
        <f t="shared" ca="1" si="6"/>
        <v>92.82978538535059</v>
      </c>
      <c r="I103">
        <f t="shared" ca="1" si="7"/>
        <v>3.2513365830347482E-3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170019</v>
      </c>
      <c r="B106" s="66">
        <v>170019</v>
      </c>
      <c r="D106">
        <f t="shared" si="4"/>
        <v>0.92329372664870968</v>
      </c>
      <c r="E106">
        <f t="shared" si="4"/>
        <v>0.92329372664870968</v>
      </c>
      <c r="G106">
        <f t="shared" ca="1" si="5"/>
        <v>104</v>
      </c>
      <c r="H106">
        <f t="shared" ca="1" si="6"/>
        <v>96.022547571465807</v>
      </c>
      <c r="I106">
        <f t="shared" ca="1" si="7"/>
        <v>7.9834220579623132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176129</v>
      </c>
      <c r="B108" s="66">
        <v>176129</v>
      </c>
      <c r="D108">
        <f t="shared" si="4"/>
        <v>0.95647428099748022</v>
      </c>
      <c r="E108">
        <f t="shared" si="4"/>
        <v>0.95647428099748022</v>
      </c>
      <c r="G108">
        <f t="shared" ca="1" si="5"/>
        <v>106</v>
      </c>
      <c r="H108">
        <f t="shared" ca="1" si="6"/>
        <v>101.3862737857329</v>
      </c>
      <c r="I108">
        <f t="shared" ca="1" si="7"/>
        <v>23.346359749881966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184144</v>
      </c>
      <c r="B111" s="66">
        <v>184144</v>
      </c>
      <c r="D111">
        <f t="shared" si="4"/>
        <v>1</v>
      </c>
      <c r="E111">
        <f t="shared" si="4"/>
        <v>1</v>
      </c>
      <c r="G111">
        <f t="shared" ca="1" si="5"/>
        <v>109</v>
      </c>
      <c r="H111">
        <f t="shared" ca="1" si="6"/>
        <v>109</v>
      </c>
      <c r="I111">
        <f t="shared" ca="1" si="7"/>
        <v>63.051907853172231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182358</v>
      </c>
      <c r="B113" s="66">
        <v>182358</v>
      </c>
      <c r="D113">
        <f t="shared" si="4"/>
        <v>0.99030106872882095</v>
      </c>
      <c r="E113">
        <f t="shared" si="4"/>
        <v>0.99030106872882095</v>
      </c>
      <c r="G113">
        <f t="shared" ca="1" si="5"/>
        <v>111</v>
      </c>
      <c r="H113">
        <f t="shared" ca="1" si="6"/>
        <v>109.92341862889913</v>
      </c>
      <c r="I113">
        <f t="shared" ca="1" si="7"/>
        <v>97.855610243542472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183152</v>
      </c>
      <c r="B116" s="66">
        <v>183152</v>
      </c>
      <c r="D116">
        <f t="shared" si="4"/>
        <v>0.99461291163437315</v>
      </c>
      <c r="E116">
        <f t="shared" si="4"/>
        <v>0.99461291163437315</v>
      </c>
      <c r="G116">
        <f t="shared" ca="1" si="5"/>
        <v>114</v>
      </c>
      <c r="H116">
        <f t="shared" ca="1" si="6"/>
        <v>113.38587192631854</v>
      </c>
      <c r="I116">
        <f t="shared" ca="1" si="7"/>
        <v>166.55503291939573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180029</v>
      </c>
      <c r="B118" s="66">
        <v>180029</v>
      </c>
      <c r="D118">
        <f t="shared" si="4"/>
        <v>0.97765335824137634</v>
      </c>
      <c r="E118">
        <f t="shared" si="4"/>
        <v>0.97765335824137634</v>
      </c>
      <c r="G118">
        <f t="shared" ca="1" si="5"/>
        <v>116</v>
      </c>
      <c r="H118">
        <f t="shared" ca="1" si="6"/>
        <v>113.40778955599966</v>
      </c>
      <c r="I118">
        <f t="shared" ca="1" si="7"/>
        <v>218.23103170643896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175622</v>
      </c>
      <c r="B121" s="66">
        <v>175622</v>
      </c>
      <c r="D121">
        <f t="shared" si="4"/>
        <v>0.95372100095577372</v>
      </c>
      <c r="E121">
        <f t="shared" si="4"/>
        <v>0.95372100095577372</v>
      </c>
      <c r="G121">
        <f t="shared" ca="1" si="5"/>
        <v>119</v>
      </c>
      <c r="H121">
        <f t="shared" ca="1" si="6"/>
        <v>113.49279911373708</v>
      </c>
      <c r="I121">
        <f t="shared" ca="1" si="7"/>
        <v>306.96690244902351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168648</v>
      </c>
      <c r="B124" s="66">
        <v>168648</v>
      </c>
      <c r="D124">
        <f t="shared" si="4"/>
        <v>0.91584846641758622</v>
      </c>
      <c r="E124">
        <f t="shared" si="4"/>
        <v>0.91584846641758622</v>
      </c>
      <c r="G124">
        <f t="shared" ca="1" si="5"/>
        <v>122</v>
      </c>
      <c r="H124">
        <f t="shared" ca="1" si="6"/>
        <v>111.73351290294552</v>
      </c>
      <c r="I124">
        <f t="shared" ca="1" si="7"/>
        <v>401.6045985593596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161147</v>
      </c>
      <c r="B126" s="66">
        <v>161147</v>
      </c>
      <c r="D126">
        <f t="shared" si="4"/>
        <v>0.87511404118515945</v>
      </c>
      <c r="E126">
        <f t="shared" si="4"/>
        <v>0.87511404118515945</v>
      </c>
      <c r="G126">
        <f t="shared" ca="1" si="5"/>
        <v>124</v>
      </c>
      <c r="H126">
        <f t="shared" ca="1" si="6"/>
        <v>108.51414110695977</v>
      </c>
      <c r="I126">
        <f t="shared" ca="1" si="7"/>
        <v>460.54416816982842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153816</v>
      </c>
      <c r="B129" s="66">
        <v>153816</v>
      </c>
      <c r="D129">
        <f t="shared" si="4"/>
        <v>0.83530280649926147</v>
      </c>
      <c r="E129">
        <f t="shared" si="4"/>
        <v>0.83530280649926147</v>
      </c>
      <c r="G129">
        <f t="shared" ca="1" si="5"/>
        <v>127</v>
      </c>
      <c r="H129">
        <f t="shared" ca="1" si="6"/>
        <v>106.08345642540621</v>
      </c>
      <c r="I129">
        <f t="shared" ca="1" si="7"/>
        <v>562.08423061177314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148110</v>
      </c>
      <c r="B131" s="66">
        <v>148110</v>
      </c>
      <c r="D131">
        <f t="shared" ref="D131:E194" si="8">IFERROR( A131/MAX(A$2:A$257), 0 )</f>
        <v>0.80431618733165344</v>
      </c>
      <c r="E131">
        <f t="shared" si="8"/>
        <v>0.80431618733165344</v>
      </c>
      <c r="G131">
        <f t="shared" ref="G131:G194" ca="1" si="9">CELL("row",D131)-2</f>
        <v>129</v>
      </c>
      <c r="H131">
        <f t="shared" ref="H131:H194" ca="1" si="10">D131*G131</f>
        <v>103.75678816578329</v>
      </c>
      <c r="I131">
        <f t="shared" ref="I131:I194" ca="1" si="11">D131*((G131-$L$1)^2)</f>
        <v>627.90779719205443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138226</v>
      </c>
      <c r="B134" s="66">
        <v>138226</v>
      </c>
      <c r="D134">
        <f t="shared" si="8"/>
        <v>0.7506408028499435</v>
      </c>
      <c r="E134">
        <f t="shared" si="8"/>
        <v>0.7506408028499435</v>
      </c>
      <c r="G134">
        <f t="shared" ca="1" si="9"/>
        <v>132</v>
      </c>
      <c r="H134">
        <f t="shared" ca="1" si="10"/>
        <v>99.084585976192542</v>
      </c>
      <c r="I134">
        <f t="shared" ca="1" si="11"/>
        <v>718.60043027608015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124111</v>
      </c>
      <c r="B136" s="66">
        <v>124111</v>
      </c>
      <c r="D136">
        <f t="shared" si="8"/>
        <v>0.67398883482491967</v>
      </c>
      <c r="E136">
        <f t="shared" si="8"/>
        <v>0.67398883482491967</v>
      </c>
      <c r="G136">
        <f t="shared" ca="1" si="9"/>
        <v>134</v>
      </c>
      <c r="H136">
        <f t="shared" ca="1" si="10"/>
        <v>90.314503866539241</v>
      </c>
      <c r="I136">
        <f t="shared" ca="1" si="11"/>
        <v>731.33050087124889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118775</v>
      </c>
      <c r="B139" s="66">
        <v>118775</v>
      </c>
      <c r="D139">
        <f t="shared" si="8"/>
        <v>0.64501151272916846</v>
      </c>
      <c r="E139">
        <f t="shared" si="8"/>
        <v>0.64501151272916846</v>
      </c>
      <c r="G139">
        <f t="shared" ca="1" si="9"/>
        <v>137</v>
      </c>
      <c r="H139">
        <f t="shared" ca="1" si="10"/>
        <v>88.366577243896074</v>
      </c>
      <c r="I139">
        <f t="shared" ca="1" si="11"/>
        <v>833.17504788298663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116373</v>
      </c>
      <c r="B142" s="66">
        <v>116373</v>
      </c>
      <c r="D142">
        <f t="shared" si="8"/>
        <v>0.6319673733599791</v>
      </c>
      <c r="E142">
        <f t="shared" si="8"/>
        <v>0.6319673733599791</v>
      </c>
      <c r="G142">
        <f t="shared" ca="1" si="9"/>
        <v>140</v>
      </c>
      <c r="H142">
        <f t="shared" ca="1" si="10"/>
        <v>88.475432270397079</v>
      </c>
      <c r="I142">
        <f t="shared" ca="1" si="11"/>
        <v>958.29279089434976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110769</v>
      </c>
      <c r="B144" s="66">
        <v>110769</v>
      </c>
      <c r="D144">
        <f t="shared" si="8"/>
        <v>0.60153466852028847</v>
      </c>
      <c r="E144">
        <f t="shared" si="8"/>
        <v>0.60153466852028847</v>
      </c>
      <c r="G144">
        <f t="shared" ca="1" si="9"/>
        <v>142</v>
      </c>
      <c r="H144">
        <f t="shared" ca="1" si="10"/>
        <v>85.417922929880959</v>
      </c>
      <c r="I144">
        <f t="shared" ca="1" si="11"/>
        <v>1008.2481598225963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98695</v>
      </c>
      <c r="B147" s="66">
        <v>98695</v>
      </c>
      <c r="D147">
        <f t="shared" si="8"/>
        <v>0.53596641758623687</v>
      </c>
      <c r="E147">
        <f t="shared" si="8"/>
        <v>0.53596641758623687</v>
      </c>
      <c r="G147">
        <f t="shared" ca="1" si="9"/>
        <v>145</v>
      </c>
      <c r="H147">
        <f t="shared" ca="1" si="10"/>
        <v>77.715130550004346</v>
      </c>
      <c r="I147">
        <f t="shared" ca="1" si="11"/>
        <v>1034.8276520080585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88943</v>
      </c>
      <c r="B149" s="66">
        <v>88943</v>
      </c>
      <c r="D149">
        <f t="shared" si="8"/>
        <v>0.48300786341124335</v>
      </c>
      <c r="E149">
        <f t="shared" si="8"/>
        <v>0.48300786341124335</v>
      </c>
      <c r="G149">
        <f t="shared" ca="1" si="9"/>
        <v>147</v>
      </c>
      <c r="H149">
        <f t="shared" ca="1" si="10"/>
        <v>71.002155921452768</v>
      </c>
      <c r="I149">
        <f t="shared" ca="1" si="11"/>
        <v>1019.4033911634547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81847</v>
      </c>
      <c r="B152" s="66">
        <v>81847</v>
      </c>
      <c r="D152">
        <f t="shared" si="8"/>
        <v>0.44447280389260579</v>
      </c>
      <c r="E152">
        <f t="shared" si="8"/>
        <v>0.44447280389260579</v>
      </c>
      <c r="G152">
        <f t="shared" ca="1" si="9"/>
        <v>150</v>
      </c>
      <c r="H152">
        <f t="shared" ca="1" si="10"/>
        <v>66.670920583890876</v>
      </c>
      <c r="I152">
        <f t="shared" ca="1" si="11"/>
        <v>1064.5900618062606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73905</v>
      </c>
      <c r="B154" s="66">
        <v>73905</v>
      </c>
      <c r="D154">
        <f t="shared" si="8"/>
        <v>0.40134351377183075</v>
      </c>
      <c r="E154">
        <f t="shared" si="8"/>
        <v>0.40134351377183075</v>
      </c>
      <c r="G154">
        <f t="shared" ca="1" si="9"/>
        <v>152</v>
      </c>
      <c r="H154">
        <f t="shared" ca="1" si="10"/>
        <v>61.004214093318275</v>
      </c>
      <c r="I154">
        <f t="shared" ca="1" si="11"/>
        <v>1041.4610928693771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63844</v>
      </c>
      <c r="B157" s="66">
        <v>63844</v>
      </c>
      <c r="D157">
        <f t="shared" si="8"/>
        <v>0.3467069250152055</v>
      </c>
      <c r="E157">
        <f t="shared" si="8"/>
        <v>0.3467069250152055</v>
      </c>
      <c r="G157">
        <f t="shared" ca="1" si="9"/>
        <v>155</v>
      </c>
      <c r="H157">
        <f t="shared" ca="1" si="10"/>
        <v>53.739573377356855</v>
      </c>
      <c r="I157">
        <f t="shared" ca="1" si="11"/>
        <v>1008.7715478549686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57347</v>
      </c>
      <c r="B160" s="66">
        <v>57347</v>
      </c>
      <c r="D160">
        <f t="shared" si="8"/>
        <v>0.3114247545399253</v>
      </c>
      <c r="E160">
        <f t="shared" si="8"/>
        <v>0.3114247545399253</v>
      </c>
      <c r="G160">
        <f t="shared" ca="1" si="9"/>
        <v>158</v>
      </c>
      <c r="H160">
        <f t="shared" ca="1" si="10"/>
        <v>49.2051112173082</v>
      </c>
      <c r="I160">
        <f t="shared" ca="1" si="11"/>
        <v>1009.7085568400273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45201</v>
      </c>
      <c r="B162" s="66">
        <v>45201</v>
      </c>
      <c r="D162">
        <f t="shared" si="8"/>
        <v>0.24546550525675559</v>
      </c>
      <c r="E162">
        <f t="shared" si="8"/>
        <v>0.24546550525675559</v>
      </c>
      <c r="G162">
        <f t="shared" ca="1" si="9"/>
        <v>160</v>
      </c>
      <c r="H162">
        <f t="shared" ca="1" si="10"/>
        <v>39.274480841080894</v>
      </c>
      <c r="I162">
        <f t="shared" ca="1" si="11"/>
        <v>852.74354928018397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37284</v>
      </c>
      <c r="B165" s="66">
        <v>37284</v>
      </c>
      <c r="D165">
        <f t="shared" si="8"/>
        <v>0.20247197845164655</v>
      </c>
      <c r="E165">
        <f t="shared" si="8"/>
        <v>0.20247197845164655</v>
      </c>
      <c r="G165">
        <f t="shared" ca="1" si="9"/>
        <v>163</v>
      </c>
      <c r="H165">
        <f t="shared" ca="1" si="10"/>
        <v>33.002932487618388</v>
      </c>
      <c r="I165">
        <f t="shared" ca="1" si="11"/>
        <v>776.80974430377887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33855</v>
      </c>
      <c r="B167" s="66">
        <v>33855</v>
      </c>
      <c r="D167">
        <f t="shared" si="8"/>
        <v>0.18385068207489791</v>
      </c>
      <c r="E167">
        <f t="shared" si="8"/>
        <v>0.18385068207489791</v>
      </c>
      <c r="G167">
        <f t="shared" ca="1" si="9"/>
        <v>165</v>
      </c>
      <c r="H167">
        <f t="shared" ca="1" si="10"/>
        <v>30.335362542358155</v>
      </c>
      <c r="I167">
        <f t="shared" ca="1" si="11"/>
        <v>751.65338207849607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30045</v>
      </c>
      <c r="B170" s="66">
        <v>30045</v>
      </c>
      <c r="D170">
        <f t="shared" si="8"/>
        <v>0.16316035276739943</v>
      </c>
      <c r="E170">
        <f t="shared" si="8"/>
        <v>0.16316035276739943</v>
      </c>
      <c r="G170">
        <f t="shared" ca="1" si="9"/>
        <v>168</v>
      </c>
      <c r="H170">
        <f t="shared" ca="1" si="10"/>
        <v>27.410939264923105</v>
      </c>
      <c r="I170">
        <f t="shared" ca="1" si="11"/>
        <v>731.12702934053914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24707</v>
      </c>
      <c r="B173" s="66">
        <v>24707</v>
      </c>
      <c r="D173">
        <f t="shared" si="8"/>
        <v>0.134172169606395</v>
      </c>
      <c r="E173">
        <f t="shared" si="8"/>
        <v>0.134172169606395</v>
      </c>
      <c r="G173">
        <f t="shared" ca="1" si="9"/>
        <v>171</v>
      </c>
      <c r="H173">
        <f t="shared" ca="1" si="10"/>
        <v>22.943441002693543</v>
      </c>
      <c r="I173">
        <f t="shared" ca="1" si="11"/>
        <v>656.3268863337446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17989</v>
      </c>
      <c r="B175" s="66">
        <v>17989</v>
      </c>
      <c r="D175">
        <f t="shared" si="8"/>
        <v>9.7689851420627333E-2</v>
      </c>
      <c r="E175">
        <f t="shared" si="8"/>
        <v>9.7689851420627333E-2</v>
      </c>
      <c r="G175">
        <f t="shared" ca="1" si="9"/>
        <v>173</v>
      </c>
      <c r="H175">
        <f t="shared" ca="1" si="10"/>
        <v>16.90034429576853</v>
      </c>
      <c r="I175">
        <f t="shared" ca="1" si="11"/>
        <v>505.58785431624955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13533</v>
      </c>
      <c r="B178" s="66">
        <v>13533</v>
      </c>
      <c r="D178">
        <f t="shared" si="8"/>
        <v>7.3491398036319405E-2</v>
      </c>
      <c r="E178">
        <f t="shared" si="8"/>
        <v>7.3491398036319405E-2</v>
      </c>
      <c r="G178">
        <f t="shared" ca="1" si="9"/>
        <v>176</v>
      </c>
      <c r="H178">
        <f t="shared" ca="1" si="10"/>
        <v>12.934486054392215</v>
      </c>
      <c r="I178">
        <f t="shared" ca="1" si="11"/>
        <v>412.73371837171851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8385</v>
      </c>
      <c r="B180" s="66">
        <v>8385</v>
      </c>
      <c r="D180">
        <f t="shared" si="8"/>
        <v>4.5535016074376572E-2</v>
      </c>
      <c r="E180">
        <f t="shared" si="8"/>
        <v>4.5535016074376572E-2</v>
      </c>
      <c r="G180">
        <f t="shared" ca="1" si="9"/>
        <v>178</v>
      </c>
      <c r="H180">
        <f t="shared" ca="1" si="10"/>
        <v>8.1052328612390294</v>
      </c>
      <c r="I180">
        <f t="shared" ca="1" si="11"/>
        <v>269.56019635074017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6695</v>
      </c>
      <c r="B183" s="66">
        <v>6695</v>
      </c>
      <c r="D183">
        <f t="shared" si="8"/>
        <v>3.6357415935354936E-2</v>
      </c>
      <c r="E183">
        <f t="shared" si="8"/>
        <v>3.6357415935354936E-2</v>
      </c>
      <c r="G183">
        <f t="shared" ca="1" si="9"/>
        <v>181</v>
      </c>
      <c r="H183">
        <f t="shared" ca="1" si="10"/>
        <v>6.5806922842992437</v>
      </c>
      <c r="I183">
        <f t="shared" ca="1" si="11"/>
        <v>232.34160265307659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5516</v>
      </c>
      <c r="B185" s="66">
        <v>5516</v>
      </c>
      <c r="D185">
        <f t="shared" si="8"/>
        <v>2.9954817968546356E-2</v>
      </c>
      <c r="E185">
        <f t="shared" si="8"/>
        <v>2.9954817968546356E-2</v>
      </c>
      <c r="G185">
        <f t="shared" ca="1" si="9"/>
        <v>183</v>
      </c>
      <c r="H185">
        <f t="shared" ca="1" si="10"/>
        <v>5.4817316882439835</v>
      </c>
      <c r="I185">
        <f t="shared" ca="1" si="11"/>
        <v>201.12411658512835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3663</v>
      </c>
      <c r="B188" s="66">
        <v>3663</v>
      </c>
      <c r="D188">
        <f t="shared" si="8"/>
        <v>1.9892041011382398E-2</v>
      </c>
      <c r="E188">
        <f t="shared" si="8"/>
        <v>1.9892041011382398E-2</v>
      </c>
      <c r="G188">
        <f t="shared" ca="1" si="9"/>
        <v>186</v>
      </c>
      <c r="H188">
        <f t="shared" ca="1" si="10"/>
        <v>3.6999196281171258</v>
      </c>
      <c r="I188">
        <f t="shared" ca="1" si="11"/>
        <v>143.51893695649801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2279</v>
      </c>
      <c r="B191" s="66">
        <v>2279</v>
      </c>
      <c r="D191">
        <f t="shared" si="8"/>
        <v>1.2376183856112607E-2</v>
      </c>
      <c r="E191">
        <f t="shared" si="8"/>
        <v>1.2376183856112607E-2</v>
      </c>
      <c r="G191">
        <f t="shared" ca="1" si="9"/>
        <v>189</v>
      </c>
      <c r="H191">
        <f t="shared" ca="1" si="10"/>
        <v>2.3390987488052826</v>
      </c>
      <c r="I191">
        <f t="shared" ca="1" si="11"/>
        <v>95.711658584788168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1421</v>
      </c>
      <c r="B193" s="66">
        <v>1421</v>
      </c>
      <c r="D193">
        <f t="shared" si="8"/>
        <v>7.7167868624554697E-3</v>
      </c>
      <c r="E193">
        <f t="shared" si="8"/>
        <v>7.7167868624554697E-3</v>
      </c>
      <c r="G193">
        <f t="shared" ca="1" si="9"/>
        <v>191</v>
      </c>
      <c r="H193">
        <f t="shared" ca="1" si="10"/>
        <v>1.4739062907289948</v>
      </c>
      <c r="I193">
        <f t="shared" ca="1" si="11"/>
        <v>62.423386248827534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326</v>
      </c>
      <c r="B196" s="66">
        <v>326</v>
      </c>
      <c r="D196">
        <f t="shared" si="12"/>
        <v>1.7703536362846468E-3</v>
      </c>
      <c r="E196">
        <f t="shared" si="12"/>
        <v>1.7703536362846468E-3</v>
      </c>
      <c r="G196">
        <f t="shared" ca="1" si="13"/>
        <v>194</v>
      </c>
      <c r="H196">
        <f t="shared" ca="1" si="14"/>
        <v>0.34344860543922151</v>
      </c>
      <c r="I196">
        <f t="shared" ca="1" si="15"/>
        <v>15.292209981236285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231</v>
      </c>
      <c r="B198" s="66">
        <v>231</v>
      </c>
      <c r="D198">
        <f t="shared" si="12"/>
        <v>1.2544530367538448E-3</v>
      </c>
      <c r="E198">
        <f t="shared" si="12"/>
        <v>1.2544530367538448E-3</v>
      </c>
      <c r="G198">
        <f t="shared" ca="1" si="13"/>
        <v>196</v>
      </c>
      <c r="H198">
        <f t="shared" ca="1" si="14"/>
        <v>0.24587279520375357</v>
      </c>
      <c r="I198">
        <f t="shared" ca="1" si="15"/>
        <v>11.307267019819179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403</v>
      </c>
      <c r="B1" s="66" t="s">
        <v>405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89.513096071682327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1.7282732248246333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0.68291538541311991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2110</v>
      </c>
      <c r="B8" s="66">
        <v>2110</v>
      </c>
      <c r="D8">
        <f t="shared" si="0"/>
        <v>2.6218345386316759</v>
      </c>
      <c r="E8">
        <f t="shared" si="1"/>
        <v>2.6218345386316759</v>
      </c>
      <c r="G8">
        <f t="shared" ca="1" si="2"/>
        <v>6</v>
      </c>
      <c r="H8">
        <f t="shared" ca="1" si="3"/>
        <v>15.731007231790056</v>
      </c>
      <c r="I8">
        <f t="shared" ca="1" si="4"/>
        <v>18285.820379058463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2731</v>
      </c>
      <c r="B10" s="66">
        <v>2731</v>
      </c>
      <c r="D10">
        <f t="shared" si="0"/>
        <v>3.3934739928924675</v>
      </c>
      <c r="E10">
        <f t="shared" si="1"/>
        <v>3.3934739928924675</v>
      </c>
      <c r="G10">
        <f t="shared" ca="1" si="2"/>
        <v>8</v>
      </c>
      <c r="H10">
        <f t="shared" ca="1" si="3"/>
        <v>27.14779194313974</v>
      </c>
      <c r="I10">
        <f t="shared" ca="1" si="4"/>
        <v>22547.547123416927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5645</v>
      </c>
      <c r="B13" s="66">
        <v>5645</v>
      </c>
      <c r="D13">
        <f t="shared" si="0"/>
        <v>7.0143393225477766</v>
      </c>
      <c r="E13">
        <f t="shared" si="1"/>
        <v>7.0143393225477766</v>
      </c>
      <c r="G13">
        <f t="shared" ca="1" si="2"/>
        <v>11</v>
      </c>
      <c r="H13">
        <f t="shared" ca="1" si="3"/>
        <v>77.157732548025535</v>
      </c>
      <c r="I13">
        <f t="shared" ca="1" si="4"/>
        <v>43238.535758998827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6429</v>
      </c>
      <c r="B15" s="66">
        <v>6429</v>
      </c>
      <c r="D15">
        <f t="shared" si="0"/>
        <v>7.9885186013568923</v>
      </c>
      <c r="E15">
        <f t="shared" si="1"/>
        <v>7.9885186013568923</v>
      </c>
      <c r="G15">
        <f t="shared" ca="1" si="2"/>
        <v>13</v>
      </c>
      <c r="H15">
        <f t="shared" ca="1" si="3"/>
        <v>103.8507418176396</v>
      </c>
      <c r="I15">
        <f t="shared" ca="1" si="4"/>
        <v>46766.815941351044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9799</v>
      </c>
      <c r="B18" s="66">
        <v>9799</v>
      </c>
      <c r="D18">
        <f t="shared" si="0"/>
        <v>12.175998409503219</v>
      </c>
      <c r="E18">
        <f t="shared" si="1"/>
        <v>12.175998409503219</v>
      </c>
      <c r="G18">
        <f t="shared" ca="1" si="2"/>
        <v>16</v>
      </c>
      <c r="H18">
        <f t="shared" ca="1" si="3"/>
        <v>194.8159745520515</v>
      </c>
      <c r="I18">
        <f t="shared" ca="1" si="4"/>
        <v>65801.22978496115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15545</v>
      </c>
      <c r="B21" s="66">
        <v>15545</v>
      </c>
      <c r="D21">
        <f t="shared" si="0"/>
        <v>19.315837868734313</v>
      </c>
      <c r="E21">
        <f t="shared" si="1"/>
        <v>19.315837868734313</v>
      </c>
      <c r="G21">
        <f t="shared" ca="1" si="2"/>
        <v>19</v>
      </c>
      <c r="H21">
        <f t="shared" ca="1" si="3"/>
        <v>367.00091950595197</v>
      </c>
      <c r="I21">
        <f t="shared" ca="1" si="4"/>
        <v>96040.214065103894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23888</v>
      </c>
      <c r="B23" s="66">
        <v>23888</v>
      </c>
      <c r="D23">
        <f t="shared" si="0"/>
        <v>29.682646189020602</v>
      </c>
      <c r="E23">
        <f t="shared" si="1"/>
        <v>29.682646189020602</v>
      </c>
      <c r="G23">
        <f t="shared" ca="1" si="2"/>
        <v>21</v>
      </c>
      <c r="H23">
        <f t="shared" ca="1" si="3"/>
        <v>623.33556996943264</v>
      </c>
      <c r="I23">
        <f t="shared" ca="1" si="4"/>
        <v>139331.65714173942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26413</v>
      </c>
      <c r="B26" s="66">
        <v>26413</v>
      </c>
      <c r="D26">
        <f t="shared" si="0"/>
        <v>32.820149606103534</v>
      </c>
      <c r="E26">
        <f t="shared" si="1"/>
        <v>32.820149606103534</v>
      </c>
      <c r="G26">
        <f t="shared" ca="1" si="2"/>
        <v>24</v>
      </c>
      <c r="H26">
        <f t="shared" ca="1" si="3"/>
        <v>787.68359054648477</v>
      </c>
      <c r="I26">
        <f t="shared" ca="1" si="4"/>
        <v>140862.95824564862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32384</v>
      </c>
      <c r="B28" s="66">
        <v>32384</v>
      </c>
      <c r="D28">
        <f t="shared" si="0"/>
        <v>40.239568577747953</v>
      </c>
      <c r="E28">
        <f t="shared" si="1"/>
        <v>40.239568577747953</v>
      </c>
      <c r="G28">
        <f t="shared" ca="1" si="2"/>
        <v>26</v>
      </c>
      <c r="H28">
        <f t="shared" ca="1" si="3"/>
        <v>1046.2287830214468</v>
      </c>
      <c r="I28">
        <f t="shared" ca="1" si="4"/>
        <v>162322.93379386477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32366</v>
      </c>
      <c r="B31" s="66">
        <v>32366</v>
      </c>
      <c r="D31">
        <f t="shared" si="0"/>
        <v>40.217202216754892</v>
      </c>
      <c r="E31">
        <f t="shared" si="1"/>
        <v>40.217202216754892</v>
      </c>
      <c r="G31">
        <f t="shared" ca="1" si="2"/>
        <v>29</v>
      </c>
      <c r="H31">
        <f t="shared" ca="1" si="3"/>
        <v>1166.2988642858918</v>
      </c>
      <c r="I31">
        <f t="shared" ca="1" si="4"/>
        <v>147268.75048234683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37114</v>
      </c>
      <c r="B33" s="66">
        <v>37114</v>
      </c>
      <c r="D33">
        <f t="shared" si="0"/>
        <v>46.116951216481525</v>
      </c>
      <c r="E33">
        <f t="shared" si="1"/>
        <v>46.116951216481525</v>
      </c>
      <c r="G33">
        <f t="shared" ca="1" si="2"/>
        <v>31</v>
      </c>
      <c r="H33">
        <f t="shared" ca="1" si="3"/>
        <v>1429.6254877109272</v>
      </c>
      <c r="I33">
        <f t="shared" ca="1" si="4"/>
        <v>157894.40646515961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34475</v>
      </c>
      <c r="B36" s="66">
        <v>34475</v>
      </c>
      <c r="D36">
        <f t="shared" si="0"/>
        <v>42.837794179775841</v>
      </c>
      <c r="E36">
        <f t="shared" si="1"/>
        <v>42.837794179775841</v>
      </c>
      <c r="G36">
        <f t="shared" ca="1" si="2"/>
        <v>34</v>
      </c>
      <c r="H36">
        <f t="shared" ca="1" si="3"/>
        <v>1456.4850021123787</v>
      </c>
      <c r="I36">
        <f t="shared" ca="1" si="4"/>
        <v>132013.39462662541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34252</v>
      </c>
      <c r="B39" s="66">
        <v>34252</v>
      </c>
      <c r="D39">
        <f t="shared" si="0"/>
        <v>42.560699818583963</v>
      </c>
      <c r="E39">
        <f t="shared" si="1"/>
        <v>42.560699818583963</v>
      </c>
      <c r="G39">
        <f t="shared" ca="1" si="2"/>
        <v>37</v>
      </c>
      <c r="H39">
        <f t="shared" ca="1" si="3"/>
        <v>1574.7458932876066</v>
      </c>
      <c r="I39">
        <f t="shared" ca="1" si="4"/>
        <v>117366.46086187975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35245</v>
      </c>
      <c r="B41" s="66">
        <v>35245</v>
      </c>
      <c r="D41">
        <f t="shared" si="0"/>
        <v>43.79457740003479</v>
      </c>
      <c r="E41">
        <f t="shared" si="1"/>
        <v>43.79457740003479</v>
      </c>
      <c r="G41">
        <f t="shared" ca="1" si="2"/>
        <v>39</v>
      </c>
      <c r="H41">
        <f t="shared" ca="1" si="3"/>
        <v>1707.9885186013569</v>
      </c>
      <c r="I41">
        <f t="shared" ca="1" si="4"/>
        <v>111745.05575493713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36880</v>
      </c>
      <c r="B44" s="66">
        <v>36880</v>
      </c>
      <c r="D44">
        <f t="shared" si="0"/>
        <v>45.826188523571659</v>
      </c>
      <c r="E44">
        <f t="shared" si="1"/>
        <v>45.826188523571659</v>
      </c>
      <c r="G44">
        <f t="shared" ca="1" si="2"/>
        <v>42</v>
      </c>
      <c r="H44">
        <f t="shared" ca="1" si="3"/>
        <v>1924.6999179900097</v>
      </c>
      <c r="I44">
        <f t="shared" ca="1" si="4"/>
        <v>103452.35930555903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38648</v>
      </c>
      <c r="B46" s="66">
        <v>38648</v>
      </c>
      <c r="D46">
        <f t="shared" si="0"/>
        <v>48.023062203335073</v>
      </c>
      <c r="E46">
        <f t="shared" si="1"/>
        <v>48.023062203335073</v>
      </c>
      <c r="G46">
        <f t="shared" ca="1" si="2"/>
        <v>44</v>
      </c>
      <c r="H46">
        <f t="shared" ca="1" si="3"/>
        <v>2113.0147369467431</v>
      </c>
      <c r="I46">
        <f t="shared" ca="1" si="4"/>
        <v>99476.983888067043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42654</v>
      </c>
      <c r="B49" s="66">
        <v>42654</v>
      </c>
      <c r="D49">
        <f t="shared" si="0"/>
        <v>53.000820099903081</v>
      </c>
      <c r="E49">
        <f t="shared" si="1"/>
        <v>53.000820099903081</v>
      </c>
      <c r="G49">
        <f t="shared" ca="1" si="2"/>
        <v>47</v>
      </c>
      <c r="H49">
        <f t="shared" ca="1" si="3"/>
        <v>2491.0385446954447</v>
      </c>
      <c r="I49">
        <f t="shared" ca="1" si="4"/>
        <v>95791.739111302828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46144</v>
      </c>
      <c r="B51" s="66">
        <v>46144</v>
      </c>
      <c r="D51">
        <f t="shared" si="0"/>
        <v>57.337408981336516</v>
      </c>
      <c r="E51">
        <f t="shared" si="1"/>
        <v>57.337408981336516</v>
      </c>
      <c r="G51">
        <f t="shared" ca="1" si="2"/>
        <v>49</v>
      </c>
      <c r="H51">
        <f t="shared" ca="1" si="3"/>
        <v>2809.5330400854891</v>
      </c>
      <c r="I51">
        <f t="shared" ca="1" si="4"/>
        <v>94108.517395675561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47685</v>
      </c>
      <c r="B54" s="66">
        <v>47685</v>
      </c>
      <c r="D54">
        <f t="shared" si="0"/>
        <v>59.252217997465145</v>
      </c>
      <c r="E54">
        <f t="shared" si="1"/>
        <v>59.252217997465145</v>
      </c>
      <c r="G54">
        <f t="shared" ca="1" si="2"/>
        <v>52</v>
      </c>
      <c r="H54">
        <f t="shared" ca="1" si="3"/>
        <v>3081.1153358681877</v>
      </c>
      <c r="I54">
        <f t="shared" ca="1" si="4"/>
        <v>83381.63956817842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49826</v>
      </c>
      <c r="B57" s="66">
        <v>49826</v>
      </c>
      <c r="D57">
        <f t="shared" si="0"/>
        <v>61.912572380029324</v>
      </c>
      <c r="E57">
        <f t="shared" si="1"/>
        <v>61.912572380029324</v>
      </c>
      <c r="G57">
        <f t="shared" ca="1" si="2"/>
        <v>55</v>
      </c>
      <c r="H57">
        <f t="shared" ca="1" si="3"/>
        <v>3405.191480901613</v>
      </c>
      <c r="I57">
        <f t="shared" ca="1" si="4"/>
        <v>73747.395886304133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55298</v>
      </c>
      <c r="B59" s="66">
        <v>55298</v>
      </c>
      <c r="D59">
        <f t="shared" si="0"/>
        <v>68.711946121921514</v>
      </c>
      <c r="E59">
        <f t="shared" si="1"/>
        <v>68.711946121921514</v>
      </c>
      <c r="G59">
        <f t="shared" ca="1" si="2"/>
        <v>57</v>
      </c>
      <c r="H59">
        <f t="shared" ca="1" si="3"/>
        <v>3916.5809289495264</v>
      </c>
      <c r="I59">
        <f t="shared" ca="1" si="4"/>
        <v>72635.495553035682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57333</v>
      </c>
      <c r="B62" s="66">
        <v>57333</v>
      </c>
      <c r="D62">
        <f t="shared" si="0"/>
        <v>71.240587489748748</v>
      </c>
      <c r="E62">
        <f t="shared" si="1"/>
        <v>71.240587489748748</v>
      </c>
      <c r="G62">
        <f t="shared" ca="1" si="2"/>
        <v>60</v>
      </c>
      <c r="H62">
        <f t="shared" ca="1" si="3"/>
        <v>4274.4352493849246</v>
      </c>
      <c r="I62">
        <f t="shared" ca="1" si="4"/>
        <v>62052.178819806897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57034</v>
      </c>
      <c r="B64" s="66">
        <v>57034</v>
      </c>
      <c r="D64">
        <f t="shared" si="0"/>
        <v>70.869057382141705</v>
      </c>
      <c r="E64">
        <f t="shared" si="1"/>
        <v>70.869057382141705</v>
      </c>
      <c r="G64">
        <f t="shared" ca="1" si="2"/>
        <v>62</v>
      </c>
      <c r="H64">
        <f t="shared" ca="1" si="3"/>
        <v>4393.8815576927855</v>
      </c>
      <c r="I64">
        <f t="shared" ca="1" si="4"/>
        <v>53645.782643845167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58593</v>
      </c>
      <c r="B67" s="66">
        <v>58593</v>
      </c>
      <c r="D67">
        <f t="shared" ref="D67:D130" si="5">IFERROR( 100*A67/MAX(A$2:A$257), 0 )</f>
        <v>72.806232759263395</v>
      </c>
      <c r="E67">
        <f t="shared" ref="E67:E130" si="6">IFERROR( 100*B67/MAX(B$2:B$257), 0 )</f>
        <v>72.806232759263395</v>
      </c>
      <c r="G67">
        <f t="shared" ref="G67:G130" ca="1" si="7">CELL("row",D67)-2</f>
        <v>65</v>
      </c>
      <c r="H67">
        <f t="shared" ref="H67:H130" ca="1" si="8">D67*G67</f>
        <v>4732.4051293521206</v>
      </c>
      <c r="I67">
        <f t="shared" ref="I67:I130" ca="1" si="9">D67*((G67-$L$1)^2)</f>
        <v>43748.674007046866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62317</v>
      </c>
      <c r="B69" s="66">
        <v>62317</v>
      </c>
      <c r="D69">
        <f t="shared" si="5"/>
        <v>77.433584333606703</v>
      </c>
      <c r="E69">
        <f t="shared" si="6"/>
        <v>77.433584333606703</v>
      </c>
      <c r="G69">
        <f t="shared" ca="1" si="7"/>
        <v>67</v>
      </c>
      <c r="H69">
        <f t="shared" ca="1" si="8"/>
        <v>5188.0501503516489</v>
      </c>
      <c r="I69">
        <f t="shared" ca="1" si="9"/>
        <v>39246.398758994736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60470</v>
      </c>
      <c r="B72" s="66">
        <v>60470</v>
      </c>
      <c r="D72">
        <f t="shared" si="5"/>
        <v>75.138547180595936</v>
      </c>
      <c r="E72">
        <f t="shared" si="6"/>
        <v>75.138547180595936</v>
      </c>
      <c r="G72">
        <f t="shared" ca="1" si="7"/>
        <v>70</v>
      </c>
      <c r="H72">
        <f t="shared" ca="1" si="8"/>
        <v>5259.6983026417156</v>
      </c>
      <c r="I72">
        <f t="shared" ca="1" si="9"/>
        <v>28609.822224414776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65803</v>
      </c>
      <c r="B75" s="66">
        <v>65803</v>
      </c>
      <c r="D75">
        <f t="shared" si="5"/>
        <v>81.765202912597232</v>
      </c>
      <c r="E75">
        <f t="shared" si="6"/>
        <v>81.765202912597232</v>
      </c>
      <c r="G75">
        <f t="shared" ca="1" si="7"/>
        <v>73</v>
      </c>
      <c r="H75">
        <f t="shared" ca="1" si="8"/>
        <v>5968.8598126195975</v>
      </c>
      <c r="I75">
        <f t="shared" ca="1" si="9"/>
        <v>22295.927013896187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65489</v>
      </c>
      <c r="B77" s="66">
        <v>65489</v>
      </c>
      <c r="D77">
        <f t="shared" si="5"/>
        <v>81.375034170829295</v>
      </c>
      <c r="E77">
        <f t="shared" si="6"/>
        <v>81.375034170829295</v>
      </c>
      <c r="G77">
        <f t="shared" ca="1" si="7"/>
        <v>75</v>
      </c>
      <c r="H77">
        <f t="shared" ca="1" si="8"/>
        <v>6103.1275628121975</v>
      </c>
      <c r="I77">
        <f t="shared" ca="1" si="9"/>
        <v>17140.019995951392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67770</v>
      </c>
      <c r="B80" s="66">
        <v>67770</v>
      </c>
      <c r="D80">
        <f t="shared" si="5"/>
        <v>84.209349138895107</v>
      </c>
      <c r="E80">
        <f t="shared" si="6"/>
        <v>84.209349138895107</v>
      </c>
      <c r="G80">
        <f t="shared" ca="1" si="7"/>
        <v>78</v>
      </c>
      <c r="H80">
        <f t="shared" ca="1" si="8"/>
        <v>6568.3292328338184</v>
      </c>
      <c r="I80">
        <f t="shared" ca="1" si="9"/>
        <v>11162.065534590431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66360</v>
      </c>
      <c r="B82" s="66">
        <v>66360</v>
      </c>
      <c r="D82">
        <f t="shared" si="5"/>
        <v>82.457317527771565</v>
      </c>
      <c r="E82">
        <f t="shared" si="6"/>
        <v>82.457317527771565</v>
      </c>
      <c r="G82">
        <f t="shared" ca="1" si="7"/>
        <v>80</v>
      </c>
      <c r="H82">
        <f t="shared" ca="1" si="8"/>
        <v>6596.5854022217254</v>
      </c>
      <c r="I82">
        <f t="shared" ca="1" si="9"/>
        <v>7462.3045207766972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71526</v>
      </c>
      <c r="B85" s="66">
        <v>71526</v>
      </c>
      <c r="D85">
        <f t="shared" si="5"/>
        <v>88.876463132781623</v>
      </c>
      <c r="E85">
        <f t="shared" si="6"/>
        <v>88.876463132781623</v>
      </c>
      <c r="G85">
        <f t="shared" ca="1" si="7"/>
        <v>83</v>
      </c>
      <c r="H85">
        <f t="shared" ca="1" si="8"/>
        <v>7376.7464400208746</v>
      </c>
      <c r="I85">
        <f t="shared" ca="1" si="9"/>
        <v>3770.1769332206586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72341</v>
      </c>
      <c r="B88" s="66">
        <v>72341</v>
      </c>
      <c r="D88">
        <f t="shared" si="5"/>
        <v>89.889162255523246</v>
      </c>
      <c r="E88">
        <f t="shared" si="6"/>
        <v>89.889162255523246</v>
      </c>
      <c r="G88">
        <f t="shared" ca="1" si="7"/>
        <v>86</v>
      </c>
      <c r="H88">
        <f t="shared" ca="1" si="8"/>
        <v>7730.4679539749995</v>
      </c>
      <c r="I88">
        <f t="shared" ca="1" si="9"/>
        <v>1109.3980186456545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68637</v>
      </c>
      <c r="B90" s="66">
        <v>68637</v>
      </c>
      <c r="D90">
        <f t="shared" si="5"/>
        <v>85.286662193394463</v>
      </c>
      <c r="E90">
        <f t="shared" si="6"/>
        <v>85.286662193394463</v>
      </c>
      <c r="G90">
        <f t="shared" ca="1" si="7"/>
        <v>88</v>
      </c>
      <c r="H90">
        <f t="shared" ca="1" si="8"/>
        <v>7505.2262730187131</v>
      </c>
      <c r="I90">
        <f t="shared" ca="1" si="9"/>
        <v>195.26037792757862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69157</v>
      </c>
      <c r="B93" s="66">
        <v>69157</v>
      </c>
      <c r="D93">
        <f t="shared" si="5"/>
        <v>85.932801510971942</v>
      </c>
      <c r="E93">
        <f t="shared" si="6"/>
        <v>85.932801510971942</v>
      </c>
      <c r="G93">
        <f t="shared" ca="1" si="7"/>
        <v>91</v>
      </c>
      <c r="H93">
        <f t="shared" ca="1" si="8"/>
        <v>7819.8849374984466</v>
      </c>
      <c r="I93">
        <f t="shared" ca="1" si="9"/>
        <v>189.98739509935851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72624</v>
      </c>
      <c r="B95" s="66">
        <v>72624</v>
      </c>
      <c r="D95">
        <f t="shared" si="5"/>
        <v>90.240811153358678</v>
      </c>
      <c r="E95">
        <f t="shared" si="6"/>
        <v>90.240811153358678</v>
      </c>
      <c r="G95">
        <f t="shared" ca="1" si="7"/>
        <v>93</v>
      </c>
      <c r="H95">
        <f t="shared" ca="1" si="8"/>
        <v>8392.3954372623575</v>
      </c>
      <c r="I95">
        <f t="shared" ca="1" si="9"/>
        <v>1097.1928126471307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75670</v>
      </c>
      <c r="B98" s="66">
        <v>75670</v>
      </c>
      <c r="D98">
        <f t="shared" si="5"/>
        <v>94.025696463629814</v>
      </c>
      <c r="E98">
        <f t="shared" si="6"/>
        <v>94.025696463629814</v>
      </c>
      <c r="G98">
        <f t="shared" ca="1" si="7"/>
        <v>96</v>
      </c>
      <c r="H98">
        <f t="shared" ca="1" si="8"/>
        <v>9026.4668605084626</v>
      </c>
      <c r="I98">
        <f t="shared" ca="1" si="9"/>
        <v>3956.5940272709863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76226</v>
      </c>
      <c r="B100" s="66">
        <v>76226</v>
      </c>
      <c r="D100">
        <f t="shared" si="5"/>
        <v>94.716568503193415</v>
      </c>
      <c r="E100">
        <f t="shared" si="6"/>
        <v>94.716568503193415</v>
      </c>
      <c r="G100">
        <f t="shared" ca="1" si="7"/>
        <v>98</v>
      </c>
      <c r="H100">
        <f t="shared" ca="1" si="8"/>
        <v>9282.2237133129547</v>
      </c>
      <c r="I100">
        <f t="shared" ca="1" si="9"/>
        <v>6822.2012644185243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80478</v>
      </c>
      <c r="B103" s="66">
        <v>80478</v>
      </c>
      <c r="D103">
        <f t="shared" si="5"/>
        <v>100</v>
      </c>
      <c r="E103">
        <f t="shared" si="6"/>
        <v>100</v>
      </c>
      <c r="G103">
        <f t="shared" ca="1" si="7"/>
        <v>101</v>
      </c>
      <c r="H103">
        <f t="shared" ca="1" si="8"/>
        <v>10100</v>
      </c>
      <c r="I103">
        <f t="shared" ca="1" si="9"/>
        <v>13194.89618584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75358</v>
      </c>
      <c r="B106" s="66">
        <v>75358</v>
      </c>
      <c r="D106">
        <f t="shared" si="5"/>
        <v>93.638012873083326</v>
      </c>
      <c r="E106">
        <f t="shared" si="6"/>
        <v>93.638012873083326</v>
      </c>
      <c r="G106">
        <f t="shared" ca="1" si="7"/>
        <v>104</v>
      </c>
      <c r="H106">
        <f t="shared" ca="1" si="8"/>
        <v>9738.3533388006654</v>
      </c>
      <c r="I106">
        <f t="shared" ca="1" si="9"/>
        <v>19651.845852414681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75586</v>
      </c>
      <c r="B108" s="66">
        <v>75586</v>
      </c>
      <c r="D108">
        <f t="shared" si="5"/>
        <v>93.921320112328829</v>
      </c>
      <c r="E108">
        <f t="shared" si="6"/>
        <v>93.921320112328829</v>
      </c>
      <c r="G108">
        <f t="shared" ca="1" si="7"/>
        <v>106</v>
      </c>
      <c r="H108">
        <f t="shared" ca="1" si="8"/>
        <v>9955.6599319068555</v>
      </c>
      <c r="I108">
        <f t="shared" ca="1" si="9"/>
        <v>25529.505497511389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73206</v>
      </c>
      <c r="B111" s="66">
        <v>73206</v>
      </c>
      <c r="D111">
        <f t="shared" si="5"/>
        <v>90.963990158801167</v>
      </c>
      <c r="E111">
        <f t="shared" si="6"/>
        <v>90.963990158801167</v>
      </c>
      <c r="G111">
        <f t="shared" ca="1" si="7"/>
        <v>109</v>
      </c>
      <c r="H111">
        <f t="shared" ca="1" si="8"/>
        <v>9915.0749273093279</v>
      </c>
      <c r="I111">
        <f t="shared" ca="1" si="9"/>
        <v>34542.613292364134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72578</v>
      </c>
      <c r="B113" s="66">
        <v>72578</v>
      </c>
      <c r="D113">
        <f t="shared" si="5"/>
        <v>90.183652675265293</v>
      </c>
      <c r="E113">
        <f t="shared" si="6"/>
        <v>90.183652675265293</v>
      </c>
      <c r="G113">
        <f t="shared" ca="1" si="7"/>
        <v>111</v>
      </c>
      <c r="H113">
        <f t="shared" ca="1" si="8"/>
        <v>10010.385446954448</v>
      </c>
      <c r="I113">
        <f t="shared" ca="1" si="9"/>
        <v>41636.623698337127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74111</v>
      </c>
      <c r="B116" s="66">
        <v>74111</v>
      </c>
      <c r="D116">
        <f t="shared" si="5"/>
        <v>92.088521086508109</v>
      </c>
      <c r="E116">
        <f t="shared" si="6"/>
        <v>92.088521086508109</v>
      </c>
      <c r="G116">
        <f t="shared" ca="1" si="7"/>
        <v>114</v>
      </c>
      <c r="H116">
        <f t="shared" ca="1" si="8"/>
        <v>10498.091403861925</v>
      </c>
      <c r="I116">
        <f t="shared" ca="1" si="9"/>
        <v>55217.056680220936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71523</v>
      </c>
      <c r="B118" s="66">
        <v>71523</v>
      </c>
      <c r="D118">
        <f t="shared" si="5"/>
        <v>88.872735405949456</v>
      </c>
      <c r="E118">
        <f t="shared" si="6"/>
        <v>88.872735405949456</v>
      </c>
      <c r="G118">
        <f t="shared" ca="1" si="7"/>
        <v>116</v>
      </c>
      <c r="H118">
        <f t="shared" ca="1" si="8"/>
        <v>10309.237307090138</v>
      </c>
      <c r="I118">
        <f t="shared" ca="1" si="9"/>
        <v>62349.207844318065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68056</v>
      </c>
      <c r="B121" s="66">
        <v>68056</v>
      </c>
      <c r="D121">
        <f t="shared" si="5"/>
        <v>84.56472576356272</v>
      </c>
      <c r="E121">
        <f t="shared" si="6"/>
        <v>84.56472576356272</v>
      </c>
      <c r="G121">
        <f t="shared" ca="1" si="7"/>
        <v>119</v>
      </c>
      <c r="H121">
        <f t="shared" ca="1" si="8"/>
        <v>10063.202365863963</v>
      </c>
      <c r="I121">
        <f t="shared" ca="1" si="9"/>
        <v>73527.126622277428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63617</v>
      </c>
      <c r="B124" s="66">
        <v>63617</v>
      </c>
      <c r="D124">
        <f t="shared" si="5"/>
        <v>79.048932627550386</v>
      </c>
      <c r="E124">
        <f t="shared" si="6"/>
        <v>79.048932627550386</v>
      </c>
      <c r="G124">
        <f t="shared" ca="1" si="7"/>
        <v>122</v>
      </c>
      <c r="H124">
        <f t="shared" ca="1" si="8"/>
        <v>9643.9697805611468</v>
      </c>
      <c r="I124">
        <f t="shared" ca="1" si="9"/>
        <v>83428.158663576163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60002</v>
      </c>
      <c r="B126" s="66">
        <v>60002</v>
      </c>
      <c r="D126">
        <f t="shared" si="5"/>
        <v>74.557021794776219</v>
      </c>
      <c r="E126">
        <f t="shared" si="6"/>
        <v>74.557021794776219</v>
      </c>
      <c r="G126">
        <f t="shared" ca="1" si="7"/>
        <v>124</v>
      </c>
      <c r="H126">
        <f t="shared" ca="1" si="8"/>
        <v>9245.0707025522515</v>
      </c>
      <c r="I126">
        <f t="shared" ca="1" si="9"/>
        <v>88674.13609526318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54283</v>
      </c>
      <c r="B129" s="66">
        <v>54283</v>
      </c>
      <c r="D129">
        <f t="shared" si="5"/>
        <v>67.450731877034713</v>
      </c>
      <c r="E129">
        <f t="shared" si="6"/>
        <v>67.450731877034713</v>
      </c>
      <c r="G129">
        <f t="shared" ca="1" si="7"/>
        <v>127</v>
      </c>
      <c r="H129">
        <f t="shared" ca="1" si="8"/>
        <v>8566.2429483834094</v>
      </c>
      <c r="I129">
        <f t="shared" ca="1" si="9"/>
        <v>94786.352798882508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49627</v>
      </c>
      <c r="B131" s="66">
        <v>49627</v>
      </c>
      <c r="D131">
        <f t="shared" ref="D131:D194" si="10">IFERROR( 100*A131/MAX(A$2:A$257), 0 )</f>
        <v>61.665299833494871</v>
      </c>
      <c r="E131">
        <f t="shared" ref="E131:E194" si="11">IFERROR( 100*B131/MAX(B$2:B$257), 0 )</f>
        <v>61.665299833494871</v>
      </c>
      <c r="G131">
        <f t="shared" ref="G131:G194" ca="1" si="12">CELL("row",D131)-2</f>
        <v>129</v>
      </c>
      <c r="H131">
        <f t="shared" ref="H131:H194" ca="1" si="13">D131*G131</f>
        <v>7954.8236785208383</v>
      </c>
      <c r="I131">
        <f t="shared" ref="I131:I194" ca="1" si="14">D131*((G131-$L$1)^2)</f>
        <v>96149.496359479119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46002</v>
      </c>
      <c r="B134" s="66">
        <v>46002</v>
      </c>
      <c r="D134">
        <f t="shared" si="10"/>
        <v>57.160963244613434</v>
      </c>
      <c r="E134">
        <f t="shared" si="11"/>
        <v>57.160963244613434</v>
      </c>
      <c r="G134">
        <f t="shared" ca="1" si="12"/>
        <v>132</v>
      </c>
      <c r="H134">
        <f t="shared" ca="1" si="13"/>
        <v>7545.2471482889732</v>
      </c>
      <c r="I134">
        <f t="shared" ca="1" si="14"/>
        <v>103183.37001796669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40772</v>
      </c>
      <c r="B136" s="66">
        <v>40772</v>
      </c>
      <c r="D136">
        <f t="shared" si="10"/>
        <v>50.662292800516909</v>
      </c>
      <c r="E136">
        <f t="shared" si="11"/>
        <v>50.662292800516909</v>
      </c>
      <c r="G136">
        <f t="shared" ca="1" si="12"/>
        <v>134</v>
      </c>
      <c r="H136">
        <f t="shared" ca="1" si="13"/>
        <v>6788.7472352692657</v>
      </c>
      <c r="I136">
        <f t="shared" ca="1" si="14"/>
        <v>100264.96455255471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40011</v>
      </c>
      <c r="B139" s="66">
        <v>40011</v>
      </c>
      <c r="D139">
        <f t="shared" si="10"/>
        <v>49.716692760754491</v>
      </c>
      <c r="E139">
        <f t="shared" si="11"/>
        <v>49.716692760754491</v>
      </c>
      <c r="G139">
        <f t="shared" ca="1" si="12"/>
        <v>137</v>
      </c>
      <c r="H139">
        <f t="shared" ca="1" si="13"/>
        <v>6811.1869082233652</v>
      </c>
      <c r="I139">
        <f t="shared" ca="1" si="14"/>
        <v>112111.44269785851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40818</v>
      </c>
      <c r="B142" s="66">
        <v>40818</v>
      </c>
      <c r="D142">
        <f t="shared" si="10"/>
        <v>50.7194512786103</v>
      </c>
      <c r="E142">
        <f t="shared" si="11"/>
        <v>50.7194512786103</v>
      </c>
      <c r="G142">
        <f t="shared" ca="1" si="12"/>
        <v>140</v>
      </c>
      <c r="H142">
        <f t="shared" ca="1" si="13"/>
        <v>7100.723179005442</v>
      </c>
      <c r="I142">
        <f t="shared" ca="1" si="14"/>
        <v>129280.20253948866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36506</v>
      </c>
      <c r="B144" s="66">
        <v>36506</v>
      </c>
      <c r="D144">
        <f t="shared" si="10"/>
        <v>45.361465245160169</v>
      </c>
      <c r="E144">
        <f t="shared" si="11"/>
        <v>45.361465245160169</v>
      </c>
      <c r="G144">
        <f t="shared" ca="1" si="12"/>
        <v>142</v>
      </c>
      <c r="H144">
        <f t="shared" ca="1" si="13"/>
        <v>6441.3280648127438</v>
      </c>
      <c r="I144">
        <f t="shared" ca="1" si="14"/>
        <v>124965.17037673685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32054</v>
      </c>
      <c r="B147" s="66">
        <v>32054</v>
      </c>
      <c r="D147">
        <f t="shared" si="10"/>
        <v>39.829518626208404</v>
      </c>
      <c r="E147">
        <f t="shared" si="11"/>
        <v>39.829518626208404</v>
      </c>
      <c r="G147">
        <f t="shared" ca="1" si="12"/>
        <v>145</v>
      </c>
      <c r="H147">
        <f t="shared" ca="1" si="13"/>
        <v>5775.2802008002191</v>
      </c>
      <c r="I147">
        <f t="shared" ca="1" si="14"/>
        <v>122626.98284378226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26687</v>
      </c>
      <c r="B149" s="66">
        <v>26687</v>
      </c>
      <c r="D149">
        <f t="shared" si="10"/>
        <v>33.160615323442428</v>
      </c>
      <c r="E149">
        <f t="shared" si="11"/>
        <v>33.160615323442428</v>
      </c>
      <c r="G149">
        <f t="shared" ca="1" si="12"/>
        <v>147</v>
      </c>
      <c r="H149">
        <f t="shared" ca="1" si="13"/>
        <v>4874.6104525460369</v>
      </c>
      <c r="I149">
        <f t="shared" ca="1" si="14"/>
        <v>109587.34861395211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22262</v>
      </c>
      <c r="B152" s="66">
        <v>22262</v>
      </c>
      <c r="D152">
        <f t="shared" si="10"/>
        <v>27.662218245980267</v>
      </c>
      <c r="E152">
        <f t="shared" si="11"/>
        <v>27.662218245980267</v>
      </c>
      <c r="G152">
        <f t="shared" ca="1" si="12"/>
        <v>150</v>
      </c>
      <c r="H152">
        <f t="shared" ca="1" si="13"/>
        <v>4149.3327368970404</v>
      </c>
      <c r="I152">
        <f t="shared" ca="1" si="14"/>
        <v>101206.8048455579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19285</v>
      </c>
      <c r="B154" s="66">
        <v>19285</v>
      </c>
      <c r="D154">
        <f t="shared" si="10"/>
        <v>23.963070652849225</v>
      </c>
      <c r="E154">
        <f t="shared" si="11"/>
        <v>23.963070652849225</v>
      </c>
      <c r="G154">
        <f t="shared" ca="1" si="12"/>
        <v>152</v>
      </c>
      <c r="H154">
        <f t="shared" ca="1" si="13"/>
        <v>3642.3867392330822</v>
      </c>
      <c r="I154">
        <f t="shared" ca="1" si="14"/>
        <v>93566.521086154098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18373</v>
      </c>
      <c r="B157" s="66">
        <v>18373</v>
      </c>
      <c r="D157">
        <f t="shared" si="10"/>
        <v>22.829841695867195</v>
      </c>
      <c r="E157">
        <f t="shared" si="11"/>
        <v>22.829841695867195</v>
      </c>
      <c r="G157">
        <f t="shared" ca="1" si="12"/>
        <v>155</v>
      </c>
      <c r="H157">
        <f t="shared" ca="1" si="13"/>
        <v>3538.6254628594152</v>
      </c>
      <c r="I157">
        <f t="shared" ca="1" si="14"/>
        <v>97906.565708295806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16459</v>
      </c>
      <c r="B160" s="66">
        <v>16459</v>
      </c>
      <c r="D160">
        <f t="shared" si="10"/>
        <v>20.451551976937797</v>
      </c>
      <c r="E160">
        <f t="shared" si="11"/>
        <v>20.451551976937797</v>
      </c>
      <c r="G160">
        <f t="shared" ca="1" si="12"/>
        <v>158</v>
      </c>
      <c r="H160">
        <f t="shared" ca="1" si="13"/>
        <v>3231.3452123561719</v>
      </c>
      <c r="I160">
        <f t="shared" ca="1" si="14"/>
        <v>95927.104877646052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9982</v>
      </c>
      <c r="B162" s="66">
        <v>9982</v>
      </c>
      <c r="D162">
        <f t="shared" si="10"/>
        <v>12.403389746266061</v>
      </c>
      <c r="E162">
        <f t="shared" si="11"/>
        <v>12.403389746266061</v>
      </c>
      <c r="G162">
        <f t="shared" ca="1" si="12"/>
        <v>160</v>
      </c>
      <c r="H162">
        <f t="shared" ca="1" si="13"/>
        <v>1984.5423594025697</v>
      </c>
      <c r="I162">
        <f t="shared" ca="1" si="14"/>
        <v>61625.046582596064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7490</v>
      </c>
      <c r="B165" s="66">
        <v>7490</v>
      </c>
      <c r="D165">
        <f t="shared" si="10"/>
        <v>9.3068913243370854</v>
      </c>
      <c r="E165">
        <f t="shared" si="11"/>
        <v>9.3068913243370854</v>
      </c>
      <c r="G165">
        <f t="shared" ca="1" si="12"/>
        <v>163</v>
      </c>
      <c r="H165">
        <f t="shared" ca="1" si="13"/>
        <v>1517.0232858669449</v>
      </c>
      <c r="I165">
        <f t="shared" ca="1" si="14"/>
        <v>50260.238346857193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6745</v>
      </c>
      <c r="B167" s="66">
        <v>6745</v>
      </c>
      <c r="D167">
        <f t="shared" si="10"/>
        <v>8.3811724943462806</v>
      </c>
      <c r="E167">
        <f t="shared" si="11"/>
        <v>8.3811724943462806</v>
      </c>
      <c r="G167">
        <f t="shared" ca="1" si="12"/>
        <v>165</v>
      </c>
      <c r="H167">
        <f t="shared" ca="1" si="13"/>
        <v>1382.8934615671362</v>
      </c>
      <c r="I167">
        <f t="shared" ca="1" si="14"/>
        <v>47758.206122526972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6164</v>
      </c>
      <c r="B170" s="66">
        <v>6164</v>
      </c>
      <c r="D170">
        <f t="shared" si="10"/>
        <v>7.6592360645145261</v>
      </c>
      <c r="E170">
        <f t="shared" si="11"/>
        <v>7.6592360645145261</v>
      </c>
      <c r="G170">
        <f t="shared" ca="1" si="12"/>
        <v>168</v>
      </c>
      <c r="H170">
        <f t="shared" ca="1" si="13"/>
        <v>1286.7516588384403</v>
      </c>
      <c r="I170">
        <f t="shared" ca="1" si="14"/>
        <v>47182.380725156312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3065</v>
      </c>
      <c r="B173" s="66">
        <v>3065</v>
      </c>
      <c r="D173">
        <f t="shared" si="10"/>
        <v>3.8084942468749223</v>
      </c>
      <c r="E173">
        <f t="shared" si="11"/>
        <v>3.8084942468749223</v>
      </c>
      <c r="G173">
        <f t="shared" ca="1" si="12"/>
        <v>171</v>
      </c>
      <c r="H173">
        <f t="shared" ca="1" si="13"/>
        <v>651.25251621561176</v>
      </c>
      <c r="I173">
        <f t="shared" ca="1" si="14"/>
        <v>25288.841725362348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1435</v>
      </c>
      <c r="B175" s="66">
        <v>1435</v>
      </c>
      <c r="D175">
        <f t="shared" si="10"/>
        <v>1.7830960013916848</v>
      </c>
      <c r="E175">
        <f t="shared" si="11"/>
        <v>1.7830960013916848</v>
      </c>
      <c r="G175">
        <f t="shared" ca="1" si="12"/>
        <v>173</v>
      </c>
      <c r="H175">
        <f t="shared" ca="1" si="13"/>
        <v>308.47560824076146</v>
      </c>
      <c r="I175">
        <f t="shared" ca="1" si="14"/>
        <v>12428.29169215732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1044</v>
      </c>
      <c r="B178" s="66">
        <v>1044</v>
      </c>
      <c r="D178">
        <f t="shared" si="10"/>
        <v>1.2972489375978529</v>
      </c>
      <c r="E178">
        <f t="shared" si="11"/>
        <v>1.2972489375978529</v>
      </c>
      <c r="G178">
        <f t="shared" ca="1" si="12"/>
        <v>176</v>
      </c>
      <c r="H178">
        <f t="shared" ca="1" si="13"/>
        <v>228.3158130172221</v>
      </c>
      <c r="I178">
        <f t="shared" ca="1" si="14"/>
        <v>9703.4020121706781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315</v>
      </c>
      <c r="B180" s="66">
        <v>315</v>
      </c>
      <c r="D180">
        <f t="shared" si="10"/>
        <v>0.39141131737866247</v>
      </c>
      <c r="E180">
        <f t="shared" si="11"/>
        <v>0.39141131737866247</v>
      </c>
      <c r="G180">
        <f t="shared" ca="1" si="12"/>
        <v>178</v>
      </c>
      <c r="H180">
        <f t="shared" ca="1" si="13"/>
        <v>69.671214493401919</v>
      </c>
      <c r="I180">
        <f t="shared" ca="1" si="14"/>
        <v>3064.7240644003159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206</v>
      </c>
      <c r="B183" s="66">
        <v>206</v>
      </c>
      <c r="D183">
        <f t="shared" si="10"/>
        <v>0.25597057580953803</v>
      </c>
      <c r="E183">
        <f t="shared" si="11"/>
        <v>0.25597057580953803</v>
      </c>
      <c r="G183">
        <f t="shared" ca="1" si="12"/>
        <v>181</v>
      </c>
      <c r="H183">
        <f t="shared" ca="1" si="13"/>
        <v>46.33067422152638</v>
      </c>
      <c r="I183">
        <f t="shared" ca="1" si="14"/>
        <v>2142.4362429734597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295</v>
      </c>
      <c r="B185" s="66">
        <v>295</v>
      </c>
      <c r="D185">
        <f t="shared" si="10"/>
        <v>0.36655980516414421</v>
      </c>
      <c r="E185">
        <f t="shared" si="11"/>
        <v>0.36655980516414421</v>
      </c>
      <c r="G185">
        <f t="shared" ca="1" si="12"/>
        <v>183</v>
      </c>
      <c r="H185">
        <f t="shared" ca="1" si="13"/>
        <v>67.080444345038387</v>
      </c>
      <c r="I185">
        <f t="shared" ca="1" si="14"/>
        <v>3203.6598272822844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252</v>
      </c>
      <c r="B188" s="66">
        <v>252</v>
      </c>
      <c r="D188">
        <f t="shared" si="10"/>
        <v>0.31312905390293</v>
      </c>
      <c r="E188">
        <f t="shared" si="11"/>
        <v>0.31312905390293</v>
      </c>
      <c r="G188">
        <f t="shared" ca="1" si="12"/>
        <v>186</v>
      </c>
      <c r="H188">
        <f t="shared" ca="1" si="13"/>
        <v>58.242004025944979</v>
      </c>
      <c r="I188">
        <f t="shared" ca="1" si="14"/>
        <v>2915.1446391280174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167</v>
      </c>
      <c r="B191" s="66">
        <v>167</v>
      </c>
      <c r="D191">
        <f t="shared" si="10"/>
        <v>0.20751012699122742</v>
      </c>
      <c r="E191">
        <f t="shared" si="11"/>
        <v>0.20751012699122742</v>
      </c>
      <c r="G191">
        <f t="shared" ca="1" si="12"/>
        <v>189</v>
      </c>
      <c r="H191">
        <f t="shared" ca="1" si="13"/>
        <v>39.219414001341981</v>
      </c>
      <c r="I191">
        <f t="shared" ca="1" si="14"/>
        <v>2053.8613744022791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406</v>
      </c>
      <c r="B1" s="66" t="s">
        <v>404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111.21452971691409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2.1472734421707917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0.62568811121030188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1404</v>
      </c>
      <c r="B8" s="66">
        <v>1404</v>
      </c>
      <c r="D8">
        <f t="shared" si="0"/>
        <v>1.2338735191760115</v>
      </c>
      <c r="E8">
        <f t="shared" si="1"/>
        <v>1.2338735191760115</v>
      </c>
      <c r="G8">
        <f t="shared" ca="1" si="2"/>
        <v>6</v>
      </c>
      <c r="H8">
        <f t="shared" ca="1" si="3"/>
        <v>7.4032411150560691</v>
      </c>
      <c r="I8">
        <f t="shared" ca="1" si="4"/>
        <v>13659.099868198897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2645</v>
      </c>
      <c r="B10" s="66">
        <v>2645</v>
      </c>
      <c r="D10">
        <f t="shared" si="0"/>
        <v>2.3244981896157766</v>
      </c>
      <c r="E10">
        <f t="shared" si="1"/>
        <v>2.3244981896157766</v>
      </c>
      <c r="G10">
        <f t="shared" ca="1" si="2"/>
        <v>8</v>
      </c>
      <c r="H10">
        <f t="shared" ca="1" si="3"/>
        <v>18.595985516926213</v>
      </c>
      <c r="I10">
        <f t="shared" ca="1" si="4"/>
        <v>24763.435105361281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2984</v>
      </c>
      <c r="B13" s="66">
        <v>2984</v>
      </c>
      <c r="D13">
        <f t="shared" si="0"/>
        <v>2.6224206418954545</v>
      </c>
      <c r="E13">
        <f t="shared" si="1"/>
        <v>2.6224206418954545</v>
      </c>
      <c r="G13">
        <f t="shared" ca="1" si="2"/>
        <v>11</v>
      </c>
      <c r="H13">
        <f t="shared" ca="1" si="3"/>
        <v>28.84662706085</v>
      </c>
      <c r="I13">
        <f t="shared" ca="1" si="4"/>
        <v>26336.844542205374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5741</v>
      </c>
      <c r="B15" s="66">
        <v>5741</v>
      </c>
      <c r="D15">
        <f t="shared" si="0"/>
        <v>5.045347488311597</v>
      </c>
      <c r="E15">
        <f t="shared" si="1"/>
        <v>5.045347488311597</v>
      </c>
      <c r="G15">
        <f t="shared" ca="1" si="2"/>
        <v>13</v>
      </c>
      <c r="H15">
        <f t="shared" ca="1" si="3"/>
        <v>65.589517348050762</v>
      </c>
      <c r="I15">
        <f t="shared" ca="1" si="4"/>
        <v>48667.895365575736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5684</v>
      </c>
      <c r="B18" s="66">
        <v>5684</v>
      </c>
      <c r="D18">
        <f t="shared" si="0"/>
        <v>4.9952543326185541</v>
      </c>
      <c r="E18">
        <f t="shared" si="1"/>
        <v>4.9952543326185541</v>
      </c>
      <c r="G18">
        <f t="shared" ca="1" si="2"/>
        <v>16</v>
      </c>
      <c r="H18">
        <f t="shared" ca="1" si="3"/>
        <v>79.924069321896866</v>
      </c>
      <c r="I18">
        <f t="shared" ca="1" si="4"/>
        <v>45286.010043069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5165</v>
      </c>
      <c r="B21" s="66">
        <v>5165</v>
      </c>
      <c r="D21">
        <f t="shared" si="0"/>
        <v>4.5391429676240023</v>
      </c>
      <c r="E21">
        <f t="shared" si="1"/>
        <v>4.5391429676240023</v>
      </c>
      <c r="G21">
        <f t="shared" ca="1" si="2"/>
        <v>19</v>
      </c>
      <c r="H21">
        <f t="shared" ca="1" si="3"/>
        <v>86.243716384856043</v>
      </c>
      <c r="I21">
        <f t="shared" ca="1" si="4"/>
        <v>38598.690697225167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6251</v>
      </c>
      <c r="B23" s="66">
        <v>6251</v>
      </c>
      <c r="D23">
        <f t="shared" si="0"/>
        <v>5.4935494076704048</v>
      </c>
      <c r="E23">
        <f t="shared" si="1"/>
        <v>5.4935494076704048</v>
      </c>
      <c r="G23">
        <f t="shared" ca="1" si="2"/>
        <v>21</v>
      </c>
      <c r="H23">
        <f t="shared" ca="1" si="3"/>
        <v>115.36453756107851</v>
      </c>
      <c r="I23">
        <f t="shared" ca="1" si="4"/>
        <v>44710.138359622179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6207</v>
      </c>
      <c r="B26" s="66">
        <v>6207</v>
      </c>
      <c r="D26">
        <f t="shared" si="0"/>
        <v>5.4548810067845466</v>
      </c>
      <c r="E26">
        <f t="shared" si="1"/>
        <v>5.4548810067845466</v>
      </c>
      <c r="G26">
        <f t="shared" ca="1" si="2"/>
        <v>24</v>
      </c>
      <c r="H26">
        <f t="shared" ca="1" si="3"/>
        <v>130.91714416282912</v>
      </c>
      <c r="I26">
        <f t="shared" ca="1" si="4"/>
        <v>41491.866119942031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7172</v>
      </c>
      <c r="B28" s="66">
        <v>7172</v>
      </c>
      <c r="D28">
        <f t="shared" si="0"/>
        <v>6.3029493443948397</v>
      </c>
      <c r="E28">
        <f t="shared" si="1"/>
        <v>6.3029493443948397</v>
      </c>
      <c r="G28">
        <f t="shared" ca="1" si="2"/>
        <v>26</v>
      </c>
      <c r="H28">
        <f t="shared" ca="1" si="3"/>
        <v>163.87668295426585</v>
      </c>
      <c r="I28">
        <f t="shared" ca="1" si="4"/>
        <v>45768.967983444927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8021</v>
      </c>
      <c r="B31" s="66">
        <v>8021</v>
      </c>
      <c r="D31">
        <f t="shared" si="0"/>
        <v>7.049073716033325</v>
      </c>
      <c r="E31">
        <f t="shared" si="1"/>
        <v>7.049073716033325</v>
      </c>
      <c r="G31">
        <f t="shared" ca="1" si="2"/>
        <v>29</v>
      </c>
      <c r="H31">
        <f t="shared" ca="1" si="3"/>
        <v>204.42313776496641</v>
      </c>
      <c r="I31">
        <f t="shared" ca="1" si="4"/>
        <v>47646.302755488134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6732</v>
      </c>
      <c r="B33" s="66">
        <v>6732</v>
      </c>
      <c r="D33">
        <f t="shared" si="0"/>
        <v>5.9162653355362602</v>
      </c>
      <c r="E33">
        <f t="shared" si="1"/>
        <v>5.9162653355362602</v>
      </c>
      <c r="G33">
        <f t="shared" ca="1" si="2"/>
        <v>31</v>
      </c>
      <c r="H33">
        <f t="shared" ca="1" si="3"/>
        <v>183.40422540162407</v>
      </c>
      <c r="I33">
        <f t="shared" ca="1" si="4"/>
        <v>38067.444788127679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5309</v>
      </c>
      <c r="B36" s="66">
        <v>5309</v>
      </c>
      <c r="D36">
        <f t="shared" si="0"/>
        <v>4.6656940977959014</v>
      </c>
      <c r="E36">
        <f t="shared" si="1"/>
        <v>4.6656940977959014</v>
      </c>
      <c r="G36">
        <f t="shared" ca="1" si="2"/>
        <v>34</v>
      </c>
      <c r="H36">
        <f t="shared" ca="1" si="3"/>
        <v>158.63359932506066</v>
      </c>
      <c r="I36">
        <f t="shared" ca="1" si="4"/>
        <v>27817.258260305956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6374</v>
      </c>
      <c r="B39" s="66">
        <v>6374</v>
      </c>
      <c r="D39">
        <f t="shared" si="0"/>
        <v>5.6016451646922345</v>
      </c>
      <c r="E39">
        <f t="shared" si="1"/>
        <v>5.6016451646922345</v>
      </c>
      <c r="G39">
        <f t="shared" ca="1" si="2"/>
        <v>37</v>
      </c>
      <c r="H39">
        <f t="shared" ca="1" si="3"/>
        <v>207.26087109361268</v>
      </c>
      <c r="I39">
        <f t="shared" ca="1" si="4"/>
        <v>30852.721190379267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8527</v>
      </c>
      <c r="B41" s="66">
        <v>8527</v>
      </c>
      <c r="D41">
        <f t="shared" si="0"/>
        <v>7.4937603262206913</v>
      </c>
      <c r="E41">
        <f t="shared" si="1"/>
        <v>7.4937603262206913</v>
      </c>
      <c r="G41">
        <f t="shared" ca="1" si="2"/>
        <v>39</v>
      </c>
      <c r="H41">
        <f t="shared" ca="1" si="3"/>
        <v>292.25665272260699</v>
      </c>
      <c r="I41">
        <f t="shared" ca="1" si="4"/>
        <v>39079.497752977841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10570</v>
      </c>
      <c r="B44" s="66">
        <v>10570</v>
      </c>
      <c r="D44">
        <f t="shared" si="0"/>
        <v>9.2892044855345031</v>
      </c>
      <c r="E44">
        <f t="shared" si="1"/>
        <v>9.2892044855345031</v>
      </c>
      <c r="G44">
        <f t="shared" ca="1" si="2"/>
        <v>42</v>
      </c>
      <c r="H44">
        <f t="shared" ca="1" si="3"/>
        <v>390.14658839244913</v>
      </c>
      <c r="I44">
        <f t="shared" ca="1" si="4"/>
        <v>44501.337909074748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13898</v>
      </c>
      <c r="B46" s="66">
        <v>13898</v>
      </c>
      <c r="D46">
        <f t="shared" si="0"/>
        <v>12.213941716173938</v>
      </c>
      <c r="E46">
        <f t="shared" si="1"/>
        <v>12.213941716173938</v>
      </c>
      <c r="G46">
        <f t="shared" ca="1" si="2"/>
        <v>44</v>
      </c>
      <c r="H46">
        <f t="shared" ca="1" si="3"/>
        <v>537.41343551165323</v>
      </c>
      <c r="I46">
        <f t="shared" ca="1" si="4"/>
        <v>55180.060449613542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19581</v>
      </c>
      <c r="B49" s="66">
        <v>19581</v>
      </c>
      <c r="D49">
        <f t="shared" si="0"/>
        <v>17.20831722149963</v>
      </c>
      <c r="E49">
        <f t="shared" si="1"/>
        <v>17.20831722149963</v>
      </c>
      <c r="G49">
        <f t="shared" ca="1" si="2"/>
        <v>47</v>
      </c>
      <c r="H49">
        <f t="shared" ca="1" si="3"/>
        <v>808.79090941048264</v>
      </c>
      <c r="I49">
        <f t="shared" ca="1" si="4"/>
        <v>70958.596331664623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17919</v>
      </c>
      <c r="B51" s="66">
        <v>17919</v>
      </c>
      <c r="D51">
        <f t="shared" si="0"/>
        <v>15.747706260765634</v>
      </c>
      <c r="E51">
        <f t="shared" si="1"/>
        <v>15.747706260765634</v>
      </c>
      <c r="G51">
        <f t="shared" ca="1" si="2"/>
        <v>49</v>
      </c>
      <c r="H51">
        <f t="shared" ca="1" si="3"/>
        <v>771.63760677751611</v>
      </c>
      <c r="I51">
        <f t="shared" ca="1" si="4"/>
        <v>60953.82314286437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22234</v>
      </c>
      <c r="B54" s="66">
        <v>22234</v>
      </c>
      <c r="D54">
        <f t="shared" si="0"/>
        <v>19.539846029458293</v>
      </c>
      <c r="E54">
        <f t="shared" si="1"/>
        <v>19.539846029458293</v>
      </c>
      <c r="G54">
        <f t="shared" ca="1" si="2"/>
        <v>52</v>
      </c>
      <c r="H54">
        <f t="shared" ca="1" si="3"/>
        <v>1016.0719935318313</v>
      </c>
      <c r="I54">
        <f t="shared" ca="1" si="4"/>
        <v>68513.74487206203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23062</v>
      </c>
      <c r="B57" s="66">
        <v>23062</v>
      </c>
      <c r="D57">
        <f t="shared" si="0"/>
        <v>20.267515027946708</v>
      </c>
      <c r="E57">
        <f t="shared" si="1"/>
        <v>20.267515027946708</v>
      </c>
      <c r="G57">
        <f t="shared" ca="1" si="2"/>
        <v>55</v>
      </c>
      <c r="H57">
        <f t="shared" ca="1" si="3"/>
        <v>1114.713326537069</v>
      </c>
      <c r="I57">
        <f t="shared" ca="1" si="4"/>
        <v>64046.834136761347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23472</v>
      </c>
      <c r="B59" s="66">
        <v>23472</v>
      </c>
      <c r="D59">
        <f t="shared" si="0"/>
        <v>20.627834218019476</v>
      </c>
      <c r="E59">
        <f t="shared" si="1"/>
        <v>20.627834218019476</v>
      </c>
      <c r="G59">
        <f t="shared" ca="1" si="2"/>
        <v>57</v>
      </c>
      <c r="H59">
        <f t="shared" ca="1" si="3"/>
        <v>1175.7865504271101</v>
      </c>
      <c r="I59">
        <f t="shared" ca="1" si="4"/>
        <v>60629.644545564421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23563</v>
      </c>
      <c r="B62" s="66">
        <v>23563</v>
      </c>
      <c r="D62">
        <f t="shared" si="0"/>
        <v>20.707807501669773</v>
      </c>
      <c r="E62">
        <f t="shared" si="1"/>
        <v>20.707807501669773</v>
      </c>
      <c r="G62">
        <f t="shared" ca="1" si="2"/>
        <v>60</v>
      </c>
      <c r="H62">
        <f t="shared" ca="1" si="3"/>
        <v>1242.4684501001864</v>
      </c>
      <c r="I62">
        <f t="shared" ca="1" si="4"/>
        <v>54315.08923554307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30955</v>
      </c>
      <c r="B64" s="66">
        <v>30955</v>
      </c>
      <c r="D64">
        <f t="shared" si="0"/>
        <v>27.204098850493899</v>
      </c>
      <c r="E64">
        <f t="shared" si="1"/>
        <v>27.204098850493899</v>
      </c>
      <c r="G64">
        <f t="shared" ca="1" si="2"/>
        <v>62</v>
      </c>
      <c r="H64">
        <f t="shared" ca="1" si="3"/>
        <v>1686.6541287306218</v>
      </c>
      <c r="I64">
        <f t="shared" ca="1" si="4"/>
        <v>65890.229941541314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38084</v>
      </c>
      <c r="B67" s="66">
        <v>38084</v>
      </c>
      <c r="D67">
        <f t="shared" ref="D67:D130" si="5">IFERROR(100*A67/MAX(A$2:A$257), 0 )</f>
        <v>33.469258621295744</v>
      </c>
      <c r="E67">
        <f t="shared" ref="E67:E130" si="6">IFERROR(100*B67/MAX(B$2:B$257), 0 )</f>
        <v>33.469258621295744</v>
      </c>
      <c r="G67">
        <f t="shared" ref="G67:G130" ca="1" si="7">CELL("row",D67)-2</f>
        <v>65</v>
      </c>
      <c r="H67">
        <f t="shared" ref="H67:H130" ca="1" si="8">D67*G67</f>
        <v>2175.5018103842235</v>
      </c>
      <c r="I67">
        <f t="shared" ref="I67:I130" ca="1" si="9">D67*((G67-$L$1)^2)</f>
        <v>71483.065451448841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40418</v>
      </c>
      <c r="B69" s="66">
        <v>40418</v>
      </c>
      <c r="D69">
        <f t="shared" si="5"/>
        <v>35.520441522831931</v>
      </c>
      <c r="E69">
        <f t="shared" si="6"/>
        <v>35.520441522831931</v>
      </c>
      <c r="G69">
        <f t="shared" ca="1" si="7"/>
        <v>67</v>
      </c>
      <c r="H69">
        <f t="shared" ca="1" si="8"/>
        <v>2379.8695820297394</v>
      </c>
      <c r="I69">
        <f t="shared" ca="1" si="9"/>
        <v>69439.786288743868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40586</v>
      </c>
      <c r="B72" s="66">
        <v>40586</v>
      </c>
      <c r="D72">
        <f t="shared" si="5"/>
        <v>35.668084508032479</v>
      </c>
      <c r="E72">
        <f t="shared" si="6"/>
        <v>35.668084508032479</v>
      </c>
      <c r="G72">
        <f t="shared" ca="1" si="7"/>
        <v>70</v>
      </c>
      <c r="H72">
        <f t="shared" ca="1" si="8"/>
        <v>2496.7659155622737</v>
      </c>
      <c r="I72">
        <f t="shared" ca="1" si="9"/>
        <v>60587.144464170735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44513</v>
      </c>
      <c r="B75" s="66">
        <v>44513</v>
      </c>
      <c r="D75">
        <f t="shared" si="5"/>
        <v>39.119239287095297</v>
      </c>
      <c r="E75">
        <f t="shared" si="6"/>
        <v>39.119239287095297</v>
      </c>
      <c r="G75">
        <f t="shared" ca="1" si="7"/>
        <v>73</v>
      </c>
      <c r="H75">
        <f t="shared" ca="1" si="8"/>
        <v>2855.7044679579567</v>
      </c>
      <c r="I75">
        <f t="shared" ca="1" si="9"/>
        <v>57127.79210438516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52588</v>
      </c>
      <c r="B77" s="66">
        <v>52588</v>
      </c>
      <c r="D77">
        <f t="shared" si="5"/>
        <v>46.21576967694309</v>
      </c>
      <c r="E77">
        <f t="shared" si="6"/>
        <v>46.21576967694309</v>
      </c>
      <c r="G77">
        <f t="shared" ca="1" si="7"/>
        <v>75</v>
      </c>
      <c r="H77">
        <f t="shared" ca="1" si="8"/>
        <v>3466.1827257707318</v>
      </c>
      <c r="I77">
        <f t="shared" ca="1" si="9"/>
        <v>60611.619720634975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58370</v>
      </c>
      <c r="B80" s="66">
        <v>58370</v>
      </c>
      <c r="D80">
        <f t="shared" si="5"/>
        <v>51.29714908426196</v>
      </c>
      <c r="E80">
        <f t="shared" si="6"/>
        <v>51.29714908426196</v>
      </c>
      <c r="G80">
        <f t="shared" ca="1" si="7"/>
        <v>78</v>
      </c>
      <c r="H80">
        <f t="shared" ca="1" si="8"/>
        <v>4001.1776285724327</v>
      </c>
      <c r="I80">
        <f t="shared" ca="1" si="9"/>
        <v>56591.27055094688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62477</v>
      </c>
      <c r="B82" s="66">
        <v>62477</v>
      </c>
      <c r="D82">
        <f t="shared" si="5"/>
        <v>54.906492776039656</v>
      </c>
      <c r="E82">
        <f t="shared" si="6"/>
        <v>54.906492776039656</v>
      </c>
      <c r="G82">
        <f t="shared" ca="1" si="7"/>
        <v>80</v>
      </c>
      <c r="H82">
        <f t="shared" ca="1" si="8"/>
        <v>4392.5194220831727</v>
      </c>
      <c r="I82">
        <f t="shared" ca="1" si="9"/>
        <v>53497.969129083678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63704</v>
      </c>
      <c r="B85" s="66">
        <v>63704</v>
      </c>
      <c r="D85">
        <f t="shared" si="5"/>
        <v>55.984813864379369</v>
      </c>
      <c r="E85">
        <f t="shared" si="6"/>
        <v>55.984813864379369</v>
      </c>
      <c r="G85">
        <f t="shared" ca="1" si="7"/>
        <v>83</v>
      </c>
      <c r="H85">
        <f t="shared" ca="1" si="8"/>
        <v>4646.7395507434876</v>
      </c>
      <c r="I85">
        <f t="shared" ca="1" si="9"/>
        <v>44567.25340984005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63425</v>
      </c>
      <c r="B88" s="66">
        <v>63425</v>
      </c>
      <c r="D88">
        <f t="shared" si="5"/>
        <v>55.739621049671321</v>
      </c>
      <c r="E88">
        <f t="shared" si="6"/>
        <v>55.739621049671321</v>
      </c>
      <c r="G88">
        <f t="shared" ca="1" si="7"/>
        <v>86</v>
      </c>
      <c r="H88">
        <f t="shared" ca="1" si="8"/>
        <v>4793.6074102717339</v>
      </c>
      <c r="I88">
        <f t="shared" ca="1" si="9"/>
        <v>35437.718716827112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65314</v>
      </c>
      <c r="B90" s="66">
        <v>65314</v>
      </c>
      <c r="D90">
        <f t="shared" si="5"/>
        <v>57.399725805884628</v>
      </c>
      <c r="E90">
        <f t="shared" si="6"/>
        <v>57.399725805884628</v>
      </c>
      <c r="G90">
        <f t="shared" ca="1" si="7"/>
        <v>88</v>
      </c>
      <c r="H90">
        <f t="shared" ca="1" si="8"/>
        <v>5051.1758709178475</v>
      </c>
      <c r="I90">
        <f t="shared" ca="1" si="9"/>
        <v>30933.538217553345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66608</v>
      </c>
      <c r="B93" s="66">
        <v>66608</v>
      </c>
      <c r="D93">
        <f t="shared" si="5"/>
        <v>58.536928322845995</v>
      </c>
      <c r="E93">
        <f t="shared" si="6"/>
        <v>58.536928322845995</v>
      </c>
      <c r="G93">
        <f t="shared" ca="1" si="7"/>
        <v>91</v>
      </c>
      <c r="H93">
        <f t="shared" ca="1" si="8"/>
        <v>5326.8604773789857</v>
      </c>
      <c r="I93">
        <f t="shared" ca="1" si="9"/>
        <v>23919.781800642588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69403</v>
      </c>
      <c r="B95" s="66">
        <v>69403</v>
      </c>
      <c r="D95">
        <f t="shared" si="5"/>
        <v>60.993250606390831</v>
      </c>
      <c r="E95">
        <f t="shared" si="6"/>
        <v>60.993250606390831</v>
      </c>
      <c r="G95">
        <f t="shared" ca="1" si="7"/>
        <v>93</v>
      </c>
      <c r="H95">
        <f t="shared" ca="1" si="8"/>
        <v>5672.3723063943471</v>
      </c>
      <c r="I95">
        <f t="shared" ca="1" si="9"/>
        <v>20235.675421114407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80541</v>
      </c>
      <c r="B98" s="66">
        <v>80541</v>
      </c>
      <c r="D98">
        <f t="shared" si="5"/>
        <v>70.781628994270051</v>
      </c>
      <c r="E98">
        <f t="shared" si="6"/>
        <v>70.781628994270051</v>
      </c>
      <c r="G98">
        <f t="shared" ca="1" si="7"/>
        <v>96</v>
      </c>
      <c r="H98">
        <f t="shared" ca="1" si="8"/>
        <v>6795.0363834499249</v>
      </c>
      <c r="I98">
        <f t="shared" ca="1" si="9"/>
        <v>16384.666991508031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84098</v>
      </c>
      <c r="B100" s="66">
        <v>84098</v>
      </c>
      <c r="D100">
        <f t="shared" si="5"/>
        <v>73.907617674974517</v>
      </c>
      <c r="E100">
        <f t="shared" si="6"/>
        <v>73.907617674974517</v>
      </c>
      <c r="G100">
        <f t="shared" ca="1" si="7"/>
        <v>98</v>
      </c>
      <c r="H100">
        <f t="shared" ca="1" si="8"/>
        <v>7242.9465321475027</v>
      </c>
      <c r="I100">
        <f t="shared" ca="1" si="9"/>
        <v>12906.028725055279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92014</v>
      </c>
      <c r="B103" s="66">
        <v>92014</v>
      </c>
      <c r="D103">
        <f t="shared" si="5"/>
        <v>80.864414525257502</v>
      </c>
      <c r="E103">
        <f t="shared" si="6"/>
        <v>80.864414525257502</v>
      </c>
      <c r="G103">
        <f t="shared" ca="1" si="7"/>
        <v>101</v>
      </c>
      <c r="H103">
        <f t="shared" ca="1" si="8"/>
        <v>8167.3058670510072</v>
      </c>
      <c r="I103">
        <f t="shared" ca="1" si="9"/>
        <v>8437.1194745606372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97888</v>
      </c>
      <c r="B106" s="66">
        <v>97888</v>
      </c>
      <c r="D106">
        <f t="shared" si="5"/>
        <v>86.026646043519534</v>
      </c>
      <c r="E106">
        <f t="shared" si="6"/>
        <v>86.026646043519534</v>
      </c>
      <c r="G106">
        <f t="shared" ca="1" si="7"/>
        <v>104</v>
      </c>
      <c r="H106">
        <f t="shared" ca="1" si="8"/>
        <v>8946.7711885260323</v>
      </c>
      <c r="I106">
        <f t="shared" ca="1" si="9"/>
        <v>4477.638668734061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103132</v>
      </c>
      <c r="B108" s="66">
        <v>103132</v>
      </c>
      <c r="D108">
        <f t="shared" si="5"/>
        <v>90.635216367279497</v>
      </c>
      <c r="E108">
        <f t="shared" si="6"/>
        <v>90.635216367279497</v>
      </c>
      <c r="G108">
        <f t="shared" ca="1" si="7"/>
        <v>106</v>
      </c>
      <c r="H108">
        <f t="shared" ca="1" si="8"/>
        <v>9607.3329349316264</v>
      </c>
      <c r="I108">
        <f t="shared" ca="1" si="9"/>
        <v>2464.4911867912278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113788</v>
      </c>
      <c r="B111" s="66">
        <v>113788</v>
      </c>
      <c r="D111">
        <f t="shared" si="5"/>
        <v>100</v>
      </c>
      <c r="E111">
        <f t="shared" si="6"/>
        <v>100</v>
      </c>
      <c r="G111">
        <f t="shared" ca="1" si="7"/>
        <v>109</v>
      </c>
      <c r="H111">
        <f t="shared" ca="1" si="8"/>
        <v>10900</v>
      </c>
      <c r="I111">
        <f t="shared" ca="1" si="9"/>
        <v>490.41418670955818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112444</v>
      </c>
      <c r="B113" s="66">
        <v>112444</v>
      </c>
      <c r="D113">
        <f t="shared" si="5"/>
        <v>98.818856118395615</v>
      </c>
      <c r="E113">
        <f t="shared" si="6"/>
        <v>98.818856118395615</v>
      </c>
      <c r="G113">
        <f t="shared" ca="1" si="7"/>
        <v>111</v>
      </c>
      <c r="H113">
        <f t="shared" ca="1" si="8"/>
        <v>10968.893029141913</v>
      </c>
      <c r="I113">
        <f t="shared" ca="1" si="9"/>
        <v>4.5479401597230522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111500</v>
      </c>
      <c r="B116" s="66">
        <v>111500</v>
      </c>
      <c r="D116">
        <f t="shared" si="5"/>
        <v>97.989243153935391</v>
      </c>
      <c r="E116">
        <f t="shared" si="6"/>
        <v>97.989243153935391</v>
      </c>
      <c r="G116">
        <f t="shared" ca="1" si="7"/>
        <v>114</v>
      </c>
      <c r="H116">
        <f t="shared" ca="1" si="8"/>
        <v>11170.773719548635</v>
      </c>
      <c r="I116">
        <f t="shared" ca="1" si="9"/>
        <v>760.28331970150759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111271</v>
      </c>
      <c r="B118" s="66">
        <v>111271</v>
      </c>
      <c r="D118">
        <f t="shared" si="5"/>
        <v>97.787991703870361</v>
      </c>
      <c r="E118">
        <f t="shared" si="6"/>
        <v>97.787991703870361</v>
      </c>
      <c r="G118">
        <f t="shared" ca="1" si="7"/>
        <v>116</v>
      </c>
      <c r="H118">
        <f t="shared" ca="1" si="8"/>
        <v>11343.407037648962</v>
      </c>
      <c r="I118">
        <f t="shared" ca="1" si="9"/>
        <v>2239.4159875058276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110387</v>
      </c>
      <c r="B121" s="66">
        <v>110387</v>
      </c>
      <c r="D121">
        <f t="shared" si="5"/>
        <v>97.011108376981753</v>
      </c>
      <c r="E121">
        <f t="shared" si="6"/>
        <v>97.011108376981753</v>
      </c>
      <c r="G121">
        <f t="shared" ca="1" si="7"/>
        <v>119</v>
      </c>
      <c r="H121">
        <f t="shared" ca="1" si="8"/>
        <v>11544.321896860829</v>
      </c>
      <c r="I121">
        <f t="shared" ca="1" si="9"/>
        <v>5880.1874284310961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107091</v>
      </c>
      <c r="B124" s="66">
        <v>107091</v>
      </c>
      <c r="D124">
        <f t="shared" si="5"/>
        <v>94.114493619713855</v>
      </c>
      <c r="E124">
        <f t="shared" si="6"/>
        <v>94.114493619713855</v>
      </c>
      <c r="G124">
        <f t="shared" ca="1" si="7"/>
        <v>122</v>
      </c>
      <c r="H124">
        <f t="shared" ca="1" si="8"/>
        <v>11481.96822160509</v>
      </c>
      <c r="I124">
        <f t="shared" ca="1" si="9"/>
        <v>10947.997334449967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103225</v>
      </c>
      <c r="B126" s="66">
        <v>103225</v>
      </c>
      <c r="D126">
        <f t="shared" si="5"/>
        <v>90.716947305515518</v>
      </c>
      <c r="E126">
        <f t="shared" si="6"/>
        <v>90.716947305515518</v>
      </c>
      <c r="G126">
        <f t="shared" ca="1" si="7"/>
        <v>124</v>
      </c>
      <c r="H126">
        <f t="shared" ca="1" si="8"/>
        <v>11248.901465883924</v>
      </c>
      <c r="I126">
        <f t="shared" ca="1" si="9"/>
        <v>14829.340654003274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101231</v>
      </c>
      <c r="B129" s="66">
        <v>101231</v>
      </c>
      <c r="D129">
        <f t="shared" si="5"/>
        <v>88.964565683551868</v>
      </c>
      <c r="E129">
        <f t="shared" si="6"/>
        <v>88.964565683551868</v>
      </c>
      <c r="G129">
        <f t="shared" ca="1" si="7"/>
        <v>127</v>
      </c>
      <c r="H129">
        <f t="shared" ca="1" si="8"/>
        <v>11298.499841811088</v>
      </c>
      <c r="I129">
        <f t="shared" ca="1" si="9"/>
        <v>22168.285852218582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100945</v>
      </c>
      <c r="B131" s="66">
        <v>100945</v>
      </c>
      <c r="D131">
        <f t="shared" ref="D131:D194" si="10">IFERROR(100*A131/MAX(A$2:A$257), 0 )</f>
        <v>88.71322107779379</v>
      </c>
      <c r="E131">
        <f t="shared" ref="E131:E194" si="11">IFERROR(100*B131/MAX(B$2:B$257), 0 )</f>
        <v>88.71322107779379</v>
      </c>
      <c r="G131">
        <f t="shared" ref="G131:G194" ca="1" si="12">CELL("row",D131)-2</f>
        <v>129</v>
      </c>
      <c r="H131">
        <f t="shared" ref="H131:H194" ca="1" si="13">D131*G131</f>
        <v>11444.0055190354</v>
      </c>
      <c r="I131">
        <f t="shared" ref="I131:I194" ca="1" si="14">D131*((G131-$L$1)^2)</f>
        <v>28062.028078372292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93933</v>
      </c>
      <c r="B134" s="66">
        <v>93933</v>
      </c>
      <c r="D134">
        <f t="shared" si="10"/>
        <v>82.550884100256624</v>
      </c>
      <c r="E134">
        <f t="shared" si="11"/>
        <v>82.550884100256624</v>
      </c>
      <c r="G134">
        <f t="shared" ca="1" si="12"/>
        <v>132</v>
      </c>
      <c r="H134">
        <f t="shared" ca="1" si="13"/>
        <v>10896.716701233874</v>
      </c>
      <c r="I134">
        <f t="shared" ca="1" si="14"/>
        <v>35664.935180030334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84845</v>
      </c>
      <c r="B136" s="66">
        <v>84845</v>
      </c>
      <c r="D136">
        <f t="shared" si="10"/>
        <v>74.564101662741237</v>
      </c>
      <c r="E136">
        <f t="shared" si="11"/>
        <v>74.564101662741237</v>
      </c>
      <c r="G136">
        <f t="shared" ca="1" si="12"/>
        <v>134</v>
      </c>
      <c r="H136">
        <f t="shared" ca="1" si="13"/>
        <v>9991.5896228073252</v>
      </c>
      <c r="I136">
        <f t="shared" ca="1" si="14"/>
        <v>38712.015524602721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80473</v>
      </c>
      <c r="B139" s="66">
        <v>80473</v>
      </c>
      <c r="D139">
        <f t="shared" si="10"/>
        <v>70.721868738355539</v>
      </c>
      <c r="E139">
        <f t="shared" si="11"/>
        <v>70.721868738355539</v>
      </c>
      <c r="G139">
        <f t="shared" ca="1" si="12"/>
        <v>137</v>
      </c>
      <c r="H139">
        <f t="shared" ca="1" si="13"/>
        <v>9688.8960171547096</v>
      </c>
      <c r="I139">
        <f t="shared" ca="1" si="14"/>
        <v>47022.297090689761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76852</v>
      </c>
      <c r="B142" s="66">
        <v>76852</v>
      </c>
      <c r="D142">
        <f t="shared" si="10"/>
        <v>67.539635110908009</v>
      </c>
      <c r="E142">
        <f t="shared" si="11"/>
        <v>67.539635110908009</v>
      </c>
      <c r="G142">
        <f t="shared" ca="1" si="12"/>
        <v>140</v>
      </c>
      <c r="H142">
        <f t="shared" ca="1" si="13"/>
        <v>9455.5489155271207</v>
      </c>
      <c r="I142">
        <f t="shared" ca="1" si="14"/>
        <v>55963.564494414692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75599</v>
      </c>
      <c r="B144" s="66">
        <v>75599</v>
      </c>
      <c r="D144">
        <f t="shared" si="10"/>
        <v>66.438464512953914</v>
      </c>
      <c r="E144">
        <f t="shared" si="11"/>
        <v>66.438464512953914</v>
      </c>
      <c r="G144">
        <f t="shared" ca="1" si="12"/>
        <v>142</v>
      </c>
      <c r="H144">
        <f t="shared" ca="1" si="13"/>
        <v>9434.2619608394562</v>
      </c>
      <c r="I144">
        <f t="shared" ca="1" si="14"/>
        <v>62966.734545345156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68037</v>
      </c>
      <c r="B147" s="66">
        <v>68037</v>
      </c>
      <c r="D147">
        <f t="shared" si="10"/>
        <v>59.792772524343519</v>
      </c>
      <c r="E147">
        <f t="shared" si="11"/>
        <v>59.792772524343519</v>
      </c>
      <c r="G147">
        <f t="shared" ca="1" si="12"/>
        <v>145</v>
      </c>
      <c r="H147">
        <f t="shared" ca="1" si="13"/>
        <v>8669.9520160298107</v>
      </c>
      <c r="I147">
        <f t="shared" ca="1" si="14"/>
        <v>68250.938674582882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62844</v>
      </c>
      <c r="B149" s="66">
        <v>62844</v>
      </c>
      <c r="D149">
        <f t="shared" si="10"/>
        <v>55.229022392519425</v>
      </c>
      <c r="E149">
        <f t="shared" si="11"/>
        <v>55.229022392519425</v>
      </c>
      <c r="G149">
        <f t="shared" ca="1" si="12"/>
        <v>147</v>
      </c>
      <c r="H149">
        <f t="shared" ca="1" si="13"/>
        <v>8118.6662917003559</v>
      </c>
      <c r="I149">
        <f t="shared" ca="1" si="14"/>
        <v>70726.279635141531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60453</v>
      </c>
      <c r="B152" s="66">
        <v>60453</v>
      </c>
      <c r="D152">
        <f t="shared" si="10"/>
        <v>53.12774633529019</v>
      </c>
      <c r="E152">
        <f t="shared" si="11"/>
        <v>53.12774633529019</v>
      </c>
      <c r="G152">
        <f t="shared" ca="1" si="12"/>
        <v>150</v>
      </c>
      <c r="H152">
        <f t="shared" ca="1" si="13"/>
        <v>7969.1619502935282</v>
      </c>
      <c r="I152">
        <f t="shared" ca="1" si="14"/>
        <v>79920.743804451908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55862</v>
      </c>
      <c r="B154" s="66">
        <v>55862</v>
      </c>
      <c r="D154">
        <f t="shared" si="10"/>
        <v>49.093050233768061</v>
      </c>
      <c r="E154">
        <f t="shared" si="11"/>
        <v>49.093050233768061</v>
      </c>
      <c r="G154">
        <f t="shared" ca="1" si="12"/>
        <v>152</v>
      </c>
      <c r="H154">
        <f t="shared" ca="1" si="13"/>
        <v>7462.1436355327451</v>
      </c>
      <c r="I154">
        <f t="shared" ca="1" si="14"/>
        <v>81664.059562521346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46221</v>
      </c>
      <c r="B157" s="66">
        <v>46221</v>
      </c>
      <c r="D157">
        <f t="shared" si="10"/>
        <v>40.620276303300876</v>
      </c>
      <c r="E157">
        <f t="shared" si="11"/>
        <v>40.620276303300876</v>
      </c>
      <c r="G157">
        <f t="shared" ca="1" si="12"/>
        <v>155</v>
      </c>
      <c r="H157">
        <f t="shared" ca="1" si="13"/>
        <v>6296.1428270116357</v>
      </c>
      <c r="I157">
        <f t="shared" ca="1" si="14"/>
        <v>77875.869829027943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41189</v>
      </c>
      <c r="B160" s="66">
        <v>41189</v>
      </c>
      <c r="D160">
        <f t="shared" si="10"/>
        <v>36.198017365627308</v>
      </c>
      <c r="E160">
        <f t="shared" si="11"/>
        <v>36.198017365627308</v>
      </c>
      <c r="G160">
        <f t="shared" ca="1" si="12"/>
        <v>158</v>
      </c>
      <c r="H160">
        <f t="shared" ca="1" si="13"/>
        <v>5719.2867437691148</v>
      </c>
      <c r="I160">
        <f t="shared" ca="1" si="14"/>
        <v>79233.124562683515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35640</v>
      </c>
      <c r="B162" s="66">
        <v>35640</v>
      </c>
      <c r="D162">
        <f t="shared" si="10"/>
        <v>31.321404717544908</v>
      </c>
      <c r="E162">
        <f t="shared" si="11"/>
        <v>31.321404717544908</v>
      </c>
      <c r="G162">
        <f t="shared" ca="1" si="12"/>
        <v>160</v>
      </c>
      <c r="H162">
        <f t="shared" ca="1" si="13"/>
        <v>5011.4247548071853</v>
      </c>
      <c r="I162">
        <f t="shared" ca="1" si="14"/>
        <v>74545.635767251253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30101</v>
      </c>
      <c r="B165" s="66">
        <v>30101</v>
      </c>
      <c r="D165">
        <f t="shared" si="10"/>
        <v>26.453580342391113</v>
      </c>
      <c r="E165">
        <f t="shared" si="11"/>
        <v>26.453580342391113</v>
      </c>
      <c r="G165">
        <f t="shared" ca="1" si="12"/>
        <v>163</v>
      </c>
      <c r="H165">
        <f t="shared" ca="1" si="13"/>
        <v>4311.9335958097518</v>
      </c>
      <c r="I165">
        <f t="shared" ca="1" si="14"/>
        <v>70941.49049230825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27341</v>
      </c>
      <c r="B167" s="66">
        <v>27341</v>
      </c>
      <c r="D167">
        <f t="shared" si="10"/>
        <v>24.028017014096388</v>
      </c>
      <c r="E167">
        <f t="shared" si="11"/>
        <v>24.028017014096388</v>
      </c>
      <c r="G167">
        <f t="shared" ca="1" si="12"/>
        <v>165</v>
      </c>
      <c r="H167">
        <f t="shared" ca="1" si="13"/>
        <v>3964.622807325904</v>
      </c>
      <c r="I167">
        <f t="shared" ca="1" si="14"/>
        <v>69510.093296210209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24094</v>
      </c>
      <c r="B170" s="66">
        <v>24094</v>
      </c>
      <c r="D170">
        <f t="shared" si="10"/>
        <v>21.174464794178647</v>
      </c>
      <c r="E170">
        <f t="shared" si="11"/>
        <v>21.174464794178647</v>
      </c>
      <c r="G170">
        <f t="shared" ca="1" si="12"/>
        <v>168</v>
      </c>
      <c r="H170">
        <f t="shared" ca="1" si="13"/>
        <v>3557.3100854220129</v>
      </c>
      <c r="I170">
        <f t="shared" ca="1" si="14"/>
        <v>68278.959707724091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21700</v>
      </c>
      <c r="B173" s="66">
        <v>21700</v>
      </c>
      <c r="D173">
        <f t="shared" si="10"/>
        <v>19.070552255070833</v>
      </c>
      <c r="E173">
        <f t="shared" si="11"/>
        <v>19.070552255070833</v>
      </c>
      <c r="G173">
        <f t="shared" ca="1" si="12"/>
        <v>171</v>
      </c>
      <c r="H173">
        <f t="shared" ca="1" si="13"/>
        <v>3261.0644356171124</v>
      </c>
      <c r="I173">
        <f t="shared" ca="1" si="14"/>
        <v>68163.921781069672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16554</v>
      </c>
      <c r="B175" s="66">
        <v>16554</v>
      </c>
      <c r="D175">
        <f t="shared" si="10"/>
        <v>14.548107006011179</v>
      </c>
      <c r="E175">
        <f t="shared" si="11"/>
        <v>14.548107006011179</v>
      </c>
      <c r="G175">
        <f t="shared" ca="1" si="12"/>
        <v>173</v>
      </c>
      <c r="H175">
        <f t="shared" ca="1" si="13"/>
        <v>2516.8225120399338</v>
      </c>
      <c r="I175">
        <f t="shared" ca="1" si="14"/>
        <v>55536.588720200758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12489</v>
      </c>
      <c r="B178" s="66">
        <v>12489</v>
      </c>
      <c r="D178">
        <f t="shared" si="10"/>
        <v>10.975674060533624</v>
      </c>
      <c r="E178">
        <f t="shared" si="11"/>
        <v>10.975674060533624</v>
      </c>
      <c r="G178">
        <f t="shared" ca="1" si="12"/>
        <v>176</v>
      </c>
      <c r="H178">
        <f t="shared" ca="1" si="13"/>
        <v>1931.7186346539179</v>
      </c>
      <c r="I178">
        <f t="shared" ca="1" si="14"/>
        <v>46066.628966806515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8070</v>
      </c>
      <c r="B180" s="66">
        <v>8070</v>
      </c>
      <c r="D180">
        <f t="shared" si="10"/>
        <v>7.0921362533834849</v>
      </c>
      <c r="E180">
        <f t="shared" si="11"/>
        <v>7.0921362533834849</v>
      </c>
      <c r="G180">
        <f t="shared" ca="1" si="12"/>
        <v>178</v>
      </c>
      <c r="H180">
        <f t="shared" ca="1" si="13"/>
        <v>1262.4002531022602</v>
      </c>
      <c r="I180">
        <f t="shared" ca="1" si="14"/>
        <v>31633.048529132171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6489</v>
      </c>
      <c r="B183" s="66">
        <v>6489</v>
      </c>
      <c r="D183">
        <f t="shared" si="10"/>
        <v>5.7027103033711812</v>
      </c>
      <c r="E183">
        <f t="shared" si="11"/>
        <v>5.7027103033711812</v>
      </c>
      <c r="G183">
        <f t="shared" ca="1" si="12"/>
        <v>181</v>
      </c>
      <c r="H183">
        <f t="shared" ca="1" si="13"/>
        <v>1032.1905649101839</v>
      </c>
      <c r="I183">
        <f t="shared" ca="1" si="14"/>
        <v>27772.266826568346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5221</v>
      </c>
      <c r="B185" s="66">
        <v>5221</v>
      </c>
      <c r="D185">
        <f t="shared" si="10"/>
        <v>4.588357296024185</v>
      </c>
      <c r="E185">
        <f t="shared" si="11"/>
        <v>4.588357296024185</v>
      </c>
      <c r="G185">
        <f t="shared" ca="1" si="12"/>
        <v>183</v>
      </c>
      <c r="H185">
        <f t="shared" ca="1" si="13"/>
        <v>839.66938517242579</v>
      </c>
      <c r="I185">
        <f t="shared" ca="1" si="14"/>
        <v>23644.510577733025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3411</v>
      </c>
      <c r="B188" s="66">
        <v>3411</v>
      </c>
      <c r="D188">
        <f t="shared" si="10"/>
        <v>2.9976798959468485</v>
      </c>
      <c r="E188">
        <f t="shared" si="11"/>
        <v>2.9976798959468485</v>
      </c>
      <c r="G188">
        <f t="shared" ca="1" si="12"/>
        <v>186</v>
      </c>
      <c r="H188">
        <f t="shared" ca="1" si="13"/>
        <v>557.56846064611386</v>
      </c>
      <c r="I188">
        <f t="shared" ca="1" si="14"/>
        <v>16765.623663999715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2112</v>
      </c>
      <c r="B191" s="66">
        <v>2112</v>
      </c>
      <c r="D191">
        <f t="shared" si="10"/>
        <v>1.8560832425211797</v>
      </c>
      <c r="E191">
        <f t="shared" si="11"/>
        <v>1.8560832425211797</v>
      </c>
      <c r="G191">
        <f t="shared" ca="1" si="12"/>
        <v>189</v>
      </c>
      <c r="H191">
        <f t="shared" ca="1" si="13"/>
        <v>350.79973283650298</v>
      </c>
      <c r="I191">
        <f t="shared" ca="1" si="14"/>
        <v>11230.379008053309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1421</v>
      </c>
      <c r="B193" s="66">
        <v>1421</v>
      </c>
      <c r="D193">
        <f t="shared" si="10"/>
        <v>1.2488135831546385</v>
      </c>
      <c r="E193">
        <f t="shared" si="11"/>
        <v>1.2488135831546385</v>
      </c>
      <c r="G193">
        <f t="shared" ca="1" si="12"/>
        <v>191</v>
      </c>
      <c r="H193">
        <f t="shared" ca="1" si="13"/>
        <v>238.52339438253597</v>
      </c>
      <c r="I193">
        <f t="shared" ca="1" si="14"/>
        <v>7949.5991864209036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326</v>
      </c>
      <c r="B196" s="66">
        <v>326</v>
      </c>
      <c r="D196">
        <f t="shared" si="15"/>
        <v>0.28649769747249271</v>
      </c>
      <c r="E196">
        <f t="shared" si="16"/>
        <v>0.28649769747249271</v>
      </c>
      <c r="G196">
        <f t="shared" ca="1" si="17"/>
        <v>194</v>
      </c>
      <c r="H196">
        <f t="shared" ca="1" si="18"/>
        <v>55.580553309663586</v>
      </c>
      <c r="I196">
        <f t="shared" ca="1" si="19"/>
        <v>1963.4930865621106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231</v>
      </c>
      <c r="B198" s="66">
        <v>231</v>
      </c>
      <c r="D198">
        <f t="shared" si="15"/>
        <v>0.20300910465075403</v>
      </c>
      <c r="E198">
        <f t="shared" si="16"/>
        <v>0.20300910465075403</v>
      </c>
      <c r="G198">
        <f t="shared" ca="1" si="17"/>
        <v>196</v>
      </c>
      <c r="H198">
        <f t="shared" ca="1" si="18"/>
        <v>39.789784511547786</v>
      </c>
      <c r="I198">
        <f t="shared" ca="1" si="19"/>
        <v>1459.3463716118169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407</v>
      </c>
      <c r="B1" s="68" t="s">
        <v>408</v>
      </c>
      <c r="C1" s="32" t="s">
        <v>409</v>
      </c>
      <c r="D1" s="32" t="s">
        <v>410</v>
      </c>
      <c r="E1" s="32" t="s">
        <v>411</v>
      </c>
    </row>
    <row r="2" spans="1:5">
      <c r="A2" s="68">
        <v>0.20472000000000001</v>
      </c>
      <c r="B2" s="68">
        <v>0.55031399999999997</v>
      </c>
      <c r="C2" s="68">
        <v>0</v>
      </c>
      <c r="D2" s="68">
        <v>1</v>
      </c>
      <c r="E2" s="68" t="s">
        <v>412</v>
      </c>
    </row>
    <row r="3" spans="1:5">
      <c r="A3" s="68">
        <v>0.21243100000000001</v>
      </c>
      <c r="B3" s="68">
        <v>0.54214600000000002</v>
      </c>
      <c r="C3" s="68">
        <v>0.35444500000000001</v>
      </c>
      <c r="D3" s="89">
        <v>1</v>
      </c>
      <c r="E3" s="68" t="s">
        <v>413</v>
      </c>
    </row>
    <row r="4" spans="1:5">
      <c r="A4" s="68">
        <v>0.22004799999999999</v>
      </c>
      <c r="B4" s="68">
        <v>0.53436300000000003</v>
      </c>
      <c r="C4" s="68">
        <v>0.76388199999999995</v>
      </c>
      <c r="D4" s="89">
        <v>1</v>
      </c>
      <c r="E4" s="68" t="s">
        <v>414</v>
      </c>
    </row>
    <row r="5" spans="1:5">
      <c r="A5" s="89">
        <v>0.22789400000000001</v>
      </c>
      <c r="B5" s="89">
        <v>0.52538499999999999</v>
      </c>
      <c r="C5" s="89">
        <v>1.1645000000000001</v>
      </c>
      <c r="D5" s="89">
        <v>1</v>
      </c>
      <c r="E5" s="68" t="s">
        <v>415</v>
      </c>
    </row>
    <row r="6" spans="1:5">
      <c r="A6" s="68">
        <v>0.235843</v>
      </c>
      <c r="B6" s="68">
        <v>0.51682499999999998</v>
      </c>
      <c r="C6" s="68">
        <v>1.5746</v>
      </c>
      <c r="D6" s="68">
        <v>1</v>
      </c>
      <c r="E6" s="68" t="s">
        <v>416</v>
      </c>
    </row>
    <row r="7" spans="1:5">
      <c r="A7" s="68">
        <v>0.24342900000000001</v>
      </c>
      <c r="B7" s="68">
        <v>0.51028799999999996</v>
      </c>
      <c r="C7" s="68">
        <v>1.9828300000000001</v>
      </c>
      <c r="D7" s="68">
        <v>1</v>
      </c>
      <c r="E7" s="68" t="s">
        <v>417</v>
      </c>
    </row>
    <row r="8" spans="1:5">
      <c r="A8" s="68">
        <v>0.25094499999999997</v>
      </c>
      <c r="B8" s="68">
        <v>0.50364100000000001</v>
      </c>
      <c r="C8" s="68">
        <v>2.3875799999999998</v>
      </c>
      <c r="D8" s="68">
        <v>1</v>
      </c>
      <c r="E8" s="68" t="s">
        <v>418</v>
      </c>
    </row>
    <row r="9" spans="1:5">
      <c r="A9" s="68">
        <v>0.258544</v>
      </c>
      <c r="B9" s="68">
        <v>0.49688100000000002</v>
      </c>
      <c r="C9" s="68">
        <v>2.7935099999999999</v>
      </c>
      <c r="D9" s="68">
        <v>1</v>
      </c>
      <c r="E9" s="68" t="s">
        <v>419</v>
      </c>
    </row>
    <row r="10" spans="1:5">
      <c r="A10" s="68">
        <v>0.26603100000000002</v>
      </c>
      <c r="B10" s="68">
        <v>0.49026500000000001</v>
      </c>
      <c r="C10" s="68">
        <v>3.1953100000000001</v>
      </c>
      <c r="D10" s="68">
        <v>1</v>
      </c>
      <c r="E10" s="68" t="s">
        <v>420</v>
      </c>
    </row>
    <row r="11" spans="1:5">
      <c r="A11" s="68">
        <v>0.273289</v>
      </c>
      <c r="B11" s="68">
        <v>0.48438799999999999</v>
      </c>
      <c r="C11" s="68">
        <v>3.6061700000000001</v>
      </c>
      <c r="D11" s="68">
        <v>1</v>
      </c>
      <c r="E11" s="68" t="s">
        <v>421</v>
      </c>
    </row>
    <row r="12" spans="1:5">
      <c r="A12" s="68">
        <v>0.28030899999999997</v>
      </c>
      <c r="B12" s="68">
        <v>0.480661</v>
      </c>
      <c r="C12" s="68">
        <v>4.01302</v>
      </c>
      <c r="D12" s="68">
        <v>1</v>
      </c>
      <c r="E12" s="68" t="s">
        <v>422</v>
      </c>
    </row>
    <row r="13" spans="1:5">
      <c r="A13" s="68">
        <v>0.28709200000000001</v>
      </c>
      <c r="B13" s="68">
        <v>0.47714800000000002</v>
      </c>
      <c r="C13" s="68">
        <v>4.4170999999999996</v>
      </c>
      <c r="D13" s="68">
        <v>1</v>
      </c>
      <c r="E13" s="68" t="s">
        <v>423</v>
      </c>
    </row>
    <row r="14" spans="1:5">
      <c r="A14" s="68">
        <v>0.29416300000000001</v>
      </c>
      <c r="B14" s="68">
        <v>0.47263699999999997</v>
      </c>
      <c r="C14" s="68">
        <v>4.8213200000000001</v>
      </c>
      <c r="D14" s="68">
        <v>1</v>
      </c>
      <c r="E14" s="68" t="s">
        <v>424</v>
      </c>
    </row>
    <row r="15" spans="1:5">
      <c r="A15" s="68">
        <v>0.30134499999999997</v>
      </c>
      <c r="B15" s="68">
        <v>0.46643800000000002</v>
      </c>
      <c r="C15" s="68">
        <v>5.2282500000000001</v>
      </c>
      <c r="D15" s="68">
        <v>1</v>
      </c>
      <c r="E15" s="68" t="s">
        <v>425</v>
      </c>
    </row>
    <row r="16" spans="1:5">
      <c r="A16" s="68">
        <v>0.30886000000000002</v>
      </c>
      <c r="B16" s="68">
        <v>0.45857300000000001</v>
      </c>
      <c r="C16" s="68">
        <v>5.6357699999999999</v>
      </c>
      <c r="D16" s="68">
        <v>1</v>
      </c>
      <c r="E16" s="68" t="s">
        <v>426</v>
      </c>
    </row>
    <row r="17" spans="1:5">
      <c r="A17" s="68">
        <v>0.316828</v>
      </c>
      <c r="B17" s="68">
        <v>0.44926700000000003</v>
      </c>
      <c r="C17" s="68">
        <v>6.0434799999999997</v>
      </c>
      <c r="D17" s="68">
        <v>1</v>
      </c>
      <c r="E17" s="68" t="s">
        <v>427</v>
      </c>
    </row>
    <row r="18" spans="1:5">
      <c r="A18" s="68">
        <v>0.32461000000000001</v>
      </c>
      <c r="B18" s="68">
        <v>0.44020999999999999</v>
      </c>
      <c r="C18" s="68">
        <v>6.4521499999999996</v>
      </c>
      <c r="D18" s="68">
        <v>1</v>
      </c>
      <c r="E18" s="68" t="s">
        <v>428</v>
      </c>
    </row>
    <row r="19" spans="1:5">
      <c r="A19" s="68">
        <v>0.33195000000000002</v>
      </c>
      <c r="B19" s="68">
        <v>0.43249300000000002</v>
      </c>
      <c r="C19" s="68">
        <v>6.8524799999999999</v>
      </c>
      <c r="D19" s="68">
        <v>1</v>
      </c>
      <c r="E19" s="68" t="s">
        <v>429</v>
      </c>
    </row>
    <row r="20" spans="1:5">
      <c r="A20" s="68">
        <v>0.33910499999999999</v>
      </c>
      <c r="B20" s="68">
        <v>0.42482300000000001</v>
      </c>
      <c r="C20" s="68">
        <v>7.2606599999999997</v>
      </c>
      <c r="D20" s="68">
        <v>1</v>
      </c>
      <c r="E20" s="68" t="s">
        <v>430</v>
      </c>
    </row>
    <row r="21" spans="1:5">
      <c r="A21" s="68">
        <v>0.34645500000000001</v>
      </c>
      <c r="B21" s="68">
        <v>0.41573599999999999</v>
      </c>
      <c r="C21" s="68">
        <v>7.6669600000000004</v>
      </c>
      <c r="D21" s="68">
        <v>1</v>
      </c>
      <c r="E21" s="68" t="s">
        <v>431</v>
      </c>
    </row>
    <row r="22" spans="1:5">
      <c r="A22" s="68">
        <v>0.35349700000000001</v>
      </c>
      <c r="B22" s="68">
        <v>0.40864699999999998</v>
      </c>
      <c r="C22" s="68">
        <v>8.0774799999999995</v>
      </c>
      <c r="D22" s="68">
        <v>1</v>
      </c>
      <c r="E22" s="68" t="s">
        <v>432</v>
      </c>
    </row>
    <row r="23" spans="1:5">
      <c r="A23" s="68">
        <v>0.35981600000000002</v>
      </c>
      <c r="B23" s="68">
        <v>0.40331400000000001</v>
      </c>
      <c r="C23" s="68">
        <v>8.4793299999999991</v>
      </c>
      <c r="D23" s="68">
        <v>1</v>
      </c>
      <c r="E23" s="68" t="s">
        <v>433</v>
      </c>
    </row>
    <row r="24" spans="1:5">
      <c r="A24" s="68">
        <v>0.36559799999999998</v>
      </c>
      <c r="B24" s="68">
        <v>0.399011</v>
      </c>
      <c r="C24" s="68">
        <v>8.8839100000000002</v>
      </c>
      <c r="D24" s="68">
        <v>1</v>
      </c>
      <c r="E24" s="68" t="s">
        <v>434</v>
      </c>
    </row>
    <row r="25" spans="1:5">
      <c r="A25" s="68">
        <v>0.370917</v>
      </c>
      <c r="B25" s="68">
        <v>0.39462799999999998</v>
      </c>
      <c r="C25" s="68">
        <v>9.2897499999999997</v>
      </c>
      <c r="D25" s="68">
        <v>1</v>
      </c>
      <c r="E25" s="68" t="s">
        <v>435</v>
      </c>
    </row>
    <row r="26" spans="1:5">
      <c r="A26" s="68">
        <v>0.37587799999999999</v>
      </c>
      <c r="B26" s="68">
        <v>0.39121600000000001</v>
      </c>
      <c r="C26" s="68">
        <v>9.6969600000000007</v>
      </c>
      <c r="D26" s="68">
        <v>1</v>
      </c>
      <c r="E26" s="68" t="s">
        <v>436</v>
      </c>
    </row>
    <row r="27" spans="1:5">
      <c r="A27" s="68">
        <v>0.38063900000000001</v>
      </c>
      <c r="B27" s="68">
        <v>0.388488</v>
      </c>
      <c r="C27" s="68">
        <v>10.1059</v>
      </c>
      <c r="D27" s="68">
        <v>1</v>
      </c>
      <c r="E27" s="68" t="s">
        <v>437</v>
      </c>
    </row>
    <row r="28" spans="1:5">
      <c r="A28" s="68">
        <v>0.38500099999999998</v>
      </c>
      <c r="B28" s="68">
        <v>0.38676199999999999</v>
      </c>
      <c r="C28" s="68">
        <v>10.512700000000001</v>
      </c>
      <c r="D28" s="68">
        <v>1</v>
      </c>
      <c r="E28" s="68" t="s">
        <v>438</v>
      </c>
    </row>
    <row r="29" spans="1:5">
      <c r="A29" s="68">
        <v>0.38917000000000002</v>
      </c>
      <c r="B29" s="68">
        <v>0.38578699999999999</v>
      </c>
      <c r="C29" s="68">
        <v>10.916399999999999</v>
      </c>
      <c r="D29" s="68">
        <v>1</v>
      </c>
      <c r="E29" s="68" t="s">
        <v>439</v>
      </c>
    </row>
    <row r="30" spans="1:5">
      <c r="A30" s="68">
        <v>0.39301000000000003</v>
      </c>
      <c r="B30" s="68">
        <v>0.38536700000000002</v>
      </c>
      <c r="C30" s="68">
        <v>11.322100000000001</v>
      </c>
      <c r="D30" s="68">
        <v>1</v>
      </c>
      <c r="E30" s="68" t="s">
        <v>440</v>
      </c>
    </row>
    <row r="31" spans="1:5">
      <c r="A31" s="68">
        <v>0.396347</v>
      </c>
      <c r="B31" s="68">
        <v>0.38524000000000003</v>
      </c>
      <c r="C31" s="68">
        <v>11.7262</v>
      </c>
      <c r="D31" s="68">
        <v>1</v>
      </c>
      <c r="E31" s="68" t="s">
        <v>441</v>
      </c>
    </row>
    <row r="32" spans="1:5">
      <c r="A32" s="68">
        <v>0.399341</v>
      </c>
      <c r="B32" s="68">
        <v>0.38602500000000001</v>
      </c>
      <c r="C32" s="68">
        <v>12.1356</v>
      </c>
      <c r="D32" s="68">
        <v>1</v>
      </c>
      <c r="E32" s="68" t="s">
        <v>442</v>
      </c>
    </row>
    <row r="33" spans="1:5">
      <c r="A33" s="68">
        <v>0.40218799999999999</v>
      </c>
      <c r="B33" s="68">
        <v>0.38697900000000002</v>
      </c>
      <c r="C33" s="68">
        <v>12.5474</v>
      </c>
      <c r="D33" s="68">
        <v>1</v>
      </c>
      <c r="E33" s="68" t="s">
        <v>443</v>
      </c>
    </row>
    <row r="34" spans="1:5">
      <c r="A34" s="68">
        <v>0.40462599999999999</v>
      </c>
      <c r="B34" s="68">
        <v>0.38795800000000003</v>
      </c>
      <c r="C34" s="68">
        <v>12.9505</v>
      </c>
      <c r="D34" s="68">
        <v>1</v>
      </c>
      <c r="E34" s="68" t="s">
        <v>444</v>
      </c>
    </row>
    <row r="35" spans="1:5">
      <c r="A35" s="68">
        <v>0.40674100000000002</v>
      </c>
      <c r="B35" s="68">
        <v>0.38875500000000002</v>
      </c>
      <c r="C35" s="68">
        <v>13.3589</v>
      </c>
      <c r="D35" s="68">
        <v>1</v>
      </c>
      <c r="E35" s="68" t="s">
        <v>445</v>
      </c>
    </row>
    <row r="36" spans="1:5">
      <c r="A36" s="68">
        <v>0.40872000000000003</v>
      </c>
      <c r="B36" s="68">
        <v>0.38957199999999997</v>
      </c>
      <c r="C36" s="68">
        <v>13.7607</v>
      </c>
      <c r="D36" s="68">
        <v>1</v>
      </c>
      <c r="E36" s="68" t="s">
        <v>446</v>
      </c>
    </row>
    <row r="37" spans="1:5">
      <c r="A37" s="68">
        <v>0.41088799999999998</v>
      </c>
      <c r="B37" s="68">
        <v>0.39047300000000001</v>
      </c>
      <c r="C37" s="68">
        <v>14.1662</v>
      </c>
      <c r="D37" s="68">
        <v>1</v>
      </c>
      <c r="E37" s="68" t="s">
        <v>447</v>
      </c>
    </row>
    <row r="38" spans="1:5">
      <c r="A38" s="68">
        <v>0.41289300000000001</v>
      </c>
      <c r="B38" s="68">
        <v>0.39179900000000001</v>
      </c>
      <c r="C38" s="68">
        <v>14.5754</v>
      </c>
      <c r="D38" s="68">
        <v>1</v>
      </c>
      <c r="E38" s="68" t="s">
        <v>448</v>
      </c>
    </row>
    <row r="39" spans="1:5">
      <c r="A39" s="68">
        <v>0.414657</v>
      </c>
      <c r="B39" s="68">
        <v>0.39264300000000002</v>
      </c>
      <c r="C39" s="68">
        <v>14.98</v>
      </c>
      <c r="D39" s="68">
        <v>1</v>
      </c>
      <c r="E39" s="68" t="s">
        <v>449</v>
      </c>
    </row>
    <row r="40" spans="1:5">
      <c r="A40" s="68">
        <v>0.41567300000000001</v>
      </c>
      <c r="B40" s="68">
        <v>0.39366600000000002</v>
      </c>
      <c r="C40" s="68">
        <v>15.3833</v>
      </c>
      <c r="D40" s="68">
        <v>1</v>
      </c>
      <c r="E40" s="68" t="s">
        <v>450</v>
      </c>
    </row>
    <row r="41" spans="1:5">
      <c r="A41" s="68">
        <v>0.41608400000000001</v>
      </c>
      <c r="B41" s="68">
        <v>0.394924</v>
      </c>
      <c r="C41" s="68">
        <v>15.7927</v>
      </c>
      <c r="D41" s="68">
        <v>1</v>
      </c>
      <c r="E41" s="68" t="s">
        <v>451</v>
      </c>
    </row>
    <row r="42" spans="1:5">
      <c r="A42" s="68">
        <v>0.41594700000000001</v>
      </c>
      <c r="B42" s="68">
        <v>0.39649200000000001</v>
      </c>
      <c r="C42" s="68">
        <v>16.197800000000001</v>
      </c>
      <c r="D42" s="68">
        <v>1</v>
      </c>
      <c r="E42" s="68" t="s">
        <v>452</v>
      </c>
    </row>
    <row r="43" spans="1:5">
      <c r="A43" s="68">
        <v>0.41552899999999998</v>
      </c>
      <c r="B43" s="68">
        <v>0.39881100000000003</v>
      </c>
      <c r="C43" s="68">
        <v>16.609200000000001</v>
      </c>
      <c r="D43" s="68">
        <v>1</v>
      </c>
      <c r="E43" s="68" t="s">
        <v>453</v>
      </c>
    </row>
    <row r="44" spans="1:5">
      <c r="A44" s="68">
        <v>0.414775</v>
      </c>
      <c r="B44" s="68">
        <v>0.40080399999999999</v>
      </c>
      <c r="C44" s="68">
        <v>17.012599999999999</v>
      </c>
      <c r="D44" s="68">
        <v>1</v>
      </c>
      <c r="E44" s="68" t="s">
        <v>454</v>
      </c>
    </row>
    <row r="45" spans="1:5">
      <c r="A45" s="68">
        <v>0.41376600000000002</v>
      </c>
      <c r="B45" s="68">
        <v>0.40282499999999999</v>
      </c>
      <c r="C45" s="68">
        <v>17.415700000000001</v>
      </c>
      <c r="D45" s="68">
        <v>1</v>
      </c>
      <c r="E45" s="68" t="s">
        <v>455</v>
      </c>
    </row>
    <row r="46" spans="1:5">
      <c r="A46" s="68">
        <v>0.41248099999999999</v>
      </c>
      <c r="B46" s="68">
        <v>0.405561</v>
      </c>
      <c r="C46" s="68">
        <v>17.822500000000002</v>
      </c>
      <c r="D46" s="68">
        <v>1</v>
      </c>
      <c r="E46" s="68" t="s">
        <v>456</v>
      </c>
    </row>
    <row r="47" spans="1:5">
      <c r="A47" s="68">
        <v>0.41126400000000002</v>
      </c>
      <c r="B47" s="68">
        <v>0.40806399999999998</v>
      </c>
      <c r="C47" s="68">
        <v>18.229800000000001</v>
      </c>
      <c r="D47" s="68">
        <v>1</v>
      </c>
      <c r="E47" s="68" t="s">
        <v>457</v>
      </c>
    </row>
    <row r="48" spans="1:5">
      <c r="A48" s="68">
        <v>0.41018900000000003</v>
      </c>
      <c r="B48" s="68">
        <v>0.41006500000000001</v>
      </c>
      <c r="C48" s="68">
        <v>18.6387</v>
      </c>
      <c r="D48" s="68">
        <v>1</v>
      </c>
      <c r="E48" s="68" t="s">
        <v>458</v>
      </c>
    </row>
    <row r="49" spans="1:5">
      <c r="A49" s="68">
        <v>0.40917100000000001</v>
      </c>
      <c r="B49" s="68">
        <v>0.41198699999999999</v>
      </c>
      <c r="C49" s="68">
        <v>19.042300000000001</v>
      </c>
      <c r="D49" s="68">
        <v>1</v>
      </c>
      <c r="E49" s="68" t="s">
        <v>459</v>
      </c>
    </row>
    <row r="50" spans="1:5">
      <c r="A50" s="68">
        <v>0.40817999999999999</v>
      </c>
      <c r="B50" s="68">
        <v>0.41441</v>
      </c>
      <c r="C50" s="68">
        <v>19.446000000000002</v>
      </c>
      <c r="D50" s="68">
        <v>1</v>
      </c>
      <c r="E50" s="68" t="s">
        <v>460</v>
      </c>
    </row>
    <row r="51" spans="1:5">
      <c r="A51" s="68">
        <v>0.407584</v>
      </c>
      <c r="B51" s="68">
        <v>0.41674299999999997</v>
      </c>
      <c r="C51" s="68">
        <v>19.8537</v>
      </c>
      <c r="D51" s="68">
        <v>1</v>
      </c>
      <c r="E51" s="68" t="s">
        <v>461</v>
      </c>
    </row>
    <row r="52" spans="1:5">
      <c r="A52" s="68">
        <v>0.40737899999999999</v>
      </c>
      <c r="B52" s="68">
        <v>0.418904</v>
      </c>
      <c r="C52" s="68">
        <v>20.260899999999999</v>
      </c>
      <c r="D52" s="68">
        <v>1</v>
      </c>
      <c r="E52" s="68" t="s">
        <v>462</v>
      </c>
    </row>
    <row r="53" spans="1:5">
      <c r="A53" s="68">
        <v>0.40753499999999998</v>
      </c>
      <c r="B53" s="68">
        <v>0.42097800000000002</v>
      </c>
      <c r="C53" s="68">
        <v>20.665900000000001</v>
      </c>
      <c r="D53" s="68">
        <v>1</v>
      </c>
      <c r="E53" s="68" t="s">
        <v>463</v>
      </c>
    </row>
    <row r="54" spans="1:5">
      <c r="A54" s="68">
        <v>0.407827</v>
      </c>
      <c r="B54" s="68">
        <v>0.42294700000000002</v>
      </c>
      <c r="C54" s="68">
        <v>21.073599999999999</v>
      </c>
      <c r="D54" s="68">
        <v>1</v>
      </c>
      <c r="E54" s="68" t="s">
        <v>464</v>
      </c>
    </row>
    <row r="55" spans="1:5">
      <c r="A55" s="68">
        <v>0.40801999999999999</v>
      </c>
      <c r="B55" s="68">
        <v>0.42454999999999998</v>
      </c>
      <c r="C55" s="68">
        <v>21.476500000000001</v>
      </c>
      <c r="D55" s="68">
        <v>1</v>
      </c>
      <c r="E55" s="68" t="s">
        <v>465</v>
      </c>
    </row>
    <row r="56" spans="1:5">
      <c r="A56" s="68">
        <v>0.40873300000000001</v>
      </c>
      <c r="B56" s="68">
        <v>0.424564</v>
      </c>
      <c r="C56" s="68">
        <v>21.883500000000002</v>
      </c>
      <c r="D56" s="68">
        <v>1</v>
      </c>
      <c r="E56" s="68" t="s">
        <v>466</v>
      </c>
    </row>
    <row r="57" spans="1:5">
      <c r="A57" s="68">
        <v>0.41005399999999997</v>
      </c>
      <c r="B57" s="68">
        <v>0.42277199999999998</v>
      </c>
      <c r="C57" s="68">
        <v>22.293900000000001</v>
      </c>
      <c r="D57" s="68">
        <v>1</v>
      </c>
      <c r="E57" s="68" t="s">
        <v>467</v>
      </c>
    </row>
    <row r="58" spans="1:5">
      <c r="A58" s="68">
        <v>0.411385</v>
      </c>
      <c r="B58" s="68">
        <v>0.42052899999999999</v>
      </c>
      <c r="C58" s="68">
        <v>22.6997</v>
      </c>
      <c r="D58" s="68">
        <v>1</v>
      </c>
      <c r="E58" s="68" t="s">
        <v>468</v>
      </c>
    </row>
    <row r="59" spans="1:5">
      <c r="A59" s="68">
        <v>0.41295599999999999</v>
      </c>
      <c r="B59" s="68">
        <v>0.41812100000000002</v>
      </c>
      <c r="C59" s="68">
        <v>23.1053</v>
      </c>
      <c r="D59" s="68">
        <v>1</v>
      </c>
      <c r="E59" s="68" t="s">
        <v>469</v>
      </c>
    </row>
    <row r="60" spans="1:5">
      <c r="A60" s="68">
        <v>0.415043</v>
      </c>
      <c r="B60" s="68">
        <v>0.41494900000000001</v>
      </c>
      <c r="C60" s="68">
        <v>23.510100000000001</v>
      </c>
      <c r="D60" s="68">
        <v>1</v>
      </c>
      <c r="E60" s="68" t="s">
        <v>470</v>
      </c>
    </row>
    <row r="61" spans="1:5">
      <c r="A61" s="68">
        <v>0.41753499999999999</v>
      </c>
      <c r="B61" s="68">
        <v>0.41100500000000001</v>
      </c>
      <c r="C61" s="68">
        <v>23.92</v>
      </c>
      <c r="D61" s="68">
        <v>1</v>
      </c>
      <c r="E61" s="68" t="s">
        <v>471</v>
      </c>
    </row>
    <row r="62" spans="1:5">
      <c r="A62" s="68">
        <v>0.42026999999999998</v>
      </c>
      <c r="B62" s="68">
        <v>0.40591500000000003</v>
      </c>
      <c r="C62" s="68">
        <v>24.322500000000002</v>
      </c>
      <c r="D62" s="68">
        <v>1</v>
      </c>
      <c r="E62" s="68" t="s">
        <v>472</v>
      </c>
    </row>
    <row r="63" spans="1:5">
      <c r="A63" s="68">
        <v>0.42304700000000001</v>
      </c>
      <c r="B63" s="68">
        <v>0.40082499999999999</v>
      </c>
      <c r="C63" s="68">
        <v>24.732399999999998</v>
      </c>
      <c r="D63" s="68">
        <v>1</v>
      </c>
      <c r="E63" s="68" t="s">
        <v>473</v>
      </c>
    </row>
    <row r="64" spans="1:5">
      <c r="A64" s="68">
        <v>0.42548999999999998</v>
      </c>
      <c r="B64" s="68">
        <v>0.39660699999999999</v>
      </c>
      <c r="C64" s="68">
        <v>25.1372</v>
      </c>
      <c r="D64" s="68">
        <v>1</v>
      </c>
      <c r="E64" s="68" t="s">
        <v>474</v>
      </c>
    </row>
    <row r="65" spans="1:5">
      <c r="A65" s="68">
        <v>0.428122</v>
      </c>
      <c r="B65" s="68">
        <v>0.392625</v>
      </c>
      <c r="C65" s="68">
        <v>25.540199999999999</v>
      </c>
      <c r="D65" s="68">
        <v>1</v>
      </c>
      <c r="E65" s="68" t="s">
        <v>475</v>
      </c>
    </row>
    <row r="66" spans="1:5">
      <c r="A66" s="68">
        <v>0.43057299999999998</v>
      </c>
      <c r="B66" s="68">
        <v>0.389436</v>
      </c>
      <c r="C66" s="68">
        <v>25.945399999999999</v>
      </c>
      <c r="D66" s="68">
        <v>1</v>
      </c>
      <c r="E66" s="68" t="s">
        <v>476</v>
      </c>
    </row>
    <row r="67" spans="1:5">
      <c r="A67" s="68">
        <v>0.43299700000000002</v>
      </c>
      <c r="B67" s="68">
        <v>0.38659199999999999</v>
      </c>
      <c r="C67" s="68">
        <v>26.351600000000001</v>
      </c>
      <c r="D67" s="68">
        <v>1</v>
      </c>
      <c r="E67" s="68" t="s">
        <v>477</v>
      </c>
    </row>
    <row r="68" spans="1:5">
      <c r="A68" s="68">
        <v>0.435722</v>
      </c>
      <c r="B68" s="68">
        <v>0.38349299999999997</v>
      </c>
      <c r="C68" s="68">
        <v>26.759599999999999</v>
      </c>
      <c r="D68" s="68">
        <v>1</v>
      </c>
      <c r="E68" s="68" t="s">
        <v>478</v>
      </c>
    </row>
    <row r="69" spans="1:5">
      <c r="A69" s="68">
        <v>0.43879299999999999</v>
      </c>
      <c r="B69" s="68">
        <v>0.38067000000000001</v>
      </c>
      <c r="C69" s="68">
        <v>27.167899999999999</v>
      </c>
      <c r="D69" s="68">
        <v>1</v>
      </c>
      <c r="E69" s="68" t="s">
        <v>479</v>
      </c>
    </row>
    <row r="70" spans="1:5">
      <c r="A70" s="68">
        <v>0.44162800000000002</v>
      </c>
      <c r="B70" s="68">
        <v>0.37882300000000002</v>
      </c>
      <c r="C70" s="68">
        <v>27.572600000000001</v>
      </c>
      <c r="D70" s="68">
        <v>1</v>
      </c>
      <c r="E70" s="68" t="s">
        <v>480</v>
      </c>
    </row>
    <row r="71" spans="1:5">
      <c r="A71" s="68">
        <v>0.444102</v>
      </c>
      <c r="B71" s="68">
        <v>0.37730599999999997</v>
      </c>
      <c r="C71" s="68">
        <v>27.9801</v>
      </c>
      <c r="D71" s="68">
        <v>1</v>
      </c>
      <c r="E71" s="68" t="s">
        <v>481</v>
      </c>
    </row>
    <row r="72" spans="1:5">
      <c r="A72" s="68">
        <v>0.44668799999999997</v>
      </c>
      <c r="B72" s="68">
        <v>0.37542999999999999</v>
      </c>
      <c r="C72" s="68">
        <v>28.386900000000001</v>
      </c>
      <c r="D72" s="68">
        <v>1</v>
      </c>
      <c r="E72" s="68" t="s">
        <v>482</v>
      </c>
    </row>
    <row r="73" spans="1:5">
      <c r="A73" s="68">
        <v>0.44913399999999998</v>
      </c>
      <c r="B73" s="68">
        <v>0.37378</v>
      </c>
      <c r="C73" s="68">
        <v>28.791599999999999</v>
      </c>
      <c r="D73" s="68">
        <v>1</v>
      </c>
      <c r="E73" s="68" t="s">
        <v>483</v>
      </c>
    </row>
    <row r="74" spans="1:5">
      <c r="A74" s="68">
        <v>0.451677</v>
      </c>
      <c r="B74" s="68">
        <v>0.37243300000000001</v>
      </c>
      <c r="C74" s="68">
        <v>29.198</v>
      </c>
      <c r="D74" s="68">
        <v>1</v>
      </c>
      <c r="E74" s="68" t="s">
        <v>484</v>
      </c>
    </row>
    <row r="75" spans="1:5">
      <c r="A75" s="68">
        <v>0.45424700000000001</v>
      </c>
      <c r="B75" s="68">
        <v>0.371008</v>
      </c>
      <c r="C75" s="68">
        <v>29.602499999999999</v>
      </c>
      <c r="D75" s="68">
        <v>1</v>
      </c>
      <c r="E75" s="68" t="s">
        <v>485</v>
      </c>
    </row>
    <row r="76" spans="1:5">
      <c r="A76" s="68">
        <v>0.45679599999999998</v>
      </c>
      <c r="B76" s="68">
        <v>0.36889499999999997</v>
      </c>
      <c r="C76" s="68">
        <v>30.013400000000001</v>
      </c>
      <c r="D76" s="68">
        <v>1</v>
      </c>
      <c r="E76" s="68" t="s">
        <v>486</v>
      </c>
    </row>
    <row r="77" spans="1:5">
      <c r="A77" s="68">
        <v>0.458978</v>
      </c>
      <c r="B77" s="68">
        <v>0.36689100000000002</v>
      </c>
      <c r="C77" s="68">
        <v>30.449200000000001</v>
      </c>
      <c r="D77" s="68">
        <v>2</v>
      </c>
      <c r="E77" s="68" t="s">
        <v>487</v>
      </c>
    </row>
    <row r="78" spans="1:5">
      <c r="A78" s="68">
        <v>0.46101500000000001</v>
      </c>
      <c r="B78" s="68">
        <v>0.36474800000000002</v>
      </c>
      <c r="C78" s="68">
        <v>30.853899999999999</v>
      </c>
      <c r="D78" s="68">
        <v>2</v>
      </c>
      <c r="E78" s="68" t="s">
        <v>488</v>
      </c>
    </row>
    <row r="79" spans="1:5">
      <c r="A79" s="68">
        <v>0.46278799999999998</v>
      </c>
      <c r="B79" s="68">
        <v>0.36240499999999998</v>
      </c>
      <c r="C79" s="68">
        <v>31.260200000000001</v>
      </c>
      <c r="D79" s="68">
        <v>2</v>
      </c>
      <c r="E79" s="68" t="s">
        <v>489</v>
      </c>
    </row>
    <row r="80" spans="1:5">
      <c r="A80" s="68">
        <v>0.46434799999999998</v>
      </c>
      <c r="B80" s="68">
        <v>0.36091000000000001</v>
      </c>
      <c r="C80" s="68">
        <v>31.6646</v>
      </c>
      <c r="D80" s="68">
        <v>2</v>
      </c>
      <c r="E80" s="68" t="s">
        <v>490</v>
      </c>
    </row>
    <row r="81" spans="1:5">
      <c r="A81" s="68">
        <v>0.465754</v>
      </c>
      <c r="B81" s="68">
        <v>0.35977700000000001</v>
      </c>
      <c r="C81" s="68">
        <v>32.075400000000002</v>
      </c>
      <c r="D81" s="68">
        <v>2</v>
      </c>
      <c r="E81" s="68" t="s">
        <v>491</v>
      </c>
    </row>
    <row r="82" spans="1:5">
      <c r="A82" s="68">
        <v>0.46688200000000002</v>
      </c>
      <c r="B82" s="68">
        <v>0.35893999999999998</v>
      </c>
      <c r="C82" s="68">
        <v>32.479199999999999</v>
      </c>
      <c r="D82" s="68">
        <v>2</v>
      </c>
      <c r="E82" s="68" t="s">
        <v>492</v>
      </c>
    </row>
    <row r="83" spans="1:5">
      <c r="A83" s="68">
        <v>0.46766999999999997</v>
      </c>
      <c r="B83" s="68">
        <v>0.35832399999999998</v>
      </c>
      <c r="C83" s="68">
        <v>32.883899999999997</v>
      </c>
      <c r="D83" s="68">
        <v>2</v>
      </c>
      <c r="E83" s="68" t="s">
        <v>493</v>
      </c>
    </row>
    <row r="84" spans="1:5">
      <c r="A84" s="68">
        <v>0.46812399999999998</v>
      </c>
      <c r="B84" s="68">
        <v>0.35782199999999997</v>
      </c>
      <c r="C84" s="68">
        <v>33.291600000000003</v>
      </c>
      <c r="D84" s="68">
        <v>2</v>
      </c>
      <c r="E84" s="68" t="s">
        <v>494</v>
      </c>
    </row>
    <row r="85" spans="1:5">
      <c r="A85" s="68">
        <v>0.46804800000000002</v>
      </c>
      <c r="B85" s="68">
        <v>0.35769000000000001</v>
      </c>
      <c r="C85" s="68">
        <v>33.697899999999997</v>
      </c>
      <c r="D85" s="68">
        <v>2</v>
      </c>
      <c r="E85" s="68" t="s">
        <v>495</v>
      </c>
    </row>
    <row r="86" spans="1:5">
      <c r="A86" s="68">
        <v>0.46765099999999998</v>
      </c>
      <c r="B86" s="68">
        <v>0.35691400000000001</v>
      </c>
      <c r="C86" s="68">
        <v>34.107500000000002</v>
      </c>
      <c r="D86" s="68">
        <v>2</v>
      </c>
      <c r="E86" s="68" t="s">
        <v>496</v>
      </c>
    </row>
    <row r="87" spans="1:5">
      <c r="A87" s="68">
        <v>0.46655600000000003</v>
      </c>
      <c r="B87" s="68">
        <v>0.35642600000000002</v>
      </c>
      <c r="C87" s="68">
        <v>34.514099999999999</v>
      </c>
      <c r="D87" s="68">
        <v>2</v>
      </c>
      <c r="E87" s="68" t="s">
        <v>497</v>
      </c>
    </row>
    <row r="88" spans="1:5">
      <c r="A88" s="68">
        <v>0.46530300000000002</v>
      </c>
      <c r="B88" s="68">
        <v>0.356184</v>
      </c>
      <c r="C88" s="68">
        <v>34.917000000000002</v>
      </c>
      <c r="D88" s="68">
        <v>2</v>
      </c>
      <c r="E88" s="68" t="s">
        <v>498</v>
      </c>
    </row>
    <row r="89" spans="1:5">
      <c r="A89" s="68">
        <v>0.464113</v>
      </c>
      <c r="B89" s="68">
        <v>0.35619899999999999</v>
      </c>
      <c r="C89" s="68">
        <v>35.321800000000003</v>
      </c>
      <c r="D89" s="68">
        <v>2</v>
      </c>
      <c r="E89" s="68" t="s">
        <v>499</v>
      </c>
    </row>
    <row r="90" spans="1:5">
      <c r="A90" s="68">
        <v>0.463036</v>
      </c>
      <c r="B90" s="68">
        <v>0.35635600000000001</v>
      </c>
      <c r="C90" s="68">
        <v>35.731099999999998</v>
      </c>
      <c r="D90" s="68">
        <v>2</v>
      </c>
      <c r="E90" s="68" t="s">
        <v>500</v>
      </c>
    </row>
    <row r="91" spans="1:5">
      <c r="A91" s="68">
        <v>0.46232299999999998</v>
      </c>
      <c r="B91" s="68">
        <v>0.35683799999999999</v>
      </c>
      <c r="C91" s="68">
        <v>36.139899999999997</v>
      </c>
      <c r="D91" s="68">
        <v>2</v>
      </c>
      <c r="E91" s="68" t="s">
        <v>501</v>
      </c>
    </row>
    <row r="92" spans="1:5">
      <c r="A92" s="68">
        <v>0.46163500000000002</v>
      </c>
      <c r="B92" s="68">
        <v>0.35734399999999999</v>
      </c>
      <c r="C92" s="68">
        <v>36.545099999999998</v>
      </c>
      <c r="D92" s="68">
        <v>2</v>
      </c>
      <c r="E92" s="68" t="s">
        <v>502</v>
      </c>
    </row>
    <row r="93" spans="1:5">
      <c r="A93" s="68">
        <v>0.46073500000000001</v>
      </c>
      <c r="B93" s="68">
        <v>0.35794700000000002</v>
      </c>
      <c r="C93" s="68">
        <v>36.952399999999997</v>
      </c>
      <c r="D93" s="68">
        <v>2</v>
      </c>
      <c r="E93" s="68" t="s">
        <v>503</v>
      </c>
    </row>
    <row r="94" spans="1:5">
      <c r="A94" s="68">
        <v>0.45960899999999999</v>
      </c>
      <c r="B94" s="68">
        <v>0.35889500000000002</v>
      </c>
      <c r="C94" s="68">
        <v>37.353200000000001</v>
      </c>
      <c r="D94" s="68">
        <v>2</v>
      </c>
      <c r="E94" s="68" t="s">
        <v>504</v>
      </c>
    </row>
    <row r="95" spans="1:5">
      <c r="A95" s="68">
        <v>0.45840599999999998</v>
      </c>
      <c r="B95" s="68">
        <v>0.35938399999999998</v>
      </c>
      <c r="C95" s="68">
        <v>37.760100000000001</v>
      </c>
      <c r="D95" s="68">
        <v>2</v>
      </c>
      <c r="E95" s="68" t="s">
        <v>505</v>
      </c>
    </row>
    <row r="96" spans="1:5">
      <c r="A96" s="68">
        <v>0.45694899999999999</v>
      </c>
      <c r="B96" s="68">
        <v>0.359904</v>
      </c>
      <c r="C96" s="68">
        <v>38.1676</v>
      </c>
      <c r="D96" s="68">
        <v>2</v>
      </c>
      <c r="E96" s="68" t="s">
        <v>506</v>
      </c>
    </row>
    <row r="97" spans="1:5">
      <c r="A97" s="68">
        <v>0.45522499999999999</v>
      </c>
      <c r="B97" s="68">
        <v>0.36127399999999998</v>
      </c>
      <c r="C97" s="68">
        <v>38.575499999999998</v>
      </c>
      <c r="D97" s="68">
        <v>2</v>
      </c>
      <c r="E97" s="68" t="s">
        <v>507</v>
      </c>
    </row>
    <row r="98" spans="1:5">
      <c r="A98" s="68">
        <v>0.45333899999999999</v>
      </c>
      <c r="B98" s="68">
        <v>0.36275499999999999</v>
      </c>
      <c r="C98" s="68">
        <v>38.979399999999998</v>
      </c>
      <c r="D98" s="68">
        <v>2</v>
      </c>
      <c r="E98" s="68" t="s">
        <v>508</v>
      </c>
    </row>
    <row r="99" spans="1:5">
      <c r="A99" s="68">
        <v>0.45107700000000001</v>
      </c>
      <c r="B99" s="68">
        <v>0.36436600000000002</v>
      </c>
      <c r="C99" s="68">
        <v>39.384099999999997</v>
      </c>
      <c r="D99" s="68">
        <v>2</v>
      </c>
      <c r="E99" s="68" t="s">
        <v>509</v>
      </c>
    </row>
    <row r="100" spans="1:5">
      <c r="A100" s="68">
        <v>0.44843300000000003</v>
      </c>
      <c r="B100" s="68">
        <v>0.36619800000000002</v>
      </c>
      <c r="C100" s="68">
        <v>39.791699999999999</v>
      </c>
      <c r="D100" s="68">
        <v>2</v>
      </c>
      <c r="E100" s="68" t="s">
        <v>510</v>
      </c>
    </row>
    <row r="101" spans="1:5">
      <c r="A101" s="68">
        <v>0.44524900000000001</v>
      </c>
      <c r="B101" s="68">
        <v>0.368315</v>
      </c>
      <c r="C101" s="68">
        <v>40.200499999999998</v>
      </c>
      <c r="D101" s="68">
        <v>2</v>
      </c>
      <c r="E101" s="68" t="s">
        <v>511</v>
      </c>
    </row>
    <row r="102" spans="1:5">
      <c r="A102" s="68">
        <v>0.44192900000000002</v>
      </c>
      <c r="B102" s="68">
        <v>0.370083</v>
      </c>
      <c r="C102" s="68">
        <v>40.606699999999996</v>
      </c>
      <c r="D102" s="68">
        <v>2</v>
      </c>
      <c r="E102" s="68" t="s">
        <v>512</v>
      </c>
    </row>
    <row r="103" spans="1:5">
      <c r="A103" s="68">
        <v>0.43850299999999998</v>
      </c>
      <c r="B103" s="68">
        <v>0.37196600000000002</v>
      </c>
      <c r="C103" s="68">
        <v>41.011499999999998</v>
      </c>
      <c r="D103" s="68">
        <v>2</v>
      </c>
      <c r="E103" s="68" t="s">
        <v>513</v>
      </c>
    </row>
    <row r="104" spans="1:5">
      <c r="A104" s="68">
        <v>0.43520300000000001</v>
      </c>
      <c r="B104" s="68">
        <v>0.37404999999999999</v>
      </c>
      <c r="C104" s="68">
        <v>41.416800000000002</v>
      </c>
      <c r="D104" s="68">
        <v>2</v>
      </c>
      <c r="E104" s="68" t="s">
        <v>514</v>
      </c>
    </row>
    <row r="105" spans="1:5">
      <c r="A105" s="68">
        <v>0.43245</v>
      </c>
      <c r="B105" s="68">
        <v>0.375809</v>
      </c>
      <c r="C105" s="68">
        <v>41.822600000000001</v>
      </c>
      <c r="D105" s="68">
        <v>2</v>
      </c>
      <c r="E105" s="68" t="s">
        <v>515</v>
      </c>
    </row>
    <row r="106" spans="1:5">
      <c r="A106" s="68">
        <v>0.42962699999999998</v>
      </c>
      <c r="B106" s="68">
        <v>0.378523</v>
      </c>
      <c r="C106" s="68">
        <v>42.231099999999998</v>
      </c>
      <c r="D106" s="68">
        <v>2</v>
      </c>
      <c r="E106" s="68" t="s">
        <v>516</v>
      </c>
    </row>
    <row r="107" spans="1:5">
      <c r="A107" s="68">
        <v>0.42672100000000002</v>
      </c>
      <c r="B107" s="68">
        <v>0.38198799999999999</v>
      </c>
      <c r="C107" s="68">
        <v>42.640300000000003</v>
      </c>
      <c r="D107" s="68">
        <v>2</v>
      </c>
      <c r="E107" s="68" t="s">
        <v>517</v>
      </c>
    </row>
    <row r="108" spans="1:5">
      <c r="A108" s="68">
        <v>0.42413499999999998</v>
      </c>
      <c r="B108" s="68">
        <v>0.38523400000000002</v>
      </c>
      <c r="C108" s="68">
        <v>43.042400000000001</v>
      </c>
      <c r="D108" s="68">
        <v>2</v>
      </c>
      <c r="E108" s="68" t="s">
        <v>518</v>
      </c>
    </row>
    <row r="109" spans="1:5">
      <c r="A109" s="68">
        <v>0.42174</v>
      </c>
      <c r="B109" s="68">
        <v>0.38786500000000002</v>
      </c>
      <c r="C109" s="68">
        <v>43.445500000000003</v>
      </c>
      <c r="D109" s="68">
        <v>2</v>
      </c>
      <c r="E109" s="68" t="s">
        <v>519</v>
      </c>
    </row>
    <row r="110" spans="1:5">
      <c r="A110" s="68">
        <v>0.41913</v>
      </c>
      <c r="B110" s="68">
        <v>0.39003399999999999</v>
      </c>
      <c r="C110" s="68">
        <v>43.852200000000003</v>
      </c>
      <c r="D110" s="68">
        <v>2</v>
      </c>
      <c r="E110" s="68" t="s">
        <v>520</v>
      </c>
    </row>
    <row r="111" spans="1:5">
      <c r="A111" s="68">
        <v>0.41655500000000001</v>
      </c>
      <c r="B111" s="68">
        <v>0.39286700000000002</v>
      </c>
      <c r="C111" s="68">
        <v>44.264200000000002</v>
      </c>
      <c r="D111" s="68">
        <v>2</v>
      </c>
      <c r="E111" s="68" t="s">
        <v>521</v>
      </c>
    </row>
    <row r="112" spans="1:5">
      <c r="A112" s="68">
        <v>0.41426099999999999</v>
      </c>
      <c r="B112" s="68">
        <v>0.39516600000000002</v>
      </c>
      <c r="C112" s="68">
        <v>44.6661</v>
      </c>
      <c r="D112" s="68">
        <v>2</v>
      </c>
      <c r="E112" s="68" t="s">
        <v>522</v>
      </c>
    </row>
    <row r="113" spans="1:5">
      <c r="A113" s="68">
        <v>0.41214400000000001</v>
      </c>
      <c r="B113" s="68">
        <v>0.39743400000000001</v>
      </c>
      <c r="C113" s="68">
        <v>45.074300000000001</v>
      </c>
      <c r="D113" s="68">
        <v>2</v>
      </c>
      <c r="E113" s="68" t="s">
        <v>523</v>
      </c>
    </row>
    <row r="114" spans="1:5">
      <c r="A114" s="68">
        <v>0.41018100000000002</v>
      </c>
      <c r="B114" s="68">
        <v>0.39929199999999998</v>
      </c>
      <c r="C114" s="68">
        <v>45.478099999999998</v>
      </c>
      <c r="D114" s="68">
        <v>2</v>
      </c>
      <c r="E114" s="68" t="s">
        <v>524</v>
      </c>
    </row>
    <row r="115" spans="1:5">
      <c r="A115" s="68">
        <v>0.40837400000000001</v>
      </c>
      <c r="B115" s="68">
        <v>0.40125300000000003</v>
      </c>
      <c r="C115" s="68">
        <v>45.887999999999998</v>
      </c>
      <c r="D115" s="68">
        <v>2</v>
      </c>
      <c r="E115" s="68" t="s">
        <v>525</v>
      </c>
    </row>
    <row r="116" spans="1:5">
      <c r="A116" s="68">
        <v>0.406754</v>
      </c>
      <c r="B116" s="68">
        <v>0.40258899999999997</v>
      </c>
      <c r="C116" s="68">
        <v>46.2941</v>
      </c>
      <c r="D116" s="68">
        <v>2</v>
      </c>
      <c r="E116" s="68" t="s">
        <v>526</v>
      </c>
    </row>
    <row r="117" spans="1:5">
      <c r="A117" s="68">
        <v>0.40508100000000002</v>
      </c>
      <c r="B117" s="68">
        <v>0.40369500000000003</v>
      </c>
      <c r="C117" s="68">
        <v>46.700499999999998</v>
      </c>
      <c r="D117" s="68">
        <v>2</v>
      </c>
      <c r="E117" s="68" t="s">
        <v>527</v>
      </c>
    </row>
    <row r="118" spans="1:5">
      <c r="A118" s="68">
        <v>0.403223</v>
      </c>
      <c r="B118" s="68">
        <v>0.40483200000000003</v>
      </c>
      <c r="C118" s="68">
        <v>47.1051</v>
      </c>
      <c r="D118" s="68">
        <v>2</v>
      </c>
      <c r="E118" s="68" t="s">
        <v>528</v>
      </c>
    </row>
    <row r="119" spans="1:5">
      <c r="A119" s="68">
        <v>0.401391</v>
      </c>
      <c r="B119" s="68">
        <v>0.40576099999999998</v>
      </c>
      <c r="C119" s="68">
        <v>47.512500000000003</v>
      </c>
      <c r="D119" s="68">
        <v>2</v>
      </c>
      <c r="E119" s="68" t="s">
        <v>529</v>
      </c>
    </row>
    <row r="120" spans="1:5">
      <c r="A120" s="68">
        <v>0.40003699999999998</v>
      </c>
      <c r="B120" s="68">
        <v>0.40565200000000001</v>
      </c>
      <c r="C120" s="68">
        <v>47.915700000000001</v>
      </c>
      <c r="D120" s="68">
        <v>2</v>
      </c>
      <c r="E120" s="68" t="s">
        <v>530</v>
      </c>
    </row>
    <row r="121" spans="1:5">
      <c r="A121" s="68">
        <v>0.39924500000000002</v>
      </c>
      <c r="B121" s="68">
        <v>0.40427999999999997</v>
      </c>
      <c r="C121" s="68">
        <v>48.325800000000001</v>
      </c>
      <c r="D121" s="68">
        <v>2</v>
      </c>
      <c r="E121" s="68" t="s">
        <v>531</v>
      </c>
    </row>
    <row r="122" spans="1:5">
      <c r="A122" s="68">
        <v>0.39865200000000001</v>
      </c>
      <c r="B122" s="68">
        <v>0.40215699999999999</v>
      </c>
      <c r="C122" s="68">
        <v>48.728400000000001</v>
      </c>
      <c r="D122" s="68">
        <v>2</v>
      </c>
      <c r="E122" s="68" t="s">
        <v>532</v>
      </c>
    </row>
    <row r="123" spans="1:5">
      <c r="A123" s="68">
        <v>0.39836199999999999</v>
      </c>
      <c r="B123" s="68">
        <v>0.39954400000000001</v>
      </c>
      <c r="C123" s="68">
        <v>49.136299999999999</v>
      </c>
      <c r="D123" s="68">
        <v>2</v>
      </c>
      <c r="E123" s="68" t="s">
        <v>533</v>
      </c>
    </row>
    <row r="124" spans="1:5">
      <c r="A124" s="68">
        <v>0.39842100000000003</v>
      </c>
      <c r="B124" s="68">
        <v>0.39637600000000001</v>
      </c>
      <c r="C124" s="68">
        <v>49.5396</v>
      </c>
      <c r="D124" s="68">
        <v>2</v>
      </c>
      <c r="E124" s="68" t="s">
        <v>534</v>
      </c>
    </row>
    <row r="125" spans="1:5">
      <c r="A125" s="68">
        <v>0.39889599999999997</v>
      </c>
      <c r="B125" s="68">
        <v>0.39271299999999998</v>
      </c>
      <c r="C125" s="68">
        <v>49.946199999999997</v>
      </c>
      <c r="D125" s="68">
        <v>2</v>
      </c>
      <c r="E125" s="68" t="s">
        <v>535</v>
      </c>
    </row>
    <row r="126" spans="1:5">
      <c r="A126" s="68">
        <v>0.39934500000000001</v>
      </c>
      <c r="B126" s="68">
        <v>0.39036399999999999</v>
      </c>
      <c r="C126" s="68">
        <v>50.354799999999997</v>
      </c>
      <c r="D126" s="68">
        <v>2</v>
      </c>
      <c r="E126" s="68" t="s">
        <v>536</v>
      </c>
    </row>
    <row r="127" spans="1:5">
      <c r="A127" s="68">
        <v>0.39972999999999997</v>
      </c>
      <c r="B127" s="68">
        <v>0.389293</v>
      </c>
      <c r="C127" s="68">
        <v>50.759700000000002</v>
      </c>
      <c r="D127" s="68">
        <v>2</v>
      </c>
      <c r="E127" s="68" t="s">
        <v>537</v>
      </c>
    </row>
    <row r="128" spans="1:5">
      <c r="A128" s="68">
        <v>0.400204</v>
      </c>
      <c r="B128" s="68">
        <v>0.38839699999999999</v>
      </c>
      <c r="C128" s="68">
        <v>51.167499999999997</v>
      </c>
      <c r="D128" s="68">
        <v>2</v>
      </c>
      <c r="E128" s="68" t="s">
        <v>538</v>
      </c>
    </row>
    <row r="129" spans="1:5">
      <c r="A129" s="68">
        <v>0.40066299999999999</v>
      </c>
      <c r="B129" s="68">
        <v>0.38753100000000001</v>
      </c>
      <c r="C129" s="68">
        <v>51.573099999999997</v>
      </c>
      <c r="D129" s="68">
        <v>2</v>
      </c>
      <c r="E129" s="68" t="s">
        <v>539</v>
      </c>
    </row>
    <row r="130" spans="1:5">
      <c r="A130" s="68">
        <v>0.40079399999999998</v>
      </c>
      <c r="B130" s="68">
        <v>0.38645299999999999</v>
      </c>
      <c r="C130" s="68">
        <v>51.985399999999998</v>
      </c>
      <c r="D130" s="68">
        <v>2</v>
      </c>
      <c r="E130" s="68" t="s">
        <v>540</v>
      </c>
    </row>
    <row r="131" spans="1:5">
      <c r="A131" s="68">
        <v>0.40069100000000002</v>
      </c>
      <c r="B131" s="68">
        <v>0.38499800000000001</v>
      </c>
      <c r="C131" s="68">
        <v>52.387300000000003</v>
      </c>
      <c r="D131" s="68">
        <v>2</v>
      </c>
      <c r="E131" s="68" t="s">
        <v>541</v>
      </c>
    </row>
    <row r="132" spans="1:5">
      <c r="A132" s="68">
        <v>0.40048400000000001</v>
      </c>
      <c r="B132" s="68">
        <v>0.38333899999999999</v>
      </c>
      <c r="C132" s="68">
        <v>52.790199999999999</v>
      </c>
      <c r="D132" s="68">
        <v>2</v>
      </c>
      <c r="E132" s="68" t="s">
        <v>542</v>
      </c>
    </row>
    <row r="133" spans="1:5">
      <c r="A133" s="68">
        <v>0.40012199999999998</v>
      </c>
      <c r="B133" s="68">
        <v>0.38174400000000003</v>
      </c>
      <c r="C133" s="68">
        <v>53.198</v>
      </c>
      <c r="D133" s="68">
        <v>2</v>
      </c>
      <c r="E133" s="68" t="s">
        <v>543</v>
      </c>
    </row>
    <row r="134" spans="1:5">
      <c r="A134" s="68">
        <v>0.39977000000000001</v>
      </c>
      <c r="B134" s="68">
        <v>0.37998500000000002</v>
      </c>
      <c r="C134" s="68">
        <v>53.607999999999997</v>
      </c>
      <c r="D134" s="68">
        <v>2</v>
      </c>
      <c r="E134" s="68" t="s">
        <v>544</v>
      </c>
    </row>
    <row r="135" spans="1:5">
      <c r="A135" s="68">
        <v>0.39999899999999999</v>
      </c>
      <c r="B135" s="68">
        <v>0.377743</v>
      </c>
      <c r="C135" s="68">
        <v>54.012300000000003</v>
      </c>
      <c r="D135" s="68">
        <v>2</v>
      </c>
      <c r="E135" s="68" t="s">
        <v>545</v>
      </c>
    </row>
    <row r="136" spans="1:5">
      <c r="A136" s="68">
        <v>0.40079300000000001</v>
      </c>
      <c r="B136" s="68">
        <v>0.37533</v>
      </c>
      <c r="C136" s="68">
        <v>54.418300000000002</v>
      </c>
      <c r="D136" s="68">
        <v>2</v>
      </c>
      <c r="E136" s="68" t="s">
        <v>546</v>
      </c>
    </row>
    <row r="137" spans="1:5">
      <c r="A137" s="68">
        <v>0.40183799999999997</v>
      </c>
      <c r="B137" s="68">
        <v>0.37319200000000002</v>
      </c>
      <c r="C137" s="68">
        <v>54.8215</v>
      </c>
      <c r="D137" s="68">
        <v>2</v>
      </c>
      <c r="E137" s="68" t="s">
        <v>547</v>
      </c>
    </row>
    <row r="138" spans="1:5">
      <c r="A138" s="68">
        <v>0.40293400000000001</v>
      </c>
      <c r="B138" s="68">
        <v>0.37045600000000001</v>
      </c>
      <c r="C138" s="68">
        <v>55.229799999999997</v>
      </c>
      <c r="D138" s="68">
        <v>2</v>
      </c>
      <c r="E138" s="68" t="s">
        <v>548</v>
      </c>
    </row>
    <row r="139" spans="1:5">
      <c r="A139" s="68">
        <v>0.40411599999999998</v>
      </c>
      <c r="B139" s="68">
        <v>0.36727599999999999</v>
      </c>
      <c r="C139" s="68">
        <v>55.6372</v>
      </c>
      <c r="D139" s="68">
        <v>2</v>
      </c>
      <c r="E139" s="68" t="s">
        <v>549</v>
      </c>
    </row>
    <row r="140" spans="1:5">
      <c r="A140" s="68">
        <v>0.40506199999999998</v>
      </c>
      <c r="B140" s="68">
        <v>0.36399300000000001</v>
      </c>
      <c r="C140" s="68">
        <v>56.043399999999998</v>
      </c>
      <c r="D140" s="68">
        <v>2</v>
      </c>
      <c r="E140" s="68" t="s">
        <v>550</v>
      </c>
    </row>
    <row r="141" spans="1:5">
      <c r="A141" s="68">
        <v>0.40542699999999998</v>
      </c>
      <c r="B141" s="68">
        <v>0.36109200000000002</v>
      </c>
      <c r="C141" s="68">
        <v>56.447699999999998</v>
      </c>
      <c r="D141" s="68">
        <v>2</v>
      </c>
      <c r="E141" s="68" t="s">
        <v>551</v>
      </c>
    </row>
    <row r="142" spans="1:5">
      <c r="A142" s="68">
        <v>0.40613500000000002</v>
      </c>
      <c r="B142" s="68">
        <v>0.35788500000000001</v>
      </c>
      <c r="C142" s="68">
        <v>56.854300000000002</v>
      </c>
      <c r="D142" s="68">
        <v>2</v>
      </c>
      <c r="E142" s="68" t="s">
        <v>552</v>
      </c>
    </row>
    <row r="143" spans="1:5">
      <c r="A143" s="68">
        <v>0.40730899999999998</v>
      </c>
      <c r="B143" s="68">
        <v>0.35493000000000002</v>
      </c>
      <c r="C143" s="68">
        <v>57.259799999999998</v>
      </c>
      <c r="D143" s="68">
        <v>2</v>
      </c>
      <c r="E143" s="68" t="s">
        <v>553</v>
      </c>
    </row>
    <row r="144" spans="1:5">
      <c r="A144" s="68">
        <v>0.40869</v>
      </c>
      <c r="B144" s="68">
        <v>0.352217</v>
      </c>
      <c r="C144" s="68">
        <v>57.674399999999999</v>
      </c>
      <c r="D144" s="68">
        <v>2</v>
      </c>
      <c r="E144" s="68" t="s">
        <v>554</v>
      </c>
    </row>
    <row r="145" spans="1:5">
      <c r="A145" s="68">
        <v>0.40998299999999999</v>
      </c>
      <c r="B145" s="68">
        <v>0.35020299999999999</v>
      </c>
      <c r="C145" s="68">
        <v>58.076799999999999</v>
      </c>
      <c r="D145" s="68">
        <v>2</v>
      </c>
      <c r="E145" s="68" t="s">
        <v>555</v>
      </c>
    </row>
    <row r="146" spans="1:5">
      <c r="A146" s="68">
        <v>0.41125800000000001</v>
      </c>
      <c r="B146" s="68">
        <v>0.34765499999999999</v>
      </c>
      <c r="C146" s="68">
        <v>58.487400000000001</v>
      </c>
      <c r="D146" s="68">
        <v>2</v>
      </c>
      <c r="E146" s="68" t="s">
        <v>556</v>
      </c>
    </row>
    <row r="147" spans="1:5">
      <c r="A147" s="68">
        <v>0.41170699999999999</v>
      </c>
      <c r="B147" s="68">
        <v>0.34658099999999997</v>
      </c>
      <c r="C147" s="68">
        <v>58.885399999999997</v>
      </c>
      <c r="D147" s="68">
        <v>2</v>
      </c>
      <c r="E147" s="68" t="s">
        <v>557</v>
      </c>
    </row>
    <row r="148" spans="1:5">
      <c r="A148" s="68">
        <v>0.41176299999999999</v>
      </c>
      <c r="B148" s="68">
        <v>0.34560999999999997</v>
      </c>
      <c r="C148" s="68">
        <v>59.2898</v>
      </c>
      <c r="D148" s="68">
        <v>2</v>
      </c>
      <c r="E148" s="68" t="s">
        <v>558</v>
      </c>
    </row>
    <row r="149" spans="1:5">
      <c r="A149" s="68">
        <v>0.41215200000000002</v>
      </c>
      <c r="B149" s="68">
        <v>0.34234399999999998</v>
      </c>
      <c r="C149" s="68">
        <v>59.697499999999998</v>
      </c>
      <c r="D149" s="68">
        <v>2</v>
      </c>
      <c r="E149" s="68" t="s">
        <v>559</v>
      </c>
    </row>
    <row r="150" spans="1:5">
      <c r="A150" s="68">
        <v>0.41097600000000001</v>
      </c>
      <c r="B150" s="68">
        <v>0.33890500000000001</v>
      </c>
      <c r="C150" s="32">
        <v>60.103299999999997</v>
      </c>
      <c r="D150" s="32">
        <v>2</v>
      </c>
      <c r="E150" s="32" t="s">
        <v>560</v>
      </c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409</v>
      </c>
      <c r="B1" s="66" t="s">
        <v>561</v>
      </c>
      <c r="C1" s="66" t="s">
        <v>563</v>
      </c>
      <c r="D1" s="66" t="s">
        <v>564</v>
      </c>
      <c r="E1" s="66" t="s">
        <v>565</v>
      </c>
      <c r="F1" s="66" t="s">
        <v>348</v>
      </c>
      <c r="G1" s="66" t="s">
        <v>349</v>
      </c>
      <c r="H1" s="66" t="s">
        <v>566</v>
      </c>
      <c r="I1" s="66" t="s">
        <v>567</v>
      </c>
      <c r="J1" s="66" t="s">
        <v>568</v>
      </c>
      <c r="K1" s="66" t="s">
        <v>569</v>
      </c>
      <c r="L1" s="66" t="s">
        <v>570</v>
      </c>
      <c r="M1" s="66" t="s">
        <v>571</v>
      </c>
      <c r="N1" s="66"/>
    </row>
    <row r="2" spans="1:14">
      <c r="A2" s="75">
        <v>43614.386469907404</v>
      </c>
      <c r="B2" s="66" t="s">
        <v>562</v>
      </c>
      <c r="C2" s="66"/>
      <c r="D2" s="66"/>
      <c r="E2" s="66">
        <v>4.9234099999999996</v>
      </c>
      <c r="F2" s="66">
        <v>2.1468799999999999</v>
      </c>
      <c r="G2" s="66">
        <v>0.62629400000000002</v>
      </c>
      <c r="H2" s="66">
        <v>0</v>
      </c>
      <c r="I2" s="66">
        <v>113788</v>
      </c>
      <c r="J2" s="66">
        <v>109</v>
      </c>
      <c r="K2" s="66">
        <v>109</v>
      </c>
      <c r="L2" s="66">
        <v>0</v>
      </c>
      <c r="M2" s="66" t="s">
        <v>572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2019-05-29T01:17:21Z</cp:lastPrinted>
  <dcterms:created xsi:type="dcterms:W3CDTF">2010-10-29T12:53:05Z</dcterms:created>
  <dcterms:modified xsi:type="dcterms:W3CDTF">2019-05-29T01:17:37Z</dcterms:modified>
</cp:coreProperties>
</file>