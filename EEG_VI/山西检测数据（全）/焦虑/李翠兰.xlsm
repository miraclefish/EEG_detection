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X19" i="23" l="1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<sst xmlns="http://schemas.openxmlformats.org/spreadsheetml/2006/main" count="701" uniqueCount="517">
  <si>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</si>
  <si>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</si>
  <si>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</si>
  <si>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</si>
  <si>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</si>
  <si>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</si>
  <si>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</si>
  <si>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</si>
  <si>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</si>
  <si>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</si>
  <si>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</si>
  <si>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</si>
  <si>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</si>
  <si>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</si>
  <si>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</si>
  <si>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</si>
  <si>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</si>
  <si>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</si>
  <si>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</si>
  <si>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</si>
  <si>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</si>
  <si>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</si>
  <si>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</si>
  <si>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</si>
  <si>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</si>
  <si>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</si>
  <si>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</si>
  <si>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</si>
  <si>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</si>
  <si>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</si>
  <si>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</si>
  <si>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</si>
  <si>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</si>
  <si>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</si>
  <si>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</si>
  <si>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</si>
  <si>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</si>
  <si>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</si>
  <si>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</si>
  <si>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</si>
  <si>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</si>
  <si>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</si>
  <si>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</si>
  <si>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</si>
  <si>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</si>
  <si>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</si>
  <si>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</si>
  <si>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</si>
  <si>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</si>
  <si>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</si>
  <si>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</si>
  <si>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</si>
  <si>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</si>
  <si>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</si>
  <si>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</si>
  <si>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</si>
  <si>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</si>
  <si>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</si>
  <si>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</si>
  <si>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</si>
  <si>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</si>
  <si>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</si>
  <si>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</si>
  <si>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</si>
  <si>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</si>
  <si>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</si>
  <si>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</si>
  <si>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</si>
  <si>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</si>
  <si>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</si>
  <si>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</si>
  <si>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</si>
  <si>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</si>
  <si>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</si>
  <si>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</si>
  <si>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</si>
  <si>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</si>
  <si>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</si>
  <si>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</si>
  <si>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</si>
  <si>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</si>
  <si>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</si>
  <si>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</si>
  <si>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</si>
  <si>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</si>
  <si>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</si>
  <si>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</si>
  <si>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</si>
  <si>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</si>
  <si>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</si>
  <si>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</si>
  <si>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</si>
  <si>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</si>
  <si>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</si>
  <si>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</si>
  <si>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</si>
  <si>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</si>
  <si>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</si>
  <si>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</si>
  <si>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</si>
  <si>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</si>
  <si>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</si>
  <si>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</si>
  <si>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</si>
  <si>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</si>
  <si>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</si>
  <si>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</si>
  <si>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</si>
  <si>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</si>
  <si>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</si>
  <si>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</si>
  <si>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</si>
  <si>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</si>
  <si>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</si>
  <si>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</si>
  <si>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</si>
  <si>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</si>
  <si>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</si>
  <si>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</si>
  <si>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</si>
  <si>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</si>
  <si>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</si>
  <si>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</si>
  <si>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</si>
  <si>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</si>
  <si>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</si>
  <si>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</si>
  <si>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</si>
  <si>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</si>
  <si>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</si>
  <si>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</si>
  <si>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</si>
  <si>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</si>
  <si>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</si>
  <si>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</si>
  <si>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</si>
  <si>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</si>
  <si>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</si>
  <si>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</si>
  <si>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</si>
  <si>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</si>
  <si>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</si>
  <si>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</si>
  <si>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</si>
  <si>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</si>
  <si>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</si>
  <si>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</si>
  <si>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</si>
  <si>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</si>
  <si>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</si>
  <si>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</si>
  <si>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</si>
  <si>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</si>
  <si>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</si>
  <si>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</si>
  <si>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</si>
  <si>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</si>
  <si>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</si>
  <si>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</si>
  <si>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</si>
  <si>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</si>
  <si>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</si>
  <si>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</si>
  <si>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</si>
  <si>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</si>
  <si>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</si>
  <si>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</si>
  <si>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</si>
  <si>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</si>
  <si>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</si>
  <si>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</si>
  <si>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</si>
  <si>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</si>
  <si>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</si>
  <si>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</si>
  <si>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</si>
  <si>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</si>
  <si>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</si>
  <si>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</si>
  <si>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</si>
  <si>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</si>
  <si>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</si>
  <si>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</si>
  <si>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</si>
  <si>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</si>
  <si>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</si>
  <si>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</si>
  <si>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</si>
  <si>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</si>
  <si>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</si>
  <si>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</si>
  <si>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</si>
  <si>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</si>
  <si>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</si>
  <si>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</si>
  <si>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</si>
  <si>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</si>
  <si>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</si>
  <si>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</si>
  <si>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</si>
  <si>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</si>
  <si>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</si>
  <si>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</si>
  <si>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</si>
  <si>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</si>
  <si>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</si>
  <si>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</si>
  <si>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</si>
  <si>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</si>
  <si>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</si>
  <si>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</si>
  <si>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</si>
  <si>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</si>
  <si>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</si>
  <si>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</si>
  <si>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</si>
  <si>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</si>
  <si>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</si>
  <si>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</si>
  <si>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</si>
  <si>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</si>
  <si>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</si>
  <si>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</si>
  <si>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</si>
  <si>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</si>
  <si>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</si>
  <si>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</si>
  <si>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</si>
  <si>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</si>
  <si>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</si>
  <si>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</si>
  <si>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</si>
  <si>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</si>
  <si>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</si>
  <si>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</si>
  <si>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</si>
  <si>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</si>
  <si>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</si>
  <si>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</si>
  <si>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</si>
  <si>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</si>
  <si>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</si>
  <si>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</si>
  <si>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</si>
  <si>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</si>
  <si>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</si>
  <si>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</si>
  <si>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</si>
  <si>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</si>
  <si>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</si>
  <si>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</si>
  <si>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</si>
  <si>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</si>
  <si>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</si>
  <si>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</si>
  <si>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</si>
  <si>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</si>
  <si>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</si>
  <si>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</si>
  <si>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</si>
  <si>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</si>
  <si>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</si>
  <si>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</si>
  <si>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</si>
  <si>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</si>
  <si>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</si>
  <si>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</si>
  <si>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</si>
  <si>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</si>
  <si>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</si>
  <si>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</si>
  <si>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</si>
  <si>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</si>
  <si>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</si>
  <si>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</si>
  <si>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</si>
  <si>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</si>
  <si>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</si>
  <si>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</si>
  <si>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</si>
  <si>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</si>
  <si>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</si>
  <si>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</si>
  <si>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</si>
  <si>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</si>
  <si>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</si>
  <si>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</si>
  <si>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</si>
  <si>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</si>
  <si>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</si>
  <si>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</si>
  <si>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</si>
  <si>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</si>
  <si>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</si>
  <si>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</si>
  <si>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</si>
  <si>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</si>
  <si>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</si>
  <si>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</si>
  <si>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</si>
  <si>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</si>
  <si>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</si>
  <si>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</si>
  <si>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</si>
  <si>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</si>
  <si>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</si>
  <si>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</si>
  <si>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</si>
  <si>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</si>
  <si>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</si>
  <si>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</si>
  <si>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</si>
  <si>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</si>
  <si>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</si>
  <si>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</si>
  <si>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</si>
  <si>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</si>
  <si>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</si>
  <si>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</si>
  <si>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</si>
  <si>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</si>
  <si>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</si>
  <si>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</si>
  <si>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</si>
  <si>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</si>
  <si>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</si>
  <si>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</si>
  <si>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</si>
  <si>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</si>
  <si>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</si>
  <si>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</si>
  <si>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</si>
  <si>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</si>
  <si>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</si>
  <si>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</si>
  <si>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</si>
  <si>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</si>
  <si>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</si>
  <si>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</si>
  <si>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</si>
  <si>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</si>
  <si>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</si>
  <si>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</si>
  <si>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</si>
  <si>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</si>
  <si>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</si>
  <si>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Vi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</si>
  <si>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</si>
  <si>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</si>
  <si>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</si>
  <si>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</si>
  <si>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</si>
  <si>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</si>
  <si>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</si>
  <si>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</si>
  <si>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[0.404433]</t>
  </si>
  <si>
    <t>1 [0.812121]</t>
  </si>
  <si>
    <t>1 [1.218176]</t>
  </si>
  <si>
    <t>1 [1.621519]</t>
  </si>
  <si>
    <t>1 [2.026228]</t>
  </si>
  <si>
    <t>1 [2.438980]</t>
  </si>
  <si>
    <t>1 [2.840628]</t>
  </si>
  <si>
    <t>1 [3.246168]</t>
  </si>
  <si>
    <t>1 [3.653560]</t>
  </si>
  <si>
    <t>1 [4.058966]</t>
  </si>
  <si>
    <t>1 [4.467302]</t>
  </si>
  <si>
    <t>1 [4.872975]</t>
  </si>
  <si>
    <t>1 [5.277931]</t>
  </si>
  <si>
    <t>1 [5.685765]</t>
  </si>
  <si>
    <t>1 [6.089634]</t>
  </si>
  <si>
    <t>1 [6.497558]</t>
  </si>
  <si>
    <t>1 [6.904121]</t>
  </si>
  <si>
    <t>1 [7.310146]</t>
  </si>
  <si>
    <t>1 [7.719887]</t>
  </si>
  <si>
    <t>1 [8.122214]</t>
  </si>
  <si>
    <t>1 [8.529929]</t>
  </si>
  <si>
    <t>1 [8.935731]</t>
  </si>
  <si>
    <t>1 [9.341742]</t>
  </si>
  <si>
    <t>1 [9.749606]</t>
  </si>
  <si>
    <t>1 [10.154656]</t>
  </si>
  <si>
    <t>1 [10.560432]</t>
  </si>
  <si>
    <t>1 [10.965655]</t>
  </si>
  <si>
    <t>1 [11.374132]</t>
  </si>
  <si>
    <t>1 [11.783342]</t>
  </si>
  <si>
    <t>1 [12.185668]</t>
  </si>
  <si>
    <t>1 [12.589653]</t>
  </si>
  <si>
    <t>1 [13.000528]</t>
  </si>
  <si>
    <t>1 [13.404772]</t>
  </si>
  <si>
    <t>1 [13.810280]</t>
  </si>
  <si>
    <t>1 [14.216062]</t>
  </si>
  <si>
    <t>1 [14.621090]</t>
  </si>
  <si>
    <t>1 [15.029463]</t>
  </si>
  <si>
    <t>1 [15.438974]</t>
  </si>
  <si>
    <t>1 [15.842398]</t>
  </si>
  <si>
    <t>1 [16.246627]</t>
  </si>
  <si>
    <t>1 [16.656995]</t>
  </si>
  <si>
    <t>1 [17.062150]</t>
  </si>
  <si>
    <t>1 [17.465290]</t>
  </si>
  <si>
    <t>1 [17.873077]</t>
  </si>
  <si>
    <t>1 [18.279215]</t>
  </si>
  <si>
    <t>1 [18.682038]</t>
  </si>
  <si>
    <t>1 [19.093169]</t>
  </si>
  <si>
    <t>1 [19.499000]</t>
  </si>
  <si>
    <t>1 [19.904804]</t>
  </si>
  <si>
    <t>1 [20.309733]</t>
  </si>
  <si>
    <t>1 [20.716433]</t>
  </si>
  <si>
    <t>1 [21.121200]</t>
  </si>
  <si>
    <t>1 [21.530323]</t>
  </si>
  <si>
    <t>1 [21.935751]</t>
  </si>
  <si>
    <t>1 [22.339791]</t>
  </si>
  <si>
    <t>1 [22.748693]</t>
  </si>
  <si>
    <t>1 [23.156312]</t>
  </si>
  <si>
    <t>1 [23.560985]</t>
  </si>
  <si>
    <t>1 [23.968445]</t>
  </si>
  <si>
    <t>1 [24.374147]</t>
  </si>
  <si>
    <t>1 [24.776650]</t>
  </si>
  <si>
    <t>1 [25.185913]</t>
  </si>
  <si>
    <t>1 [25.593497]</t>
  </si>
  <si>
    <t>1 [26.000451]</t>
  </si>
  <si>
    <t>1 [26.404365]</t>
  </si>
  <si>
    <t>1 [26.807056]</t>
  </si>
  <si>
    <t>1 [27.213208]</t>
  </si>
  <si>
    <t>1 [27.624904]</t>
  </si>
  <si>
    <t>1 [28.030050]</t>
  </si>
  <si>
    <t>1 [28.437633]</t>
  </si>
  <si>
    <t>1 [28.840037]</t>
  </si>
  <si>
    <t>1 [29.247462]</t>
  </si>
  <si>
    <t>1 [29.654409]</t>
  </si>
  <si>
    <t>2 [30.061578]</t>
  </si>
  <si>
    <t>2 [30.527307]</t>
  </si>
  <si>
    <t>2 [30.935099]</t>
  </si>
  <si>
    <t>2 [31.339482]</t>
  </si>
  <si>
    <t>2 [31.733092]</t>
  </si>
  <si>
    <t>2 [32.137233]</t>
  </si>
  <si>
    <t>2 [32.541600]</t>
  </si>
  <si>
    <t>2 [32.950253]</t>
  </si>
  <si>
    <t>2 [33.356712]</t>
  </si>
  <si>
    <t>2 [33.762235]</t>
  </si>
  <si>
    <t>2 [34.170956]</t>
  </si>
  <si>
    <t>2 [34.574809]</t>
  </si>
  <si>
    <t>2 [34.982076]</t>
  </si>
  <si>
    <t>2 [35.387771]</t>
  </si>
  <si>
    <t>2 [35.798102]</t>
  </si>
  <si>
    <t>2 [36.202915]</t>
  </si>
  <si>
    <t>2 [36.607061]</t>
  </si>
  <si>
    <t>2 [37.011789]</t>
  </si>
  <si>
    <t>2 [37.418508]</t>
  </si>
  <si>
    <t>2 [37.824065]</t>
  </si>
  <si>
    <t>2 [38.231796]</t>
  </si>
  <si>
    <t>2 [38.640018]</t>
  </si>
  <si>
    <t>2 [39.045231]</t>
  </si>
  <si>
    <t>2 [39.450501]</t>
  </si>
  <si>
    <t>2 [39.856587]</t>
  </si>
  <si>
    <t>2 [40.263624]</t>
  </si>
  <si>
    <t>2 [40.669898]</t>
  </si>
  <si>
    <t>2 [41.077104]</t>
  </si>
  <si>
    <t>2 [41.484696]</t>
  </si>
  <si>
    <t>2 [41.888187]</t>
  </si>
  <si>
    <t>2 [42.294722]</t>
  </si>
  <si>
    <t>2 [42.702446]</t>
  </si>
  <si>
    <t>2 [43.108160]</t>
  </si>
  <si>
    <t>2 [43.510678]</t>
  </si>
  <si>
    <t>2 [43.916933]</t>
  </si>
  <si>
    <t>2 [44.328279]</t>
  </si>
  <si>
    <t>2 [44.733401]</t>
  </si>
  <si>
    <t>2 [45.138149]</t>
  </si>
  <si>
    <t>2 [45.542883]</t>
  </si>
  <si>
    <t>2 [45.951313]</t>
  </si>
  <si>
    <t>2 [46.355693]</t>
  </si>
  <si>
    <t>2 [46.763391]</t>
  </si>
  <si>
    <t>2 [47.169073]</t>
  </si>
  <si>
    <t>2 [47.574800]</t>
  </si>
  <si>
    <t>2 [47.983499]</t>
  </si>
  <si>
    <t>2 [48.391234]</t>
  </si>
  <si>
    <t>2 [48.795552]</t>
  </si>
  <si>
    <t>2 [49.201663]</t>
  </si>
  <si>
    <t>2 [49.607991]</t>
  </si>
  <si>
    <t>2 [50.011216]</t>
  </si>
  <si>
    <t>2 [50.421541]</t>
  </si>
  <si>
    <t>2 [50.825757]</t>
  </si>
  <si>
    <t>2 [51.232356]</t>
  </si>
  <si>
    <t>2 [51.637468]</t>
  </si>
  <si>
    <t>2 [52.041930]</t>
  </si>
  <si>
    <t>2 [52.449722]</t>
  </si>
  <si>
    <t>2 [52.857900]</t>
  </si>
  <si>
    <t>2 [53.265801]</t>
  </si>
  <si>
    <t>2 [53.669490]</t>
  </si>
  <si>
    <t>2 [54.071935]</t>
  </si>
  <si>
    <t>2 [54.481691]</t>
  </si>
  <si>
    <t>2 [54.889781]</t>
  </si>
  <si>
    <t>2 [55.292558]</t>
  </si>
  <si>
    <t>2 [55.700192]</t>
  </si>
  <si>
    <t>2 [56.105755]</t>
  </si>
  <si>
    <t>2 [56.512237]</t>
  </si>
  <si>
    <t>2 [56.922071]</t>
  </si>
  <si>
    <t>2 [57.328329]</t>
  </si>
  <si>
    <t>2 [57.734218]</t>
  </si>
  <si>
    <t>2 [58.138278]</t>
  </si>
  <si>
    <t>2 [58.543061]</t>
  </si>
  <si>
    <t>2 [58.953550]</t>
  </si>
  <si>
    <t>2 [59.356494]</t>
  </si>
  <si>
    <t>2 [59.763654]</t>
  </si>
  <si>
    <t>dt</t>
    <phoneticPr fontId="29" type="noConversion"/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</si>
  <si>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</si>
  <si>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</si>
  <si>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</si>
  <si>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</si>
  <si>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</si>
  <si>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</si>
  <si>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</si>
  <si>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</si>
  <si>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</si>
  <si>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</si>
  <si>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</si>
  <si>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</si>
  <si>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女</t>
    <phoneticPr fontId="1" type="noConversion"/>
  </si>
  <si>
    <t>李翠兰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</si>
</sst>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2" xfId="0" applyFont="1" applyBorder="1" applyAlignment="1">
      <alignment vertical="center"/>
    </xf>
    <xf numFmtId="0" fontId="35" fillId="0" borderId="36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41.488500000000002</c:v>
                </c:pt>
                <c:pt idx="1">
                  <c:v>25.828600000000002</c:v>
                </c:pt>
                <c:pt idx="2">
                  <c:v>31.416399999999999</c:v>
                </c:pt>
                <c:pt idx="3">
                  <c:v>32.796100000000003</c:v>
                </c:pt>
                <c:pt idx="4">
                  <c:v>66.291300000000007</c:v>
                </c:pt>
                <c:pt idx="5">
                  <c:v>74.984300000000005</c:v>
                </c:pt>
                <c:pt idx="6">
                  <c:v>21.687899999999999</c:v>
                </c:pt>
                <c:pt idx="7">
                  <c:v>70.415300000000002</c:v>
                </c:pt>
                <c:pt idx="8">
                  <c:v>17.6797</c:v>
                </c:pt>
                <c:pt idx="9">
                  <c:v>23.1629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0.52257533471146922</c:v>
                </c:pt>
                <c:pt idx="1">
                  <c:v>0.29451743150819898</c:v>
                </c:pt>
                <c:pt idx="2">
                  <c:v>0.18290723378033183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3240</c:v>
                </c:pt>
                <c:pt idx="7">
                  <c:v>0</c:v>
                </c:pt>
                <c:pt idx="8">
                  <c:v>885</c:v>
                </c:pt>
                <c:pt idx="9">
                  <c:v>0</c:v>
                </c:pt>
                <c:pt idx="10">
                  <c:v>0</c:v>
                </c:pt>
                <c:pt idx="11">
                  <c:v>2053</c:v>
                </c:pt>
                <c:pt idx="12">
                  <c:v>0</c:v>
                </c:pt>
                <c:pt idx="13">
                  <c:v>3782</c:v>
                </c:pt>
                <c:pt idx="14">
                  <c:v>0</c:v>
                </c:pt>
                <c:pt idx="15">
                  <c:v>0</c:v>
                </c:pt>
                <c:pt idx="16">
                  <c:v>5398</c:v>
                </c:pt>
                <c:pt idx="17">
                  <c:v>0</c:v>
                </c:pt>
                <c:pt idx="18">
                  <c:v>0</c:v>
                </c:pt>
                <c:pt idx="19">
                  <c:v>15977</c:v>
                </c:pt>
                <c:pt idx="20">
                  <c:v>0</c:v>
                </c:pt>
                <c:pt idx="21">
                  <c:v>21651</c:v>
                </c:pt>
                <c:pt idx="22">
                  <c:v>0</c:v>
                </c:pt>
                <c:pt idx="23">
                  <c:v>0</c:v>
                </c:pt>
                <c:pt idx="24">
                  <c:v>20943</c:v>
                </c:pt>
                <c:pt idx="25">
                  <c:v>0</c:v>
                </c:pt>
                <c:pt idx="26">
                  <c:v>37580</c:v>
                </c:pt>
                <c:pt idx="27">
                  <c:v>0</c:v>
                </c:pt>
                <c:pt idx="28">
                  <c:v>0</c:v>
                </c:pt>
                <c:pt idx="29">
                  <c:v>46860</c:v>
                </c:pt>
                <c:pt idx="30">
                  <c:v>0</c:v>
                </c:pt>
                <c:pt idx="31">
                  <c:v>51241</c:v>
                </c:pt>
                <c:pt idx="32">
                  <c:v>0</c:v>
                </c:pt>
                <c:pt idx="33">
                  <c:v>0</c:v>
                </c:pt>
                <c:pt idx="34">
                  <c:v>53712</c:v>
                </c:pt>
                <c:pt idx="35">
                  <c:v>0</c:v>
                </c:pt>
                <c:pt idx="36">
                  <c:v>0</c:v>
                </c:pt>
                <c:pt idx="37">
                  <c:v>57361</c:v>
                </c:pt>
                <c:pt idx="38">
                  <c:v>0</c:v>
                </c:pt>
                <c:pt idx="39">
                  <c:v>75765</c:v>
                </c:pt>
                <c:pt idx="40">
                  <c:v>0</c:v>
                </c:pt>
                <c:pt idx="41">
                  <c:v>0</c:v>
                </c:pt>
                <c:pt idx="42">
                  <c:v>93651</c:v>
                </c:pt>
                <c:pt idx="43">
                  <c:v>0</c:v>
                </c:pt>
                <c:pt idx="44">
                  <c:v>117357</c:v>
                </c:pt>
                <c:pt idx="45">
                  <c:v>0</c:v>
                </c:pt>
                <c:pt idx="46">
                  <c:v>0</c:v>
                </c:pt>
                <c:pt idx="47">
                  <c:v>140780</c:v>
                </c:pt>
                <c:pt idx="48">
                  <c:v>0</c:v>
                </c:pt>
                <c:pt idx="49">
                  <c:v>154506</c:v>
                </c:pt>
                <c:pt idx="50">
                  <c:v>0</c:v>
                </c:pt>
                <c:pt idx="51">
                  <c:v>0</c:v>
                </c:pt>
                <c:pt idx="52">
                  <c:v>168279</c:v>
                </c:pt>
                <c:pt idx="53">
                  <c:v>0</c:v>
                </c:pt>
                <c:pt idx="54">
                  <c:v>0</c:v>
                </c:pt>
                <c:pt idx="55">
                  <c:v>170718</c:v>
                </c:pt>
                <c:pt idx="56">
                  <c:v>0</c:v>
                </c:pt>
                <c:pt idx="57">
                  <c:v>193206</c:v>
                </c:pt>
                <c:pt idx="58">
                  <c:v>0</c:v>
                </c:pt>
                <c:pt idx="59">
                  <c:v>0</c:v>
                </c:pt>
                <c:pt idx="60">
                  <c:v>201260</c:v>
                </c:pt>
                <c:pt idx="61">
                  <c:v>0</c:v>
                </c:pt>
                <c:pt idx="62">
                  <c:v>205239</c:v>
                </c:pt>
                <c:pt idx="63">
                  <c:v>0</c:v>
                </c:pt>
                <c:pt idx="64">
                  <c:v>0</c:v>
                </c:pt>
                <c:pt idx="65">
                  <c:v>200174</c:v>
                </c:pt>
                <c:pt idx="66">
                  <c:v>0</c:v>
                </c:pt>
                <c:pt idx="67">
                  <c:v>214188</c:v>
                </c:pt>
                <c:pt idx="68">
                  <c:v>0</c:v>
                </c:pt>
                <c:pt idx="69">
                  <c:v>0</c:v>
                </c:pt>
                <c:pt idx="70">
                  <c:v>222567</c:v>
                </c:pt>
                <c:pt idx="71">
                  <c:v>0</c:v>
                </c:pt>
                <c:pt idx="72">
                  <c:v>0</c:v>
                </c:pt>
                <c:pt idx="73">
                  <c:v>217201</c:v>
                </c:pt>
                <c:pt idx="74">
                  <c:v>0</c:v>
                </c:pt>
                <c:pt idx="75">
                  <c:v>231946</c:v>
                </c:pt>
                <c:pt idx="76">
                  <c:v>0</c:v>
                </c:pt>
                <c:pt idx="77">
                  <c:v>0</c:v>
                </c:pt>
                <c:pt idx="78">
                  <c:v>224108</c:v>
                </c:pt>
                <c:pt idx="79">
                  <c:v>0</c:v>
                </c:pt>
                <c:pt idx="80">
                  <c:v>224104</c:v>
                </c:pt>
                <c:pt idx="81">
                  <c:v>0</c:v>
                </c:pt>
                <c:pt idx="82">
                  <c:v>0</c:v>
                </c:pt>
                <c:pt idx="83">
                  <c:v>216763</c:v>
                </c:pt>
                <c:pt idx="84">
                  <c:v>0</c:v>
                </c:pt>
                <c:pt idx="85">
                  <c:v>0</c:v>
                </c:pt>
                <c:pt idx="86">
                  <c:v>216549</c:v>
                </c:pt>
                <c:pt idx="87">
                  <c:v>0</c:v>
                </c:pt>
                <c:pt idx="88">
                  <c:v>209129</c:v>
                </c:pt>
                <c:pt idx="89">
                  <c:v>0</c:v>
                </c:pt>
                <c:pt idx="90">
                  <c:v>0</c:v>
                </c:pt>
                <c:pt idx="91">
                  <c:v>198246</c:v>
                </c:pt>
                <c:pt idx="92">
                  <c:v>0</c:v>
                </c:pt>
                <c:pt idx="93">
                  <c:v>212963</c:v>
                </c:pt>
                <c:pt idx="94">
                  <c:v>0</c:v>
                </c:pt>
                <c:pt idx="95">
                  <c:v>0</c:v>
                </c:pt>
                <c:pt idx="96">
                  <c:v>209037</c:v>
                </c:pt>
                <c:pt idx="97">
                  <c:v>0</c:v>
                </c:pt>
                <c:pt idx="98">
                  <c:v>190867</c:v>
                </c:pt>
                <c:pt idx="99">
                  <c:v>0</c:v>
                </c:pt>
                <c:pt idx="100">
                  <c:v>0</c:v>
                </c:pt>
                <c:pt idx="101">
                  <c:v>176642</c:v>
                </c:pt>
                <c:pt idx="102">
                  <c:v>0</c:v>
                </c:pt>
                <c:pt idx="103">
                  <c:v>0</c:v>
                </c:pt>
                <c:pt idx="104">
                  <c:v>170434</c:v>
                </c:pt>
                <c:pt idx="105">
                  <c:v>0</c:v>
                </c:pt>
                <c:pt idx="106">
                  <c:v>155973</c:v>
                </c:pt>
                <c:pt idx="107">
                  <c:v>0</c:v>
                </c:pt>
                <c:pt idx="108">
                  <c:v>0</c:v>
                </c:pt>
                <c:pt idx="109">
                  <c:v>130234</c:v>
                </c:pt>
                <c:pt idx="110">
                  <c:v>0</c:v>
                </c:pt>
                <c:pt idx="111">
                  <c:v>114357</c:v>
                </c:pt>
                <c:pt idx="112">
                  <c:v>0</c:v>
                </c:pt>
                <c:pt idx="113">
                  <c:v>0</c:v>
                </c:pt>
                <c:pt idx="114">
                  <c:v>114444</c:v>
                </c:pt>
                <c:pt idx="115">
                  <c:v>0</c:v>
                </c:pt>
                <c:pt idx="116">
                  <c:v>94601</c:v>
                </c:pt>
                <c:pt idx="117">
                  <c:v>0</c:v>
                </c:pt>
                <c:pt idx="118">
                  <c:v>0</c:v>
                </c:pt>
                <c:pt idx="119">
                  <c:v>81901</c:v>
                </c:pt>
                <c:pt idx="120">
                  <c:v>0</c:v>
                </c:pt>
                <c:pt idx="121">
                  <c:v>0</c:v>
                </c:pt>
                <c:pt idx="122">
                  <c:v>79296</c:v>
                </c:pt>
                <c:pt idx="123">
                  <c:v>0</c:v>
                </c:pt>
                <c:pt idx="124">
                  <c:v>70033</c:v>
                </c:pt>
                <c:pt idx="125">
                  <c:v>0</c:v>
                </c:pt>
                <c:pt idx="126">
                  <c:v>0</c:v>
                </c:pt>
                <c:pt idx="127">
                  <c:v>60244</c:v>
                </c:pt>
                <c:pt idx="128">
                  <c:v>0</c:v>
                </c:pt>
                <c:pt idx="129">
                  <c:v>59216</c:v>
                </c:pt>
                <c:pt idx="130">
                  <c:v>0</c:v>
                </c:pt>
                <c:pt idx="131">
                  <c:v>0</c:v>
                </c:pt>
                <c:pt idx="132">
                  <c:v>63654</c:v>
                </c:pt>
                <c:pt idx="133">
                  <c:v>0</c:v>
                </c:pt>
                <c:pt idx="134">
                  <c:v>59175</c:v>
                </c:pt>
                <c:pt idx="135">
                  <c:v>0</c:v>
                </c:pt>
                <c:pt idx="136">
                  <c:v>0</c:v>
                </c:pt>
                <c:pt idx="137">
                  <c:v>55360</c:v>
                </c:pt>
                <c:pt idx="138">
                  <c:v>0</c:v>
                </c:pt>
                <c:pt idx="139">
                  <c:v>0</c:v>
                </c:pt>
                <c:pt idx="140">
                  <c:v>52876</c:v>
                </c:pt>
                <c:pt idx="141">
                  <c:v>0</c:v>
                </c:pt>
                <c:pt idx="142">
                  <c:v>50037</c:v>
                </c:pt>
                <c:pt idx="143">
                  <c:v>0</c:v>
                </c:pt>
                <c:pt idx="144">
                  <c:v>0</c:v>
                </c:pt>
                <c:pt idx="145">
                  <c:v>48891</c:v>
                </c:pt>
                <c:pt idx="146">
                  <c:v>0</c:v>
                </c:pt>
                <c:pt idx="147">
                  <c:v>47686</c:v>
                </c:pt>
                <c:pt idx="148">
                  <c:v>0</c:v>
                </c:pt>
                <c:pt idx="149">
                  <c:v>0</c:v>
                </c:pt>
                <c:pt idx="150">
                  <c:v>42159</c:v>
                </c:pt>
                <c:pt idx="151">
                  <c:v>0</c:v>
                </c:pt>
                <c:pt idx="152">
                  <c:v>41650</c:v>
                </c:pt>
                <c:pt idx="153">
                  <c:v>0</c:v>
                </c:pt>
                <c:pt idx="154">
                  <c:v>0</c:v>
                </c:pt>
                <c:pt idx="155">
                  <c:v>36271</c:v>
                </c:pt>
                <c:pt idx="156">
                  <c:v>0</c:v>
                </c:pt>
                <c:pt idx="157">
                  <c:v>0</c:v>
                </c:pt>
                <c:pt idx="158">
                  <c:v>28808</c:v>
                </c:pt>
                <c:pt idx="159">
                  <c:v>0</c:v>
                </c:pt>
                <c:pt idx="160">
                  <c:v>23518</c:v>
                </c:pt>
                <c:pt idx="161">
                  <c:v>0</c:v>
                </c:pt>
                <c:pt idx="162">
                  <c:v>0</c:v>
                </c:pt>
                <c:pt idx="163">
                  <c:v>24283</c:v>
                </c:pt>
                <c:pt idx="164">
                  <c:v>0</c:v>
                </c:pt>
                <c:pt idx="165">
                  <c:v>19604</c:v>
                </c:pt>
                <c:pt idx="166">
                  <c:v>0</c:v>
                </c:pt>
                <c:pt idx="167">
                  <c:v>0</c:v>
                </c:pt>
                <c:pt idx="168">
                  <c:v>16987</c:v>
                </c:pt>
                <c:pt idx="169">
                  <c:v>0</c:v>
                </c:pt>
                <c:pt idx="170">
                  <c:v>0</c:v>
                </c:pt>
                <c:pt idx="171">
                  <c:v>19330</c:v>
                </c:pt>
                <c:pt idx="172">
                  <c:v>0</c:v>
                </c:pt>
                <c:pt idx="173">
                  <c:v>21412</c:v>
                </c:pt>
                <c:pt idx="174">
                  <c:v>0</c:v>
                </c:pt>
                <c:pt idx="175">
                  <c:v>0</c:v>
                </c:pt>
                <c:pt idx="176">
                  <c:v>16969</c:v>
                </c:pt>
                <c:pt idx="177">
                  <c:v>0</c:v>
                </c:pt>
                <c:pt idx="178">
                  <c:v>19017</c:v>
                </c:pt>
                <c:pt idx="179">
                  <c:v>0</c:v>
                </c:pt>
                <c:pt idx="180">
                  <c:v>0</c:v>
                </c:pt>
                <c:pt idx="181">
                  <c:v>16159</c:v>
                </c:pt>
                <c:pt idx="182">
                  <c:v>0</c:v>
                </c:pt>
                <c:pt idx="183">
                  <c:v>12917</c:v>
                </c:pt>
                <c:pt idx="184">
                  <c:v>0</c:v>
                </c:pt>
                <c:pt idx="185">
                  <c:v>0</c:v>
                </c:pt>
                <c:pt idx="186">
                  <c:v>11562</c:v>
                </c:pt>
                <c:pt idx="187">
                  <c:v>0</c:v>
                </c:pt>
                <c:pt idx="188">
                  <c:v>0</c:v>
                </c:pt>
                <c:pt idx="189">
                  <c:v>11689</c:v>
                </c:pt>
                <c:pt idx="190">
                  <c:v>0</c:v>
                </c:pt>
                <c:pt idx="191">
                  <c:v>11983</c:v>
                </c:pt>
                <c:pt idx="192">
                  <c:v>0</c:v>
                </c:pt>
                <c:pt idx="193">
                  <c:v>0</c:v>
                </c:pt>
                <c:pt idx="194">
                  <c:v>11744</c:v>
                </c:pt>
                <c:pt idx="195">
                  <c:v>0</c:v>
                </c:pt>
                <c:pt idx="196">
                  <c:v>8451</c:v>
                </c:pt>
                <c:pt idx="197">
                  <c:v>0</c:v>
                </c:pt>
                <c:pt idx="198">
                  <c:v>0</c:v>
                </c:pt>
                <c:pt idx="199">
                  <c:v>6672</c:v>
                </c:pt>
                <c:pt idx="200">
                  <c:v>0</c:v>
                </c:pt>
                <c:pt idx="201">
                  <c:v>4366</c:v>
                </c:pt>
                <c:pt idx="202">
                  <c:v>0</c:v>
                </c:pt>
                <c:pt idx="203">
                  <c:v>0</c:v>
                </c:pt>
                <c:pt idx="204">
                  <c:v>3967</c:v>
                </c:pt>
                <c:pt idx="205">
                  <c:v>0</c:v>
                </c:pt>
                <c:pt idx="206">
                  <c:v>0</c:v>
                </c:pt>
                <c:pt idx="207">
                  <c:v>1057</c:v>
                </c:pt>
                <c:pt idx="208">
                  <c:v>0</c:v>
                </c:pt>
                <c:pt idx="209">
                  <c:v>576</c:v>
                </c:pt>
                <c:pt idx="210">
                  <c:v>0</c:v>
                </c:pt>
                <c:pt idx="211">
                  <c:v>0</c:v>
                </c:pt>
                <c:pt idx="212">
                  <c:v>81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2.4634</c:v>
                </c:pt>
                <c:pt idx="1">
                  <c:v>2.5285600000000001</c:v>
                </c:pt>
                <c:pt idx="2">
                  <c:v>2.59361</c:v>
                </c:pt>
                <c:pt idx="3">
                  <c:v>2.6579700000000002</c:v>
                </c:pt>
                <c:pt idx="4">
                  <c:v>2.7218999999999998</c:v>
                </c:pt>
                <c:pt idx="5">
                  <c:v>2.7859400000000001</c:v>
                </c:pt>
                <c:pt idx="6">
                  <c:v>2.8485899999999997</c:v>
                </c:pt>
                <c:pt idx="7">
                  <c:v>2.9110999999999998</c:v>
                </c:pt>
                <c:pt idx="8">
                  <c:v>2.9748200000000002</c:v>
                </c:pt>
                <c:pt idx="9">
                  <c:v>3.0355300000000001</c:v>
                </c:pt>
                <c:pt idx="10">
                  <c:v>3.0935200000000003</c:v>
                </c:pt>
                <c:pt idx="11">
                  <c:v>3.14682</c:v>
                </c:pt>
                <c:pt idx="12">
                  <c:v>3.1967800000000004</c:v>
                </c:pt>
                <c:pt idx="13">
                  <c:v>3.2427000000000001</c:v>
                </c:pt>
                <c:pt idx="14">
                  <c:v>3.28735</c:v>
                </c:pt>
                <c:pt idx="15">
                  <c:v>3.33046</c:v>
                </c:pt>
                <c:pt idx="16">
                  <c:v>3.3727299999999998</c:v>
                </c:pt>
                <c:pt idx="17">
                  <c:v>3.4137</c:v>
                </c:pt>
                <c:pt idx="18">
                  <c:v>3.45153</c:v>
                </c:pt>
                <c:pt idx="19">
                  <c:v>3.4901300000000002</c:v>
                </c:pt>
                <c:pt idx="20">
                  <c:v>3.5277799999999999</c:v>
                </c:pt>
                <c:pt idx="21">
                  <c:v>3.5604799999999996</c:v>
                </c:pt>
                <c:pt idx="22">
                  <c:v>3.5893100000000002</c:v>
                </c:pt>
                <c:pt idx="23">
                  <c:v>3.6147</c:v>
                </c:pt>
                <c:pt idx="24">
                  <c:v>3.6388500000000001</c:v>
                </c:pt>
                <c:pt idx="25">
                  <c:v>3.66052</c:v>
                </c:pt>
                <c:pt idx="26">
                  <c:v>3.68086</c:v>
                </c:pt>
                <c:pt idx="27">
                  <c:v>3.6993100000000001</c:v>
                </c:pt>
                <c:pt idx="28">
                  <c:v>3.7142199999999996</c:v>
                </c:pt>
                <c:pt idx="29">
                  <c:v>3.7275799999999997</c:v>
                </c:pt>
                <c:pt idx="30">
                  <c:v>3.7386999999999997</c:v>
                </c:pt>
                <c:pt idx="31">
                  <c:v>3.7472400000000001</c:v>
                </c:pt>
                <c:pt idx="32">
                  <c:v>3.7525500000000003</c:v>
                </c:pt>
                <c:pt idx="33">
                  <c:v>3.7523099999999996</c:v>
                </c:pt>
                <c:pt idx="34">
                  <c:v>3.74953</c:v>
                </c:pt>
                <c:pt idx="35">
                  <c:v>3.7456099999999997</c:v>
                </c:pt>
                <c:pt idx="36">
                  <c:v>3.7408799999999998</c:v>
                </c:pt>
                <c:pt idx="37">
                  <c:v>3.7353700000000001</c:v>
                </c:pt>
                <c:pt idx="38">
                  <c:v>3.7302400000000002</c:v>
                </c:pt>
                <c:pt idx="39">
                  <c:v>3.7231300000000003</c:v>
                </c:pt>
                <c:pt idx="40">
                  <c:v>3.7133899999999995</c:v>
                </c:pt>
                <c:pt idx="41">
                  <c:v>3.7005500000000002</c:v>
                </c:pt>
                <c:pt idx="42">
                  <c:v>3.6871799999999997</c:v>
                </c:pt>
                <c:pt idx="43">
                  <c:v>3.6756899999999999</c:v>
                </c:pt>
                <c:pt idx="44">
                  <c:v>3.66242</c:v>
                </c:pt>
                <c:pt idx="45">
                  <c:v>3.6479900000000001</c:v>
                </c:pt>
                <c:pt idx="46">
                  <c:v>3.6324299999999998</c:v>
                </c:pt>
                <c:pt idx="47">
                  <c:v>3.6170299999999997</c:v>
                </c:pt>
                <c:pt idx="48">
                  <c:v>3.60284</c:v>
                </c:pt>
                <c:pt idx="49">
                  <c:v>3.5855300000000003</c:v>
                </c:pt>
                <c:pt idx="50">
                  <c:v>3.5725199999999999</c:v>
                </c:pt>
                <c:pt idx="51">
                  <c:v>3.5517399999999997</c:v>
                </c:pt>
                <c:pt idx="52">
                  <c:v>3.5286600000000004</c:v>
                </c:pt>
                <c:pt idx="53">
                  <c:v>3.4965600000000001</c:v>
                </c:pt>
                <c:pt idx="54">
                  <c:v>3.4767999999999999</c:v>
                </c:pt>
                <c:pt idx="55">
                  <c:v>3.4492000000000003</c:v>
                </c:pt>
                <c:pt idx="56">
                  <c:v>3.4179599999999999</c:v>
                </c:pt>
                <c:pt idx="57">
                  <c:v>3.3971800000000001</c:v>
                </c:pt>
                <c:pt idx="58">
                  <c:v>3.3726499999999997</c:v>
                </c:pt>
                <c:pt idx="59">
                  <c:v>3.3515299999999999</c:v>
                </c:pt>
                <c:pt idx="60">
                  <c:v>3.33786</c:v>
                </c:pt>
                <c:pt idx="61">
                  <c:v>3.3271899999999999</c:v>
                </c:pt>
                <c:pt idx="62">
                  <c:v>3.3203899999999997</c:v>
                </c:pt>
                <c:pt idx="63">
                  <c:v>3.3147900000000003</c:v>
                </c:pt>
                <c:pt idx="64">
                  <c:v>3.3079799999999997</c:v>
                </c:pt>
                <c:pt idx="65">
                  <c:v>3.2999400000000003</c:v>
                </c:pt>
                <c:pt idx="66">
                  <c:v>3.2933600000000003</c:v>
                </c:pt>
                <c:pt idx="67">
                  <c:v>3.2862</c:v>
                </c:pt>
                <c:pt idx="68">
                  <c:v>3.2782400000000003</c:v>
                </c:pt>
                <c:pt idx="69">
                  <c:v>3.27115</c:v>
                </c:pt>
                <c:pt idx="70">
                  <c:v>3.2638699999999998</c:v>
                </c:pt>
                <c:pt idx="71">
                  <c:v>3.2600899999999999</c:v>
                </c:pt>
                <c:pt idx="72">
                  <c:v>3.2553199999999998</c:v>
                </c:pt>
                <c:pt idx="73">
                  <c:v>3.2515699999999996</c:v>
                </c:pt>
                <c:pt idx="74">
                  <c:v>3.2519100000000001</c:v>
                </c:pt>
                <c:pt idx="75">
                  <c:v>3.2526699999999997</c:v>
                </c:pt>
                <c:pt idx="76">
                  <c:v>3.2538299999999998</c:v>
                </c:pt>
                <c:pt idx="77">
                  <c:v>3.2570399999999999</c:v>
                </c:pt>
                <c:pt idx="78">
                  <c:v>3.2627899999999999</c:v>
                </c:pt>
                <c:pt idx="79">
                  <c:v>3.2713900000000002</c:v>
                </c:pt>
                <c:pt idx="80">
                  <c:v>3.2804600000000002</c:v>
                </c:pt>
                <c:pt idx="81">
                  <c:v>3.2898500000000004</c:v>
                </c:pt>
                <c:pt idx="82">
                  <c:v>3.3012700000000001</c:v>
                </c:pt>
                <c:pt idx="83">
                  <c:v>3.31203</c:v>
                </c:pt>
                <c:pt idx="84">
                  <c:v>3.3204400000000001</c:v>
                </c:pt>
                <c:pt idx="85">
                  <c:v>3.3279399999999999</c:v>
                </c:pt>
                <c:pt idx="86">
                  <c:v>3.3344100000000001</c:v>
                </c:pt>
                <c:pt idx="87">
                  <c:v>3.3425400000000001</c:v>
                </c:pt>
                <c:pt idx="88">
                  <c:v>3.3513900000000003</c:v>
                </c:pt>
                <c:pt idx="89">
                  <c:v>3.3613599999999999</c:v>
                </c:pt>
                <c:pt idx="90">
                  <c:v>3.3729100000000001</c:v>
                </c:pt>
                <c:pt idx="91">
                  <c:v>3.38645</c:v>
                </c:pt>
                <c:pt idx="92">
                  <c:v>3.4022799999999997</c:v>
                </c:pt>
                <c:pt idx="93">
                  <c:v>3.4203299999999999</c:v>
                </c:pt>
                <c:pt idx="94">
                  <c:v>3.4375200000000001</c:v>
                </c:pt>
                <c:pt idx="95">
                  <c:v>3.4554600000000004</c:v>
                </c:pt>
                <c:pt idx="96">
                  <c:v>3.47255</c:v>
                </c:pt>
                <c:pt idx="97">
                  <c:v>3.4886200000000001</c:v>
                </c:pt>
                <c:pt idx="98">
                  <c:v>3.5036699999999996</c:v>
                </c:pt>
                <c:pt idx="99">
                  <c:v>3.5182600000000002</c:v>
                </c:pt>
                <c:pt idx="100">
                  <c:v>3.5324299999999997</c:v>
                </c:pt>
                <c:pt idx="101">
                  <c:v>3.54813</c:v>
                </c:pt>
                <c:pt idx="102">
                  <c:v>3.56751</c:v>
                </c:pt>
                <c:pt idx="103">
                  <c:v>3.5883099999999999</c:v>
                </c:pt>
                <c:pt idx="104">
                  <c:v>3.6076000000000001</c:v>
                </c:pt>
                <c:pt idx="105">
                  <c:v>3.62609</c:v>
                </c:pt>
                <c:pt idx="106">
                  <c:v>3.6432500000000001</c:v>
                </c:pt>
                <c:pt idx="107">
                  <c:v>3.6587499999999999</c:v>
                </c:pt>
                <c:pt idx="108">
                  <c:v>3.6705399999999999</c:v>
                </c:pt>
                <c:pt idx="109">
                  <c:v>3.6786000000000003</c:v>
                </c:pt>
                <c:pt idx="110">
                  <c:v>3.68323</c:v>
                </c:pt>
                <c:pt idx="111">
                  <c:v>3.6878600000000001</c:v>
                </c:pt>
                <c:pt idx="112">
                  <c:v>3.6897099999999998</c:v>
                </c:pt>
                <c:pt idx="113">
                  <c:v>3.6880299999999999</c:v>
                </c:pt>
                <c:pt idx="114">
                  <c:v>3.68771</c:v>
                </c:pt>
                <c:pt idx="115">
                  <c:v>3.68811</c:v>
                </c:pt>
                <c:pt idx="116">
                  <c:v>3.6879</c:v>
                </c:pt>
                <c:pt idx="117">
                  <c:v>3.68709</c:v>
                </c:pt>
                <c:pt idx="118">
                  <c:v>3.68255</c:v>
                </c:pt>
                <c:pt idx="119">
                  <c:v>3.67801</c:v>
                </c:pt>
                <c:pt idx="120">
                  <c:v>3.6727400000000001</c:v>
                </c:pt>
                <c:pt idx="121">
                  <c:v>3.6675499999999999</c:v>
                </c:pt>
                <c:pt idx="122">
                  <c:v>3.6629399999999999</c:v>
                </c:pt>
                <c:pt idx="123">
                  <c:v>3.6572399999999998</c:v>
                </c:pt>
                <c:pt idx="124">
                  <c:v>3.6574099999999996</c:v>
                </c:pt>
                <c:pt idx="125">
                  <c:v>3.6584899999999996</c:v>
                </c:pt>
                <c:pt idx="126">
                  <c:v>3.65842</c:v>
                </c:pt>
                <c:pt idx="127">
                  <c:v>3.6541399999999999</c:v>
                </c:pt>
                <c:pt idx="128">
                  <c:v>3.64635</c:v>
                </c:pt>
                <c:pt idx="129">
                  <c:v>3.6369899999999999</c:v>
                </c:pt>
                <c:pt idx="130">
                  <c:v>3.6254799999999996</c:v>
                </c:pt>
                <c:pt idx="131">
                  <c:v>3.6123799999999999</c:v>
                </c:pt>
                <c:pt idx="132">
                  <c:v>3.5981200000000002</c:v>
                </c:pt>
                <c:pt idx="133">
                  <c:v>3.5864699999999998</c:v>
                </c:pt>
                <c:pt idx="134">
                  <c:v>3.5789300000000002</c:v>
                </c:pt>
                <c:pt idx="135">
                  <c:v>3.5735899999999998</c:v>
                </c:pt>
                <c:pt idx="136">
                  <c:v>3.5640399999999999</c:v>
                </c:pt>
                <c:pt idx="137">
                  <c:v>3.5564800000000001</c:v>
                </c:pt>
                <c:pt idx="138">
                  <c:v>3.5530299999999997</c:v>
                </c:pt>
                <c:pt idx="139">
                  <c:v>3.5466199999999999</c:v>
                </c:pt>
                <c:pt idx="140">
                  <c:v>3.5390800000000002</c:v>
                </c:pt>
                <c:pt idx="141">
                  <c:v>3.5301900000000002</c:v>
                </c:pt>
                <c:pt idx="142">
                  <c:v>3.5154999999999998</c:v>
                </c:pt>
                <c:pt idx="143">
                  <c:v>3.5056799999999999</c:v>
                </c:pt>
                <c:pt idx="144">
                  <c:v>3.49505</c:v>
                </c:pt>
                <c:pt idx="145">
                  <c:v>3.4835199999999999</c:v>
                </c:pt>
                <c:pt idx="146">
                  <c:v>3.4721700000000002</c:v>
                </c:pt>
                <c:pt idx="147">
                  <c:v>3.45783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52.355600000000003</c:v>
                </c:pt>
                <c:pt idx="1">
                  <c:v>51.228700000000003</c:v>
                </c:pt>
                <c:pt idx="2">
                  <c:v>50.038499999999999</c:v>
                </c:pt>
                <c:pt idx="3">
                  <c:v>48.731200000000001</c:v>
                </c:pt>
                <c:pt idx="4">
                  <c:v>47.448599999999999</c:v>
                </c:pt>
                <c:pt idx="5">
                  <c:v>46.2</c:v>
                </c:pt>
                <c:pt idx="6">
                  <c:v>44.992900000000006</c:v>
                </c:pt>
                <c:pt idx="7">
                  <c:v>43.777000000000001</c:v>
                </c:pt>
                <c:pt idx="8">
                  <c:v>42.534700000000001</c:v>
                </c:pt>
                <c:pt idx="9">
                  <c:v>41.429300000000005</c:v>
                </c:pt>
                <c:pt idx="10">
                  <c:v>40.4223</c:v>
                </c:pt>
                <c:pt idx="11">
                  <c:v>39.605400000000003</c:v>
                </c:pt>
                <c:pt idx="12">
                  <c:v>38.892700000000005</c:v>
                </c:pt>
                <c:pt idx="13">
                  <c:v>38.217700000000001</c:v>
                </c:pt>
                <c:pt idx="14">
                  <c:v>37.525999999999996</c:v>
                </c:pt>
                <c:pt idx="15">
                  <c:v>36.842300000000002</c:v>
                </c:pt>
                <c:pt idx="16">
                  <c:v>36.141600000000004</c:v>
                </c:pt>
                <c:pt idx="17">
                  <c:v>35.542299999999997</c:v>
                </c:pt>
                <c:pt idx="18">
                  <c:v>35.052299999999995</c:v>
                </c:pt>
                <c:pt idx="19">
                  <c:v>34.643599999999999</c:v>
                </c:pt>
                <c:pt idx="20">
                  <c:v>34.3215</c:v>
                </c:pt>
                <c:pt idx="21">
                  <c:v>34.043399999999998</c:v>
                </c:pt>
                <c:pt idx="22">
                  <c:v>33.7577</c:v>
                </c:pt>
                <c:pt idx="23">
                  <c:v>33.496600000000001</c:v>
                </c:pt>
                <c:pt idx="24">
                  <c:v>33.222499999999997</c:v>
                </c:pt>
                <c:pt idx="25">
                  <c:v>32.985500000000002</c:v>
                </c:pt>
                <c:pt idx="26">
                  <c:v>32.786500000000004</c:v>
                </c:pt>
                <c:pt idx="27">
                  <c:v>32.573399999999999</c:v>
                </c:pt>
                <c:pt idx="28">
                  <c:v>32.391500000000001</c:v>
                </c:pt>
                <c:pt idx="29">
                  <c:v>32.252199999999995</c:v>
                </c:pt>
                <c:pt idx="30">
                  <c:v>32.164500000000004</c:v>
                </c:pt>
                <c:pt idx="31">
                  <c:v>32.1492</c:v>
                </c:pt>
                <c:pt idx="32">
                  <c:v>32.181699999999999</c:v>
                </c:pt>
                <c:pt idx="33">
                  <c:v>32.302799999999998</c:v>
                </c:pt>
                <c:pt idx="34">
                  <c:v>32.462299999999999</c:v>
                </c:pt>
                <c:pt idx="35">
                  <c:v>32.664999999999999</c:v>
                </c:pt>
                <c:pt idx="36">
                  <c:v>32.8643</c:v>
                </c:pt>
                <c:pt idx="37">
                  <c:v>33.046100000000003</c:v>
                </c:pt>
                <c:pt idx="38">
                  <c:v>33.264800000000001</c:v>
                </c:pt>
                <c:pt idx="39">
                  <c:v>33.448899999999995</c:v>
                </c:pt>
                <c:pt idx="40">
                  <c:v>33.704699999999995</c:v>
                </c:pt>
                <c:pt idx="41">
                  <c:v>33.978000000000002</c:v>
                </c:pt>
                <c:pt idx="42">
                  <c:v>34.243600000000001</c:v>
                </c:pt>
                <c:pt idx="43">
                  <c:v>34.438499999999998</c:v>
                </c:pt>
                <c:pt idx="44">
                  <c:v>34.533900000000003</c:v>
                </c:pt>
                <c:pt idx="45">
                  <c:v>34.526699999999998</c:v>
                </c:pt>
                <c:pt idx="46">
                  <c:v>34.449800000000003</c:v>
                </c:pt>
                <c:pt idx="47">
                  <c:v>34.384100000000004</c:v>
                </c:pt>
                <c:pt idx="48">
                  <c:v>34.266999999999996</c:v>
                </c:pt>
                <c:pt idx="49">
                  <c:v>34.125299999999996</c:v>
                </c:pt>
                <c:pt idx="50">
                  <c:v>34.037599999999998</c:v>
                </c:pt>
                <c:pt idx="51">
                  <c:v>33.803899999999999</c:v>
                </c:pt>
                <c:pt idx="52">
                  <c:v>33.580399999999997</c:v>
                </c:pt>
                <c:pt idx="53">
                  <c:v>33.3095</c:v>
                </c:pt>
                <c:pt idx="54">
                  <c:v>33.289699999999996</c:v>
                </c:pt>
                <c:pt idx="55">
                  <c:v>33.247399999999999</c:v>
                </c:pt>
                <c:pt idx="56">
                  <c:v>33.144600000000004</c:v>
                </c:pt>
                <c:pt idx="57">
                  <c:v>33.134500000000003</c:v>
                </c:pt>
                <c:pt idx="58">
                  <c:v>33.008800000000001</c:v>
                </c:pt>
                <c:pt idx="59">
                  <c:v>32.786200000000001</c:v>
                </c:pt>
                <c:pt idx="60">
                  <c:v>32.691099999999999</c:v>
                </c:pt>
                <c:pt idx="61">
                  <c:v>32.5961</c:v>
                </c:pt>
                <c:pt idx="62">
                  <c:v>32.753900000000002</c:v>
                </c:pt>
                <c:pt idx="63">
                  <c:v>32.908200000000001</c:v>
                </c:pt>
                <c:pt idx="64">
                  <c:v>33.128099999999996</c:v>
                </c:pt>
                <c:pt idx="65">
                  <c:v>33.352800000000002</c:v>
                </c:pt>
                <c:pt idx="66">
                  <c:v>33.407599999999995</c:v>
                </c:pt>
                <c:pt idx="67">
                  <c:v>33.622</c:v>
                </c:pt>
                <c:pt idx="68">
                  <c:v>34.070299999999996</c:v>
                </c:pt>
                <c:pt idx="69">
                  <c:v>34.391199999999998</c:v>
                </c:pt>
                <c:pt idx="70">
                  <c:v>34.775800000000004</c:v>
                </c:pt>
                <c:pt idx="71">
                  <c:v>35.041800000000002</c:v>
                </c:pt>
                <c:pt idx="72">
                  <c:v>35.6188</c:v>
                </c:pt>
                <c:pt idx="73">
                  <c:v>35.961500000000001</c:v>
                </c:pt>
                <c:pt idx="74">
                  <c:v>36.591200000000001</c:v>
                </c:pt>
                <c:pt idx="75">
                  <c:v>37.155500000000004</c:v>
                </c:pt>
                <c:pt idx="76">
                  <c:v>37.737400000000001</c:v>
                </c:pt>
                <c:pt idx="77">
                  <c:v>38.303100000000001</c:v>
                </c:pt>
                <c:pt idx="78">
                  <c:v>38.7712</c:v>
                </c:pt>
                <c:pt idx="79">
                  <c:v>39.159799999999997</c:v>
                </c:pt>
                <c:pt idx="80">
                  <c:v>39.528400000000005</c:v>
                </c:pt>
                <c:pt idx="81">
                  <c:v>39.884500000000003</c:v>
                </c:pt>
                <c:pt idx="82">
                  <c:v>40.186899999999994</c:v>
                </c:pt>
                <c:pt idx="83">
                  <c:v>40.494400000000006</c:v>
                </c:pt>
                <c:pt idx="84">
                  <c:v>40.758499999999998</c:v>
                </c:pt>
                <c:pt idx="85">
                  <c:v>40.920400000000001</c:v>
                </c:pt>
                <c:pt idx="86">
                  <c:v>40.957700000000003</c:v>
                </c:pt>
                <c:pt idx="87">
                  <c:v>40.7911</c:v>
                </c:pt>
                <c:pt idx="88">
                  <c:v>40.475100000000005</c:v>
                </c:pt>
                <c:pt idx="89">
                  <c:v>40.176899999999996</c:v>
                </c:pt>
                <c:pt idx="90">
                  <c:v>39.801199999999994</c:v>
                </c:pt>
                <c:pt idx="91">
                  <c:v>39.357799999999997</c:v>
                </c:pt>
                <c:pt idx="92">
                  <c:v>38.878099999999996</c:v>
                </c:pt>
                <c:pt idx="93">
                  <c:v>38.350200000000001</c:v>
                </c:pt>
                <c:pt idx="94">
                  <c:v>37.880299999999998</c:v>
                </c:pt>
                <c:pt idx="95">
                  <c:v>37.433</c:v>
                </c:pt>
                <c:pt idx="96">
                  <c:v>36.981000000000002</c:v>
                </c:pt>
                <c:pt idx="97">
                  <c:v>36.623099999999994</c:v>
                </c:pt>
                <c:pt idx="98">
                  <c:v>36.2879</c:v>
                </c:pt>
                <c:pt idx="99">
                  <c:v>35.947200000000002</c:v>
                </c:pt>
                <c:pt idx="100">
                  <c:v>35.610100000000003</c:v>
                </c:pt>
                <c:pt idx="101">
                  <c:v>35.298999999999999</c:v>
                </c:pt>
                <c:pt idx="102">
                  <c:v>34.951599999999999</c:v>
                </c:pt>
                <c:pt idx="103">
                  <c:v>34.595700000000001</c:v>
                </c:pt>
                <c:pt idx="104">
                  <c:v>34.229900000000001</c:v>
                </c:pt>
                <c:pt idx="105">
                  <c:v>33.883400000000002</c:v>
                </c:pt>
                <c:pt idx="106">
                  <c:v>33.549099999999996</c:v>
                </c:pt>
                <c:pt idx="107">
                  <c:v>33.262900000000002</c:v>
                </c:pt>
                <c:pt idx="108">
                  <c:v>33.044499999999999</c:v>
                </c:pt>
                <c:pt idx="109">
                  <c:v>32.868299999999998</c:v>
                </c:pt>
                <c:pt idx="110">
                  <c:v>32.6663</c:v>
                </c:pt>
                <c:pt idx="111">
                  <c:v>32.406100000000002</c:v>
                </c:pt>
                <c:pt idx="112">
                  <c:v>32.205399999999997</c:v>
                </c:pt>
                <c:pt idx="113">
                  <c:v>32.026700000000005</c:v>
                </c:pt>
                <c:pt idx="114">
                  <c:v>31.735000000000003</c:v>
                </c:pt>
                <c:pt idx="115">
                  <c:v>31.449300000000001</c:v>
                </c:pt>
                <c:pt idx="116">
                  <c:v>31.145199999999999</c:v>
                </c:pt>
                <c:pt idx="117">
                  <c:v>30.820499999999999</c:v>
                </c:pt>
                <c:pt idx="118">
                  <c:v>30.492899999999999</c:v>
                </c:pt>
                <c:pt idx="119">
                  <c:v>30.042799999999996</c:v>
                </c:pt>
                <c:pt idx="120">
                  <c:v>29.543999999999997</c:v>
                </c:pt>
                <c:pt idx="121">
                  <c:v>29.056999999999999</c:v>
                </c:pt>
                <c:pt idx="122">
                  <c:v>28.5093</c:v>
                </c:pt>
                <c:pt idx="123">
                  <c:v>27.949800000000003</c:v>
                </c:pt>
                <c:pt idx="124">
                  <c:v>27.721800000000002</c:v>
                </c:pt>
                <c:pt idx="125">
                  <c:v>27.4588</c:v>
                </c:pt>
                <c:pt idx="126">
                  <c:v>27.173999999999999</c:v>
                </c:pt>
                <c:pt idx="127">
                  <c:v>26.8949</c:v>
                </c:pt>
                <c:pt idx="128">
                  <c:v>26.6295</c:v>
                </c:pt>
                <c:pt idx="129">
                  <c:v>26.356800000000003</c:v>
                </c:pt>
                <c:pt idx="130">
                  <c:v>26.060400000000001</c:v>
                </c:pt>
                <c:pt idx="131">
                  <c:v>25.740600000000001</c:v>
                </c:pt>
                <c:pt idx="132">
                  <c:v>25.363599999999998</c:v>
                </c:pt>
                <c:pt idx="133">
                  <c:v>24.8644</c:v>
                </c:pt>
                <c:pt idx="134">
                  <c:v>24.286799999999999</c:v>
                </c:pt>
                <c:pt idx="135">
                  <c:v>23.7105</c:v>
                </c:pt>
                <c:pt idx="136">
                  <c:v>23.227</c:v>
                </c:pt>
                <c:pt idx="137">
                  <c:v>22.647200000000002</c:v>
                </c:pt>
                <c:pt idx="138">
                  <c:v>21.9754</c:v>
                </c:pt>
                <c:pt idx="139">
                  <c:v>21.435600000000001</c:v>
                </c:pt>
                <c:pt idx="140">
                  <c:v>20.878499999999999</c:v>
                </c:pt>
                <c:pt idx="141">
                  <c:v>20.3262</c:v>
                </c:pt>
                <c:pt idx="142">
                  <c:v>19.790700000000001</c:v>
                </c:pt>
                <c:pt idx="143">
                  <c:v>19.2484</c:v>
                </c:pt>
                <c:pt idx="144">
                  <c:v>19.084200000000003</c:v>
                </c:pt>
                <c:pt idx="145">
                  <c:v>19.1997</c:v>
                </c:pt>
                <c:pt idx="146">
                  <c:v>19.194199999999999</c:v>
                </c:pt>
                <c:pt idx="147">
                  <c:v>19.1858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2.4634</c:v>
                </c:pt>
                <c:pt idx="1">
                  <c:v>2.5285600000000001</c:v>
                </c:pt>
                <c:pt idx="2">
                  <c:v>2.59361</c:v>
                </c:pt>
                <c:pt idx="3">
                  <c:v>2.6579700000000002</c:v>
                </c:pt>
                <c:pt idx="4">
                  <c:v>2.7218999999999998</c:v>
                </c:pt>
                <c:pt idx="5">
                  <c:v>2.7859400000000001</c:v>
                </c:pt>
                <c:pt idx="6">
                  <c:v>2.8485899999999997</c:v>
                </c:pt>
                <c:pt idx="7">
                  <c:v>2.9110999999999998</c:v>
                </c:pt>
                <c:pt idx="8">
                  <c:v>2.9748200000000002</c:v>
                </c:pt>
                <c:pt idx="9">
                  <c:v>3.0355300000000001</c:v>
                </c:pt>
                <c:pt idx="10">
                  <c:v>3.0935200000000003</c:v>
                </c:pt>
                <c:pt idx="11">
                  <c:v>3.14682</c:v>
                </c:pt>
                <c:pt idx="12">
                  <c:v>3.1967800000000004</c:v>
                </c:pt>
                <c:pt idx="13">
                  <c:v>3.2427000000000001</c:v>
                </c:pt>
                <c:pt idx="14">
                  <c:v>3.28735</c:v>
                </c:pt>
                <c:pt idx="15">
                  <c:v>3.33046</c:v>
                </c:pt>
                <c:pt idx="16">
                  <c:v>3.3727299999999998</c:v>
                </c:pt>
                <c:pt idx="17">
                  <c:v>3.4137</c:v>
                </c:pt>
                <c:pt idx="18">
                  <c:v>3.45153</c:v>
                </c:pt>
                <c:pt idx="19">
                  <c:v>3.4901300000000002</c:v>
                </c:pt>
                <c:pt idx="20">
                  <c:v>3.5277799999999999</c:v>
                </c:pt>
                <c:pt idx="21">
                  <c:v>3.5604799999999996</c:v>
                </c:pt>
                <c:pt idx="22">
                  <c:v>3.5893100000000002</c:v>
                </c:pt>
                <c:pt idx="23">
                  <c:v>3.6147</c:v>
                </c:pt>
                <c:pt idx="24">
                  <c:v>3.6388500000000001</c:v>
                </c:pt>
                <c:pt idx="25">
                  <c:v>3.66052</c:v>
                </c:pt>
                <c:pt idx="26">
                  <c:v>3.68086</c:v>
                </c:pt>
                <c:pt idx="27">
                  <c:v>3.6993100000000001</c:v>
                </c:pt>
                <c:pt idx="28">
                  <c:v>3.7142199999999996</c:v>
                </c:pt>
                <c:pt idx="29">
                  <c:v>3.7275799999999997</c:v>
                </c:pt>
                <c:pt idx="30">
                  <c:v>3.7386999999999997</c:v>
                </c:pt>
                <c:pt idx="31">
                  <c:v>3.7472400000000001</c:v>
                </c:pt>
                <c:pt idx="32">
                  <c:v>3.7525500000000003</c:v>
                </c:pt>
                <c:pt idx="33">
                  <c:v>3.7523099999999996</c:v>
                </c:pt>
                <c:pt idx="34">
                  <c:v>3.74953</c:v>
                </c:pt>
                <c:pt idx="35">
                  <c:v>3.7456099999999997</c:v>
                </c:pt>
                <c:pt idx="36">
                  <c:v>3.7408799999999998</c:v>
                </c:pt>
                <c:pt idx="37">
                  <c:v>3.7353700000000001</c:v>
                </c:pt>
                <c:pt idx="38">
                  <c:v>3.7302400000000002</c:v>
                </c:pt>
                <c:pt idx="39">
                  <c:v>3.7231300000000003</c:v>
                </c:pt>
                <c:pt idx="40">
                  <c:v>3.7133899999999995</c:v>
                </c:pt>
                <c:pt idx="41">
                  <c:v>3.7005500000000002</c:v>
                </c:pt>
                <c:pt idx="42">
                  <c:v>3.6871799999999997</c:v>
                </c:pt>
                <c:pt idx="43">
                  <c:v>3.6756899999999999</c:v>
                </c:pt>
                <c:pt idx="44">
                  <c:v>3.66242</c:v>
                </c:pt>
                <c:pt idx="45">
                  <c:v>3.6479900000000001</c:v>
                </c:pt>
                <c:pt idx="46">
                  <c:v>3.6324299999999998</c:v>
                </c:pt>
                <c:pt idx="47">
                  <c:v>3.6170299999999997</c:v>
                </c:pt>
                <c:pt idx="48">
                  <c:v>3.60284</c:v>
                </c:pt>
                <c:pt idx="49">
                  <c:v>3.5855300000000003</c:v>
                </c:pt>
                <c:pt idx="50">
                  <c:v>3.5725199999999999</c:v>
                </c:pt>
                <c:pt idx="51">
                  <c:v>3.5517399999999997</c:v>
                </c:pt>
                <c:pt idx="52">
                  <c:v>3.5286600000000004</c:v>
                </c:pt>
                <c:pt idx="53">
                  <c:v>3.4965600000000001</c:v>
                </c:pt>
                <c:pt idx="54">
                  <c:v>3.4767999999999999</c:v>
                </c:pt>
                <c:pt idx="55">
                  <c:v>3.4492000000000003</c:v>
                </c:pt>
                <c:pt idx="56">
                  <c:v>3.4179599999999999</c:v>
                </c:pt>
                <c:pt idx="57">
                  <c:v>3.3971800000000001</c:v>
                </c:pt>
                <c:pt idx="58">
                  <c:v>3.3726499999999997</c:v>
                </c:pt>
                <c:pt idx="59">
                  <c:v>3.3515299999999999</c:v>
                </c:pt>
                <c:pt idx="60">
                  <c:v>3.33786</c:v>
                </c:pt>
                <c:pt idx="61">
                  <c:v>3.3271899999999999</c:v>
                </c:pt>
                <c:pt idx="62">
                  <c:v>3.3203899999999997</c:v>
                </c:pt>
                <c:pt idx="63">
                  <c:v>3.3147900000000003</c:v>
                </c:pt>
                <c:pt idx="64">
                  <c:v>3.3079799999999997</c:v>
                </c:pt>
                <c:pt idx="65">
                  <c:v>3.2999400000000003</c:v>
                </c:pt>
                <c:pt idx="66">
                  <c:v>3.2933600000000003</c:v>
                </c:pt>
                <c:pt idx="67">
                  <c:v>3.2862</c:v>
                </c:pt>
                <c:pt idx="68">
                  <c:v>3.2782400000000003</c:v>
                </c:pt>
                <c:pt idx="69">
                  <c:v>3.27115</c:v>
                </c:pt>
                <c:pt idx="70">
                  <c:v>3.2638699999999998</c:v>
                </c:pt>
                <c:pt idx="71">
                  <c:v>3.2600899999999999</c:v>
                </c:pt>
                <c:pt idx="72">
                  <c:v>3.2553199999999998</c:v>
                </c:pt>
                <c:pt idx="73">
                  <c:v>3.2515699999999996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52.355600000000003</c:v>
                </c:pt>
                <c:pt idx="1">
                  <c:v>51.228700000000003</c:v>
                </c:pt>
                <c:pt idx="2">
                  <c:v>50.038499999999999</c:v>
                </c:pt>
                <c:pt idx="3">
                  <c:v>48.731200000000001</c:v>
                </c:pt>
                <c:pt idx="4">
                  <c:v>47.448599999999999</c:v>
                </c:pt>
                <c:pt idx="5">
                  <c:v>46.2</c:v>
                </c:pt>
                <c:pt idx="6">
                  <c:v>44.992900000000006</c:v>
                </c:pt>
                <c:pt idx="7">
                  <c:v>43.777000000000001</c:v>
                </c:pt>
                <c:pt idx="8">
                  <c:v>42.534700000000001</c:v>
                </c:pt>
                <c:pt idx="9">
                  <c:v>41.429300000000005</c:v>
                </c:pt>
                <c:pt idx="10">
                  <c:v>40.4223</c:v>
                </c:pt>
                <c:pt idx="11">
                  <c:v>39.605400000000003</c:v>
                </c:pt>
                <c:pt idx="12">
                  <c:v>38.892700000000005</c:v>
                </c:pt>
                <c:pt idx="13">
                  <c:v>38.217700000000001</c:v>
                </c:pt>
                <c:pt idx="14">
                  <c:v>37.525999999999996</c:v>
                </c:pt>
                <c:pt idx="15">
                  <c:v>36.842300000000002</c:v>
                </c:pt>
                <c:pt idx="16">
                  <c:v>36.141600000000004</c:v>
                </c:pt>
                <c:pt idx="17">
                  <c:v>35.542299999999997</c:v>
                </c:pt>
                <c:pt idx="18">
                  <c:v>35.052299999999995</c:v>
                </c:pt>
                <c:pt idx="19">
                  <c:v>34.643599999999999</c:v>
                </c:pt>
                <c:pt idx="20">
                  <c:v>34.3215</c:v>
                </c:pt>
                <c:pt idx="21">
                  <c:v>34.043399999999998</c:v>
                </c:pt>
                <c:pt idx="22">
                  <c:v>33.7577</c:v>
                </c:pt>
                <c:pt idx="23">
                  <c:v>33.496600000000001</c:v>
                </c:pt>
                <c:pt idx="24">
                  <c:v>33.222499999999997</c:v>
                </c:pt>
                <c:pt idx="25">
                  <c:v>32.985500000000002</c:v>
                </c:pt>
                <c:pt idx="26">
                  <c:v>32.786500000000004</c:v>
                </c:pt>
                <c:pt idx="27">
                  <c:v>32.573399999999999</c:v>
                </c:pt>
                <c:pt idx="28">
                  <c:v>32.391500000000001</c:v>
                </c:pt>
                <c:pt idx="29">
                  <c:v>32.252199999999995</c:v>
                </c:pt>
                <c:pt idx="30">
                  <c:v>32.164500000000004</c:v>
                </c:pt>
                <c:pt idx="31">
                  <c:v>32.1492</c:v>
                </c:pt>
                <c:pt idx="32">
                  <c:v>32.181699999999999</c:v>
                </c:pt>
                <c:pt idx="33">
                  <c:v>32.302799999999998</c:v>
                </c:pt>
                <c:pt idx="34">
                  <c:v>32.462299999999999</c:v>
                </c:pt>
                <c:pt idx="35">
                  <c:v>32.664999999999999</c:v>
                </c:pt>
                <c:pt idx="36">
                  <c:v>32.8643</c:v>
                </c:pt>
                <c:pt idx="37">
                  <c:v>33.046100000000003</c:v>
                </c:pt>
                <c:pt idx="38">
                  <c:v>33.264800000000001</c:v>
                </c:pt>
                <c:pt idx="39">
                  <c:v>33.448899999999995</c:v>
                </c:pt>
                <c:pt idx="40">
                  <c:v>33.704699999999995</c:v>
                </c:pt>
                <c:pt idx="41">
                  <c:v>33.978000000000002</c:v>
                </c:pt>
                <c:pt idx="42">
                  <c:v>34.243600000000001</c:v>
                </c:pt>
                <c:pt idx="43">
                  <c:v>34.438499999999998</c:v>
                </c:pt>
                <c:pt idx="44">
                  <c:v>34.533900000000003</c:v>
                </c:pt>
                <c:pt idx="45">
                  <c:v>34.526699999999998</c:v>
                </c:pt>
                <c:pt idx="46">
                  <c:v>34.449800000000003</c:v>
                </c:pt>
                <c:pt idx="47">
                  <c:v>34.384100000000004</c:v>
                </c:pt>
                <c:pt idx="48">
                  <c:v>34.266999999999996</c:v>
                </c:pt>
                <c:pt idx="49">
                  <c:v>34.125299999999996</c:v>
                </c:pt>
                <c:pt idx="50">
                  <c:v>34.037599999999998</c:v>
                </c:pt>
                <c:pt idx="51">
                  <c:v>33.803899999999999</c:v>
                </c:pt>
                <c:pt idx="52">
                  <c:v>33.580399999999997</c:v>
                </c:pt>
                <c:pt idx="53">
                  <c:v>33.3095</c:v>
                </c:pt>
                <c:pt idx="54">
                  <c:v>33.289699999999996</c:v>
                </c:pt>
                <c:pt idx="55">
                  <c:v>33.247399999999999</c:v>
                </c:pt>
                <c:pt idx="56">
                  <c:v>33.144600000000004</c:v>
                </c:pt>
                <c:pt idx="57">
                  <c:v>33.134500000000003</c:v>
                </c:pt>
                <c:pt idx="58">
                  <c:v>33.008800000000001</c:v>
                </c:pt>
                <c:pt idx="59">
                  <c:v>32.786200000000001</c:v>
                </c:pt>
                <c:pt idx="60">
                  <c:v>32.691099999999999</c:v>
                </c:pt>
                <c:pt idx="61">
                  <c:v>32.5961</c:v>
                </c:pt>
                <c:pt idx="62">
                  <c:v>32.753900000000002</c:v>
                </c:pt>
                <c:pt idx="63">
                  <c:v>32.908200000000001</c:v>
                </c:pt>
                <c:pt idx="64">
                  <c:v>33.128099999999996</c:v>
                </c:pt>
                <c:pt idx="65">
                  <c:v>33.352800000000002</c:v>
                </c:pt>
                <c:pt idx="66">
                  <c:v>33.407599999999995</c:v>
                </c:pt>
                <c:pt idx="67">
                  <c:v>33.622</c:v>
                </c:pt>
                <c:pt idx="68">
                  <c:v>34.070299999999996</c:v>
                </c:pt>
                <c:pt idx="69">
                  <c:v>34.391199999999998</c:v>
                </c:pt>
                <c:pt idx="70">
                  <c:v>34.775800000000004</c:v>
                </c:pt>
                <c:pt idx="71">
                  <c:v>35.041800000000002</c:v>
                </c:pt>
                <c:pt idx="72">
                  <c:v>35.6188</c:v>
                </c:pt>
                <c:pt idx="73">
                  <c:v>35.961500000000001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3.2515699999999996</c:v>
                </c:pt>
                <c:pt idx="1">
                  <c:v>3.2519100000000001</c:v>
                </c:pt>
                <c:pt idx="2">
                  <c:v>3.2526699999999997</c:v>
                </c:pt>
                <c:pt idx="3">
                  <c:v>3.2538299999999998</c:v>
                </c:pt>
                <c:pt idx="4">
                  <c:v>3.2570399999999999</c:v>
                </c:pt>
                <c:pt idx="5">
                  <c:v>3.2627899999999999</c:v>
                </c:pt>
                <c:pt idx="6">
                  <c:v>3.2713900000000002</c:v>
                </c:pt>
                <c:pt idx="7">
                  <c:v>3.2804600000000002</c:v>
                </c:pt>
                <c:pt idx="8">
                  <c:v>3.2898500000000004</c:v>
                </c:pt>
                <c:pt idx="9">
                  <c:v>3.3012700000000001</c:v>
                </c:pt>
                <c:pt idx="10">
                  <c:v>3.31203</c:v>
                </c:pt>
                <c:pt idx="11">
                  <c:v>3.3204400000000001</c:v>
                </c:pt>
                <c:pt idx="12">
                  <c:v>3.3279399999999999</c:v>
                </c:pt>
                <c:pt idx="13">
                  <c:v>3.3344100000000001</c:v>
                </c:pt>
                <c:pt idx="14">
                  <c:v>3.3425400000000001</c:v>
                </c:pt>
                <c:pt idx="15">
                  <c:v>3.3513900000000003</c:v>
                </c:pt>
                <c:pt idx="16">
                  <c:v>3.3613599999999999</c:v>
                </c:pt>
                <c:pt idx="17">
                  <c:v>3.3729100000000001</c:v>
                </c:pt>
                <c:pt idx="18">
                  <c:v>3.38645</c:v>
                </c:pt>
                <c:pt idx="19">
                  <c:v>3.4022799999999997</c:v>
                </c:pt>
                <c:pt idx="20">
                  <c:v>3.4203299999999999</c:v>
                </c:pt>
                <c:pt idx="21">
                  <c:v>3.4375200000000001</c:v>
                </c:pt>
                <c:pt idx="22">
                  <c:v>3.4554600000000004</c:v>
                </c:pt>
                <c:pt idx="23">
                  <c:v>3.47255</c:v>
                </c:pt>
                <c:pt idx="24">
                  <c:v>3.4886200000000001</c:v>
                </c:pt>
                <c:pt idx="25">
                  <c:v>3.5036699999999996</c:v>
                </c:pt>
                <c:pt idx="26">
                  <c:v>3.5182600000000002</c:v>
                </c:pt>
                <c:pt idx="27">
                  <c:v>3.5324299999999997</c:v>
                </c:pt>
                <c:pt idx="28">
                  <c:v>3.54813</c:v>
                </c:pt>
                <c:pt idx="29">
                  <c:v>3.56751</c:v>
                </c:pt>
                <c:pt idx="30">
                  <c:v>3.5883099999999999</c:v>
                </c:pt>
                <c:pt idx="31">
                  <c:v>3.6076000000000001</c:v>
                </c:pt>
                <c:pt idx="32">
                  <c:v>3.62609</c:v>
                </c:pt>
                <c:pt idx="33">
                  <c:v>3.6432500000000001</c:v>
                </c:pt>
                <c:pt idx="34">
                  <c:v>3.6587499999999999</c:v>
                </c:pt>
                <c:pt idx="35">
                  <c:v>3.6705399999999999</c:v>
                </c:pt>
                <c:pt idx="36">
                  <c:v>3.6786000000000003</c:v>
                </c:pt>
                <c:pt idx="37">
                  <c:v>3.68323</c:v>
                </c:pt>
                <c:pt idx="38">
                  <c:v>3.6878600000000001</c:v>
                </c:pt>
                <c:pt idx="39">
                  <c:v>3.6897099999999998</c:v>
                </c:pt>
                <c:pt idx="40">
                  <c:v>3.6880299999999999</c:v>
                </c:pt>
                <c:pt idx="41">
                  <c:v>3.68771</c:v>
                </c:pt>
                <c:pt idx="42">
                  <c:v>3.68811</c:v>
                </c:pt>
                <c:pt idx="43">
                  <c:v>3.6879</c:v>
                </c:pt>
                <c:pt idx="44">
                  <c:v>3.68709</c:v>
                </c:pt>
                <c:pt idx="45">
                  <c:v>3.68255</c:v>
                </c:pt>
                <c:pt idx="46">
                  <c:v>3.67801</c:v>
                </c:pt>
                <c:pt idx="47">
                  <c:v>3.6727400000000001</c:v>
                </c:pt>
                <c:pt idx="48">
                  <c:v>3.6675499999999999</c:v>
                </c:pt>
                <c:pt idx="49">
                  <c:v>3.6629399999999999</c:v>
                </c:pt>
                <c:pt idx="50">
                  <c:v>3.6572399999999998</c:v>
                </c:pt>
                <c:pt idx="51">
                  <c:v>3.6574099999999996</c:v>
                </c:pt>
                <c:pt idx="52">
                  <c:v>3.6584899999999996</c:v>
                </c:pt>
                <c:pt idx="53">
                  <c:v>3.65842</c:v>
                </c:pt>
                <c:pt idx="54">
                  <c:v>3.6541399999999999</c:v>
                </c:pt>
                <c:pt idx="55">
                  <c:v>3.64635</c:v>
                </c:pt>
                <c:pt idx="56">
                  <c:v>3.6369899999999999</c:v>
                </c:pt>
                <c:pt idx="57">
                  <c:v>3.6254799999999996</c:v>
                </c:pt>
                <c:pt idx="58">
                  <c:v>3.6123799999999999</c:v>
                </c:pt>
                <c:pt idx="59">
                  <c:v>3.5981200000000002</c:v>
                </c:pt>
                <c:pt idx="60">
                  <c:v>3.5864699999999998</c:v>
                </c:pt>
                <c:pt idx="61">
                  <c:v>3.5789300000000002</c:v>
                </c:pt>
                <c:pt idx="62">
                  <c:v>3.5735899999999998</c:v>
                </c:pt>
                <c:pt idx="63">
                  <c:v>3.5640399999999999</c:v>
                </c:pt>
                <c:pt idx="64">
                  <c:v>3.5564800000000001</c:v>
                </c:pt>
                <c:pt idx="65">
                  <c:v>3.5530299999999997</c:v>
                </c:pt>
                <c:pt idx="66">
                  <c:v>3.5466199999999999</c:v>
                </c:pt>
                <c:pt idx="67">
                  <c:v>3.5390800000000002</c:v>
                </c:pt>
                <c:pt idx="68">
                  <c:v>3.5301900000000002</c:v>
                </c:pt>
                <c:pt idx="69">
                  <c:v>3.5154999999999998</c:v>
                </c:pt>
                <c:pt idx="70">
                  <c:v>3.5056799999999999</c:v>
                </c:pt>
                <c:pt idx="71">
                  <c:v>3.49505</c:v>
                </c:pt>
                <c:pt idx="72">
                  <c:v>3.4835199999999999</c:v>
                </c:pt>
                <c:pt idx="73">
                  <c:v>3.4721700000000002</c:v>
                </c:pt>
                <c:pt idx="74">
                  <c:v>3.45783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35.961500000000001</c:v>
                </c:pt>
                <c:pt idx="1">
                  <c:v>36.591200000000001</c:v>
                </c:pt>
                <c:pt idx="2">
                  <c:v>37.155500000000004</c:v>
                </c:pt>
                <c:pt idx="3">
                  <c:v>37.737400000000001</c:v>
                </c:pt>
                <c:pt idx="4">
                  <c:v>38.303100000000001</c:v>
                </c:pt>
                <c:pt idx="5">
                  <c:v>38.7712</c:v>
                </c:pt>
                <c:pt idx="6">
                  <c:v>39.159799999999997</c:v>
                </c:pt>
                <c:pt idx="7">
                  <c:v>39.528400000000005</c:v>
                </c:pt>
                <c:pt idx="8">
                  <c:v>39.884500000000003</c:v>
                </c:pt>
                <c:pt idx="9">
                  <c:v>40.186899999999994</c:v>
                </c:pt>
                <c:pt idx="10">
                  <c:v>40.494400000000006</c:v>
                </c:pt>
                <c:pt idx="11">
                  <c:v>40.758499999999998</c:v>
                </c:pt>
                <c:pt idx="12">
                  <c:v>40.920400000000001</c:v>
                </c:pt>
                <c:pt idx="13">
                  <c:v>40.957700000000003</c:v>
                </c:pt>
                <c:pt idx="14">
                  <c:v>40.7911</c:v>
                </c:pt>
                <c:pt idx="15">
                  <c:v>40.475100000000005</c:v>
                </c:pt>
                <c:pt idx="16">
                  <c:v>40.176899999999996</c:v>
                </c:pt>
                <c:pt idx="17">
                  <c:v>39.801199999999994</c:v>
                </c:pt>
                <c:pt idx="18">
                  <c:v>39.357799999999997</c:v>
                </c:pt>
                <c:pt idx="19">
                  <c:v>38.878099999999996</c:v>
                </c:pt>
                <c:pt idx="20">
                  <c:v>38.350200000000001</c:v>
                </c:pt>
                <c:pt idx="21">
                  <c:v>37.880299999999998</c:v>
                </c:pt>
                <c:pt idx="22">
                  <c:v>37.433</c:v>
                </c:pt>
                <c:pt idx="23">
                  <c:v>36.981000000000002</c:v>
                </c:pt>
                <c:pt idx="24">
                  <c:v>36.623099999999994</c:v>
                </c:pt>
                <c:pt idx="25">
                  <c:v>36.2879</c:v>
                </c:pt>
                <c:pt idx="26">
                  <c:v>35.947200000000002</c:v>
                </c:pt>
                <c:pt idx="27">
                  <c:v>35.610100000000003</c:v>
                </c:pt>
                <c:pt idx="28">
                  <c:v>35.298999999999999</c:v>
                </c:pt>
                <c:pt idx="29">
                  <c:v>34.951599999999999</c:v>
                </c:pt>
                <c:pt idx="30">
                  <c:v>34.595700000000001</c:v>
                </c:pt>
                <c:pt idx="31">
                  <c:v>34.229900000000001</c:v>
                </c:pt>
                <c:pt idx="32">
                  <c:v>33.883400000000002</c:v>
                </c:pt>
                <c:pt idx="33">
                  <c:v>33.549099999999996</c:v>
                </c:pt>
                <c:pt idx="34">
                  <c:v>33.262900000000002</c:v>
                </c:pt>
                <c:pt idx="35">
                  <c:v>33.044499999999999</c:v>
                </c:pt>
                <c:pt idx="36">
                  <c:v>32.868299999999998</c:v>
                </c:pt>
                <c:pt idx="37">
                  <c:v>32.6663</c:v>
                </c:pt>
                <c:pt idx="38">
                  <c:v>32.406100000000002</c:v>
                </c:pt>
                <c:pt idx="39">
                  <c:v>32.205399999999997</c:v>
                </c:pt>
                <c:pt idx="40">
                  <c:v>32.026700000000005</c:v>
                </c:pt>
                <c:pt idx="41">
                  <c:v>31.735000000000003</c:v>
                </c:pt>
                <c:pt idx="42">
                  <c:v>31.449300000000001</c:v>
                </c:pt>
                <c:pt idx="43">
                  <c:v>31.145199999999999</c:v>
                </c:pt>
                <c:pt idx="44">
                  <c:v>30.820499999999999</c:v>
                </c:pt>
                <c:pt idx="45">
                  <c:v>30.492899999999999</c:v>
                </c:pt>
                <c:pt idx="46">
                  <c:v>30.042799999999996</c:v>
                </c:pt>
                <c:pt idx="47">
                  <c:v>29.543999999999997</c:v>
                </c:pt>
                <c:pt idx="48">
                  <c:v>29.056999999999999</c:v>
                </c:pt>
                <c:pt idx="49">
                  <c:v>28.5093</c:v>
                </c:pt>
                <c:pt idx="50">
                  <c:v>27.949800000000003</c:v>
                </c:pt>
                <c:pt idx="51">
                  <c:v>27.721800000000002</c:v>
                </c:pt>
                <c:pt idx="52">
                  <c:v>27.4588</c:v>
                </c:pt>
                <c:pt idx="53">
                  <c:v>27.173999999999999</c:v>
                </c:pt>
                <c:pt idx="54">
                  <c:v>26.8949</c:v>
                </c:pt>
                <c:pt idx="55">
                  <c:v>26.6295</c:v>
                </c:pt>
                <c:pt idx="56">
                  <c:v>26.356800000000003</c:v>
                </c:pt>
                <c:pt idx="57">
                  <c:v>26.060400000000001</c:v>
                </c:pt>
                <c:pt idx="58">
                  <c:v>25.740600000000001</c:v>
                </c:pt>
                <c:pt idx="59">
                  <c:v>25.363599999999998</c:v>
                </c:pt>
                <c:pt idx="60">
                  <c:v>24.8644</c:v>
                </c:pt>
                <c:pt idx="61">
                  <c:v>24.286799999999999</c:v>
                </c:pt>
                <c:pt idx="62">
                  <c:v>23.7105</c:v>
                </c:pt>
                <c:pt idx="63">
                  <c:v>23.227</c:v>
                </c:pt>
                <c:pt idx="64">
                  <c:v>22.647200000000002</c:v>
                </c:pt>
                <c:pt idx="65">
                  <c:v>21.9754</c:v>
                </c:pt>
                <c:pt idx="66">
                  <c:v>21.435600000000001</c:v>
                </c:pt>
                <c:pt idx="67">
                  <c:v>20.878499999999999</c:v>
                </c:pt>
                <c:pt idx="68">
                  <c:v>20.3262</c:v>
                </c:pt>
                <c:pt idx="69">
                  <c:v>19.790700000000001</c:v>
                </c:pt>
                <c:pt idx="70">
                  <c:v>19.2484</c:v>
                </c:pt>
                <c:pt idx="71">
                  <c:v>19.084200000000003</c:v>
                </c:pt>
                <c:pt idx="72">
                  <c:v>19.1997</c:v>
                </c:pt>
                <c:pt idx="73">
                  <c:v>19.194199999999999</c:v>
                </c:pt>
                <c:pt idx="74">
                  <c:v>19.1858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2.4634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52.355600000000003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3.3997852702702702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35.815087837837837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3.5213136486486492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31.611239189189195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3.5213136486486492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31.611239189189195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0.20325490493640749</c:v>
                </c:pt>
                <c:pt idx="1">
                  <c:v>0.32252082270374471</c:v>
                </c:pt>
                <c:pt idx="2">
                  <c:v>0.47422427235984776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0.40443299999999999</c:v>
                </c:pt>
                <c:pt idx="2">
                  <c:v>0.81212099999999998</c:v>
                </c:pt>
                <c:pt idx="3">
                  <c:v>1.21818</c:v>
                </c:pt>
                <c:pt idx="4">
                  <c:v>1.6215200000000001</c:v>
                </c:pt>
                <c:pt idx="5">
                  <c:v>2.02623</c:v>
                </c:pt>
                <c:pt idx="6">
                  <c:v>2.4389799999999999</c:v>
                </c:pt>
                <c:pt idx="7">
                  <c:v>2.84063</c:v>
                </c:pt>
                <c:pt idx="8">
                  <c:v>3.2461700000000002</c:v>
                </c:pt>
                <c:pt idx="9">
                  <c:v>3.6535600000000001</c:v>
                </c:pt>
                <c:pt idx="10">
                  <c:v>4.0589700000000004</c:v>
                </c:pt>
                <c:pt idx="11">
                  <c:v>4.4672999999999998</c:v>
                </c:pt>
                <c:pt idx="12">
                  <c:v>4.8729800000000001</c:v>
                </c:pt>
                <c:pt idx="13">
                  <c:v>5.2779299999999996</c:v>
                </c:pt>
                <c:pt idx="14">
                  <c:v>5.6857699999999998</c:v>
                </c:pt>
                <c:pt idx="15">
                  <c:v>6.0896299999999997</c:v>
                </c:pt>
                <c:pt idx="16">
                  <c:v>6.49756</c:v>
                </c:pt>
                <c:pt idx="17">
                  <c:v>6.9041199999999998</c:v>
                </c:pt>
                <c:pt idx="18">
                  <c:v>7.3101500000000001</c:v>
                </c:pt>
                <c:pt idx="19">
                  <c:v>7.7198900000000004</c:v>
                </c:pt>
                <c:pt idx="20">
                  <c:v>8.1222100000000008</c:v>
                </c:pt>
                <c:pt idx="21">
                  <c:v>8.5299300000000002</c:v>
                </c:pt>
                <c:pt idx="22">
                  <c:v>8.9357299999999995</c:v>
                </c:pt>
                <c:pt idx="23">
                  <c:v>9.3417399999999997</c:v>
                </c:pt>
                <c:pt idx="24">
                  <c:v>9.7496100000000006</c:v>
                </c:pt>
                <c:pt idx="25">
                  <c:v>10.1547</c:v>
                </c:pt>
                <c:pt idx="26">
                  <c:v>10.5604</c:v>
                </c:pt>
                <c:pt idx="27">
                  <c:v>10.9657</c:v>
                </c:pt>
                <c:pt idx="28">
                  <c:v>11.3741</c:v>
                </c:pt>
                <c:pt idx="29">
                  <c:v>11.783300000000001</c:v>
                </c:pt>
                <c:pt idx="30">
                  <c:v>12.185700000000001</c:v>
                </c:pt>
                <c:pt idx="31">
                  <c:v>12.589700000000001</c:v>
                </c:pt>
                <c:pt idx="32">
                  <c:v>13.000500000000001</c:v>
                </c:pt>
                <c:pt idx="33">
                  <c:v>13.4048</c:v>
                </c:pt>
                <c:pt idx="34">
                  <c:v>13.8103</c:v>
                </c:pt>
                <c:pt idx="35">
                  <c:v>14.216100000000001</c:v>
                </c:pt>
                <c:pt idx="36">
                  <c:v>14.6211</c:v>
                </c:pt>
                <c:pt idx="37">
                  <c:v>15.029500000000001</c:v>
                </c:pt>
                <c:pt idx="38">
                  <c:v>15.439</c:v>
                </c:pt>
                <c:pt idx="39">
                  <c:v>15.8424</c:v>
                </c:pt>
                <c:pt idx="40">
                  <c:v>16.246600000000001</c:v>
                </c:pt>
                <c:pt idx="41">
                  <c:v>16.657</c:v>
                </c:pt>
                <c:pt idx="42">
                  <c:v>17.062100000000001</c:v>
                </c:pt>
                <c:pt idx="43">
                  <c:v>17.465299999999999</c:v>
                </c:pt>
                <c:pt idx="44">
                  <c:v>17.873100000000001</c:v>
                </c:pt>
                <c:pt idx="45">
                  <c:v>18.279199999999999</c:v>
                </c:pt>
                <c:pt idx="46">
                  <c:v>18.681999999999999</c:v>
                </c:pt>
                <c:pt idx="47">
                  <c:v>19.0932</c:v>
                </c:pt>
                <c:pt idx="48">
                  <c:v>19.498999999999999</c:v>
                </c:pt>
                <c:pt idx="49">
                  <c:v>19.904800000000002</c:v>
                </c:pt>
                <c:pt idx="50">
                  <c:v>20.309699999999999</c:v>
                </c:pt>
                <c:pt idx="51">
                  <c:v>20.7164</c:v>
                </c:pt>
                <c:pt idx="52">
                  <c:v>21.121200000000002</c:v>
                </c:pt>
                <c:pt idx="53">
                  <c:v>21.5303</c:v>
                </c:pt>
                <c:pt idx="54">
                  <c:v>21.9358</c:v>
                </c:pt>
                <c:pt idx="55">
                  <c:v>22.3398</c:v>
                </c:pt>
                <c:pt idx="56">
                  <c:v>22.748699999999999</c:v>
                </c:pt>
                <c:pt idx="57">
                  <c:v>23.156300000000002</c:v>
                </c:pt>
                <c:pt idx="58">
                  <c:v>23.561</c:v>
                </c:pt>
                <c:pt idx="59">
                  <c:v>23.968399999999999</c:v>
                </c:pt>
                <c:pt idx="60">
                  <c:v>24.374099999999999</c:v>
                </c:pt>
                <c:pt idx="61">
                  <c:v>24.776700000000002</c:v>
                </c:pt>
                <c:pt idx="62">
                  <c:v>25.1859</c:v>
                </c:pt>
                <c:pt idx="63">
                  <c:v>25.593499999999999</c:v>
                </c:pt>
                <c:pt idx="64">
                  <c:v>26.000499999999999</c:v>
                </c:pt>
                <c:pt idx="65">
                  <c:v>26.404399999999999</c:v>
                </c:pt>
                <c:pt idx="66">
                  <c:v>26.807099999999998</c:v>
                </c:pt>
                <c:pt idx="67">
                  <c:v>27.213200000000001</c:v>
                </c:pt>
                <c:pt idx="68">
                  <c:v>27.6249</c:v>
                </c:pt>
                <c:pt idx="69">
                  <c:v>28.030100000000001</c:v>
                </c:pt>
                <c:pt idx="70">
                  <c:v>28.4376</c:v>
                </c:pt>
                <c:pt idx="71">
                  <c:v>28.84</c:v>
                </c:pt>
                <c:pt idx="72">
                  <c:v>29.247499999999999</c:v>
                </c:pt>
                <c:pt idx="73">
                  <c:v>29.654399999999999</c:v>
                </c:pt>
                <c:pt idx="74">
                  <c:v>30.061599999999999</c:v>
                </c:pt>
                <c:pt idx="75">
                  <c:v>30.5273</c:v>
                </c:pt>
                <c:pt idx="76">
                  <c:v>30.935099999999998</c:v>
                </c:pt>
                <c:pt idx="77">
                  <c:v>31.339500000000001</c:v>
                </c:pt>
                <c:pt idx="78">
                  <c:v>31.7331</c:v>
                </c:pt>
                <c:pt idx="79">
                  <c:v>32.1372</c:v>
                </c:pt>
                <c:pt idx="80">
                  <c:v>32.541600000000003</c:v>
                </c:pt>
                <c:pt idx="81">
                  <c:v>32.950299999999999</c:v>
                </c:pt>
                <c:pt idx="82">
                  <c:v>33.356699999999996</c:v>
                </c:pt>
                <c:pt idx="83">
                  <c:v>33.7622</c:v>
                </c:pt>
                <c:pt idx="84">
                  <c:v>34.170999999999999</c:v>
                </c:pt>
                <c:pt idx="85">
                  <c:v>34.574800000000003</c:v>
                </c:pt>
                <c:pt idx="86">
                  <c:v>34.982100000000003</c:v>
                </c:pt>
                <c:pt idx="87">
                  <c:v>35.387799999999999</c:v>
                </c:pt>
                <c:pt idx="88">
                  <c:v>35.798099999999998</c:v>
                </c:pt>
                <c:pt idx="89">
                  <c:v>36.2029</c:v>
                </c:pt>
                <c:pt idx="90">
                  <c:v>36.607100000000003</c:v>
                </c:pt>
                <c:pt idx="91">
                  <c:v>37.011800000000001</c:v>
                </c:pt>
                <c:pt idx="92">
                  <c:v>37.418500000000002</c:v>
                </c:pt>
                <c:pt idx="93">
                  <c:v>37.824100000000001</c:v>
                </c:pt>
                <c:pt idx="94">
                  <c:v>38.2318</c:v>
                </c:pt>
                <c:pt idx="95">
                  <c:v>38.64</c:v>
                </c:pt>
                <c:pt idx="96">
                  <c:v>39.045200000000001</c:v>
                </c:pt>
                <c:pt idx="97">
                  <c:v>39.450499999999998</c:v>
                </c:pt>
                <c:pt idx="98">
                  <c:v>39.8566</c:v>
                </c:pt>
                <c:pt idx="99">
                  <c:v>40.263599999999997</c:v>
                </c:pt>
                <c:pt idx="100">
                  <c:v>40.669899999999998</c:v>
                </c:pt>
                <c:pt idx="101">
                  <c:v>41.077100000000002</c:v>
                </c:pt>
                <c:pt idx="102">
                  <c:v>41.484699999999997</c:v>
                </c:pt>
                <c:pt idx="103">
                  <c:v>41.888199999999998</c:v>
                </c:pt>
                <c:pt idx="104">
                  <c:v>42.294699999999999</c:v>
                </c:pt>
                <c:pt idx="105">
                  <c:v>42.702399999999997</c:v>
                </c:pt>
                <c:pt idx="106">
                  <c:v>43.108199999999997</c:v>
                </c:pt>
                <c:pt idx="107">
                  <c:v>43.5107</c:v>
                </c:pt>
                <c:pt idx="108">
                  <c:v>43.916899999999998</c:v>
                </c:pt>
                <c:pt idx="109">
                  <c:v>44.328299999999999</c:v>
                </c:pt>
                <c:pt idx="110">
                  <c:v>44.733400000000003</c:v>
                </c:pt>
                <c:pt idx="111">
                  <c:v>45.138100000000001</c:v>
                </c:pt>
                <c:pt idx="112">
                  <c:v>45.542900000000003</c:v>
                </c:pt>
                <c:pt idx="113">
                  <c:v>45.951300000000003</c:v>
                </c:pt>
                <c:pt idx="114">
                  <c:v>46.355699999999999</c:v>
                </c:pt>
                <c:pt idx="115">
                  <c:v>46.763399999999997</c:v>
                </c:pt>
                <c:pt idx="116">
                  <c:v>47.1691</c:v>
                </c:pt>
                <c:pt idx="117">
                  <c:v>47.574800000000003</c:v>
                </c:pt>
                <c:pt idx="118">
                  <c:v>47.983499999999999</c:v>
                </c:pt>
                <c:pt idx="119">
                  <c:v>48.391199999999998</c:v>
                </c:pt>
                <c:pt idx="120">
                  <c:v>48.7956</c:v>
                </c:pt>
                <c:pt idx="121">
                  <c:v>49.201700000000002</c:v>
                </c:pt>
                <c:pt idx="122">
                  <c:v>49.607999999999997</c:v>
                </c:pt>
                <c:pt idx="123">
                  <c:v>50.011200000000002</c:v>
                </c:pt>
                <c:pt idx="124">
                  <c:v>50.421500000000002</c:v>
                </c:pt>
                <c:pt idx="125">
                  <c:v>50.825800000000001</c:v>
                </c:pt>
                <c:pt idx="126">
                  <c:v>51.232399999999998</c:v>
                </c:pt>
                <c:pt idx="127">
                  <c:v>51.637500000000003</c:v>
                </c:pt>
                <c:pt idx="128">
                  <c:v>52.041899999999998</c:v>
                </c:pt>
                <c:pt idx="129">
                  <c:v>52.4497</c:v>
                </c:pt>
                <c:pt idx="130">
                  <c:v>52.857900000000001</c:v>
                </c:pt>
                <c:pt idx="131">
                  <c:v>53.265799999999999</c:v>
                </c:pt>
                <c:pt idx="132">
                  <c:v>53.669499999999999</c:v>
                </c:pt>
                <c:pt idx="133">
                  <c:v>54.071899999999999</c:v>
                </c:pt>
                <c:pt idx="134">
                  <c:v>54.481699999999996</c:v>
                </c:pt>
                <c:pt idx="135">
                  <c:v>54.889800000000001</c:v>
                </c:pt>
                <c:pt idx="136">
                  <c:v>55.2926</c:v>
                </c:pt>
                <c:pt idx="137">
                  <c:v>55.700200000000002</c:v>
                </c:pt>
                <c:pt idx="138">
                  <c:v>56.105800000000002</c:v>
                </c:pt>
                <c:pt idx="139">
                  <c:v>56.5122</c:v>
                </c:pt>
                <c:pt idx="140">
                  <c:v>56.9221</c:v>
                </c:pt>
                <c:pt idx="141">
                  <c:v>57.328299999999999</c:v>
                </c:pt>
                <c:pt idx="142">
                  <c:v>57.734200000000001</c:v>
                </c:pt>
                <c:pt idx="143">
                  <c:v>58.138300000000001</c:v>
                </c:pt>
                <c:pt idx="144">
                  <c:v>58.543100000000003</c:v>
                </c:pt>
                <c:pt idx="145">
                  <c:v>58.953499999999998</c:v>
                </c:pt>
                <c:pt idx="146">
                  <c:v>59.356499999999997</c:v>
                </c:pt>
                <c:pt idx="147">
                  <c:v>59.7637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2.4634</c:v>
                </c:pt>
                <c:pt idx="1">
                  <c:v>2.5285600000000001</c:v>
                </c:pt>
                <c:pt idx="2">
                  <c:v>2.59361</c:v>
                </c:pt>
                <c:pt idx="3">
                  <c:v>2.6579700000000002</c:v>
                </c:pt>
                <c:pt idx="4">
                  <c:v>2.7218999999999998</c:v>
                </c:pt>
                <c:pt idx="5">
                  <c:v>2.7859400000000001</c:v>
                </c:pt>
                <c:pt idx="6">
                  <c:v>2.8485899999999997</c:v>
                </c:pt>
                <c:pt idx="7">
                  <c:v>2.9110999999999998</c:v>
                </c:pt>
                <c:pt idx="8">
                  <c:v>2.9748200000000002</c:v>
                </c:pt>
                <c:pt idx="9">
                  <c:v>3.0355300000000001</c:v>
                </c:pt>
                <c:pt idx="10">
                  <c:v>3.0935200000000003</c:v>
                </c:pt>
                <c:pt idx="11">
                  <c:v>3.14682</c:v>
                </c:pt>
                <c:pt idx="12">
                  <c:v>3.1967800000000004</c:v>
                </c:pt>
                <c:pt idx="13">
                  <c:v>3.2427000000000001</c:v>
                </c:pt>
                <c:pt idx="14">
                  <c:v>3.28735</c:v>
                </c:pt>
                <c:pt idx="15">
                  <c:v>3.33046</c:v>
                </c:pt>
                <c:pt idx="16">
                  <c:v>3.3727299999999998</c:v>
                </c:pt>
                <c:pt idx="17">
                  <c:v>3.4137</c:v>
                </c:pt>
                <c:pt idx="18">
                  <c:v>3.45153</c:v>
                </c:pt>
                <c:pt idx="19">
                  <c:v>3.4901300000000002</c:v>
                </c:pt>
                <c:pt idx="20">
                  <c:v>3.5277799999999999</c:v>
                </c:pt>
                <c:pt idx="21">
                  <c:v>3.5604799999999996</c:v>
                </c:pt>
                <c:pt idx="22">
                  <c:v>3.5893100000000002</c:v>
                </c:pt>
                <c:pt idx="23">
                  <c:v>3.6147</c:v>
                </c:pt>
                <c:pt idx="24">
                  <c:v>3.6388500000000001</c:v>
                </c:pt>
                <c:pt idx="25">
                  <c:v>3.66052</c:v>
                </c:pt>
                <c:pt idx="26">
                  <c:v>3.68086</c:v>
                </c:pt>
                <c:pt idx="27">
                  <c:v>3.6993100000000001</c:v>
                </c:pt>
                <c:pt idx="28">
                  <c:v>3.7142199999999996</c:v>
                </c:pt>
                <c:pt idx="29">
                  <c:v>3.7275799999999997</c:v>
                </c:pt>
                <c:pt idx="30">
                  <c:v>3.7386999999999997</c:v>
                </c:pt>
                <c:pt idx="31">
                  <c:v>3.7472400000000001</c:v>
                </c:pt>
                <c:pt idx="32">
                  <c:v>3.7525500000000003</c:v>
                </c:pt>
                <c:pt idx="33">
                  <c:v>3.7523099999999996</c:v>
                </c:pt>
                <c:pt idx="34">
                  <c:v>3.74953</c:v>
                </c:pt>
                <c:pt idx="35">
                  <c:v>3.7456099999999997</c:v>
                </c:pt>
                <c:pt idx="36">
                  <c:v>3.7408799999999998</c:v>
                </c:pt>
                <c:pt idx="37">
                  <c:v>3.7353700000000001</c:v>
                </c:pt>
                <c:pt idx="38">
                  <c:v>3.7302400000000002</c:v>
                </c:pt>
                <c:pt idx="39">
                  <c:v>3.7231300000000003</c:v>
                </c:pt>
                <c:pt idx="40">
                  <c:v>3.7133899999999995</c:v>
                </c:pt>
                <c:pt idx="41">
                  <c:v>3.7005500000000002</c:v>
                </c:pt>
                <c:pt idx="42">
                  <c:v>3.6871799999999997</c:v>
                </c:pt>
                <c:pt idx="43">
                  <c:v>3.6756899999999999</c:v>
                </c:pt>
                <c:pt idx="44">
                  <c:v>3.66242</c:v>
                </c:pt>
                <c:pt idx="45">
                  <c:v>3.6479900000000001</c:v>
                </c:pt>
                <c:pt idx="46">
                  <c:v>3.6324299999999998</c:v>
                </c:pt>
                <c:pt idx="47">
                  <c:v>3.6170299999999997</c:v>
                </c:pt>
                <c:pt idx="48">
                  <c:v>3.60284</c:v>
                </c:pt>
                <c:pt idx="49">
                  <c:v>3.5855300000000003</c:v>
                </c:pt>
                <c:pt idx="50">
                  <c:v>3.5725199999999999</c:v>
                </c:pt>
                <c:pt idx="51">
                  <c:v>3.5517399999999997</c:v>
                </c:pt>
                <c:pt idx="52">
                  <c:v>3.5286600000000004</c:v>
                </c:pt>
                <c:pt idx="53">
                  <c:v>3.4965600000000001</c:v>
                </c:pt>
                <c:pt idx="54">
                  <c:v>3.4767999999999999</c:v>
                </c:pt>
                <c:pt idx="55">
                  <c:v>3.4492000000000003</c:v>
                </c:pt>
                <c:pt idx="56">
                  <c:v>3.4179599999999999</c:v>
                </c:pt>
                <c:pt idx="57">
                  <c:v>3.3971800000000001</c:v>
                </c:pt>
                <c:pt idx="58">
                  <c:v>3.3726499999999997</c:v>
                </c:pt>
                <c:pt idx="59">
                  <c:v>3.3515299999999999</c:v>
                </c:pt>
                <c:pt idx="60">
                  <c:v>3.33786</c:v>
                </c:pt>
                <c:pt idx="61">
                  <c:v>3.3271899999999999</c:v>
                </c:pt>
                <c:pt idx="62">
                  <c:v>3.3203899999999997</c:v>
                </c:pt>
                <c:pt idx="63">
                  <c:v>3.3147900000000003</c:v>
                </c:pt>
                <c:pt idx="64">
                  <c:v>3.3079799999999997</c:v>
                </c:pt>
                <c:pt idx="65">
                  <c:v>3.2999400000000003</c:v>
                </c:pt>
                <c:pt idx="66">
                  <c:v>3.2933600000000003</c:v>
                </c:pt>
                <c:pt idx="67">
                  <c:v>3.2862</c:v>
                </c:pt>
                <c:pt idx="68">
                  <c:v>3.2782400000000003</c:v>
                </c:pt>
                <c:pt idx="69">
                  <c:v>3.27115</c:v>
                </c:pt>
                <c:pt idx="70">
                  <c:v>3.2638699999999998</c:v>
                </c:pt>
                <c:pt idx="71">
                  <c:v>3.2600899999999999</c:v>
                </c:pt>
                <c:pt idx="72">
                  <c:v>3.2553199999999998</c:v>
                </c:pt>
                <c:pt idx="73">
                  <c:v>3.2515699999999996</c:v>
                </c:pt>
                <c:pt idx="74">
                  <c:v>3.2519100000000001</c:v>
                </c:pt>
                <c:pt idx="75">
                  <c:v>3.2526699999999997</c:v>
                </c:pt>
                <c:pt idx="76">
                  <c:v>3.2538299999999998</c:v>
                </c:pt>
                <c:pt idx="77">
                  <c:v>3.2570399999999999</c:v>
                </c:pt>
                <c:pt idx="78">
                  <c:v>3.2627899999999999</c:v>
                </c:pt>
                <c:pt idx="79">
                  <c:v>3.2713900000000002</c:v>
                </c:pt>
                <c:pt idx="80">
                  <c:v>3.2804600000000002</c:v>
                </c:pt>
                <c:pt idx="81">
                  <c:v>3.2898500000000004</c:v>
                </c:pt>
                <c:pt idx="82">
                  <c:v>3.3012700000000001</c:v>
                </c:pt>
                <c:pt idx="83">
                  <c:v>3.31203</c:v>
                </c:pt>
                <c:pt idx="84">
                  <c:v>3.3204400000000001</c:v>
                </c:pt>
                <c:pt idx="85">
                  <c:v>3.3279399999999999</c:v>
                </c:pt>
                <c:pt idx="86">
                  <c:v>3.3344100000000001</c:v>
                </c:pt>
                <c:pt idx="87">
                  <c:v>3.3425400000000001</c:v>
                </c:pt>
                <c:pt idx="88">
                  <c:v>3.3513900000000003</c:v>
                </c:pt>
                <c:pt idx="89">
                  <c:v>3.3613599999999999</c:v>
                </c:pt>
                <c:pt idx="90">
                  <c:v>3.3729100000000001</c:v>
                </c:pt>
                <c:pt idx="91">
                  <c:v>3.38645</c:v>
                </c:pt>
                <c:pt idx="92">
                  <c:v>3.4022799999999997</c:v>
                </c:pt>
                <c:pt idx="93">
                  <c:v>3.4203299999999999</c:v>
                </c:pt>
                <c:pt idx="94">
                  <c:v>3.4375200000000001</c:v>
                </c:pt>
                <c:pt idx="95">
                  <c:v>3.4554600000000004</c:v>
                </c:pt>
                <c:pt idx="96">
                  <c:v>3.47255</c:v>
                </c:pt>
                <c:pt idx="97">
                  <c:v>3.4886200000000001</c:v>
                </c:pt>
                <c:pt idx="98">
                  <c:v>3.5036699999999996</c:v>
                </c:pt>
                <c:pt idx="99">
                  <c:v>3.5182600000000002</c:v>
                </c:pt>
                <c:pt idx="100">
                  <c:v>3.5324299999999997</c:v>
                </c:pt>
                <c:pt idx="101">
                  <c:v>3.54813</c:v>
                </c:pt>
                <c:pt idx="102">
                  <c:v>3.56751</c:v>
                </c:pt>
                <c:pt idx="103">
                  <c:v>3.5883099999999999</c:v>
                </c:pt>
                <c:pt idx="104">
                  <c:v>3.6076000000000001</c:v>
                </c:pt>
                <c:pt idx="105">
                  <c:v>3.62609</c:v>
                </c:pt>
                <c:pt idx="106">
                  <c:v>3.6432500000000001</c:v>
                </c:pt>
                <c:pt idx="107">
                  <c:v>3.6587499999999999</c:v>
                </c:pt>
                <c:pt idx="108">
                  <c:v>3.6705399999999999</c:v>
                </c:pt>
                <c:pt idx="109">
                  <c:v>3.6786000000000003</c:v>
                </c:pt>
                <c:pt idx="110">
                  <c:v>3.68323</c:v>
                </c:pt>
                <c:pt idx="111">
                  <c:v>3.6878600000000001</c:v>
                </c:pt>
                <c:pt idx="112">
                  <c:v>3.6897099999999998</c:v>
                </c:pt>
                <c:pt idx="113">
                  <c:v>3.6880299999999999</c:v>
                </c:pt>
                <c:pt idx="114">
                  <c:v>3.68771</c:v>
                </c:pt>
                <c:pt idx="115">
                  <c:v>3.68811</c:v>
                </c:pt>
                <c:pt idx="116">
                  <c:v>3.6879</c:v>
                </c:pt>
                <c:pt idx="117">
                  <c:v>3.68709</c:v>
                </c:pt>
                <c:pt idx="118">
                  <c:v>3.68255</c:v>
                </c:pt>
                <c:pt idx="119">
                  <c:v>3.67801</c:v>
                </c:pt>
                <c:pt idx="120">
                  <c:v>3.6727400000000001</c:v>
                </c:pt>
                <c:pt idx="121">
                  <c:v>3.6675499999999999</c:v>
                </c:pt>
                <c:pt idx="122">
                  <c:v>3.6629399999999999</c:v>
                </c:pt>
                <c:pt idx="123">
                  <c:v>3.6572399999999998</c:v>
                </c:pt>
                <c:pt idx="124">
                  <c:v>3.6574099999999996</c:v>
                </c:pt>
                <c:pt idx="125">
                  <c:v>3.6584899999999996</c:v>
                </c:pt>
                <c:pt idx="126">
                  <c:v>3.65842</c:v>
                </c:pt>
                <c:pt idx="127">
                  <c:v>3.6541399999999999</c:v>
                </c:pt>
                <c:pt idx="128">
                  <c:v>3.64635</c:v>
                </c:pt>
                <c:pt idx="129">
                  <c:v>3.6369899999999999</c:v>
                </c:pt>
                <c:pt idx="130">
                  <c:v>3.6254799999999996</c:v>
                </c:pt>
                <c:pt idx="131">
                  <c:v>3.6123799999999999</c:v>
                </c:pt>
                <c:pt idx="132">
                  <c:v>3.5981200000000002</c:v>
                </c:pt>
                <c:pt idx="133">
                  <c:v>3.5864699999999998</c:v>
                </c:pt>
                <c:pt idx="134">
                  <c:v>3.5789300000000002</c:v>
                </c:pt>
                <c:pt idx="135">
                  <c:v>3.5735899999999998</c:v>
                </c:pt>
                <c:pt idx="136">
                  <c:v>3.5640399999999999</c:v>
                </c:pt>
                <c:pt idx="137">
                  <c:v>3.5564800000000001</c:v>
                </c:pt>
                <c:pt idx="138">
                  <c:v>3.5530299999999997</c:v>
                </c:pt>
                <c:pt idx="139">
                  <c:v>3.5466199999999999</c:v>
                </c:pt>
                <c:pt idx="140">
                  <c:v>3.5390800000000002</c:v>
                </c:pt>
                <c:pt idx="141">
                  <c:v>3.5301900000000002</c:v>
                </c:pt>
                <c:pt idx="142">
                  <c:v>3.5154999999999998</c:v>
                </c:pt>
                <c:pt idx="143">
                  <c:v>3.5056799999999999</c:v>
                </c:pt>
                <c:pt idx="144">
                  <c:v>3.49505</c:v>
                </c:pt>
                <c:pt idx="145">
                  <c:v>3.4835199999999999</c:v>
                </c:pt>
                <c:pt idx="146">
                  <c:v>3.4721700000000002</c:v>
                </c:pt>
                <c:pt idx="147">
                  <c:v>3.45783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0.40443299999999999</c:v>
                </c:pt>
                <c:pt idx="2">
                  <c:v>0.81212099999999998</c:v>
                </c:pt>
                <c:pt idx="3">
                  <c:v>1.21818</c:v>
                </c:pt>
                <c:pt idx="4">
                  <c:v>1.6215200000000001</c:v>
                </c:pt>
                <c:pt idx="5">
                  <c:v>2.02623</c:v>
                </c:pt>
                <c:pt idx="6">
                  <c:v>2.4389799999999999</c:v>
                </c:pt>
                <c:pt idx="7">
                  <c:v>2.84063</c:v>
                </c:pt>
                <c:pt idx="8">
                  <c:v>3.2461700000000002</c:v>
                </c:pt>
                <c:pt idx="9">
                  <c:v>3.6535600000000001</c:v>
                </c:pt>
                <c:pt idx="10">
                  <c:v>4.0589700000000004</c:v>
                </c:pt>
                <c:pt idx="11">
                  <c:v>4.4672999999999998</c:v>
                </c:pt>
                <c:pt idx="12">
                  <c:v>4.8729800000000001</c:v>
                </c:pt>
                <c:pt idx="13">
                  <c:v>5.2779299999999996</c:v>
                </c:pt>
                <c:pt idx="14">
                  <c:v>5.6857699999999998</c:v>
                </c:pt>
                <c:pt idx="15">
                  <c:v>6.0896299999999997</c:v>
                </c:pt>
                <c:pt idx="16">
                  <c:v>6.49756</c:v>
                </c:pt>
                <c:pt idx="17">
                  <c:v>6.9041199999999998</c:v>
                </c:pt>
                <c:pt idx="18">
                  <c:v>7.3101500000000001</c:v>
                </c:pt>
                <c:pt idx="19">
                  <c:v>7.7198900000000004</c:v>
                </c:pt>
                <c:pt idx="20">
                  <c:v>8.1222100000000008</c:v>
                </c:pt>
                <c:pt idx="21">
                  <c:v>8.5299300000000002</c:v>
                </c:pt>
                <c:pt idx="22">
                  <c:v>8.9357299999999995</c:v>
                </c:pt>
                <c:pt idx="23">
                  <c:v>9.3417399999999997</c:v>
                </c:pt>
                <c:pt idx="24">
                  <c:v>9.7496100000000006</c:v>
                </c:pt>
                <c:pt idx="25">
                  <c:v>10.1547</c:v>
                </c:pt>
                <c:pt idx="26">
                  <c:v>10.5604</c:v>
                </c:pt>
                <c:pt idx="27">
                  <c:v>10.9657</c:v>
                </c:pt>
                <c:pt idx="28">
                  <c:v>11.3741</c:v>
                </c:pt>
                <c:pt idx="29">
                  <c:v>11.783300000000001</c:v>
                </c:pt>
                <c:pt idx="30">
                  <c:v>12.185700000000001</c:v>
                </c:pt>
                <c:pt idx="31">
                  <c:v>12.589700000000001</c:v>
                </c:pt>
                <c:pt idx="32">
                  <c:v>13.000500000000001</c:v>
                </c:pt>
                <c:pt idx="33">
                  <c:v>13.4048</c:v>
                </c:pt>
                <c:pt idx="34">
                  <c:v>13.8103</c:v>
                </c:pt>
                <c:pt idx="35">
                  <c:v>14.216100000000001</c:v>
                </c:pt>
                <c:pt idx="36">
                  <c:v>14.6211</c:v>
                </c:pt>
                <c:pt idx="37">
                  <c:v>15.029500000000001</c:v>
                </c:pt>
                <c:pt idx="38">
                  <c:v>15.439</c:v>
                </c:pt>
                <c:pt idx="39">
                  <c:v>15.8424</c:v>
                </c:pt>
                <c:pt idx="40">
                  <c:v>16.246600000000001</c:v>
                </c:pt>
                <c:pt idx="41">
                  <c:v>16.657</c:v>
                </c:pt>
                <c:pt idx="42">
                  <c:v>17.062100000000001</c:v>
                </c:pt>
                <c:pt idx="43">
                  <c:v>17.465299999999999</c:v>
                </c:pt>
                <c:pt idx="44">
                  <c:v>17.873100000000001</c:v>
                </c:pt>
                <c:pt idx="45">
                  <c:v>18.279199999999999</c:v>
                </c:pt>
                <c:pt idx="46">
                  <c:v>18.681999999999999</c:v>
                </c:pt>
                <c:pt idx="47">
                  <c:v>19.0932</c:v>
                </c:pt>
                <c:pt idx="48">
                  <c:v>19.498999999999999</c:v>
                </c:pt>
                <c:pt idx="49">
                  <c:v>19.904800000000002</c:v>
                </c:pt>
                <c:pt idx="50">
                  <c:v>20.309699999999999</c:v>
                </c:pt>
                <c:pt idx="51">
                  <c:v>20.7164</c:v>
                </c:pt>
                <c:pt idx="52">
                  <c:v>21.121200000000002</c:v>
                </c:pt>
                <c:pt idx="53">
                  <c:v>21.5303</c:v>
                </c:pt>
                <c:pt idx="54">
                  <c:v>21.9358</c:v>
                </c:pt>
                <c:pt idx="55">
                  <c:v>22.3398</c:v>
                </c:pt>
                <c:pt idx="56">
                  <c:v>22.748699999999999</c:v>
                </c:pt>
                <c:pt idx="57">
                  <c:v>23.156300000000002</c:v>
                </c:pt>
                <c:pt idx="58">
                  <c:v>23.561</c:v>
                </c:pt>
                <c:pt idx="59">
                  <c:v>23.968399999999999</c:v>
                </c:pt>
                <c:pt idx="60">
                  <c:v>24.374099999999999</c:v>
                </c:pt>
                <c:pt idx="61">
                  <c:v>24.776700000000002</c:v>
                </c:pt>
                <c:pt idx="62">
                  <c:v>25.1859</c:v>
                </c:pt>
                <c:pt idx="63">
                  <c:v>25.593499999999999</c:v>
                </c:pt>
                <c:pt idx="64">
                  <c:v>26.000499999999999</c:v>
                </c:pt>
                <c:pt idx="65">
                  <c:v>26.404399999999999</c:v>
                </c:pt>
                <c:pt idx="66">
                  <c:v>26.807099999999998</c:v>
                </c:pt>
                <c:pt idx="67">
                  <c:v>27.213200000000001</c:v>
                </c:pt>
                <c:pt idx="68">
                  <c:v>27.6249</c:v>
                </c:pt>
                <c:pt idx="69">
                  <c:v>28.030100000000001</c:v>
                </c:pt>
                <c:pt idx="70">
                  <c:v>28.4376</c:v>
                </c:pt>
                <c:pt idx="71">
                  <c:v>28.84</c:v>
                </c:pt>
                <c:pt idx="72">
                  <c:v>29.247499999999999</c:v>
                </c:pt>
                <c:pt idx="73">
                  <c:v>29.654399999999999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2.4634</c:v>
                </c:pt>
                <c:pt idx="1">
                  <c:v>2.5285600000000001</c:v>
                </c:pt>
                <c:pt idx="2">
                  <c:v>2.59361</c:v>
                </c:pt>
                <c:pt idx="3">
                  <c:v>2.6579700000000002</c:v>
                </c:pt>
                <c:pt idx="4">
                  <c:v>2.7218999999999998</c:v>
                </c:pt>
                <c:pt idx="5">
                  <c:v>2.7859400000000001</c:v>
                </c:pt>
                <c:pt idx="6">
                  <c:v>2.8485899999999997</c:v>
                </c:pt>
                <c:pt idx="7">
                  <c:v>2.9110999999999998</c:v>
                </c:pt>
                <c:pt idx="8">
                  <c:v>2.9748200000000002</c:v>
                </c:pt>
                <c:pt idx="9">
                  <c:v>3.0355300000000001</c:v>
                </c:pt>
                <c:pt idx="10">
                  <c:v>3.0935200000000003</c:v>
                </c:pt>
                <c:pt idx="11">
                  <c:v>3.14682</c:v>
                </c:pt>
                <c:pt idx="12">
                  <c:v>3.1967800000000004</c:v>
                </c:pt>
                <c:pt idx="13">
                  <c:v>3.2427000000000001</c:v>
                </c:pt>
                <c:pt idx="14">
                  <c:v>3.28735</c:v>
                </c:pt>
                <c:pt idx="15">
                  <c:v>3.33046</c:v>
                </c:pt>
                <c:pt idx="16">
                  <c:v>3.3727299999999998</c:v>
                </c:pt>
                <c:pt idx="17">
                  <c:v>3.4137</c:v>
                </c:pt>
                <c:pt idx="18">
                  <c:v>3.45153</c:v>
                </c:pt>
                <c:pt idx="19">
                  <c:v>3.4901300000000002</c:v>
                </c:pt>
                <c:pt idx="20">
                  <c:v>3.5277799999999999</c:v>
                </c:pt>
                <c:pt idx="21">
                  <c:v>3.5604799999999996</c:v>
                </c:pt>
                <c:pt idx="22">
                  <c:v>3.5893100000000002</c:v>
                </c:pt>
                <c:pt idx="23">
                  <c:v>3.6147</c:v>
                </c:pt>
                <c:pt idx="24">
                  <c:v>3.6388500000000001</c:v>
                </c:pt>
                <c:pt idx="25">
                  <c:v>3.66052</c:v>
                </c:pt>
                <c:pt idx="26">
                  <c:v>3.68086</c:v>
                </c:pt>
                <c:pt idx="27">
                  <c:v>3.6993100000000001</c:v>
                </c:pt>
                <c:pt idx="28">
                  <c:v>3.7142199999999996</c:v>
                </c:pt>
                <c:pt idx="29">
                  <c:v>3.7275799999999997</c:v>
                </c:pt>
                <c:pt idx="30">
                  <c:v>3.7386999999999997</c:v>
                </c:pt>
                <c:pt idx="31">
                  <c:v>3.7472400000000001</c:v>
                </c:pt>
                <c:pt idx="32">
                  <c:v>3.7525500000000003</c:v>
                </c:pt>
                <c:pt idx="33">
                  <c:v>3.7523099999999996</c:v>
                </c:pt>
                <c:pt idx="34">
                  <c:v>3.74953</c:v>
                </c:pt>
                <c:pt idx="35">
                  <c:v>3.7456099999999997</c:v>
                </c:pt>
                <c:pt idx="36">
                  <c:v>3.7408799999999998</c:v>
                </c:pt>
                <c:pt idx="37">
                  <c:v>3.7353700000000001</c:v>
                </c:pt>
                <c:pt idx="38">
                  <c:v>3.7302400000000002</c:v>
                </c:pt>
                <c:pt idx="39">
                  <c:v>3.7231300000000003</c:v>
                </c:pt>
                <c:pt idx="40">
                  <c:v>3.7133899999999995</c:v>
                </c:pt>
                <c:pt idx="41">
                  <c:v>3.7005500000000002</c:v>
                </c:pt>
                <c:pt idx="42">
                  <c:v>3.6871799999999997</c:v>
                </c:pt>
                <c:pt idx="43">
                  <c:v>3.6756899999999999</c:v>
                </c:pt>
                <c:pt idx="44">
                  <c:v>3.66242</c:v>
                </c:pt>
                <c:pt idx="45">
                  <c:v>3.6479900000000001</c:v>
                </c:pt>
                <c:pt idx="46">
                  <c:v>3.6324299999999998</c:v>
                </c:pt>
                <c:pt idx="47">
                  <c:v>3.6170299999999997</c:v>
                </c:pt>
                <c:pt idx="48">
                  <c:v>3.60284</c:v>
                </c:pt>
                <c:pt idx="49">
                  <c:v>3.5855300000000003</c:v>
                </c:pt>
                <c:pt idx="50">
                  <c:v>3.5725199999999999</c:v>
                </c:pt>
                <c:pt idx="51">
                  <c:v>3.5517399999999997</c:v>
                </c:pt>
                <c:pt idx="52">
                  <c:v>3.5286600000000004</c:v>
                </c:pt>
                <c:pt idx="53">
                  <c:v>3.4965600000000001</c:v>
                </c:pt>
                <c:pt idx="54">
                  <c:v>3.4767999999999999</c:v>
                </c:pt>
                <c:pt idx="55">
                  <c:v>3.4492000000000003</c:v>
                </c:pt>
                <c:pt idx="56">
                  <c:v>3.4179599999999999</c:v>
                </c:pt>
                <c:pt idx="57">
                  <c:v>3.3971800000000001</c:v>
                </c:pt>
                <c:pt idx="58">
                  <c:v>3.3726499999999997</c:v>
                </c:pt>
                <c:pt idx="59">
                  <c:v>3.3515299999999999</c:v>
                </c:pt>
                <c:pt idx="60">
                  <c:v>3.33786</c:v>
                </c:pt>
                <c:pt idx="61">
                  <c:v>3.3271899999999999</c:v>
                </c:pt>
                <c:pt idx="62">
                  <c:v>3.3203899999999997</c:v>
                </c:pt>
                <c:pt idx="63">
                  <c:v>3.3147900000000003</c:v>
                </c:pt>
                <c:pt idx="64">
                  <c:v>3.3079799999999997</c:v>
                </c:pt>
                <c:pt idx="65">
                  <c:v>3.2999400000000003</c:v>
                </c:pt>
                <c:pt idx="66">
                  <c:v>3.2933600000000003</c:v>
                </c:pt>
                <c:pt idx="67">
                  <c:v>3.2862</c:v>
                </c:pt>
                <c:pt idx="68">
                  <c:v>3.2782400000000003</c:v>
                </c:pt>
                <c:pt idx="69">
                  <c:v>3.27115</c:v>
                </c:pt>
                <c:pt idx="70">
                  <c:v>3.2638699999999998</c:v>
                </c:pt>
                <c:pt idx="71">
                  <c:v>3.2600899999999999</c:v>
                </c:pt>
                <c:pt idx="72">
                  <c:v>3.2553199999999998</c:v>
                </c:pt>
                <c:pt idx="73">
                  <c:v>3.2515699999999996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29.654399999999999</c:v>
                </c:pt>
                <c:pt idx="1">
                  <c:v>30.061599999999999</c:v>
                </c:pt>
                <c:pt idx="2">
                  <c:v>30.5273</c:v>
                </c:pt>
                <c:pt idx="3">
                  <c:v>30.935099999999998</c:v>
                </c:pt>
                <c:pt idx="4">
                  <c:v>31.339500000000001</c:v>
                </c:pt>
                <c:pt idx="5">
                  <c:v>31.7331</c:v>
                </c:pt>
                <c:pt idx="6">
                  <c:v>32.1372</c:v>
                </c:pt>
                <c:pt idx="7">
                  <c:v>32.541600000000003</c:v>
                </c:pt>
                <c:pt idx="8">
                  <c:v>32.950299999999999</c:v>
                </c:pt>
                <c:pt idx="9">
                  <c:v>33.356699999999996</c:v>
                </c:pt>
                <c:pt idx="10">
                  <c:v>33.7622</c:v>
                </c:pt>
                <c:pt idx="11">
                  <c:v>34.170999999999999</c:v>
                </c:pt>
                <c:pt idx="12">
                  <c:v>34.574800000000003</c:v>
                </c:pt>
                <c:pt idx="13">
                  <c:v>34.982100000000003</c:v>
                </c:pt>
                <c:pt idx="14">
                  <c:v>35.387799999999999</c:v>
                </c:pt>
                <c:pt idx="15">
                  <c:v>35.798099999999998</c:v>
                </c:pt>
                <c:pt idx="16">
                  <c:v>36.2029</c:v>
                </c:pt>
                <c:pt idx="17">
                  <c:v>36.607100000000003</c:v>
                </c:pt>
                <c:pt idx="18">
                  <c:v>37.011800000000001</c:v>
                </c:pt>
                <c:pt idx="19">
                  <c:v>37.418500000000002</c:v>
                </c:pt>
                <c:pt idx="20">
                  <c:v>37.824100000000001</c:v>
                </c:pt>
                <c:pt idx="21">
                  <c:v>38.2318</c:v>
                </c:pt>
                <c:pt idx="22">
                  <c:v>38.64</c:v>
                </c:pt>
                <c:pt idx="23">
                  <c:v>39.045200000000001</c:v>
                </c:pt>
                <c:pt idx="24">
                  <c:v>39.450499999999998</c:v>
                </c:pt>
                <c:pt idx="25">
                  <c:v>39.8566</c:v>
                </c:pt>
                <c:pt idx="26">
                  <c:v>40.263599999999997</c:v>
                </c:pt>
                <c:pt idx="27">
                  <c:v>40.669899999999998</c:v>
                </c:pt>
                <c:pt idx="28">
                  <c:v>41.077100000000002</c:v>
                </c:pt>
                <c:pt idx="29">
                  <c:v>41.484699999999997</c:v>
                </c:pt>
                <c:pt idx="30">
                  <c:v>41.888199999999998</c:v>
                </c:pt>
                <c:pt idx="31">
                  <c:v>42.294699999999999</c:v>
                </c:pt>
                <c:pt idx="32">
                  <c:v>42.702399999999997</c:v>
                </c:pt>
                <c:pt idx="33">
                  <c:v>43.108199999999997</c:v>
                </c:pt>
                <c:pt idx="34">
                  <c:v>43.5107</c:v>
                </c:pt>
                <c:pt idx="35">
                  <c:v>43.916899999999998</c:v>
                </c:pt>
                <c:pt idx="36">
                  <c:v>44.328299999999999</c:v>
                </c:pt>
                <c:pt idx="37">
                  <c:v>44.733400000000003</c:v>
                </c:pt>
                <c:pt idx="38">
                  <c:v>45.138100000000001</c:v>
                </c:pt>
                <c:pt idx="39">
                  <c:v>45.542900000000003</c:v>
                </c:pt>
                <c:pt idx="40">
                  <c:v>45.951300000000003</c:v>
                </c:pt>
                <c:pt idx="41">
                  <c:v>46.355699999999999</c:v>
                </c:pt>
                <c:pt idx="42">
                  <c:v>46.763399999999997</c:v>
                </c:pt>
                <c:pt idx="43">
                  <c:v>47.1691</c:v>
                </c:pt>
                <c:pt idx="44">
                  <c:v>47.574800000000003</c:v>
                </c:pt>
                <c:pt idx="45">
                  <c:v>47.983499999999999</c:v>
                </c:pt>
                <c:pt idx="46">
                  <c:v>48.391199999999998</c:v>
                </c:pt>
                <c:pt idx="47">
                  <c:v>48.7956</c:v>
                </c:pt>
                <c:pt idx="48">
                  <c:v>49.201700000000002</c:v>
                </c:pt>
                <c:pt idx="49">
                  <c:v>49.607999999999997</c:v>
                </c:pt>
                <c:pt idx="50">
                  <c:v>50.011200000000002</c:v>
                </c:pt>
                <c:pt idx="51">
                  <c:v>50.421500000000002</c:v>
                </c:pt>
                <c:pt idx="52">
                  <c:v>50.825800000000001</c:v>
                </c:pt>
                <c:pt idx="53">
                  <c:v>51.232399999999998</c:v>
                </c:pt>
                <c:pt idx="54">
                  <c:v>51.637500000000003</c:v>
                </c:pt>
                <c:pt idx="55">
                  <c:v>52.041899999999998</c:v>
                </c:pt>
                <c:pt idx="56">
                  <c:v>52.4497</c:v>
                </c:pt>
                <c:pt idx="57">
                  <c:v>52.857900000000001</c:v>
                </c:pt>
                <c:pt idx="58">
                  <c:v>53.265799999999999</c:v>
                </c:pt>
                <c:pt idx="59">
                  <c:v>53.669499999999999</c:v>
                </c:pt>
                <c:pt idx="60">
                  <c:v>54.071899999999999</c:v>
                </c:pt>
                <c:pt idx="61">
                  <c:v>54.481699999999996</c:v>
                </c:pt>
                <c:pt idx="62">
                  <c:v>54.889800000000001</c:v>
                </c:pt>
                <c:pt idx="63">
                  <c:v>55.2926</c:v>
                </c:pt>
                <c:pt idx="64">
                  <c:v>55.700200000000002</c:v>
                </c:pt>
                <c:pt idx="65">
                  <c:v>56.105800000000002</c:v>
                </c:pt>
                <c:pt idx="66">
                  <c:v>56.5122</c:v>
                </c:pt>
                <c:pt idx="67">
                  <c:v>56.9221</c:v>
                </c:pt>
                <c:pt idx="68">
                  <c:v>57.328299999999999</c:v>
                </c:pt>
                <c:pt idx="69">
                  <c:v>57.734200000000001</c:v>
                </c:pt>
                <c:pt idx="70">
                  <c:v>58.138300000000001</c:v>
                </c:pt>
                <c:pt idx="71">
                  <c:v>58.543100000000003</c:v>
                </c:pt>
                <c:pt idx="72">
                  <c:v>58.953499999999998</c:v>
                </c:pt>
                <c:pt idx="73">
                  <c:v>59.356499999999997</c:v>
                </c:pt>
                <c:pt idx="74">
                  <c:v>59.7637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3.2515699999999996</c:v>
                </c:pt>
                <c:pt idx="1">
                  <c:v>3.2519100000000001</c:v>
                </c:pt>
                <c:pt idx="2">
                  <c:v>3.2526699999999997</c:v>
                </c:pt>
                <c:pt idx="3">
                  <c:v>3.2538299999999998</c:v>
                </c:pt>
                <c:pt idx="4">
                  <c:v>3.2570399999999999</c:v>
                </c:pt>
                <c:pt idx="5">
                  <c:v>3.2627899999999999</c:v>
                </c:pt>
                <c:pt idx="6">
                  <c:v>3.2713900000000002</c:v>
                </c:pt>
                <c:pt idx="7">
                  <c:v>3.2804600000000002</c:v>
                </c:pt>
                <c:pt idx="8">
                  <c:v>3.2898500000000004</c:v>
                </c:pt>
                <c:pt idx="9">
                  <c:v>3.3012700000000001</c:v>
                </c:pt>
                <c:pt idx="10">
                  <c:v>3.31203</c:v>
                </c:pt>
                <c:pt idx="11">
                  <c:v>3.3204400000000001</c:v>
                </c:pt>
                <c:pt idx="12">
                  <c:v>3.3279399999999999</c:v>
                </c:pt>
                <c:pt idx="13">
                  <c:v>3.3344100000000001</c:v>
                </c:pt>
                <c:pt idx="14">
                  <c:v>3.3425400000000001</c:v>
                </c:pt>
                <c:pt idx="15">
                  <c:v>3.3513900000000003</c:v>
                </c:pt>
                <c:pt idx="16">
                  <c:v>3.3613599999999999</c:v>
                </c:pt>
                <c:pt idx="17">
                  <c:v>3.3729100000000001</c:v>
                </c:pt>
                <c:pt idx="18">
                  <c:v>3.38645</c:v>
                </c:pt>
                <c:pt idx="19">
                  <c:v>3.4022799999999997</c:v>
                </c:pt>
                <c:pt idx="20">
                  <c:v>3.4203299999999999</c:v>
                </c:pt>
                <c:pt idx="21">
                  <c:v>3.4375200000000001</c:v>
                </c:pt>
                <c:pt idx="22">
                  <c:v>3.4554600000000004</c:v>
                </c:pt>
                <c:pt idx="23">
                  <c:v>3.47255</c:v>
                </c:pt>
                <c:pt idx="24">
                  <c:v>3.4886200000000001</c:v>
                </c:pt>
                <c:pt idx="25">
                  <c:v>3.5036699999999996</c:v>
                </c:pt>
                <c:pt idx="26">
                  <c:v>3.5182600000000002</c:v>
                </c:pt>
                <c:pt idx="27">
                  <c:v>3.5324299999999997</c:v>
                </c:pt>
                <c:pt idx="28">
                  <c:v>3.54813</c:v>
                </c:pt>
                <c:pt idx="29">
                  <c:v>3.56751</c:v>
                </c:pt>
                <c:pt idx="30">
                  <c:v>3.5883099999999999</c:v>
                </c:pt>
                <c:pt idx="31">
                  <c:v>3.6076000000000001</c:v>
                </c:pt>
                <c:pt idx="32">
                  <c:v>3.62609</c:v>
                </c:pt>
                <c:pt idx="33">
                  <c:v>3.6432500000000001</c:v>
                </c:pt>
                <c:pt idx="34">
                  <c:v>3.6587499999999999</c:v>
                </c:pt>
                <c:pt idx="35">
                  <c:v>3.6705399999999999</c:v>
                </c:pt>
                <c:pt idx="36">
                  <c:v>3.6786000000000003</c:v>
                </c:pt>
                <c:pt idx="37">
                  <c:v>3.68323</c:v>
                </c:pt>
                <c:pt idx="38">
                  <c:v>3.6878600000000001</c:v>
                </c:pt>
                <c:pt idx="39">
                  <c:v>3.6897099999999998</c:v>
                </c:pt>
                <c:pt idx="40">
                  <c:v>3.6880299999999999</c:v>
                </c:pt>
                <c:pt idx="41">
                  <c:v>3.68771</c:v>
                </c:pt>
                <c:pt idx="42">
                  <c:v>3.68811</c:v>
                </c:pt>
                <c:pt idx="43">
                  <c:v>3.6879</c:v>
                </c:pt>
                <c:pt idx="44">
                  <c:v>3.68709</c:v>
                </c:pt>
                <c:pt idx="45">
                  <c:v>3.68255</c:v>
                </c:pt>
                <c:pt idx="46">
                  <c:v>3.67801</c:v>
                </c:pt>
                <c:pt idx="47">
                  <c:v>3.6727400000000001</c:v>
                </c:pt>
                <c:pt idx="48">
                  <c:v>3.6675499999999999</c:v>
                </c:pt>
                <c:pt idx="49">
                  <c:v>3.6629399999999999</c:v>
                </c:pt>
                <c:pt idx="50">
                  <c:v>3.6572399999999998</c:v>
                </c:pt>
                <c:pt idx="51">
                  <c:v>3.6574099999999996</c:v>
                </c:pt>
                <c:pt idx="52">
                  <c:v>3.6584899999999996</c:v>
                </c:pt>
                <c:pt idx="53">
                  <c:v>3.65842</c:v>
                </c:pt>
                <c:pt idx="54">
                  <c:v>3.6541399999999999</c:v>
                </c:pt>
                <c:pt idx="55">
                  <c:v>3.64635</c:v>
                </c:pt>
                <c:pt idx="56">
                  <c:v>3.6369899999999999</c:v>
                </c:pt>
                <c:pt idx="57">
                  <c:v>3.6254799999999996</c:v>
                </c:pt>
                <c:pt idx="58">
                  <c:v>3.6123799999999999</c:v>
                </c:pt>
                <c:pt idx="59">
                  <c:v>3.5981200000000002</c:v>
                </c:pt>
                <c:pt idx="60">
                  <c:v>3.5864699999999998</c:v>
                </c:pt>
                <c:pt idx="61">
                  <c:v>3.5789300000000002</c:v>
                </c:pt>
                <c:pt idx="62">
                  <c:v>3.5735899999999998</c:v>
                </c:pt>
                <c:pt idx="63">
                  <c:v>3.5640399999999999</c:v>
                </c:pt>
                <c:pt idx="64">
                  <c:v>3.5564800000000001</c:v>
                </c:pt>
                <c:pt idx="65">
                  <c:v>3.5530299999999997</c:v>
                </c:pt>
                <c:pt idx="66">
                  <c:v>3.5466199999999999</c:v>
                </c:pt>
                <c:pt idx="67">
                  <c:v>3.5390800000000002</c:v>
                </c:pt>
                <c:pt idx="68">
                  <c:v>3.5301900000000002</c:v>
                </c:pt>
                <c:pt idx="69">
                  <c:v>3.5154999999999998</c:v>
                </c:pt>
                <c:pt idx="70">
                  <c:v>3.5056799999999999</c:v>
                </c:pt>
                <c:pt idx="71">
                  <c:v>3.49505</c:v>
                </c:pt>
                <c:pt idx="72">
                  <c:v>3.4835199999999999</c:v>
                </c:pt>
                <c:pt idx="73">
                  <c:v>3.4721700000000002</c:v>
                </c:pt>
                <c:pt idx="74">
                  <c:v>3.45783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2.4634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2.4634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2.4634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2.4634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2.4634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2.4634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2.4634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2.4634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2.4634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2.4634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2.4634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2.4634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2.4634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2.4634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2.4634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2.4634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2.4634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2.4634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2.4634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2.4634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2.4634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2.4634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14.940925</c:v>
                </c:pt>
                <c:pt idx="1">
                  <c:v>44.822775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3.3997852702702702</c:v>
                </c:pt>
                <c:pt idx="1">
                  <c:v>3.5213136486486492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0.40443299999999999</c:v>
                </c:pt>
                <c:pt idx="2">
                  <c:v>0.81212099999999998</c:v>
                </c:pt>
                <c:pt idx="3">
                  <c:v>1.21818</c:v>
                </c:pt>
                <c:pt idx="4">
                  <c:v>1.6215200000000001</c:v>
                </c:pt>
                <c:pt idx="5">
                  <c:v>2.02623</c:v>
                </c:pt>
                <c:pt idx="6">
                  <c:v>2.4389799999999999</c:v>
                </c:pt>
                <c:pt idx="7">
                  <c:v>2.84063</c:v>
                </c:pt>
                <c:pt idx="8">
                  <c:v>3.2461700000000002</c:v>
                </c:pt>
                <c:pt idx="9">
                  <c:v>3.6535600000000001</c:v>
                </c:pt>
                <c:pt idx="10">
                  <c:v>4.0589700000000004</c:v>
                </c:pt>
                <c:pt idx="11">
                  <c:v>4.4672999999999998</c:v>
                </c:pt>
                <c:pt idx="12">
                  <c:v>4.8729800000000001</c:v>
                </c:pt>
                <c:pt idx="13">
                  <c:v>5.2779299999999996</c:v>
                </c:pt>
                <c:pt idx="14">
                  <c:v>5.6857699999999998</c:v>
                </c:pt>
                <c:pt idx="15">
                  <c:v>6.0896299999999997</c:v>
                </c:pt>
                <c:pt idx="16">
                  <c:v>6.49756</c:v>
                </c:pt>
                <c:pt idx="17">
                  <c:v>6.9041199999999998</c:v>
                </c:pt>
                <c:pt idx="18">
                  <c:v>7.3101500000000001</c:v>
                </c:pt>
                <c:pt idx="19">
                  <c:v>7.7198900000000004</c:v>
                </c:pt>
                <c:pt idx="20">
                  <c:v>8.1222100000000008</c:v>
                </c:pt>
                <c:pt idx="21">
                  <c:v>8.5299300000000002</c:v>
                </c:pt>
                <c:pt idx="22">
                  <c:v>8.9357299999999995</c:v>
                </c:pt>
                <c:pt idx="23">
                  <c:v>9.3417399999999997</c:v>
                </c:pt>
                <c:pt idx="24">
                  <c:v>9.7496100000000006</c:v>
                </c:pt>
                <c:pt idx="25">
                  <c:v>10.1547</c:v>
                </c:pt>
                <c:pt idx="26">
                  <c:v>10.5604</c:v>
                </c:pt>
                <c:pt idx="27">
                  <c:v>10.9657</c:v>
                </c:pt>
                <c:pt idx="28">
                  <c:v>11.3741</c:v>
                </c:pt>
                <c:pt idx="29">
                  <c:v>11.783300000000001</c:v>
                </c:pt>
                <c:pt idx="30">
                  <c:v>12.185700000000001</c:v>
                </c:pt>
                <c:pt idx="31">
                  <c:v>12.589700000000001</c:v>
                </c:pt>
                <c:pt idx="32">
                  <c:v>13.000500000000001</c:v>
                </c:pt>
                <c:pt idx="33">
                  <c:v>13.4048</c:v>
                </c:pt>
                <c:pt idx="34">
                  <c:v>13.8103</c:v>
                </c:pt>
                <c:pt idx="35">
                  <c:v>14.216100000000001</c:v>
                </c:pt>
                <c:pt idx="36">
                  <c:v>14.6211</c:v>
                </c:pt>
                <c:pt idx="37">
                  <c:v>15.029500000000001</c:v>
                </c:pt>
                <c:pt idx="38">
                  <c:v>15.439</c:v>
                </c:pt>
                <c:pt idx="39">
                  <c:v>15.8424</c:v>
                </c:pt>
                <c:pt idx="40">
                  <c:v>16.246600000000001</c:v>
                </c:pt>
                <c:pt idx="41">
                  <c:v>16.657</c:v>
                </c:pt>
                <c:pt idx="42">
                  <c:v>17.062100000000001</c:v>
                </c:pt>
                <c:pt idx="43">
                  <c:v>17.465299999999999</c:v>
                </c:pt>
                <c:pt idx="44">
                  <c:v>17.873100000000001</c:v>
                </c:pt>
                <c:pt idx="45">
                  <c:v>18.279199999999999</c:v>
                </c:pt>
                <c:pt idx="46">
                  <c:v>18.681999999999999</c:v>
                </c:pt>
                <c:pt idx="47">
                  <c:v>19.0932</c:v>
                </c:pt>
                <c:pt idx="48">
                  <c:v>19.498999999999999</c:v>
                </c:pt>
                <c:pt idx="49">
                  <c:v>19.904800000000002</c:v>
                </c:pt>
                <c:pt idx="50">
                  <c:v>20.309699999999999</c:v>
                </c:pt>
                <c:pt idx="51">
                  <c:v>20.7164</c:v>
                </c:pt>
                <c:pt idx="52">
                  <c:v>21.121200000000002</c:v>
                </c:pt>
                <c:pt idx="53">
                  <c:v>21.5303</c:v>
                </c:pt>
                <c:pt idx="54">
                  <c:v>21.9358</c:v>
                </c:pt>
                <c:pt idx="55">
                  <c:v>22.3398</c:v>
                </c:pt>
                <c:pt idx="56">
                  <c:v>22.748699999999999</c:v>
                </c:pt>
                <c:pt idx="57">
                  <c:v>23.156300000000002</c:v>
                </c:pt>
                <c:pt idx="58">
                  <c:v>23.561</c:v>
                </c:pt>
                <c:pt idx="59">
                  <c:v>23.968399999999999</c:v>
                </c:pt>
                <c:pt idx="60">
                  <c:v>24.374099999999999</c:v>
                </c:pt>
                <c:pt idx="61">
                  <c:v>24.776700000000002</c:v>
                </c:pt>
                <c:pt idx="62">
                  <c:v>25.1859</c:v>
                </c:pt>
                <c:pt idx="63">
                  <c:v>25.593499999999999</c:v>
                </c:pt>
                <c:pt idx="64">
                  <c:v>26.000499999999999</c:v>
                </c:pt>
                <c:pt idx="65">
                  <c:v>26.404399999999999</c:v>
                </c:pt>
                <c:pt idx="66">
                  <c:v>26.807099999999998</c:v>
                </c:pt>
                <c:pt idx="67">
                  <c:v>27.213200000000001</c:v>
                </c:pt>
                <c:pt idx="68">
                  <c:v>27.6249</c:v>
                </c:pt>
                <c:pt idx="69">
                  <c:v>28.030100000000001</c:v>
                </c:pt>
                <c:pt idx="70">
                  <c:v>28.4376</c:v>
                </c:pt>
                <c:pt idx="71">
                  <c:v>28.84</c:v>
                </c:pt>
                <c:pt idx="72">
                  <c:v>29.247499999999999</c:v>
                </c:pt>
                <c:pt idx="73">
                  <c:v>29.654399999999999</c:v>
                </c:pt>
                <c:pt idx="74">
                  <c:v>30.061599999999999</c:v>
                </c:pt>
                <c:pt idx="75">
                  <c:v>30.5273</c:v>
                </c:pt>
                <c:pt idx="76">
                  <c:v>30.935099999999998</c:v>
                </c:pt>
                <c:pt idx="77">
                  <c:v>31.339500000000001</c:v>
                </c:pt>
                <c:pt idx="78">
                  <c:v>31.7331</c:v>
                </c:pt>
                <c:pt idx="79">
                  <c:v>32.1372</c:v>
                </c:pt>
                <c:pt idx="80">
                  <c:v>32.541600000000003</c:v>
                </c:pt>
                <c:pt idx="81">
                  <c:v>32.950299999999999</c:v>
                </c:pt>
                <c:pt idx="82">
                  <c:v>33.356699999999996</c:v>
                </c:pt>
                <c:pt idx="83">
                  <c:v>33.7622</c:v>
                </c:pt>
                <c:pt idx="84">
                  <c:v>34.170999999999999</c:v>
                </c:pt>
                <c:pt idx="85">
                  <c:v>34.574800000000003</c:v>
                </c:pt>
                <c:pt idx="86">
                  <c:v>34.982100000000003</c:v>
                </c:pt>
                <c:pt idx="87">
                  <c:v>35.387799999999999</c:v>
                </c:pt>
                <c:pt idx="88">
                  <c:v>35.798099999999998</c:v>
                </c:pt>
                <c:pt idx="89">
                  <c:v>36.2029</c:v>
                </c:pt>
                <c:pt idx="90">
                  <c:v>36.607100000000003</c:v>
                </c:pt>
                <c:pt idx="91">
                  <c:v>37.011800000000001</c:v>
                </c:pt>
                <c:pt idx="92">
                  <c:v>37.418500000000002</c:v>
                </c:pt>
                <c:pt idx="93">
                  <c:v>37.824100000000001</c:v>
                </c:pt>
                <c:pt idx="94">
                  <c:v>38.2318</c:v>
                </c:pt>
                <c:pt idx="95">
                  <c:v>38.64</c:v>
                </c:pt>
                <c:pt idx="96">
                  <c:v>39.045200000000001</c:v>
                </c:pt>
                <c:pt idx="97">
                  <c:v>39.450499999999998</c:v>
                </c:pt>
                <c:pt idx="98">
                  <c:v>39.8566</c:v>
                </c:pt>
                <c:pt idx="99">
                  <c:v>40.263599999999997</c:v>
                </c:pt>
                <c:pt idx="100">
                  <c:v>40.669899999999998</c:v>
                </c:pt>
                <c:pt idx="101">
                  <c:v>41.077100000000002</c:v>
                </c:pt>
                <c:pt idx="102">
                  <c:v>41.484699999999997</c:v>
                </c:pt>
                <c:pt idx="103">
                  <c:v>41.888199999999998</c:v>
                </c:pt>
                <c:pt idx="104">
                  <c:v>42.294699999999999</c:v>
                </c:pt>
                <c:pt idx="105">
                  <c:v>42.702399999999997</c:v>
                </c:pt>
                <c:pt idx="106">
                  <c:v>43.108199999999997</c:v>
                </c:pt>
                <c:pt idx="107">
                  <c:v>43.5107</c:v>
                </c:pt>
                <c:pt idx="108">
                  <c:v>43.916899999999998</c:v>
                </c:pt>
                <c:pt idx="109">
                  <c:v>44.328299999999999</c:v>
                </c:pt>
                <c:pt idx="110">
                  <c:v>44.733400000000003</c:v>
                </c:pt>
                <c:pt idx="111">
                  <c:v>45.138100000000001</c:v>
                </c:pt>
                <c:pt idx="112">
                  <c:v>45.542900000000003</c:v>
                </c:pt>
                <c:pt idx="113">
                  <c:v>45.951300000000003</c:v>
                </c:pt>
                <c:pt idx="114">
                  <c:v>46.355699999999999</c:v>
                </c:pt>
                <c:pt idx="115">
                  <c:v>46.763399999999997</c:v>
                </c:pt>
                <c:pt idx="116">
                  <c:v>47.1691</c:v>
                </c:pt>
                <c:pt idx="117">
                  <c:v>47.574800000000003</c:v>
                </c:pt>
                <c:pt idx="118">
                  <c:v>47.983499999999999</c:v>
                </c:pt>
                <c:pt idx="119">
                  <c:v>48.391199999999998</c:v>
                </c:pt>
                <c:pt idx="120">
                  <c:v>48.7956</c:v>
                </c:pt>
                <c:pt idx="121">
                  <c:v>49.201700000000002</c:v>
                </c:pt>
                <c:pt idx="122">
                  <c:v>49.607999999999997</c:v>
                </c:pt>
                <c:pt idx="123">
                  <c:v>50.011200000000002</c:v>
                </c:pt>
                <c:pt idx="124">
                  <c:v>50.421500000000002</c:v>
                </c:pt>
                <c:pt idx="125">
                  <c:v>50.825800000000001</c:v>
                </c:pt>
                <c:pt idx="126">
                  <c:v>51.232399999999998</c:v>
                </c:pt>
                <c:pt idx="127">
                  <c:v>51.637500000000003</c:v>
                </c:pt>
                <c:pt idx="128">
                  <c:v>52.041899999999998</c:v>
                </c:pt>
                <c:pt idx="129">
                  <c:v>52.4497</c:v>
                </c:pt>
                <c:pt idx="130">
                  <c:v>52.857900000000001</c:v>
                </c:pt>
                <c:pt idx="131">
                  <c:v>53.265799999999999</c:v>
                </c:pt>
                <c:pt idx="132">
                  <c:v>53.669499999999999</c:v>
                </c:pt>
                <c:pt idx="133">
                  <c:v>54.071899999999999</c:v>
                </c:pt>
                <c:pt idx="134">
                  <c:v>54.481699999999996</c:v>
                </c:pt>
                <c:pt idx="135">
                  <c:v>54.889800000000001</c:v>
                </c:pt>
                <c:pt idx="136">
                  <c:v>55.2926</c:v>
                </c:pt>
                <c:pt idx="137">
                  <c:v>55.700200000000002</c:v>
                </c:pt>
                <c:pt idx="138">
                  <c:v>56.105800000000002</c:v>
                </c:pt>
                <c:pt idx="139">
                  <c:v>56.5122</c:v>
                </c:pt>
                <c:pt idx="140">
                  <c:v>56.9221</c:v>
                </c:pt>
                <c:pt idx="141">
                  <c:v>57.328299999999999</c:v>
                </c:pt>
                <c:pt idx="142">
                  <c:v>57.734200000000001</c:v>
                </c:pt>
                <c:pt idx="143">
                  <c:v>58.138300000000001</c:v>
                </c:pt>
                <c:pt idx="144">
                  <c:v>58.543100000000003</c:v>
                </c:pt>
                <c:pt idx="145">
                  <c:v>58.953499999999998</c:v>
                </c:pt>
                <c:pt idx="146">
                  <c:v>59.356499999999997</c:v>
                </c:pt>
                <c:pt idx="147">
                  <c:v>59.7637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52.355600000000003</c:v>
                </c:pt>
                <c:pt idx="1">
                  <c:v>51.228700000000003</c:v>
                </c:pt>
                <c:pt idx="2">
                  <c:v>50.038499999999999</c:v>
                </c:pt>
                <c:pt idx="3">
                  <c:v>48.731200000000001</c:v>
                </c:pt>
                <c:pt idx="4">
                  <c:v>47.448599999999999</c:v>
                </c:pt>
                <c:pt idx="5">
                  <c:v>46.2</c:v>
                </c:pt>
                <c:pt idx="6">
                  <c:v>44.992900000000006</c:v>
                </c:pt>
                <c:pt idx="7">
                  <c:v>43.777000000000001</c:v>
                </c:pt>
                <c:pt idx="8">
                  <c:v>42.534700000000001</c:v>
                </c:pt>
                <c:pt idx="9">
                  <c:v>41.429300000000005</c:v>
                </c:pt>
                <c:pt idx="10">
                  <c:v>40.4223</c:v>
                </c:pt>
                <c:pt idx="11">
                  <c:v>39.605400000000003</c:v>
                </c:pt>
                <c:pt idx="12">
                  <c:v>38.892700000000005</c:v>
                </c:pt>
                <c:pt idx="13">
                  <c:v>38.217700000000001</c:v>
                </c:pt>
                <c:pt idx="14">
                  <c:v>37.525999999999996</c:v>
                </c:pt>
                <c:pt idx="15">
                  <c:v>36.842300000000002</c:v>
                </c:pt>
                <c:pt idx="16">
                  <c:v>36.141600000000004</c:v>
                </c:pt>
                <c:pt idx="17">
                  <c:v>35.542299999999997</c:v>
                </c:pt>
                <c:pt idx="18">
                  <c:v>35.052299999999995</c:v>
                </c:pt>
                <c:pt idx="19">
                  <c:v>34.643599999999999</c:v>
                </c:pt>
                <c:pt idx="20">
                  <c:v>34.3215</c:v>
                </c:pt>
                <c:pt idx="21">
                  <c:v>34.043399999999998</c:v>
                </c:pt>
                <c:pt idx="22">
                  <c:v>33.7577</c:v>
                </c:pt>
                <c:pt idx="23">
                  <c:v>33.496600000000001</c:v>
                </c:pt>
                <c:pt idx="24">
                  <c:v>33.222499999999997</c:v>
                </c:pt>
                <c:pt idx="25">
                  <c:v>32.985500000000002</c:v>
                </c:pt>
                <c:pt idx="26">
                  <c:v>32.786500000000004</c:v>
                </c:pt>
                <c:pt idx="27">
                  <c:v>32.573399999999999</c:v>
                </c:pt>
                <c:pt idx="28">
                  <c:v>32.391500000000001</c:v>
                </c:pt>
                <c:pt idx="29">
                  <c:v>32.252199999999995</c:v>
                </c:pt>
                <c:pt idx="30">
                  <c:v>32.164500000000004</c:v>
                </c:pt>
                <c:pt idx="31">
                  <c:v>32.1492</c:v>
                </c:pt>
                <c:pt idx="32">
                  <c:v>32.181699999999999</c:v>
                </c:pt>
                <c:pt idx="33">
                  <c:v>32.302799999999998</c:v>
                </c:pt>
                <c:pt idx="34">
                  <c:v>32.462299999999999</c:v>
                </c:pt>
                <c:pt idx="35">
                  <c:v>32.664999999999999</c:v>
                </c:pt>
                <c:pt idx="36">
                  <c:v>32.8643</c:v>
                </c:pt>
                <c:pt idx="37">
                  <c:v>33.046100000000003</c:v>
                </c:pt>
                <c:pt idx="38">
                  <c:v>33.264800000000001</c:v>
                </c:pt>
                <c:pt idx="39">
                  <c:v>33.448899999999995</c:v>
                </c:pt>
                <c:pt idx="40">
                  <c:v>33.704699999999995</c:v>
                </c:pt>
                <c:pt idx="41">
                  <c:v>33.978000000000002</c:v>
                </c:pt>
                <c:pt idx="42">
                  <c:v>34.243600000000001</c:v>
                </c:pt>
                <c:pt idx="43">
                  <c:v>34.438499999999998</c:v>
                </c:pt>
                <c:pt idx="44">
                  <c:v>34.533900000000003</c:v>
                </c:pt>
                <c:pt idx="45">
                  <c:v>34.526699999999998</c:v>
                </c:pt>
                <c:pt idx="46">
                  <c:v>34.449800000000003</c:v>
                </c:pt>
                <c:pt idx="47">
                  <c:v>34.384100000000004</c:v>
                </c:pt>
                <c:pt idx="48">
                  <c:v>34.266999999999996</c:v>
                </c:pt>
                <c:pt idx="49">
                  <c:v>34.125299999999996</c:v>
                </c:pt>
                <c:pt idx="50">
                  <c:v>34.037599999999998</c:v>
                </c:pt>
                <c:pt idx="51">
                  <c:v>33.803899999999999</c:v>
                </c:pt>
                <c:pt idx="52">
                  <c:v>33.580399999999997</c:v>
                </c:pt>
                <c:pt idx="53">
                  <c:v>33.3095</c:v>
                </c:pt>
                <c:pt idx="54">
                  <c:v>33.289699999999996</c:v>
                </c:pt>
                <c:pt idx="55">
                  <c:v>33.247399999999999</c:v>
                </c:pt>
                <c:pt idx="56">
                  <c:v>33.144600000000004</c:v>
                </c:pt>
                <c:pt idx="57">
                  <c:v>33.134500000000003</c:v>
                </c:pt>
                <c:pt idx="58">
                  <c:v>33.008800000000001</c:v>
                </c:pt>
                <c:pt idx="59">
                  <c:v>32.786200000000001</c:v>
                </c:pt>
                <c:pt idx="60">
                  <c:v>32.691099999999999</c:v>
                </c:pt>
                <c:pt idx="61">
                  <c:v>32.5961</c:v>
                </c:pt>
                <c:pt idx="62">
                  <c:v>32.753900000000002</c:v>
                </c:pt>
                <c:pt idx="63">
                  <c:v>32.908200000000001</c:v>
                </c:pt>
                <c:pt idx="64">
                  <c:v>33.128099999999996</c:v>
                </c:pt>
                <c:pt idx="65">
                  <c:v>33.352800000000002</c:v>
                </c:pt>
                <c:pt idx="66">
                  <c:v>33.407599999999995</c:v>
                </c:pt>
                <c:pt idx="67">
                  <c:v>33.622</c:v>
                </c:pt>
                <c:pt idx="68">
                  <c:v>34.070299999999996</c:v>
                </c:pt>
                <c:pt idx="69">
                  <c:v>34.391199999999998</c:v>
                </c:pt>
                <c:pt idx="70">
                  <c:v>34.775800000000004</c:v>
                </c:pt>
                <c:pt idx="71">
                  <c:v>35.041800000000002</c:v>
                </c:pt>
                <c:pt idx="72">
                  <c:v>35.6188</c:v>
                </c:pt>
                <c:pt idx="73">
                  <c:v>35.961500000000001</c:v>
                </c:pt>
                <c:pt idx="74">
                  <c:v>36.591200000000001</c:v>
                </c:pt>
                <c:pt idx="75">
                  <c:v>37.155500000000004</c:v>
                </c:pt>
                <c:pt idx="76">
                  <c:v>37.737400000000001</c:v>
                </c:pt>
                <c:pt idx="77">
                  <c:v>38.303100000000001</c:v>
                </c:pt>
                <c:pt idx="78">
                  <c:v>38.7712</c:v>
                </c:pt>
                <c:pt idx="79">
                  <c:v>39.159799999999997</c:v>
                </c:pt>
                <c:pt idx="80">
                  <c:v>39.528400000000005</c:v>
                </c:pt>
                <c:pt idx="81">
                  <c:v>39.884500000000003</c:v>
                </c:pt>
                <c:pt idx="82">
                  <c:v>40.186899999999994</c:v>
                </c:pt>
                <c:pt idx="83">
                  <c:v>40.494400000000006</c:v>
                </c:pt>
                <c:pt idx="84">
                  <c:v>40.758499999999998</c:v>
                </c:pt>
                <c:pt idx="85">
                  <c:v>40.920400000000001</c:v>
                </c:pt>
                <c:pt idx="86">
                  <c:v>40.957700000000003</c:v>
                </c:pt>
                <c:pt idx="87">
                  <c:v>40.7911</c:v>
                </c:pt>
                <c:pt idx="88">
                  <c:v>40.475100000000005</c:v>
                </c:pt>
                <c:pt idx="89">
                  <c:v>40.176899999999996</c:v>
                </c:pt>
                <c:pt idx="90">
                  <c:v>39.801199999999994</c:v>
                </c:pt>
                <c:pt idx="91">
                  <c:v>39.357799999999997</c:v>
                </c:pt>
                <c:pt idx="92">
                  <c:v>38.878099999999996</c:v>
                </c:pt>
                <c:pt idx="93">
                  <c:v>38.350200000000001</c:v>
                </c:pt>
                <c:pt idx="94">
                  <c:v>37.880299999999998</c:v>
                </c:pt>
                <c:pt idx="95">
                  <c:v>37.433</c:v>
                </c:pt>
                <c:pt idx="96">
                  <c:v>36.981000000000002</c:v>
                </c:pt>
                <c:pt idx="97">
                  <c:v>36.623099999999994</c:v>
                </c:pt>
                <c:pt idx="98">
                  <c:v>36.2879</c:v>
                </c:pt>
                <c:pt idx="99">
                  <c:v>35.947200000000002</c:v>
                </c:pt>
                <c:pt idx="100">
                  <c:v>35.610100000000003</c:v>
                </c:pt>
                <c:pt idx="101">
                  <c:v>35.298999999999999</c:v>
                </c:pt>
                <c:pt idx="102">
                  <c:v>34.951599999999999</c:v>
                </c:pt>
                <c:pt idx="103">
                  <c:v>34.595700000000001</c:v>
                </c:pt>
                <c:pt idx="104">
                  <c:v>34.229900000000001</c:v>
                </c:pt>
                <c:pt idx="105">
                  <c:v>33.883400000000002</c:v>
                </c:pt>
                <c:pt idx="106">
                  <c:v>33.549099999999996</c:v>
                </c:pt>
                <c:pt idx="107">
                  <c:v>33.262900000000002</c:v>
                </c:pt>
                <c:pt idx="108">
                  <c:v>33.044499999999999</c:v>
                </c:pt>
                <c:pt idx="109">
                  <c:v>32.868299999999998</c:v>
                </c:pt>
                <c:pt idx="110">
                  <c:v>32.6663</c:v>
                </c:pt>
                <c:pt idx="111">
                  <c:v>32.406100000000002</c:v>
                </c:pt>
                <c:pt idx="112">
                  <c:v>32.205399999999997</c:v>
                </c:pt>
                <c:pt idx="113">
                  <c:v>32.026700000000005</c:v>
                </c:pt>
                <c:pt idx="114">
                  <c:v>31.735000000000003</c:v>
                </c:pt>
                <c:pt idx="115">
                  <c:v>31.449300000000001</c:v>
                </c:pt>
                <c:pt idx="116">
                  <c:v>31.145199999999999</c:v>
                </c:pt>
                <c:pt idx="117">
                  <c:v>30.820499999999999</c:v>
                </c:pt>
                <c:pt idx="118">
                  <c:v>30.492899999999999</c:v>
                </c:pt>
                <c:pt idx="119">
                  <c:v>30.042799999999996</c:v>
                </c:pt>
                <c:pt idx="120">
                  <c:v>29.543999999999997</c:v>
                </c:pt>
                <c:pt idx="121">
                  <c:v>29.056999999999999</c:v>
                </c:pt>
                <c:pt idx="122">
                  <c:v>28.5093</c:v>
                </c:pt>
                <c:pt idx="123">
                  <c:v>27.949800000000003</c:v>
                </c:pt>
                <c:pt idx="124">
                  <c:v>27.721800000000002</c:v>
                </c:pt>
                <c:pt idx="125">
                  <c:v>27.4588</c:v>
                </c:pt>
                <c:pt idx="126">
                  <c:v>27.173999999999999</c:v>
                </c:pt>
                <c:pt idx="127">
                  <c:v>26.8949</c:v>
                </c:pt>
                <c:pt idx="128">
                  <c:v>26.6295</c:v>
                </c:pt>
                <c:pt idx="129">
                  <c:v>26.356800000000003</c:v>
                </c:pt>
                <c:pt idx="130">
                  <c:v>26.060400000000001</c:v>
                </c:pt>
                <c:pt idx="131">
                  <c:v>25.740600000000001</c:v>
                </c:pt>
                <c:pt idx="132">
                  <c:v>25.363599999999998</c:v>
                </c:pt>
                <c:pt idx="133">
                  <c:v>24.8644</c:v>
                </c:pt>
                <c:pt idx="134">
                  <c:v>24.286799999999999</c:v>
                </c:pt>
                <c:pt idx="135">
                  <c:v>23.7105</c:v>
                </c:pt>
                <c:pt idx="136">
                  <c:v>23.227</c:v>
                </c:pt>
                <c:pt idx="137">
                  <c:v>22.647200000000002</c:v>
                </c:pt>
                <c:pt idx="138">
                  <c:v>21.9754</c:v>
                </c:pt>
                <c:pt idx="139">
                  <c:v>21.435600000000001</c:v>
                </c:pt>
                <c:pt idx="140">
                  <c:v>20.878499999999999</c:v>
                </c:pt>
                <c:pt idx="141">
                  <c:v>20.3262</c:v>
                </c:pt>
                <c:pt idx="142">
                  <c:v>19.790700000000001</c:v>
                </c:pt>
                <c:pt idx="143">
                  <c:v>19.2484</c:v>
                </c:pt>
                <c:pt idx="144">
                  <c:v>19.084200000000003</c:v>
                </c:pt>
                <c:pt idx="145">
                  <c:v>19.1997</c:v>
                </c:pt>
                <c:pt idx="146">
                  <c:v>19.194199999999999</c:v>
                </c:pt>
                <c:pt idx="147">
                  <c:v>19.1858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0.40443299999999999</c:v>
                </c:pt>
                <c:pt idx="2">
                  <c:v>0.81212099999999998</c:v>
                </c:pt>
                <c:pt idx="3">
                  <c:v>1.21818</c:v>
                </c:pt>
                <c:pt idx="4">
                  <c:v>1.6215200000000001</c:v>
                </c:pt>
                <c:pt idx="5">
                  <c:v>2.02623</c:v>
                </c:pt>
                <c:pt idx="6">
                  <c:v>2.4389799999999999</c:v>
                </c:pt>
                <c:pt idx="7">
                  <c:v>2.84063</c:v>
                </c:pt>
                <c:pt idx="8">
                  <c:v>3.2461700000000002</c:v>
                </c:pt>
                <c:pt idx="9">
                  <c:v>3.6535600000000001</c:v>
                </c:pt>
                <c:pt idx="10">
                  <c:v>4.0589700000000004</c:v>
                </c:pt>
                <c:pt idx="11">
                  <c:v>4.4672999999999998</c:v>
                </c:pt>
                <c:pt idx="12">
                  <c:v>4.8729800000000001</c:v>
                </c:pt>
                <c:pt idx="13">
                  <c:v>5.2779299999999996</c:v>
                </c:pt>
                <c:pt idx="14">
                  <c:v>5.6857699999999998</c:v>
                </c:pt>
                <c:pt idx="15">
                  <c:v>6.0896299999999997</c:v>
                </c:pt>
                <c:pt idx="16">
                  <c:v>6.49756</c:v>
                </c:pt>
                <c:pt idx="17">
                  <c:v>6.9041199999999998</c:v>
                </c:pt>
                <c:pt idx="18">
                  <c:v>7.3101500000000001</c:v>
                </c:pt>
                <c:pt idx="19">
                  <c:v>7.7198900000000004</c:v>
                </c:pt>
                <c:pt idx="20">
                  <c:v>8.1222100000000008</c:v>
                </c:pt>
                <c:pt idx="21">
                  <c:v>8.5299300000000002</c:v>
                </c:pt>
                <c:pt idx="22">
                  <c:v>8.9357299999999995</c:v>
                </c:pt>
                <c:pt idx="23">
                  <c:v>9.3417399999999997</c:v>
                </c:pt>
                <c:pt idx="24">
                  <c:v>9.7496100000000006</c:v>
                </c:pt>
                <c:pt idx="25">
                  <c:v>10.1547</c:v>
                </c:pt>
                <c:pt idx="26">
                  <c:v>10.5604</c:v>
                </c:pt>
                <c:pt idx="27">
                  <c:v>10.9657</c:v>
                </c:pt>
                <c:pt idx="28">
                  <c:v>11.3741</c:v>
                </c:pt>
                <c:pt idx="29">
                  <c:v>11.783300000000001</c:v>
                </c:pt>
                <c:pt idx="30">
                  <c:v>12.185700000000001</c:v>
                </c:pt>
                <c:pt idx="31">
                  <c:v>12.589700000000001</c:v>
                </c:pt>
                <c:pt idx="32">
                  <c:v>13.000500000000001</c:v>
                </c:pt>
                <c:pt idx="33">
                  <c:v>13.4048</c:v>
                </c:pt>
                <c:pt idx="34">
                  <c:v>13.8103</c:v>
                </c:pt>
                <c:pt idx="35">
                  <c:v>14.216100000000001</c:v>
                </c:pt>
                <c:pt idx="36">
                  <c:v>14.6211</c:v>
                </c:pt>
                <c:pt idx="37">
                  <c:v>15.029500000000001</c:v>
                </c:pt>
                <c:pt idx="38">
                  <c:v>15.439</c:v>
                </c:pt>
                <c:pt idx="39">
                  <c:v>15.8424</c:v>
                </c:pt>
                <c:pt idx="40">
                  <c:v>16.246600000000001</c:v>
                </c:pt>
                <c:pt idx="41">
                  <c:v>16.657</c:v>
                </c:pt>
                <c:pt idx="42">
                  <c:v>17.062100000000001</c:v>
                </c:pt>
                <c:pt idx="43">
                  <c:v>17.465299999999999</c:v>
                </c:pt>
                <c:pt idx="44">
                  <c:v>17.873100000000001</c:v>
                </c:pt>
                <c:pt idx="45">
                  <c:v>18.279199999999999</c:v>
                </c:pt>
                <c:pt idx="46">
                  <c:v>18.681999999999999</c:v>
                </c:pt>
                <c:pt idx="47">
                  <c:v>19.0932</c:v>
                </c:pt>
                <c:pt idx="48">
                  <c:v>19.498999999999999</c:v>
                </c:pt>
                <c:pt idx="49">
                  <c:v>19.904800000000002</c:v>
                </c:pt>
                <c:pt idx="50">
                  <c:v>20.309699999999999</c:v>
                </c:pt>
                <c:pt idx="51">
                  <c:v>20.7164</c:v>
                </c:pt>
                <c:pt idx="52">
                  <c:v>21.121200000000002</c:v>
                </c:pt>
                <c:pt idx="53">
                  <c:v>21.5303</c:v>
                </c:pt>
                <c:pt idx="54">
                  <c:v>21.9358</c:v>
                </c:pt>
                <c:pt idx="55">
                  <c:v>22.3398</c:v>
                </c:pt>
                <c:pt idx="56">
                  <c:v>22.748699999999999</c:v>
                </c:pt>
                <c:pt idx="57">
                  <c:v>23.156300000000002</c:v>
                </c:pt>
                <c:pt idx="58">
                  <c:v>23.561</c:v>
                </c:pt>
                <c:pt idx="59">
                  <c:v>23.968399999999999</c:v>
                </c:pt>
                <c:pt idx="60">
                  <c:v>24.374099999999999</c:v>
                </c:pt>
                <c:pt idx="61">
                  <c:v>24.776700000000002</c:v>
                </c:pt>
                <c:pt idx="62">
                  <c:v>25.1859</c:v>
                </c:pt>
                <c:pt idx="63">
                  <c:v>25.593499999999999</c:v>
                </c:pt>
                <c:pt idx="64">
                  <c:v>26.000499999999999</c:v>
                </c:pt>
                <c:pt idx="65">
                  <c:v>26.404399999999999</c:v>
                </c:pt>
                <c:pt idx="66">
                  <c:v>26.807099999999998</c:v>
                </c:pt>
                <c:pt idx="67">
                  <c:v>27.213200000000001</c:v>
                </c:pt>
                <c:pt idx="68">
                  <c:v>27.6249</c:v>
                </c:pt>
                <c:pt idx="69">
                  <c:v>28.030100000000001</c:v>
                </c:pt>
                <c:pt idx="70">
                  <c:v>28.4376</c:v>
                </c:pt>
                <c:pt idx="71">
                  <c:v>28.84</c:v>
                </c:pt>
                <c:pt idx="72">
                  <c:v>29.247499999999999</c:v>
                </c:pt>
                <c:pt idx="73">
                  <c:v>29.654399999999999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52.355600000000003</c:v>
                </c:pt>
                <c:pt idx="1">
                  <c:v>51.228700000000003</c:v>
                </c:pt>
                <c:pt idx="2">
                  <c:v>50.038499999999999</c:v>
                </c:pt>
                <c:pt idx="3">
                  <c:v>48.731200000000001</c:v>
                </c:pt>
                <c:pt idx="4">
                  <c:v>47.448599999999999</c:v>
                </c:pt>
                <c:pt idx="5">
                  <c:v>46.2</c:v>
                </c:pt>
                <c:pt idx="6">
                  <c:v>44.992900000000006</c:v>
                </c:pt>
                <c:pt idx="7">
                  <c:v>43.777000000000001</c:v>
                </c:pt>
                <c:pt idx="8">
                  <c:v>42.534700000000001</c:v>
                </c:pt>
                <c:pt idx="9">
                  <c:v>41.429300000000005</c:v>
                </c:pt>
                <c:pt idx="10">
                  <c:v>40.4223</c:v>
                </c:pt>
                <c:pt idx="11">
                  <c:v>39.605400000000003</c:v>
                </c:pt>
                <c:pt idx="12">
                  <c:v>38.892700000000005</c:v>
                </c:pt>
                <c:pt idx="13">
                  <c:v>38.217700000000001</c:v>
                </c:pt>
                <c:pt idx="14">
                  <c:v>37.525999999999996</c:v>
                </c:pt>
                <c:pt idx="15">
                  <c:v>36.842300000000002</c:v>
                </c:pt>
                <c:pt idx="16">
                  <c:v>36.141600000000004</c:v>
                </c:pt>
                <c:pt idx="17">
                  <c:v>35.542299999999997</c:v>
                </c:pt>
                <c:pt idx="18">
                  <c:v>35.052299999999995</c:v>
                </c:pt>
                <c:pt idx="19">
                  <c:v>34.643599999999999</c:v>
                </c:pt>
                <c:pt idx="20">
                  <c:v>34.3215</c:v>
                </c:pt>
                <c:pt idx="21">
                  <c:v>34.043399999999998</c:v>
                </c:pt>
                <c:pt idx="22">
                  <c:v>33.7577</c:v>
                </c:pt>
                <c:pt idx="23">
                  <c:v>33.496600000000001</c:v>
                </c:pt>
                <c:pt idx="24">
                  <c:v>33.222499999999997</c:v>
                </c:pt>
                <c:pt idx="25">
                  <c:v>32.985500000000002</c:v>
                </c:pt>
                <c:pt idx="26">
                  <c:v>32.786500000000004</c:v>
                </c:pt>
                <c:pt idx="27">
                  <c:v>32.573399999999999</c:v>
                </c:pt>
                <c:pt idx="28">
                  <c:v>32.391500000000001</c:v>
                </c:pt>
                <c:pt idx="29">
                  <c:v>32.252199999999995</c:v>
                </c:pt>
                <c:pt idx="30">
                  <c:v>32.164500000000004</c:v>
                </c:pt>
                <c:pt idx="31">
                  <c:v>32.1492</c:v>
                </c:pt>
                <c:pt idx="32">
                  <c:v>32.181699999999999</c:v>
                </c:pt>
                <c:pt idx="33">
                  <c:v>32.302799999999998</c:v>
                </c:pt>
                <c:pt idx="34">
                  <c:v>32.462299999999999</c:v>
                </c:pt>
                <c:pt idx="35">
                  <c:v>32.664999999999999</c:v>
                </c:pt>
                <c:pt idx="36">
                  <c:v>32.8643</c:v>
                </c:pt>
                <c:pt idx="37">
                  <c:v>33.046100000000003</c:v>
                </c:pt>
                <c:pt idx="38">
                  <c:v>33.264800000000001</c:v>
                </c:pt>
                <c:pt idx="39">
                  <c:v>33.448899999999995</c:v>
                </c:pt>
                <c:pt idx="40">
                  <c:v>33.704699999999995</c:v>
                </c:pt>
                <c:pt idx="41">
                  <c:v>33.978000000000002</c:v>
                </c:pt>
                <c:pt idx="42">
                  <c:v>34.243600000000001</c:v>
                </c:pt>
                <c:pt idx="43">
                  <c:v>34.438499999999998</c:v>
                </c:pt>
                <c:pt idx="44">
                  <c:v>34.533900000000003</c:v>
                </c:pt>
                <c:pt idx="45">
                  <c:v>34.526699999999998</c:v>
                </c:pt>
                <c:pt idx="46">
                  <c:v>34.449800000000003</c:v>
                </c:pt>
                <c:pt idx="47">
                  <c:v>34.384100000000004</c:v>
                </c:pt>
                <c:pt idx="48">
                  <c:v>34.266999999999996</c:v>
                </c:pt>
                <c:pt idx="49">
                  <c:v>34.125299999999996</c:v>
                </c:pt>
                <c:pt idx="50">
                  <c:v>34.037599999999998</c:v>
                </c:pt>
                <c:pt idx="51">
                  <c:v>33.803899999999999</c:v>
                </c:pt>
                <c:pt idx="52">
                  <c:v>33.580399999999997</c:v>
                </c:pt>
                <c:pt idx="53">
                  <c:v>33.3095</c:v>
                </c:pt>
                <c:pt idx="54">
                  <c:v>33.289699999999996</c:v>
                </c:pt>
                <c:pt idx="55">
                  <c:v>33.247399999999999</c:v>
                </c:pt>
                <c:pt idx="56">
                  <c:v>33.144600000000004</c:v>
                </c:pt>
                <c:pt idx="57">
                  <c:v>33.134500000000003</c:v>
                </c:pt>
                <c:pt idx="58">
                  <c:v>33.008800000000001</c:v>
                </c:pt>
                <c:pt idx="59">
                  <c:v>32.786200000000001</c:v>
                </c:pt>
                <c:pt idx="60">
                  <c:v>32.691099999999999</c:v>
                </c:pt>
                <c:pt idx="61">
                  <c:v>32.5961</c:v>
                </c:pt>
                <c:pt idx="62">
                  <c:v>32.753900000000002</c:v>
                </c:pt>
                <c:pt idx="63">
                  <c:v>32.908200000000001</c:v>
                </c:pt>
                <c:pt idx="64">
                  <c:v>33.128099999999996</c:v>
                </c:pt>
                <c:pt idx="65">
                  <c:v>33.352800000000002</c:v>
                </c:pt>
                <c:pt idx="66">
                  <c:v>33.407599999999995</c:v>
                </c:pt>
                <c:pt idx="67">
                  <c:v>33.622</c:v>
                </c:pt>
                <c:pt idx="68">
                  <c:v>34.070299999999996</c:v>
                </c:pt>
                <c:pt idx="69">
                  <c:v>34.391199999999998</c:v>
                </c:pt>
                <c:pt idx="70">
                  <c:v>34.775800000000004</c:v>
                </c:pt>
                <c:pt idx="71">
                  <c:v>35.041800000000002</c:v>
                </c:pt>
                <c:pt idx="72">
                  <c:v>35.6188</c:v>
                </c:pt>
                <c:pt idx="73">
                  <c:v>35.961500000000001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29.654399999999999</c:v>
                </c:pt>
                <c:pt idx="1">
                  <c:v>30.061599999999999</c:v>
                </c:pt>
                <c:pt idx="2">
                  <c:v>30.5273</c:v>
                </c:pt>
                <c:pt idx="3">
                  <c:v>30.935099999999998</c:v>
                </c:pt>
                <c:pt idx="4">
                  <c:v>31.339500000000001</c:v>
                </c:pt>
                <c:pt idx="5">
                  <c:v>31.7331</c:v>
                </c:pt>
                <c:pt idx="6">
                  <c:v>32.1372</c:v>
                </c:pt>
                <c:pt idx="7">
                  <c:v>32.541600000000003</c:v>
                </c:pt>
                <c:pt idx="8">
                  <c:v>32.950299999999999</c:v>
                </c:pt>
                <c:pt idx="9">
                  <c:v>33.356699999999996</c:v>
                </c:pt>
                <c:pt idx="10">
                  <c:v>33.7622</c:v>
                </c:pt>
                <c:pt idx="11">
                  <c:v>34.170999999999999</c:v>
                </c:pt>
                <c:pt idx="12">
                  <c:v>34.574800000000003</c:v>
                </c:pt>
                <c:pt idx="13">
                  <c:v>34.982100000000003</c:v>
                </c:pt>
                <c:pt idx="14">
                  <c:v>35.387799999999999</c:v>
                </c:pt>
                <c:pt idx="15">
                  <c:v>35.798099999999998</c:v>
                </c:pt>
                <c:pt idx="16">
                  <c:v>36.2029</c:v>
                </c:pt>
                <c:pt idx="17">
                  <c:v>36.607100000000003</c:v>
                </c:pt>
                <c:pt idx="18">
                  <c:v>37.011800000000001</c:v>
                </c:pt>
                <c:pt idx="19">
                  <c:v>37.418500000000002</c:v>
                </c:pt>
                <c:pt idx="20">
                  <c:v>37.824100000000001</c:v>
                </c:pt>
                <c:pt idx="21">
                  <c:v>38.2318</c:v>
                </c:pt>
                <c:pt idx="22">
                  <c:v>38.64</c:v>
                </c:pt>
                <c:pt idx="23">
                  <c:v>39.045200000000001</c:v>
                </c:pt>
                <c:pt idx="24">
                  <c:v>39.450499999999998</c:v>
                </c:pt>
                <c:pt idx="25">
                  <c:v>39.8566</c:v>
                </c:pt>
                <c:pt idx="26">
                  <c:v>40.263599999999997</c:v>
                </c:pt>
                <c:pt idx="27">
                  <c:v>40.669899999999998</c:v>
                </c:pt>
                <c:pt idx="28">
                  <c:v>41.077100000000002</c:v>
                </c:pt>
                <c:pt idx="29">
                  <c:v>41.484699999999997</c:v>
                </c:pt>
                <c:pt idx="30">
                  <c:v>41.888199999999998</c:v>
                </c:pt>
                <c:pt idx="31">
                  <c:v>42.294699999999999</c:v>
                </c:pt>
                <c:pt idx="32">
                  <c:v>42.702399999999997</c:v>
                </c:pt>
                <c:pt idx="33">
                  <c:v>43.108199999999997</c:v>
                </c:pt>
                <c:pt idx="34">
                  <c:v>43.5107</c:v>
                </c:pt>
                <c:pt idx="35">
                  <c:v>43.916899999999998</c:v>
                </c:pt>
                <c:pt idx="36">
                  <c:v>44.328299999999999</c:v>
                </c:pt>
                <c:pt idx="37">
                  <c:v>44.733400000000003</c:v>
                </c:pt>
                <c:pt idx="38">
                  <c:v>45.138100000000001</c:v>
                </c:pt>
                <c:pt idx="39">
                  <c:v>45.542900000000003</c:v>
                </c:pt>
                <c:pt idx="40">
                  <c:v>45.951300000000003</c:v>
                </c:pt>
                <c:pt idx="41">
                  <c:v>46.355699999999999</c:v>
                </c:pt>
                <c:pt idx="42">
                  <c:v>46.763399999999997</c:v>
                </c:pt>
                <c:pt idx="43">
                  <c:v>47.1691</c:v>
                </c:pt>
                <c:pt idx="44">
                  <c:v>47.574800000000003</c:v>
                </c:pt>
                <c:pt idx="45">
                  <c:v>47.983499999999999</c:v>
                </c:pt>
                <c:pt idx="46">
                  <c:v>48.391199999999998</c:v>
                </c:pt>
                <c:pt idx="47">
                  <c:v>48.7956</c:v>
                </c:pt>
                <c:pt idx="48">
                  <c:v>49.201700000000002</c:v>
                </c:pt>
                <c:pt idx="49">
                  <c:v>49.607999999999997</c:v>
                </c:pt>
                <c:pt idx="50">
                  <c:v>50.011200000000002</c:v>
                </c:pt>
                <c:pt idx="51">
                  <c:v>50.421500000000002</c:v>
                </c:pt>
                <c:pt idx="52">
                  <c:v>50.825800000000001</c:v>
                </c:pt>
                <c:pt idx="53">
                  <c:v>51.232399999999998</c:v>
                </c:pt>
                <c:pt idx="54">
                  <c:v>51.637500000000003</c:v>
                </c:pt>
                <c:pt idx="55">
                  <c:v>52.041899999999998</c:v>
                </c:pt>
                <c:pt idx="56">
                  <c:v>52.4497</c:v>
                </c:pt>
                <c:pt idx="57">
                  <c:v>52.857900000000001</c:v>
                </c:pt>
                <c:pt idx="58">
                  <c:v>53.265799999999999</c:v>
                </c:pt>
                <c:pt idx="59">
                  <c:v>53.669499999999999</c:v>
                </c:pt>
                <c:pt idx="60">
                  <c:v>54.071899999999999</c:v>
                </c:pt>
                <c:pt idx="61">
                  <c:v>54.481699999999996</c:v>
                </c:pt>
                <c:pt idx="62">
                  <c:v>54.889800000000001</c:v>
                </c:pt>
                <c:pt idx="63">
                  <c:v>55.2926</c:v>
                </c:pt>
                <c:pt idx="64">
                  <c:v>55.700200000000002</c:v>
                </c:pt>
                <c:pt idx="65">
                  <c:v>56.105800000000002</c:v>
                </c:pt>
                <c:pt idx="66">
                  <c:v>56.5122</c:v>
                </c:pt>
                <c:pt idx="67">
                  <c:v>56.9221</c:v>
                </c:pt>
                <c:pt idx="68">
                  <c:v>57.328299999999999</c:v>
                </c:pt>
                <c:pt idx="69">
                  <c:v>57.734200000000001</c:v>
                </c:pt>
                <c:pt idx="70">
                  <c:v>58.138300000000001</c:v>
                </c:pt>
                <c:pt idx="71">
                  <c:v>58.543100000000003</c:v>
                </c:pt>
                <c:pt idx="72">
                  <c:v>58.953499999999998</c:v>
                </c:pt>
                <c:pt idx="73">
                  <c:v>59.356499999999997</c:v>
                </c:pt>
                <c:pt idx="74">
                  <c:v>59.7637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35.961500000000001</c:v>
                </c:pt>
                <c:pt idx="1">
                  <c:v>36.591200000000001</c:v>
                </c:pt>
                <c:pt idx="2">
                  <c:v>37.155500000000004</c:v>
                </c:pt>
                <c:pt idx="3">
                  <c:v>37.737400000000001</c:v>
                </c:pt>
                <c:pt idx="4">
                  <c:v>38.303100000000001</c:v>
                </c:pt>
                <c:pt idx="5">
                  <c:v>38.7712</c:v>
                </c:pt>
                <c:pt idx="6">
                  <c:v>39.159799999999997</c:v>
                </c:pt>
                <c:pt idx="7">
                  <c:v>39.528400000000005</c:v>
                </c:pt>
                <c:pt idx="8">
                  <c:v>39.884500000000003</c:v>
                </c:pt>
                <c:pt idx="9">
                  <c:v>40.186899999999994</c:v>
                </c:pt>
                <c:pt idx="10">
                  <c:v>40.494400000000006</c:v>
                </c:pt>
                <c:pt idx="11">
                  <c:v>40.758499999999998</c:v>
                </c:pt>
                <c:pt idx="12">
                  <c:v>40.920400000000001</c:v>
                </c:pt>
                <c:pt idx="13">
                  <c:v>40.957700000000003</c:v>
                </c:pt>
                <c:pt idx="14">
                  <c:v>40.7911</c:v>
                </c:pt>
                <c:pt idx="15">
                  <c:v>40.475100000000005</c:v>
                </c:pt>
                <c:pt idx="16">
                  <c:v>40.176899999999996</c:v>
                </c:pt>
                <c:pt idx="17">
                  <c:v>39.801199999999994</c:v>
                </c:pt>
                <c:pt idx="18">
                  <c:v>39.357799999999997</c:v>
                </c:pt>
                <c:pt idx="19">
                  <c:v>38.878099999999996</c:v>
                </c:pt>
                <c:pt idx="20">
                  <c:v>38.350200000000001</c:v>
                </c:pt>
                <c:pt idx="21">
                  <c:v>37.880299999999998</c:v>
                </c:pt>
                <c:pt idx="22">
                  <c:v>37.433</c:v>
                </c:pt>
                <c:pt idx="23">
                  <c:v>36.981000000000002</c:v>
                </c:pt>
                <c:pt idx="24">
                  <c:v>36.623099999999994</c:v>
                </c:pt>
                <c:pt idx="25">
                  <c:v>36.2879</c:v>
                </c:pt>
                <c:pt idx="26">
                  <c:v>35.947200000000002</c:v>
                </c:pt>
                <c:pt idx="27">
                  <c:v>35.610100000000003</c:v>
                </c:pt>
                <c:pt idx="28">
                  <c:v>35.298999999999999</c:v>
                </c:pt>
                <c:pt idx="29">
                  <c:v>34.951599999999999</c:v>
                </c:pt>
                <c:pt idx="30">
                  <c:v>34.595700000000001</c:v>
                </c:pt>
                <c:pt idx="31">
                  <c:v>34.229900000000001</c:v>
                </c:pt>
                <c:pt idx="32">
                  <c:v>33.883400000000002</c:v>
                </c:pt>
                <c:pt idx="33">
                  <c:v>33.549099999999996</c:v>
                </c:pt>
                <c:pt idx="34">
                  <c:v>33.262900000000002</c:v>
                </c:pt>
                <c:pt idx="35">
                  <c:v>33.044499999999999</c:v>
                </c:pt>
                <c:pt idx="36">
                  <c:v>32.868299999999998</c:v>
                </c:pt>
                <c:pt idx="37">
                  <c:v>32.6663</c:v>
                </c:pt>
                <c:pt idx="38">
                  <c:v>32.406100000000002</c:v>
                </c:pt>
                <c:pt idx="39">
                  <c:v>32.205399999999997</c:v>
                </c:pt>
                <c:pt idx="40">
                  <c:v>32.026700000000005</c:v>
                </c:pt>
                <c:pt idx="41">
                  <c:v>31.735000000000003</c:v>
                </c:pt>
                <c:pt idx="42">
                  <c:v>31.449300000000001</c:v>
                </c:pt>
                <c:pt idx="43">
                  <c:v>31.145199999999999</c:v>
                </c:pt>
                <c:pt idx="44">
                  <c:v>30.820499999999999</c:v>
                </c:pt>
                <c:pt idx="45">
                  <c:v>30.492899999999999</c:v>
                </c:pt>
                <c:pt idx="46">
                  <c:v>30.042799999999996</c:v>
                </c:pt>
                <c:pt idx="47">
                  <c:v>29.543999999999997</c:v>
                </c:pt>
                <c:pt idx="48">
                  <c:v>29.056999999999999</c:v>
                </c:pt>
                <c:pt idx="49">
                  <c:v>28.5093</c:v>
                </c:pt>
                <c:pt idx="50">
                  <c:v>27.949800000000003</c:v>
                </c:pt>
                <c:pt idx="51">
                  <c:v>27.721800000000002</c:v>
                </c:pt>
                <c:pt idx="52">
                  <c:v>27.4588</c:v>
                </c:pt>
                <c:pt idx="53">
                  <c:v>27.173999999999999</c:v>
                </c:pt>
                <c:pt idx="54">
                  <c:v>26.8949</c:v>
                </c:pt>
                <c:pt idx="55">
                  <c:v>26.6295</c:v>
                </c:pt>
                <c:pt idx="56">
                  <c:v>26.356800000000003</c:v>
                </c:pt>
                <c:pt idx="57">
                  <c:v>26.060400000000001</c:v>
                </c:pt>
                <c:pt idx="58">
                  <c:v>25.740600000000001</c:v>
                </c:pt>
                <c:pt idx="59">
                  <c:v>25.363599999999998</c:v>
                </c:pt>
                <c:pt idx="60">
                  <c:v>24.8644</c:v>
                </c:pt>
                <c:pt idx="61">
                  <c:v>24.286799999999999</c:v>
                </c:pt>
                <c:pt idx="62">
                  <c:v>23.7105</c:v>
                </c:pt>
                <c:pt idx="63">
                  <c:v>23.227</c:v>
                </c:pt>
                <c:pt idx="64">
                  <c:v>22.647200000000002</c:v>
                </c:pt>
                <c:pt idx="65">
                  <c:v>21.9754</c:v>
                </c:pt>
                <c:pt idx="66">
                  <c:v>21.435600000000001</c:v>
                </c:pt>
                <c:pt idx="67">
                  <c:v>20.878499999999999</c:v>
                </c:pt>
                <c:pt idx="68">
                  <c:v>20.3262</c:v>
                </c:pt>
                <c:pt idx="69">
                  <c:v>19.790700000000001</c:v>
                </c:pt>
                <c:pt idx="70">
                  <c:v>19.2484</c:v>
                </c:pt>
                <c:pt idx="71">
                  <c:v>19.084200000000003</c:v>
                </c:pt>
                <c:pt idx="72">
                  <c:v>19.1997</c:v>
                </c:pt>
                <c:pt idx="73">
                  <c:v>19.194199999999999</c:v>
                </c:pt>
                <c:pt idx="74">
                  <c:v>19.1858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52.355600000000003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52.355600000000003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52.355600000000003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52.355600000000003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52.355600000000003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52.355600000000003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52.355600000000003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52.355600000000003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52.355600000000003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52.355600000000003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52.355600000000003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52.355600000000003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52.355600000000003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52.355600000000003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52.355600000000003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52.355600000000003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52.355600000000003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52.355600000000003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52.355600000000003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52.355600000000003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52.355600000000003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52.355600000000003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14.940925</c:v>
                </c:pt>
                <c:pt idx="1">
                  <c:v>44.822775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35.815087837837837</c:v>
                </c:pt>
                <c:pt idx="1">
                  <c:v>31.611239189189195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40.988700000000001</c:v>
                </c:pt>
                <c:pt idx="1">
                  <c:v>25.9255</c:v>
                </c:pt>
                <c:pt idx="2">
                  <c:v>30.658200000000001</c:v>
                </c:pt>
                <c:pt idx="3">
                  <c:v>31.1495</c:v>
                </c:pt>
                <c:pt idx="4">
                  <c:v>67.097300000000004</c:v>
                </c:pt>
                <c:pt idx="5">
                  <c:v>76.710700000000003</c:v>
                </c:pt>
                <c:pt idx="6">
                  <c:v>22.014299999999999</c:v>
                </c:pt>
                <c:pt idx="7">
                  <c:v>71.867800000000003</c:v>
                </c:pt>
                <c:pt idx="8">
                  <c:v>16.944900000000001</c:v>
                </c:pt>
                <c:pt idx="9">
                  <c:v>24.963200000000001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42.665999999999997</c:v>
                </c:pt>
                <c:pt idx="1">
                  <c:v>25.771000000000001</c:v>
                </c:pt>
                <c:pt idx="2">
                  <c:v>32.2408</c:v>
                </c:pt>
                <c:pt idx="3">
                  <c:v>33.975900000000003</c:v>
                </c:pt>
                <c:pt idx="4">
                  <c:v>65.195300000000003</c:v>
                </c:pt>
                <c:pt idx="5">
                  <c:v>73.753799999999998</c:v>
                </c:pt>
                <c:pt idx="6">
                  <c:v>21.4696</c:v>
                </c:pt>
                <c:pt idx="7">
                  <c:v>69.2624</c:v>
                </c:pt>
                <c:pt idx="8">
                  <c:v>18.035699999999999</c:v>
                </c:pt>
                <c:pt idx="9">
                  <c:v>19.508800000000001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0.52793250178465057</c:v>
                </c:pt>
                <c:pt idx="1">
                  <c:v>0.28590368173295233</c:v>
                </c:pt>
                <c:pt idx="2">
                  <c:v>0.18616381648239722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1476</c:v>
                </c:pt>
                <c:pt idx="7">
                  <c:v>0</c:v>
                </c:pt>
                <c:pt idx="8">
                  <c:v>278</c:v>
                </c:pt>
                <c:pt idx="9">
                  <c:v>0</c:v>
                </c:pt>
                <c:pt idx="10">
                  <c:v>0</c:v>
                </c:pt>
                <c:pt idx="11">
                  <c:v>1393</c:v>
                </c:pt>
                <c:pt idx="12">
                  <c:v>0</c:v>
                </c:pt>
                <c:pt idx="13">
                  <c:v>3233</c:v>
                </c:pt>
                <c:pt idx="14">
                  <c:v>0</c:v>
                </c:pt>
                <c:pt idx="15">
                  <c:v>0</c:v>
                </c:pt>
                <c:pt idx="16">
                  <c:v>4122</c:v>
                </c:pt>
                <c:pt idx="17">
                  <c:v>0</c:v>
                </c:pt>
                <c:pt idx="18">
                  <c:v>0</c:v>
                </c:pt>
                <c:pt idx="19">
                  <c:v>8729</c:v>
                </c:pt>
                <c:pt idx="20">
                  <c:v>0</c:v>
                </c:pt>
                <c:pt idx="21">
                  <c:v>11935</c:v>
                </c:pt>
                <c:pt idx="22">
                  <c:v>0</c:v>
                </c:pt>
                <c:pt idx="23">
                  <c:v>0</c:v>
                </c:pt>
                <c:pt idx="24">
                  <c:v>11772</c:v>
                </c:pt>
                <c:pt idx="25">
                  <c:v>0</c:v>
                </c:pt>
                <c:pt idx="26">
                  <c:v>22381</c:v>
                </c:pt>
                <c:pt idx="27">
                  <c:v>0</c:v>
                </c:pt>
                <c:pt idx="28">
                  <c:v>0</c:v>
                </c:pt>
                <c:pt idx="29">
                  <c:v>23721</c:v>
                </c:pt>
                <c:pt idx="30">
                  <c:v>0</c:v>
                </c:pt>
                <c:pt idx="31">
                  <c:v>29440</c:v>
                </c:pt>
                <c:pt idx="32">
                  <c:v>0</c:v>
                </c:pt>
                <c:pt idx="33">
                  <c:v>0</c:v>
                </c:pt>
                <c:pt idx="34">
                  <c:v>31859</c:v>
                </c:pt>
                <c:pt idx="35">
                  <c:v>0</c:v>
                </c:pt>
                <c:pt idx="36">
                  <c:v>0</c:v>
                </c:pt>
                <c:pt idx="37">
                  <c:v>35360</c:v>
                </c:pt>
                <c:pt idx="38">
                  <c:v>0</c:v>
                </c:pt>
                <c:pt idx="39">
                  <c:v>49153</c:v>
                </c:pt>
                <c:pt idx="40">
                  <c:v>0</c:v>
                </c:pt>
                <c:pt idx="41">
                  <c:v>0</c:v>
                </c:pt>
                <c:pt idx="42">
                  <c:v>52097</c:v>
                </c:pt>
                <c:pt idx="43">
                  <c:v>0</c:v>
                </c:pt>
                <c:pt idx="44">
                  <c:v>63208</c:v>
                </c:pt>
                <c:pt idx="45">
                  <c:v>0</c:v>
                </c:pt>
                <c:pt idx="46">
                  <c:v>0</c:v>
                </c:pt>
                <c:pt idx="47">
                  <c:v>72241</c:v>
                </c:pt>
                <c:pt idx="48">
                  <c:v>0</c:v>
                </c:pt>
                <c:pt idx="49">
                  <c:v>78984</c:v>
                </c:pt>
                <c:pt idx="50">
                  <c:v>0</c:v>
                </c:pt>
                <c:pt idx="51">
                  <c:v>0</c:v>
                </c:pt>
                <c:pt idx="52">
                  <c:v>85615</c:v>
                </c:pt>
                <c:pt idx="53">
                  <c:v>0</c:v>
                </c:pt>
                <c:pt idx="54">
                  <c:v>0</c:v>
                </c:pt>
                <c:pt idx="55">
                  <c:v>82785</c:v>
                </c:pt>
                <c:pt idx="56">
                  <c:v>0</c:v>
                </c:pt>
                <c:pt idx="57">
                  <c:v>93578</c:v>
                </c:pt>
                <c:pt idx="58">
                  <c:v>0</c:v>
                </c:pt>
                <c:pt idx="59">
                  <c:v>0</c:v>
                </c:pt>
                <c:pt idx="60">
                  <c:v>98822</c:v>
                </c:pt>
                <c:pt idx="61">
                  <c:v>0</c:v>
                </c:pt>
                <c:pt idx="62">
                  <c:v>95508</c:v>
                </c:pt>
                <c:pt idx="63">
                  <c:v>0</c:v>
                </c:pt>
                <c:pt idx="64">
                  <c:v>0</c:v>
                </c:pt>
                <c:pt idx="65">
                  <c:v>95175</c:v>
                </c:pt>
                <c:pt idx="66">
                  <c:v>0</c:v>
                </c:pt>
                <c:pt idx="67">
                  <c:v>95147</c:v>
                </c:pt>
                <c:pt idx="68">
                  <c:v>0</c:v>
                </c:pt>
                <c:pt idx="69">
                  <c:v>0</c:v>
                </c:pt>
                <c:pt idx="70">
                  <c:v>103849</c:v>
                </c:pt>
                <c:pt idx="71">
                  <c:v>0</c:v>
                </c:pt>
                <c:pt idx="72">
                  <c:v>0</c:v>
                </c:pt>
                <c:pt idx="73">
                  <c:v>100718</c:v>
                </c:pt>
                <c:pt idx="74">
                  <c:v>0</c:v>
                </c:pt>
                <c:pt idx="75">
                  <c:v>113589</c:v>
                </c:pt>
                <c:pt idx="76">
                  <c:v>0</c:v>
                </c:pt>
                <c:pt idx="77">
                  <c:v>0</c:v>
                </c:pt>
                <c:pt idx="78">
                  <c:v>101799</c:v>
                </c:pt>
                <c:pt idx="79">
                  <c:v>0</c:v>
                </c:pt>
                <c:pt idx="80">
                  <c:v>100378</c:v>
                </c:pt>
                <c:pt idx="81">
                  <c:v>0</c:v>
                </c:pt>
                <c:pt idx="82">
                  <c:v>0</c:v>
                </c:pt>
                <c:pt idx="83">
                  <c:v>102101</c:v>
                </c:pt>
                <c:pt idx="84">
                  <c:v>0</c:v>
                </c:pt>
                <c:pt idx="85">
                  <c:v>0</c:v>
                </c:pt>
                <c:pt idx="86">
                  <c:v>104493</c:v>
                </c:pt>
                <c:pt idx="87">
                  <c:v>0</c:v>
                </c:pt>
                <c:pt idx="88">
                  <c:v>102546</c:v>
                </c:pt>
                <c:pt idx="89">
                  <c:v>0</c:v>
                </c:pt>
                <c:pt idx="90">
                  <c:v>0</c:v>
                </c:pt>
                <c:pt idx="91">
                  <c:v>90160</c:v>
                </c:pt>
                <c:pt idx="92">
                  <c:v>0</c:v>
                </c:pt>
                <c:pt idx="93">
                  <c:v>101494</c:v>
                </c:pt>
                <c:pt idx="94">
                  <c:v>0</c:v>
                </c:pt>
                <c:pt idx="95">
                  <c:v>0</c:v>
                </c:pt>
                <c:pt idx="96">
                  <c:v>95399</c:v>
                </c:pt>
                <c:pt idx="97">
                  <c:v>0</c:v>
                </c:pt>
                <c:pt idx="98">
                  <c:v>90616</c:v>
                </c:pt>
                <c:pt idx="99">
                  <c:v>0</c:v>
                </c:pt>
                <c:pt idx="100">
                  <c:v>0</c:v>
                </c:pt>
                <c:pt idx="101">
                  <c:v>91060</c:v>
                </c:pt>
                <c:pt idx="102">
                  <c:v>0</c:v>
                </c:pt>
                <c:pt idx="103">
                  <c:v>0</c:v>
                </c:pt>
                <c:pt idx="104">
                  <c:v>86022</c:v>
                </c:pt>
                <c:pt idx="105">
                  <c:v>0</c:v>
                </c:pt>
                <c:pt idx="106">
                  <c:v>78480</c:v>
                </c:pt>
                <c:pt idx="107">
                  <c:v>0</c:v>
                </c:pt>
                <c:pt idx="108">
                  <c:v>0</c:v>
                </c:pt>
                <c:pt idx="109">
                  <c:v>68443</c:v>
                </c:pt>
                <c:pt idx="110">
                  <c:v>0</c:v>
                </c:pt>
                <c:pt idx="111">
                  <c:v>57133</c:v>
                </c:pt>
                <c:pt idx="112">
                  <c:v>0</c:v>
                </c:pt>
                <c:pt idx="113">
                  <c:v>0</c:v>
                </c:pt>
                <c:pt idx="114">
                  <c:v>58186</c:v>
                </c:pt>
                <c:pt idx="115">
                  <c:v>0</c:v>
                </c:pt>
                <c:pt idx="116">
                  <c:v>46882</c:v>
                </c:pt>
                <c:pt idx="117">
                  <c:v>0</c:v>
                </c:pt>
                <c:pt idx="118">
                  <c:v>0</c:v>
                </c:pt>
                <c:pt idx="119">
                  <c:v>40443</c:v>
                </c:pt>
                <c:pt idx="120">
                  <c:v>0</c:v>
                </c:pt>
                <c:pt idx="121">
                  <c:v>0</c:v>
                </c:pt>
                <c:pt idx="122">
                  <c:v>36988</c:v>
                </c:pt>
                <c:pt idx="123">
                  <c:v>0</c:v>
                </c:pt>
                <c:pt idx="124">
                  <c:v>30049</c:v>
                </c:pt>
                <c:pt idx="125">
                  <c:v>0</c:v>
                </c:pt>
                <c:pt idx="126">
                  <c:v>0</c:v>
                </c:pt>
                <c:pt idx="127">
                  <c:v>23775</c:v>
                </c:pt>
                <c:pt idx="128">
                  <c:v>0</c:v>
                </c:pt>
                <c:pt idx="129">
                  <c:v>20665</c:v>
                </c:pt>
                <c:pt idx="130">
                  <c:v>0</c:v>
                </c:pt>
                <c:pt idx="131">
                  <c:v>0</c:v>
                </c:pt>
                <c:pt idx="132">
                  <c:v>24658</c:v>
                </c:pt>
                <c:pt idx="133">
                  <c:v>0</c:v>
                </c:pt>
                <c:pt idx="134">
                  <c:v>20955</c:v>
                </c:pt>
                <c:pt idx="135">
                  <c:v>0</c:v>
                </c:pt>
                <c:pt idx="136">
                  <c:v>0</c:v>
                </c:pt>
                <c:pt idx="137">
                  <c:v>18321</c:v>
                </c:pt>
                <c:pt idx="138">
                  <c:v>0</c:v>
                </c:pt>
                <c:pt idx="139">
                  <c:v>0</c:v>
                </c:pt>
                <c:pt idx="140">
                  <c:v>16936</c:v>
                </c:pt>
                <c:pt idx="141">
                  <c:v>0</c:v>
                </c:pt>
                <c:pt idx="142">
                  <c:v>15859</c:v>
                </c:pt>
                <c:pt idx="143">
                  <c:v>0</c:v>
                </c:pt>
                <c:pt idx="144">
                  <c:v>0</c:v>
                </c:pt>
                <c:pt idx="145">
                  <c:v>16681</c:v>
                </c:pt>
                <c:pt idx="146">
                  <c:v>0</c:v>
                </c:pt>
                <c:pt idx="147">
                  <c:v>18278</c:v>
                </c:pt>
                <c:pt idx="148">
                  <c:v>0</c:v>
                </c:pt>
                <c:pt idx="149">
                  <c:v>0</c:v>
                </c:pt>
                <c:pt idx="150">
                  <c:v>16533</c:v>
                </c:pt>
                <c:pt idx="151">
                  <c:v>0</c:v>
                </c:pt>
                <c:pt idx="152">
                  <c:v>20235</c:v>
                </c:pt>
                <c:pt idx="153">
                  <c:v>0</c:v>
                </c:pt>
                <c:pt idx="154">
                  <c:v>0</c:v>
                </c:pt>
                <c:pt idx="155">
                  <c:v>19347</c:v>
                </c:pt>
                <c:pt idx="156">
                  <c:v>0</c:v>
                </c:pt>
                <c:pt idx="157">
                  <c:v>0</c:v>
                </c:pt>
                <c:pt idx="158">
                  <c:v>14167</c:v>
                </c:pt>
                <c:pt idx="159">
                  <c:v>0</c:v>
                </c:pt>
                <c:pt idx="160">
                  <c:v>11050</c:v>
                </c:pt>
                <c:pt idx="161">
                  <c:v>0</c:v>
                </c:pt>
                <c:pt idx="162">
                  <c:v>0</c:v>
                </c:pt>
                <c:pt idx="163">
                  <c:v>11197</c:v>
                </c:pt>
                <c:pt idx="164">
                  <c:v>0</c:v>
                </c:pt>
                <c:pt idx="165">
                  <c:v>9518</c:v>
                </c:pt>
                <c:pt idx="166">
                  <c:v>0</c:v>
                </c:pt>
                <c:pt idx="167">
                  <c:v>0</c:v>
                </c:pt>
                <c:pt idx="168">
                  <c:v>8262</c:v>
                </c:pt>
                <c:pt idx="169">
                  <c:v>0</c:v>
                </c:pt>
                <c:pt idx="170">
                  <c:v>0</c:v>
                </c:pt>
                <c:pt idx="171">
                  <c:v>8122</c:v>
                </c:pt>
                <c:pt idx="172">
                  <c:v>0</c:v>
                </c:pt>
                <c:pt idx="173">
                  <c:v>9518</c:v>
                </c:pt>
                <c:pt idx="174">
                  <c:v>0</c:v>
                </c:pt>
                <c:pt idx="175">
                  <c:v>0</c:v>
                </c:pt>
                <c:pt idx="176">
                  <c:v>8177</c:v>
                </c:pt>
                <c:pt idx="177">
                  <c:v>0</c:v>
                </c:pt>
                <c:pt idx="178">
                  <c:v>9385</c:v>
                </c:pt>
                <c:pt idx="179">
                  <c:v>0</c:v>
                </c:pt>
                <c:pt idx="180">
                  <c:v>0</c:v>
                </c:pt>
                <c:pt idx="181">
                  <c:v>10642</c:v>
                </c:pt>
                <c:pt idx="182">
                  <c:v>0</c:v>
                </c:pt>
                <c:pt idx="183">
                  <c:v>6537</c:v>
                </c:pt>
                <c:pt idx="184">
                  <c:v>0</c:v>
                </c:pt>
                <c:pt idx="185">
                  <c:v>0</c:v>
                </c:pt>
                <c:pt idx="186">
                  <c:v>4039</c:v>
                </c:pt>
                <c:pt idx="187">
                  <c:v>0</c:v>
                </c:pt>
                <c:pt idx="188">
                  <c:v>0</c:v>
                </c:pt>
                <c:pt idx="189">
                  <c:v>5212</c:v>
                </c:pt>
                <c:pt idx="190">
                  <c:v>0</c:v>
                </c:pt>
                <c:pt idx="191">
                  <c:v>4206</c:v>
                </c:pt>
                <c:pt idx="192">
                  <c:v>0</c:v>
                </c:pt>
                <c:pt idx="193">
                  <c:v>0</c:v>
                </c:pt>
                <c:pt idx="194">
                  <c:v>4914</c:v>
                </c:pt>
                <c:pt idx="195">
                  <c:v>0</c:v>
                </c:pt>
                <c:pt idx="196">
                  <c:v>4066</c:v>
                </c:pt>
                <c:pt idx="197">
                  <c:v>0</c:v>
                </c:pt>
                <c:pt idx="198">
                  <c:v>0</c:v>
                </c:pt>
                <c:pt idx="199">
                  <c:v>3418</c:v>
                </c:pt>
                <c:pt idx="200">
                  <c:v>0</c:v>
                </c:pt>
                <c:pt idx="201">
                  <c:v>3110</c:v>
                </c:pt>
                <c:pt idx="202">
                  <c:v>0</c:v>
                </c:pt>
                <c:pt idx="203">
                  <c:v>0</c:v>
                </c:pt>
                <c:pt idx="204">
                  <c:v>2314</c:v>
                </c:pt>
                <c:pt idx="205">
                  <c:v>0</c:v>
                </c:pt>
                <c:pt idx="206">
                  <c:v>0</c:v>
                </c:pt>
                <c:pt idx="207">
                  <c:v>172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1796</c:v>
                </c:pt>
                <c:pt idx="7">
                  <c:v>0</c:v>
                </c:pt>
                <c:pt idx="8">
                  <c:v>607</c:v>
                </c:pt>
                <c:pt idx="9">
                  <c:v>0</c:v>
                </c:pt>
                <c:pt idx="10">
                  <c:v>0</c:v>
                </c:pt>
                <c:pt idx="11">
                  <c:v>660</c:v>
                </c:pt>
                <c:pt idx="12">
                  <c:v>0</c:v>
                </c:pt>
                <c:pt idx="13">
                  <c:v>549</c:v>
                </c:pt>
                <c:pt idx="14">
                  <c:v>0</c:v>
                </c:pt>
                <c:pt idx="15">
                  <c:v>0</c:v>
                </c:pt>
                <c:pt idx="16">
                  <c:v>1294</c:v>
                </c:pt>
                <c:pt idx="17">
                  <c:v>0</c:v>
                </c:pt>
                <c:pt idx="18">
                  <c:v>0</c:v>
                </c:pt>
                <c:pt idx="19">
                  <c:v>7460</c:v>
                </c:pt>
                <c:pt idx="20">
                  <c:v>0</c:v>
                </c:pt>
                <c:pt idx="21">
                  <c:v>9962</c:v>
                </c:pt>
                <c:pt idx="22">
                  <c:v>0</c:v>
                </c:pt>
                <c:pt idx="23">
                  <c:v>0</c:v>
                </c:pt>
                <c:pt idx="24">
                  <c:v>9253</c:v>
                </c:pt>
                <c:pt idx="25">
                  <c:v>0</c:v>
                </c:pt>
                <c:pt idx="26">
                  <c:v>15349</c:v>
                </c:pt>
                <c:pt idx="27">
                  <c:v>0</c:v>
                </c:pt>
                <c:pt idx="28">
                  <c:v>0</c:v>
                </c:pt>
                <c:pt idx="29">
                  <c:v>23412</c:v>
                </c:pt>
                <c:pt idx="30">
                  <c:v>0</c:v>
                </c:pt>
                <c:pt idx="31">
                  <c:v>21999</c:v>
                </c:pt>
                <c:pt idx="32">
                  <c:v>0</c:v>
                </c:pt>
                <c:pt idx="33">
                  <c:v>0</c:v>
                </c:pt>
                <c:pt idx="34">
                  <c:v>22169</c:v>
                </c:pt>
                <c:pt idx="35">
                  <c:v>0</c:v>
                </c:pt>
                <c:pt idx="36">
                  <c:v>0</c:v>
                </c:pt>
                <c:pt idx="37">
                  <c:v>22388</c:v>
                </c:pt>
                <c:pt idx="38">
                  <c:v>0</c:v>
                </c:pt>
                <c:pt idx="39">
                  <c:v>27137</c:v>
                </c:pt>
                <c:pt idx="40">
                  <c:v>0</c:v>
                </c:pt>
                <c:pt idx="41">
                  <c:v>0</c:v>
                </c:pt>
                <c:pt idx="42">
                  <c:v>42437</c:v>
                </c:pt>
                <c:pt idx="43">
                  <c:v>0</c:v>
                </c:pt>
                <c:pt idx="44">
                  <c:v>55444</c:v>
                </c:pt>
                <c:pt idx="45">
                  <c:v>0</c:v>
                </c:pt>
                <c:pt idx="46">
                  <c:v>0</c:v>
                </c:pt>
                <c:pt idx="47">
                  <c:v>70489</c:v>
                </c:pt>
                <c:pt idx="48">
                  <c:v>0</c:v>
                </c:pt>
                <c:pt idx="49">
                  <c:v>77519</c:v>
                </c:pt>
                <c:pt idx="50">
                  <c:v>0</c:v>
                </c:pt>
                <c:pt idx="51">
                  <c:v>0</c:v>
                </c:pt>
                <c:pt idx="52">
                  <c:v>84305</c:v>
                </c:pt>
                <c:pt idx="53">
                  <c:v>0</c:v>
                </c:pt>
                <c:pt idx="54">
                  <c:v>0</c:v>
                </c:pt>
                <c:pt idx="55">
                  <c:v>89744</c:v>
                </c:pt>
                <c:pt idx="56">
                  <c:v>0</c:v>
                </c:pt>
                <c:pt idx="57">
                  <c:v>101491</c:v>
                </c:pt>
                <c:pt idx="58">
                  <c:v>0</c:v>
                </c:pt>
                <c:pt idx="59">
                  <c:v>0</c:v>
                </c:pt>
                <c:pt idx="60">
                  <c:v>104116</c:v>
                </c:pt>
                <c:pt idx="61">
                  <c:v>0</c:v>
                </c:pt>
                <c:pt idx="62">
                  <c:v>111813</c:v>
                </c:pt>
                <c:pt idx="63">
                  <c:v>0</c:v>
                </c:pt>
                <c:pt idx="64">
                  <c:v>0</c:v>
                </c:pt>
                <c:pt idx="65">
                  <c:v>106655</c:v>
                </c:pt>
                <c:pt idx="66">
                  <c:v>0</c:v>
                </c:pt>
                <c:pt idx="67">
                  <c:v>121117</c:v>
                </c:pt>
                <c:pt idx="68">
                  <c:v>0</c:v>
                </c:pt>
                <c:pt idx="69">
                  <c:v>0</c:v>
                </c:pt>
                <c:pt idx="70">
                  <c:v>120702</c:v>
                </c:pt>
                <c:pt idx="71">
                  <c:v>0</c:v>
                </c:pt>
                <c:pt idx="72">
                  <c:v>0</c:v>
                </c:pt>
                <c:pt idx="73">
                  <c:v>118068</c:v>
                </c:pt>
                <c:pt idx="74">
                  <c:v>0</c:v>
                </c:pt>
                <c:pt idx="75">
                  <c:v>119607</c:v>
                </c:pt>
                <c:pt idx="76">
                  <c:v>0</c:v>
                </c:pt>
                <c:pt idx="77">
                  <c:v>0</c:v>
                </c:pt>
                <c:pt idx="78">
                  <c:v>123194</c:v>
                </c:pt>
                <c:pt idx="79">
                  <c:v>0</c:v>
                </c:pt>
                <c:pt idx="80">
                  <c:v>124517</c:v>
                </c:pt>
                <c:pt idx="81">
                  <c:v>0</c:v>
                </c:pt>
                <c:pt idx="82">
                  <c:v>0</c:v>
                </c:pt>
                <c:pt idx="83">
                  <c:v>115657</c:v>
                </c:pt>
                <c:pt idx="84">
                  <c:v>0</c:v>
                </c:pt>
                <c:pt idx="85">
                  <c:v>0</c:v>
                </c:pt>
                <c:pt idx="86">
                  <c:v>112643</c:v>
                </c:pt>
                <c:pt idx="87">
                  <c:v>0</c:v>
                </c:pt>
                <c:pt idx="88">
                  <c:v>107846</c:v>
                </c:pt>
                <c:pt idx="89">
                  <c:v>0</c:v>
                </c:pt>
                <c:pt idx="90">
                  <c:v>0</c:v>
                </c:pt>
                <c:pt idx="91">
                  <c:v>109430</c:v>
                </c:pt>
                <c:pt idx="92">
                  <c:v>0</c:v>
                </c:pt>
                <c:pt idx="93">
                  <c:v>113275</c:v>
                </c:pt>
                <c:pt idx="94">
                  <c:v>0</c:v>
                </c:pt>
                <c:pt idx="95">
                  <c:v>0</c:v>
                </c:pt>
                <c:pt idx="96">
                  <c:v>114862</c:v>
                </c:pt>
                <c:pt idx="97">
                  <c:v>0</c:v>
                </c:pt>
                <c:pt idx="98">
                  <c:v>101681</c:v>
                </c:pt>
                <c:pt idx="99">
                  <c:v>0</c:v>
                </c:pt>
                <c:pt idx="100">
                  <c:v>0</c:v>
                </c:pt>
                <c:pt idx="101">
                  <c:v>86136</c:v>
                </c:pt>
                <c:pt idx="102">
                  <c:v>0</c:v>
                </c:pt>
                <c:pt idx="103">
                  <c:v>0</c:v>
                </c:pt>
                <c:pt idx="104">
                  <c:v>84886</c:v>
                </c:pt>
                <c:pt idx="105">
                  <c:v>0</c:v>
                </c:pt>
                <c:pt idx="106">
                  <c:v>77752</c:v>
                </c:pt>
                <c:pt idx="107">
                  <c:v>0</c:v>
                </c:pt>
                <c:pt idx="108">
                  <c:v>0</c:v>
                </c:pt>
                <c:pt idx="109">
                  <c:v>62448</c:v>
                </c:pt>
                <c:pt idx="110">
                  <c:v>0</c:v>
                </c:pt>
                <c:pt idx="111">
                  <c:v>57836</c:v>
                </c:pt>
                <c:pt idx="112">
                  <c:v>0</c:v>
                </c:pt>
                <c:pt idx="113">
                  <c:v>0</c:v>
                </c:pt>
                <c:pt idx="114">
                  <c:v>56651</c:v>
                </c:pt>
                <c:pt idx="115">
                  <c:v>0</c:v>
                </c:pt>
                <c:pt idx="116">
                  <c:v>48201</c:v>
                </c:pt>
                <c:pt idx="117">
                  <c:v>0</c:v>
                </c:pt>
                <c:pt idx="118">
                  <c:v>0</c:v>
                </c:pt>
                <c:pt idx="119">
                  <c:v>41936</c:v>
                </c:pt>
                <c:pt idx="120">
                  <c:v>0</c:v>
                </c:pt>
                <c:pt idx="121">
                  <c:v>0</c:v>
                </c:pt>
                <c:pt idx="122">
                  <c:v>43016</c:v>
                </c:pt>
                <c:pt idx="123">
                  <c:v>0</c:v>
                </c:pt>
                <c:pt idx="124">
                  <c:v>40546</c:v>
                </c:pt>
                <c:pt idx="125">
                  <c:v>0</c:v>
                </c:pt>
                <c:pt idx="126">
                  <c:v>0</c:v>
                </c:pt>
                <c:pt idx="127">
                  <c:v>36655</c:v>
                </c:pt>
                <c:pt idx="128">
                  <c:v>0</c:v>
                </c:pt>
                <c:pt idx="129">
                  <c:v>38914</c:v>
                </c:pt>
                <c:pt idx="130">
                  <c:v>0</c:v>
                </c:pt>
                <c:pt idx="131">
                  <c:v>0</c:v>
                </c:pt>
                <c:pt idx="132">
                  <c:v>39578</c:v>
                </c:pt>
                <c:pt idx="133">
                  <c:v>0</c:v>
                </c:pt>
                <c:pt idx="134">
                  <c:v>38702</c:v>
                </c:pt>
                <c:pt idx="135">
                  <c:v>0</c:v>
                </c:pt>
                <c:pt idx="136">
                  <c:v>0</c:v>
                </c:pt>
                <c:pt idx="137">
                  <c:v>37343</c:v>
                </c:pt>
                <c:pt idx="138">
                  <c:v>0</c:v>
                </c:pt>
                <c:pt idx="139">
                  <c:v>0</c:v>
                </c:pt>
                <c:pt idx="140">
                  <c:v>36597</c:v>
                </c:pt>
                <c:pt idx="141">
                  <c:v>0</c:v>
                </c:pt>
                <c:pt idx="142">
                  <c:v>34524</c:v>
                </c:pt>
                <c:pt idx="143">
                  <c:v>0</c:v>
                </c:pt>
                <c:pt idx="144">
                  <c:v>0</c:v>
                </c:pt>
                <c:pt idx="145">
                  <c:v>32777</c:v>
                </c:pt>
                <c:pt idx="146">
                  <c:v>0</c:v>
                </c:pt>
                <c:pt idx="147">
                  <c:v>29912</c:v>
                </c:pt>
                <c:pt idx="148">
                  <c:v>0</c:v>
                </c:pt>
                <c:pt idx="149">
                  <c:v>0</c:v>
                </c:pt>
                <c:pt idx="150">
                  <c:v>26134</c:v>
                </c:pt>
                <c:pt idx="151">
                  <c:v>0</c:v>
                </c:pt>
                <c:pt idx="152">
                  <c:v>21795</c:v>
                </c:pt>
                <c:pt idx="153">
                  <c:v>0</c:v>
                </c:pt>
                <c:pt idx="154">
                  <c:v>0</c:v>
                </c:pt>
                <c:pt idx="155">
                  <c:v>17351</c:v>
                </c:pt>
                <c:pt idx="156">
                  <c:v>0</c:v>
                </c:pt>
                <c:pt idx="157">
                  <c:v>0</c:v>
                </c:pt>
                <c:pt idx="158">
                  <c:v>14744</c:v>
                </c:pt>
                <c:pt idx="159">
                  <c:v>0</c:v>
                </c:pt>
                <c:pt idx="160">
                  <c:v>12468</c:v>
                </c:pt>
                <c:pt idx="161">
                  <c:v>0</c:v>
                </c:pt>
                <c:pt idx="162">
                  <c:v>0</c:v>
                </c:pt>
                <c:pt idx="163">
                  <c:v>13256</c:v>
                </c:pt>
                <c:pt idx="164">
                  <c:v>0</c:v>
                </c:pt>
                <c:pt idx="165">
                  <c:v>10242</c:v>
                </c:pt>
                <c:pt idx="166">
                  <c:v>0</c:v>
                </c:pt>
                <c:pt idx="167">
                  <c:v>0</c:v>
                </c:pt>
                <c:pt idx="168">
                  <c:v>8725</c:v>
                </c:pt>
                <c:pt idx="169">
                  <c:v>0</c:v>
                </c:pt>
                <c:pt idx="170">
                  <c:v>0</c:v>
                </c:pt>
                <c:pt idx="171">
                  <c:v>11717</c:v>
                </c:pt>
                <c:pt idx="172">
                  <c:v>0</c:v>
                </c:pt>
                <c:pt idx="173">
                  <c:v>12056</c:v>
                </c:pt>
                <c:pt idx="174">
                  <c:v>0</c:v>
                </c:pt>
                <c:pt idx="175">
                  <c:v>0</c:v>
                </c:pt>
                <c:pt idx="176">
                  <c:v>8792</c:v>
                </c:pt>
                <c:pt idx="177">
                  <c:v>0</c:v>
                </c:pt>
                <c:pt idx="178">
                  <c:v>9977</c:v>
                </c:pt>
                <c:pt idx="179">
                  <c:v>0</c:v>
                </c:pt>
                <c:pt idx="180">
                  <c:v>0</c:v>
                </c:pt>
                <c:pt idx="181">
                  <c:v>5689</c:v>
                </c:pt>
                <c:pt idx="182">
                  <c:v>0</c:v>
                </c:pt>
                <c:pt idx="183">
                  <c:v>6552</c:v>
                </c:pt>
                <c:pt idx="184">
                  <c:v>0</c:v>
                </c:pt>
                <c:pt idx="185">
                  <c:v>0</c:v>
                </c:pt>
                <c:pt idx="186">
                  <c:v>7523</c:v>
                </c:pt>
                <c:pt idx="187">
                  <c:v>0</c:v>
                </c:pt>
                <c:pt idx="188">
                  <c:v>0</c:v>
                </c:pt>
                <c:pt idx="189">
                  <c:v>6651</c:v>
                </c:pt>
                <c:pt idx="190">
                  <c:v>0</c:v>
                </c:pt>
                <c:pt idx="191">
                  <c:v>7777</c:v>
                </c:pt>
                <c:pt idx="192">
                  <c:v>0</c:v>
                </c:pt>
                <c:pt idx="193">
                  <c:v>0</c:v>
                </c:pt>
                <c:pt idx="194">
                  <c:v>6830</c:v>
                </c:pt>
                <c:pt idx="195">
                  <c:v>0</c:v>
                </c:pt>
                <c:pt idx="196">
                  <c:v>4385</c:v>
                </c:pt>
                <c:pt idx="197">
                  <c:v>0</c:v>
                </c:pt>
                <c:pt idx="198">
                  <c:v>0</c:v>
                </c:pt>
                <c:pt idx="199">
                  <c:v>3254</c:v>
                </c:pt>
                <c:pt idx="200">
                  <c:v>0</c:v>
                </c:pt>
                <c:pt idx="201">
                  <c:v>1256</c:v>
                </c:pt>
                <c:pt idx="202">
                  <c:v>0</c:v>
                </c:pt>
                <c:pt idx="203">
                  <c:v>0</c:v>
                </c:pt>
                <c:pt idx="204">
                  <c:v>1653</c:v>
                </c:pt>
                <c:pt idx="205">
                  <c:v>0</c:v>
                </c:pt>
                <c:pt idx="206">
                  <c:v>0</c:v>
                </c:pt>
                <c:pt idx="207">
                  <c:v>885</c:v>
                </c:pt>
                <c:pt idx="208">
                  <c:v>0</c:v>
                </c:pt>
                <c:pt idx="209">
                  <c:v>576</c:v>
                </c:pt>
                <c:pt idx="210">
                  <c:v>0</c:v>
                </c:pt>
                <c:pt idx="211">
                  <c:v>0</c:v>
                </c:pt>
                <c:pt idx="212">
                  <c:v>81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0.2024133462341457</c:v>
                </c:pt>
                <c:pt idx="1">
                  <c:v>0.34156662780739078</c:v>
                </c:pt>
                <c:pt idx="2">
                  <c:v>0.45602002595846342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0.52268698236190214</c:v>
                </c:pt>
                <c:pt idx="1">
                  <c:v>0.30643242355102296</c:v>
                </c:pt>
                <c:pt idx="2">
                  <c:v>0.17088059408707496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8.0000724999999999</c:v>
                </c:pt>
                <c:pt idx="1">
                  <c:v>13.786235000000001</c:v>
                </c:pt>
                <c:pt idx="2">
                  <c:v>25.685100000000002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0.40443299999999999</c:v>
                </c:pt>
                <c:pt idx="2">
                  <c:v>0.81212099999999998</c:v>
                </c:pt>
                <c:pt idx="3">
                  <c:v>1.21818</c:v>
                </c:pt>
                <c:pt idx="4">
                  <c:v>1.6215200000000001</c:v>
                </c:pt>
                <c:pt idx="5">
                  <c:v>2.02623</c:v>
                </c:pt>
                <c:pt idx="6">
                  <c:v>2.4389799999999999</c:v>
                </c:pt>
                <c:pt idx="7">
                  <c:v>2.84063</c:v>
                </c:pt>
                <c:pt idx="8">
                  <c:v>3.2461700000000002</c:v>
                </c:pt>
                <c:pt idx="9">
                  <c:v>3.6535600000000001</c:v>
                </c:pt>
                <c:pt idx="10">
                  <c:v>4.0589700000000004</c:v>
                </c:pt>
                <c:pt idx="11">
                  <c:v>4.4672999999999998</c:v>
                </c:pt>
                <c:pt idx="12">
                  <c:v>4.8729800000000001</c:v>
                </c:pt>
                <c:pt idx="13">
                  <c:v>5.2779299999999996</c:v>
                </c:pt>
                <c:pt idx="14">
                  <c:v>5.6857699999999998</c:v>
                </c:pt>
                <c:pt idx="15">
                  <c:v>6.0896299999999997</c:v>
                </c:pt>
                <c:pt idx="16">
                  <c:v>6.49756</c:v>
                </c:pt>
                <c:pt idx="17">
                  <c:v>6.9041199999999998</c:v>
                </c:pt>
                <c:pt idx="18">
                  <c:v>7.3101500000000001</c:v>
                </c:pt>
                <c:pt idx="19">
                  <c:v>7.7198900000000004</c:v>
                </c:pt>
                <c:pt idx="20">
                  <c:v>8.1222100000000008</c:v>
                </c:pt>
                <c:pt idx="21">
                  <c:v>8.5299300000000002</c:v>
                </c:pt>
                <c:pt idx="22">
                  <c:v>8.9357299999999995</c:v>
                </c:pt>
                <c:pt idx="23">
                  <c:v>9.3417399999999997</c:v>
                </c:pt>
                <c:pt idx="24">
                  <c:v>9.7496100000000006</c:v>
                </c:pt>
                <c:pt idx="25">
                  <c:v>10.1547</c:v>
                </c:pt>
                <c:pt idx="26">
                  <c:v>10.5604</c:v>
                </c:pt>
                <c:pt idx="27">
                  <c:v>10.9657</c:v>
                </c:pt>
                <c:pt idx="28">
                  <c:v>11.3741</c:v>
                </c:pt>
                <c:pt idx="29">
                  <c:v>11.783300000000001</c:v>
                </c:pt>
                <c:pt idx="30">
                  <c:v>12.185700000000001</c:v>
                </c:pt>
                <c:pt idx="31">
                  <c:v>12.589700000000001</c:v>
                </c:pt>
                <c:pt idx="32">
                  <c:v>13.000500000000001</c:v>
                </c:pt>
                <c:pt idx="33">
                  <c:v>13.4048</c:v>
                </c:pt>
                <c:pt idx="34">
                  <c:v>13.8103</c:v>
                </c:pt>
                <c:pt idx="35">
                  <c:v>14.216100000000001</c:v>
                </c:pt>
                <c:pt idx="36">
                  <c:v>14.6211</c:v>
                </c:pt>
                <c:pt idx="37">
                  <c:v>15.029500000000001</c:v>
                </c:pt>
                <c:pt idx="38">
                  <c:v>15.439</c:v>
                </c:pt>
                <c:pt idx="39">
                  <c:v>15.8424</c:v>
                </c:pt>
                <c:pt idx="40">
                  <c:v>16.246600000000001</c:v>
                </c:pt>
                <c:pt idx="41">
                  <c:v>16.657</c:v>
                </c:pt>
                <c:pt idx="42">
                  <c:v>17.062100000000001</c:v>
                </c:pt>
                <c:pt idx="43">
                  <c:v>17.465299999999999</c:v>
                </c:pt>
                <c:pt idx="44">
                  <c:v>17.873100000000001</c:v>
                </c:pt>
                <c:pt idx="45">
                  <c:v>18.279199999999999</c:v>
                </c:pt>
                <c:pt idx="46">
                  <c:v>18.681999999999999</c:v>
                </c:pt>
                <c:pt idx="47">
                  <c:v>19.0932</c:v>
                </c:pt>
                <c:pt idx="48">
                  <c:v>19.498999999999999</c:v>
                </c:pt>
                <c:pt idx="49">
                  <c:v>19.904800000000002</c:v>
                </c:pt>
                <c:pt idx="50">
                  <c:v>20.309699999999999</c:v>
                </c:pt>
                <c:pt idx="51">
                  <c:v>20.7164</c:v>
                </c:pt>
                <c:pt idx="52">
                  <c:v>21.121200000000002</c:v>
                </c:pt>
                <c:pt idx="53">
                  <c:v>21.5303</c:v>
                </c:pt>
                <c:pt idx="54">
                  <c:v>21.9358</c:v>
                </c:pt>
                <c:pt idx="55">
                  <c:v>22.3398</c:v>
                </c:pt>
                <c:pt idx="56">
                  <c:v>22.748699999999999</c:v>
                </c:pt>
                <c:pt idx="57">
                  <c:v>23.156300000000002</c:v>
                </c:pt>
                <c:pt idx="58">
                  <c:v>23.561</c:v>
                </c:pt>
                <c:pt idx="59">
                  <c:v>23.968399999999999</c:v>
                </c:pt>
                <c:pt idx="60">
                  <c:v>24.374099999999999</c:v>
                </c:pt>
                <c:pt idx="61">
                  <c:v>24.776700000000002</c:v>
                </c:pt>
                <c:pt idx="62">
                  <c:v>25.1859</c:v>
                </c:pt>
                <c:pt idx="63">
                  <c:v>25.593499999999999</c:v>
                </c:pt>
                <c:pt idx="64">
                  <c:v>26.000499999999999</c:v>
                </c:pt>
                <c:pt idx="65">
                  <c:v>26.404399999999999</c:v>
                </c:pt>
                <c:pt idx="66">
                  <c:v>26.807099999999998</c:v>
                </c:pt>
                <c:pt idx="67">
                  <c:v>27.213200000000001</c:v>
                </c:pt>
                <c:pt idx="68">
                  <c:v>27.6249</c:v>
                </c:pt>
                <c:pt idx="69">
                  <c:v>28.030100000000001</c:v>
                </c:pt>
                <c:pt idx="70">
                  <c:v>28.4376</c:v>
                </c:pt>
                <c:pt idx="71">
                  <c:v>28.84</c:v>
                </c:pt>
                <c:pt idx="72">
                  <c:v>29.247499999999999</c:v>
                </c:pt>
                <c:pt idx="73">
                  <c:v>29.654399999999999</c:v>
                </c:pt>
                <c:pt idx="74">
                  <c:v>30.061599999999999</c:v>
                </c:pt>
                <c:pt idx="75">
                  <c:v>30.5273</c:v>
                </c:pt>
                <c:pt idx="76">
                  <c:v>30.935099999999998</c:v>
                </c:pt>
                <c:pt idx="77">
                  <c:v>31.339500000000001</c:v>
                </c:pt>
                <c:pt idx="78">
                  <c:v>31.7331</c:v>
                </c:pt>
                <c:pt idx="79">
                  <c:v>32.1372</c:v>
                </c:pt>
                <c:pt idx="80">
                  <c:v>32.541600000000003</c:v>
                </c:pt>
                <c:pt idx="81">
                  <c:v>32.950299999999999</c:v>
                </c:pt>
                <c:pt idx="82">
                  <c:v>33.356699999999996</c:v>
                </c:pt>
                <c:pt idx="83">
                  <c:v>33.7622</c:v>
                </c:pt>
                <c:pt idx="84">
                  <c:v>34.170999999999999</c:v>
                </c:pt>
                <c:pt idx="85">
                  <c:v>34.574800000000003</c:v>
                </c:pt>
                <c:pt idx="86">
                  <c:v>34.982100000000003</c:v>
                </c:pt>
                <c:pt idx="87">
                  <c:v>35.387799999999999</c:v>
                </c:pt>
                <c:pt idx="88">
                  <c:v>35.798099999999998</c:v>
                </c:pt>
                <c:pt idx="89">
                  <c:v>36.2029</c:v>
                </c:pt>
                <c:pt idx="90">
                  <c:v>36.607100000000003</c:v>
                </c:pt>
                <c:pt idx="91">
                  <c:v>37.011800000000001</c:v>
                </c:pt>
                <c:pt idx="92">
                  <c:v>37.418500000000002</c:v>
                </c:pt>
                <c:pt idx="93">
                  <c:v>37.824100000000001</c:v>
                </c:pt>
                <c:pt idx="94">
                  <c:v>38.2318</c:v>
                </c:pt>
                <c:pt idx="95">
                  <c:v>38.64</c:v>
                </c:pt>
                <c:pt idx="96">
                  <c:v>39.045200000000001</c:v>
                </c:pt>
                <c:pt idx="97">
                  <c:v>39.450499999999998</c:v>
                </c:pt>
                <c:pt idx="98">
                  <c:v>39.8566</c:v>
                </c:pt>
                <c:pt idx="99">
                  <c:v>40.263599999999997</c:v>
                </c:pt>
                <c:pt idx="100">
                  <c:v>40.669899999999998</c:v>
                </c:pt>
                <c:pt idx="101">
                  <c:v>41.077100000000002</c:v>
                </c:pt>
                <c:pt idx="102">
                  <c:v>41.484699999999997</c:v>
                </c:pt>
                <c:pt idx="103">
                  <c:v>41.888199999999998</c:v>
                </c:pt>
                <c:pt idx="104">
                  <c:v>42.294699999999999</c:v>
                </c:pt>
                <c:pt idx="105">
                  <c:v>42.702399999999997</c:v>
                </c:pt>
                <c:pt idx="106">
                  <c:v>43.108199999999997</c:v>
                </c:pt>
                <c:pt idx="107">
                  <c:v>43.5107</c:v>
                </c:pt>
                <c:pt idx="108">
                  <c:v>43.916899999999998</c:v>
                </c:pt>
                <c:pt idx="109">
                  <c:v>44.328299999999999</c:v>
                </c:pt>
                <c:pt idx="110">
                  <c:v>44.733400000000003</c:v>
                </c:pt>
                <c:pt idx="111">
                  <c:v>45.138100000000001</c:v>
                </c:pt>
                <c:pt idx="112">
                  <c:v>45.542900000000003</c:v>
                </c:pt>
                <c:pt idx="113">
                  <c:v>45.951300000000003</c:v>
                </c:pt>
                <c:pt idx="114">
                  <c:v>46.355699999999999</c:v>
                </c:pt>
                <c:pt idx="115">
                  <c:v>46.763399999999997</c:v>
                </c:pt>
                <c:pt idx="116">
                  <c:v>47.1691</c:v>
                </c:pt>
                <c:pt idx="117">
                  <c:v>47.574800000000003</c:v>
                </c:pt>
                <c:pt idx="118">
                  <c:v>47.983499999999999</c:v>
                </c:pt>
                <c:pt idx="119">
                  <c:v>48.391199999999998</c:v>
                </c:pt>
                <c:pt idx="120">
                  <c:v>48.7956</c:v>
                </c:pt>
                <c:pt idx="121">
                  <c:v>49.201700000000002</c:v>
                </c:pt>
                <c:pt idx="122">
                  <c:v>49.607999999999997</c:v>
                </c:pt>
                <c:pt idx="123">
                  <c:v>50.011200000000002</c:v>
                </c:pt>
                <c:pt idx="124">
                  <c:v>50.421500000000002</c:v>
                </c:pt>
                <c:pt idx="125">
                  <c:v>50.825800000000001</c:v>
                </c:pt>
                <c:pt idx="126">
                  <c:v>51.232399999999998</c:v>
                </c:pt>
                <c:pt idx="127">
                  <c:v>51.637500000000003</c:v>
                </c:pt>
                <c:pt idx="128">
                  <c:v>52.041899999999998</c:v>
                </c:pt>
                <c:pt idx="129">
                  <c:v>52.4497</c:v>
                </c:pt>
                <c:pt idx="130">
                  <c:v>52.857900000000001</c:v>
                </c:pt>
                <c:pt idx="131">
                  <c:v>53.265799999999999</c:v>
                </c:pt>
                <c:pt idx="132">
                  <c:v>53.669499999999999</c:v>
                </c:pt>
                <c:pt idx="133">
                  <c:v>54.071899999999999</c:v>
                </c:pt>
                <c:pt idx="134">
                  <c:v>54.481699999999996</c:v>
                </c:pt>
                <c:pt idx="135">
                  <c:v>54.889800000000001</c:v>
                </c:pt>
                <c:pt idx="136">
                  <c:v>55.2926</c:v>
                </c:pt>
                <c:pt idx="137">
                  <c:v>55.700200000000002</c:v>
                </c:pt>
                <c:pt idx="138">
                  <c:v>56.105800000000002</c:v>
                </c:pt>
                <c:pt idx="139">
                  <c:v>56.5122</c:v>
                </c:pt>
                <c:pt idx="140">
                  <c:v>56.9221</c:v>
                </c:pt>
                <c:pt idx="141">
                  <c:v>57.328299999999999</c:v>
                </c:pt>
                <c:pt idx="142">
                  <c:v>57.734200000000001</c:v>
                </c:pt>
                <c:pt idx="143">
                  <c:v>58.138300000000001</c:v>
                </c:pt>
                <c:pt idx="144">
                  <c:v>58.543100000000003</c:v>
                </c:pt>
                <c:pt idx="145">
                  <c:v>58.953499999999998</c:v>
                </c:pt>
                <c:pt idx="146">
                  <c:v>59.356499999999997</c:v>
                </c:pt>
                <c:pt idx="147">
                  <c:v>59.7637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2.4634</c:v>
                </c:pt>
                <c:pt idx="1">
                  <c:v>2.5285600000000001</c:v>
                </c:pt>
                <c:pt idx="2">
                  <c:v>2.59361</c:v>
                </c:pt>
                <c:pt idx="3">
                  <c:v>2.6579700000000002</c:v>
                </c:pt>
                <c:pt idx="4">
                  <c:v>2.7218999999999998</c:v>
                </c:pt>
                <c:pt idx="5">
                  <c:v>2.7859400000000001</c:v>
                </c:pt>
                <c:pt idx="6">
                  <c:v>2.8485899999999997</c:v>
                </c:pt>
                <c:pt idx="7">
                  <c:v>2.9110999999999998</c:v>
                </c:pt>
                <c:pt idx="8">
                  <c:v>2.9748200000000002</c:v>
                </c:pt>
                <c:pt idx="9">
                  <c:v>3.0355300000000001</c:v>
                </c:pt>
                <c:pt idx="10">
                  <c:v>3.0935200000000003</c:v>
                </c:pt>
                <c:pt idx="11">
                  <c:v>3.14682</c:v>
                </c:pt>
                <c:pt idx="12">
                  <c:v>3.1967800000000004</c:v>
                </c:pt>
                <c:pt idx="13">
                  <c:v>3.2427000000000001</c:v>
                </c:pt>
                <c:pt idx="14">
                  <c:v>3.28735</c:v>
                </c:pt>
                <c:pt idx="15">
                  <c:v>3.33046</c:v>
                </c:pt>
                <c:pt idx="16">
                  <c:v>3.3727299999999998</c:v>
                </c:pt>
                <c:pt idx="17">
                  <c:v>3.4137</c:v>
                </c:pt>
                <c:pt idx="18">
                  <c:v>3.45153</c:v>
                </c:pt>
                <c:pt idx="19">
                  <c:v>3.4901300000000002</c:v>
                </c:pt>
                <c:pt idx="20">
                  <c:v>3.5277799999999999</c:v>
                </c:pt>
                <c:pt idx="21">
                  <c:v>3.5604799999999996</c:v>
                </c:pt>
                <c:pt idx="22">
                  <c:v>3.5893100000000002</c:v>
                </c:pt>
                <c:pt idx="23">
                  <c:v>3.6147</c:v>
                </c:pt>
                <c:pt idx="24">
                  <c:v>3.6388500000000001</c:v>
                </c:pt>
                <c:pt idx="25">
                  <c:v>3.66052</c:v>
                </c:pt>
                <c:pt idx="26">
                  <c:v>3.68086</c:v>
                </c:pt>
                <c:pt idx="27">
                  <c:v>3.6993100000000001</c:v>
                </c:pt>
                <c:pt idx="28">
                  <c:v>3.7142199999999996</c:v>
                </c:pt>
                <c:pt idx="29">
                  <c:v>3.7275799999999997</c:v>
                </c:pt>
                <c:pt idx="30">
                  <c:v>3.7386999999999997</c:v>
                </c:pt>
                <c:pt idx="31">
                  <c:v>3.7472400000000001</c:v>
                </c:pt>
                <c:pt idx="32">
                  <c:v>3.7525500000000003</c:v>
                </c:pt>
                <c:pt idx="33">
                  <c:v>3.7523099999999996</c:v>
                </c:pt>
                <c:pt idx="34">
                  <c:v>3.74953</c:v>
                </c:pt>
                <c:pt idx="35">
                  <c:v>3.7456099999999997</c:v>
                </c:pt>
                <c:pt idx="36">
                  <c:v>3.7408799999999998</c:v>
                </c:pt>
                <c:pt idx="37">
                  <c:v>3.7353700000000001</c:v>
                </c:pt>
                <c:pt idx="38">
                  <c:v>3.7302400000000002</c:v>
                </c:pt>
                <c:pt idx="39">
                  <c:v>3.7231300000000003</c:v>
                </c:pt>
                <c:pt idx="40">
                  <c:v>3.7133899999999995</c:v>
                </c:pt>
                <c:pt idx="41">
                  <c:v>3.7005500000000002</c:v>
                </c:pt>
                <c:pt idx="42">
                  <c:v>3.6871799999999997</c:v>
                </c:pt>
                <c:pt idx="43">
                  <c:v>3.6756899999999999</c:v>
                </c:pt>
                <c:pt idx="44">
                  <c:v>3.66242</c:v>
                </c:pt>
                <c:pt idx="45">
                  <c:v>3.6479900000000001</c:v>
                </c:pt>
                <c:pt idx="46">
                  <c:v>3.6324299999999998</c:v>
                </c:pt>
                <c:pt idx="47">
                  <c:v>3.6170299999999997</c:v>
                </c:pt>
                <c:pt idx="48">
                  <c:v>3.60284</c:v>
                </c:pt>
                <c:pt idx="49">
                  <c:v>3.5855300000000003</c:v>
                </c:pt>
                <c:pt idx="50">
                  <c:v>3.5725199999999999</c:v>
                </c:pt>
                <c:pt idx="51">
                  <c:v>3.5517399999999997</c:v>
                </c:pt>
                <c:pt idx="52">
                  <c:v>3.5286600000000004</c:v>
                </c:pt>
                <c:pt idx="53">
                  <c:v>3.4965600000000001</c:v>
                </c:pt>
                <c:pt idx="54">
                  <c:v>3.4767999999999999</c:v>
                </c:pt>
                <c:pt idx="55">
                  <c:v>3.4492000000000003</c:v>
                </c:pt>
                <c:pt idx="56">
                  <c:v>3.4179599999999999</c:v>
                </c:pt>
                <c:pt idx="57">
                  <c:v>3.3971800000000001</c:v>
                </c:pt>
                <c:pt idx="58">
                  <c:v>3.3726499999999997</c:v>
                </c:pt>
                <c:pt idx="59">
                  <c:v>3.3515299999999999</c:v>
                </c:pt>
                <c:pt idx="60">
                  <c:v>3.33786</c:v>
                </c:pt>
                <c:pt idx="61">
                  <c:v>3.3271899999999999</c:v>
                </c:pt>
                <c:pt idx="62">
                  <c:v>3.3203899999999997</c:v>
                </c:pt>
                <c:pt idx="63">
                  <c:v>3.3147900000000003</c:v>
                </c:pt>
                <c:pt idx="64">
                  <c:v>3.3079799999999997</c:v>
                </c:pt>
                <c:pt idx="65">
                  <c:v>3.2999400000000003</c:v>
                </c:pt>
                <c:pt idx="66">
                  <c:v>3.2933600000000003</c:v>
                </c:pt>
                <c:pt idx="67">
                  <c:v>3.2862</c:v>
                </c:pt>
                <c:pt idx="68">
                  <c:v>3.2782400000000003</c:v>
                </c:pt>
                <c:pt idx="69">
                  <c:v>3.27115</c:v>
                </c:pt>
                <c:pt idx="70">
                  <c:v>3.2638699999999998</c:v>
                </c:pt>
                <c:pt idx="71">
                  <c:v>3.2600899999999999</c:v>
                </c:pt>
                <c:pt idx="72">
                  <c:v>3.2553199999999998</c:v>
                </c:pt>
                <c:pt idx="73">
                  <c:v>3.2515699999999996</c:v>
                </c:pt>
                <c:pt idx="74">
                  <c:v>3.2519100000000001</c:v>
                </c:pt>
                <c:pt idx="75">
                  <c:v>3.2526699999999997</c:v>
                </c:pt>
                <c:pt idx="76">
                  <c:v>3.2538299999999998</c:v>
                </c:pt>
                <c:pt idx="77">
                  <c:v>3.2570399999999999</c:v>
                </c:pt>
                <c:pt idx="78">
                  <c:v>3.2627899999999999</c:v>
                </c:pt>
                <c:pt idx="79">
                  <c:v>3.2713900000000002</c:v>
                </c:pt>
                <c:pt idx="80">
                  <c:v>3.2804600000000002</c:v>
                </c:pt>
                <c:pt idx="81">
                  <c:v>3.2898500000000004</c:v>
                </c:pt>
                <c:pt idx="82">
                  <c:v>3.3012700000000001</c:v>
                </c:pt>
                <c:pt idx="83">
                  <c:v>3.31203</c:v>
                </c:pt>
                <c:pt idx="84">
                  <c:v>3.3204400000000001</c:v>
                </c:pt>
                <c:pt idx="85">
                  <c:v>3.3279399999999999</c:v>
                </c:pt>
                <c:pt idx="86">
                  <c:v>3.3344100000000001</c:v>
                </c:pt>
                <c:pt idx="87">
                  <c:v>3.3425400000000001</c:v>
                </c:pt>
                <c:pt idx="88">
                  <c:v>3.3513900000000003</c:v>
                </c:pt>
                <c:pt idx="89">
                  <c:v>3.3613599999999999</c:v>
                </c:pt>
                <c:pt idx="90">
                  <c:v>3.3729100000000001</c:v>
                </c:pt>
                <c:pt idx="91">
                  <c:v>3.38645</c:v>
                </c:pt>
                <c:pt idx="92">
                  <c:v>3.4022799999999997</c:v>
                </c:pt>
                <c:pt idx="93">
                  <c:v>3.4203299999999999</c:v>
                </c:pt>
                <c:pt idx="94">
                  <c:v>3.4375200000000001</c:v>
                </c:pt>
                <c:pt idx="95">
                  <c:v>3.4554600000000004</c:v>
                </c:pt>
                <c:pt idx="96">
                  <c:v>3.47255</c:v>
                </c:pt>
                <c:pt idx="97">
                  <c:v>3.4886200000000001</c:v>
                </c:pt>
                <c:pt idx="98">
                  <c:v>3.5036699999999996</c:v>
                </c:pt>
                <c:pt idx="99">
                  <c:v>3.5182600000000002</c:v>
                </c:pt>
                <c:pt idx="100">
                  <c:v>3.5324299999999997</c:v>
                </c:pt>
                <c:pt idx="101">
                  <c:v>3.54813</c:v>
                </c:pt>
                <c:pt idx="102">
                  <c:v>3.56751</c:v>
                </c:pt>
                <c:pt idx="103">
                  <c:v>3.5883099999999999</c:v>
                </c:pt>
                <c:pt idx="104">
                  <c:v>3.6076000000000001</c:v>
                </c:pt>
                <c:pt idx="105">
                  <c:v>3.62609</c:v>
                </c:pt>
                <c:pt idx="106">
                  <c:v>3.6432500000000001</c:v>
                </c:pt>
                <c:pt idx="107">
                  <c:v>3.6587499999999999</c:v>
                </c:pt>
                <c:pt idx="108">
                  <c:v>3.6705399999999999</c:v>
                </c:pt>
                <c:pt idx="109">
                  <c:v>3.6786000000000003</c:v>
                </c:pt>
                <c:pt idx="110">
                  <c:v>3.68323</c:v>
                </c:pt>
                <c:pt idx="111">
                  <c:v>3.6878600000000001</c:v>
                </c:pt>
                <c:pt idx="112">
                  <c:v>3.6897099999999998</c:v>
                </c:pt>
                <c:pt idx="113">
                  <c:v>3.6880299999999999</c:v>
                </c:pt>
                <c:pt idx="114">
                  <c:v>3.68771</c:v>
                </c:pt>
                <c:pt idx="115">
                  <c:v>3.68811</c:v>
                </c:pt>
                <c:pt idx="116">
                  <c:v>3.6879</c:v>
                </c:pt>
                <c:pt idx="117">
                  <c:v>3.68709</c:v>
                </c:pt>
                <c:pt idx="118">
                  <c:v>3.68255</c:v>
                </c:pt>
                <c:pt idx="119">
                  <c:v>3.67801</c:v>
                </c:pt>
                <c:pt idx="120">
                  <c:v>3.6727400000000001</c:v>
                </c:pt>
                <c:pt idx="121">
                  <c:v>3.6675499999999999</c:v>
                </c:pt>
                <c:pt idx="122">
                  <c:v>3.6629399999999999</c:v>
                </c:pt>
                <c:pt idx="123">
                  <c:v>3.6572399999999998</c:v>
                </c:pt>
                <c:pt idx="124">
                  <c:v>3.6574099999999996</c:v>
                </c:pt>
                <c:pt idx="125">
                  <c:v>3.6584899999999996</c:v>
                </c:pt>
                <c:pt idx="126">
                  <c:v>3.65842</c:v>
                </c:pt>
                <c:pt idx="127">
                  <c:v>3.6541399999999999</c:v>
                </c:pt>
                <c:pt idx="128">
                  <c:v>3.64635</c:v>
                </c:pt>
                <c:pt idx="129">
                  <c:v>3.6369899999999999</c:v>
                </c:pt>
                <c:pt idx="130">
                  <c:v>3.6254799999999996</c:v>
                </c:pt>
                <c:pt idx="131">
                  <c:v>3.6123799999999999</c:v>
                </c:pt>
                <c:pt idx="132">
                  <c:v>3.5981200000000002</c:v>
                </c:pt>
                <c:pt idx="133">
                  <c:v>3.5864699999999998</c:v>
                </c:pt>
                <c:pt idx="134">
                  <c:v>3.5789300000000002</c:v>
                </c:pt>
                <c:pt idx="135">
                  <c:v>3.5735899999999998</c:v>
                </c:pt>
                <c:pt idx="136">
                  <c:v>3.5640399999999999</c:v>
                </c:pt>
                <c:pt idx="137">
                  <c:v>3.5564800000000001</c:v>
                </c:pt>
                <c:pt idx="138">
                  <c:v>3.5530299999999997</c:v>
                </c:pt>
                <c:pt idx="139">
                  <c:v>3.5466199999999999</c:v>
                </c:pt>
                <c:pt idx="140">
                  <c:v>3.5390800000000002</c:v>
                </c:pt>
                <c:pt idx="141">
                  <c:v>3.5301900000000002</c:v>
                </c:pt>
                <c:pt idx="142">
                  <c:v>3.5154999999999998</c:v>
                </c:pt>
                <c:pt idx="143">
                  <c:v>3.5056799999999999</c:v>
                </c:pt>
                <c:pt idx="144">
                  <c:v>3.49505</c:v>
                </c:pt>
                <c:pt idx="145">
                  <c:v>3.4835199999999999</c:v>
                </c:pt>
                <c:pt idx="146">
                  <c:v>3.4721700000000002</c:v>
                </c:pt>
                <c:pt idx="147">
                  <c:v>3.45783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0.40443299999999999</c:v>
                </c:pt>
                <c:pt idx="2">
                  <c:v>0.81212099999999998</c:v>
                </c:pt>
                <c:pt idx="3">
                  <c:v>1.21818</c:v>
                </c:pt>
                <c:pt idx="4">
                  <c:v>1.6215200000000001</c:v>
                </c:pt>
                <c:pt idx="5">
                  <c:v>2.02623</c:v>
                </c:pt>
                <c:pt idx="6">
                  <c:v>2.4389799999999999</c:v>
                </c:pt>
                <c:pt idx="7">
                  <c:v>2.84063</c:v>
                </c:pt>
                <c:pt idx="8">
                  <c:v>3.2461700000000002</c:v>
                </c:pt>
                <c:pt idx="9">
                  <c:v>3.6535600000000001</c:v>
                </c:pt>
                <c:pt idx="10">
                  <c:v>4.0589700000000004</c:v>
                </c:pt>
                <c:pt idx="11">
                  <c:v>4.4672999999999998</c:v>
                </c:pt>
                <c:pt idx="12">
                  <c:v>4.8729800000000001</c:v>
                </c:pt>
                <c:pt idx="13">
                  <c:v>5.2779299999999996</c:v>
                </c:pt>
                <c:pt idx="14">
                  <c:v>5.6857699999999998</c:v>
                </c:pt>
                <c:pt idx="15">
                  <c:v>6.0896299999999997</c:v>
                </c:pt>
                <c:pt idx="16">
                  <c:v>6.49756</c:v>
                </c:pt>
                <c:pt idx="17">
                  <c:v>6.9041199999999998</c:v>
                </c:pt>
                <c:pt idx="18">
                  <c:v>7.3101500000000001</c:v>
                </c:pt>
                <c:pt idx="19">
                  <c:v>7.7198900000000004</c:v>
                </c:pt>
                <c:pt idx="20">
                  <c:v>8.1222100000000008</c:v>
                </c:pt>
                <c:pt idx="21">
                  <c:v>8.5299300000000002</c:v>
                </c:pt>
                <c:pt idx="22">
                  <c:v>8.9357299999999995</c:v>
                </c:pt>
                <c:pt idx="23">
                  <c:v>9.3417399999999997</c:v>
                </c:pt>
                <c:pt idx="24">
                  <c:v>9.7496100000000006</c:v>
                </c:pt>
                <c:pt idx="25">
                  <c:v>10.1547</c:v>
                </c:pt>
                <c:pt idx="26">
                  <c:v>10.5604</c:v>
                </c:pt>
                <c:pt idx="27">
                  <c:v>10.9657</c:v>
                </c:pt>
                <c:pt idx="28">
                  <c:v>11.3741</c:v>
                </c:pt>
                <c:pt idx="29">
                  <c:v>11.783300000000001</c:v>
                </c:pt>
                <c:pt idx="30">
                  <c:v>12.185700000000001</c:v>
                </c:pt>
                <c:pt idx="31">
                  <c:v>12.589700000000001</c:v>
                </c:pt>
                <c:pt idx="32">
                  <c:v>13.000500000000001</c:v>
                </c:pt>
                <c:pt idx="33">
                  <c:v>13.4048</c:v>
                </c:pt>
                <c:pt idx="34">
                  <c:v>13.8103</c:v>
                </c:pt>
                <c:pt idx="35">
                  <c:v>14.216100000000001</c:v>
                </c:pt>
                <c:pt idx="36">
                  <c:v>14.6211</c:v>
                </c:pt>
                <c:pt idx="37">
                  <c:v>15.029500000000001</c:v>
                </c:pt>
                <c:pt idx="38">
                  <c:v>15.439</c:v>
                </c:pt>
                <c:pt idx="39">
                  <c:v>15.8424</c:v>
                </c:pt>
                <c:pt idx="40">
                  <c:v>16.246600000000001</c:v>
                </c:pt>
                <c:pt idx="41">
                  <c:v>16.657</c:v>
                </c:pt>
                <c:pt idx="42">
                  <c:v>17.062100000000001</c:v>
                </c:pt>
                <c:pt idx="43">
                  <c:v>17.465299999999999</c:v>
                </c:pt>
                <c:pt idx="44">
                  <c:v>17.873100000000001</c:v>
                </c:pt>
                <c:pt idx="45">
                  <c:v>18.279199999999999</c:v>
                </c:pt>
                <c:pt idx="46">
                  <c:v>18.681999999999999</c:v>
                </c:pt>
                <c:pt idx="47">
                  <c:v>19.0932</c:v>
                </c:pt>
                <c:pt idx="48">
                  <c:v>19.498999999999999</c:v>
                </c:pt>
                <c:pt idx="49">
                  <c:v>19.904800000000002</c:v>
                </c:pt>
                <c:pt idx="50">
                  <c:v>20.309699999999999</c:v>
                </c:pt>
                <c:pt idx="51">
                  <c:v>20.7164</c:v>
                </c:pt>
                <c:pt idx="52">
                  <c:v>21.121200000000002</c:v>
                </c:pt>
                <c:pt idx="53">
                  <c:v>21.5303</c:v>
                </c:pt>
                <c:pt idx="54">
                  <c:v>21.9358</c:v>
                </c:pt>
                <c:pt idx="55">
                  <c:v>22.3398</c:v>
                </c:pt>
                <c:pt idx="56">
                  <c:v>22.748699999999999</c:v>
                </c:pt>
                <c:pt idx="57">
                  <c:v>23.156300000000002</c:v>
                </c:pt>
                <c:pt idx="58">
                  <c:v>23.561</c:v>
                </c:pt>
                <c:pt idx="59">
                  <c:v>23.968399999999999</c:v>
                </c:pt>
                <c:pt idx="60">
                  <c:v>24.374099999999999</c:v>
                </c:pt>
                <c:pt idx="61">
                  <c:v>24.776700000000002</c:v>
                </c:pt>
                <c:pt idx="62">
                  <c:v>25.1859</c:v>
                </c:pt>
                <c:pt idx="63">
                  <c:v>25.593499999999999</c:v>
                </c:pt>
                <c:pt idx="64">
                  <c:v>26.000499999999999</c:v>
                </c:pt>
                <c:pt idx="65">
                  <c:v>26.404399999999999</c:v>
                </c:pt>
                <c:pt idx="66">
                  <c:v>26.807099999999998</c:v>
                </c:pt>
                <c:pt idx="67">
                  <c:v>27.213200000000001</c:v>
                </c:pt>
                <c:pt idx="68">
                  <c:v>27.6249</c:v>
                </c:pt>
                <c:pt idx="69">
                  <c:v>28.030100000000001</c:v>
                </c:pt>
                <c:pt idx="70">
                  <c:v>28.4376</c:v>
                </c:pt>
                <c:pt idx="71">
                  <c:v>28.84</c:v>
                </c:pt>
                <c:pt idx="72">
                  <c:v>29.247499999999999</c:v>
                </c:pt>
                <c:pt idx="73">
                  <c:v>29.654399999999999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2.4634</c:v>
                </c:pt>
                <c:pt idx="1">
                  <c:v>2.5285600000000001</c:v>
                </c:pt>
                <c:pt idx="2">
                  <c:v>2.59361</c:v>
                </c:pt>
                <c:pt idx="3">
                  <c:v>2.6579700000000002</c:v>
                </c:pt>
                <c:pt idx="4">
                  <c:v>2.7218999999999998</c:v>
                </c:pt>
                <c:pt idx="5">
                  <c:v>2.7859400000000001</c:v>
                </c:pt>
                <c:pt idx="6">
                  <c:v>2.8485899999999997</c:v>
                </c:pt>
                <c:pt idx="7">
                  <c:v>2.9110999999999998</c:v>
                </c:pt>
                <c:pt idx="8">
                  <c:v>2.9748200000000002</c:v>
                </c:pt>
                <c:pt idx="9">
                  <c:v>3.0355300000000001</c:v>
                </c:pt>
                <c:pt idx="10">
                  <c:v>3.0935200000000003</c:v>
                </c:pt>
                <c:pt idx="11">
                  <c:v>3.14682</c:v>
                </c:pt>
                <c:pt idx="12">
                  <c:v>3.1967800000000004</c:v>
                </c:pt>
                <c:pt idx="13">
                  <c:v>3.2427000000000001</c:v>
                </c:pt>
                <c:pt idx="14">
                  <c:v>3.28735</c:v>
                </c:pt>
                <c:pt idx="15">
                  <c:v>3.33046</c:v>
                </c:pt>
                <c:pt idx="16">
                  <c:v>3.3727299999999998</c:v>
                </c:pt>
                <c:pt idx="17">
                  <c:v>3.4137</c:v>
                </c:pt>
                <c:pt idx="18">
                  <c:v>3.45153</c:v>
                </c:pt>
                <c:pt idx="19">
                  <c:v>3.4901300000000002</c:v>
                </c:pt>
                <c:pt idx="20">
                  <c:v>3.5277799999999999</c:v>
                </c:pt>
                <c:pt idx="21">
                  <c:v>3.5604799999999996</c:v>
                </c:pt>
                <c:pt idx="22">
                  <c:v>3.5893100000000002</c:v>
                </c:pt>
                <c:pt idx="23">
                  <c:v>3.6147</c:v>
                </c:pt>
                <c:pt idx="24">
                  <c:v>3.6388500000000001</c:v>
                </c:pt>
                <c:pt idx="25">
                  <c:v>3.66052</c:v>
                </c:pt>
                <c:pt idx="26">
                  <c:v>3.68086</c:v>
                </c:pt>
                <c:pt idx="27">
                  <c:v>3.6993100000000001</c:v>
                </c:pt>
                <c:pt idx="28">
                  <c:v>3.7142199999999996</c:v>
                </c:pt>
                <c:pt idx="29">
                  <c:v>3.7275799999999997</c:v>
                </c:pt>
                <c:pt idx="30">
                  <c:v>3.7386999999999997</c:v>
                </c:pt>
                <c:pt idx="31">
                  <c:v>3.7472400000000001</c:v>
                </c:pt>
                <c:pt idx="32">
                  <c:v>3.7525500000000003</c:v>
                </c:pt>
                <c:pt idx="33">
                  <c:v>3.7523099999999996</c:v>
                </c:pt>
                <c:pt idx="34">
                  <c:v>3.74953</c:v>
                </c:pt>
                <c:pt idx="35">
                  <c:v>3.7456099999999997</c:v>
                </c:pt>
                <c:pt idx="36">
                  <c:v>3.7408799999999998</c:v>
                </c:pt>
                <c:pt idx="37">
                  <c:v>3.7353700000000001</c:v>
                </c:pt>
                <c:pt idx="38">
                  <c:v>3.7302400000000002</c:v>
                </c:pt>
                <c:pt idx="39">
                  <c:v>3.7231300000000003</c:v>
                </c:pt>
                <c:pt idx="40">
                  <c:v>3.7133899999999995</c:v>
                </c:pt>
                <c:pt idx="41">
                  <c:v>3.7005500000000002</c:v>
                </c:pt>
                <c:pt idx="42">
                  <c:v>3.6871799999999997</c:v>
                </c:pt>
                <c:pt idx="43">
                  <c:v>3.6756899999999999</c:v>
                </c:pt>
                <c:pt idx="44">
                  <c:v>3.66242</c:v>
                </c:pt>
                <c:pt idx="45">
                  <c:v>3.6479900000000001</c:v>
                </c:pt>
                <c:pt idx="46">
                  <c:v>3.6324299999999998</c:v>
                </c:pt>
                <c:pt idx="47">
                  <c:v>3.6170299999999997</c:v>
                </c:pt>
                <c:pt idx="48">
                  <c:v>3.60284</c:v>
                </c:pt>
                <c:pt idx="49">
                  <c:v>3.5855300000000003</c:v>
                </c:pt>
                <c:pt idx="50">
                  <c:v>3.5725199999999999</c:v>
                </c:pt>
                <c:pt idx="51">
                  <c:v>3.5517399999999997</c:v>
                </c:pt>
                <c:pt idx="52">
                  <c:v>3.5286600000000004</c:v>
                </c:pt>
                <c:pt idx="53">
                  <c:v>3.4965600000000001</c:v>
                </c:pt>
                <c:pt idx="54">
                  <c:v>3.4767999999999999</c:v>
                </c:pt>
                <c:pt idx="55">
                  <c:v>3.4492000000000003</c:v>
                </c:pt>
                <c:pt idx="56">
                  <c:v>3.4179599999999999</c:v>
                </c:pt>
                <c:pt idx="57">
                  <c:v>3.3971800000000001</c:v>
                </c:pt>
                <c:pt idx="58">
                  <c:v>3.3726499999999997</c:v>
                </c:pt>
                <c:pt idx="59">
                  <c:v>3.3515299999999999</c:v>
                </c:pt>
                <c:pt idx="60">
                  <c:v>3.33786</c:v>
                </c:pt>
                <c:pt idx="61">
                  <c:v>3.3271899999999999</c:v>
                </c:pt>
                <c:pt idx="62">
                  <c:v>3.3203899999999997</c:v>
                </c:pt>
                <c:pt idx="63">
                  <c:v>3.3147900000000003</c:v>
                </c:pt>
                <c:pt idx="64">
                  <c:v>3.3079799999999997</c:v>
                </c:pt>
                <c:pt idx="65">
                  <c:v>3.2999400000000003</c:v>
                </c:pt>
                <c:pt idx="66">
                  <c:v>3.2933600000000003</c:v>
                </c:pt>
                <c:pt idx="67">
                  <c:v>3.2862</c:v>
                </c:pt>
                <c:pt idx="68">
                  <c:v>3.2782400000000003</c:v>
                </c:pt>
                <c:pt idx="69">
                  <c:v>3.27115</c:v>
                </c:pt>
                <c:pt idx="70">
                  <c:v>3.2638699999999998</c:v>
                </c:pt>
                <c:pt idx="71">
                  <c:v>3.2600899999999999</c:v>
                </c:pt>
                <c:pt idx="72">
                  <c:v>3.2553199999999998</c:v>
                </c:pt>
                <c:pt idx="73">
                  <c:v>3.2515699999999996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29.654399999999999</c:v>
                </c:pt>
                <c:pt idx="1">
                  <c:v>30.061599999999999</c:v>
                </c:pt>
                <c:pt idx="2">
                  <c:v>30.5273</c:v>
                </c:pt>
                <c:pt idx="3">
                  <c:v>30.935099999999998</c:v>
                </c:pt>
                <c:pt idx="4">
                  <c:v>31.339500000000001</c:v>
                </c:pt>
                <c:pt idx="5">
                  <c:v>31.7331</c:v>
                </c:pt>
                <c:pt idx="6">
                  <c:v>32.1372</c:v>
                </c:pt>
                <c:pt idx="7">
                  <c:v>32.541600000000003</c:v>
                </c:pt>
                <c:pt idx="8">
                  <c:v>32.950299999999999</c:v>
                </c:pt>
                <c:pt idx="9">
                  <c:v>33.356699999999996</c:v>
                </c:pt>
                <c:pt idx="10">
                  <c:v>33.7622</c:v>
                </c:pt>
                <c:pt idx="11">
                  <c:v>34.170999999999999</c:v>
                </c:pt>
                <c:pt idx="12">
                  <c:v>34.574800000000003</c:v>
                </c:pt>
                <c:pt idx="13">
                  <c:v>34.982100000000003</c:v>
                </c:pt>
                <c:pt idx="14">
                  <c:v>35.387799999999999</c:v>
                </c:pt>
                <c:pt idx="15">
                  <c:v>35.798099999999998</c:v>
                </c:pt>
                <c:pt idx="16">
                  <c:v>36.2029</c:v>
                </c:pt>
                <c:pt idx="17">
                  <c:v>36.607100000000003</c:v>
                </c:pt>
                <c:pt idx="18">
                  <c:v>37.011800000000001</c:v>
                </c:pt>
                <c:pt idx="19">
                  <c:v>37.418500000000002</c:v>
                </c:pt>
                <c:pt idx="20">
                  <c:v>37.824100000000001</c:v>
                </c:pt>
                <c:pt idx="21">
                  <c:v>38.2318</c:v>
                </c:pt>
                <c:pt idx="22">
                  <c:v>38.64</c:v>
                </c:pt>
                <c:pt idx="23">
                  <c:v>39.045200000000001</c:v>
                </c:pt>
                <c:pt idx="24">
                  <c:v>39.450499999999998</c:v>
                </c:pt>
                <c:pt idx="25">
                  <c:v>39.8566</c:v>
                </c:pt>
                <c:pt idx="26">
                  <c:v>40.263599999999997</c:v>
                </c:pt>
                <c:pt idx="27">
                  <c:v>40.669899999999998</c:v>
                </c:pt>
                <c:pt idx="28">
                  <c:v>41.077100000000002</c:v>
                </c:pt>
                <c:pt idx="29">
                  <c:v>41.484699999999997</c:v>
                </c:pt>
                <c:pt idx="30">
                  <c:v>41.888199999999998</c:v>
                </c:pt>
                <c:pt idx="31">
                  <c:v>42.294699999999999</c:v>
                </c:pt>
                <c:pt idx="32">
                  <c:v>42.702399999999997</c:v>
                </c:pt>
                <c:pt idx="33">
                  <c:v>43.108199999999997</c:v>
                </c:pt>
                <c:pt idx="34">
                  <c:v>43.5107</c:v>
                </c:pt>
                <c:pt idx="35">
                  <c:v>43.916899999999998</c:v>
                </c:pt>
                <c:pt idx="36">
                  <c:v>44.328299999999999</c:v>
                </c:pt>
                <c:pt idx="37">
                  <c:v>44.733400000000003</c:v>
                </c:pt>
                <c:pt idx="38">
                  <c:v>45.138100000000001</c:v>
                </c:pt>
                <c:pt idx="39">
                  <c:v>45.542900000000003</c:v>
                </c:pt>
                <c:pt idx="40">
                  <c:v>45.951300000000003</c:v>
                </c:pt>
                <c:pt idx="41">
                  <c:v>46.355699999999999</c:v>
                </c:pt>
                <c:pt idx="42">
                  <c:v>46.763399999999997</c:v>
                </c:pt>
                <c:pt idx="43">
                  <c:v>47.1691</c:v>
                </c:pt>
                <c:pt idx="44">
                  <c:v>47.574800000000003</c:v>
                </c:pt>
                <c:pt idx="45">
                  <c:v>47.983499999999999</c:v>
                </c:pt>
                <c:pt idx="46">
                  <c:v>48.391199999999998</c:v>
                </c:pt>
                <c:pt idx="47">
                  <c:v>48.7956</c:v>
                </c:pt>
                <c:pt idx="48">
                  <c:v>49.201700000000002</c:v>
                </c:pt>
                <c:pt idx="49">
                  <c:v>49.607999999999997</c:v>
                </c:pt>
                <c:pt idx="50">
                  <c:v>50.011200000000002</c:v>
                </c:pt>
                <c:pt idx="51">
                  <c:v>50.421500000000002</c:v>
                </c:pt>
                <c:pt idx="52">
                  <c:v>50.825800000000001</c:v>
                </c:pt>
                <c:pt idx="53">
                  <c:v>51.232399999999998</c:v>
                </c:pt>
                <c:pt idx="54">
                  <c:v>51.637500000000003</c:v>
                </c:pt>
                <c:pt idx="55">
                  <c:v>52.041899999999998</c:v>
                </c:pt>
                <c:pt idx="56">
                  <c:v>52.4497</c:v>
                </c:pt>
                <c:pt idx="57">
                  <c:v>52.857900000000001</c:v>
                </c:pt>
                <c:pt idx="58">
                  <c:v>53.265799999999999</c:v>
                </c:pt>
                <c:pt idx="59">
                  <c:v>53.669499999999999</c:v>
                </c:pt>
                <c:pt idx="60">
                  <c:v>54.071899999999999</c:v>
                </c:pt>
                <c:pt idx="61">
                  <c:v>54.481699999999996</c:v>
                </c:pt>
                <c:pt idx="62">
                  <c:v>54.889800000000001</c:v>
                </c:pt>
                <c:pt idx="63">
                  <c:v>55.2926</c:v>
                </c:pt>
                <c:pt idx="64">
                  <c:v>55.700200000000002</c:v>
                </c:pt>
                <c:pt idx="65">
                  <c:v>56.105800000000002</c:v>
                </c:pt>
                <c:pt idx="66">
                  <c:v>56.5122</c:v>
                </c:pt>
                <c:pt idx="67">
                  <c:v>56.9221</c:v>
                </c:pt>
                <c:pt idx="68">
                  <c:v>57.328299999999999</c:v>
                </c:pt>
                <c:pt idx="69">
                  <c:v>57.734200000000001</c:v>
                </c:pt>
                <c:pt idx="70">
                  <c:v>58.138300000000001</c:v>
                </c:pt>
                <c:pt idx="71">
                  <c:v>58.543100000000003</c:v>
                </c:pt>
                <c:pt idx="72">
                  <c:v>58.953499999999998</c:v>
                </c:pt>
                <c:pt idx="73">
                  <c:v>59.356499999999997</c:v>
                </c:pt>
                <c:pt idx="74">
                  <c:v>59.7637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3.2515699999999996</c:v>
                </c:pt>
                <c:pt idx="1">
                  <c:v>3.2519100000000001</c:v>
                </c:pt>
                <c:pt idx="2">
                  <c:v>3.2526699999999997</c:v>
                </c:pt>
                <c:pt idx="3">
                  <c:v>3.2538299999999998</c:v>
                </c:pt>
                <c:pt idx="4">
                  <c:v>3.2570399999999999</c:v>
                </c:pt>
                <c:pt idx="5">
                  <c:v>3.2627899999999999</c:v>
                </c:pt>
                <c:pt idx="6">
                  <c:v>3.2713900000000002</c:v>
                </c:pt>
                <c:pt idx="7">
                  <c:v>3.2804600000000002</c:v>
                </c:pt>
                <c:pt idx="8">
                  <c:v>3.2898500000000004</c:v>
                </c:pt>
                <c:pt idx="9">
                  <c:v>3.3012700000000001</c:v>
                </c:pt>
                <c:pt idx="10">
                  <c:v>3.31203</c:v>
                </c:pt>
                <c:pt idx="11">
                  <c:v>3.3204400000000001</c:v>
                </c:pt>
                <c:pt idx="12">
                  <c:v>3.3279399999999999</c:v>
                </c:pt>
                <c:pt idx="13">
                  <c:v>3.3344100000000001</c:v>
                </c:pt>
                <c:pt idx="14">
                  <c:v>3.3425400000000001</c:v>
                </c:pt>
                <c:pt idx="15">
                  <c:v>3.3513900000000003</c:v>
                </c:pt>
                <c:pt idx="16">
                  <c:v>3.3613599999999999</c:v>
                </c:pt>
                <c:pt idx="17">
                  <c:v>3.3729100000000001</c:v>
                </c:pt>
                <c:pt idx="18">
                  <c:v>3.38645</c:v>
                </c:pt>
                <c:pt idx="19">
                  <c:v>3.4022799999999997</c:v>
                </c:pt>
                <c:pt idx="20">
                  <c:v>3.4203299999999999</c:v>
                </c:pt>
                <c:pt idx="21">
                  <c:v>3.4375200000000001</c:v>
                </c:pt>
                <c:pt idx="22">
                  <c:v>3.4554600000000004</c:v>
                </c:pt>
                <c:pt idx="23">
                  <c:v>3.47255</c:v>
                </c:pt>
                <c:pt idx="24">
                  <c:v>3.4886200000000001</c:v>
                </c:pt>
                <c:pt idx="25">
                  <c:v>3.5036699999999996</c:v>
                </c:pt>
                <c:pt idx="26">
                  <c:v>3.5182600000000002</c:v>
                </c:pt>
                <c:pt idx="27">
                  <c:v>3.5324299999999997</c:v>
                </c:pt>
                <c:pt idx="28">
                  <c:v>3.54813</c:v>
                </c:pt>
                <c:pt idx="29">
                  <c:v>3.56751</c:v>
                </c:pt>
                <c:pt idx="30">
                  <c:v>3.5883099999999999</c:v>
                </c:pt>
                <c:pt idx="31">
                  <c:v>3.6076000000000001</c:v>
                </c:pt>
                <c:pt idx="32">
                  <c:v>3.62609</c:v>
                </c:pt>
                <c:pt idx="33">
                  <c:v>3.6432500000000001</c:v>
                </c:pt>
                <c:pt idx="34">
                  <c:v>3.6587499999999999</c:v>
                </c:pt>
                <c:pt idx="35">
                  <c:v>3.6705399999999999</c:v>
                </c:pt>
                <c:pt idx="36">
                  <c:v>3.6786000000000003</c:v>
                </c:pt>
                <c:pt idx="37">
                  <c:v>3.68323</c:v>
                </c:pt>
                <c:pt idx="38">
                  <c:v>3.6878600000000001</c:v>
                </c:pt>
                <c:pt idx="39">
                  <c:v>3.6897099999999998</c:v>
                </c:pt>
                <c:pt idx="40">
                  <c:v>3.6880299999999999</c:v>
                </c:pt>
                <c:pt idx="41">
                  <c:v>3.68771</c:v>
                </c:pt>
                <c:pt idx="42">
                  <c:v>3.68811</c:v>
                </c:pt>
                <c:pt idx="43">
                  <c:v>3.6879</c:v>
                </c:pt>
                <c:pt idx="44">
                  <c:v>3.68709</c:v>
                </c:pt>
                <c:pt idx="45">
                  <c:v>3.68255</c:v>
                </c:pt>
                <c:pt idx="46">
                  <c:v>3.67801</c:v>
                </c:pt>
                <c:pt idx="47">
                  <c:v>3.6727400000000001</c:v>
                </c:pt>
                <c:pt idx="48">
                  <c:v>3.6675499999999999</c:v>
                </c:pt>
                <c:pt idx="49">
                  <c:v>3.6629399999999999</c:v>
                </c:pt>
                <c:pt idx="50">
                  <c:v>3.6572399999999998</c:v>
                </c:pt>
                <c:pt idx="51">
                  <c:v>3.6574099999999996</c:v>
                </c:pt>
                <c:pt idx="52">
                  <c:v>3.6584899999999996</c:v>
                </c:pt>
                <c:pt idx="53">
                  <c:v>3.65842</c:v>
                </c:pt>
                <c:pt idx="54">
                  <c:v>3.6541399999999999</c:v>
                </c:pt>
                <c:pt idx="55">
                  <c:v>3.64635</c:v>
                </c:pt>
                <c:pt idx="56">
                  <c:v>3.6369899999999999</c:v>
                </c:pt>
                <c:pt idx="57">
                  <c:v>3.6254799999999996</c:v>
                </c:pt>
                <c:pt idx="58">
                  <c:v>3.6123799999999999</c:v>
                </c:pt>
                <c:pt idx="59">
                  <c:v>3.5981200000000002</c:v>
                </c:pt>
                <c:pt idx="60">
                  <c:v>3.5864699999999998</c:v>
                </c:pt>
                <c:pt idx="61">
                  <c:v>3.5789300000000002</c:v>
                </c:pt>
                <c:pt idx="62">
                  <c:v>3.5735899999999998</c:v>
                </c:pt>
                <c:pt idx="63">
                  <c:v>3.5640399999999999</c:v>
                </c:pt>
                <c:pt idx="64">
                  <c:v>3.5564800000000001</c:v>
                </c:pt>
                <c:pt idx="65">
                  <c:v>3.5530299999999997</c:v>
                </c:pt>
                <c:pt idx="66">
                  <c:v>3.5466199999999999</c:v>
                </c:pt>
                <c:pt idx="67">
                  <c:v>3.5390800000000002</c:v>
                </c:pt>
                <c:pt idx="68">
                  <c:v>3.5301900000000002</c:v>
                </c:pt>
                <c:pt idx="69">
                  <c:v>3.5154999999999998</c:v>
                </c:pt>
                <c:pt idx="70">
                  <c:v>3.5056799999999999</c:v>
                </c:pt>
                <c:pt idx="71">
                  <c:v>3.49505</c:v>
                </c:pt>
                <c:pt idx="72">
                  <c:v>3.4835199999999999</c:v>
                </c:pt>
                <c:pt idx="73">
                  <c:v>3.4721700000000002</c:v>
                </c:pt>
                <c:pt idx="74">
                  <c:v>3.45783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2.4634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2.4634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2.4634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2.4634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2.4634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2.4634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2.4634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2.4634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2.4634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2.4634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2.4634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2.4634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2.4634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2.4634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2.4634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2.4634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2.4634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2.4634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2.4634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2.4634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2.4634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2.4634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14.940925</c:v>
                </c:pt>
                <c:pt idx="1">
                  <c:v>44.822775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3.3997852702702702</c:v>
                </c:pt>
                <c:pt idx="1">
                  <c:v>3.5213136486486492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0.40443299999999999</c:v>
                </c:pt>
                <c:pt idx="2">
                  <c:v>0.81212099999999998</c:v>
                </c:pt>
                <c:pt idx="3">
                  <c:v>1.21818</c:v>
                </c:pt>
                <c:pt idx="4">
                  <c:v>1.6215200000000001</c:v>
                </c:pt>
                <c:pt idx="5">
                  <c:v>2.02623</c:v>
                </c:pt>
                <c:pt idx="6">
                  <c:v>2.4389799999999999</c:v>
                </c:pt>
                <c:pt idx="7">
                  <c:v>2.84063</c:v>
                </c:pt>
                <c:pt idx="8">
                  <c:v>3.2461700000000002</c:v>
                </c:pt>
                <c:pt idx="9">
                  <c:v>3.6535600000000001</c:v>
                </c:pt>
                <c:pt idx="10">
                  <c:v>4.0589700000000004</c:v>
                </c:pt>
                <c:pt idx="11">
                  <c:v>4.4672999999999998</c:v>
                </c:pt>
                <c:pt idx="12">
                  <c:v>4.8729800000000001</c:v>
                </c:pt>
                <c:pt idx="13">
                  <c:v>5.2779299999999996</c:v>
                </c:pt>
                <c:pt idx="14">
                  <c:v>5.6857699999999998</c:v>
                </c:pt>
                <c:pt idx="15">
                  <c:v>6.0896299999999997</c:v>
                </c:pt>
                <c:pt idx="16">
                  <c:v>6.49756</c:v>
                </c:pt>
                <c:pt idx="17">
                  <c:v>6.9041199999999998</c:v>
                </c:pt>
                <c:pt idx="18">
                  <c:v>7.3101500000000001</c:v>
                </c:pt>
                <c:pt idx="19">
                  <c:v>7.7198900000000004</c:v>
                </c:pt>
                <c:pt idx="20">
                  <c:v>8.1222100000000008</c:v>
                </c:pt>
                <c:pt idx="21">
                  <c:v>8.5299300000000002</c:v>
                </c:pt>
                <c:pt idx="22">
                  <c:v>8.9357299999999995</c:v>
                </c:pt>
                <c:pt idx="23">
                  <c:v>9.3417399999999997</c:v>
                </c:pt>
                <c:pt idx="24">
                  <c:v>9.7496100000000006</c:v>
                </c:pt>
                <c:pt idx="25">
                  <c:v>10.1547</c:v>
                </c:pt>
                <c:pt idx="26">
                  <c:v>10.5604</c:v>
                </c:pt>
                <c:pt idx="27">
                  <c:v>10.9657</c:v>
                </c:pt>
                <c:pt idx="28">
                  <c:v>11.3741</c:v>
                </c:pt>
                <c:pt idx="29">
                  <c:v>11.783300000000001</c:v>
                </c:pt>
                <c:pt idx="30">
                  <c:v>12.185700000000001</c:v>
                </c:pt>
                <c:pt idx="31">
                  <c:v>12.589700000000001</c:v>
                </c:pt>
                <c:pt idx="32">
                  <c:v>13.000500000000001</c:v>
                </c:pt>
                <c:pt idx="33">
                  <c:v>13.4048</c:v>
                </c:pt>
                <c:pt idx="34">
                  <c:v>13.8103</c:v>
                </c:pt>
                <c:pt idx="35">
                  <c:v>14.216100000000001</c:v>
                </c:pt>
                <c:pt idx="36">
                  <c:v>14.6211</c:v>
                </c:pt>
                <c:pt idx="37">
                  <c:v>15.029500000000001</c:v>
                </c:pt>
                <c:pt idx="38">
                  <c:v>15.439</c:v>
                </c:pt>
                <c:pt idx="39">
                  <c:v>15.8424</c:v>
                </c:pt>
                <c:pt idx="40">
                  <c:v>16.246600000000001</c:v>
                </c:pt>
                <c:pt idx="41">
                  <c:v>16.657</c:v>
                </c:pt>
                <c:pt idx="42">
                  <c:v>17.062100000000001</c:v>
                </c:pt>
                <c:pt idx="43">
                  <c:v>17.465299999999999</c:v>
                </c:pt>
                <c:pt idx="44">
                  <c:v>17.873100000000001</c:v>
                </c:pt>
                <c:pt idx="45">
                  <c:v>18.279199999999999</c:v>
                </c:pt>
                <c:pt idx="46">
                  <c:v>18.681999999999999</c:v>
                </c:pt>
                <c:pt idx="47">
                  <c:v>19.0932</c:v>
                </c:pt>
                <c:pt idx="48">
                  <c:v>19.498999999999999</c:v>
                </c:pt>
                <c:pt idx="49">
                  <c:v>19.904800000000002</c:v>
                </c:pt>
                <c:pt idx="50">
                  <c:v>20.309699999999999</c:v>
                </c:pt>
                <c:pt idx="51">
                  <c:v>20.7164</c:v>
                </c:pt>
                <c:pt idx="52">
                  <c:v>21.121200000000002</c:v>
                </c:pt>
                <c:pt idx="53">
                  <c:v>21.5303</c:v>
                </c:pt>
                <c:pt idx="54">
                  <c:v>21.9358</c:v>
                </c:pt>
                <c:pt idx="55">
                  <c:v>22.3398</c:v>
                </c:pt>
                <c:pt idx="56">
                  <c:v>22.748699999999999</c:v>
                </c:pt>
                <c:pt idx="57">
                  <c:v>23.156300000000002</c:v>
                </c:pt>
                <c:pt idx="58">
                  <c:v>23.561</c:v>
                </c:pt>
                <c:pt idx="59">
                  <c:v>23.968399999999999</c:v>
                </c:pt>
                <c:pt idx="60">
                  <c:v>24.374099999999999</c:v>
                </c:pt>
                <c:pt idx="61">
                  <c:v>24.776700000000002</c:v>
                </c:pt>
                <c:pt idx="62">
                  <c:v>25.1859</c:v>
                </c:pt>
                <c:pt idx="63">
                  <c:v>25.593499999999999</c:v>
                </c:pt>
                <c:pt idx="64">
                  <c:v>26.000499999999999</c:v>
                </c:pt>
                <c:pt idx="65">
                  <c:v>26.404399999999999</c:v>
                </c:pt>
                <c:pt idx="66">
                  <c:v>26.807099999999998</c:v>
                </c:pt>
                <c:pt idx="67">
                  <c:v>27.213200000000001</c:v>
                </c:pt>
                <c:pt idx="68">
                  <c:v>27.6249</c:v>
                </c:pt>
                <c:pt idx="69">
                  <c:v>28.030100000000001</c:v>
                </c:pt>
                <c:pt idx="70">
                  <c:v>28.4376</c:v>
                </c:pt>
                <c:pt idx="71">
                  <c:v>28.84</c:v>
                </c:pt>
                <c:pt idx="72">
                  <c:v>29.247499999999999</c:v>
                </c:pt>
                <c:pt idx="73">
                  <c:v>29.654399999999999</c:v>
                </c:pt>
                <c:pt idx="74">
                  <c:v>30.061599999999999</c:v>
                </c:pt>
                <c:pt idx="75">
                  <c:v>30.5273</c:v>
                </c:pt>
                <c:pt idx="76">
                  <c:v>30.935099999999998</c:v>
                </c:pt>
                <c:pt idx="77">
                  <c:v>31.339500000000001</c:v>
                </c:pt>
                <c:pt idx="78">
                  <c:v>31.7331</c:v>
                </c:pt>
                <c:pt idx="79">
                  <c:v>32.1372</c:v>
                </c:pt>
                <c:pt idx="80">
                  <c:v>32.541600000000003</c:v>
                </c:pt>
                <c:pt idx="81">
                  <c:v>32.950299999999999</c:v>
                </c:pt>
                <c:pt idx="82">
                  <c:v>33.356699999999996</c:v>
                </c:pt>
                <c:pt idx="83">
                  <c:v>33.7622</c:v>
                </c:pt>
                <c:pt idx="84">
                  <c:v>34.170999999999999</c:v>
                </c:pt>
                <c:pt idx="85">
                  <c:v>34.574800000000003</c:v>
                </c:pt>
                <c:pt idx="86">
                  <c:v>34.982100000000003</c:v>
                </c:pt>
                <c:pt idx="87">
                  <c:v>35.387799999999999</c:v>
                </c:pt>
                <c:pt idx="88">
                  <c:v>35.798099999999998</c:v>
                </c:pt>
                <c:pt idx="89">
                  <c:v>36.2029</c:v>
                </c:pt>
                <c:pt idx="90">
                  <c:v>36.607100000000003</c:v>
                </c:pt>
                <c:pt idx="91">
                  <c:v>37.011800000000001</c:v>
                </c:pt>
                <c:pt idx="92">
                  <c:v>37.418500000000002</c:v>
                </c:pt>
                <c:pt idx="93">
                  <c:v>37.824100000000001</c:v>
                </c:pt>
                <c:pt idx="94">
                  <c:v>38.2318</c:v>
                </c:pt>
                <c:pt idx="95">
                  <c:v>38.64</c:v>
                </c:pt>
                <c:pt idx="96">
                  <c:v>39.045200000000001</c:v>
                </c:pt>
                <c:pt idx="97">
                  <c:v>39.450499999999998</c:v>
                </c:pt>
                <c:pt idx="98">
                  <c:v>39.8566</c:v>
                </c:pt>
                <c:pt idx="99">
                  <c:v>40.263599999999997</c:v>
                </c:pt>
                <c:pt idx="100">
                  <c:v>40.669899999999998</c:v>
                </c:pt>
                <c:pt idx="101">
                  <c:v>41.077100000000002</c:v>
                </c:pt>
                <c:pt idx="102">
                  <c:v>41.484699999999997</c:v>
                </c:pt>
                <c:pt idx="103">
                  <c:v>41.888199999999998</c:v>
                </c:pt>
                <c:pt idx="104">
                  <c:v>42.294699999999999</c:v>
                </c:pt>
                <c:pt idx="105">
                  <c:v>42.702399999999997</c:v>
                </c:pt>
                <c:pt idx="106">
                  <c:v>43.108199999999997</c:v>
                </c:pt>
                <c:pt idx="107">
                  <c:v>43.5107</c:v>
                </c:pt>
                <c:pt idx="108">
                  <c:v>43.916899999999998</c:v>
                </c:pt>
                <c:pt idx="109">
                  <c:v>44.328299999999999</c:v>
                </c:pt>
                <c:pt idx="110">
                  <c:v>44.733400000000003</c:v>
                </c:pt>
                <c:pt idx="111">
                  <c:v>45.138100000000001</c:v>
                </c:pt>
                <c:pt idx="112">
                  <c:v>45.542900000000003</c:v>
                </c:pt>
                <c:pt idx="113">
                  <c:v>45.951300000000003</c:v>
                </c:pt>
                <c:pt idx="114">
                  <c:v>46.355699999999999</c:v>
                </c:pt>
                <c:pt idx="115">
                  <c:v>46.763399999999997</c:v>
                </c:pt>
                <c:pt idx="116">
                  <c:v>47.1691</c:v>
                </c:pt>
                <c:pt idx="117">
                  <c:v>47.574800000000003</c:v>
                </c:pt>
                <c:pt idx="118">
                  <c:v>47.983499999999999</c:v>
                </c:pt>
                <c:pt idx="119">
                  <c:v>48.391199999999998</c:v>
                </c:pt>
                <c:pt idx="120">
                  <c:v>48.7956</c:v>
                </c:pt>
                <c:pt idx="121">
                  <c:v>49.201700000000002</c:v>
                </c:pt>
                <c:pt idx="122">
                  <c:v>49.607999999999997</c:v>
                </c:pt>
                <c:pt idx="123">
                  <c:v>50.011200000000002</c:v>
                </c:pt>
                <c:pt idx="124">
                  <c:v>50.421500000000002</c:v>
                </c:pt>
                <c:pt idx="125">
                  <c:v>50.825800000000001</c:v>
                </c:pt>
                <c:pt idx="126">
                  <c:v>51.232399999999998</c:v>
                </c:pt>
                <c:pt idx="127">
                  <c:v>51.637500000000003</c:v>
                </c:pt>
                <c:pt idx="128">
                  <c:v>52.041899999999998</c:v>
                </c:pt>
                <c:pt idx="129">
                  <c:v>52.4497</c:v>
                </c:pt>
                <c:pt idx="130">
                  <c:v>52.857900000000001</c:v>
                </c:pt>
                <c:pt idx="131">
                  <c:v>53.265799999999999</c:v>
                </c:pt>
                <c:pt idx="132">
                  <c:v>53.669499999999999</c:v>
                </c:pt>
                <c:pt idx="133">
                  <c:v>54.071899999999999</c:v>
                </c:pt>
                <c:pt idx="134">
                  <c:v>54.481699999999996</c:v>
                </c:pt>
                <c:pt idx="135">
                  <c:v>54.889800000000001</c:v>
                </c:pt>
                <c:pt idx="136">
                  <c:v>55.2926</c:v>
                </c:pt>
                <c:pt idx="137">
                  <c:v>55.700200000000002</c:v>
                </c:pt>
                <c:pt idx="138">
                  <c:v>56.105800000000002</c:v>
                </c:pt>
                <c:pt idx="139">
                  <c:v>56.5122</c:v>
                </c:pt>
                <c:pt idx="140">
                  <c:v>56.9221</c:v>
                </c:pt>
                <c:pt idx="141">
                  <c:v>57.328299999999999</c:v>
                </c:pt>
                <c:pt idx="142">
                  <c:v>57.734200000000001</c:v>
                </c:pt>
                <c:pt idx="143">
                  <c:v>58.138300000000001</c:v>
                </c:pt>
                <c:pt idx="144">
                  <c:v>58.543100000000003</c:v>
                </c:pt>
                <c:pt idx="145">
                  <c:v>58.953499999999998</c:v>
                </c:pt>
                <c:pt idx="146">
                  <c:v>59.356499999999997</c:v>
                </c:pt>
                <c:pt idx="147">
                  <c:v>59.7637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52.355600000000003</c:v>
                </c:pt>
                <c:pt idx="1">
                  <c:v>51.228700000000003</c:v>
                </c:pt>
                <c:pt idx="2">
                  <c:v>50.038499999999999</c:v>
                </c:pt>
                <c:pt idx="3">
                  <c:v>48.731200000000001</c:v>
                </c:pt>
                <c:pt idx="4">
                  <c:v>47.448599999999999</c:v>
                </c:pt>
                <c:pt idx="5">
                  <c:v>46.2</c:v>
                </c:pt>
                <c:pt idx="6">
                  <c:v>44.992900000000006</c:v>
                </c:pt>
                <c:pt idx="7">
                  <c:v>43.777000000000001</c:v>
                </c:pt>
                <c:pt idx="8">
                  <c:v>42.534700000000001</c:v>
                </c:pt>
                <c:pt idx="9">
                  <c:v>41.429300000000005</c:v>
                </c:pt>
                <c:pt idx="10">
                  <c:v>40.4223</c:v>
                </c:pt>
                <c:pt idx="11">
                  <c:v>39.605400000000003</c:v>
                </c:pt>
                <c:pt idx="12">
                  <c:v>38.892700000000005</c:v>
                </c:pt>
                <c:pt idx="13">
                  <c:v>38.217700000000001</c:v>
                </c:pt>
                <c:pt idx="14">
                  <c:v>37.525999999999996</c:v>
                </c:pt>
                <c:pt idx="15">
                  <c:v>36.842300000000002</c:v>
                </c:pt>
                <c:pt idx="16">
                  <c:v>36.141600000000004</c:v>
                </c:pt>
                <c:pt idx="17">
                  <c:v>35.542299999999997</c:v>
                </c:pt>
                <c:pt idx="18">
                  <c:v>35.052299999999995</c:v>
                </c:pt>
                <c:pt idx="19">
                  <c:v>34.643599999999999</c:v>
                </c:pt>
                <c:pt idx="20">
                  <c:v>34.3215</c:v>
                </c:pt>
                <c:pt idx="21">
                  <c:v>34.043399999999998</c:v>
                </c:pt>
                <c:pt idx="22">
                  <c:v>33.7577</c:v>
                </c:pt>
                <c:pt idx="23">
                  <c:v>33.496600000000001</c:v>
                </c:pt>
                <c:pt idx="24">
                  <c:v>33.222499999999997</c:v>
                </c:pt>
                <c:pt idx="25">
                  <c:v>32.985500000000002</c:v>
                </c:pt>
                <c:pt idx="26">
                  <c:v>32.786500000000004</c:v>
                </c:pt>
                <c:pt idx="27">
                  <c:v>32.573399999999999</c:v>
                </c:pt>
                <c:pt idx="28">
                  <c:v>32.391500000000001</c:v>
                </c:pt>
                <c:pt idx="29">
                  <c:v>32.252199999999995</c:v>
                </c:pt>
                <c:pt idx="30">
                  <c:v>32.164500000000004</c:v>
                </c:pt>
                <c:pt idx="31">
                  <c:v>32.1492</c:v>
                </c:pt>
                <c:pt idx="32">
                  <c:v>32.181699999999999</c:v>
                </c:pt>
                <c:pt idx="33">
                  <c:v>32.302799999999998</c:v>
                </c:pt>
                <c:pt idx="34">
                  <c:v>32.462299999999999</c:v>
                </c:pt>
                <c:pt idx="35">
                  <c:v>32.664999999999999</c:v>
                </c:pt>
                <c:pt idx="36">
                  <c:v>32.8643</c:v>
                </c:pt>
                <c:pt idx="37">
                  <c:v>33.046100000000003</c:v>
                </c:pt>
                <c:pt idx="38">
                  <c:v>33.264800000000001</c:v>
                </c:pt>
                <c:pt idx="39">
                  <c:v>33.448899999999995</c:v>
                </c:pt>
                <c:pt idx="40">
                  <c:v>33.704699999999995</c:v>
                </c:pt>
                <c:pt idx="41">
                  <c:v>33.978000000000002</c:v>
                </c:pt>
                <c:pt idx="42">
                  <c:v>34.243600000000001</c:v>
                </c:pt>
                <c:pt idx="43">
                  <c:v>34.438499999999998</c:v>
                </c:pt>
                <c:pt idx="44">
                  <c:v>34.533900000000003</c:v>
                </c:pt>
                <c:pt idx="45">
                  <c:v>34.526699999999998</c:v>
                </c:pt>
                <c:pt idx="46">
                  <c:v>34.449800000000003</c:v>
                </c:pt>
                <c:pt idx="47">
                  <c:v>34.384100000000004</c:v>
                </c:pt>
                <c:pt idx="48">
                  <c:v>34.266999999999996</c:v>
                </c:pt>
                <c:pt idx="49">
                  <c:v>34.125299999999996</c:v>
                </c:pt>
                <c:pt idx="50">
                  <c:v>34.037599999999998</c:v>
                </c:pt>
                <c:pt idx="51">
                  <c:v>33.803899999999999</c:v>
                </c:pt>
                <c:pt idx="52">
                  <c:v>33.580399999999997</c:v>
                </c:pt>
                <c:pt idx="53">
                  <c:v>33.3095</c:v>
                </c:pt>
                <c:pt idx="54">
                  <c:v>33.289699999999996</c:v>
                </c:pt>
                <c:pt idx="55">
                  <c:v>33.247399999999999</c:v>
                </c:pt>
                <c:pt idx="56">
                  <c:v>33.144600000000004</c:v>
                </c:pt>
                <c:pt idx="57">
                  <c:v>33.134500000000003</c:v>
                </c:pt>
                <c:pt idx="58">
                  <c:v>33.008800000000001</c:v>
                </c:pt>
                <c:pt idx="59">
                  <c:v>32.786200000000001</c:v>
                </c:pt>
                <c:pt idx="60">
                  <c:v>32.691099999999999</c:v>
                </c:pt>
                <c:pt idx="61">
                  <c:v>32.5961</c:v>
                </c:pt>
                <c:pt idx="62">
                  <c:v>32.753900000000002</c:v>
                </c:pt>
                <c:pt idx="63">
                  <c:v>32.908200000000001</c:v>
                </c:pt>
                <c:pt idx="64">
                  <c:v>33.128099999999996</c:v>
                </c:pt>
                <c:pt idx="65">
                  <c:v>33.352800000000002</c:v>
                </c:pt>
                <c:pt idx="66">
                  <c:v>33.407599999999995</c:v>
                </c:pt>
                <c:pt idx="67">
                  <c:v>33.622</c:v>
                </c:pt>
                <c:pt idx="68">
                  <c:v>34.070299999999996</c:v>
                </c:pt>
                <c:pt idx="69">
                  <c:v>34.391199999999998</c:v>
                </c:pt>
                <c:pt idx="70">
                  <c:v>34.775800000000004</c:v>
                </c:pt>
                <c:pt idx="71">
                  <c:v>35.041800000000002</c:v>
                </c:pt>
                <c:pt idx="72">
                  <c:v>35.6188</c:v>
                </c:pt>
                <c:pt idx="73">
                  <c:v>35.961500000000001</c:v>
                </c:pt>
                <c:pt idx="74">
                  <c:v>36.591200000000001</c:v>
                </c:pt>
                <c:pt idx="75">
                  <c:v>37.155500000000004</c:v>
                </c:pt>
                <c:pt idx="76">
                  <c:v>37.737400000000001</c:v>
                </c:pt>
                <c:pt idx="77">
                  <c:v>38.303100000000001</c:v>
                </c:pt>
                <c:pt idx="78">
                  <c:v>38.7712</c:v>
                </c:pt>
                <c:pt idx="79">
                  <c:v>39.159799999999997</c:v>
                </c:pt>
                <c:pt idx="80">
                  <c:v>39.528400000000005</c:v>
                </c:pt>
                <c:pt idx="81">
                  <c:v>39.884500000000003</c:v>
                </c:pt>
                <c:pt idx="82">
                  <c:v>40.186899999999994</c:v>
                </c:pt>
                <c:pt idx="83">
                  <c:v>40.494400000000006</c:v>
                </c:pt>
                <c:pt idx="84">
                  <c:v>40.758499999999998</c:v>
                </c:pt>
                <c:pt idx="85">
                  <c:v>40.920400000000001</c:v>
                </c:pt>
                <c:pt idx="86">
                  <c:v>40.957700000000003</c:v>
                </c:pt>
                <c:pt idx="87">
                  <c:v>40.7911</c:v>
                </c:pt>
                <c:pt idx="88">
                  <c:v>40.475100000000005</c:v>
                </c:pt>
                <c:pt idx="89">
                  <c:v>40.176899999999996</c:v>
                </c:pt>
                <c:pt idx="90">
                  <c:v>39.801199999999994</c:v>
                </c:pt>
                <c:pt idx="91">
                  <c:v>39.357799999999997</c:v>
                </c:pt>
                <c:pt idx="92">
                  <c:v>38.878099999999996</c:v>
                </c:pt>
                <c:pt idx="93">
                  <c:v>38.350200000000001</c:v>
                </c:pt>
                <c:pt idx="94">
                  <c:v>37.880299999999998</c:v>
                </c:pt>
                <c:pt idx="95">
                  <c:v>37.433</c:v>
                </c:pt>
                <c:pt idx="96">
                  <c:v>36.981000000000002</c:v>
                </c:pt>
                <c:pt idx="97">
                  <c:v>36.623099999999994</c:v>
                </c:pt>
                <c:pt idx="98">
                  <c:v>36.2879</c:v>
                </c:pt>
                <c:pt idx="99">
                  <c:v>35.947200000000002</c:v>
                </c:pt>
                <c:pt idx="100">
                  <c:v>35.610100000000003</c:v>
                </c:pt>
                <c:pt idx="101">
                  <c:v>35.298999999999999</c:v>
                </c:pt>
                <c:pt idx="102">
                  <c:v>34.951599999999999</c:v>
                </c:pt>
                <c:pt idx="103">
                  <c:v>34.595700000000001</c:v>
                </c:pt>
                <c:pt idx="104">
                  <c:v>34.229900000000001</c:v>
                </c:pt>
                <c:pt idx="105">
                  <c:v>33.883400000000002</c:v>
                </c:pt>
                <c:pt idx="106">
                  <c:v>33.549099999999996</c:v>
                </c:pt>
                <c:pt idx="107">
                  <c:v>33.262900000000002</c:v>
                </c:pt>
                <c:pt idx="108">
                  <c:v>33.044499999999999</c:v>
                </c:pt>
                <c:pt idx="109">
                  <c:v>32.868299999999998</c:v>
                </c:pt>
                <c:pt idx="110">
                  <c:v>32.6663</c:v>
                </c:pt>
                <c:pt idx="111">
                  <c:v>32.406100000000002</c:v>
                </c:pt>
                <c:pt idx="112">
                  <c:v>32.205399999999997</c:v>
                </c:pt>
                <c:pt idx="113">
                  <c:v>32.026700000000005</c:v>
                </c:pt>
                <c:pt idx="114">
                  <c:v>31.735000000000003</c:v>
                </c:pt>
                <c:pt idx="115">
                  <c:v>31.449300000000001</c:v>
                </c:pt>
                <c:pt idx="116">
                  <c:v>31.145199999999999</c:v>
                </c:pt>
                <c:pt idx="117">
                  <c:v>30.820499999999999</c:v>
                </c:pt>
                <c:pt idx="118">
                  <c:v>30.492899999999999</c:v>
                </c:pt>
                <c:pt idx="119">
                  <c:v>30.042799999999996</c:v>
                </c:pt>
                <c:pt idx="120">
                  <c:v>29.543999999999997</c:v>
                </c:pt>
                <c:pt idx="121">
                  <c:v>29.056999999999999</c:v>
                </c:pt>
                <c:pt idx="122">
                  <c:v>28.5093</c:v>
                </c:pt>
                <c:pt idx="123">
                  <c:v>27.949800000000003</c:v>
                </c:pt>
                <c:pt idx="124">
                  <c:v>27.721800000000002</c:v>
                </c:pt>
                <c:pt idx="125">
                  <c:v>27.4588</c:v>
                </c:pt>
                <c:pt idx="126">
                  <c:v>27.173999999999999</c:v>
                </c:pt>
                <c:pt idx="127">
                  <c:v>26.8949</c:v>
                </c:pt>
                <c:pt idx="128">
                  <c:v>26.6295</c:v>
                </c:pt>
                <c:pt idx="129">
                  <c:v>26.356800000000003</c:v>
                </c:pt>
                <c:pt idx="130">
                  <c:v>26.060400000000001</c:v>
                </c:pt>
                <c:pt idx="131">
                  <c:v>25.740600000000001</c:v>
                </c:pt>
                <c:pt idx="132">
                  <c:v>25.363599999999998</c:v>
                </c:pt>
                <c:pt idx="133">
                  <c:v>24.8644</c:v>
                </c:pt>
                <c:pt idx="134">
                  <c:v>24.286799999999999</c:v>
                </c:pt>
                <c:pt idx="135">
                  <c:v>23.7105</c:v>
                </c:pt>
                <c:pt idx="136">
                  <c:v>23.227</c:v>
                </c:pt>
                <c:pt idx="137">
                  <c:v>22.647200000000002</c:v>
                </c:pt>
                <c:pt idx="138">
                  <c:v>21.9754</c:v>
                </c:pt>
                <c:pt idx="139">
                  <c:v>21.435600000000001</c:v>
                </c:pt>
                <c:pt idx="140">
                  <c:v>20.878499999999999</c:v>
                </c:pt>
                <c:pt idx="141">
                  <c:v>20.3262</c:v>
                </c:pt>
                <c:pt idx="142">
                  <c:v>19.790700000000001</c:v>
                </c:pt>
                <c:pt idx="143">
                  <c:v>19.2484</c:v>
                </c:pt>
                <c:pt idx="144">
                  <c:v>19.084200000000003</c:v>
                </c:pt>
                <c:pt idx="145">
                  <c:v>19.1997</c:v>
                </c:pt>
                <c:pt idx="146">
                  <c:v>19.194199999999999</c:v>
                </c:pt>
                <c:pt idx="147">
                  <c:v>19.1858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0.40443299999999999</c:v>
                </c:pt>
                <c:pt idx="2">
                  <c:v>0.81212099999999998</c:v>
                </c:pt>
                <c:pt idx="3">
                  <c:v>1.21818</c:v>
                </c:pt>
                <c:pt idx="4">
                  <c:v>1.6215200000000001</c:v>
                </c:pt>
                <c:pt idx="5">
                  <c:v>2.02623</c:v>
                </c:pt>
                <c:pt idx="6">
                  <c:v>2.4389799999999999</c:v>
                </c:pt>
                <c:pt idx="7">
                  <c:v>2.84063</c:v>
                </c:pt>
                <c:pt idx="8">
                  <c:v>3.2461700000000002</c:v>
                </c:pt>
                <c:pt idx="9">
                  <c:v>3.6535600000000001</c:v>
                </c:pt>
                <c:pt idx="10">
                  <c:v>4.0589700000000004</c:v>
                </c:pt>
                <c:pt idx="11">
                  <c:v>4.4672999999999998</c:v>
                </c:pt>
                <c:pt idx="12">
                  <c:v>4.8729800000000001</c:v>
                </c:pt>
                <c:pt idx="13">
                  <c:v>5.2779299999999996</c:v>
                </c:pt>
                <c:pt idx="14">
                  <c:v>5.6857699999999998</c:v>
                </c:pt>
                <c:pt idx="15">
                  <c:v>6.0896299999999997</c:v>
                </c:pt>
                <c:pt idx="16">
                  <c:v>6.49756</c:v>
                </c:pt>
                <c:pt idx="17">
                  <c:v>6.9041199999999998</c:v>
                </c:pt>
                <c:pt idx="18">
                  <c:v>7.3101500000000001</c:v>
                </c:pt>
                <c:pt idx="19">
                  <c:v>7.7198900000000004</c:v>
                </c:pt>
                <c:pt idx="20">
                  <c:v>8.1222100000000008</c:v>
                </c:pt>
                <c:pt idx="21">
                  <c:v>8.5299300000000002</c:v>
                </c:pt>
                <c:pt idx="22">
                  <c:v>8.9357299999999995</c:v>
                </c:pt>
                <c:pt idx="23">
                  <c:v>9.3417399999999997</c:v>
                </c:pt>
                <c:pt idx="24">
                  <c:v>9.7496100000000006</c:v>
                </c:pt>
                <c:pt idx="25">
                  <c:v>10.1547</c:v>
                </c:pt>
                <c:pt idx="26">
                  <c:v>10.5604</c:v>
                </c:pt>
                <c:pt idx="27">
                  <c:v>10.9657</c:v>
                </c:pt>
                <c:pt idx="28">
                  <c:v>11.3741</c:v>
                </c:pt>
                <c:pt idx="29">
                  <c:v>11.783300000000001</c:v>
                </c:pt>
                <c:pt idx="30">
                  <c:v>12.185700000000001</c:v>
                </c:pt>
                <c:pt idx="31">
                  <c:v>12.589700000000001</c:v>
                </c:pt>
                <c:pt idx="32">
                  <c:v>13.000500000000001</c:v>
                </c:pt>
                <c:pt idx="33">
                  <c:v>13.4048</c:v>
                </c:pt>
                <c:pt idx="34">
                  <c:v>13.8103</c:v>
                </c:pt>
                <c:pt idx="35">
                  <c:v>14.216100000000001</c:v>
                </c:pt>
                <c:pt idx="36">
                  <c:v>14.6211</c:v>
                </c:pt>
                <c:pt idx="37">
                  <c:v>15.029500000000001</c:v>
                </c:pt>
                <c:pt idx="38">
                  <c:v>15.439</c:v>
                </c:pt>
                <c:pt idx="39">
                  <c:v>15.8424</c:v>
                </c:pt>
                <c:pt idx="40">
                  <c:v>16.246600000000001</c:v>
                </c:pt>
                <c:pt idx="41">
                  <c:v>16.657</c:v>
                </c:pt>
                <c:pt idx="42">
                  <c:v>17.062100000000001</c:v>
                </c:pt>
                <c:pt idx="43">
                  <c:v>17.465299999999999</c:v>
                </c:pt>
                <c:pt idx="44">
                  <c:v>17.873100000000001</c:v>
                </c:pt>
                <c:pt idx="45">
                  <c:v>18.279199999999999</c:v>
                </c:pt>
                <c:pt idx="46">
                  <c:v>18.681999999999999</c:v>
                </c:pt>
                <c:pt idx="47">
                  <c:v>19.0932</c:v>
                </c:pt>
                <c:pt idx="48">
                  <c:v>19.498999999999999</c:v>
                </c:pt>
                <c:pt idx="49">
                  <c:v>19.904800000000002</c:v>
                </c:pt>
                <c:pt idx="50">
                  <c:v>20.309699999999999</c:v>
                </c:pt>
                <c:pt idx="51">
                  <c:v>20.7164</c:v>
                </c:pt>
                <c:pt idx="52">
                  <c:v>21.121200000000002</c:v>
                </c:pt>
                <c:pt idx="53">
                  <c:v>21.5303</c:v>
                </c:pt>
                <c:pt idx="54">
                  <c:v>21.9358</c:v>
                </c:pt>
                <c:pt idx="55">
                  <c:v>22.3398</c:v>
                </c:pt>
                <c:pt idx="56">
                  <c:v>22.748699999999999</c:v>
                </c:pt>
                <c:pt idx="57">
                  <c:v>23.156300000000002</c:v>
                </c:pt>
                <c:pt idx="58">
                  <c:v>23.561</c:v>
                </c:pt>
                <c:pt idx="59">
                  <c:v>23.968399999999999</c:v>
                </c:pt>
                <c:pt idx="60">
                  <c:v>24.374099999999999</c:v>
                </c:pt>
                <c:pt idx="61">
                  <c:v>24.776700000000002</c:v>
                </c:pt>
                <c:pt idx="62">
                  <c:v>25.1859</c:v>
                </c:pt>
                <c:pt idx="63">
                  <c:v>25.593499999999999</c:v>
                </c:pt>
                <c:pt idx="64">
                  <c:v>26.000499999999999</c:v>
                </c:pt>
                <c:pt idx="65">
                  <c:v>26.404399999999999</c:v>
                </c:pt>
                <c:pt idx="66">
                  <c:v>26.807099999999998</c:v>
                </c:pt>
                <c:pt idx="67">
                  <c:v>27.213200000000001</c:v>
                </c:pt>
                <c:pt idx="68">
                  <c:v>27.6249</c:v>
                </c:pt>
                <c:pt idx="69">
                  <c:v>28.030100000000001</c:v>
                </c:pt>
                <c:pt idx="70">
                  <c:v>28.4376</c:v>
                </c:pt>
                <c:pt idx="71">
                  <c:v>28.84</c:v>
                </c:pt>
                <c:pt idx="72">
                  <c:v>29.247499999999999</c:v>
                </c:pt>
                <c:pt idx="73">
                  <c:v>29.654399999999999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52.355600000000003</c:v>
                </c:pt>
                <c:pt idx="1">
                  <c:v>51.228700000000003</c:v>
                </c:pt>
                <c:pt idx="2">
                  <c:v>50.038499999999999</c:v>
                </c:pt>
                <c:pt idx="3">
                  <c:v>48.731200000000001</c:v>
                </c:pt>
                <c:pt idx="4">
                  <c:v>47.448599999999999</c:v>
                </c:pt>
                <c:pt idx="5">
                  <c:v>46.2</c:v>
                </c:pt>
                <c:pt idx="6">
                  <c:v>44.992900000000006</c:v>
                </c:pt>
                <c:pt idx="7">
                  <c:v>43.777000000000001</c:v>
                </c:pt>
                <c:pt idx="8">
                  <c:v>42.534700000000001</c:v>
                </c:pt>
                <c:pt idx="9">
                  <c:v>41.429300000000005</c:v>
                </c:pt>
                <c:pt idx="10">
                  <c:v>40.4223</c:v>
                </c:pt>
                <c:pt idx="11">
                  <c:v>39.605400000000003</c:v>
                </c:pt>
                <c:pt idx="12">
                  <c:v>38.892700000000005</c:v>
                </c:pt>
                <c:pt idx="13">
                  <c:v>38.217700000000001</c:v>
                </c:pt>
                <c:pt idx="14">
                  <c:v>37.525999999999996</c:v>
                </c:pt>
                <c:pt idx="15">
                  <c:v>36.842300000000002</c:v>
                </c:pt>
                <c:pt idx="16">
                  <c:v>36.141600000000004</c:v>
                </c:pt>
                <c:pt idx="17">
                  <c:v>35.542299999999997</c:v>
                </c:pt>
                <c:pt idx="18">
                  <c:v>35.052299999999995</c:v>
                </c:pt>
                <c:pt idx="19">
                  <c:v>34.643599999999999</c:v>
                </c:pt>
                <c:pt idx="20">
                  <c:v>34.3215</c:v>
                </c:pt>
                <c:pt idx="21">
                  <c:v>34.043399999999998</c:v>
                </c:pt>
                <c:pt idx="22">
                  <c:v>33.7577</c:v>
                </c:pt>
                <c:pt idx="23">
                  <c:v>33.496600000000001</c:v>
                </c:pt>
                <c:pt idx="24">
                  <c:v>33.222499999999997</c:v>
                </c:pt>
                <c:pt idx="25">
                  <c:v>32.985500000000002</c:v>
                </c:pt>
                <c:pt idx="26">
                  <c:v>32.786500000000004</c:v>
                </c:pt>
                <c:pt idx="27">
                  <c:v>32.573399999999999</c:v>
                </c:pt>
                <c:pt idx="28">
                  <c:v>32.391500000000001</c:v>
                </c:pt>
                <c:pt idx="29">
                  <c:v>32.252199999999995</c:v>
                </c:pt>
                <c:pt idx="30">
                  <c:v>32.164500000000004</c:v>
                </c:pt>
                <c:pt idx="31">
                  <c:v>32.1492</c:v>
                </c:pt>
                <c:pt idx="32">
                  <c:v>32.181699999999999</c:v>
                </c:pt>
                <c:pt idx="33">
                  <c:v>32.302799999999998</c:v>
                </c:pt>
                <c:pt idx="34">
                  <c:v>32.462299999999999</c:v>
                </c:pt>
                <c:pt idx="35">
                  <c:v>32.664999999999999</c:v>
                </c:pt>
                <c:pt idx="36">
                  <c:v>32.8643</c:v>
                </c:pt>
                <c:pt idx="37">
                  <c:v>33.046100000000003</c:v>
                </c:pt>
                <c:pt idx="38">
                  <c:v>33.264800000000001</c:v>
                </c:pt>
                <c:pt idx="39">
                  <c:v>33.448899999999995</c:v>
                </c:pt>
                <c:pt idx="40">
                  <c:v>33.704699999999995</c:v>
                </c:pt>
                <c:pt idx="41">
                  <c:v>33.978000000000002</c:v>
                </c:pt>
                <c:pt idx="42">
                  <c:v>34.243600000000001</c:v>
                </c:pt>
                <c:pt idx="43">
                  <c:v>34.438499999999998</c:v>
                </c:pt>
                <c:pt idx="44">
                  <c:v>34.533900000000003</c:v>
                </c:pt>
                <c:pt idx="45">
                  <c:v>34.526699999999998</c:v>
                </c:pt>
                <c:pt idx="46">
                  <c:v>34.449800000000003</c:v>
                </c:pt>
                <c:pt idx="47">
                  <c:v>34.384100000000004</c:v>
                </c:pt>
                <c:pt idx="48">
                  <c:v>34.266999999999996</c:v>
                </c:pt>
                <c:pt idx="49">
                  <c:v>34.125299999999996</c:v>
                </c:pt>
                <c:pt idx="50">
                  <c:v>34.037599999999998</c:v>
                </c:pt>
                <c:pt idx="51">
                  <c:v>33.803899999999999</c:v>
                </c:pt>
                <c:pt idx="52">
                  <c:v>33.580399999999997</c:v>
                </c:pt>
                <c:pt idx="53">
                  <c:v>33.3095</c:v>
                </c:pt>
                <c:pt idx="54">
                  <c:v>33.289699999999996</c:v>
                </c:pt>
                <c:pt idx="55">
                  <c:v>33.247399999999999</c:v>
                </c:pt>
                <c:pt idx="56">
                  <c:v>33.144600000000004</c:v>
                </c:pt>
                <c:pt idx="57">
                  <c:v>33.134500000000003</c:v>
                </c:pt>
                <c:pt idx="58">
                  <c:v>33.008800000000001</c:v>
                </c:pt>
                <c:pt idx="59">
                  <c:v>32.786200000000001</c:v>
                </c:pt>
                <c:pt idx="60">
                  <c:v>32.691099999999999</c:v>
                </c:pt>
                <c:pt idx="61">
                  <c:v>32.5961</c:v>
                </c:pt>
                <c:pt idx="62">
                  <c:v>32.753900000000002</c:v>
                </c:pt>
                <c:pt idx="63">
                  <c:v>32.908200000000001</c:v>
                </c:pt>
                <c:pt idx="64">
                  <c:v>33.128099999999996</c:v>
                </c:pt>
                <c:pt idx="65">
                  <c:v>33.352800000000002</c:v>
                </c:pt>
                <c:pt idx="66">
                  <c:v>33.407599999999995</c:v>
                </c:pt>
                <c:pt idx="67">
                  <c:v>33.622</c:v>
                </c:pt>
                <c:pt idx="68">
                  <c:v>34.070299999999996</c:v>
                </c:pt>
                <c:pt idx="69">
                  <c:v>34.391199999999998</c:v>
                </c:pt>
                <c:pt idx="70">
                  <c:v>34.775800000000004</c:v>
                </c:pt>
                <c:pt idx="71">
                  <c:v>35.041800000000002</c:v>
                </c:pt>
                <c:pt idx="72">
                  <c:v>35.6188</c:v>
                </c:pt>
                <c:pt idx="73">
                  <c:v>35.961500000000001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29.654399999999999</c:v>
                </c:pt>
                <c:pt idx="1">
                  <c:v>30.061599999999999</c:v>
                </c:pt>
                <c:pt idx="2">
                  <c:v>30.5273</c:v>
                </c:pt>
                <c:pt idx="3">
                  <c:v>30.935099999999998</c:v>
                </c:pt>
                <c:pt idx="4">
                  <c:v>31.339500000000001</c:v>
                </c:pt>
                <c:pt idx="5">
                  <c:v>31.7331</c:v>
                </c:pt>
                <c:pt idx="6">
                  <c:v>32.1372</c:v>
                </c:pt>
                <c:pt idx="7">
                  <c:v>32.541600000000003</c:v>
                </c:pt>
                <c:pt idx="8">
                  <c:v>32.950299999999999</c:v>
                </c:pt>
                <c:pt idx="9">
                  <c:v>33.356699999999996</c:v>
                </c:pt>
                <c:pt idx="10">
                  <c:v>33.7622</c:v>
                </c:pt>
                <c:pt idx="11">
                  <c:v>34.170999999999999</c:v>
                </c:pt>
                <c:pt idx="12">
                  <c:v>34.574800000000003</c:v>
                </c:pt>
                <c:pt idx="13">
                  <c:v>34.982100000000003</c:v>
                </c:pt>
                <c:pt idx="14">
                  <c:v>35.387799999999999</c:v>
                </c:pt>
                <c:pt idx="15">
                  <c:v>35.798099999999998</c:v>
                </c:pt>
                <c:pt idx="16">
                  <c:v>36.2029</c:v>
                </c:pt>
                <c:pt idx="17">
                  <c:v>36.607100000000003</c:v>
                </c:pt>
                <c:pt idx="18">
                  <c:v>37.011800000000001</c:v>
                </c:pt>
                <c:pt idx="19">
                  <c:v>37.418500000000002</c:v>
                </c:pt>
                <c:pt idx="20">
                  <c:v>37.824100000000001</c:v>
                </c:pt>
                <c:pt idx="21">
                  <c:v>38.2318</c:v>
                </c:pt>
                <c:pt idx="22">
                  <c:v>38.64</c:v>
                </c:pt>
                <c:pt idx="23">
                  <c:v>39.045200000000001</c:v>
                </c:pt>
                <c:pt idx="24">
                  <c:v>39.450499999999998</c:v>
                </c:pt>
                <c:pt idx="25">
                  <c:v>39.8566</c:v>
                </c:pt>
                <c:pt idx="26">
                  <c:v>40.263599999999997</c:v>
                </c:pt>
                <c:pt idx="27">
                  <c:v>40.669899999999998</c:v>
                </c:pt>
                <c:pt idx="28">
                  <c:v>41.077100000000002</c:v>
                </c:pt>
                <c:pt idx="29">
                  <c:v>41.484699999999997</c:v>
                </c:pt>
                <c:pt idx="30">
                  <c:v>41.888199999999998</c:v>
                </c:pt>
                <c:pt idx="31">
                  <c:v>42.294699999999999</c:v>
                </c:pt>
                <c:pt idx="32">
                  <c:v>42.702399999999997</c:v>
                </c:pt>
                <c:pt idx="33">
                  <c:v>43.108199999999997</c:v>
                </c:pt>
                <c:pt idx="34">
                  <c:v>43.5107</c:v>
                </c:pt>
                <c:pt idx="35">
                  <c:v>43.916899999999998</c:v>
                </c:pt>
                <c:pt idx="36">
                  <c:v>44.328299999999999</c:v>
                </c:pt>
                <c:pt idx="37">
                  <c:v>44.733400000000003</c:v>
                </c:pt>
                <c:pt idx="38">
                  <c:v>45.138100000000001</c:v>
                </c:pt>
                <c:pt idx="39">
                  <c:v>45.542900000000003</c:v>
                </c:pt>
                <c:pt idx="40">
                  <c:v>45.951300000000003</c:v>
                </c:pt>
                <c:pt idx="41">
                  <c:v>46.355699999999999</c:v>
                </c:pt>
                <c:pt idx="42">
                  <c:v>46.763399999999997</c:v>
                </c:pt>
                <c:pt idx="43">
                  <c:v>47.1691</c:v>
                </c:pt>
                <c:pt idx="44">
                  <c:v>47.574800000000003</c:v>
                </c:pt>
                <c:pt idx="45">
                  <c:v>47.983499999999999</c:v>
                </c:pt>
                <c:pt idx="46">
                  <c:v>48.391199999999998</c:v>
                </c:pt>
                <c:pt idx="47">
                  <c:v>48.7956</c:v>
                </c:pt>
                <c:pt idx="48">
                  <c:v>49.201700000000002</c:v>
                </c:pt>
                <c:pt idx="49">
                  <c:v>49.607999999999997</c:v>
                </c:pt>
                <c:pt idx="50">
                  <c:v>50.011200000000002</c:v>
                </c:pt>
                <c:pt idx="51">
                  <c:v>50.421500000000002</c:v>
                </c:pt>
                <c:pt idx="52">
                  <c:v>50.825800000000001</c:v>
                </c:pt>
                <c:pt idx="53">
                  <c:v>51.232399999999998</c:v>
                </c:pt>
                <c:pt idx="54">
                  <c:v>51.637500000000003</c:v>
                </c:pt>
                <c:pt idx="55">
                  <c:v>52.041899999999998</c:v>
                </c:pt>
                <c:pt idx="56">
                  <c:v>52.4497</c:v>
                </c:pt>
                <c:pt idx="57">
                  <c:v>52.857900000000001</c:v>
                </c:pt>
                <c:pt idx="58">
                  <c:v>53.265799999999999</c:v>
                </c:pt>
                <c:pt idx="59">
                  <c:v>53.669499999999999</c:v>
                </c:pt>
                <c:pt idx="60">
                  <c:v>54.071899999999999</c:v>
                </c:pt>
                <c:pt idx="61">
                  <c:v>54.481699999999996</c:v>
                </c:pt>
                <c:pt idx="62">
                  <c:v>54.889800000000001</c:v>
                </c:pt>
                <c:pt idx="63">
                  <c:v>55.2926</c:v>
                </c:pt>
                <c:pt idx="64">
                  <c:v>55.700200000000002</c:v>
                </c:pt>
                <c:pt idx="65">
                  <c:v>56.105800000000002</c:v>
                </c:pt>
                <c:pt idx="66">
                  <c:v>56.5122</c:v>
                </c:pt>
                <c:pt idx="67">
                  <c:v>56.9221</c:v>
                </c:pt>
                <c:pt idx="68">
                  <c:v>57.328299999999999</c:v>
                </c:pt>
                <c:pt idx="69">
                  <c:v>57.734200000000001</c:v>
                </c:pt>
                <c:pt idx="70">
                  <c:v>58.138300000000001</c:v>
                </c:pt>
                <c:pt idx="71">
                  <c:v>58.543100000000003</c:v>
                </c:pt>
                <c:pt idx="72">
                  <c:v>58.953499999999998</c:v>
                </c:pt>
                <c:pt idx="73">
                  <c:v>59.356499999999997</c:v>
                </c:pt>
                <c:pt idx="74">
                  <c:v>59.7637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35.961500000000001</c:v>
                </c:pt>
                <c:pt idx="1">
                  <c:v>36.591200000000001</c:v>
                </c:pt>
                <c:pt idx="2">
                  <c:v>37.155500000000004</c:v>
                </c:pt>
                <c:pt idx="3">
                  <c:v>37.737400000000001</c:v>
                </c:pt>
                <c:pt idx="4">
                  <c:v>38.303100000000001</c:v>
                </c:pt>
                <c:pt idx="5">
                  <c:v>38.7712</c:v>
                </c:pt>
                <c:pt idx="6">
                  <c:v>39.159799999999997</c:v>
                </c:pt>
                <c:pt idx="7">
                  <c:v>39.528400000000005</c:v>
                </c:pt>
                <c:pt idx="8">
                  <c:v>39.884500000000003</c:v>
                </c:pt>
                <c:pt idx="9">
                  <c:v>40.186899999999994</c:v>
                </c:pt>
                <c:pt idx="10">
                  <c:v>40.494400000000006</c:v>
                </c:pt>
                <c:pt idx="11">
                  <c:v>40.758499999999998</c:v>
                </c:pt>
                <c:pt idx="12">
                  <c:v>40.920400000000001</c:v>
                </c:pt>
                <c:pt idx="13">
                  <c:v>40.957700000000003</c:v>
                </c:pt>
                <c:pt idx="14">
                  <c:v>40.7911</c:v>
                </c:pt>
                <c:pt idx="15">
                  <c:v>40.475100000000005</c:v>
                </c:pt>
                <c:pt idx="16">
                  <c:v>40.176899999999996</c:v>
                </c:pt>
                <c:pt idx="17">
                  <c:v>39.801199999999994</c:v>
                </c:pt>
                <c:pt idx="18">
                  <c:v>39.357799999999997</c:v>
                </c:pt>
                <c:pt idx="19">
                  <c:v>38.878099999999996</c:v>
                </c:pt>
                <c:pt idx="20">
                  <c:v>38.350200000000001</c:v>
                </c:pt>
                <c:pt idx="21">
                  <c:v>37.880299999999998</c:v>
                </c:pt>
                <c:pt idx="22">
                  <c:v>37.433</c:v>
                </c:pt>
                <c:pt idx="23">
                  <c:v>36.981000000000002</c:v>
                </c:pt>
                <c:pt idx="24">
                  <c:v>36.623099999999994</c:v>
                </c:pt>
                <c:pt idx="25">
                  <c:v>36.2879</c:v>
                </c:pt>
                <c:pt idx="26">
                  <c:v>35.947200000000002</c:v>
                </c:pt>
                <c:pt idx="27">
                  <c:v>35.610100000000003</c:v>
                </c:pt>
                <c:pt idx="28">
                  <c:v>35.298999999999999</c:v>
                </c:pt>
                <c:pt idx="29">
                  <c:v>34.951599999999999</c:v>
                </c:pt>
                <c:pt idx="30">
                  <c:v>34.595700000000001</c:v>
                </c:pt>
                <c:pt idx="31">
                  <c:v>34.229900000000001</c:v>
                </c:pt>
                <c:pt idx="32">
                  <c:v>33.883400000000002</c:v>
                </c:pt>
                <c:pt idx="33">
                  <c:v>33.549099999999996</c:v>
                </c:pt>
                <c:pt idx="34">
                  <c:v>33.262900000000002</c:v>
                </c:pt>
                <c:pt idx="35">
                  <c:v>33.044499999999999</c:v>
                </c:pt>
                <c:pt idx="36">
                  <c:v>32.868299999999998</c:v>
                </c:pt>
                <c:pt idx="37">
                  <c:v>32.6663</c:v>
                </c:pt>
                <c:pt idx="38">
                  <c:v>32.406100000000002</c:v>
                </c:pt>
                <c:pt idx="39">
                  <c:v>32.205399999999997</c:v>
                </c:pt>
                <c:pt idx="40">
                  <c:v>32.026700000000005</c:v>
                </c:pt>
                <c:pt idx="41">
                  <c:v>31.735000000000003</c:v>
                </c:pt>
                <c:pt idx="42">
                  <c:v>31.449300000000001</c:v>
                </c:pt>
                <c:pt idx="43">
                  <c:v>31.145199999999999</c:v>
                </c:pt>
                <c:pt idx="44">
                  <c:v>30.820499999999999</c:v>
                </c:pt>
                <c:pt idx="45">
                  <c:v>30.492899999999999</c:v>
                </c:pt>
                <c:pt idx="46">
                  <c:v>30.042799999999996</c:v>
                </c:pt>
                <c:pt idx="47">
                  <c:v>29.543999999999997</c:v>
                </c:pt>
                <c:pt idx="48">
                  <c:v>29.056999999999999</c:v>
                </c:pt>
                <c:pt idx="49">
                  <c:v>28.5093</c:v>
                </c:pt>
                <c:pt idx="50">
                  <c:v>27.949800000000003</c:v>
                </c:pt>
                <c:pt idx="51">
                  <c:v>27.721800000000002</c:v>
                </c:pt>
                <c:pt idx="52">
                  <c:v>27.4588</c:v>
                </c:pt>
                <c:pt idx="53">
                  <c:v>27.173999999999999</c:v>
                </c:pt>
                <c:pt idx="54">
                  <c:v>26.8949</c:v>
                </c:pt>
                <c:pt idx="55">
                  <c:v>26.6295</c:v>
                </c:pt>
                <c:pt idx="56">
                  <c:v>26.356800000000003</c:v>
                </c:pt>
                <c:pt idx="57">
                  <c:v>26.060400000000001</c:v>
                </c:pt>
                <c:pt idx="58">
                  <c:v>25.740600000000001</c:v>
                </c:pt>
                <c:pt idx="59">
                  <c:v>25.363599999999998</c:v>
                </c:pt>
                <c:pt idx="60">
                  <c:v>24.8644</c:v>
                </c:pt>
                <c:pt idx="61">
                  <c:v>24.286799999999999</c:v>
                </c:pt>
                <c:pt idx="62">
                  <c:v>23.7105</c:v>
                </c:pt>
                <c:pt idx="63">
                  <c:v>23.227</c:v>
                </c:pt>
                <c:pt idx="64">
                  <c:v>22.647200000000002</c:v>
                </c:pt>
                <c:pt idx="65">
                  <c:v>21.9754</c:v>
                </c:pt>
                <c:pt idx="66">
                  <c:v>21.435600000000001</c:v>
                </c:pt>
                <c:pt idx="67">
                  <c:v>20.878499999999999</c:v>
                </c:pt>
                <c:pt idx="68">
                  <c:v>20.3262</c:v>
                </c:pt>
                <c:pt idx="69">
                  <c:v>19.790700000000001</c:v>
                </c:pt>
                <c:pt idx="70">
                  <c:v>19.2484</c:v>
                </c:pt>
                <c:pt idx="71">
                  <c:v>19.084200000000003</c:v>
                </c:pt>
                <c:pt idx="72">
                  <c:v>19.1997</c:v>
                </c:pt>
                <c:pt idx="73">
                  <c:v>19.194199999999999</c:v>
                </c:pt>
                <c:pt idx="74">
                  <c:v>19.1858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52.355600000000003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52.355600000000003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52.355600000000003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52.355600000000003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52.355600000000003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52.355600000000003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52.355600000000003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52.355600000000003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52.355600000000003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52.355600000000003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52.355600000000003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52.355600000000003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52.355600000000003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52.355600000000003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52.355600000000003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52.355600000000003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52.355600000000003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52.355600000000003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52.355600000000003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52.355600000000003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52.355600000000003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52.355600000000003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14.940925</c:v>
                </c:pt>
                <c:pt idx="1">
                  <c:v>44.822775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35.815087837837837</c:v>
                </c:pt>
                <c:pt idx="1">
                  <c:v>31.611239189189195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2.4634</c:v>
                </c:pt>
                <c:pt idx="1">
                  <c:v>2.5285600000000001</c:v>
                </c:pt>
                <c:pt idx="2">
                  <c:v>2.59361</c:v>
                </c:pt>
                <c:pt idx="3">
                  <c:v>2.6579700000000002</c:v>
                </c:pt>
                <c:pt idx="4">
                  <c:v>2.7218999999999998</c:v>
                </c:pt>
                <c:pt idx="5">
                  <c:v>2.7859400000000001</c:v>
                </c:pt>
                <c:pt idx="6">
                  <c:v>2.8485899999999997</c:v>
                </c:pt>
                <c:pt idx="7">
                  <c:v>2.9110999999999998</c:v>
                </c:pt>
                <c:pt idx="8">
                  <c:v>2.9748200000000002</c:v>
                </c:pt>
                <c:pt idx="9">
                  <c:v>3.0355300000000001</c:v>
                </c:pt>
                <c:pt idx="10">
                  <c:v>3.0935200000000003</c:v>
                </c:pt>
                <c:pt idx="11">
                  <c:v>3.14682</c:v>
                </c:pt>
                <c:pt idx="12">
                  <c:v>3.1967800000000004</c:v>
                </c:pt>
                <c:pt idx="13">
                  <c:v>3.2427000000000001</c:v>
                </c:pt>
                <c:pt idx="14">
                  <c:v>3.28735</c:v>
                </c:pt>
                <c:pt idx="15">
                  <c:v>3.33046</c:v>
                </c:pt>
                <c:pt idx="16">
                  <c:v>3.3727299999999998</c:v>
                </c:pt>
                <c:pt idx="17">
                  <c:v>3.4137</c:v>
                </c:pt>
                <c:pt idx="18">
                  <c:v>3.45153</c:v>
                </c:pt>
                <c:pt idx="19">
                  <c:v>3.4901300000000002</c:v>
                </c:pt>
                <c:pt idx="20">
                  <c:v>3.5277799999999999</c:v>
                </c:pt>
                <c:pt idx="21">
                  <c:v>3.5604799999999996</c:v>
                </c:pt>
                <c:pt idx="22">
                  <c:v>3.5893100000000002</c:v>
                </c:pt>
                <c:pt idx="23">
                  <c:v>3.6147</c:v>
                </c:pt>
                <c:pt idx="24">
                  <c:v>3.6388500000000001</c:v>
                </c:pt>
                <c:pt idx="25">
                  <c:v>3.66052</c:v>
                </c:pt>
                <c:pt idx="26">
                  <c:v>3.68086</c:v>
                </c:pt>
                <c:pt idx="27">
                  <c:v>3.6993100000000001</c:v>
                </c:pt>
                <c:pt idx="28">
                  <c:v>3.7142199999999996</c:v>
                </c:pt>
                <c:pt idx="29">
                  <c:v>3.7275799999999997</c:v>
                </c:pt>
                <c:pt idx="30">
                  <c:v>3.7386999999999997</c:v>
                </c:pt>
                <c:pt idx="31">
                  <c:v>3.7472400000000001</c:v>
                </c:pt>
                <c:pt idx="32">
                  <c:v>3.7525500000000003</c:v>
                </c:pt>
                <c:pt idx="33">
                  <c:v>3.7523099999999996</c:v>
                </c:pt>
                <c:pt idx="34">
                  <c:v>3.74953</c:v>
                </c:pt>
                <c:pt idx="35">
                  <c:v>3.7456099999999997</c:v>
                </c:pt>
                <c:pt idx="36">
                  <c:v>3.7408799999999998</c:v>
                </c:pt>
                <c:pt idx="37">
                  <c:v>3.7353700000000001</c:v>
                </c:pt>
                <c:pt idx="38">
                  <c:v>3.7302400000000002</c:v>
                </c:pt>
                <c:pt idx="39">
                  <c:v>3.7231300000000003</c:v>
                </c:pt>
                <c:pt idx="40">
                  <c:v>3.7133899999999995</c:v>
                </c:pt>
                <c:pt idx="41">
                  <c:v>3.7005500000000002</c:v>
                </c:pt>
                <c:pt idx="42">
                  <c:v>3.6871799999999997</c:v>
                </c:pt>
                <c:pt idx="43">
                  <c:v>3.6756899999999999</c:v>
                </c:pt>
                <c:pt idx="44">
                  <c:v>3.66242</c:v>
                </c:pt>
                <c:pt idx="45">
                  <c:v>3.6479900000000001</c:v>
                </c:pt>
                <c:pt idx="46">
                  <c:v>3.6324299999999998</c:v>
                </c:pt>
                <c:pt idx="47">
                  <c:v>3.6170299999999997</c:v>
                </c:pt>
                <c:pt idx="48">
                  <c:v>3.60284</c:v>
                </c:pt>
                <c:pt idx="49">
                  <c:v>3.5855300000000003</c:v>
                </c:pt>
                <c:pt idx="50">
                  <c:v>3.5725199999999999</c:v>
                </c:pt>
                <c:pt idx="51">
                  <c:v>3.5517399999999997</c:v>
                </c:pt>
                <c:pt idx="52">
                  <c:v>3.5286600000000004</c:v>
                </c:pt>
                <c:pt idx="53">
                  <c:v>3.4965600000000001</c:v>
                </c:pt>
                <c:pt idx="54">
                  <c:v>3.4767999999999999</c:v>
                </c:pt>
                <c:pt idx="55">
                  <c:v>3.4492000000000003</c:v>
                </c:pt>
                <c:pt idx="56">
                  <c:v>3.4179599999999999</c:v>
                </c:pt>
                <c:pt idx="57">
                  <c:v>3.3971800000000001</c:v>
                </c:pt>
                <c:pt idx="58">
                  <c:v>3.3726499999999997</c:v>
                </c:pt>
                <c:pt idx="59">
                  <c:v>3.3515299999999999</c:v>
                </c:pt>
                <c:pt idx="60">
                  <c:v>3.33786</c:v>
                </c:pt>
                <c:pt idx="61">
                  <c:v>3.3271899999999999</c:v>
                </c:pt>
                <c:pt idx="62">
                  <c:v>3.3203899999999997</c:v>
                </c:pt>
                <c:pt idx="63">
                  <c:v>3.3147900000000003</c:v>
                </c:pt>
                <c:pt idx="64">
                  <c:v>3.3079799999999997</c:v>
                </c:pt>
                <c:pt idx="65">
                  <c:v>3.2999400000000003</c:v>
                </c:pt>
                <c:pt idx="66">
                  <c:v>3.2933600000000003</c:v>
                </c:pt>
                <c:pt idx="67">
                  <c:v>3.2862</c:v>
                </c:pt>
                <c:pt idx="68">
                  <c:v>3.2782400000000003</c:v>
                </c:pt>
                <c:pt idx="69">
                  <c:v>3.27115</c:v>
                </c:pt>
                <c:pt idx="70">
                  <c:v>3.2638699999999998</c:v>
                </c:pt>
                <c:pt idx="71">
                  <c:v>3.2600899999999999</c:v>
                </c:pt>
                <c:pt idx="72">
                  <c:v>3.2553199999999998</c:v>
                </c:pt>
                <c:pt idx="73">
                  <c:v>3.2515699999999996</c:v>
                </c:pt>
                <c:pt idx="74">
                  <c:v>3.2519100000000001</c:v>
                </c:pt>
                <c:pt idx="75">
                  <c:v>3.2526699999999997</c:v>
                </c:pt>
                <c:pt idx="76">
                  <c:v>3.2538299999999998</c:v>
                </c:pt>
                <c:pt idx="77">
                  <c:v>3.2570399999999999</c:v>
                </c:pt>
                <c:pt idx="78">
                  <c:v>3.2627899999999999</c:v>
                </c:pt>
                <c:pt idx="79">
                  <c:v>3.2713900000000002</c:v>
                </c:pt>
                <c:pt idx="80">
                  <c:v>3.2804600000000002</c:v>
                </c:pt>
                <c:pt idx="81">
                  <c:v>3.2898500000000004</c:v>
                </c:pt>
                <c:pt idx="82">
                  <c:v>3.3012700000000001</c:v>
                </c:pt>
                <c:pt idx="83">
                  <c:v>3.31203</c:v>
                </c:pt>
                <c:pt idx="84">
                  <c:v>3.3204400000000001</c:v>
                </c:pt>
                <c:pt idx="85">
                  <c:v>3.3279399999999999</c:v>
                </c:pt>
                <c:pt idx="86">
                  <c:v>3.3344100000000001</c:v>
                </c:pt>
                <c:pt idx="87">
                  <c:v>3.3425400000000001</c:v>
                </c:pt>
                <c:pt idx="88">
                  <c:v>3.3513900000000003</c:v>
                </c:pt>
                <c:pt idx="89">
                  <c:v>3.3613599999999999</c:v>
                </c:pt>
                <c:pt idx="90">
                  <c:v>3.3729100000000001</c:v>
                </c:pt>
                <c:pt idx="91">
                  <c:v>3.38645</c:v>
                </c:pt>
                <c:pt idx="92">
                  <c:v>3.4022799999999997</c:v>
                </c:pt>
                <c:pt idx="93">
                  <c:v>3.4203299999999999</c:v>
                </c:pt>
                <c:pt idx="94">
                  <c:v>3.4375200000000001</c:v>
                </c:pt>
                <c:pt idx="95">
                  <c:v>3.4554600000000004</c:v>
                </c:pt>
                <c:pt idx="96">
                  <c:v>3.47255</c:v>
                </c:pt>
                <c:pt idx="97">
                  <c:v>3.4886200000000001</c:v>
                </c:pt>
                <c:pt idx="98">
                  <c:v>3.5036699999999996</c:v>
                </c:pt>
                <c:pt idx="99">
                  <c:v>3.5182600000000002</c:v>
                </c:pt>
                <c:pt idx="100">
                  <c:v>3.5324299999999997</c:v>
                </c:pt>
                <c:pt idx="101">
                  <c:v>3.54813</c:v>
                </c:pt>
                <c:pt idx="102">
                  <c:v>3.56751</c:v>
                </c:pt>
                <c:pt idx="103">
                  <c:v>3.5883099999999999</c:v>
                </c:pt>
                <c:pt idx="104">
                  <c:v>3.6076000000000001</c:v>
                </c:pt>
                <c:pt idx="105">
                  <c:v>3.62609</c:v>
                </c:pt>
                <c:pt idx="106">
                  <c:v>3.6432500000000001</c:v>
                </c:pt>
                <c:pt idx="107">
                  <c:v>3.6587499999999999</c:v>
                </c:pt>
                <c:pt idx="108">
                  <c:v>3.6705399999999999</c:v>
                </c:pt>
                <c:pt idx="109">
                  <c:v>3.6786000000000003</c:v>
                </c:pt>
                <c:pt idx="110">
                  <c:v>3.68323</c:v>
                </c:pt>
                <c:pt idx="111">
                  <c:v>3.6878600000000001</c:v>
                </c:pt>
                <c:pt idx="112">
                  <c:v>3.6897099999999998</c:v>
                </c:pt>
                <c:pt idx="113">
                  <c:v>3.6880299999999999</c:v>
                </c:pt>
                <c:pt idx="114">
                  <c:v>3.68771</c:v>
                </c:pt>
                <c:pt idx="115">
                  <c:v>3.68811</c:v>
                </c:pt>
                <c:pt idx="116">
                  <c:v>3.6879</c:v>
                </c:pt>
                <c:pt idx="117">
                  <c:v>3.68709</c:v>
                </c:pt>
                <c:pt idx="118">
                  <c:v>3.68255</c:v>
                </c:pt>
                <c:pt idx="119">
                  <c:v>3.67801</c:v>
                </c:pt>
                <c:pt idx="120">
                  <c:v>3.6727400000000001</c:v>
                </c:pt>
                <c:pt idx="121">
                  <c:v>3.6675499999999999</c:v>
                </c:pt>
                <c:pt idx="122">
                  <c:v>3.6629399999999999</c:v>
                </c:pt>
                <c:pt idx="123">
                  <c:v>3.6572399999999998</c:v>
                </c:pt>
                <c:pt idx="124">
                  <c:v>3.6574099999999996</c:v>
                </c:pt>
                <c:pt idx="125">
                  <c:v>3.6584899999999996</c:v>
                </c:pt>
                <c:pt idx="126">
                  <c:v>3.65842</c:v>
                </c:pt>
                <c:pt idx="127">
                  <c:v>3.6541399999999999</c:v>
                </c:pt>
                <c:pt idx="128">
                  <c:v>3.64635</c:v>
                </c:pt>
                <c:pt idx="129">
                  <c:v>3.6369899999999999</c:v>
                </c:pt>
                <c:pt idx="130">
                  <c:v>3.6254799999999996</c:v>
                </c:pt>
                <c:pt idx="131">
                  <c:v>3.6123799999999999</c:v>
                </c:pt>
                <c:pt idx="132">
                  <c:v>3.5981200000000002</c:v>
                </c:pt>
                <c:pt idx="133">
                  <c:v>3.5864699999999998</c:v>
                </c:pt>
                <c:pt idx="134">
                  <c:v>3.5789300000000002</c:v>
                </c:pt>
                <c:pt idx="135">
                  <c:v>3.5735899999999998</c:v>
                </c:pt>
                <c:pt idx="136">
                  <c:v>3.5640399999999999</c:v>
                </c:pt>
                <c:pt idx="137">
                  <c:v>3.5564800000000001</c:v>
                </c:pt>
                <c:pt idx="138">
                  <c:v>3.5530299999999997</c:v>
                </c:pt>
                <c:pt idx="139">
                  <c:v>3.5466199999999999</c:v>
                </c:pt>
                <c:pt idx="140">
                  <c:v>3.5390800000000002</c:v>
                </c:pt>
                <c:pt idx="141">
                  <c:v>3.5301900000000002</c:v>
                </c:pt>
                <c:pt idx="142">
                  <c:v>3.5154999999999998</c:v>
                </c:pt>
                <c:pt idx="143">
                  <c:v>3.5056799999999999</c:v>
                </c:pt>
                <c:pt idx="144">
                  <c:v>3.49505</c:v>
                </c:pt>
                <c:pt idx="145">
                  <c:v>3.4835199999999999</c:v>
                </c:pt>
                <c:pt idx="146">
                  <c:v>3.4721700000000002</c:v>
                </c:pt>
                <c:pt idx="147">
                  <c:v>3.45783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52.355600000000003</c:v>
                </c:pt>
                <c:pt idx="1">
                  <c:v>51.228700000000003</c:v>
                </c:pt>
                <c:pt idx="2">
                  <c:v>50.038499999999999</c:v>
                </c:pt>
                <c:pt idx="3">
                  <c:v>48.731200000000001</c:v>
                </c:pt>
                <c:pt idx="4">
                  <c:v>47.448599999999999</c:v>
                </c:pt>
                <c:pt idx="5">
                  <c:v>46.2</c:v>
                </c:pt>
                <c:pt idx="6">
                  <c:v>44.992900000000006</c:v>
                </c:pt>
                <c:pt idx="7">
                  <c:v>43.777000000000001</c:v>
                </c:pt>
                <c:pt idx="8">
                  <c:v>42.534700000000001</c:v>
                </c:pt>
                <c:pt idx="9">
                  <c:v>41.429300000000005</c:v>
                </c:pt>
                <c:pt idx="10">
                  <c:v>40.4223</c:v>
                </c:pt>
                <c:pt idx="11">
                  <c:v>39.605400000000003</c:v>
                </c:pt>
                <c:pt idx="12">
                  <c:v>38.892700000000005</c:v>
                </c:pt>
                <c:pt idx="13">
                  <c:v>38.217700000000001</c:v>
                </c:pt>
                <c:pt idx="14">
                  <c:v>37.525999999999996</c:v>
                </c:pt>
                <c:pt idx="15">
                  <c:v>36.842300000000002</c:v>
                </c:pt>
                <c:pt idx="16">
                  <c:v>36.141600000000004</c:v>
                </c:pt>
                <c:pt idx="17">
                  <c:v>35.542299999999997</c:v>
                </c:pt>
                <c:pt idx="18">
                  <c:v>35.052299999999995</c:v>
                </c:pt>
                <c:pt idx="19">
                  <c:v>34.643599999999999</c:v>
                </c:pt>
                <c:pt idx="20">
                  <c:v>34.3215</c:v>
                </c:pt>
                <c:pt idx="21">
                  <c:v>34.043399999999998</c:v>
                </c:pt>
                <c:pt idx="22">
                  <c:v>33.7577</c:v>
                </c:pt>
                <c:pt idx="23">
                  <c:v>33.496600000000001</c:v>
                </c:pt>
                <c:pt idx="24">
                  <c:v>33.222499999999997</c:v>
                </c:pt>
                <c:pt idx="25">
                  <c:v>32.985500000000002</c:v>
                </c:pt>
                <c:pt idx="26">
                  <c:v>32.786500000000004</c:v>
                </c:pt>
                <c:pt idx="27">
                  <c:v>32.573399999999999</c:v>
                </c:pt>
                <c:pt idx="28">
                  <c:v>32.391500000000001</c:v>
                </c:pt>
                <c:pt idx="29">
                  <c:v>32.252199999999995</c:v>
                </c:pt>
                <c:pt idx="30">
                  <c:v>32.164500000000004</c:v>
                </c:pt>
                <c:pt idx="31">
                  <c:v>32.1492</c:v>
                </c:pt>
                <c:pt idx="32">
                  <c:v>32.181699999999999</c:v>
                </c:pt>
                <c:pt idx="33">
                  <c:v>32.302799999999998</c:v>
                </c:pt>
                <c:pt idx="34">
                  <c:v>32.462299999999999</c:v>
                </c:pt>
                <c:pt idx="35">
                  <c:v>32.664999999999999</c:v>
                </c:pt>
                <c:pt idx="36">
                  <c:v>32.8643</c:v>
                </c:pt>
                <c:pt idx="37">
                  <c:v>33.046100000000003</c:v>
                </c:pt>
                <c:pt idx="38">
                  <c:v>33.264800000000001</c:v>
                </c:pt>
                <c:pt idx="39">
                  <c:v>33.448899999999995</c:v>
                </c:pt>
                <c:pt idx="40">
                  <c:v>33.704699999999995</c:v>
                </c:pt>
                <c:pt idx="41">
                  <c:v>33.978000000000002</c:v>
                </c:pt>
                <c:pt idx="42">
                  <c:v>34.243600000000001</c:v>
                </c:pt>
                <c:pt idx="43">
                  <c:v>34.438499999999998</c:v>
                </c:pt>
                <c:pt idx="44">
                  <c:v>34.533900000000003</c:v>
                </c:pt>
                <c:pt idx="45">
                  <c:v>34.526699999999998</c:v>
                </c:pt>
                <c:pt idx="46">
                  <c:v>34.449800000000003</c:v>
                </c:pt>
                <c:pt idx="47">
                  <c:v>34.384100000000004</c:v>
                </c:pt>
                <c:pt idx="48">
                  <c:v>34.266999999999996</c:v>
                </c:pt>
                <c:pt idx="49">
                  <c:v>34.125299999999996</c:v>
                </c:pt>
                <c:pt idx="50">
                  <c:v>34.037599999999998</c:v>
                </c:pt>
                <c:pt idx="51">
                  <c:v>33.803899999999999</c:v>
                </c:pt>
                <c:pt idx="52">
                  <c:v>33.580399999999997</c:v>
                </c:pt>
                <c:pt idx="53">
                  <c:v>33.3095</c:v>
                </c:pt>
                <c:pt idx="54">
                  <c:v>33.289699999999996</c:v>
                </c:pt>
                <c:pt idx="55">
                  <c:v>33.247399999999999</c:v>
                </c:pt>
                <c:pt idx="56">
                  <c:v>33.144600000000004</c:v>
                </c:pt>
                <c:pt idx="57">
                  <c:v>33.134500000000003</c:v>
                </c:pt>
                <c:pt idx="58">
                  <c:v>33.008800000000001</c:v>
                </c:pt>
                <c:pt idx="59">
                  <c:v>32.786200000000001</c:v>
                </c:pt>
                <c:pt idx="60">
                  <c:v>32.691099999999999</c:v>
                </c:pt>
                <c:pt idx="61">
                  <c:v>32.5961</c:v>
                </c:pt>
                <c:pt idx="62">
                  <c:v>32.753900000000002</c:v>
                </c:pt>
                <c:pt idx="63">
                  <c:v>32.908200000000001</c:v>
                </c:pt>
                <c:pt idx="64">
                  <c:v>33.128099999999996</c:v>
                </c:pt>
                <c:pt idx="65">
                  <c:v>33.352800000000002</c:v>
                </c:pt>
                <c:pt idx="66">
                  <c:v>33.407599999999995</c:v>
                </c:pt>
                <c:pt idx="67">
                  <c:v>33.622</c:v>
                </c:pt>
                <c:pt idx="68">
                  <c:v>34.070299999999996</c:v>
                </c:pt>
                <c:pt idx="69">
                  <c:v>34.391199999999998</c:v>
                </c:pt>
                <c:pt idx="70">
                  <c:v>34.775800000000004</c:v>
                </c:pt>
                <c:pt idx="71">
                  <c:v>35.041800000000002</c:v>
                </c:pt>
                <c:pt idx="72">
                  <c:v>35.6188</c:v>
                </c:pt>
                <c:pt idx="73">
                  <c:v>35.961500000000001</c:v>
                </c:pt>
                <c:pt idx="74">
                  <c:v>36.591200000000001</c:v>
                </c:pt>
                <c:pt idx="75">
                  <c:v>37.155500000000004</c:v>
                </c:pt>
                <c:pt idx="76">
                  <c:v>37.737400000000001</c:v>
                </c:pt>
                <c:pt idx="77">
                  <c:v>38.303100000000001</c:v>
                </c:pt>
                <c:pt idx="78">
                  <c:v>38.7712</c:v>
                </c:pt>
                <c:pt idx="79">
                  <c:v>39.159799999999997</c:v>
                </c:pt>
                <c:pt idx="80">
                  <c:v>39.528400000000005</c:v>
                </c:pt>
                <c:pt idx="81">
                  <c:v>39.884500000000003</c:v>
                </c:pt>
                <c:pt idx="82">
                  <c:v>40.186899999999994</c:v>
                </c:pt>
                <c:pt idx="83">
                  <c:v>40.494400000000006</c:v>
                </c:pt>
                <c:pt idx="84">
                  <c:v>40.758499999999998</c:v>
                </c:pt>
                <c:pt idx="85">
                  <c:v>40.920400000000001</c:v>
                </c:pt>
                <c:pt idx="86">
                  <c:v>40.957700000000003</c:v>
                </c:pt>
                <c:pt idx="87">
                  <c:v>40.7911</c:v>
                </c:pt>
                <c:pt idx="88">
                  <c:v>40.475100000000005</c:v>
                </c:pt>
                <c:pt idx="89">
                  <c:v>40.176899999999996</c:v>
                </c:pt>
                <c:pt idx="90">
                  <c:v>39.801199999999994</c:v>
                </c:pt>
                <c:pt idx="91">
                  <c:v>39.357799999999997</c:v>
                </c:pt>
                <c:pt idx="92">
                  <c:v>38.878099999999996</c:v>
                </c:pt>
                <c:pt idx="93">
                  <c:v>38.350200000000001</c:v>
                </c:pt>
                <c:pt idx="94">
                  <c:v>37.880299999999998</c:v>
                </c:pt>
                <c:pt idx="95">
                  <c:v>37.433</c:v>
                </c:pt>
                <c:pt idx="96">
                  <c:v>36.981000000000002</c:v>
                </c:pt>
                <c:pt idx="97">
                  <c:v>36.623099999999994</c:v>
                </c:pt>
                <c:pt idx="98">
                  <c:v>36.2879</c:v>
                </c:pt>
                <c:pt idx="99">
                  <c:v>35.947200000000002</c:v>
                </c:pt>
                <c:pt idx="100">
                  <c:v>35.610100000000003</c:v>
                </c:pt>
                <c:pt idx="101">
                  <c:v>35.298999999999999</c:v>
                </c:pt>
                <c:pt idx="102">
                  <c:v>34.951599999999999</c:v>
                </c:pt>
                <c:pt idx="103">
                  <c:v>34.595700000000001</c:v>
                </c:pt>
                <c:pt idx="104">
                  <c:v>34.229900000000001</c:v>
                </c:pt>
                <c:pt idx="105">
                  <c:v>33.883400000000002</c:v>
                </c:pt>
                <c:pt idx="106">
                  <c:v>33.549099999999996</c:v>
                </c:pt>
                <c:pt idx="107">
                  <c:v>33.262900000000002</c:v>
                </c:pt>
                <c:pt idx="108">
                  <c:v>33.044499999999999</c:v>
                </c:pt>
                <c:pt idx="109">
                  <c:v>32.868299999999998</c:v>
                </c:pt>
                <c:pt idx="110">
                  <c:v>32.6663</c:v>
                </c:pt>
                <c:pt idx="111">
                  <c:v>32.406100000000002</c:v>
                </c:pt>
                <c:pt idx="112">
                  <c:v>32.205399999999997</c:v>
                </c:pt>
                <c:pt idx="113">
                  <c:v>32.026700000000005</c:v>
                </c:pt>
                <c:pt idx="114">
                  <c:v>31.735000000000003</c:v>
                </c:pt>
                <c:pt idx="115">
                  <c:v>31.449300000000001</c:v>
                </c:pt>
                <c:pt idx="116">
                  <c:v>31.145199999999999</c:v>
                </c:pt>
                <c:pt idx="117">
                  <c:v>30.820499999999999</c:v>
                </c:pt>
                <c:pt idx="118">
                  <c:v>30.492899999999999</c:v>
                </c:pt>
                <c:pt idx="119">
                  <c:v>30.042799999999996</c:v>
                </c:pt>
                <c:pt idx="120">
                  <c:v>29.543999999999997</c:v>
                </c:pt>
                <c:pt idx="121">
                  <c:v>29.056999999999999</c:v>
                </c:pt>
                <c:pt idx="122">
                  <c:v>28.5093</c:v>
                </c:pt>
                <c:pt idx="123">
                  <c:v>27.949800000000003</c:v>
                </c:pt>
                <c:pt idx="124">
                  <c:v>27.721800000000002</c:v>
                </c:pt>
                <c:pt idx="125">
                  <c:v>27.4588</c:v>
                </c:pt>
                <c:pt idx="126">
                  <c:v>27.173999999999999</c:v>
                </c:pt>
                <c:pt idx="127">
                  <c:v>26.8949</c:v>
                </c:pt>
                <c:pt idx="128">
                  <c:v>26.6295</c:v>
                </c:pt>
                <c:pt idx="129">
                  <c:v>26.356800000000003</c:v>
                </c:pt>
                <c:pt idx="130">
                  <c:v>26.060400000000001</c:v>
                </c:pt>
                <c:pt idx="131">
                  <c:v>25.740600000000001</c:v>
                </c:pt>
                <c:pt idx="132">
                  <c:v>25.363599999999998</c:v>
                </c:pt>
                <c:pt idx="133">
                  <c:v>24.8644</c:v>
                </c:pt>
                <c:pt idx="134">
                  <c:v>24.286799999999999</c:v>
                </c:pt>
                <c:pt idx="135">
                  <c:v>23.7105</c:v>
                </c:pt>
                <c:pt idx="136">
                  <c:v>23.227</c:v>
                </c:pt>
                <c:pt idx="137">
                  <c:v>22.647200000000002</c:v>
                </c:pt>
                <c:pt idx="138">
                  <c:v>21.9754</c:v>
                </c:pt>
                <c:pt idx="139">
                  <c:v>21.435600000000001</c:v>
                </c:pt>
                <c:pt idx="140">
                  <c:v>20.878499999999999</c:v>
                </c:pt>
                <c:pt idx="141">
                  <c:v>20.3262</c:v>
                </c:pt>
                <c:pt idx="142">
                  <c:v>19.790700000000001</c:v>
                </c:pt>
                <c:pt idx="143">
                  <c:v>19.2484</c:v>
                </c:pt>
                <c:pt idx="144">
                  <c:v>19.084200000000003</c:v>
                </c:pt>
                <c:pt idx="145">
                  <c:v>19.1997</c:v>
                </c:pt>
                <c:pt idx="146">
                  <c:v>19.194199999999999</c:v>
                </c:pt>
                <c:pt idx="147">
                  <c:v>19.1858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2.4634</c:v>
                </c:pt>
                <c:pt idx="1">
                  <c:v>2.5285600000000001</c:v>
                </c:pt>
                <c:pt idx="2">
                  <c:v>2.59361</c:v>
                </c:pt>
                <c:pt idx="3">
                  <c:v>2.6579700000000002</c:v>
                </c:pt>
                <c:pt idx="4">
                  <c:v>2.7218999999999998</c:v>
                </c:pt>
                <c:pt idx="5">
                  <c:v>2.7859400000000001</c:v>
                </c:pt>
                <c:pt idx="6">
                  <c:v>2.8485899999999997</c:v>
                </c:pt>
                <c:pt idx="7">
                  <c:v>2.9110999999999998</c:v>
                </c:pt>
                <c:pt idx="8">
                  <c:v>2.9748200000000002</c:v>
                </c:pt>
                <c:pt idx="9">
                  <c:v>3.0355300000000001</c:v>
                </c:pt>
                <c:pt idx="10">
                  <c:v>3.0935200000000003</c:v>
                </c:pt>
                <c:pt idx="11">
                  <c:v>3.14682</c:v>
                </c:pt>
                <c:pt idx="12">
                  <c:v>3.1967800000000004</c:v>
                </c:pt>
                <c:pt idx="13">
                  <c:v>3.2427000000000001</c:v>
                </c:pt>
                <c:pt idx="14">
                  <c:v>3.28735</c:v>
                </c:pt>
                <c:pt idx="15">
                  <c:v>3.33046</c:v>
                </c:pt>
                <c:pt idx="16">
                  <c:v>3.3727299999999998</c:v>
                </c:pt>
                <c:pt idx="17">
                  <c:v>3.4137</c:v>
                </c:pt>
                <c:pt idx="18">
                  <c:v>3.45153</c:v>
                </c:pt>
                <c:pt idx="19">
                  <c:v>3.4901300000000002</c:v>
                </c:pt>
                <c:pt idx="20">
                  <c:v>3.5277799999999999</c:v>
                </c:pt>
                <c:pt idx="21">
                  <c:v>3.5604799999999996</c:v>
                </c:pt>
                <c:pt idx="22">
                  <c:v>3.5893100000000002</c:v>
                </c:pt>
                <c:pt idx="23">
                  <c:v>3.6147</c:v>
                </c:pt>
                <c:pt idx="24">
                  <c:v>3.6388500000000001</c:v>
                </c:pt>
                <c:pt idx="25">
                  <c:v>3.66052</c:v>
                </c:pt>
                <c:pt idx="26">
                  <c:v>3.68086</c:v>
                </c:pt>
                <c:pt idx="27">
                  <c:v>3.6993100000000001</c:v>
                </c:pt>
                <c:pt idx="28">
                  <c:v>3.7142199999999996</c:v>
                </c:pt>
                <c:pt idx="29">
                  <c:v>3.7275799999999997</c:v>
                </c:pt>
                <c:pt idx="30">
                  <c:v>3.7386999999999997</c:v>
                </c:pt>
                <c:pt idx="31">
                  <c:v>3.7472400000000001</c:v>
                </c:pt>
                <c:pt idx="32">
                  <c:v>3.7525500000000003</c:v>
                </c:pt>
                <c:pt idx="33">
                  <c:v>3.7523099999999996</c:v>
                </c:pt>
                <c:pt idx="34">
                  <c:v>3.74953</c:v>
                </c:pt>
                <c:pt idx="35">
                  <c:v>3.7456099999999997</c:v>
                </c:pt>
                <c:pt idx="36">
                  <c:v>3.7408799999999998</c:v>
                </c:pt>
                <c:pt idx="37">
                  <c:v>3.7353700000000001</c:v>
                </c:pt>
                <c:pt idx="38">
                  <c:v>3.7302400000000002</c:v>
                </c:pt>
                <c:pt idx="39">
                  <c:v>3.7231300000000003</c:v>
                </c:pt>
                <c:pt idx="40">
                  <c:v>3.7133899999999995</c:v>
                </c:pt>
                <c:pt idx="41">
                  <c:v>3.7005500000000002</c:v>
                </c:pt>
                <c:pt idx="42">
                  <c:v>3.6871799999999997</c:v>
                </c:pt>
                <c:pt idx="43">
                  <c:v>3.6756899999999999</c:v>
                </c:pt>
                <c:pt idx="44">
                  <c:v>3.66242</c:v>
                </c:pt>
                <c:pt idx="45">
                  <c:v>3.6479900000000001</c:v>
                </c:pt>
                <c:pt idx="46">
                  <c:v>3.6324299999999998</c:v>
                </c:pt>
                <c:pt idx="47">
                  <c:v>3.6170299999999997</c:v>
                </c:pt>
                <c:pt idx="48">
                  <c:v>3.60284</c:v>
                </c:pt>
                <c:pt idx="49">
                  <c:v>3.5855300000000003</c:v>
                </c:pt>
                <c:pt idx="50">
                  <c:v>3.5725199999999999</c:v>
                </c:pt>
                <c:pt idx="51">
                  <c:v>3.5517399999999997</c:v>
                </c:pt>
                <c:pt idx="52">
                  <c:v>3.5286600000000004</c:v>
                </c:pt>
                <c:pt idx="53">
                  <c:v>3.4965600000000001</c:v>
                </c:pt>
                <c:pt idx="54">
                  <c:v>3.4767999999999999</c:v>
                </c:pt>
                <c:pt idx="55">
                  <c:v>3.4492000000000003</c:v>
                </c:pt>
                <c:pt idx="56">
                  <c:v>3.4179599999999999</c:v>
                </c:pt>
                <c:pt idx="57">
                  <c:v>3.3971800000000001</c:v>
                </c:pt>
                <c:pt idx="58">
                  <c:v>3.3726499999999997</c:v>
                </c:pt>
                <c:pt idx="59">
                  <c:v>3.3515299999999999</c:v>
                </c:pt>
                <c:pt idx="60">
                  <c:v>3.33786</c:v>
                </c:pt>
                <c:pt idx="61">
                  <c:v>3.3271899999999999</c:v>
                </c:pt>
                <c:pt idx="62">
                  <c:v>3.3203899999999997</c:v>
                </c:pt>
                <c:pt idx="63">
                  <c:v>3.3147900000000003</c:v>
                </c:pt>
                <c:pt idx="64">
                  <c:v>3.3079799999999997</c:v>
                </c:pt>
                <c:pt idx="65">
                  <c:v>3.2999400000000003</c:v>
                </c:pt>
                <c:pt idx="66">
                  <c:v>3.2933600000000003</c:v>
                </c:pt>
                <c:pt idx="67">
                  <c:v>3.2862</c:v>
                </c:pt>
                <c:pt idx="68">
                  <c:v>3.2782400000000003</c:v>
                </c:pt>
                <c:pt idx="69">
                  <c:v>3.27115</c:v>
                </c:pt>
                <c:pt idx="70">
                  <c:v>3.2638699999999998</c:v>
                </c:pt>
                <c:pt idx="71">
                  <c:v>3.2600899999999999</c:v>
                </c:pt>
                <c:pt idx="72">
                  <c:v>3.2553199999999998</c:v>
                </c:pt>
                <c:pt idx="73">
                  <c:v>3.2515699999999996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52.355600000000003</c:v>
                </c:pt>
                <c:pt idx="1">
                  <c:v>51.228700000000003</c:v>
                </c:pt>
                <c:pt idx="2">
                  <c:v>50.038499999999999</c:v>
                </c:pt>
                <c:pt idx="3">
                  <c:v>48.731200000000001</c:v>
                </c:pt>
                <c:pt idx="4">
                  <c:v>47.448599999999999</c:v>
                </c:pt>
                <c:pt idx="5">
                  <c:v>46.2</c:v>
                </c:pt>
                <c:pt idx="6">
                  <c:v>44.992900000000006</c:v>
                </c:pt>
                <c:pt idx="7">
                  <c:v>43.777000000000001</c:v>
                </c:pt>
                <c:pt idx="8">
                  <c:v>42.534700000000001</c:v>
                </c:pt>
                <c:pt idx="9">
                  <c:v>41.429300000000005</c:v>
                </c:pt>
                <c:pt idx="10">
                  <c:v>40.4223</c:v>
                </c:pt>
                <c:pt idx="11">
                  <c:v>39.605400000000003</c:v>
                </c:pt>
                <c:pt idx="12">
                  <c:v>38.892700000000005</c:v>
                </c:pt>
                <c:pt idx="13">
                  <c:v>38.217700000000001</c:v>
                </c:pt>
                <c:pt idx="14">
                  <c:v>37.525999999999996</c:v>
                </c:pt>
                <c:pt idx="15">
                  <c:v>36.842300000000002</c:v>
                </c:pt>
                <c:pt idx="16">
                  <c:v>36.141600000000004</c:v>
                </c:pt>
                <c:pt idx="17">
                  <c:v>35.542299999999997</c:v>
                </c:pt>
                <c:pt idx="18">
                  <c:v>35.052299999999995</c:v>
                </c:pt>
                <c:pt idx="19">
                  <c:v>34.643599999999999</c:v>
                </c:pt>
                <c:pt idx="20">
                  <c:v>34.3215</c:v>
                </c:pt>
                <c:pt idx="21">
                  <c:v>34.043399999999998</c:v>
                </c:pt>
                <c:pt idx="22">
                  <c:v>33.7577</c:v>
                </c:pt>
                <c:pt idx="23">
                  <c:v>33.496600000000001</c:v>
                </c:pt>
                <c:pt idx="24">
                  <c:v>33.222499999999997</c:v>
                </c:pt>
                <c:pt idx="25">
                  <c:v>32.985500000000002</c:v>
                </c:pt>
                <c:pt idx="26">
                  <c:v>32.786500000000004</c:v>
                </c:pt>
                <c:pt idx="27">
                  <c:v>32.573399999999999</c:v>
                </c:pt>
                <c:pt idx="28">
                  <c:v>32.391500000000001</c:v>
                </c:pt>
                <c:pt idx="29">
                  <c:v>32.252199999999995</c:v>
                </c:pt>
                <c:pt idx="30">
                  <c:v>32.164500000000004</c:v>
                </c:pt>
                <c:pt idx="31">
                  <c:v>32.1492</c:v>
                </c:pt>
                <c:pt idx="32">
                  <c:v>32.181699999999999</c:v>
                </c:pt>
                <c:pt idx="33">
                  <c:v>32.302799999999998</c:v>
                </c:pt>
                <c:pt idx="34">
                  <c:v>32.462299999999999</c:v>
                </c:pt>
                <c:pt idx="35">
                  <c:v>32.664999999999999</c:v>
                </c:pt>
                <c:pt idx="36">
                  <c:v>32.8643</c:v>
                </c:pt>
                <c:pt idx="37">
                  <c:v>33.046100000000003</c:v>
                </c:pt>
                <c:pt idx="38">
                  <c:v>33.264800000000001</c:v>
                </c:pt>
                <c:pt idx="39">
                  <c:v>33.448899999999995</c:v>
                </c:pt>
                <c:pt idx="40">
                  <c:v>33.704699999999995</c:v>
                </c:pt>
                <c:pt idx="41">
                  <c:v>33.978000000000002</c:v>
                </c:pt>
                <c:pt idx="42">
                  <c:v>34.243600000000001</c:v>
                </c:pt>
                <c:pt idx="43">
                  <c:v>34.438499999999998</c:v>
                </c:pt>
                <c:pt idx="44">
                  <c:v>34.533900000000003</c:v>
                </c:pt>
                <c:pt idx="45">
                  <c:v>34.526699999999998</c:v>
                </c:pt>
                <c:pt idx="46">
                  <c:v>34.449800000000003</c:v>
                </c:pt>
                <c:pt idx="47">
                  <c:v>34.384100000000004</c:v>
                </c:pt>
                <c:pt idx="48">
                  <c:v>34.266999999999996</c:v>
                </c:pt>
                <c:pt idx="49">
                  <c:v>34.125299999999996</c:v>
                </c:pt>
                <c:pt idx="50">
                  <c:v>34.037599999999998</c:v>
                </c:pt>
                <c:pt idx="51">
                  <c:v>33.803899999999999</c:v>
                </c:pt>
                <c:pt idx="52">
                  <c:v>33.580399999999997</c:v>
                </c:pt>
                <c:pt idx="53">
                  <c:v>33.3095</c:v>
                </c:pt>
                <c:pt idx="54">
                  <c:v>33.289699999999996</c:v>
                </c:pt>
                <c:pt idx="55">
                  <c:v>33.247399999999999</c:v>
                </c:pt>
                <c:pt idx="56">
                  <c:v>33.144600000000004</c:v>
                </c:pt>
                <c:pt idx="57">
                  <c:v>33.134500000000003</c:v>
                </c:pt>
                <c:pt idx="58">
                  <c:v>33.008800000000001</c:v>
                </c:pt>
                <c:pt idx="59">
                  <c:v>32.786200000000001</c:v>
                </c:pt>
                <c:pt idx="60">
                  <c:v>32.691099999999999</c:v>
                </c:pt>
                <c:pt idx="61">
                  <c:v>32.5961</c:v>
                </c:pt>
                <c:pt idx="62">
                  <c:v>32.753900000000002</c:v>
                </c:pt>
                <c:pt idx="63">
                  <c:v>32.908200000000001</c:v>
                </c:pt>
                <c:pt idx="64">
                  <c:v>33.128099999999996</c:v>
                </c:pt>
                <c:pt idx="65">
                  <c:v>33.352800000000002</c:v>
                </c:pt>
                <c:pt idx="66">
                  <c:v>33.407599999999995</c:v>
                </c:pt>
                <c:pt idx="67">
                  <c:v>33.622</c:v>
                </c:pt>
                <c:pt idx="68">
                  <c:v>34.070299999999996</c:v>
                </c:pt>
                <c:pt idx="69">
                  <c:v>34.391199999999998</c:v>
                </c:pt>
                <c:pt idx="70">
                  <c:v>34.775800000000004</c:v>
                </c:pt>
                <c:pt idx="71">
                  <c:v>35.041800000000002</c:v>
                </c:pt>
                <c:pt idx="72">
                  <c:v>35.6188</c:v>
                </c:pt>
                <c:pt idx="73">
                  <c:v>35.961500000000001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3.2515699999999996</c:v>
                </c:pt>
                <c:pt idx="1">
                  <c:v>3.2519100000000001</c:v>
                </c:pt>
                <c:pt idx="2">
                  <c:v>3.2526699999999997</c:v>
                </c:pt>
                <c:pt idx="3">
                  <c:v>3.2538299999999998</c:v>
                </c:pt>
                <c:pt idx="4">
                  <c:v>3.2570399999999999</c:v>
                </c:pt>
                <c:pt idx="5">
                  <c:v>3.2627899999999999</c:v>
                </c:pt>
                <c:pt idx="6">
                  <c:v>3.2713900000000002</c:v>
                </c:pt>
                <c:pt idx="7">
                  <c:v>3.2804600000000002</c:v>
                </c:pt>
                <c:pt idx="8">
                  <c:v>3.2898500000000004</c:v>
                </c:pt>
                <c:pt idx="9">
                  <c:v>3.3012700000000001</c:v>
                </c:pt>
                <c:pt idx="10">
                  <c:v>3.31203</c:v>
                </c:pt>
                <c:pt idx="11">
                  <c:v>3.3204400000000001</c:v>
                </c:pt>
                <c:pt idx="12">
                  <c:v>3.3279399999999999</c:v>
                </c:pt>
                <c:pt idx="13">
                  <c:v>3.3344100000000001</c:v>
                </c:pt>
                <c:pt idx="14">
                  <c:v>3.3425400000000001</c:v>
                </c:pt>
                <c:pt idx="15">
                  <c:v>3.3513900000000003</c:v>
                </c:pt>
                <c:pt idx="16">
                  <c:v>3.3613599999999999</c:v>
                </c:pt>
                <c:pt idx="17">
                  <c:v>3.3729100000000001</c:v>
                </c:pt>
                <c:pt idx="18">
                  <c:v>3.38645</c:v>
                </c:pt>
                <c:pt idx="19">
                  <c:v>3.4022799999999997</c:v>
                </c:pt>
                <c:pt idx="20">
                  <c:v>3.4203299999999999</c:v>
                </c:pt>
                <c:pt idx="21">
                  <c:v>3.4375200000000001</c:v>
                </c:pt>
                <c:pt idx="22">
                  <c:v>3.4554600000000004</c:v>
                </c:pt>
                <c:pt idx="23">
                  <c:v>3.47255</c:v>
                </c:pt>
                <c:pt idx="24">
                  <c:v>3.4886200000000001</c:v>
                </c:pt>
                <c:pt idx="25">
                  <c:v>3.5036699999999996</c:v>
                </c:pt>
                <c:pt idx="26">
                  <c:v>3.5182600000000002</c:v>
                </c:pt>
                <c:pt idx="27">
                  <c:v>3.5324299999999997</c:v>
                </c:pt>
                <c:pt idx="28">
                  <c:v>3.54813</c:v>
                </c:pt>
                <c:pt idx="29">
                  <c:v>3.56751</c:v>
                </c:pt>
                <c:pt idx="30">
                  <c:v>3.5883099999999999</c:v>
                </c:pt>
                <c:pt idx="31">
                  <c:v>3.6076000000000001</c:v>
                </c:pt>
                <c:pt idx="32">
                  <c:v>3.62609</c:v>
                </c:pt>
                <c:pt idx="33">
                  <c:v>3.6432500000000001</c:v>
                </c:pt>
                <c:pt idx="34">
                  <c:v>3.6587499999999999</c:v>
                </c:pt>
                <c:pt idx="35">
                  <c:v>3.6705399999999999</c:v>
                </c:pt>
                <c:pt idx="36">
                  <c:v>3.6786000000000003</c:v>
                </c:pt>
                <c:pt idx="37">
                  <c:v>3.68323</c:v>
                </c:pt>
                <c:pt idx="38">
                  <c:v>3.6878600000000001</c:v>
                </c:pt>
                <c:pt idx="39">
                  <c:v>3.6897099999999998</c:v>
                </c:pt>
                <c:pt idx="40">
                  <c:v>3.6880299999999999</c:v>
                </c:pt>
                <c:pt idx="41">
                  <c:v>3.68771</c:v>
                </c:pt>
                <c:pt idx="42">
                  <c:v>3.68811</c:v>
                </c:pt>
                <c:pt idx="43">
                  <c:v>3.6879</c:v>
                </c:pt>
                <c:pt idx="44">
                  <c:v>3.68709</c:v>
                </c:pt>
                <c:pt idx="45">
                  <c:v>3.68255</c:v>
                </c:pt>
                <c:pt idx="46">
                  <c:v>3.67801</c:v>
                </c:pt>
                <c:pt idx="47">
                  <c:v>3.6727400000000001</c:v>
                </c:pt>
                <c:pt idx="48">
                  <c:v>3.6675499999999999</c:v>
                </c:pt>
                <c:pt idx="49">
                  <c:v>3.6629399999999999</c:v>
                </c:pt>
                <c:pt idx="50">
                  <c:v>3.6572399999999998</c:v>
                </c:pt>
                <c:pt idx="51">
                  <c:v>3.6574099999999996</c:v>
                </c:pt>
                <c:pt idx="52">
                  <c:v>3.6584899999999996</c:v>
                </c:pt>
                <c:pt idx="53">
                  <c:v>3.65842</c:v>
                </c:pt>
                <c:pt idx="54">
                  <c:v>3.6541399999999999</c:v>
                </c:pt>
                <c:pt idx="55">
                  <c:v>3.64635</c:v>
                </c:pt>
                <c:pt idx="56">
                  <c:v>3.6369899999999999</c:v>
                </c:pt>
                <c:pt idx="57">
                  <c:v>3.6254799999999996</c:v>
                </c:pt>
                <c:pt idx="58">
                  <c:v>3.6123799999999999</c:v>
                </c:pt>
                <c:pt idx="59">
                  <c:v>3.5981200000000002</c:v>
                </c:pt>
                <c:pt idx="60">
                  <c:v>3.5864699999999998</c:v>
                </c:pt>
                <c:pt idx="61">
                  <c:v>3.5789300000000002</c:v>
                </c:pt>
                <c:pt idx="62">
                  <c:v>3.5735899999999998</c:v>
                </c:pt>
                <c:pt idx="63">
                  <c:v>3.5640399999999999</c:v>
                </c:pt>
                <c:pt idx="64">
                  <c:v>3.5564800000000001</c:v>
                </c:pt>
                <c:pt idx="65">
                  <c:v>3.5530299999999997</c:v>
                </c:pt>
                <c:pt idx="66">
                  <c:v>3.5466199999999999</c:v>
                </c:pt>
                <c:pt idx="67">
                  <c:v>3.5390800000000002</c:v>
                </c:pt>
                <c:pt idx="68">
                  <c:v>3.5301900000000002</c:v>
                </c:pt>
                <c:pt idx="69">
                  <c:v>3.5154999999999998</c:v>
                </c:pt>
                <c:pt idx="70">
                  <c:v>3.5056799999999999</c:v>
                </c:pt>
                <c:pt idx="71">
                  <c:v>3.49505</c:v>
                </c:pt>
                <c:pt idx="72">
                  <c:v>3.4835199999999999</c:v>
                </c:pt>
                <c:pt idx="73">
                  <c:v>3.4721700000000002</c:v>
                </c:pt>
                <c:pt idx="74">
                  <c:v>3.45783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35.961500000000001</c:v>
                </c:pt>
                <c:pt idx="1">
                  <c:v>36.591200000000001</c:v>
                </c:pt>
                <c:pt idx="2">
                  <c:v>37.155500000000004</c:v>
                </c:pt>
                <c:pt idx="3">
                  <c:v>37.737400000000001</c:v>
                </c:pt>
                <c:pt idx="4">
                  <c:v>38.303100000000001</c:v>
                </c:pt>
                <c:pt idx="5">
                  <c:v>38.7712</c:v>
                </c:pt>
                <c:pt idx="6">
                  <c:v>39.159799999999997</c:v>
                </c:pt>
                <c:pt idx="7">
                  <c:v>39.528400000000005</c:v>
                </c:pt>
                <c:pt idx="8">
                  <c:v>39.884500000000003</c:v>
                </c:pt>
                <c:pt idx="9">
                  <c:v>40.186899999999994</c:v>
                </c:pt>
                <c:pt idx="10">
                  <c:v>40.494400000000006</c:v>
                </c:pt>
                <c:pt idx="11">
                  <c:v>40.758499999999998</c:v>
                </c:pt>
                <c:pt idx="12">
                  <c:v>40.920400000000001</c:v>
                </c:pt>
                <c:pt idx="13">
                  <c:v>40.957700000000003</c:v>
                </c:pt>
                <c:pt idx="14">
                  <c:v>40.7911</c:v>
                </c:pt>
                <c:pt idx="15">
                  <c:v>40.475100000000005</c:v>
                </c:pt>
                <c:pt idx="16">
                  <c:v>40.176899999999996</c:v>
                </c:pt>
                <c:pt idx="17">
                  <c:v>39.801199999999994</c:v>
                </c:pt>
                <c:pt idx="18">
                  <c:v>39.357799999999997</c:v>
                </c:pt>
                <c:pt idx="19">
                  <c:v>38.878099999999996</c:v>
                </c:pt>
                <c:pt idx="20">
                  <c:v>38.350200000000001</c:v>
                </c:pt>
                <c:pt idx="21">
                  <c:v>37.880299999999998</c:v>
                </c:pt>
                <c:pt idx="22">
                  <c:v>37.433</c:v>
                </c:pt>
                <c:pt idx="23">
                  <c:v>36.981000000000002</c:v>
                </c:pt>
                <c:pt idx="24">
                  <c:v>36.623099999999994</c:v>
                </c:pt>
                <c:pt idx="25">
                  <c:v>36.2879</c:v>
                </c:pt>
                <c:pt idx="26">
                  <c:v>35.947200000000002</c:v>
                </c:pt>
                <c:pt idx="27">
                  <c:v>35.610100000000003</c:v>
                </c:pt>
                <c:pt idx="28">
                  <c:v>35.298999999999999</c:v>
                </c:pt>
                <c:pt idx="29">
                  <c:v>34.951599999999999</c:v>
                </c:pt>
                <c:pt idx="30">
                  <c:v>34.595700000000001</c:v>
                </c:pt>
                <c:pt idx="31">
                  <c:v>34.229900000000001</c:v>
                </c:pt>
                <c:pt idx="32">
                  <c:v>33.883400000000002</c:v>
                </c:pt>
                <c:pt idx="33">
                  <c:v>33.549099999999996</c:v>
                </c:pt>
                <c:pt idx="34">
                  <c:v>33.262900000000002</c:v>
                </c:pt>
                <c:pt idx="35">
                  <c:v>33.044499999999999</c:v>
                </c:pt>
                <c:pt idx="36">
                  <c:v>32.868299999999998</c:v>
                </c:pt>
                <c:pt idx="37">
                  <c:v>32.6663</c:v>
                </c:pt>
                <c:pt idx="38">
                  <c:v>32.406100000000002</c:v>
                </c:pt>
                <c:pt idx="39">
                  <c:v>32.205399999999997</c:v>
                </c:pt>
                <c:pt idx="40">
                  <c:v>32.026700000000005</c:v>
                </c:pt>
                <c:pt idx="41">
                  <c:v>31.735000000000003</c:v>
                </c:pt>
                <c:pt idx="42">
                  <c:v>31.449300000000001</c:v>
                </c:pt>
                <c:pt idx="43">
                  <c:v>31.145199999999999</c:v>
                </c:pt>
                <c:pt idx="44">
                  <c:v>30.820499999999999</c:v>
                </c:pt>
                <c:pt idx="45">
                  <c:v>30.492899999999999</c:v>
                </c:pt>
                <c:pt idx="46">
                  <c:v>30.042799999999996</c:v>
                </c:pt>
                <c:pt idx="47">
                  <c:v>29.543999999999997</c:v>
                </c:pt>
                <c:pt idx="48">
                  <c:v>29.056999999999999</c:v>
                </c:pt>
                <c:pt idx="49">
                  <c:v>28.5093</c:v>
                </c:pt>
                <c:pt idx="50">
                  <c:v>27.949800000000003</c:v>
                </c:pt>
                <c:pt idx="51">
                  <c:v>27.721800000000002</c:v>
                </c:pt>
                <c:pt idx="52">
                  <c:v>27.4588</c:v>
                </c:pt>
                <c:pt idx="53">
                  <c:v>27.173999999999999</c:v>
                </c:pt>
                <c:pt idx="54">
                  <c:v>26.8949</c:v>
                </c:pt>
                <c:pt idx="55">
                  <c:v>26.6295</c:v>
                </c:pt>
                <c:pt idx="56">
                  <c:v>26.356800000000003</c:v>
                </c:pt>
                <c:pt idx="57">
                  <c:v>26.060400000000001</c:v>
                </c:pt>
                <c:pt idx="58">
                  <c:v>25.740600000000001</c:v>
                </c:pt>
                <c:pt idx="59">
                  <c:v>25.363599999999998</c:v>
                </c:pt>
                <c:pt idx="60">
                  <c:v>24.8644</c:v>
                </c:pt>
                <c:pt idx="61">
                  <c:v>24.286799999999999</c:v>
                </c:pt>
                <c:pt idx="62">
                  <c:v>23.7105</c:v>
                </c:pt>
                <c:pt idx="63">
                  <c:v>23.227</c:v>
                </c:pt>
                <c:pt idx="64">
                  <c:v>22.647200000000002</c:v>
                </c:pt>
                <c:pt idx="65">
                  <c:v>21.9754</c:v>
                </c:pt>
                <c:pt idx="66">
                  <c:v>21.435600000000001</c:v>
                </c:pt>
                <c:pt idx="67">
                  <c:v>20.878499999999999</c:v>
                </c:pt>
                <c:pt idx="68">
                  <c:v>20.3262</c:v>
                </c:pt>
                <c:pt idx="69">
                  <c:v>19.790700000000001</c:v>
                </c:pt>
                <c:pt idx="70">
                  <c:v>19.2484</c:v>
                </c:pt>
                <c:pt idx="71">
                  <c:v>19.084200000000003</c:v>
                </c:pt>
                <c:pt idx="72">
                  <c:v>19.1997</c:v>
                </c:pt>
                <c:pt idx="73">
                  <c:v>19.194199999999999</c:v>
                </c:pt>
                <c:pt idx="74">
                  <c:v>19.1858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2.4634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52.355600000000003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3.3997852702702702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35.815087837837837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3.5213136486486492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31.611239189189195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3.5213136486486492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31.611239189189195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53"/>
      <c r="D1" s="154"/>
      <c r="E1" s="154"/>
      <c r="F1" s="154"/>
      <c r="G1" s="154"/>
      <c r="H1" s="154"/>
      <c r="I1" s="154"/>
      <c r="J1" s="26"/>
      <c r="K1" s="8"/>
      <c r="L1" s="2"/>
      <c r="M1" s="2"/>
      <c r="N1" s="2"/>
      <c r="O1" s="2"/>
      <c r="P1" s="2"/>
    </row>
    <row r="2" spans="2:21" ht="27.75" customHeight="1" thickBot="1">
      <c r="B2" s="194" t="s">
        <v>290</v>
      </c>
      <c r="C2" s="195"/>
      <c r="D2" s="195"/>
      <c r="E2" s="195"/>
      <c r="F2" s="195"/>
      <c r="G2" s="195"/>
      <c r="H2" s="195"/>
      <c r="I2" s="195"/>
      <c r="J2" s="195"/>
      <c r="K2" s="195"/>
      <c r="L2" s="90"/>
      <c r="M2" s="90"/>
      <c r="N2" s="90"/>
      <c r="O2" s="90"/>
      <c r="P2" s="90"/>
    </row>
    <row r="3" spans="2:21" ht="13.5">
      <c r="B3" s="176" t="str">
        <f>lang!B2</f>
        <v>心理生理状态分析结果</v>
      </c>
      <c r="C3" s="177"/>
      <c r="D3" s="177"/>
      <c r="E3" s="177"/>
      <c r="F3" s="177"/>
      <c r="G3" s="177"/>
      <c r="H3" s="177"/>
      <c r="I3" s="177"/>
      <c r="J3" s="177"/>
      <c r="K3" s="178"/>
    </row>
    <row r="4" spans="2:21" ht="34.5" customHeight="1" thickBot="1">
      <c r="B4" s="179"/>
      <c r="C4" s="180"/>
      <c r="D4" s="180"/>
      <c r="E4" s="180"/>
      <c r="F4" s="180"/>
      <c r="G4" s="180"/>
      <c r="H4" s="180"/>
      <c r="I4" s="180"/>
      <c r="J4" s="180"/>
      <c r="K4" s="181"/>
    </row>
    <row r="5" spans="2:21" ht="16.5" customHeight="1">
      <c r="B5" s="45" t="str">
        <f>lang!B24</f>
        <v>姓名</v>
      </c>
      <c r="C5" s="198" t="s">
        <v>516</v>
      </c>
      <c r="D5" s="191"/>
      <c r="E5" s="191"/>
      <c r="F5" s="192"/>
      <c r="G5" s="48" t="str">
        <f>lang!B27</f>
        <v>编号</v>
      </c>
      <c r="H5" s="190">
        <v>16</v>
      </c>
      <c r="I5" s="191"/>
      <c r="J5" s="191"/>
      <c r="K5" s="193"/>
    </row>
    <row r="6" spans="2:21" ht="17.25" customHeight="1">
      <c r="B6" s="46" t="str">
        <f>lang!B25</f>
        <v>性别</v>
      </c>
      <c r="C6" s="197" t="s">
        <v>515</v>
      </c>
      <c r="D6" s="145"/>
      <c r="E6" s="145"/>
      <c r="F6" s="146"/>
      <c r="G6" s="49" t="str">
        <f>lang!B28</f>
        <v xml:space="preserve"> 日期</v>
      </c>
      <c r="H6" s="129">
        <f>FH_info!A2</f>
        <v>43614.697488425925</v>
      </c>
      <c r="I6" s="130"/>
      <c r="J6" s="130"/>
      <c r="K6" s="131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47">
        <v>57</v>
      </c>
      <c r="D7" s="148"/>
      <c r="E7" s="148"/>
      <c r="F7" s="149"/>
      <c r="G7" s="50" t="str">
        <f>lang!B29</f>
        <v>误差率（%）</v>
      </c>
      <c r="H7" s="132">
        <f>M!B17*1</f>
        <v>15.091200000000001</v>
      </c>
      <c r="I7" s="133"/>
      <c r="J7" s="133"/>
      <c r="K7" s="134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25" t="str">
        <f>lang!B30</f>
        <v>10项参数结果</v>
      </c>
      <c r="C8" s="126"/>
      <c r="D8" s="127"/>
      <c r="E8" s="127"/>
      <c r="F8" s="127"/>
      <c r="G8" s="127"/>
      <c r="H8" s="127"/>
      <c r="I8" s="127"/>
      <c r="J8" s="127"/>
      <c r="K8" s="128"/>
      <c r="M8" s="27" t="str">
        <f>lang!B14</f>
        <v>攻击性</v>
      </c>
      <c r="N8" s="59">
        <f>M!B5*1</f>
        <v>41.488500000000002</v>
      </c>
      <c r="O8" s="59">
        <f>M!C5*1</f>
        <v>7.0168600000000003</v>
      </c>
      <c r="P8" s="59">
        <f>M!D5*1</f>
        <v>16.912800000000001</v>
      </c>
      <c r="Q8" s="59">
        <f>M!E5*1</f>
        <v>20</v>
      </c>
      <c r="R8" s="59">
        <f>M!F5*1</f>
        <v>17.0562</v>
      </c>
      <c r="S8" s="59">
        <f>M!G5*1</f>
        <v>50</v>
      </c>
      <c r="T8" s="59">
        <f>M!H5*1</f>
        <v>49.128500000000003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25.828600000000002</v>
      </c>
      <c r="O9" s="59">
        <f>M!C6*1</f>
        <v>1.9360299999999999</v>
      </c>
      <c r="P9" s="59">
        <f>M!D6*1</f>
        <v>7.4956500000000004</v>
      </c>
      <c r="Q9" s="59">
        <f>M!E6*1</f>
        <v>20</v>
      </c>
      <c r="R9" s="59">
        <f>M!F6*1</f>
        <v>20.586200000000002</v>
      </c>
      <c r="S9" s="59">
        <f>M!G6*1</f>
        <v>40</v>
      </c>
      <c r="T9" s="59">
        <f>M!H6*1</f>
        <v>30.244399999999999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17.0562</v>
      </c>
      <c r="D10" s="99">
        <f>N8</f>
        <v>41.488500000000002</v>
      </c>
      <c r="E10" s="100">
        <f>T8</f>
        <v>49.128500000000003</v>
      </c>
      <c r="F10" s="91">
        <f>P8</f>
        <v>16.912800000000001</v>
      </c>
      <c r="G10" s="81" t="str">
        <f>CONCATENATE(M9,"
(20 ~ 40)")</f>
        <v>压力
(20 ~ 40)</v>
      </c>
      <c r="H10" s="98">
        <f>R9</f>
        <v>20.586200000000002</v>
      </c>
      <c r="I10" s="108">
        <f>N9</f>
        <v>25.828600000000002</v>
      </c>
      <c r="J10" s="98">
        <f>T9</f>
        <v>30.244399999999999</v>
      </c>
      <c r="K10" s="92">
        <f>P9</f>
        <v>7.4956500000000004</v>
      </c>
      <c r="L10" s="6"/>
      <c r="M10" s="27" t="str">
        <f>lang!B16</f>
        <v>焦虑</v>
      </c>
      <c r="N10" s="59">
        <f>M!B7*1</f>
        <v>31.416399999999999</v>
      </c>
      <c r="O10" s="59">
        <f>M!C7*1</f>
        <v>8.4532000000000007</v>
      </c>
      <c r="P10" s="59">
        <f>M!D7*1</f>
        <v>26.9069</v>
      </c>
      <c r="Q10" s="59">
        <f>M!E7*1</f>
        <v>15</v>
      </c>
      <c r="R10" s="59">
        <f>M!F7*1</f>
        <v>7.5728999999999997</v>
      </c>
      <c r="S10" s="59">
        <f>M!G7*1</f>
        <v>40</v>
      </c>
      <c r="T10" s="59">
        <f>M!H7*1</f>
        <v>40.964199999999998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7.5728999999999997</v>
      </c>
      <c r="D11" s="102">
        <f>N10</f>
        <v>31.416399999999999</v>
      </c>
      <c r="E11" s="103">
        <f>T10</f>
        <v>40.964199999999998</v>
      </c>
      <c r="F11" s="94">
        <f>P10</f>
        <v>26.9069</v>
      </c>
      <c r="G11" s="52" t="str">
        <f>CONCATENATE(M11,"
(20 ~ 50)")</f>
        <v>可疑
(20 ~ 50)</v>
      </c>
      <c r="H11" s="101">
        <f>R11</f>
        <v>20.767099999999999</v>
      </c>
      <c r="I11" s="104">
        <f>N11</f>
        <v>32.796100000000003</v>
      </c>
      <c r="J11" s="101">
        <f>T11</f>
        <v>37.733199999999997</v>
      </c>
      <c r="K11" s="95">
        <f>P11</f>
        <v>12.4846</v>
      </c>
      <c r="L11" s="4"/>
      <c r="M11" s="27" t="str">
        <f>lang!B17</f>
        <v>可疑</v>
      </c>
      <c r="N11" s="59">
        <f>M!B8*1</f>
        <v>32.796100000000003</v>
      </c>
      <c r="O11" s="59">
        <f>M!C8*1</f>
        <v>4.0944700000000003</v>
      </c>
      <c r="P11" s="59">
        <f>M!D8*1</f>
        <v>12.4846</v>
      </c>
      <c r="Q11" s="59">
        <f>M!E8*1</f>
        <v>20</v>
      </c>
      <c r="R11" s="59">
        <f>M!F8*1</f>
        <v>20.767099999999999</v>
      </c>
      <c r="S11" s="59">
        <f>M!G8*1</f>
        <v>50</v>
      </c>
      <c r="T11" s="59">
        <f>M!H8*1</f>
        <v>37.733199999999997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46.117199999999997</v>
      </c>
      <c r="D12" s="104">
        <f>N12</f>
        <v>66.291300000000007</v>
      </c>
      <c r="E12" s="101">
        <f>T12</f>
        <v>88.915199999999999</v>
      </c>
      <c r="F12" s="93">
        <f>P12</f>
        <v>12.6891</v>
      </c>
      <c r="G12" s="52" t="str">
        <f>CONCATENATE(M13,"
(40 ~ 100)")</f>
        <v>自信
(40 ~ 100)</v>
      </c>
      <c r="H12" s="101">
        <f>R13</f>
        <v>59.185400000000001</v>
      </c>
      <c r="I12" s="104">
        <f>N13</f>
        <v>74.984300000000005</v>
      </c>
      <c r="J12" s="101">
        <f>T13</f>
        <v>83.478399999999993</v>
      </c>
      <c r="K12" s="95">
        <f>P13</f>
        <v>5.9666800000000002</v>
      </c>
      <c r="L12" s="4"/>
      <c r="M12" s="27" t="str">
        <f>lang!B18</f>
        <v>平衡</v>
      </c>
      <c r="N12" s="59">
        <f>M!B9*1</f>
        <v>66.291300000000007</v>
      </c>
      <c r="O12" s="59">
        <f>M!C9*1</f>
        <v>8.4117999999999995</v>
      </c>
      <c r="P12" s="59">
        <f>M!D9*1</f>
        <v>12.6891</v>
      </c>
      <c r="Q12" s="59">
        <f>M!E9*1</f>
        <v>50</v>
      </c>
      <c r="R12" s="59">
        <f>M!F9*1</f>
        <v>46.117199999999997</v>
      </c>
      <c r="S12" s="59">
        <f>M!G9*1</f>
        <v>100</v>
      </c>
      <c r="T12" s="59">
        <f>M!H9*1</f>
        <v>88.915199999999999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11.2096</v>
      </c>
      <c r="D13" s="102">
        <f>N14</f>
        <v>21.687899999999999</v>
      </c>
      <c r="E13" s="103">
        <f>T14</f>
        <v>24.5397</v>
      </c>
      <c r="F13" s="94">
        <f>P14</f>
        <v>14.1302</v>
      </c>
      <c r="G13" s="52" t="str">
        <f>CONCATENATE(M15,"
(50 ~ 100)")</f>
        <v>自我调节
(50 ~ 100)</v>
      </c>
      <c r="H13" s="101">
        <f>R15</f>
        <v>59.894199999999998</v>
      </c>
      <c r="I13" s="104">
        <f>N15</f>
        <v>70.415300000000002</v>
      </c>
      <c r="J13" s="101">
        <f>T15</f>
        <v>86.196799999999996</v>
      </c>
      <c r="K13" s="95">
        <f>P15</f>
        <v>7.4211999999999998</v>
      </c>
      <c r="L13" s="4"/>
      <c r="M13" s="27" t="str">
        <f>lang!B19</f>
        <v>自信</v>
      </c>
      <c r="N13" s="59">
        <f>M!B10*1</f>
        <v>74.984300000000005</v>
      </c>
      <c r="O13" s="59">
        <f>M!C10*1</f>
        <v>4.4740700000000002</v>
      </c>
      <c r="P13" s="59">
        <f>M!D10*1</f>
        <v>5.9666800000000002</v>
      </c>
      <c r="Q13" s="59">
        <f>M!E10*1</f>
        <v>40</v>
      </c>
      <c r="R13" s="59">
        <f>M!F10*1</f>
        <v>59.185400000000001</v>
      </c>
      <c r="S13" s="59">
        <f>M!G10*1</f>
        <v>100</v>
      </c>
      <c r="T13" s="59">
        <f>M!H10*1</f>
        <v>83.478399999999993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12.184900000000001</v>
      </c>
      <c r="D14" s="106">
        <f>N16</f>
        <v>17.6797</v>
      </c>
      <c r="E14" s="107">
        <f>T16</f>
        <v>24.684999999999999</v>
      </c>
      <c r="F14" s="96">
        <f>P16</f>
        <v>13.1014</v>
      </c>
      <c r="G14" s="112" t="str">
        <f>CONCATENATE(M17,"
(10 ~ 50)")</f>
        <v>神经质
(10 ~ 50)</v>
      </c>
      <c r="H14" s="105">
        <f>R17</f>
        <v>2.6794099999999998</v>
      </c>
      <c r="I14" s="106">
        <f>N17</f>
        <v>23.1629</v>
      </c>
      <c r="J14" s="107">
        <f>T17</f>
        <v>26.7301</v>
      </c>
      <c r="K14" s="97">
        <f>P17</f>
        <v>33.8033</v>
      </c>
      <c r="M14" s="27" t="str">
        <f>lang!B20</f>
        <v>活力</v>
      </c>
      <c r="N14" s="59">
        <f>M!B11*1</f>
        <v>21.687899999999999</v>
      </c>
      <c r="O14" s="59">
        <f>M!C11*1</f>
        <v>3.0645500000000001</v>
      </c>
      <c r="P14" s="59">
        <f>M!D11*1</f>
        <v>14.1302</v>
      </c>
      <c r="Q14" s="59">
        <f>M!E11*1</f>
        <v>10</v>
      </c>
      <c r="R14" s="59">
        <f>M!F11*1</f>
        <v>11.2096</v>
      </c>
      <c r="S14" s="59">
        <f>M!G11*1</f>
        <v>50</v>
      </c>
      <c r="T14" s="59">
        <f>M!H11*1</f>
        <v>24.5397</v>
      </c>
      <c r="U14" s="14"/>
    </row>
    <row r="15" spans="2:21" ht="19.5" customHeight="1" thickBot="1">
      <c r="B15" s="187" t="str">
        <f>lang!B3</f>
        <v>参数表</v>
      </c>
      <c r="C15" s="188"/>
      <c r="D15" s="188"/>
      <c r="E15" s="188"/>
      <c r="F15" s="189"/>
      <c r="G15" s="184" t="str">
        <f>lang!B4</f>
        <v>情感状态分布图</v>
      </c>
      <c r="H15" s="185"/>
      <c r="I15" s="185"/>
      <c r="J15" s="185"/>
      <c r="K15" s="186"/>
      <c r="M15" s="27" t="str">
        <f>lang!B21</f>
        <v>自我调节</v>
      </c>
      <c r="N15" s="59">
        <f>M!B12*1</f>
        <v>70.415300000000002</v>
      </c>
      <c r="O15" s="59">
        <f>M!C12*1</f>
        <v>5.22567</v>
      </c>
      <c r="P15" s="59">
        <f>M!D12*1</f>
        <v>7.4211999999999998</v>
      </c>
      <c r="Q15" s="59">
        <f>M!E12*1</f>
        <v>50</v>
      </c>
      <c r="R15" s="59">
        <f>M!F12*1</f>
        <v>59.894199999999998</v>
      </c>
      <c r="S15" s="59">
        <f>M!G12*1</f>
        <v>100</v>
      </c>
      <c r="T15" s="59">
        <f>M!H12*1</f>
        <v>86.196799999999996</v>
      </c>
      <c r="U15" s="14"/>
    </row>
    <row r="16" spans="2:21" ht="21" customHeight="1">
      <c r="B16" s="38"/>
      <c r="C16" s="28"/>
      <c r="D16" s="28"/>
      <c r="E16" s="28"/>
      <c r="F16" s="28"/>
      <c r="G16" s="165"/>
      <c r="H16" s="166"/>
      <c r="I16" s="166"/>
      <c r="J16" s="166"/>
      <c r="K16" s="167"/>
      <c r="M16" s="27" t="str">
        <f>lang!B22</f>
        <v>抑郁</v>
      </c>
      <c r="N16" s="59">
        <f>M!B13*1</f>
        <v>17.6797</v>
      </c>
      <c r="O16" s="59">
        <f>M!C13*1</f>
        <v>2.31629</v>
      </c>
      <c r="P16" s="59">
        <f>M!D13*1</f>
        <v>13.1014</v>
      </c>
      <c r="Q16" s="59">
        <f>M!E13*1</f>
        <v>10</v>
      </c>
      <c r="R16" s="59">
        <f>M!F13*1</f>
        <v>12.184900000000001</v>
      </c>
      <c r="S16" s="59">
        <f>M!G13*1</f>
        <v>25</v>
      </c>
      <c r="T16" s="59">
        <f>M!H13*1</f>
        <v>24.684999999999999</v>
      </c>
      <c r="U16" s="14"/>
    </row>
    <row r="17" spans="2:24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7" t="str">
        <f>lang!B23</f>
        <v>神经质</v>
      </c>
      <c r="N17" s="59">
        <f>M!B14*1</f>
        <v>23.1629</v>
      </c>
      <c r="O17" s="59">
        <f>M!C14*1</f>
        <v>7.8298399999999999</v>
      </c>
      <c r="P17" s="59">
        <f>M!D14*1</f>
        <v>33.8033</v>
      </c>
      <c r="Q17" s="59">
        <f>M!E14*1</f>
        <v>10</v>
      </c>
      <c r="R17" s="59">
        <f>M!F14*1</f>
        <v>2.6794099999999998</v>
      </c>
      <c r="S17" s="59">
        <f>M!G14*1</f>
        <v>50</v>
      </c>
      <c r="T17" s="59">
        <f>M!H14*1</f>
        <v>26.7301</v>
      </c>
      <c r="U17" s="15"/>
    </row>
    <row r="18" spans="2:24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lang!B7</f>
        <v>Positive</v>
      </c>
      <c r="N18" s="65">
        <f>SUM(N12:N15)/4</f>
        <v>58.344700000000003</v>
      </c>
      <c r="O18" s="22">
        <f>N18/(N18+N19+N20)</f>
        <v>0.52257533471146922</v>
      </c>
      <c r="P18" s="65">
        <f>SUM(P12:P15)/4</f>
        <v>10.051795</v>
      </c>
      <c r="Q18" s="22">
        <f>P18/(P18+P19+P20)</f>
        <v>0.20325490493640749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lang!B8</f>
        <v>Negative</v>
      </c>
      <c r="N19" s="18">
        <f>SUM(N8:N11)/4</f>
        <v>32.882400000000004</v>
      </c>
      <c r="O19" s="22">
        <f>N19/(N18+N19+N20)</f>
        <v>0.29451743150819898</v>
      </c>
      <c r="P19" s="18">
        <f>SUM(P8:P11)/4</f>
        <v>15.949987500000001</v>
      </c>
      <c r="Q19" s="22">
        <f>P19/(P18+P19+P20)</f>
        <v>0.32252082270374471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 t="str">
        <f>lang!B9</f>
        <v>Physiological</v>
      </c>
      <c r="N20" s="18">
        <f>(N16+N17)/2</f>
        <v>20.421300000000002</v>
      </c>
      <c r="O20" s="22">
        <f>N20/(N18+N19+N20)</f>
        <v>0.18290723378033183</v>
      </c>
      <c r="P20" s="18">
        <f>(P16+P17)/2</f>
        <v>23.452349999999999</v>
      </c>
      <c r="Q20" s="22">
        <f>P20/(P18+P19+P20)</f>
        <v>0.47422427235984776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21" t="str">
        <f>lang!B50</f>
        <v>Sat</v>
      </c>
      <c r="N21" s="88">
        <f ca="1">(info!V3-info!U3)-(info!X3-info!W3)</f>
        <v>-5.4191324324324275E-2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68"/>
      <c r="H22" s="169"/>
      <c r="I22" s="169"/>
      <c r="J22" s="169"/>
      <c r="K22" s="17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71"/>
      <c r="H23" s="172"/>
      <c r="I23" s="172"/>
      <c r="J23" s="172"/>
      <c r="K23" s="173"/>
      <c r="M23" s="16"/>
      <c r="O23" s="17"/>
      <c r="Q23"/>
      <c r="T23"/>
      <c r="U23" s="19"/>
    </row>
    <row r="24" spans="2:24" ht="17.25" customHeight="1" thickBot="1">
      <c r="B24" s="150" t="str">
        <f>lang!B5</f>
        <v>频率分布直方图</v>
      </c>
      <c r="C24" s="151"/>
      <c r="D24" s="151"/>
      <c r="E24" s="151"/>
      <c r="F24" s="152"/>
      <c r="G24" s="162" t="str">
        <f>lang!B6</f>
        <v xml:space="preserve">心理变化 - 心理基础代谢 </v>
      </c>
      <c r="H24" s="163"/>
      <c r="I24" s="163"/>
      <c r="J24" s="163"/>
      <c r="K24" s="16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1.6753254338720946</v>
      </c>
      <c r="D25" s="44" t="str">
        <f>lang!B11</f>
        <v>频率方差</v>
      </c>
      <c r="E25" s="182">
        <f ca="1">FH!L3</f>
        <v>0.66111979292356471</v>
      </c>
      <c r="F25" s="183"/>
      <c r="G25" s="174" t="str">
        <f>lang!B12</f>
        <v>生理变化率</v>
      </c>
      <c r="H25" s="175"/>
      <c r="I25" s="62" t="str">
        <f ca="1">CONCATENATE(info!M7,"-",info!M8)</f>
        <v>19.1-52.4</v>
      </c>
      <c r="J25" s="42" t="str">
        <f>lang!B13</f>
        <v>千卡l/分钟</v>
      </c>
      <c r="K25" s="41" t="str">
        <f ca="1">CONCATENATE(info!M5,"-",info!M6)</f>
        <v>2.5-3.8</v>
      </c>
      <c r="M25" s="16"/>
      <c r="O25" s="17"/>
      <c r="P25" s="17"/>
      <c r="Q25"/>
      <c r="T25"/>
      <c r="U25" s="19"/>
    </row>
    <row r="26" spans="2:24" ht="156.75" customHeight="1" thickBot="1">
      <c r="B26" s="155" ph="1"/>
      <c r="C26" s="156" ph="1"/>
      <c r="D26" s="156" ph="1"/>
      <c r="E26" s="157" ph="1"/>
      <c r="F26" s="39" ph="1"/>
      <c r="G26" s="158"/>
      <c r="H26" s="159"/>
      <c r="I26" s="159"/>
      <c r="J26" s="160"/>
      <c r="K26" s="161"/>
      <c r="M26"/>
      <c r="O26" s="17"/>
      <c r="Q26"/>
      <c r="T26"/>
      <c r="U26" s="19"/>
    </row>
    <row r="27" spans="2:24" ht="15" customHeight="1" thickBot="1">
      <c r="B27" s="119" t="str">
        <f>CONCATENATE( lang!B31," ",ROUND(100-FH_info!L2,0),"%]")</f>
        <v>Result [Quality 100%]</v>
      </c>
      <c r="C27" s="120"/>
      <c r="D27" s="120"/>
      <c r="E27" s="120"/>
      <c r="F27" s="120"/>
      <c r="G27" s="120"/>
      <c r="H27" s="120"/>
      <c r="I27" s="120"/>
      <c r="J27" s="120"/>
      <c r="K27" s="121"/>
      <c r="M27"/>
      <c r="Q27"/>
      <c r="T27"/>
    </row>
    <row r="28" spans="2:24" ht="15.75" thickBot="1">
      <c r="B28" s="135" t="str">
        <f>lang!B32</f>
        <v>外向性</v>
      </c>
      <c r="C28" s="136"/>
      <c r="D28" s="137"/>
      <c r="E28" s="119">
        <f>M!B18*100</f>
        <v>42.780799999999999</v>
      </c>
      <c r="F28" s="121"/>
      <c r="G28" s="135" t="str">
        <f>lang!B33</f>
        <v>稳定性</v>
      </c>
      <c r="H28" s="136"/>
      <c r="I28" s="137"/>
      <c r="J28" s="138">
        <f>M!B19*100</f>
        <v>60.241799999999998</v>
      </c>
      <c r="K28" s="139"/>
    </row>
    <row r="29" spans="2:24" ht="24.75" customHeight="1">
      <c r="B29" s="122" t="str">
        <f>lang!B34</f>
        <v xml:space="preserve">心理生理状态分析结果： </v>
      </c>
      <c r="C29" s="123"/>
      <c r="D29" s="123"/>
      <c r="E29" s="123"/>
      <c r="F29" s="123"/>
      <c r="G29" s="123"/>
      <c r="H29" s="123"/>
      <c r="I29" s="123"/>
      <c r="J29" s="123"/>
      <c r="K29" s="124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⊡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⊠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40" t="str">
        <f>lang!B37</f>
        <v>意见</v>
      </c>
      <c r="C32" s="141"/>
      <c r="D32" s="142"/>
      <c r="E32" s="142"/>
      <c r="F32" s="142"/>
      <c r="G32" s="142"/>
      <c r="H32" s="142"/>
      <c r="I32" s="142"/>
      <c r="J32" s="142"/>
      <c r="K32" s="143"/>
      <c r="M32"/>
      <c r="Q32"/>
      <c r="T32"/>
      <c r="W32" s="33"/>
      <c r="X32" s="33"/>
    </row>
    <row r="33" spans="2:24" ht="18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20.25" customHeight="1">
      <c r="B34" s="113"/>
      <c r="C34" s="114"/>
      <c r="D34" s="114"/>
      <c r="E34" s="114"/>
      <c r="F34" s="114"/>
      <c r="G34" s="114"/>
      <c r="H34" s="114"/>
      <c r="I34" s="114"/>
      <c r="J34" s="114"/>
      <c r="K34" s="115"/>
      <c r="M34"/>
      <c r="Q34"/>
      <c r="T34"/>
      <c r="W34" s="33"/>
      <c r="X34" s="33"/>
    </row>
    <row r="35" spans="2:24" ht="35.25" customHeight="1" thickBot="1">
      <c r="B35" s="116"/>
      <c r="C35" s="117"/>
      <c r="D35" s="117"/>
      <c r="E35" s="117"/>
      <c r="F35" s="117"/>
      <c r="G35" s="117"/>
      <c r="H35" s="117"/>
      <c r="I35" s="117"/>
      <c r="J35" s="117"/>
      <c r="K35" s="118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53"/>
      <c r="D1" s="154"/>
      <c r="E1" s="154"/>
      <c r="F1" s="154"/>
      <c r="G1" s="154"/>
      <c r="H1" s="154"/>
      <c r="I1" s="154"/>
      <c r="J1" s="87"/>
      <c r="K1" s="87"/>
      <c r="L1" s="86"/>
      <c r="M1" s="86"/>
      <c r="N1" s="86"/>
      <c r="O1" s="86"/>
      <c r="P1" s="86"/>
    </row>
    <row r="2" spans="2:38" ht="13.5">
      <c r="B2" s="176" t="str">
        <f>lang!B2</f>
        <v>心理生理状态分析结果</v>
      </c>
      <c r="C2" s="177"/>
      <c r="D2" s="177"/>
      <c r="E2" s="177"/>
      <c r="F2" s="177"/>
      <c r="G2" s="177"/>
      <c r="H2" s="177"/>
      <c r="I2" s="177"/>
      <c r="J2" s="177"/>
      <c r="K2" s="178"/>
    </row>
    <row r="3" spans="2:38" ht="31.5" customHeight="1" thickBot="1">
      <c r="B3" s="179"/>
      <c r="C3" s="180"/>
      <c r="D3" s="180"/>
      <c r="E3" s="180"/>
      <c r="F3" s="180"/>
      <c r="G3" s="180"/>
      <c r="H3" s="180"/>
      <c r="I3" s="180"/>
      <c r="J3" s="180"/>
      <c r="K3" s="181"/>
    </row>
    <row r="4" spans="2:38" ht="16.5" customHeight="1">
      <c r="B4" s="45" t="str">
        <f>lang!B24</f>
        <v>姓名</v>
      </c>
      <c r="C4" s="190" t="str">
        <f>FH_info!B2</f>
        <v>.</v>
      </c>
      <c r="D4" s="191"/>
      <c r="E4" s="191"/>
      <c r="F4" s="192"/>
      <c r="G4" s="48" t="str">
        <f>lang!B27</f>
        <v>编号</v>
      </c>
      <c r="H4" s="190"/>
      <c r="I4" s="191"/>
      <c r="J4" s="191"/>
      <c r="K4" s="193"/>
    </row>
    <row r="5" spans="2:38" ht="17.25" customHeight="1">
      <c r="B5" s="46" t="str">
        <f>lang!B25</f>
        <v>性别</v>
      </c>
      <c r="C5" s="144"/>
      <c r="D5" s="145"/>
      <c r="E5" s="145"/>
      <c r="F5" s="146"/>
      <c r="G5" s="49" t="str">
        <f>lang!B28</f>
        <v xml:space="preserve"> 日期</v>
      </c>
      <c r="H5" s="129">
        <f>FH_info!A2</f>
        <v>43614.697488425925</v>
      </c>
      <c r="I5" s="130"/>
      <c r="J5" s="130"/>
      <c r="K5" s="131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47"/>
      <c r="D6" s="148"/>
      <c r="E6" s="148"/>
      <c r="F6" s="149"/>
      <c r="G6" s="50" t="str">
        <f>lang!B29</f>
        <v>误差率（%）</v>
      </c>
      <c r="H6" s="132">
        <f>dM!B17*1</f>
        <v>0</v>
      </c>
      <c r="I6" s="133"/>
      <c r="J6" s="133"/>
      <c r="K6" s="134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25" t="str">
        <f>lang!B30</f>
        <v>10项参数结果</v>
      </c>
      <c r="C7" s="126"/>
      <c r="D7" s="127"/>
      <c r="E7" s="127"/>
      <c r="F7" s="127"/>
      <c r="G7" s="127"/>
      <c r="H7" s="127"/>
      <c r="I7" s="127"/>
      <c r="J7" s="127"/>
      <c r="K7" s="128"/>
      <c r="M7" s="27" t="str">
        <f>lang!B14</f>
        <v>攻击性</v>
      </c>
      <c r="N7" s="59">
        <f>AF7-W7</f>
        <v>1.6772999999999954</v>
      </c>
      <c r="O7" s="59">
        <f t="shared" ref="O7:T7" si="2">AG7-X7</f>
        <v>-4.3559099999999988</v>
      </c>
      <c r="P7" s="59">
        <f t="shared" si="2"/>
        <v>-11.02961</v>
      </c>
      <c r="Q7" s="59">
        <f t="shared" si="2"/>
        <v>0</v>
      </c>
      <c r="R7" s="59">
        <f t="shared" si="2"/>
        <v>16.929999999999996</v>
      </c>
      <c r="S7" s="59">
        <f t="shared" si="2"/>
        <v>0</v>
      </c>
      <c r="T7" s="59">
        <f t="shared" si="2"/>
        <v>-1.2394000000000034</v>
      </c>
      <c r="U7" s="14"/>
      <c r="V7" s="27" t="str">
        <f>M7</f>
        <v>攻击性</v>
      </c>
      <c r="W7" s="59">
        <f>'M1'!B5*1</f>
        <v>40.988700000000001</v>
      </c>
      <c r="X7" s="59">
        <f>'M1'!C5*1</f>
        <v>8.5521499999999993</v>
      </c>
      <c r="Y7" s="59">
        <f>'M1'!D5*1</f>
        <v>20.864699999999999</v>
      </c>
      <c r="Z7" s="59">
        <f>'M1'!E5*1</f>
        <v>20</v>
      </c>
      <c r="AA7" s="59">
        <f>'M1'!F5*1</f>
        <v>17.0562</v>
      </c>
      <c r="AB7" s="59">
        <f>'M1'!G5*1</f>
        <v>50</v>
      </c>
      <c r="AC7" s="59">
        <f>'M1'!H5*1</f>
        <v>49.128500000000003</v>
      </c>
      <c r="AE7" s="27" t="str">
        <f>V7</f>
        <v>攻击性</v>
      </c>
      <c r="AF7" s="59">
        <f>'M2'!B5*1</f>
        <v>42.665999999999997</v>
      </c>
      <c r="AG7" s="59">
        <f>'M2'!C5*1</f>
        <v>4.1962400000000004</v>
      </c>
      <c r="AH7" s="59">
        <f>'M2'!D5*1</f>
        <v>9.8350899999999992</v>
      </c>
      <c r="AI7" s="59">
        <f>'M2'!E5*1</f>
        <v>20</v>
      </c>
      <c r="AJ7" s="59">
        <f>'M2'!F5*1</f>
        <v>33.986199999999997</v>
      </c>
      <c r="AK7" s="59">
        <f>'M2'!G5*1</f>
        <v>50</v>
      </c>
      <c r="AL7" s="59">
        <f>'M2'!H5*1</f>
        <v>47.889099999999999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-0.15449999999999875</v>
      </c>
      <c r="O8" s="59">
        <f t="shared" ref="O8:O16" si="5">AG8-X8</f>
        <v>-0.41234000000000015</v>
      </c>
      <c r="P8" s="59">
        <f t="shared" ref="P8:P16" si="6">AH8-Y8</f>
        <v>-1.5511700000000008</v>
      </c>
      <c r="Q8" s="59">
        <f t="shared" ref="Q8:Q16" si="7">AI8-Z8</f>
        <v>0</v>
      </c>
      <c r="R8" s="59">
        <f t="shared" ref="R8:R16" si="8">AJ8-AA8</f>
        <v>2.0826999999999991</v>
      </c>
      <c r="S8" s="59">
        <f t="shared" ref="S8:S16" si="9">AK8-AB8</f>
        <v>0</v>
      </c>
      <c r="T8" s="59">
        <f t="shared" ref="T8:T16" si="10">AL8-AC8</f>
        <v>0.4109000000000016</v>
      </c>
      <c r="U8" s="15"/>
      <c r="V8" s="27" t="str">
        <f t="shared" ref="V8:V16" si="11">M8</f>
        <v>压力</v>
      </c>
      <c r="W8" s="59">
        <f>'M1'!B6*1</f>
        <v>25.9255</v>
      </c>
      <c r="X8" s="59">
        <f>'M1'!C6*1</f>
        <v>2.1126200000000002</v>
      </c>
      <c r="Y8" s="59">
        <f>'M1'!D6*1</f>
        <v>8.1488200000000006</v>
      </c>
      <c r="Z8" s="59">
        <f>'M1'!E6*1</f>
        <v>20</v>
      </c>
      <c r="AA8" s="59">
        <f>'M1'!F6*1</f>
        <v>20.586200000000002</v>
      </c>
      <c r="AB8" s="59">
        <f>'M1'!G6*1</f>
        <v>40</v>
      </c>
      <c r="AC8" s="59">
        <f>'M1'!H6*1</f>
        <v>29.628399999999999</v>
      </c>
      <c r="AE8" s="27" t="str">
        <f t="shared" ref="AE8:AE16" si="12">V8</f>
        <v>压力</v>
      </c>
      <c r="AF8" s="59">
        <f>'M2'!B6*1</f>
        <v>25.771000000000001</v>
      </c>
      <c r="AG8" s="59">
        <f>'M2'!C6*1</f>
        <v>1.70028</v>
      </c>
      <c r="AH8" s="59">
        <f>'M2'!D6*1</f>
        <v>6.5976499999999998</v>
      </c>
      <c r="AI8" s="59">
        <f>'M2'!E6*1</f>
        <v>20</v>
      </c>
      <c r="AJ8" s="59">
        <f>'M2'!F6*1</f>
        <v>22.668900000000001</v>
      </c>
      <c r="AK8" s="59">
        <f>'M2'!G6*1</f>
        <v>40</v>
      </c>
      <c r="AL8" s="59">
        <f>'M2'!H6*1</f>
        <v>30.039300000000001</v>
      </c>
    </row>
    <row r="9" spans="2:38" s="7" customFormat="1" ht="21" customHeight="1">
      <c r="B9" s="76" t="str">
        <f>CONCATENATE(M7,"
(20 ~ 50)")</f>
        <v>攻击性
(20 ~ 50)</v>
      </c>
      <c r="C9" s="77">
        <f>R7</f>
        <v>16.929999999999996</v>
      </c>
      <c r="D9" s="78">
        <f>N7</f>
        <v>1.6772999999999954</v>
      </c>
      <c r="E9" s="79">
        <f>T7</f>
        <v>-1.2394000000000034</v>
      </c>
      <c r="F9" s="79">
        <f>P7</f>
        <v>-11.02961</v>
      </c>
      <c r="G9" s="80" t="str">
        <f>CONCATENATE(M8,"
(20 ~ 40)")</f>
        <v>压力
(20 ~ 40)</v>
      </c>
      <c r="H9" s="77">
        <f>R8</f>
        <v>2.0826999999999991</v>
      </c>
      <c r="I9" s="81">
        <f>N8</f>
        <v>-0.15449999999999875</v>
      </c>
      <c r="J9" s="77">
        <f>T8</f>
        <v>0.4109000000000016</v>
      </c>
      <c r="K9" s="82">
        <f>P8</f>
        <v>-1.5511700000000008</v>
      </c>
      <c r="L9" s="6"/>
      <c r="M9" s="27" t="str">
        <f>lang!B16</f>
        <v>焦虑</v>
      </c>
      <c r="N9" s="59">
        <f t="shared" si="4"/>
        <v>1.5825999999999993</v>
      </c>
      <c r="O9" s="59">
        <f t="shared" si="5"/>
        <v>0.40617000000000125</v>
      </c>
      <c r="P9" s="59">
        <f t="shared" si="6"/>
        <v>-5.7700000000000529E-2</v>
      </c>
      <c r="Q9" s="59">
        <f t="shared" si="7"/>
        <v>0</v>
      </c>
      <c r="R9" s="59">
        <f t="shared" si="8"/>
        <v>-0.69458000000000109</v>
      </c>
      <c r="S9" s="59">
        <f t="shared" si="9"/>
        <v>0</v>
      </c>
      <c r="T9" s="59">
        <f t="shared" si="10"/>
        <v>1.4831999999999965</v>
      </c>
      <c r="U9" s="14"/>
      <c r="V9" s="27" t="str">
        <f t="shared" si="11"/>
        <v>焦虑</v>
      </c>
      <c r="W9" s="59">
        <f>'M1'!B7*1</f>
        <v>30.658200000000001</v>
      </c>
      <c r="X9" s="59">
        <f>'M1'!C7*1</f>
        <v>8.2282499999999992</v>
      </c>
      <c r="Y9" s="59">
        <f>'M1'!D7*1</f>
        <v>26.838699999999999</v>
      </c>
      <c r="Z9" s="59">
        <f>'M1'!E7*1</f>
        <v>15</v>
      </c>
      <c r="AA9" s="59">
        <f>'M1'!F7*1</f>
        <v>8.2674800000000008</v>
      </c>
      <c r="AB9" s="59">
        <f>'M1'!G7*1</f>
        <v>40</v>
      </c>
      <c r="AC9" s="59">
        <f>'M1'!H7*1</f>
        <v>39.481000000000002</v>
      </c>
      <c r="AE9" s="27" t="str">
        <f t="shared" si="12"/>
        <v>焦虑</v>
      </c>
      <c r="AF9" s="59">
        <f>'M2'!B7*1</f>
        <v>32.2408</v>
      </c>
      <c r="AG9" s="59">
        <f>'M2'!C7*1</f>
        <v>8.6344200000000004</v>
      </c>
      <c r="AH9" s="59">
        <f>'M2'!D7*1</f>
        <v>26.780999999999999</v>
      </c>
      <c r="AI9" s="59">
        <f>'M2'!E7*1</f>
        <v>15</v>
      </c>
      <c r="AJ9" s="59">
        <f>'M2'!F7*1</f>
        <v>7.5728999999999997</v>
      </c>
      <c r="AK9" s="59">
        <f>'M2'!G7*1</f>
        <v>40</v>
      </c>
      <c r="AL9" s="59">
        <f>'M2'!H7*1</f>
        <v>40.964199999999998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-0.69458000000000109</v>
      </c>
      <c r="D10" s="51">
        <f>N9</f>
        <v>1.5825999999999993</v>
      </c>
      <c r="E10" s="53">
        <f>T9</f>
        <v>1.4831999999999965</v>
      </c>
      <c r="F10" s="53">
        <f>P9</f>
        <v>-5.7700000000000529E-2</v>
      </c>
      <c r="G10" s="73" t="str">
        <f>CONCATENATE(M10,"
(20 ~ 50)")</f>
        <v>可疑
(20 ~ 50)</v>
      </c>
      <c r="H10" s="24">
        <f>R10</f>
        <v>2.3790000000000013</v>
      </c>
      <c r="I10" s="52">
        <f>N10</f>
        <v>2.8264000000000031</v>
      </c>
      <c r="J10" s="24">
        <f>T10</f>
        <v>1.7293999999999983</v>
      </c>
      <c r="K10" s="25">
        <f>P10</f>
        <v>-0.45500000000000007</v>
      </c>
      <c r="L10" s="4"/>
      <c r="M10" s="27" t="str">
        <f>lang!B17</f>
        <v>可疑</v>
      </c>
      <c r="N10" s="59">
        <f t="shared" si="4"/>
        <v>2.8264000000000031</v>
      </c>
      <c r="O10" s="59">
        <f t="shared" si="5"/>
        <v>0.19549000000000039</v>
      </c>
      <c r="P10" s="59">
        <f t="shared" si="6"/>
        <v>-0.45500000000000007</v>
      </c>
      <c r="Q10" s="59">
        <f t="shared" si="7"/>
        <v>0</v>
      </c>
      <c r="R10" s="59">
        <f t="shared" si="8"/>
        <v>2.3790000000000013</v>
      </c>
      <c r="S10" s="59">
        <f t="shared" si="9"/>
        <v>0</v>
      </c>
      <c r="T10" s="59">
        <f t="shared" si="10"/>
        <v>1.7293999999999983</v>
      </c>
      <c r="U10" s="14"/>
      <c r="V10" s="27" t="str">
        <f t="shared" si="11"/>
        <v>可疑</v>
      </c>
      <c r="W10" s="59">
        <f>'M1'!B8*1</f>
        <v>31.1495</v>
      </c>
      <c r="X10" s="59">
        <f>'M1'!C8*1</f>
        <v>3.85825</v>
      </c>
      <c r="Y10" s="59">
        <f>'M1'!D8*1</f>
        <v>12.386200000000001</v>
      </c>
      <c r="Z10" s="59">
        <f>'M1'!E8*1</f>
        <v>20</v>
      </c>
      <c r="AA10" s="59">
        <f>'M1'!F8*1</f>
        <v>20.767099999999999</v>
      </c>
      <c r="AB10" s="59">
        <f>'M1'!G8*1</f>
        <v>50</v>
      </c>
      <c r="AC10" s="59">
        <f>'M1'!H8*1</f>
        <v>36.003799999999998</v>
      </c>
      <c r="AE10" s="27" t="str">
        <f t="shared" si="12"/>
        <v>可疑</v>
      </c>
      <c r="AF10" s="59">
        <f>'M2'!B8*1</f>
        <v>33.975900000000003</v>
      </c>
      <c r="AG10" s="59">
        <f>'M2'!C8*1</f>
        <v>4.0537400000000003</v>
      </c>
      <c r="AH10" s="59">
        <f>'M2'!D8*1</f>
        <v>11.9312</v>
      </c>
      <c r="AI10" s="59">
        <f>'M2'!E8*1</f>
        <v>20</v>
      </c>
      <c r="AJ10" s="59">
        <f>'M2'!F8*1</f>
        <v>23.146100000000001</v>
      </c>
      <c r="AK10" s="59">
        <f>'M2'!G8*1</f>
        <v>50</v>
      </c>
      <c r="AL10" s="59">
        <f>'M2'!H8*1</f>
        <v>37.733199999999997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-3.1354000000000042</v>
      </c>
      <c r="D11" s="52">
        <f>N11</f>
        <v>-1.902000000000001</v>
      </c>
      <c r="E11" s="24">
        <f>T11</f>
        <v>-15.028599999999997</v>
      </c>
      <c r="F11" s="24">
        <f>P11</f>
        <v>-1.0455999999999985</v>
      </c>
      <c r="G11" s="73" t="str">
        <f>CONCATENATE(M12,"
(40 ~ 100)")</f>
        <v>自信
(40 ~ 100)</v>
      </c>
      <c r="H11" s="24">
        <f>R12</f>
        <v>-15.305399999999992</v>
      </c>
      <c r="I11" s="52">
        <f>N12</f>
        <v>-2.9569000000000045</v>
      </c>
      <c r="J11" s="24">
        <f>T12</f>
        <v>-2.3994999999999891</v>
      </c>
      <c r="K11" s="25">
        <f>P12</f>
        <v>3.0682299999999998</v>
      </c>
      <c r="L11" s="4"/>
      <c r="M11" s="27" t="str">
        <f>lang!B18</f>
        <v>平衡</v>
      </c>
      <c r="N11" s="59">
        <f t="shared" si="4"/>
        <v>-1.902000000000001</v>
      </c>
      <c r="O11" s="59">
        <f t="shared" si="5"/>
        <v>-0.9163199999999998</v>
      </c>
      <c r="P11" s="59">
        <f t="shared" si="6"/>
        <v>-1.0455999999999985</v>
      </c>
      <c r="Q11" s="59">
        <f t="shared" si="7"/>
        <v>0</v>
      </c>
      <c r="R11" s="59">
        <f t="shared" si="8"/>
        <v>-3.1354000000000042</v>
      </c>
      <c r="S11" s="59">
        <f t="shared" si="9"/>
        <v>0</v>
      </c>
      <c r="T11" s="59">
        <f t="shared" si="10"/>
        <v>-15.028599999999997</v>
      </c>
      <c r="U11" s="14"/>
      <c r="V11" s="27" t="str">
        <f t="shared" si="11"/>
        <v>平衡</v>
      </c>
      <c r="W11" s="59">
        <f>'M1'!B9*1</f>
        <v>67.097300000000004</v>
      </c>
      <c r="X11" s="59">
        <f>'M1'!C9*1</f>
        <v>8.2774099999999997</v>
      </c>
      <c r="Y11" s="59">
        <f>'M1'!D9*1</f>
        <v>12.336399999999999</v>
      </c>
      <c r="Z11" s="59">
        <f>'M1'!E9*1</f>
        <v>50</v>
      </c>
      <c r="AA11" s="59">
        <f>'M1'!F9*1</f>
        <v>49.252600000000001</v>
      </c>
      <c r="AB11" s="59">
        <f>'M1'!G9*1</f>
        <v>100</v>
      </c>
      <c r="AC11" s="59">
        <f>'M1'!H9*1</f>
        <v>88.915199999999999</v>
      </c>
      <c r="AE11" s="27" t="str">
        <f t="shared" si="12"/>
        <v>平衡</v>
      </c>
      <c r="AF11" s="59">
        <f>'M2'!B9*1</f>
        <v>65.195300000000003</v>
      </c>
      <c r="AG11" s="59">
        <f>'M2'!C9*1</f>
        <v>7.3610899999999999</v>
      </c>
      <c r="AH11" s="59">
        <f>'M2'!D9*1</f>
        <v>11.290800000000001</v>
      </c>
      <c r="AI11" s="59">
        <f>'M2'!E9*1</f>
        <v>50</v>
      </c>
      <c r="AJ11" s="59">
        <f>'M2'!F9*1</f>
        <v>46.117199999999997</v>
      </c>
      <c r="AK11" s="59">
        <f>'M2'!G9*1</f>
        <v>100</v>
      </c>
      <c r="AL11" s="59">
        <f>'M2'!H9*1</f>
        <v>73.886600000000001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5.9974000000000007</v>
      </c>
      <c r="D12" s="51">
        <f>N13</f>
        <v>-0.54469999999999885</v>
      </c>
      <c r="E12" s="53">
        <f>T13</f>
        <v>-7.6599999999999113E-2</v>
      </c>
      <c r="F12" s="53">
        <f>P13</f>
        <v>-8.4116900000000001</v>
      </c>
      <c r="G12" s="73" t="str">
        <f>CONCATENATE(M14,"
(50 ~ 100)")</f>
        <v>自我调节
(50 ~ 100)</v>
      </c>
      <c r="H12" s="24">
        <f>R14</f>
        <v>-2.9316999999999993</v>
      </c>
      <c r="I12" s="52">
        <f>N14</f>
        <v>-2.605400000000003</v>
      </c>
      <c r="J12" s="24">
        <f>T14</f>
        <v>-12.878</v>
      </c>
      <c r="K12" s="25">
        <f>P14</f>
        <v>-2.0489300000000004</v>
      </c>
      <c r="L12" s="4"/>
      <c r="M12" s="27" t="str">
        <f>lang!B19</f>
        <v>自信</v>
      </c>
      <c r="N12" s="59">
        <f t="shared" si="4"/>
        <v>-2.9569000000000045</v>
      </c>
      <c r="O12" s="59">
        <f t="shared" si="5"/>
        <v>2.1617299999999995</v>
      </c>
      <c r="P12" s="59">
        <f t="shared" si="6"/>
        <v>3.0682299999999998</v>
      </c>
      <c r="Q12" s="59">
        <f t="shared" si="7"/>
        <v>0</v>
      </c>
      <c r="R12" s="59">
        <f t="shared" si="8"/>
        <v>-15.305399999999992</v>
      </c>
      <c r="S12" s="59">
        <f t="shared" si="9"/>
        <v>0</v>
      </c>
      <c r="T12" s="59">
        <f t="shared" si="10"/>
        <v>-2.3994999999999891</v>
      </c>
      <c r="U12" s="15"/>
      <c r="V12" s="27" t="str">
        <f t="shared" si="11"/>
        <v>自信</v>
      </c>
      <c r="W12" s="59">
        <f>'M1'!B10*1</f>
        <v>76.710700000000003</v>
      </c>
      <c r="X12" s="59">
        <f>'M1'!C10*1</f>
        <v>2.6254900000000001</v>
      </c>
      <c r="Y12" s="59">
        <f>'M1'!D10*1</f>
        <v>3.42258</v>
      </c>
      <c r="Z12" s="59">
        <f>'M1'!E10*1</f>
        <v>40</v>
      </c>
      <c r="AA12" s="59">
        <f>'M1'!F10*1</f>
        <v>74.490799999999993</v>
      </c>
      <c r="AB12" s="59">
        <f>'M1'!G10*1</f>
        <v>100</v>
      </c>
      <c r="AC12" s="59">
        <f>'M1'!H10*1</f>
        <v>83.478399999999993</v>
      </c>
      <c r="AE12" s="27" t="str">
        <f t="shared" si="12"/>
        <v>自信</v>
      </c>
      <c r="AF12" s="59">
        <f>'M2'!B10*1</f>
        <v>73.753799999999998</v>
      </c>
      <c r="AG12" s="59">
        <f>'M2'!C10*1</f>
        <v>4.7872199999999996</v>
      </c>
      <c r="AH12" s="59">
        <f>'M2'!D10*1</f>
        <v>6.4908099999999997</v>
      </c>
      <c r="AI12" s="59">
        <f>'M2'!E10*1</f>
        <v>40</v>
      </c>
      <c r="AJ12" s="59">
        <f>'M2'!F10*1</f>
        <v>59.185400000000001</v>
      </c>
      <c r="AK12" s="59">
        <f>'M2'!G10*1</f>
        <v>100</v>
      </c>
      <c r="AL12" s="59">
        <f>'M2'!H10*1</f>
        <v>81.078900000000004</v>
      </c>
    </row>
    <row r="13" spans="2:38" ht="25.5" customHeight="1" thickBot="1">
      <c r="B13" s="72" t="str">
        <f>CONCATENATE(M15,"
(10 ~ 25)")</f>
        <v>抑郁
(10 ~ 25)</v>
      </c>
      <c r="C13" s="54">
        <f>R15</f>
        <v>1.3431999999999995</v>
      </c>
      <c r="D13" s="55">
        <f>N15</f>
        <v>1.090799999999998</v>
      </c>
      <c r="E13" s="56">
        <f>T15</f>
        <v>1.4870999999999981</v>
      </c>
      <c r="F13" s="56">
        <f>P15</f>
        <v>-3.9151999999999987</v>
      </c>
      <c r="G13" s="74" t="str">
        <f>CONCATENATE(M16,"
(10 ~ 50)")</f>
        <v>神经质
(10 ~ 50)</v>
      </c>
      <c r="H13" s="54">
        <f>R16</f>
        <v>-1.6490000000000116E-2</v>
      </c>
      <c r="I13" s="55">
        <f>N16</f>
        <v>-5.4543999999999997</v>
      </c>
      <c r="J13" s="56">
        <f>T16</f>
        <v>-0.75560000000000116</v>
      </c>
      <c r="K13" s="57">
        <f>P16</f>
        <v>9.7334000000000032</v>
      </c>
      <c r="M13" s="27" t="str">
        <f>lang!B20</f>
        <v>活力</v>
      </c>
      <c r="N13" s="59">
        <f t="shared" si="4"/>
        <v>-0.54469999999999885</v>
      </c>
      <c r="O13" s="59">
        <f t="shared" si="5"/>
        <v>-1.9007700000000001</v>
      </c>
      <c r="P13" s="59">
        <f t="shared" si="6"/>
        <v>-8.4116900000000001</v>
      </c>
      <c r="Q13" s="59">
        <f t="shared" si="7"/>
        <v>0</v>
      </c>
      <c r="R13" s="59">
        <f t="shared" si="8"/>
        <v>5.9974000000000007</v>
      </c>
      <c r="S13" s="59">
        <f t="shared" si="9"/>
        <v>0</v>
      </c>
      <c r="T13" s="59">
        <f t="shared" si="10"/>
        <v>-7.6599999999999113E-2</v>
      </c>
      <c r="U13" s="14"/>
      <c r="V13" s="27" t="str">
        <f t="shared" si="11"/>
        <v>活力</v>
      </c>
      <c r="W13" s="59">
        <f>'M1'!B11*1</f>
        <v>22.014299999999999</v>
      </c>
      <c r="X13" s="59">
        <f>'M1'!C11*1</f>
        <v>3.8311000000000002</v>
      </c>
      <c r="Y13" s="59">
        <f>'M1'!D11*1</f>
        <v>17.402699999999999</v>
      </c>
      <c r="Z13" s="59">
        <f>'M1'!E11*1</f>
        <v>10</v>
      </c>
      <c r="AA13" s="59">
        <f>'M1'!F11*1</f>
        <v>11.2096</v>
      </c>
      <c r="AB13" s="59">
        <f>'M1'!G11*1</f>
        <v>50</v>
      </c>
      <c r="AC13" s="59">
        <f>'M1'!H11*1</f>
        <v>24.5397</v>
      </c>
      <c r="AE13" s="27" t="str">
        <f t="shared" si="12"/>
        <v>活力</v>
      </c>
      <c r="AF13" s="59">
        <f>'M2'!B11*1</f>
        <v>21.4696</v>
      </c>
      <c r="AG13" s="59">
        <f>'M2'!C11*1</f>
        <v>1.9303300000000001</v>
      </c>
      <c r="AH13" s="59">
        <f>'M2'!D11*1</f>
        <v>8.9910099999999993</v>
      </c>
      <c r="AI13" s="59">
        <f>'M2'!E11*1</f>
        <v>10</v>
      </c>
      <c r="AJ13" s="59">
        <f>'M2'!F11*1</f>
        <v>17.207000000000001</v>
      </c>
      <c r="AK13" s="59">
        <f>'M2'!G11*1</f>
        <v>50</v>
      </c>
      <c r="AL13" s="59">
        <f>'M2'!H11*1</f>
        <v>24.463100000000001</v>
      </c>
    </row>
    <row r="14" spans="2:38" ht="19.5" customHeight="1" thickBot="1">
      <c r="B14" s="187" t="str">
        <f>lang!B3</f>
        <v>参数表</v>
      </c>
      <c r="C14" s="188"/>
      <c r="D14" s="188"/>
      <c r="E14" s="188"/>
      <c r="F14" s="189"/>
      <c r="G14" s="184" t="str">
        <f>lang!B4</f>
        <v>情感状态分布图</v>
      </c>
      <c r="H14" s="185"/>
      <c r="I14" s="185"/>
      <c r="J14" s="185"/>
      <c r="K14" s="186"/>
      <c r="M14" s="27" t="str">
        <f>lang!B21</f>
        <v>自我调节</v>
      </c>
      <c r="N14" s="59">
        <f t="shared" si="4"/>
        <v>-2.605400000000003</v>
      </c>
      <c r="O14" s="59">
        <f t="shared" si="5"/>
        <v>-1.60873</v>
      </c>
      <c r="P14" s="59">
        <f t="shared" si="6"/>
        <v>-2.0489300000000004</v>
      </c>
      <c r="Q14" s="59">
        <f t="shared" si="7"/>
        <v>0</v>
      </c>
      <c r="R14" s="59">
        <f t="shared" si="8"/>
        <v>-2.9316999999999993</v>
      </c>
      <c r="S14" s="59">
        <f t="shared" si="9"/>
        <v>0</v>
      </c>
      <c r="T14" s="59">
        <f t="shared" si="10"/>
        <v>-12.878</v>
      </c>
      <c r="U14" s="14"/>
      <c r="V14" s="27" t="str">
        <f t="shared" si="11"/>
        <v>自我调节</v>
      </c>
      <c r="W14" s="59">
        <f>'M1'!B12*1</f>
        <v>71.867800000000003</v>
      </c>
      <c r="X14" s="59">
        <f>'M1'!C12*1</f>
        <v>5.2295400000000001</v>
      </c>
      <c r="Y14" s="59">
        <f>'M1'!D12*1</f>
        <v>7.2766000000000002</v>
      </c>
      <c r="Z14" s="59">
        <f>'M1'!E12*1</f>
        <v>50</v>
      </c>
      <c r="AA14" s="59">
        <f>'M1'!F12*1</f>
        <v>62.825899999999997</v>
      </c>
      <c r="AB14" s="59">
        <f>'M1'!G12*1</f>
        <v>100</v>
      </c>
      <c r="AC14" s="59">
        <f>'M1'!H12*1</f>
        <v>86.196799999999996</v>
      </c>
      <c r="AE14" s="27" t="str">
        <f t="shared" si="12"/>
        <v>自我调节</v>
      </c>
      <c r="AF14" s="59">
        <f>'M2'!B12*1</f>
        <v>69.2624</v>
      </c>
      <c r="AG14" s="59">
        <f>'M2'!C12*1</f>
        <v>3.6208100000000001</v>
      </c>
      <c r="AH14" s="59">
        <f>'M2'!D12*1</f>
        <v>5.2276699999999998</v>
      </c>
      <c r="AI14" s="59">
        <f>'M2'!E12*1</f>
        <v>50</v>
      </c>
      <c r="AJ14" s="59">
        <f>'M2'!F12*1</f>
        <v>59.894199999999998</v>
      </c>
      <c r="AK14" s="59">
        <f>'M2'!G12*1</f>
        <v>100</v>
      </c>
      <c r="AL14" s="59">
        <f>'M2'!H12*1</f>
        <v>73.318799999999996</v>
      </c>
    </row>
    <row r="15" spans="2:38" ht="21" customHeight="1">
      <c r="B15" s="38"/>
      <c r="C15" s="28"/>
      <c r="D15" s="28"/>
      <c r="E15" s="28"/>
      <c r="F15" s="28"/>
      <c r="G15" s="165"/>
      <c r="H15" s="166"/>
      <c r="I15" s="166"/>
      <c r="J15" s="166"/>
      <c r="K15" s="167"/>
      <c r="M15" s="27" t="str">
        <f>lang!B22</f>
        <v>抑郁</v>
      </c>
      <c r="N15" s="59">
        <f t="shared" si="4"/>
        <v>1.090799999999998</v>
      </c>
      <c r="O15" s="59">
        <f t="shared" si="5"/>
        <v>-0.54543999999999992</v>
      </c>
      <c r="P15" s="59">
        <f t="shared" si="6"/>
        <v>-3.9151999999999987</v>
      </c>
      <c r="Q15" s="59">
        <f t="shared" si="7"/>
        <v>0</v>
      </c>
      <c r="R15" s="59">
        <f t="shared" si="8"/>
        <v>1.3431999999999995</v>
      </c>
      <c r="S15" s="59">
        <f t="shared" si="9"/>
        <v>0</v>
      </c>
      <c r="T15" s="59">
        <f t="shared" si="10"/>
        <v>1.4870999999999981</v>
      </c>
      <c r="U15" s="14"/>
      <c r="V15" s="27" t="str">
        <f t="shared" si="11"/>
        <v>抑郁</v>
      </c>
      <c r="W15" s="59">
        <f>'M1'!B13*1</f>
        <v>16.944900000000001</v>
      </c>
      <c r="X15" s="59">
        <f>'M1'!C13*1</f>
        <v>2.4963199999999999</v>
      </c>
      <c r="Y15" s="59">
        <f>'M1'!D13*1</f>
        <v>14.731999999999999</v>
      </c>
      <c r="Z15" s="59">
        <f>'M1'!E13*1</f>
        <v>10</v>
      </c>
      <c r="AA15" s="59">
        <f>'M1'!F13*1</f>
        <v>12.184900000000001</v>
      </c>
      <c r="AB15" s="59">
        <f>'M1'!G13*1</f>
        <v>25</v>
      </c>
      <c r="AC15" s="59">
        <f>'M1'!H13*1</f>
        <v>23.197900000000001</v>
      </c>
      <c r="AE15" s="27" t="str">
        <f t="shared" si="12"/>
        <v>抑郁</v>
      </c>
      <c r="AF15" s="59">
        <f>'M2'!B13*1</f>
        <v>18.035699999999999</v>
      </c>
      <c r="AG15" s="59">
        <f>'M2'!C13*1</f>
        <v>1.9508799999999999</v>
      </c>
      <c r="AH15" s="59">
        <f>'M2'!D13*1</f>
        <v>10.816800000000001</v>
      </c>
      <c r="AI15" s="59">
        <f>'M2'!E13*1</f>
        <v>10</v>
      </c>
      <c r="AJ15" s="59">
        <f>'M2'!F13*1</f>
        <v>13.5281</v>
      </c>
      <c r="AK15" s="59">
        <f>'M2'!G13*1</f>
        <v>25</v>
      </c>
      <c r="AL15" s="59">
        <f>'M2'!H13*1</f>
        <v>24.684999999999999</v>
      </c>
    </row>
    <row r="16" spans="2:38" ht="21" customHeight="1">
      <c r="B16" s="29"/>
      <c r="C16" s="32"/>
      <c r="D16" s="32"/>
      <c r="E16" s="32"/>
      <c r="F16" s="32"/>
      <c r="G16" s="168"/>
      <c r="H16" s="169"/>
      <c r="I16" s="169"/>
      <c r="J16" s="169"/>
      <c r="K16" s="170"/>
      <c r="M16" s="27" t="str">
        <f>lang!B23</f>
        <v>神经质</v>
      </c>
      <c r="N16" s="59">
        <f t="shared" si="4"/>
        <v>-5.4543999999999997</v>
      </c>
      <c r="O16" s="59">
        <f t="shared" si="5"/>
        <v>0.21784999999999943</v>
      </c>
      <c r="P16" s="59">
        <f t="shared" si="6"/>
        <v>9.7334000000000032</v>
      </c>
      <c r="Q16" s="59">
        <f t="shared" si="7"/>
        <v>0</v>
      </c>
      <c r="R16" s="59">
        <f t="shared" si="8"/>
        <v>-1.6490000000000116E-2</v>
      </c>
      <c r="S16" s="59">
        <f t="shared" si="9"/>
        <v>0</v>
      </c>
      <c r="T16" s="59">
        <f t="shared" si="10"/>
        <v>-0.75560000000000116</v>
      </c>
      <c r="U16" s="15"/>
      <c r="V16" s="27" t="str">
        <f t="shared" si="11"/>
        <v>神经质</v>
      </c>
      <c r="W16" s="59">
        <f>'M1'!B14*1</f>
        <v>24.963200000000001</v>
      </c>
      <c r="X16" s="59">
        <f>'M1'!C14*1</f>
        <v>7.6936400000000003</v>
      </c>
      <c r="Y16" s="59">
        <f>'M1'!D14*1</f>
        <v>30.82</v>
      </c>
      <c r="Z16" s="59">
        <f>'M1'!E14*1</f>
        <v>10</v>
      </c>
      <c r="AA16" s="59">
        <f>'M1'!F14*1</f>
        <v>2.6959</v>
      </c>
      <c r="AB16" s="59">
        <f>'M1'!G14*1</f>
        <v>50</v>
      </c>
      <c r="AC16" s="59">
        <f>'M1'!H14*1</f>
        <v>26.7301</v>
      </c>
      <c r="AE16" s="27" t="str">
        <f t="shared" si="12"/>
        <v>神经质</v>
      </c>
      <c r="AF16" s="59">
        <f>'M2'!B14*1</f>
        <v>19.508800000000001</v>
      </c>
      <c r="AG16" s="59">
        <f>'M2'!C14*1</f>
        <v>7.9114899999999997</v>
      </c>
      <c r="AH16" s="59">
        <f>'M2'!D14*1</f>
        <v>40.553400000000003</v>
      </c>
      <c r="AI16" s="59">
        <f>'M2'!E14*1</f>
        <v>10</v>
      </c>
      <c r="AJ16" s="59">
        <f>'M2'!F14*1</f>
        <v>2.6794099999999998</v>
      </c>
      <c r="AK16" s="59">
        <f>'M2'!G14*1</f>
        <v>50</v>
      </c>
      <c r="AL16" s="59">
        <f>'M2'!H14*1</f>
        <v>25.974499999999999</v>
      </c>
    </row>
    <row r="17" spans="2:38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1" t="str">
        <f>lang!B7</f>
        <v>Positive</v>
      </c>
      <c r="N17" s="65">
        <f>SUM(N11:N14)/4</f>
        <v>-2.0022500000000019</v>
      </c>
      <c r="O17" s="22">
        <f>N17/(N17+N18+N19)</f>
        <v>0.74127207434008358</v>
      </c>
      <c r="P17" s="65">
        <f>SUM(P11:P14)/4</f>
        <v>-2.1094974999999998</v>
      </c>
      <c r="Q17" s="22">
        <f>P17/(P17+P18+P19)</f>
        <v>0.85274687293773643</v>
      </c>
      <c r="R17" s="14"/>
      <c r="S17" s="14"/>
      <c r="T17" s="14"/>
      <c r="U17" s="14"/>
      <c r="V17" s="21" t="str">
        <f>M17</f>
        <v>Positive</v>
      </c>
      <c r="W17" s="65">
        <f>SUM(W11:W14)/4</f>
        <v>59.422524999999993</v>
      </c>
      <c r="X17" s="22">
        <f>W17/(W17+W18+W19)</f>
        <v>0.52793250178465057</v>
      </c>
      <c r="Y17" s="65">
        <f>SUM(Y11:Y14)/4</f>
        <v>10.10957</v>
      </c>
      <c r="Z17" s="22">
        <f>Y17/(Y17+Y18+Y19)</f>
        <v>0.2024133462341457</v>
      </c>
      <c r="AA17" s="14"/>
      <c r="AB17" s="14"/>
      <c r="AC17" s="14"/>
      <c r="AE17" s="21" t="str">
        <f>V17</f>
        <v>Positive</v>
      </c>
      <c r="AF17" s="65">
        <f>SUM(AF11:AF14)/4</f>
        <v>57.420275000000004</v>
      </c>
      <c r="AG17" s="22">
        <f>AF17/(AF17+AF18+AF19)</f>
        <v>0.52268698236190214</v>
      </c>
      <c r="AH17" s="65">
        <f>SUM(AH11:AH14)/4</f>
        <v>8.0000724999999999</v>
      </c>
      <c r="AI17" s="22">
        <f>AH17/(AH17+AH18+AH19)</f>
        <v>0.16852402153864934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lang!B8</f>
        <v>Negative</v>
      </c>
      <c r="N18" s="18">
        <f>SUM(N7:N10)/4</f>
        <v>1.4829499999999998</v>
      </c>
      <c r="O18" s="22">
        <f>N18/(N17+N18+N19)</f>
        <v>-0.549017067120802</v>
      </c>
      <c r="P18" s="18">
        <f>SUM(P7:P10)/4</f>
        <v>-3.2733700000000003</v>
      </c>
      <c r="Q18" s="22">
        <f>P18/(P17+P18+P19)</f>
        <v>1.3232326805166628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32.180474999999994</v>
      </c>
      <c r="X18" s="22">
        <f>W18/(W17+W18+W19)</f>
        <v>0.28590368173295233</v>
      </c>
      <c r="Y18" s="18">
        <f>SUM(Y7:Y10)/4</f>
        <v>17.059605000000001</v>
      </c>
      <c r="Z18" s="22">
        <f>Y18/(Y17+Y18+Y19)</f>
        <v>0.34156662780739078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33.663424999999997</v>
      </c>
      <c r="AG18" s="22">
        <f>AF18/(AF17+AF18+AF19)</f>
        <v>0.30643242355102296</v>
      </c>
      <c r="AH18" s="18">
        <f>SUM(AH7:AH10)/4</f>
        <v>13.786235000000001</v>
      </c>
      <c r="AI18" s="22">
        <f>AH18/(AH17+AH18+AH19)</f>
        <v>0.29041133865685365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lang!B9</f>
        <v>Physiological</v>
      </c>
      <c r="N19" s="18">
        <f>(N15+N16)/2</f>
        <v>-2.1818000000000008</v>
      </c>
      <c r="O19" s="22">
        <f>N19/(N17+N18+N19)</f>
        <v>0.80774499278071843</v>
      </c>
      <c r="P19" s="18">
        <f>(P15+P16)/2</f>
        <v>2.9091000000000022</v>
      </c>
      <c r="Q19" s="22">
        <f>P19/(P17+P18+P19)</f>
        <v>-1.1759795534543991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20.954050000000002</v>
      </c>
      <c r="X19" s="22">
        <f>W19/(W17+W18+W19)</f>
        <v>0.18616381648239722</v>
      </c>
      <c r="Y19" s="18">
        <f>(Y15+Y16)/2</f>
        <v>22.776</v>
      </c>
      <c r="Z19" s="22">
        <f>Y19/(Y17+Y18+Y19)</f>
        <v>0.45602002595846342</v>
      </c>
      <c r="AA19" s="14"/>
      <c r="AB19" s="14"/>
      <c r="AC19" s="14"/>
      <c r="AE19" s="21" t="str">
        <f t="shared" si="14"/>
        <v>Physiological</v>
      </c>
      <c r="AF19" s="18">
        <f>(AF15+AF16)/2</f>
        <v>18.77225</v>
      </c>
      <c r="AG19" s="22">
        <f>AF19/(AF17+AF18+AF19)</f>
        <v>0.17088059408707496</v>
      </c>
      <c r="AH19" s="18">
        <f>(AH15+AH16)/2</f>
        <v>25.685100000000002</v>
      </c>
      <c r="AI19" s="22">
        <f>AH19/(AH17+AH18+AH19)</f>
        <v>0.54106463980449715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71"/>
      <c r="H22" s="172"/>
      <c r="I22" s="172"/>
      <c r="J22" s="172"/>
      <c r="K22" s="173"/>
      <c r="M22" s="16"/>
      <c r="O22" s="17"/>
      <c r="Q22"/>
      <c r="T22"/>
      <c r="U22" s="19"/>
    </row>
    <row r="23" spans="2:38" ht="17.25" customHeight="1" thickBot="1">
      <c r="B23" s="150" t="str">
        <f>lang!B5</f>
        <v>频率分布直方图</v>
      </c>
      <c r="C23" s="151"/>
      <c r="D23" s="151"/>
      <c r="E23" s="151"/>
      <c r="F23" s="152"/>
      <c r="G23" s="162" t="str">
        <f>lang!B6</f>
        <v xml:space="preserve">心理变化 - 心理基础代谢 </v>
      </c>
      <c r="H23" s="163"/>
      <c r="I23" s="163"/>
      <c r="J23" s="163"/>
      <c r="K23" s="16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1.64/1.71</v>
      </c>
      <c r="D24" s="44" t="str">
        <f>lang!B11</f>
        <v>频率方差</v>
      </c>
      <c r="E24" s="182" t="str">
        <f ca="1">CONCATENATE(ROUND('FH1'!L3,2),"/",ROUND('FH2'!L3,2))</f>
        <v>0.66/0.66</v>
      </c>
      <c r="F24" s="183"/>
      <c r="G24" s="174" t="str">
        <f>lang!B12</f>
        <v>生理变化率</v>
      </c>
      <c r="H24" s="175"/>
      <c r="I24" s="62" t="str">
        <f ca="1">CONCATENATE(info!M7,"-",info!M8)</f>
        <v>19.1-52.4</v>
      </c>
      <c r="J24" s="42" t="str">
        <f>lang!B13</f>
        <v>千卡l/分钟</v>
      </c>
      <c r="K24" s="41" t="str">
        <f ca="1">CONCATENATE(info!M5,"-",info!M6)</f>
        <v>2.5-3.8</v>
      </c>
      <c r="M24" s="16"/>
      <c r="O24" s="17"/>
      <c r="P24" s="17"/>
      <c r="Q24"/>
      <c r="T24"/>
      <c r="U24" s="19"/>
    </row>
    <row r="25" spans="2:38" ht="156.75" customHeight="1" thickBot="1">
      <c r="B25" s="155"/>
      <c r="C25" s="156"/>
      <c r="D25" s="156"/>
      <c r="E25" s="157"/>
      <c r="F25" s="39"/>
      <c r="G25" s="158"/>
      <c r="H25" s="159"/>
      <c r="I25" s="159"/>
      <c r="J25" s="160"/>
      <c r="K25" s="161"/>
      <c r="M25"/>
      <c r="O25" s="17"/>
      <c r="Q25"/>
      <c r="T25"/>
      <c r="U25" s="19"/>
    </row>
    <row r="26" spans="2:38" ht="15" customHeight="1" thickBot="1">
      <c r="B26" s="119" t="str">
        <f>CONCATENATE( lang!B31," ",ROUND(100-FH_info!L2,0),"%]")</f>
        <v>Result [Quality 100%]</v>
      </c>
      <c r="C26" s="120"/>
      <c r="D26" s="120"/>
      <c r="E26" s="120"/>
      <c r="F26" s="120"/>
      <c r="G26" s="120"/>
      <c r="H26" s="120"/>
      <c r="I26" s="120"/>
      <c r="J26" s="120"/>
      <c r="K26" s="121"/>
      <c r="M26"/>
      <c r="Q26"/>
      <c r="T26"/>
    </row>
    <row r="27" spans="2:38" ht="15.75" thickBot="1">
      <c r="B27" s="135" t="str">
        <f>lang!B32</f>
        <v>外向性</v>
      </c>
      <c r="C27" s="136"/>
      <c r="D27" s="137"/>
      <c r="E27" s="119">
        <f>dM!B18*100</f>
        <v>3.3340000000000036</v>
      </c>
      <c r="F27" s="121"/>
      <c r="G27" s="135" t="str">
        <f>lang!B33</f>
        <v>稳定性</v>
      </c>
      <c r="H27" s="136"/>
      <c r="I27" s="137"/>
      <c r="J27" s="138">
        <f>dM!B19*100</f>
        <v>4.2298000000000062</v>
      </c>
      <c r="K27" s="139"/>
    </row>
    <row r="28" spans="2:38" ht="24.75" customHeight="1">
      <c r="B28" s="122" t="str">
        <f>lang!B34</f>
        <v xml:space="preserve">心理生理状态分析结果： </v>
      </c>
      <c r="C28" s="123"/>
      <c r="D28" s="123"/>
      <c r="E28" s="123"/>
      <c r="F28" s="123"/>
      <c r="G28" s="123"/>
      <c r="H28" s="123"/>
      <c r="I28" s="123"/>
      <c r="J28" s="123"/>
      <c r="K28" s="124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⊡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⊠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40" t="str">
        <f>lang!B37</f>
        <v>意见</v>
      </c>
      <c r="C31" s="141"/>
      <c r="D31" s="142"/>
      <c r="E31" s="142"/>
      <c r="F31" s="142"/>
      <c r="G31" s="142"/>
      <c r="H31" s="142"/>
      <c r="I31" s="142"/>
      <c r="J31" s="142"/>
      <c r="K31" s="143"/>
      <c r="M31"/>
      <c r="Q31"/>
      <c r="T31"/>
      <c r="W31" s="33"/>
      <c r="X31" s="33"/>
    </row>
    <row r="32" spans="2:38" ht="18" customHeight="1">
      <c r="B32" s="113"/>
      <c r="C32" s="114"/>
      <c r="D32" s="114"/>
      <c r="E32" s="114"/>
      <c r="F32" s="114"/>
      <c r="G32" s="114"/>
      <c r="H32" s="114"/>
      <c r="I32" s="114"/>
      <c r="J32" s="114"/>
      <c r="K32" s="115"/>
      <c r="M32"/>
      <c r="Q32"/>
      <c r="T32"/>
      <c r="W32" s="33"/>
      <c r="X32" s="33"/>
    </row>
    <row r="33" spans="2:24" ht="20.25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35.25" customHeight="1" thickBot="1">
      <c r="B34" s="116"/>
      <c r="C34" s="117"/>
      <c r="D34" s="117"/>
      <c r="E34" s="117"/>
      <c r="F34" s="117"/>
      <c r="G34" s="117"/>
      <c r="H34" s="117"/>
      <c r="I34" s="117"/>
      <c r="J34" s="117"/>
      <c r="K34" s="118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  <mergeCell ref="B23:F23"/>
    <mergeCell ref="G23:K23"/>
    <mergeCell ref="E24:F24"/>
    <mergeCell ref="G24:H24"/>
    <mergeCell ref="B25:E25"/>
    <mergeCell ref="G25:K25"/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-0.8953820754092775</v>
      </c>
      <c r="C2">
        <f t="array" aca="1" ref="C2" ca="1">CORREL(FT_E02,FT_PH02)</f>
        <v>-0.53236203011751948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2.4634</v>
      </c>
      <c r="G2" s="61">
        <f>IF(FT!B2&lt;&gt;"",FT!B2*100,"")</f>
        <v>52.355600000000003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2.5285600000000001</v>
      </c>
      <c r="G3" s="61">
        <f>IF(FT!B3&lt;&gt;"",FT!B3*100,"")</f>
        <v>51.228700000000003</v>
      </c>
      <c r="H3" s="61">
        <f t="shared" ref="H3:H66" si="1">(IF(F3&lt;&gt;"",1,""))</f>
        <v>1</v>
      </c>
      <c r="I3" t="str">
        <f>IF(FT!B3&lt;&gt;"",FT!E3,"")</f>
        <v>1 [0.404433]</v>
      </c>
      <c r="J3">
        <f>IF(FT!B3&lt;&gt;"",FT!C3,"")</f>
        <v>0.40443299999999999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0.35815087837837833</v>
      </c>
      <c r="V3">
        <f ca="1">AVERAGE(OFFSET(FT!B2,info!$L$3/2,0,info!$L$3/2,1))</f>
        <v>0.31611239189189194</v>
      </c>
      <c r="W3">
        <f ca="1">AVERAGE(OFFSET(FT!A2,0,0,info!$L$3/2,1))</f>
        <v>0.33997852702702702</v>
      </c>
      <c r="X3">
        <f ca="1">AVERAGE(OFFSET(FT!A2,info!$L$3/2,0,info!$L$3/2,1))</f>
        <v>0.3521313648648649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2.59361</v>
      </c>
      <c r="G4" s="61">
        <f>IF(FT!B4&lt;&gt;"",FT!B4*100,"")</f>
        <v>50.038499999999999</v>
      </c>
      <c r="H4" s="61">
        <f t="shared" si="1"/>
        <v>1</v>
      </c>
      <c r="I4" t="str">
        <f>IF(FT!B4&lt;&gt;"",FT!E4,"")</f>
        <v>1 [0.812121]</v>
      </c>
      <c r="J4">
        <f>IF(FT!B4&lt;&gt;"",FT!C4,"")</f>
        <v>0.81212099999999998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14.940925</v>
      </c>
      <c r="V4">
        <f>U4*3</f>
        <v>44.822775</v>
      </c>
      <c r="W4">
        <f>U4</f>
        <v>14.940925</v>
      </c>
      <c r="X4">
        <f>V4</f>
        <v>44.822775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2.6579700000000002</v>
      </c>
      <c r="G5" s="61">
        <f>IF(FT!B5&lt;&gt;"",FT!B5*100,"")</f>
        <v>48.731200000000001</v>
      </c>
      <c r="H5" s="61">
        <f t="shared" si="1"/>
        <v>1</v>
      </c>
      <c r="I5" t="str">
        <f>IF(FT!B5&lt;&gt;"",FT!E5,"")</f>
        <v>1 [1.218176]</v>
      </c>
      <c r="J5">
        <f>IF(FT!B5&lt;&gt;"",FT!C5,"")</f>
        <v>1.21818</v>
      </c>
      <c r="K5" t="s">
        <v>53</v>
      </c>
      <c r="L5" s="63">
        <f ca="1">MIN(FT_E)</f>
        <v>2.4634</v>
      </c>
      <c r="M5" s="63">
        <f ca="1">ROUND(L5,1)</f>
        <v>2.5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35.815087837837837</v>
      </c>
      <c r="V5">
        <f ca="1">V3*100</f>
        <v>31.611239189189195</v>
      </c>
      <c r="W5">
        <f ca="1">W3*10</f>
        <v>3.3997852702702702</v>
      </c>
      <c r="X5">
        <f ca="1">X3*10</f>
        <v>3.5213136486486492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2.7218999999999998</v>
      </c>
      <c r="G6" s="61">
        <f>IF(FT!B6&lt;&gt;"",FT!B6*100,"")</f>
        <v>47.448599999999999</v>
      </c>
      <c r="H6" s="61">
        <f t="shared" si="1"/>
        <v>1</v>
      </c>
      <c r="I6" t="str">
        <f>IF(FT!B6&lt;&gt;"",FT!E6,"")</f>
        <v>1 [1.621519]</v>
      </c>
      <c r="J6">
        <f>IF(FT!B6&lt;&gt;"",FT!C6,"")</f>
        <v>1.6215200000000001</v>
      </c>
      <c r="K6" t="s">
        <v>54</v>
      </c>
      <c r="L6" s="63">
        <f ca="1">MAX(FT_E)</f>
        <v>3.7525500000000003</v>
      </c>
      <c r="M6" s="63">
        <f ca="1">ROUND(L6,1)</f>
        <v>3.8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2.7859400000000001</v>
      </c>
      <c r="G7" s="61">
        <f>IF(FT!B7&lt;&gt;"",FT!B7*100,"")</f>
        <v>46.2</v>
      </c>
      <c r="H7" s="61">
        <f t="shared" si="1"/>
        <v>1</v>
      </c>
      <c r="I7" t="str">
        <f>IF(FT!B7&lt;&gt;"",FT!E7,"")</f>
        <v>1 [2.026228]</v>
      </c>
      <c r="J7">
        <f>IF(FT!B7&lt;&gt;"",FT!C7,"")</f>
        <v>2.02623</v>
      </c>
      <c r="K7" t="s">
        <v>55</v>
      </c>
      <c r="L7" s="63">
        <f ca="1">MIN(FT_PH)</f>
        <v>19.084200000000003</v>
      </c>
      <c r="M7" s="63">
        <f ca="1">ROUND(L7,1)</f>
        <v>19.100000000000001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3240</v>
      </c>
      <c r="D8" s="61">
        <f>FH!B8*1</f>
        <v>3240</v>
      </c>
      <c r="E8">
        <f t="shared" si="3"/>
        <v>6</v>
      </c>
      <c r="F8" s="61">
        <f>IF(FT!A8&lt;&gt;"",FT!A8*10,"")</f>
        <v>2.8485899999999997</v>
      </c>
      <c r="G8" s="61">
        <f>IF(FT!B8&lt;&gt;"",FT!B8*100,"")</f>
        <v>44.992900000000006</v>
      </c>
      <c r="H8" s="61">
        <f t="shared" si="1"/>
        <v>1</v>
      </c>
      <c r="I8" t="str">
        <f>IF(FT!B8&lt;&gt;"",FT!E8,"")</f>
        <v>1 [2.438980]</v>
      </c>
      <c r="J8">
        <f>IF(FT!B8&lt;&gt;"",FT!C8,"")</f>
        <v>2.4389799999999999</v>
      </c>
      <c r="K8" t="s">
        <v>56</v>
      </c>
      <c r="L8" s="63">
        <f ca="1">MAX(FT_PH)</f>
        <v>52.355600000000003</v>
      </c>
      <c r="M8" s="63">
        <f ca="1">ROUND(L8,1)</f>
        <v>52.4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2.9110999999999998</v>
      </c>
      <c r="G9" s="61">
        <f>IF(FT!B9&lt;&gt;"",FT!B9*100,"")</f>
        <v>43.777000000000001</v>
      </c>
      <c r="H9" s="61">
        <f t="shared" si="1"/>
        <v>1</v>
      </c>
      <c r="I9" t="str">
        <f>IF(FT!B9&lt;&gt;"",FT!E9,"")</f>
        <v>1 [2.840628]</v>
      </c>
      <c r="J9">
        <f>IF(FT!B9&lt;&gt;"",FT!C9,"")</f>
        <v>2.84063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885</v>
      </c>
      <c r="D10" s="61">
        <f>FH!B10*1</f>
        <v>885</v>
      </c>
      <c r="E10">
        <f t="shared" si="3"/>
        <v>8</v>
      </c>
      <c r="F10" s="61">
        <f>IF(FT!A10&lt;&gt;"",FT!A10*10,"")</f>
        <v>2.9748200000000002</v>
      </c>
      <c r="G10" s="61">
        <f>IF(FT!B10&lt;&gt;"",FT!B10*100,"")</f>
        <v>42.534700000000001</v>
      </c>
      <c r="H10" s="61">
        <f t="shared" si="1"/>
        <v>1</v>
      </c>
      <c r="I10" t="str">
        <f>IF(FT!B10&lt;&gt;"",FT!E10,"")</f>
        <v>1 [3.246168]</v>
      </c>
      <c r="J10">
        <f>IF(FT!B10&lt;&gt;"",FT!C10,"")</f>
        <v>3.2461700000000002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3.0355300000000001</v>
      </c>
      <c r="G11" s="61">
        <f>IF(FT!B11&lt;&gt;"",FT!B11*100,"")</f>
        <v>41.429300000000005</v>
      </c>
      <c r="H11" s="61">
        <f t="shared" si="1"/>
        <v>1</v>
      </c>
      <c r="I11" t="str">
        <f>IF(FT!B11&lt;&gt;"",FT!E11,"")</f>
        <v>1 [3.653560]</v>
      </c>
      <c r="J11">
        <f>IF(FT!B11&lt;&gt;"",FT!C11,"")</f>
        <v>3.6535600000000001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3.0935200000000003</v>
      </c>
      <c r="G12" s="61">
        <f>IF(FT!B12&lt;&gt;"",FT!B12*100,"")</f>
        <v>40.4223</v>
      </c>
      <c r="H12" s="61">
        <f t="shared" si="1"/>
        <v>1</v>
      </c>
      <c r="I12" t="str">
        <f>IF(FT!B12&lt;&gt;"",FT!E12,"")</f>
        <v>1 [4.058966]</v>
      </c>
      <c r="J12">
        <f>IF(FT!B12&lt;&gt;"",FT!C12,"")</f>
        <v>4.0589700000000004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2053</v>
      </c>
      <c r="D13" s="61">
        <f>FH!B13*1</f>
        <v>2053</v>
      </c>
      <c r="E13">
        <f t="shared" si="3"/>
        <v>11</v>
      </c>
      <c r="F13" s="61">
        <f>IF(FT!A13&lt;&gt;"",FT!A13*10,"")</f>
        <v>3.14682</v>
      </c>
      <c r="G13" s="61">
        <f>IF(FT!B13&lt;&gt;"",FT!B13*100,"")</f>
        <v>39.605400000000003</v>
      </c>
      <c r="H13" s="61">
        <f t="shared" si="1"/>
        <v>1</v>
      </c>
      <c r="I13" t="str">
        <f>IF(FT!B13&lt;&gt;"",FT!E13,"")</f>
        <v>1 [4.467302]</v>
      </c>
      <c r="J13">
        <f>IF(FT!B13&lt;&gt;"",FT!C13,"")</f>
        <v>4.4672999999999998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3.1967800000000004</v>
      </c>
      <c r="G14" s="61">
        <f>IF(FT!B14&lt;&gt;"",FT!B14*100,"")</f>
        <v>38.892700000000005</v>
      </c>
      <c r="H14" s="61">
        <f t="shared" si="1"/>
        <v>1</v>
      </c>
      <c r="I14" t="str">
        <f>IF(FT!B14&lt;&gt;"",FT!E14,"")</f>
        <v>1 [4.872975]</v>
      </c>
      <c r="J14">
        <f>IF(FT!B14&lt;&gt;"",FT!C14,"")</f>
        <v>4.8729800000000001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3782</v>
      </c>
      <c r="D15" s="61">
        <f>FH!B15*1</f>
        <v>3782</v>
      </c>
      <c r="E15">
        <f t="shared" si="3"/>
        <v>13</v>
      </c>
      <c r="F15" s="61">
        <f>IF(FT!A15&lt;&gt;"",FT!A15*10,"")</f>
        <v>3.2427000000000001</v>
      </c>
      <c r="G15" s="61">
        <f>IF(FT!B15&lt;&gt;"",FT!B15*100,"")</f>
        <v>38.217700000000001</v>
      </c>
      <c r="H15" s="61">
        <f t="shared" si="1"/>
        <v>1</v>
      </c>
      <c r="I15" t="str">
        <f>IF(FT!B15&lt;&gt;"",FT!E15,"")</f>
        <v>1 [5.277931]</v>
      </c>
      <c r="J15">
        <f>IF(FT!B15&lt;&gt;"",FT!C15,"")</f>
        <v>5.2779299999999996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3.28735</v>
      </c>
      <c r="G16" s="61">
        <f>IF(FT!B16&lt;&gt;"",FT!B16*100,"")</f>
        <v>37.525999999999996</v>
      </c>
      <c r="H16" s="61">
        <f t="shared" si="1"/>
        <v>1</v>
      </c>
      <c r="I16" t="str">
        <f>IF(FT!B16&lt;&gt;"",FT!E16,"")</f>
        <v>1 [5.685765]</v>
      </c>
      <c r="J16">
        <f>IF(FT!B16&lt;&gt;"",FT!C16,"")</f>
        <v>5.6857699999999998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3.33046</v>
      </c>
      <c r="G17" s="61">
        <f>IF(FT!B17&lt;&gt;"",FT!B17*100,"")</f>
        <v>36.842300000000002</v>
      </c>
      <c r="H17" s="61">
        <f t="shared" si="1"/>
        <v>1</v>
      </c>
      <c r="I17" t="str">
        <f>IF(FT!B17&lt;&gt;"",FT!E17,"")</f>
        <v>1 [6.089634]</v>
      </c>
      <c r="J17">
        <f>IF(FT!B17&lt;&gt;"",FT!C17,"")</f>
        <v>6.0896299999999997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5398</v>
      </c>
      <c r="D18" s="61">
        <f>FH!B18*1</f>
        <v>5398</v>
      </c>
      <c r="E18">
        <f t="shared" si="3"/>
        <v>16</v>
      </c>
      <c r="F18" s="61">
        <f>IF(FT!A18&lt;&gt;"",FT!A18*10,"")</f>
        <v>3.3727299999999998</v>
      </c>
      <c r="G18" s="61">
        <f>IF(FT!B18&lt;&gt;"",FT!B18*100,"")</f>
        <v>36.141600000000004</v>
      </c>
      <c r="H18" s="61">
        <f t="shared" si="1"/>
        <v>1</v>
      </c>
      <c r="I18" t="str">
        <f>IF(FT!B18&lt;&gt;"",FT!E18,"")</f>
        <v>1 [6.497558]</v>
      </c>
      <c r="J18">
        <f>IF(FT!B18&lt;&gt;"",FT!C18,"")</f>
        <v>6.49756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3.4137</v>
      </c>
      <c r="G19" s="61">
        <f>IF(FT!B19&lt;&gt;"",FT!B19*100,"")</f>
        <v>35.542299999999997</v>
      </c>
      <c r="H19" s="61">
        <f t="shared" si="1"/>
        <v>1</v>
      </c>
      <c r="I19" t="str">
        <f>IF(FT!B19&lt;&gt;"",FT!E19,"")</f>
        <v>1 [6.904121]</v>
      </c>
      <c r="J19">
        <f>IF(FT!B19&lt;&gt;"",FT!C19,"")</f>
        <v>6.9041199999999998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3.45153</v>
      </c>
      <c r="G20" s="61">
        <f>IF(FT!B20&lt;&gt;"",FT!B20*100,"")</f>
        <v>35.052299999999995</v>
      </c>
      <c r="H20" s="61">
        <f t="shared" si="1"/>
        <v>1</v>
      </c>
      <c r="I20" t="str">
        <f>IF(FT!B20&lt;&gt;"",FT!E20,"")</f>
        <v>1 [7.310146]</v>
      </c>
      <c r="J20">
        <f>IF(FT!B20&lt;&gt;"",FT!C20,"")</f>
        <v>7.3101500000000001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15977</v>
      </c>
      <c r="D21" s="61">
        <f>FH!B21*1</f>
        <v>15977</v>
      </c>
      <c r="E21">
        <f t="shared" si="3"/>
        <v>19</v>
      </c>
      <c r="F21" s="61">
        <f>IF(FT!A21&lt;&gt;"",FT!A21*10,"")</f>
        <v>3.4901300000000002</v>
      </c>
      <c r="G21" s="61">
        <f>IF(FT!B21&lt;&gt;"",FT!B21*100,"")</f>
        <v>34.643599999999999</v>
      </c>
      <c r="H21" s="61">
        <f t="shared" si="1"/>
        <v>1</v>
      </c>
      <c r="I21" t="str">
        <f>IF(FT!B21&lt;&gt;"",FT!E21,"")</f>
        <v>1 [7.719887]</v>
      </c>
      <c r="J21">
        <f>IF(FT!B21&lt;&gt;"",FT!C21,"")</f>
        <v>7.7198900000000004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3.5277799999999999</v>
      </c>
      <c r="G22" s="61">
        <f>IF(FT!B22&lt;&gt;"",FT!B22*100,"")</f>
        <v>34.3215</v>
      </c>
      <c r="H22" s="61">
        <f t="shared" si="1"/>
        <v>1</v>
      </c>
      <c r="I22" t="str">
        <f>IF(FT!B22&lt;&gt;"",FT!E22,"")</f>
        <v>1 [8.122214]</v>
      </c>
      <c r="J22">
        <f>IF(FT!B22&lt;&gt;"",FT!C22,"")</f>
        <v>8.1222100000000008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21651</v>
      </c>
      <c r="D23" s="61">
        <f>FH!B23*1</f>
        <v>21651</v>
      </c>
      <c r="E23">
        <f t="shared" si="3"/>
        <v>21</v>
      </c>
      <c r="F23" s="61">
        <f>IF(FT!A23&lt;&gt;"",FT!A23*10,"")</f>
        <v>3.5604799999999996</v>
      </c>
      <c r="G23" s="61">
        <f>IF(FT!B23&lt;&gt;"",FT!B23*100,"")</f>
        <v>34.043399999999998</v>
      </c>
      <c r="H23" s="61">
        <f t="shared" si="1"/>
        <v>1</v>
      </c>
      <c r="I23" t="str">
        <f>IF(FT!B23&lt;&gt;"",FT!E23,"")</f>
        <v>1 [8.529929]</v>
      </c>
      <c r="J23">
        <f>IF(FT!B23&lt;&gt;"",FT!C23,"")</f>
        <v>8.5299300000000002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3.5893100000000002</v>
      </c>
      <c r="G24" s="61">
        <f>IF(FT!B24&lt;&gt;"",FT!B24*100,"")</f>
        <v>33.7577</v>
      </c>
      <c r="H24" s="61">
        <f t="shared" si="1"/>
        <v>1</v>
      </c>
      <c r="I24" t="str">
        <f>IF(FT!B24&lt;&gt;"",FT!E24,"")</f>
        <v>1 [8.935731]</v>
      </c>
      <c r="J24">
        <f>IF(FT!B24&lt;&gt;"",FT!C24,"")</f>
        <v>8.9357299999999995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3.6147</v>
      </c>
      <c r="G25" s="61">
        <f>IF(FT!B25&lt;&gt;"",FT!B25*100,"")</f>
        <v>33.496600000000001</v>
      </c>
      <c r="H25" s="61">
        <f t="shared" si="1"/>
        <v>1</v>
      </c>
      <c r="I25" t="str">
        <f>IF(FT!B25&lt;&gt;"",FT!E25,"")</f>
        <v>1 [9.341742]</v>
      </c>
      <c r="J25">
        <f>IF(FT!B25&lt;&gt;"",FT!C25,"")</f>
        <v>9.3417399999999997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20943</v>
      </c>
      <c r="D26" s="61">
        <f>FH!B26*1</f>
        <v>20943</v>
      </c>
      <c r="E26">
        <f t="shared" si="3"/>
        <v>24</v>
      </c>
      <c r="F26" s="61">
        <f>IF(FT!A26&lt;&gt;"",FT!A26*10,"")</f>
        <v>3.6388500000000001</v>
      </c>
      <c r="G26" s="61">
        <f>IF(FT!B26&lt;&gt;"",FT!B26*100,"")</f>
        <v>33.222499999999997</v>
      </c>
      <c r="H26" s="61">
        <f t="shared" si="1"/>
        <v>1</v>
      </c>
      <c r="I26" t="str">
        <f>IF(FT!B26&lt;&gt;"",FT!E26,"")</f>
        <v>1 [9.749606]</v>
      </c>
      <c r="J26">
        <f>IF(FT!B26&lt;&gt;"",FT!C26,"")</f>
        <v>9.7496100000000006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3.66052</v>
      </c>
      <c r="G27" s="61">
        <f>IF(FT!B27&lt;&gt;"",FT!B27*100,"")</f>
        <v>32.985500000000002</v>
      </c>
      <c r="H27" s="61">
        <f t="shared" si="1"/>
        <v>1</v>
      </c>
      <c r="I27" t="str">
        <f>IF(FT!B27&lt;&gt;"",FT!E27,"")</f>
        <v>1 [10.154656]</v>
      </c>
      <c r="J27">
        <f>IF(FT!B27&lt;&gt;"",FT!C27,"")</f>
        <v>10.1547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37580</v>
      </c>
      <c r="D28" s="61">
        <f>FH!B28*1</f>
        <v>37580</v>
      </c>
      <c r="E28">
        <f t="shared" si="3"/>
        <v>26</v>
      </c>
      <c r="F28" s="61">
        <f>IF(FT!A28&lt;&gt;"",FT!A28*10,"")</f>
        <v>3.68086</v>
      </c>
      <c r="G28" s="61">
        <f>IF(FT!B28&lt;&gt;"",FT!B28*100,"")</f>
        <v>32.786500000000004</v>
      </c>
      <c r="H28" s="61">
        <f t="shared" si="1"/>
        <v>1</v>
      </c>
      <c r="I28" t="str">
        <f>IF(FT!B28&lt;&gt;"",FT!E28,"")</f>
        <v>1 [10.560432]</v>
      </c>
      <c r="J28">
        <f>IF(FT!B28&lt;&gt;"",FT!C28,"")</f>
        <v>10.5604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3.6993100000000001</v>
      </c>
      <c r="G29" s="61">
        <f>IF(FT!B29&lt;&gt;"",FT!B29*100,"")</f>
        <v>32.573399999999999</v>
      </c>
      <c r="H29" s="61">
        <f t="shared" si="1"/>
        <v>1</v>
      </c>
      <c r="I29" t="str">
        <f>IF(FT!B29&lt;&gt;"",FT!E29,"")</f>
        <v>1 [10.965655]</v>
      </c>
      <c r="J29">
        <f>IF(FT!B29&lt;&gt;"",FT!C29,"")</f>
        <v>10.9657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3.7142199999999996</v>
      </c>
      <c r="G30" s="61">
        <f>IF(FT!B30&lt;&gt;"",FT!B30*100,"")</f>
        <v>32.391500000000001</v>
      </c>
      <c r="H30" s="61">
        <f t="shared" si="1"/>
        <v>1</v>
      </c>
      <c r="I30" t="str">
        <f>IF(FT!B30&lt;&gt;"",FT!E30,"")</f>
        <v>1 [11.374132]</v>
      </c>
      <c r="J30">
        <f>IF(FT!B30&lt;&gt;"",FT!C30,"")</f>
        <v>11.3741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46860</v>
      </c>
      <c r="D31" s="61">
        <f>FH!B31*1</f>
        <v>46860</v>
      </c>
      <c r="E31">
        <f t="shared" si="3"/>
        <v>29</v>
      </c>
      <c r="F31" s="61">
        <f>IF(FT!A31&lt;&gt;"",FT!A31*10,"")</f>
        <v>3.7275799999999997</v>
      </c>
      <c r="G31" s="61">
        <f>IF(FT!B31&lt;&gt;"",FT!B31*100,"")</f>
        <v>32.252199999999995</v>
      </c>
      <c r="H31" s="61">
        <f t="shared" si="1"/>
        <v>1</v>
      </c>
      <c r="I31" t="str">
        <f>IF(FT!B31&lt;&gt;"",FT!E31,"")</f>
        <v>1 [11.783342]</v>
      </c>
      <c r="J31">
        <f>IF(FT!B31&lt;&gt;"",FT!C31,"")</f>
        <v>11.783300000000001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3.7386999999999997</v>
      </c>
      <c r="G32" s="61">
        <f>IF(FT!B32&lt;&gt;"",FT!B32*100,"")</f>
        <v>32.164500000000004</v>
      </c>
      <c r="H32" s="61">
        <f t="shared" si="1"/>
        <v>1</v>
      </c>
      <c r="I32" t="str">
        <f>IF(FT!B32&lt;&gt;"",FT!E32,"")</f>
        <v>1 [12.185668]</v>
      </c>
      <c r="J32">
        <f>IF(FT!B32&lt;&gt;"",FT!C32,"")</f>
        <v>12.185700000000001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51241</v>
      </c>
      <c r="D33" s="61">
        <f>FH!B33*1</f>
        <v>51241</v>
      </c>
      <c r="E33">
        <f t="shared" si="3"/>
        <v>31</v>
      </c>
      <c r="F33" s="61">
        <f>IF(FT!A33&lt;&gt;"",FT!A33*10,"")</f>
        <v>3.7472400000000001</v>
      </c>
      <c r="G33" s="61">
        <f>IF(FT!B33&lt;&gt;"",FT!B33*100,"")</f>
        <v>32.1492</v>
      </c>
      <c r="H33" s="61">
        <f t="shared" si="1"/>
        <v>1</v>
      </c>
      <c r="I33" t="str">
        <f>IF(FT!B33&lt;&gt;"",FT!E33,"")</f>
        <v>1 [12.589653]</v>
      </c>
      <c r="J33">
        <f>IF(FT!B33&lt;&gt;"",FT!C33,"")</f>
        <v>12.589700000000001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3.7525500000000003</v>
      </c>
      <c r="G34" s="61">
        <f>IF(FT!B34&lt;&gt;"",FT!B34*100,"")</f>
        <v>32.181699999999999</v>
      </c>
      <c r="H34" s="61">
        <f t="shared" si="1"/>
        <v>1</v>
      </c>
      <c r="I34" t="str">
        <f>IF(FT!B34&lt;&gt;"",FT!E34,"")</f>
        <v>1 [13.000528]</v>
      </c>
      <c r="J34">
        <f>IF(FT!B34&lt;&gt;"",FT!C34,"")</f>
        <v>13.000500000000001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3.7523099999999996</v>
      </c>
      <c r="G35" s="61">
        <f>IF(FT!B35&lt;&gt;"",FT!B35*100,"")</f>
        <v>32.302799999999998</v>
      </c>
      <c r="H35" s="61">
        <f t="shared" si="1"/>
        <v>1</v>
      </c>
      <c r="I35" t="str">
        <f>IF(FT!B35&lt;&gt;"",FT!E35,"")</f>
        <v>1 [13.404772]</v>
      </c>
      <c r="J35">
        <f>IF(FT!B35&lt;&gt;"",FT!C35,"")</f>
        <v>13.4048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53712</v>
      </c>
      <c r="D36" s="61">
        <f>FH!B36*1</f>
        <v>53712</v>
      </c>
      <c r="E36">
        <f t="shared" si="3"/>
        <v>34</v>
      </c>
      <c r="F36" s="61">
        <f>IF(FT!A36&lt;&gt;"",FT!A36*10,"")</f>
        <v>3.74953</v>
      </c>
      <c r="G36" s="61">
        <f>IF(FT!B36&lt;&gt;"",FT!B36*100,"")</f>
        <v>32.462299999999999</v>
      </c>
      <c r="H36" s="61">
        <f t="shared" si="1"/>
        <v>1</v>
      </c>
      <c r="I36" t="str">
        <f>IF(FT!B36&lt;&gt;"",FT!E36,"")</f>
        <v>1 [13.810280]</v>
      </c>
      <c r="J36">
        <f>IF(FT!B36&lt;&gt;"",FT!C36,"")</f>
        <v>13.8103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3.7456099999999997</v>
      </c>
      <c r="G37" s="61">
        <f>IF(FT!B37&lt;&gt;"",FT!B37*100,"")</f>
        <v>32.664999999999999</v>
      </c>
      <c r="H37" s="61">
        <f t="shared" si="1"/>
        <v>1</v>
      </c>
      <c r="I37" t="str">
        <f>IF(FT!B37&lt;&gt;"",FT!E37,"")</f>
        <v>1 [14.216062]</v>
      </c>
      <c r="J37">
        <f>IF(FT!B37&lt;&gt;"",FT!C37,"")</f>
        <v>14.216100000000001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3.7408799999999998</v>
      </c>
      <c r="G38" s="61">
        <f>IF(FT!B38&lt;&gt;"",FT!B38*100,"")</f>
        <v>32.8643</v>
      </c>
      <c r="H38" s="61">
        <f t="shared" si="1"/>
        <v>1</v>
      </c>
      <c r="I38" t="str">
        <f>IF(FT!B38&lt;&gt;"",FT!E38,"")</f>
        <v>1 [14.621090]</v>
      </c>
      <c r="J38">
        <f>IF(FT!B38&lt;&gt;"",FT!C38,"")</f>
        <v>14.6211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57361</v>
      </c>
      <c r="D39" s="61">
        <f>FH!B39*1</f>
        <v>57361</v>
      </c>
      <c r="E39">
        <f t="shared" si="3"/>
        <v>37</v>
      </c>
      <c r="F39" s="61">
        <f>IF(FT!A39&lt;&gt;"",FT!A39*10,"")</f>
        <v>3.7353700000000001</v>
      </c>
      <c r="G39" s="61">
        <f>IF(FT!B39&lt;&gt;"",FT!B39*100,"")</f>
        <v>33.046100000000003</v>
      </c>
      <c r="H39" s="61">
        <f t="shared" si="1"/>
        <v>1</v>
      </c>
      <c r="I39" t="str">
        <f>IF(FT!B39&lt;&gt;"",FT!E39,"")</f>
        <v>1 [15.029463]</v>
      </c>
      <c r="J39">
        <f>IF(FT!B39&lt;&gt;"",FT!C39,"")</f>
        <v>15.029500000000001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3.7302400000000002</v>
      </c>
      <c r="G40" s="61">
        <f>IF(FT!B40&lt;&gt;"",FT!B40*100,"")</f>
        <v>33.264800000000001</v>
      </c>
      <c r="H40" s="61">
        <f t="shared" si="1"/>
        <v>1</v>
      </c>
      <c r="I40" t="str">
        <f>IF(FT!B40&lt;&gt;"",FT!E40,"")</f>
        <v>1 [15.438974]</v>
      </c>
      <c r="J40">
        <f>IF(FT!B40&lt;&gt;"",FT!C40,"")</f>
        <v>15.439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75765</v>
      </c>
      <c r="D41" s="61">
        <f>FH!B41*1</f>
        <v>75765</v>
      </c>
      <c r="E41">
        <f t="shared" si="3"/>
        <v>39</v>
      </c>
      <c r="F41" s="61">
        <f>IF(FT!A41&lt;&gt;"",FT!A41*10,"")</f>
        <v>3.7231300000000003</v>
      </c>
      <c r="G41" s="61">
        <f>IF(FT!B41&lt;&gt;"",FT!B41*100,"")</f>
        <v>33.448899999999995</v>
      </c>
      <c r="H41" s="61">
        <f t="shared" si="1"/>
        <v>1</v>
      </c>
      <c r="I41" t="str">
        <f>IF(FT!B41&lt;&gt;"",FT!E41,"")</f>
        <v>1 [15.842398]</v>
      </c>
      <c r="J41">
        <f>IF(FT!B41&lt;&gt;"",FT!C41,"")</f>
        <v>15.8424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3.7133899999999995</v>
      </c>
      <c r="G42" s="61">
        <f>IF(FT!B42&lt;&gt;"",FT!B42*100,"")</f>
        <v>33.704699999999995</v>
      </c>
      <c r="H42" s="61">
        <f t="shared" si="1"/>
        <v>1</v>
      </c>
      <c r="I42" t="str">
        <f>IF(FT!B42&lt;&gt;"",FT!E42,"")</f>
        <v>1 [16.246627]</v>
      </c>
      <c r="J42">
        <f>IF(FT!B42&lt;&gt;"",FT!C42,"")</f>
        <v>16.246600000000001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3.7005500000000002</v>
      </c>
      <c r="G43" s="61">
        <f>IF(FT!B43&lt;&gt;"",FT!B43*100,"")</f>
        <v>33.978000000000002</v>
      </c>
      <c r="H43" s="61">
        <f t="shared" si="1"/>
        <v>1</v>
      </c>
      <c r="I43" t="str">
        <f>IF(FT!B43&lt;&gt;"",FT!E43,"")</f>
        <v>1 [16.656995]</v>
      </c>
      <c r="J43">
        <f>IF(FT!B43&lt;&gt;"",FT!C43,"")</f>
        <v>16.657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93651</v>
      </c>
      <c r="D44" s="61">
        <f>FH!B44*1</f>
        <v>93651</v>
      </c>
      <c r="E44">
        <f t="shared" si="3"/>
        <v>42</v>
      </c>
      <c r="F44" s="61">
        <f>IF(FT!A44&lt;&gt;"",FT!A44*10,"")</f>
        <v>3.6871799999999997</v>
      </c>
      <c r="G44" s="61">
        <f>IF(FT!B44&lt;&gt;"",FT!B44*100,"")</f>
        <v>34.243600000000001</v>
      </c>
      <c r="H44" s="61">
        <f t="shared" si="1"/>
        <v>1</v>
      </c>
      <c r="I44" t="str">
        <f>IF(FT!B44&lt;&gt;"",FT!E44,"")</f>
        <v>1 [17.062150]</v>
      </c>
      <c r="J44">
        <f>IF(FT!B44&lt;&gt;"",FT!C44,"")</f>
        <v>17.062100000000001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3.6756899999999999</v>
      </c>
      <c r="G45" s="61">
        <f>IF(FT!B45&lt;&gt;"",FT!B45*100,"")</f>
        <v>34.438499999999998</v>
      </c>
      <c r="H45" s="61">
        <f t="shared" si="1"/>
        <v>1</v>
      </c>
      <c r="I45" t="str">
        <f>IF(FT!B45&lt;&gt;"",FT!E45,"")</f>
        <v>1 [17.465290]</v>
      </c>
      <c r="J45">
        <f>IF(FT!B45&lt;&gt;"",FT!C45,"")</f>
        <v>17.465299999999999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117357</v>
      </c>
      <c r="D46" s="61">
        <f>FH!B46*1</f>
        <v>117357</v>
      </c>
      <c r="E46">
        <f t="shared" si="3"/>
        <v>44</v>
      </c>
      <c r="F46" s="61">
        <f>IF(FT!A46&lt;&gt;"",FT!A46*10,"")</f>
        <v>3.66242</v>
      </c>
      <c r="G46" s="61">
        <f>IF(FT!B46&lt;&gt;"",FT!B46*100,"")</f>
        <v>34.533900000000003</v>
      </c>
      <c r="H46" s="61">
        <f t="shared" si="1"/>
        <v>1</v>
      </c>
      <c r="I46" t="str">
        <f>IF(FT!B46&lt;&gt;"",FT!E46,"")</f>
        <v>1 [17.873077]</v>
      </c>
      <c r="J46">
        <f>IF(FT!B46&lt;&gt;"",FT!C46,"")</f>
        <v>17.873100000000001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3.6479900000000001</v>
      </c>
      <c r="G47" s="61">
        <f>IF(FT!B47&lt;&gt;"",FT!B47*100,"")</f>
        <v>34.526699999999998</v>
      </c>
      <c r="H47" s="61">
        <f t="shared" si="1"/>
        <v>1</v>
      </c>
      <c r="I47" t="str">
        <f>IF(FT!B47&lt;&gt;"",FT!E47,"")</f>
        <v>1 [18.279215]</v>
      </c>
      <c r="J47">
        <f>IF(FT!B47&lt;&gt;"",FT!C47,"")</f>
        <v>18.279199999999999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3.6324299999999998</v>
      </c>
      <c r="G48" s="61">
        <f>IF(FT!B48&lt;&gt;"",FT!B48*100,"")</f>
        <v>34.449800000000003</v>
      </c>
      <c r="H48" s="61">
        <f t="shared" si="1"/>
        <v>1</v>
      </c>
      <c r="I48" t="str">
        <f>IF(FT!B48&lt;&gt;"",FT!E48,"")</f>
        <v>1 [18.682038]</v>
      </c>
      <c r="J48">
        <f>IF(FT!B48&lt;&gt;"",FT!C48,"")</f>
        <v>18.681999999999999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140780</v>
      </c>
      <c r="D49" s="61">
        <f>FH!B49*1</f>
        <v>140780</v>
      </c>
      <c r="E49">
        <f t="shared" si="3"/>
        <v>47</v>
      </c>
      <c r="F49" s="61">
        <f>IF(FT!A49&lt;&gt;"",FT!A49*10,"")</f>
        <v>3.6170299999999997</v>
      </c>
      <c r="G49" s="61">
        <f>IF(FT!B49&lt;&gt;"",FT!B49*100,"")</f>
        <v>34.384100000000004</v>
      </c>
      <c r="H49" s="61">
        <f t="shared" si="1"/>
        <v>1</v>
      </c>
      <c r="I49" t="str">
        <f>IF(FT!B49&lt;&gt;"",FT!E49,"")</f>
        <v>1 [19.093169]</v>
      </c>
      <c r="J49">
        <f>IF(FT!B49&lt;&gt;"",FT!C49,"")</f>
        <v>19.0932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3.60284</v>
      </c>
      <c r="G50" s="61">
        <f>IF(FT!B50&lt;&gt;"",FT!B50*100,"")</f>
        <v>34.266999999999996</v>
      </c>
      <c r="H50" s="61">
        <f t="shared" si="1"/>
        <v>1</v>
      </c>
      <c r="I50" t="str">
        <f>IF(FT!B50&lt;&gt;"",FT!E50,"")</f>
        <v>1 [19.499000]</v>
      </c>
      <c r="J50">
        <f>IF(FT!B50&lt;&gt;"",FT!C50,"")</f>
        <v>19.498999999999999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154506</v>
      </c>
      <c r="D51" s="61">
        <f>FH!B51*1</f>
        <v>154506</v>
      </c>
      <c r="E51">
        <f t="shared" si="3"/>
        <v>49</v>
      </c>
      <c r="F51" s="61">
        <f>IF(FT!A51&lt;&gt;"",FT!A51*10,"")</f>
        <v>3.5855300000000003</v>
      </c>
      <c r="G51" s="61">
        <f>IF(FT!B51&lt;&gt;"",FT!B51*100,"")</f>
        <v>34.125299999999996</v>
      </c>
      <c r="H51" s="61">
        <f t="shared" si="1"/>
        <v>1</v>
      </c>
      <c r="I51" t="str">
        <f>IF(FT!B51&lt;&gt;"",FT!E51,"")</f>
        <v>1 [19.904804]</v>
      </c>
      <c r="J51">
        <f>IF(FT!B51&lt;&gt;"",FT!C51,"")</f>
        <v>19.904800000000002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3.5725199999999999</v>
      </c>
      <c r="G52" s="61">
        <f>IF(FT!B52&lt;&gt;"",FT!B52*100,"")</f>
        <v>34.037599999999998</v>
      </c>
      <c r="H52" s="61">
        <f t="shared" si="1"/>
        <v>1</v>
      </c>
      <c r="I52" t="str">
        <f>IF(FT!B52&lt;&gt;"",FT!E52,"")</f>
        <v>1 [20.309733]</v>
      </c>
      <c r="J52">
        <f>IF(FT!B52&lt;&gt;"",FT!C52,"")</f>
        <v>20.309699999999999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3.5517399999999997</v>
      </c>
      <c r="G53" s="61">
        <f>IF(FT!B53&lt;&gt;"",FT!B53*100,"")</f>
        <v>33.803899999999999</v>
      </c>
      <c r="H53" s="61">
        <f t="shared" si="1"/>
        <v>1</v>
      </c>
      <c r="I53" t="str">
        <f>IF(FT!B53&lt;&gt;"",FT!E53,"")</f>
        <v>1 [20.716433]</v>
      </c>
      <c r="J53">
        <f>IF(FT!B53&lt;&gt;"",FT!C53,"")</f>
        <v>20.7164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168279</v>
      </c>
      <c r="D54" s="61">
        <f>FH!B54*1</f>
        <v>168279</v>
      </c>
      <c r="E54">
        <f t="shared" si="3"/>
        <v>52</v>
      </c>
      <c r="F54" s="61">
        <f>IF(FT!A54&lt;&gt;"",FT!A54*10,"")</f>
        <v>3.5286600000000004</v>
      </c>
      <c r="G54" s="61">
        <f>IF(FT!B54&lt;&gt;"",FT!B54*100,"")</f>
        <v>33.580399999999997</v>
      </c>
      <c r="H54" s="61">
        <f t="shared" si="1"/>
        <v>1</v>
      </c>
      <c r="I54" t="str">
        <f>IF(FT!B54&lt;&gt;"",FT!E54,"")</f>
        <v>1 [21.121200]</v>
      </c>
      <c r="J54">
        <f>IF(FT!B54&lt;&gt;"",FT!C54,"")</f>
        <v>21.121200000000002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3.4965600000000001</v>
      </c>
      <c r="G55" s="61">
        <f>IF(FT!B55&lt;&gt;"",FT!B55*100,"")</f>
        <v>33.3095</v>
      </c>
      <c r="H55" s="61">
        <f t="shared" si="1"/>
        <v>1</v>
      </c>
      <c r="I55" t="str">
        <f>IF(FT!B55&lt;&gt;"",FT!E55,"")</f>
        <v>1 [21.530323]</v>
      </c>
      <c r="J55">
        <f>IF(FT!B55&lt;&gt;"",FT!C55,"")</f>
        <v>21.5303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3.4767999999999999</v>
      </c>
      <c r="G56" s="61">
        <f>IF(FT!B56&lt;&gt;"",FT!B56*100,"")</f>
        <v>33.289699999999996</v>
      </c>
      <c r="H56" s="61">
        <f t="shared" si="1"/>
        <v>1</v>
      </c>
      <c r="I56" t="str">
        <f>IF(FT!B56&lt;&gt;"",FT!E56,"")</f>
        <v>1 [21.935751]</v>
      </c>
      <c r="J56">
        <f>IF(FT!B56&lt;&gt;"",FT!C56,"")</f>
        <v>21.9358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170718</v>
      </c>
      <c r="D57" s="61">
        <f>FH!B57*1</f>
        <v>170718</v>
      </c>
      <c r="E57">
        <f t="shared" si="3"/>
        <v>55</v>
      </c>
      <c r="F57" s="61">
        <f>IF(FT!A57&lt;&gt;"",FT!A57*10,"")</f>
        <v>3.4492000000000003</v>
      </c>
      <c r="G57" s="61">
        <f>IF(FT!B57&lt;&gt;"",FT!B57*100,"")</f>
        <v>33.247399999999999</v>
      </c>
      <c r="H57" s="61">
        <f t="shared" si="1"/>
        <v>1</v>
      </c>
      <c r="I57" t="str">
        <f>IF(FT!B57&lt;&gt;"",FT!E57,"")</f>
        <v>1 [22.339791]</v>
      </c>
      <c r="J57">
        <f>IF(FT!B57&lt;&gt;"",FT!C57,"")</f>
        <v>22.3398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3.4179599999999999</v>
      </c>
      <c r="G58" s="61">
        <f>IF(FT!B58&lt;&gt;"",FT!B58*100,"")</f>
        <v>33.144600000000004</v>
      </c>
      <c r="H58" s="61">
        <f t="shared" si="1"/>
        <v>1</v>
      </c>
      <c r="I58" t="str">
        <f>IF(FT!B58&lt;&gt;"",FT!E58,"")</f>
        <v>1 [22.748693]</v>
      </c>
      <c r="J58">
        <f>IF(FT!B58&lt;&gt;"",FT!C58,"")</f>
        <v>22.748699999999999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193206</v>
      </c>
      <c r="D59" s="61">
        <f>FH!B59*1</f>
        <v>193206</v>
      </c>
      <c r="E59">
        <f t="shared" si="3"/>
        <v>57</v>
      </c>
      <c r="F59" s="61">
        <f>IF(FT!A59&lt;&gt;"",FT!A59*10,"")</f>
        <v>3.3971800000000001</v>
      </c>
      <c r="G59" s="61">
        <f>IF(FT!B59&lt;&gt;"",FT!B59*100,"")</f>
        <v>33.134500000000003</v>
      </c>
      <c r="H59" s="61">
        <f t="shared" si="1"/>
        <v>1</v>
      </c>
      <c r="I59" t="str">
        <f>IF(FT!B59&lt;&gt;"",FT!E59,"")</f>
        <v>1 [23.156312]</v>
      </c>
      <c r="J59">
        <f>IF(FT!B59&lt;&gt;"",FT!C59,"")</f>
        <v>23.156300000000002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3.3726499999999997</v>
      </c>
      <c r="G60" s="61">
        <f>IF(FT!B60&lt;&gt;"",FT!B60*100,"")</f>
        <v>33.008800000000001</v>
      </c>
      <c r="H60" s="61">
        <f t="shared" si="1"/>
        <v>1</v>
      </c>
      <c r="I60" t="str">
        <f>IF(FT!B60&lt;&gt;"",FT!E60,"")</f>
        <v>1 [23.560985]</v>
      </c>
      <c r="J60">
        <f>IF(FT!B60&lt;&gt;"",FT!C60,"")</f>
        <v>23.561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3.3515299999999999</v>
      </c>
      <c r="G61" s="61">
        <f>IF(FT!B61&lt;&gt;"",FT!B61*100,"")</f>
        <v>32.786200000000001</v>
      </c>
      <c r="H61" s="61">
        <f t="shared" si="1"/>
        <v>1</v>
      </c>
      <c r="I61" t="str">
        <f>IF(FT!B61&lt;&gt;"",FT!E61,"")</f>
        <v>1 [23.968445]</v>
      </c>
      <c r="J61">
        <f>IF(FT!B61&lt;&gt;"",FT!C61,"")</f>
        <v>23.968399999999999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201260</v>
      </c>
      <c r="D62" s="61">
        <f>FH!B62*1</f>
        <v>201260</v>
      </c>
      <c r="E62">
        <f t="shared" si="3"/>
        <v>60</v>
      </c>
      <c r="F62" s="61">
        <f>IF(FT!A62&lt;&gt;"",FT!A62*10,"")</f>
        <v>3.33786</v>
      </c>
      <c r="G62" s="61">
        <f>IF(FT!B62&lt;&gt;"",FT!B62*100,"")</f>
        <v>32.691099999999999</v>
      </c>
      <c r="H62" s="61">
        <f t="shared" si="1"/>
        <v>1</v>
      </c>
      <c r="I62" t="str">
        <f>IF(FT!B62&lt;&gt;"",FT!E62,"")</f>
        <v>1 [24.374147]</v>
      </c>
      <c r="J62">
        <f>IF(FT!B62&lt;&gt;"",FT!C62,"")</f>
        <v>24.374099999999999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3.3271899999999999</v>
      </c>
      <c r="G63" s="61">
        <f>IF(FT!B63&lt;&gt;"",FT!B63*100,"")</f>
        <v>32.5961</v>
      </c>
      <c r="H63" s="61">
        <f t="shared" si="1"/>
        <v>1</v>
      </c>
      <c r="I63" t="str">
        <f>IF(FT!B63&lt;&gt;"",FT!E63,"")</f>
        <v>1 [24.776650]</v>
      </c>
      <c r="J63">
        <f>IF(FT!B63&lt;&gt;"",FT!C63,"")</f>
        <v>24.776700000000002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205239</v>
      </c>
      <c r="D64" s="61">
        <f>FH!B64*1</f>
        <v>205239</v>
      </c>
      <c r="E64">
        <f t="shared" si="3"/>
        <v>62</v>
      </c>
      <c r="F64" s="61">
        <f>IF(FT!A64&lt;&gt;"",FT!A64*10,"")</f>
        <v>3.3203899999999997</v>
      </c>
      <c r="G64" s="61">
        <f>IF(FT!B64&lt;&gt;"",FT!B64*100,"")</f>
        <v>32.753900000000002</v>
      </c>
      <c r="H64" s="61">
        <f t="shared" si="1"/>
        <v>1</v>
      </c>
      <c r="I64" t="str">
        <f>IF(FT!B64&lt;&gt;"",FT!E64,"")</f>
        <v>1 [25.185913]</v>
      </c>
      <c r="J64">
        <f>IF(FT!B64&lt;&gt;"",FT!C64,"")</f>
        <v>25.1859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3.3147900000000003</v>
      </c>
      <c r="G65" s="61">
        <f>IF(FT!B65&lt;&gt;"",FT!B65*100,"")</f>
        <v>32.908200000000001</v>
      </c>
      <c r="H65" s="61">
        <f t="shared" si="1"/>
        <v>1</v>
      </c>
      <c r="I65" t="str">
        <f>IF(FT!B65&lt;&gt;"",FT!E65,"")</f>
        <v>1 [25.593497]</v>
      </c>
      <c r="J65">
        <f>IF(FT!B65&lt;&gt;"",FT!C65,"")</f>
        <v>25.593499999999999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3.3079799999999997</v>
      </c>
      <c r="G66" s="61">
        <f>IF(FT!B66&lt;&gt;"",FT!B66*100,"")</f>
        <v>33.128099999999996</v>
      </c>
      <c r="H66" s="61">
        <f t="shared" si="1"/>
        <v>1</v>
      </c>
      <c r="I66" t="str">
        <f>IF(FT!B66&lt;&gt;"",FT!E66,"")</f>
        <v>1 [26.000451]</v>
      </c>
      <c r="J66">
        <f>IF(FT!B66&lt;&gt;"",FT!C66,"")</f>
        <v>26.000499999999999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200174</v>
      </c>
      <c r="D67" s="61">
        <f>FH!B67*1</f>
        <v>200174</v>
      </c>
      <c r="E67">
        <f t="shared" si="3"/>
        <v>65</v>
      </c>
      <c r="F67" s="61">
        <f>IF(FT!A67&lt;&gt;"",FT!A67*10,"")</f>
        <v>3.2999400000000003</v>
      </c>
      <c r="G67" s="61">
        <f>IF(FT!B67&lt;&gt;"",FT!B67*100,"")</f>
        <v>33.352800000000002</v>
      </c>
      <c r="H67" s="61">
        <f t="shared" ref="H67:H130" si="9">(IF(F67&lt;&gt;"",1,""))</f>
        <v>1</v>
      </c>
      <c r="I67" t="str">
        <f>IF(FT!B67&lt;&gt;"",FT!E67,"")</f>
        <v>1 [26.404365]</v>
      </c>
      <c r="J67">
        <f>IF(FT!B67&lt;&gt;"",FT!C67,"")</f>
        <v>26.404399999999999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3.2933600000000003</v>
      </c>
      <c r="G68" s="61">
        <f>IF(FT!B68&lt;&gt;"",FT!B68*100,"")</f>
        <v>33.407599999999995</v>
      </c>
      <c r="H68" s="61">
        <f t="shared" si="9"/>
        <v>1</v>
      </c>
      <c r="I68" t="str">
        <f>IF(FT!B68&lt;&gt;"",FT!E68,"")</f>
        <v>1 [26.807056]</v>
      </c>
      <c r="J68">
        <f>IF(FT!B68&lt;&gt;"",FT!C68,"")</f>
        <v>26.807099999999998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214188</v>
      </c>
      <c r="D69" s="61">
        <f>FH!B69*1</f>
        <v>214188</v>
      </c>
      <c r="E69">
        <f t="shared" si="11"/>
        <v>67</v>
      </c>
      <c r="F69" s="61">
        <f>IF(FT!A69&lt;&gt;"",FT!A69*10,"")</f>
        <v>3.2862</v>
      </c>
      <c r="G69" s="61">
        <f>IF(FT!B69&lt;&gt;"",FT!B69*100,"")</f>
        <v>33.622</v>
      </c>
      <c r="H69" s="61">
        <f t="shared" si="9"/>
        <v>1</v>
      </c>
      <c r="I69" t="str">
        <f>IF(FT!B69&lt;&gt;"",FT!E69,"")</f>
        <v>1 [27.213208]</v>
      </c>
      <c r="J69">
        <f>IF(FT!B69&lt;&gt;"",FT!C69,"")</f>
        <v>27.213200000000001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3.2782400000000003</v>
      </c>
      <c r="G70" s="61">
        <f>IF(FT!B70&lt;&gt;"",FT!B70*100,"")</f>
        <v>34.070299999999996</v>
      </c>
      <c r="H70" s="61">
        <f t="shared" si="9"/>
        <v>1</v>
      </c>
      <c r="I70" t="str">
        <f>IF(FT!B70&lt;&gt;"",FT!E70,"")</f>
        <v>1 [27.624904]</v>
      </c>
      <c r="J70">
        <f>IF(FT!B70&lt;&gt;"",FT!C70,"")</f>
        <v>27.6249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3.27115</v>
      </c>
      <c r="G71" s="61">
        <f>IF(FT!B71&lt;&gt;"",FT!B71*100,"")</f>
        <v>34.391199999999998</v>
      </c>
      <c r="H71" s="61">
        <f t="shared" si="9"/>
        <v>1</v>
      </c>
      <c r="I71" t="str">
        <f>IF(FT!B71&lt;&gt;"",FT!E71,"")</f>
        <v>1 [28.030050]</v>
      </c>
      <c r="J71">
        <f>IF(FT!B71&lt;&gt;"",FT!C71,"")</f>
        <v>28.030100000000001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222567</v>
      </c>
      <c r="D72" s="61">
        <f>FH!B72*1</f>
        <v>222567</v>
      </c>
      <c r="E72">
        <f t="shared" si="11"/>
        <v>70</v>
      </c>
      <c r="F72" s="61">
        <f>IF(FT!A72&lt;&gt;"",FT!A72*10,"")</f>
        <v>3.2638699999999998</v>
      </c>
      <c r="G72" s="61">
        <f>IF(FT!B72&lt;&gt;"",FT!B72*100,"")</f>
        <v>34.775800000000004</v>
      </c>
      <c r="H72" s="61">
        <f t="shared" si="9"/>
        <v>1</v>
      </c>
      <c r="I72" t="str">
        <f>IF(FT!B72&lt;&gt;"",FT!E72,"")</f>
        <v>1 [28.437633]</v>
      </c>
      <c r="J72">
        <f>IF(FT!B72&lt;&gt;"",FT!C72,"")</f>
        <v>28.4376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3.2600899999999999</v>
      </c>
      <c r="G73" s="61">
        <f>IF(FT!B73&lt;&gt;"",FT!B73*100,"")</f>
        <v>35.041800000000002</v>
      </c>
      <c r="H73" s="61">
        <f t="shared" si="9"/>
        <v>1</v>
      </c>
      <c r="I73" t="str">
        <f>IF(FT!B73&lt;&gt;"",FT!E73,"")</f>
        <v>1 [28.840037]</v>
      </c>
      <c r="J73">
        <f>IF(FT!B73&lt;&gt;"",FT!C73,"")</f>
        <v>28.84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3.2553199999999998</v>
      </c>
      <c r="G74" s="61">
        <f>IF(FT!B74&lt;&gt;"",FT!B74*100,"")</f>
        <v>35.6188</v>
      </c>
      <c r="H74" s="61">
        <f t="shared" si="9"/>
        <v>1</v>
      </c>
      <c r="I74" t="str">
        <f>IF(FT!B74&lt;&gt;"",FT!E74,"")</f>
        <v>1 [29.247462]</v>
      </c>
      <c r="J74">
        <f>IF(FT!B74&lt;&gt;"",FT!C74,"")</f>
        <v>29.247499999999999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217201</v>
      </c>
      <c r="D75" s="61">
        <f>FH!B75*1</f>
        <v>217201</v>
      </c>
      <c r="E75">
        <f t="shared" si="11"/>
        <v>73</v>
      </c>
      <c r="F75" s="61">
        <f>IF(FT!A75&lt;&gt;"",FT!A75*10,"")</f>
        <v>3.2515699999999996</v>
      </c>
      <c r="G75" s="61">
        <f>IF(FT!B75&lt;&gt;"",FT!B75*100,"")</f>
        <v>35.961500000000001</v>
      </c>
      <c r="H75" s="61">
        <f t="shared" si="9"/>
        <v>1</v>
      </c>
      <c r="I75" t="str">
        <f>IF(FT!B75&lt;&gt;"",FT!E75,"")</f>
        <v>1 [29.654409]</v>
      </c>
      <c r="J75">
        <f>IF(FT!B75&lt;&gt;"",FT!C75,"")</f>
        <v>29.654399999999999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3.2519100000000001</v>
      </c>
      <c r="G76" s="61">
        <f>IF(FT!B76&lt;&gt;"",FT!B76*100,"")</f>
        <v>36.591200000000001</v>
      </c>
      <c r="H76" s="61">
        <f t="shared" si="9"/>
        <v>1</v>
      </c>
      <c r="I76" t="str">
        <f>IF(FT!B76&lt;&gt;"",FT!E76,"")</f>
        <v>2 [30.061578]</v>
      </c>
      <c r="J76">
        <f>IF(FT!B76&lt;&gt;"",FT!C76,"")</f>
        <v>30.061599999999999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231946</v>
      </c>
      <c r="D77" s="61">
        <f>FH!B77*1</f>
        <v>231946</v>
      </c>
      <c r="E77">
        <f t="shared" si="11"/>
        <v>75</v>
      </c>
      <c r="F77" s="61">
        <f>IF(FT!A77&lt;&gt;"",FT!A77*10,"")</f>
        <v>3.2526699999999997</v>
      </c>
      <c r="G77" s="61">
        <f>IF(FT!B77&lt;&gt;"",FT!B77*100,"")</f>
        <v>37.155500000000004</v>
      </c>
      <c r="H77" s="61">
        <f t="shared" si="9"/>
        <v>1</v>
      </c>
      <c r="I77" t="str">
        <f>IF(FT!B77&lt;&gt;"",FT!E77,"")</f>
        <v>2 [30.527307]</v>
      </c>
      <c r="J77">
        <f>IF(FT!B77&lt;&gt;"",FT!C77,"")</f>
        <v>30.5273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3.2538299999999998</v>
      </c>
      <c r="G78" s="61">
        <f>IF(FT!B78&lt;&gt;"",FT!B78*100,"")</f>
        <v>37.737400000000001</v>
      </c>
      <c r="H78" s="61">
        <f t="shared" si="9"/>
        <v>1</v>
      </c>
      <c r="I78" t="str">
        <f>IF(FT!B78&lt;&gt;"",FT!E78,"")</f>
        <v>2 [30.935099]</v>
      </c>
      <c r="J78">
        <f>IF(FT!B78&lt;&gt;"",FT!C78,"")</f>
        <v>30.935099999999998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3.2570399999999999</v>
      </c>
      <c r="G79" s="61">
        <f>IF(FT!B79&lt;&gt;"",FT!B79*100,"")</f>
        <v>38.303100000000001</v>
      </c>
      <c r="H79" s="61">
        <f t="shared" si="9"/>
        <v>1</v>
      </c>
      <c r="I79" t="str">
        <f>IF(FT!B79&lt;&gt;"",FT!E79,"")</f>
        <v>2 [31.339482]</v>
      </c>
      <c r="J79">
        <f>IF(FT!B79&lt;&gt;"",FT!C79,"")</f>
        <v>31.339500000000001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224108</v>
      </c>
      <c r="D80" s="61">
        <f>FH!B80*1</f>
        <v>224108</v>
      </c>
      <c r="E80">
        <f t="shared" si="11"/>
        <v>78</v>
      </c>
      <c r="F80" s="61">
        <f>IF(FT!A80&lt;&gt;"",FT!A80*10,"")</f>
        <v>3.2627899999999999</v>
      </c>
      <c r="G80" s="61">
        <f>IF(FT!B80&lt;&gt;"",FT!B80*100,"")</f>
        <v>38.7712</v>
      </c>
      <c r="H80" s="61">
        <f t="shared" si="9"/>
        <v>1</v>
      </c>
      <c r="I80" t="str">
        <f>IF(FT!B80&lt;&gt;"",FT!E80,"")</f>
        <v>2 [31.733092]</v>
      </c>
      <c r="J80">
        <f>IF(FT!B80&lt;&gt;"",FT!C80,"")</f>
        <v>31.7331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3.2713900000000002</v>
      </c>
      <c r="G81" s="61">
        <f>IF(FT!B81&lt;&gt;"",FT!B81*100,"")</f>
        <v>39.159799999999997</v>
      </c>
      <c r="H81" s="61">
        <f t="shared" si="9"/>
        <v>1</v>
      </c>
      <c r="I81" t="str">
        <f>IF(FT!B81&lt;&gt;"",FT!E81,"")</f>
        <v>2 [32.137233]</v>
      </c>
      <c r="J81">
        <f>IF(FT!B81&lt;&gt;"",FT!C81,"")</f>
        <v>32.1372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224104</v>
      </c>
      <c r="D82" s="61">
        <f>FH!B82*1</f>
        <v>224104</v>
      </c>
      <c r="E82">
        <f t="shared" si="11"/>
        <v>80</v>
      </c>
      <c r="F82" s="61">
        <f>IF(FT!A82&lt;&gt;"",FT!A82*10,"")</f>
        <v>3.2804600000000002</v>
      </c>
      <c r="G82" s="61">
        <f>IF(FT!B82&lt;&gt;"",FT!B82*100,"")</f>
        <v>39.528400000000005</v>
      </c>
      <c r="H82" s="61">
        <f t="shared" si="9"/>
        <v>1</v>
      </c>
      <c r="I82" t="str">
        <f>IF(FT!B82&lt;&gt;"",FT!E82,"")</f>
        <v>2 [32.541600]</v>
      </c>
      <c r="J82">
        <f>IF(FT!B82&lt;&gt;"",FT!C82,"")</f>
        <v>32.541600000000003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3.2898500000000004</v>
      </c>
      <c r="G83" s="61">
        <f>IF(FT!B83&lt;&gt;"",FT!B83*100,"")</f>
        <v>39.884500000000003</v>
      </c>
      <c r="H83" s="61">
        <f t="shared" si="9"/>
        <v>1</v>
      </c>
      <c r="I83" t="str">
        <f>IF(FT!B83&lt;&gt;"",FT!E83,"")</f>
        <v>2 [32.950253]</v>
      </c>
      <c r="J83">
        <f>IF(FT!B83&lt;&gt;"",FT!C83,"")</f>
        <v>32.950299999999999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3.3012700000000001</v>
      </c>
      <c r="G84" s="61">
        <f>IF(FT!B84&lt;&gt;"",FT!B84*100,"")</f>
        <v>40.186899999999994</v>
      </c>
      <c r="H84" s="61">
        <f t="shared" si="9"/>
        <v>1</v>
      </c>
      <c r="I84" t="str">
        <f>IF(FT!B84&lt;&gt;"",FT!E84,"")</f>
        <v>2 [33.356712]</v>
      </c>
      <c r="J84">
        <f>IF(FT!B84&lt;&gt;"",FT!C84,"")</f>
        <v>33.356699999999996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216763</v>
      </c>
      <c r="D85" s="61">
        <f>FH!B85*1</f>
        <v>216763</v>
      </c>
      <c r="E85">
        <f t="shared" si="11"/>
        <v>83</v>
      </c>
      <c r="F85" s="61">
        <f>IF(FT!A85&lt;&gt;"",FT!A85*10,"")</f>
        <v>3.31203</v>
      </c>
      <c r="G85" s="61">
        <f>IF(FT!B85&lt;&gt;"",FT!B85*100,"")</f>
        <v>40.494400000000006</v>
      </c>
      <c r="H85" s="61">
        <f t="shared" si="9"/>
        <v>1</v>
      </c>
      <c r="I85" t="str">
        <f>IF(FT!B85&lt;&gt;"",FT!E85,"")</f>
        <v>2 [33.762235]</v>
      </c>
      <c r="J85">
        <f>IF(FT!B85&lt;&gt;"",FT!C85,"")</f>
        <v>33.7622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3.3204400000000001</v>
      </c>
      <c r="G86" s="61">
        <f>IF(FT!B86&lt;&gt;"",FT!B86*100,"")</f>
        <v>40.758499999999998</v>
      </c>
      <c r="H86" s="61">
        <f t="shared" si="9"/>
        <v>1</v>
      </c>
      <c r="I86" t="str">
        <f>IF(FT!B86&lt;&gt;"",FT!E86,"")</f>
        <v>2 [34.170956]</v>
      </c>
      <c r="J86">
        <f>IF(FT!B86&lt;&gt;"",FT!C86,"")</f>
        <v>34.170999999999999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3.3279399999999999</v>
      </c>
      <c r="G87" s="61">
        <f>IF(FT!B87&lt;&gt;"",FT!B87*100,"")</f>
        <v>40.920400000000001</v>
      </c>
      <c r="H87" s="61">
        <f t="shared" si="9"/>
        <v>1</v>
      </c>
      <c r="I87" t="str">
        <f>IF(FT!B87&lt;&gt;"",FT!E87,"")</f>
        <v>2 [34.574809]</v>
      </c>
      <c r="J87">
        <f>IF(FT!B87&lt;&gt;"",FT!C87,"")</f>
        <v>34.574800000000003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216549</v>
      </c>
      <c r="D88" s="61">
        <f>FH!B88*1</f>
        <v>216549</v>
      </c>
      <c r="E88">
        <f t="shared" si="11"/>
        <v>86</v>
      </c>
      <c r="F88" s="61">
        <f>IF(FT!A88&lt;&gt;"",FT!A88*10,"")</f>
        <v>3.3344100000000001</v>
      </c>
      <c r="G88" s="61">
        <f>IF(FT!B88&lt;&gt;"",FT!B88*100,"")</f>
        <v>40.957700000000003</v>
      </c>
      <c r="H88" s="61">
        <f t="shared" si="9"/>
        <v>1</v>
      </c>
      <c r="I88" t="str">
        <f>IF(FT!B88&lt;&gt;"",FT!E88,"")</f>
        <v>2 [34.982076]</v>
      </c>
      <c r="J88">
        <f>IF(FT!B88&lt;&gt;"",FT!C88,"")</f>
        <v>34.982100000000003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3.3425400000000001</v>
      </c>
      <c r="G89" s="61">
        <f>IF(FT!B89&lt;&gt;"",FT!B89*100,"")</f>
        <v>40.7911</v>
      </c>
      <c r="H89" s="61">
        <f t="shared" si="9"/>
        <v>1</v>
      </c>
      <c r="I89" t="str">
        <f>IF(FT!B89&lt;&gt;"",FT!E89,"")</f>
        <v>2 [35.387771]</v>
      </c>
      <c r="J89">
        <f>IF(FT!B89&lt;&gt;"",FT!C89,"")</f>
        <v>35.387799999999999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209129</v>
      </c>
      <c r="D90" s="61">
        <f>FH!B90*1</f>
        <v>209129</v>
      </c>
      <c r="E90">
        <f t="shared" si="11"/>
        <v>88</v>
      </c>
      <c r="F90" s="61">
        <f>IF(FT!A90&lt;&gt;"",FT!A90*10,"")</f>
        <v>3.3513900000000003</v>
      </c>
      <c r="G90" s="61">
        <f>IF(FT!B90&lt;&gt;"",FT!B90*100,"")</f>
        <v>40.475100000000005</v>
      </c>
      <c r="H90" s="61">
        <f t="shared" si="9"/>
        <v>1</v>
      </c>
      <c r="I90" t="str">
        <f>IF(FT!B90&lt;&gt;"",FT!E90,"")</f>
        <v>2 [35.798102]</v>
      </c>
      <c r="J90">
        <f>IF(FT!B90&lt;&gt;"",FT!C90,"")</f>
        <v>35.798099999999998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3.3613599999999999</v>
      </c>
      <c r="G91" s="61">
        <f>IF(FT!B91&lt;&gt;"",FT!B91*100,"")</f>
        <v>40.176899999999996</v>
      </c>
      <c r="H91" s="61">
        <f t="shared" si="9"/>
        <v>1</v>
      </c>
      <c r="I91" t="str">
        <f>IF(FT!B91&lt;&gt;"",FT!E91,"")</f>
        <v>2 [36.202915]</v>
      </c>
      <c r="J91">
        <f>IF(FT!B91&lt;&gt;"",FT!C91,"")</f>
        <v>36.2029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3.3729100000000001</v>
      </c>
      <c r="G92" s="61">
        <f>IF(FT!B92&lt;&gt;"",FT!B92*100,"")</f>
        <v>39.801199999999994</v>
      </c>
      <c r="H92" s="61">
        <f t="shared" si="9"/>
        <v>1</v>
      </c>
      <c r="I92" t="str">
        <f>IF(FT!B92&lt;&gt;"",FT!E92,"")</f>
        <v>2 [36.607061]</v>
      </c>
      <c r="J92">
        <f>IF(FT!B92&lt;&gt;"",FT!C92,"")</f>
        <v>36.607100000000003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198246</v>
      </c>
      <c r="D93" s="61">
        <f>FH!B93*1</f>
        <v>198246</v>
      </c>
      <c r="E93">
        <f t="shared" si="11"/>
        <v>91</v>
      </c>
      <c r="F93" s="61">
        <f>IF(FT!A93&lt;&gt;"",FT!A93*10,"")</f>
        <v>3.38645</v>
      </c>
      <c r="G93" s="61">
        <f>IF(FT!B93&lt;&gt;"",FT!B93*100,"")</f>
        <v>39.357799999999997</v>
      </c>
      <c r="H93" s="61">
        <f t="shared" si="9"/>
        <v>1</v>
      </c>
      <c r="I93" t="str">
        <f>IF(FT!B93&lt;&gt;"",FT!E93,"")</f>
        <v>2 [37.011789]</v>
      </c>
      <c r="J93">
        <f>IF(FT!B93&lt;&gt;"",FT!C93,"")</f>
        <v>37.011800000000001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3.4022799999999997</v>
      </c>
      <c r="G94" s="61">
        <f>IF(FT!B94&lt;&gt;"",FT!B94*100,"")</f>
        <v>38.878099999999996</v>
      </c>
      <c r="H94" s="61">
        <f t="shared" si="9"/>
        <v>1</v>
      </c>
      <c r="I94" t="str">
        <f>IF(FT!B94&lt;&gt;"",FT!E94,"")</f>
        <v>2 [37.418508]</v>
      </c>
      <c r="J94">
        <f>IF(FT!B94&lt;&gt;"",FT!C94,"")</f>
        <v>37.418500000000002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212963</v>
      </c>
      <c r="D95" s="61">
        <f>FH!B95*1</f>
        <v>212963</v>
      </c>
      <c r="E95">
        <f t="shared" si="11"/>
        <v>93</v>
      </c>
      <c r="F95" s="61">
        <f>IF(FT!A95&lt;&gt;"",FT!A95*10,"")</f>
        <v>3.4203299999999999</v>
      </c>
      <c r="G95" s="61">
        <f>IF(FT!B95&lt;&gt;"",FT!B95*100,"")</f>
        <v>38.350200000000001</v>
      </c>
      <c r="H95" s="61">
        <f t="shared" si="9"/>
        <v>1</v>
      </c>
      <c r="I95" t="str">
        <f>IF(FT!B95&lt;&gt;"",FT!E95,"")</f>
        <v>2 [37.824065]</v>
      </c>
      <c r="J95">
        <f>IF(FT!B95&lt;&gt;"",FT!C95,"")</f>
        <v>37.824100000000001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3.4375200000000001</v>
      </c>
      <c r="G96" s="61">
        <f>IF(FT!B96&lt;&gt;"",FT!B96*100,"")</f>
        <v>37.880299999999998</v>
      </c>
      <c r="H96" s="61">
        <f t="shared" si="9"/>
        <v>1</v>
      </c>
      <c r="I96" t="str">
        <f>IF(FT!B96&lt;&gt;"",FT!E96,"")</f>
        <v>2 [38.231796]</v>
      </c>
      <c r="J96">
        <f>IF(FT!B96&lt;&gt;"",FT!C96,"")</f>
        <v>38.2318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3.4554600000000004</v>
      </c>
      <c r="G97" s="61">
        <f>IF(FT!B97&lt;&gt;"",FT!B97*100,"")</f>
        <v>37.433</v>
      </c>
      <c r="H97" s="61">
        <f t="shared" si="9"/>
        <v>1</v>
      </c>
      <c r="I97" t="str">
        <f>IF(FT!B97&lt;&gt;"",FT!E97,"")</f>
        <v>2 [38.640018]</v>
      </c>
      <c r="J97">
        <f>IF(FT!B97&lt;&gt;"",FT!C97,"")</f>
        <v>38.64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209037</v>
      </c>
      <c r="D98" s="61">
        <f>FH!B98*1</f>
        <v>209037</v>
      </c>
      <c r="E98">
        <f t="shared" si="11"/>
        <v>96</v>
      </c>
      <c r="F98" s="61">
        <f>IF(FT!A98&lt;&gt;"",FT!A98*10,"")</f>
        <v>3.47255</v>
      </c>
      <c r="G98" s="61">
        <f>IF(FT!B98&lt;&gt;"",FT!B98*100,"")</f>
        <v>36.981000000000002</v>
      </c>
      <c r="H98" s="61">
        <f t="shared" si="9"/>
        <v>1</v>
      </c>
      <c r="I98" t="str">
        <f>IF(FT!B98&lt;&gt;"",FT!E98,"")</f>
        <v>2 [39.045231]</v>
      </c>
      <c r="J98">
        <f>IF(FT!B98&lt;&gt;"",FT!C98,"")</f>
        <v>39.045200000000001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3.4886200000000001</v>
      </c>
      <c r="G99" s="61">
        <f>IF(FT!B99&lt;&gt;"",FT!B99*100,"")</f>
        <v>36.623099999999994</v>
      </c>
      <c r="H99" s="61">
        <f t="shared" si="9"/>
        <v>1</v>
      </c>
      <c r="I99" t="str">
        <f>IF(FT!B99&lt;&gt;"",FT!E99,"")</f>
        <v>2 [39.450501]</v>
      </c>
      <c r="J99">
        <f>IF(FT!B99&lt;&gt;"",FT!C99,"")</f>
        <v>39.450499999999998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190867</v>
      </c>
      <c r="D100" s="61">
        <f>FH!B100*1</f>
        <v>190867</v>
      </c>
      <c r="E100">
        <f t="shared" si="11"/>
        <v>98</v>
      </c>
      <c r="F100" s="61">
        <f>IF(FT!A100&lt;&gt;"",FT!A100*10,"")</f>
        <v>3.5036699999999996</v>
      </c>
      <c r="G100" s="61">
        <f>IF(FT!B100&lt;&gt;"",FT!B100*100,"")</f>
        <v>36.2879</v>
      </c>
      <c r="H100" s="61">
        <f t="shared" si="9"/>
        <v>1</v>
      </c>
      <c r="I100" t="str">
        <f>IF(FT!B100&lt;&gt;"",FT!E100,"")</f>
        <v>2 [39.856587]</v>
      </c>
      <c r="J100">
        <f>IF(FT!B100&lt;&gt;"",FT!C100,"")</f>
        <v>39.8566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3.5182600000000002</v>
      </c>
      <c r="G101" s="61">
        <f>IF(FT!B101&lt;&gt;"",FT!B101*100,"")</f>
        <v>35.947200000000002</v>
      </c>
      <c r="H101" s="61">
        <f t="shared" si="9"/>
        <v>1</v>
      </c>
      <c r="I101" t="str">
        <f>IF(FT!B101&lt;&gt;"",FT!E101,"")</f>
        <v>2 [40.263624]</v>
      </c>
      <c r="J101">
        <f>IF(FT!B101&lt;&gt;"",FT!C101,"")</f>
        <v>40.263599999999997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3.5324299999999997</v>
      </c>
      <c r="G102" s="61">
        <f>IF(FT!B102&lt;&gt;"",FT!B102*100,"")</f>
        <v>35.610100000000003</v>
      </c>
      <c r="H102" s="61">
        <f t="shared" si="9"/>
        <v>1</v>
      </c>
      <c r="I102" t="str">
        <f>IF(FT!B102&lt;&gt;"",FT!E102,"")</f>
        <v>2 [40.669898]</v>
      </c>
      <c r="J102">
        <f>IF(FT!B102&lt;&gt;"",FT!C102,"")</f>
        <v>40.669899999999998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176642</v>
      </c>
      <c r="D103" s="61">
        <f>FH!B103*1</f>
        <v>176642</v>
      </c>
      <c r="E103">
        <f t="shared" si="11"/>
        <v>101</v>
      </c>
      <c r="F103" s="61">
        <f>IF(FT!A103&lt;&gt;"",FT!A103*10,"")</f>
        <v>3.54813</v>
      </c>
      <c r="G103" s="61">
        <f>IF(FT!B103&lt;&gt;"",FT!B103*100,"")</f>
        <v>35.298999999999999</v>
      </c>
      <c r="H103" s="61">
        <f t="shared" si="9"/>
        <v>1</v>
      </c>
      <c r="I103" t="str">
        <f>IF(FT!B103&lt;&gt;"",FT!E103,"")</f>
        <v>2 [41.077104]</v>
      </c>
      <c r="J103">
        <f>IF(FT!B103&lt;&gt;"",FT!C103,"")</f>
        <v>41.077100000000002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3.56751</v>
      </c>
      <c r="G104" s="61">
        <f>IF(FT!B104&lt;&gt;"",FT!B104*100,"")</f>
        <v>34.951599999999999</v>
      </c>
      <c r="H104" s="61">
        <f t="shared" si="9"/>
        <v>1</v>
      </c>
      <c r="I104" t="str">
        <f>IF(FT!B104&lt;&gt;"",FT!E104,"")</f>
        <v>2 [41.484696]</v>
      </c>
      <c r="J104">
        <f>IF(FT!B104&lt;&gt;"",FT!C104,"")</f>
        <v>41.484699999999997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3.5883099999999999</v>
      </c>
      <c r="G105" s="61">
        <f>IF(FT!B105&lt;&gt;"",FT!B105*100,"")</f>
        <v>34.595700000000001</v>
      </c>
      <c r="H105" s="61">
        <f t="shared" si="9"/>
        <v>1</v>
      </c>
      <c r="I105" t="str">
        <f>IF(FT!B105&lt;&gt;"",FT!E105,"")</f>
        <v>2 [41.888187]</v>
      </c>
      <c r="J105">
        <f>IF(FT!B105&lt;&gt;"",FT!C105,"")</f>
        <v>41.888199999999998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170434</v>
      </c>
      <c r="D106" s="61">
        <f>FH!B106*1</f>
        <v>170434</v>
      </c>
      <c r="E106">
        <f t="shared" si="11"/>
        <v>104</v>
      </c>
      <c r="F106" s="61">
        <f>IF(FT!A106&lt;&gt;"",FT!A106*10,"")</f>
        <v>3.6076000000000001</v>
      </c>
      <c r="G106" s="61">
        <f>IF(FT!B106&lt;&gt;"",FT!B106*100,"")</f>
        <v>34.229900000000001</v>
      </c>
      <c r="H106" s="61">
        <f t="shared" si="9"/>
        <v>1</v>
      </c>
      <c r="I106" t="str">
        <f>IF(FT!B106&lt;&gt;"",FT!E106,"")</f>
        <v>2 [42.294722]</v>
      </c>
      <c r="J106">
        <f>IF(FT!B106&lt;&gt;"",FT!C106,"")</f>
        <v>42.294699999999999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3.62609</v>
      </c>
      <c r="G107" s="61">
        <f>IF(FT!B107&lt;&gt;"",FT!B107*100,"")</f>
        <v>33.883400000000002</v>
      </c>
      <c r="H107" s="61">
        <f t="shared" si="9"/>
        <v>1</v>
      </c>
      <c r="I107" t="str">
        <f>IF(FT!B107&lt;&gt;"",FT!E107,"")</f>
        <v>2 [42.702446]</v>
      </c>
      <c r="J107">
        <f>IF(FT!B107&lt;&gt;"",FT!C107,"")</f>
        <v>42.702399999999997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155973</v>
      </c>
      <c r="D108" s="61">
        <f>FH!B108*1</f>
        <v>155973</v>
      </c>
      <c r="E108">
        <f t="shared" si="11"/>
        <v>106</v>
      </c>
      <c r="F108" s="61">
        <f>IF(FT!A108&lt;&gt;"",FT!A108*10,"")</f>
        <v>3.6432500000000001</v>
      </c>
      <c r="G108" s="61">
        <f>IF(FT!B108&lt;&gt;"",FT!B108*100,"")</f>
        <v>33.549099999999996</v>
      </c>
      <c r="H108" s="61">
        <f t="shared" si="9"/>
        <v>1</v>
      </c>
      <c r="I108" t="str">
        <f>IF(FT!B108&lt;&gt;"",FT!E108,"")</f>
        <v>2 [43.108160]</v>
      </c>
      <c r="J108">
        <f>IF(FT!B108&lt;&gt;"",FT!C108,"")</f>
        <v>43.108199999999997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3.6587499999999999</v>
      </c>
      <c r="G109" s="61">
        <f>IF(FT!B109&lt;&gt;"",FT!B109*100,"")</f>
        <v>33.262900000000002</v>
      </c>
      <c r="H109" s="61">
        <f t="shared" si="9"/>
        <v>1</v>
      </c>
      <c r="I109" t="str">
        <f>IF(FT!B109&lt;&gt;"",FT!E109,"")</f>
        <v>2 [43.510678]</v>
      </c>
      <c r="J109">
        <f>IF(FT!B109&lt;&gt;"",FT!C109,"")</f>
        <v>43.5107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3.6705399999999999</v>
      </c>
      <c r="G110" s="61">
        <f>IF(FT!B110&lt;&gt;"",FT!B110*100,"")</f>
        <v>33.044499999999999</v>
      </c>
      <c r="H110" s="61">
        <f t="shared" si="9"/>
        <v>1</v>
      </c>
      <c r="I110" t="str">
        <f>IF(FT!B110&lt;&gt;"",FT!E110,"")</f>
        <v>2 [43.916933]</v>
      </c>
      <c r="J110">
        <f>IF(FT!B110&lt;&gt;"",FT!C110,"")</f>
        <v>43.916899999999998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130234</v>
      </c>
      <c r="D111" s="61">
        <f>FH!B111*1</f>
        <v>130234</v>
      </c>
      <c r="E111">
        <f t="shared" si="11"/>
        <v>109</v>
      </c>
      <c r="F111" s="61">
        <f>IF(FT!A111&lt;&gt;"",FT!A111*10,"")</f>
        <v>3.6786000000000003</v>
      </c>
      <c r="G111" s="61">
        <f>IF(FT!B111&lt;&gt;"",FT!B111*100,"")</f>
        <v>32.868299999999998</v>
      </c>
      <c r="H111" s="61">
        <f t="shared" si="9"/>
        <v>1</v>
      </c>
      <c r="I111" t="str">
        <f>IF(FT!B111&lt;&gt;"",FT!E111,"")</f>
        <v>2 [44.328279]</v>
      </c>
      <c r="J111">
        <f>IF(FT!B111&lt;&gt;"",FT!C111,"")</f>
        <v>44.328299999999999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3.68323</v>
      </c>
      <c r="G112" s="61">
        <f>IF(FT!B112&lt;&gt;"",FT!B112*100,"")</f>
        <v>32.6663</v>
      </c>
      <c r="H112" s="61">
        <f t="shared" si="9"/>
        <v>1</v>
      </c>
      <c r="I112" t="str">
        <f>IF(FT!B112&lt;&gt;"",FT!E112,"")</f>
        <v>2 [44.733401]</v>
      </c>
      <c r="J112">
        <f>IF(FT!B112&lt;&gt;"",FT!C112,"")</f>
        <v>44.733400000000003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114357</v>
      </c>
      <c r="D113" s="61">
        <f>FH!B113*1</f>
        <v>114357</v>
      </c>
      <c r="E113">
        <f t="shared" si="11"/>
        <v>111</v>
      </c>
      <c r="F113" s="61">
        <f>IF(FT!A113&lt;&gt;"",FT!A113*10,"")</f>
        <v>3.6878600000000001</v>
      </c>
      <c r="G113" s="61">
        <f>IF(FT!B113&lt;&gt;"",FT!B113*100,"")</f>
        <v>32.406100000000002</v>
      </c>
      <c r="H113" s="61">
        <f t="shared" si="9"/>
        <v>1</v>
      </c>
      <c r="I113" t="str">
        <f>IF(FT!B113&lt;&gt;"",FT!E113,"")</f>
        <v>2 [45.138149]</v>
      </c>
      <c r="J113">
        <f>IF(FT!B113&lt;&gt;"",FT!C113,"")</f>
        <v>45.138100000000001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3.6897099999999998</v>
      </c>
      <c r="G114" s="61">
        <f>IF(FT!B114&lt;&gt;"",FT!B114*100,"")</f>
        <v>32.205399999999997</v>
      </c>
      <c r="H114" s="61">
        <f t="shared" si="9"/>
        <v>1</v>
      </c>
      <c r="I114" t="str">
        <f>IF(FT!B114&lt;&gt;"",FT!E114,"")</f>
        <v>2 [45.542883]</v>
      </c>
      <c r="J114">
        <f>IF(FT!B114&lt;&gt;"",FT!C114,"")</f>
        <v>45.542900000000003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3.6880299999999999</v>
      </c>
      <c r="G115" s="61">
        <f>IF(FT!B115&lt;&gt;"",FT!B115*100,"")</f>
        <v>32.026700000000005</v>
      </c>
      <c r="H115" s="61">
        <f t="shared" si="9"/>
        <v>1</v>
      </c>
      <c r="I115" t="str">
        <f>IF(FT!B115&lt;&gt;"",FT!E115,"")</f>
        <v>2 [45.951313]</v>
      </c>
      <c r="J115">
        <f>IF(FT!B115&lt;&gt;"",FT!C115,"")</f>
        <v>45.951300000000003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114444</v>
      </c>
      <c r="D116" s="61">
        <f>FH!B116*1</f>
        <v>114444</v>
      </c>
      <c r="E116">
        <f t="shared" si="11"/>
        <v>114</v>
      </c>
      <c r="F116" s="61">
        <f>IF(FT!A116&lt;&gt;"",FT!A116*10,"")</f>
        <v>3.68771</v>
      </c>
      <c r="G116" s="61">
        <f>IF(FT!B116&lt;&gt;"",FT!B116*100,"")</f>
        <v>31.735000000000003</v>
      </c>
      <c r="H116" s="61">
        <f t="shared" si="9"/>
        <v>1</v>
      </c>
      <c r="I116" t="str">
        <f>IF(FT!B116&lt;&gt;"",FT!E116,"")</f>
        <v>2 [46.355693]</v>
      </c>
      <c r="J116">
        <f>IF(FT!B116&lt;&gt;"",FT!C116,"")</f>
        <v>46.355699999999999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3.68811</v>
      </c>
      <c r="G117" s="61">
        <f>IF(FT!B117&lt;&gt;"",FT!B117*100,"")</f>
        <v>31.449300000000001</v>
      </c>
      <c r="H117" s="61">
        <f t="shared" si="9"/>
        <v>1</v>
      </c>
      <c r="I117" t="str">
        <f>IF(FT!B117&lt;&gt;"",FT!E117,"")</f>
        <v>2 [46.763391]</v>
      </c>
      <c r="J117">
        <f>IF(FT!B117&lt;&gt;"",FT!C117,"")</f>
        <v>46.763399999999997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94601</v>
      </c>
      <c r="D118" s="61">
        <f>FH!B118*1</f>
        <v>94601</v>
      </c>
      <c r="E118">
        <f t="shared" si="11"/>
        <v>116</v>
      </c>
      <c r="F118" s="61">
        <f>IF(FT!A118&lt;&gt;"",FT!A118*10,"")</f>
        <v>3.6879</v>
      </c>
      <c r="G118" s="61">
        <f>IF(FT!B118&lt;&gt;"",FT!B118*100,"")</f>
        <v>31.145199999999999</v>
      </c>
      <c r="H118" s="61">
        <f t="shared" si="9"/>
        <v>1</v>
      </c>
      <c r="I118" t="str">
        <f>IF(FT!B118&lt;&gt;"",FT!E118,"")</f>
        <v>2 [47.169073]</v>
      </c>
      <c r="J118">
        <f>IF(FT!B118&lt;&gt;"",FT!C118,"")</f>
        <v>47.1691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3.68709</v>
      </c>
      <c r="G119" s="61">
        <f>IF(FT!B119&lt;&gt;"",FT!B119*100,"")</f>
        <v>30.820499999999999</v>
      </c>
      <c r="H119" s="61">
        <f t="shared" si="9"/>
        <v>1</v>
      </c>
      <c r="I119" t="str">
        <f>IF(FT!B119&lt;&gt;"",FT!E119,"")</f>
        <v>2 [47.574800]</v>
      </c>
      <c r="J119">
        <f>IF(FT!B119&lt;&gt;"",FT!C119,"")</f>
        <v>47.574800000000003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3.68255</v>
      </c>
      <c r="G120" s="61">
        <f>IF(FT!B120&lt;&gt;"",FT!B120*100,"")</f>
        <v>30.492899999999999</v>
      </c>
      <c r="H120" s="61">
        <f t="shared" si="9"/>
        <v>1</v>
      </c>
      <c r="I120" t="str">
        <f>IF(FT!B120&lt;&gt;"",FT!E120,"")</f>
        <v>2 [47.983499]</v>
      </c>
      <c r="J120">
        <f>IF(FT!B120&lt;&gt;"",FT!C120,"")</f>
        <v>47.983499999999999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81901</v>
      </c>
      <c r="D121" s="61">
        <f>FH!B121*1</f>
        <v>81901</v>
      </c>
      <c r="E121">
        <f t="shared" si="11"/>
        <v>119</v>
      </c>
      <c r="F121" s="61">
        <f>IF(FT!A121&lt;&gt;"",FT!A121*10,"")</f>
        <v>3.67801</v>
      </c>
      <c r="G121" s="61">
        <f>IF(FT!B121&lt;&gt;"",FT!B121*100,"")</f>
        <v>30.042799999999996</v>
      </c>
      <c r="H121" s="61">
        <f t="shared" si="9"/>
        <v>1</v>
      </c>
      <c r="I121" t="str">
        <f>IF(FT!B121&lt;&gt;"",FT!E121,"")</f>
        <v>2 [48.391234]</v>
      </c>
      <c r="J121">
        <f>IF(FT!B121&lt;&gt;"",FT!C121,"")</f>
        <v>48.391199999999998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3.6727400000000001</v>
      </c>
      <c r="G122" s="61">
        <f>IF(FT!B122&lt;&gt;"",FT!B122*100,"")</f>
        <v>29.543999999999997</v>
      </c>
      <c r="H122" s="61">
        <f t="shared" si="9"/>
        <v>1</v>
      </c>
      <c r="I122" t="str">
        <f>IF(FT!B122&lt;&gt;"",FT!E122,"")</f>
        <v>2 [48.795552]</v>
      </c>
      <c r="J122">
        <f>IF(FT!B122&lt;&gt;"",FT!C122,"")</f>
        <v>48.7956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3.6675499999999999</v>
      </c>
      <c r="G123" s="61">
        <f>IF(FT!B123&lt;&gt;"",FT!B123*100,"")</f>
        <v>29.056999999999999</v>
      </c>
      <c r="H123" s="61">
        <f t="shared" si="9"/>
        <v>1</v>
      </c>
      <c r="I123" t="str">
        <f>IF(FT!B123&lt;&gt;"",FT!E123,"")</f>
        <v>2 [49.201663]</v>
      </c>
      <c r="J123">
        <f>IF(FT!B123&lt;&gt;"",FT!C123,"")</f>
        <v>49.201700000000002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79296</v>
      </c>
      <c r="D124" s="61">
        <f>FH!B124*1</f>
        <v>79296</v>
      </c>
      <c r="E124">
        <f t="shared" si="11"/>
        <v>122</v>
      </c>
      <c r="F124" s="61">
        <f>IF(FT!A124&lt;&gt;"",FT!A124*10,"")</f>
        <v>3.6629399999999999</v>
      </c>
      <c r="G124" s="61">
        <f>IF(FT!B124&lt;&gt;"",FT!B124*100,"")</f>
        <v>28.5093</v>
      </c>
      <c r="H124" s="61">
        <f t="shared" si="9"/>
        <v>1</v>
      </c>
      <c r="I124" t="str">
        <f>IF(FT!B124&lt;&gt;"",FT!E124,"")</f>
        <v>2 [49.607991]</v>
      </c>
      <c r="J124">
        <f>IF(FT!B124&lt;&gt;"",FT!C124,"")</f>
        <v>49.607999999999997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3.6572399999999998</v>
      </c>
      <c r="G125" s="61">
        <f>IF(FT!B125&lt;&gt;"",FT!B125*100,"")</f>
        <v>27.949800000000003</v>
      </c>
      <c r="H125" s="61">
        <f t="shared" si="9"/>
        <v>1</v>
      </c>
      <c r="I125" t="str">
        <f>IF(FT!B125&lt;&gt;"",FT!E125,"")</f>
        <v>2 [50.011216]</v>
      </c>
      <c r="J125">
        <f>IF(FT!B125&lt;&gt;"",FT!C125,"")</f>
        <v>50.011200000000002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70033</v>
      </c>
      <c r="D126" s="61">
        <f>FH!B126*1</f>
        <v>70033</v>
      </c>
      <c r="E126">
        <f t="shared" si="11"/>
        <v>124</v>
      </c>
      <c r="F126" s="61">
        <f>IF(FT!A126&lt;&gt;"",FT!A126*10,"")</f>
        <v>3.6574099999999996</v>
      </c>
      <c r="G126" s="61">
        <f>IF(FT!B126&lt;&gt;"",FT!B126*100,"")</f>
        <v>27.721800000000002</v>
      </c>
      <c r="H126" s="61">
        <f t="shared" si="9"/>
        <v>1</v>
      </c>
      <c r="I126" t="str">
        <f>IF(FT!B126&lt;&gt;"",FT!E126,"")</f>
        <v>2 [50.421541]</v>
      </c>
      <c r="J126">
        <f>IF(FT!B126&lt;&gt;"",FT!C126,"")</f>
        <v>50.421500000000002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3.6584899999999996</v>
      </c>
      <c r="G127" s="61">
        <f>IF(FT!B127&lt;&gt;"",FT!B127*100,"")</f>
        <v>27.4588</v>
      </c>
      <c r="H127" s="61">
        <f t="shared" si="9"/>
        <v>1</v>
      </c>
      <c r="I127" t="str">
        <f>IF(FT!B127&lt;&gt;"",FT!E127,"")</f>
        <v>2 [50.825757]</v>
      </c>
      <c r="J127">
        <f>IF(FT!B127&lt;&gt;"",FT!C127,"")</f>
        <v>50.825800000000001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3.65842</v>
      </c>
      <c r="G128" s="61">
        <f>IF(FT!B128&lt;&gt;"",FT!B128*100,"")</f>
        <v>27.173999999999999</v>
      </c>
      <c r="H128" s="61">
        <f t="shared" si="9"/>
        <v>1</v>
      </c>
      <c r="I128" t="str">
        <f>IF(FT!B128&lt;&gt;"",FT!E128,"")</f>
        <v>2 [51.232356]</v>
      </c>
      <c r="J128">
        <f>IF(FT!B128&lt;&gt;"",FT!C128,"")</f>
        <v>51.232399999999998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60244</v>
      </c>
      <c r="D129" s="61">
        <f>FH!B129*1</f>
        <v>60244</v>
      </c>
      <c r="E129">
        <f t="shared" si="11"/>
        <v>127</v>
      </c>
      <c r="F129" s="61">
        <f>IF(FT!A129&lt;&gt;"",FT!A129*10,"")</f>
        <v>3.6541399999999999</v>
      </c>
      <c r="G129" s="61">
        <f>IF(FT!B129&lt;&gt;"",FT!B129*100,"")</f>
        <v>26.8949</v>
      </c>
      <c r="H129" s="61">
        <f t="shared" si="9"/>
        <v>1</v>
      </c>
      <c r="I129" t="str">
        <f>IF(FT!B129&lt;&gt;"",FT!E129,"")</f>
        <v>2 [51.637468]</v>
      </c>
      <c r="J129">
        <f>IF(FT!B129&lt;&gt;"",FT!C129,"")</f>
        <v>51.637500000000003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3.64635</v>
      </c>
      <c r="G130" s="61">
        <f>IF(FT!B130&lt;&gt;"",FT!B130*100,"")</f>
        <v>26.6295</v>
      </c>
      <c r="H130" s="61">
        <f t="shared" si="9"/>
        <v>1</v>
      </c>
      <c r="I130" t="str">
        <f>IF(FT!B130&lt;&gt;"",FT!E130,"")</f>
        <v>2 [52.041930]</v>
      </c>
      <c r="J130">
        <f>IF(FT!B130&lt;&gt;"",FT!C130,"")</f>
        <v>52.041899999999998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59216</v>
      </c>
      <c r="D131" s="61">
        <f>FH!B131*1</f>
        <v>59216</v>
      </c>
      <c r="E131">
        <f t="shared" si="11"/>
        <v>129</v>
      </c>
      <c r="F131" s="61">
        <f>IF(FT!A131&lt;&gt;"",FT!A131*10,"")</f>
        <v>3.6369899999999999</v>
      </c>
      <c r="G131" s="61">
        <f>IF(FT!B131&lt;&gt;"",FT!B131*100,"")</f>
        <v>26.356800000000003</v>
      </c>
      <c r="H131" s="61">
        <f t="shared" ref="H131:H194" si="13">(IF(F131&lt;&gt;"",1,""))</f>
        <v>1</v>
      </c>
      <c r="I131" t="str">
        <f>IF(FT!B131&lt;&gt;"",FT!E131,"")</f>
        <v>2 [52.449722]</v>
      </c>
      <c r="J131">
        <f>IF(FT!B131&lt;&gt;"",FT!C131,"")</f>
        <v>52.4497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3.6254799999999996</v>
      </c>
      <c r="G132" s="61">
        <f>IF(FT!B132&lt;&gt;"",FT!B132*100,"")</f>
        <v>26.060400000000001</v>
      </c>
      <c r="H132" s="61">
        <f t="shared" si="13"/>
        <v>1</v>
      </c>
      <c r="I132" t="str">
        <f>IF(FT!B132&lt;&gt;"",FT!E132,"")</f>
        <v>2 [52.857900]</v>
      </c>
      <c r="J132">
        <f>IF(FT!B132&lt;&gt;"",FT!C132,"")</f>
        <v>52.857900000000001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3.6123799999999999</v>
      </c>
      <c r="G133" s="61">
        <f>IF(FT!B133&lt;&gt;"",FT!B133*100,"")</f>
        <v>25.740600000000001</v>
      </c>
      <c r="H133" s="61">
        <f t="shared" si="13"/>
        <v>1</v>
      </c>
      <c r="I133" t="str">
        <f>IF(FT!B133&lt;&gt;"",FT!E133,"")</f>
        <v>2 [53.265801]</v>
      </c>
      <c r="J133">
        <f>IF(FT!B133&lt;&gt;"",FT!C133,"")</f>
        <v>53.265799999999999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63654</v>
      </c>
      <c r="D134" s="61">
        <f>FH!B134*1</f>
        <v>63654</v>
      </c>
      <c r="E134">
        <f t="shared" si="15"/>
        <v>132</v>
      </c>
      <c r="F134" s="61">
        <f>IF(FT!A134&lt;&gt;"",FT!A134*10,"")</f>
        <v>3.5981200000000002</v>
      </c>
      <c r="G134" s="61">
        <f>IF(FT!B134&lt;&gt;"",FT!B134*100,"")</f>
        <v>25.363599999999998</v>
      </c>
      <c r="H134" s="61">
        <f t="shared" si="13"/>
        <v>1</v>
      </c>
      <c r="I134" t="str">
        <f>IF(FT!B134&lt;&gt;"",FT!E134,"")</f>
        <v>2 [53.669490]</v>
      </c>
      <c r="J134">
        <f>IF(FT!B134&lt;&gt;"",FT!C134,"")</f>
        <v>53.669499999999999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3.5864699999999998</v>
      </c>
      <c r="G135" s="61">
        <f>IF(FT!B135&lt;&gt;"",FT!B135*100,"")</f>
        <v>24.8644</v>
      </c>
      <c r="H135" s="61">
        <f t="shared" si="13"/>
        <v>1</v>
      </c>
      <c r="I135" t="str">
        <f>IF(FT!B135&lt;&gt;"",FT!E135,"")</f>
        <v>2 [54.071935]</v>
      </c>
      <c r="J135">
        <f>IF(FT!B135&lt;&gt;"",FT!C135,"")</f>
        <v>54.071899999999999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59175</v>
      </c>
      <c r="D136" s="61">
        <f>FH!B136*1</f>
        <v>59175</v>
      </c>
      <c r="E136">
        <f t="shared" si="15"/>
        <v>134</v>
      </c>
      <c r="F136" s="61">
        <f>IF(FT!A136&lt;&gt;"",FT!A136*10,"")</f>
        <v>3.5789300000000002</v>
      </c>
      <c r="G136" s="61">
        <f>IF(FT!B136&lt;&gt;"",FT!B136*100,"")</f>
        <v>24.286799999999999</v>
      </c>
      <c r="H136" s="61">
        <f t="shared" si="13"/>
        <v>1</v>
      </c>
      <c r="I136" t="str">
        <f>IF(FT!B136&lt;&gt;"",FT!E136,"")</f>
        <v>2 [54.481691]</v>
      </c>
      <c r="J136">
        <f>IF(FT!B136&lt;&gt;"",FT!C136,"")</f>
        <v>54.481699999999996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3.5735899999999998</v>
      </c>
      <c r="G137" s="61">
        <f>IF(FT!B137&lt;&gt;"",FT!B137*100,"")</f>
        <v>23.7105</v>
      </c>
      <c r="H137" s="61">
        <f t="shared" si="13"/>
        <v>1</v>
      </c>
      <c r="I137" t="str">
        <f>IF(FT!B137&lt;&gt;"",FT!E137,"")</f>
        <v>2 [54.889781]</v>
      </c>
      <c r="J137">
        <f>IF(FT!B137&lt;&gt;"",FT!C137,"")</f>
        <v>54.889800000000001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3.5640399999999999</v>
      </c>
      <c r="G138" s="61">
        <f>IF(FT!B138&lt;&gt;"",FT!B138*100,"")</f>
        <v>23.227</v>
      </c>
      <c r="H138" s="61">
        <f t="shared" si="13"/>
        <v>1</v>
      </c>
      <c r="I138" t="str">
        <f>IF(FT!B138&lt;&gt;"",FT!E138,"")</f>
        <v>2 [55.292558]</v>
      </c>
      <c r="J138">
        <f>IF(FT!B138&lt;&gt;"",FT!C138,"")</f>
        <v>55.2926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55360</v>
      </c>
      <c r="D139" s="61">
        <f>FH!B139*1</f>
        <v>55360</v>
      </c>
      <c r="E139">
        <f t="shared" si="15"/>
        <v>137</v>
      </c>
      <c r="F139" s="61">
        <f>IF(FT!A139&lt;&gt;"",FT!A139*10,"")</f>
        <v>3.5564800000000001</v>
      </c>
      <c r="G139" s="61">
        <f>IF(FT!B139&lt;&gt;"",FT!B139*100,"")</f>
        <v>22.647200000000002</v>
      </c>
      <c r="H139" s="61">
        <f t="shared" si="13"/>
        <v>1</v>
      </c>
      <c r="I139" t="str">
        <f>IF(FT!B139&lt;&gt;"",FT!E139,"")</f>
        <v>2 [55.700192]</v>
      </c>
      <c r="J139">
        <f>IF(FT!B139&lt;&gt;"",FT!C139,"")</f>
        <v>55.700200000000002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3.5530299999999997</v>
      </c>
      <c r="G140" s="61">
        <f>IF(FT!B140&lt;&gt;"",FT!B140*100,"")</f>
        <v>21.9754</v>
      </c>
      <c r="H140" s="61">
        <f t="shared" si="13"/>
        <v>1</v>
      </c>
      <c r="I140" t="str">
        <f>IF(FT!B140&lt;&gt;"",FT!E140,"")</f>
        <v>2 [56.105755]</v>
      </c>
      <c r="J140">
        <f>IF(FT!B140&lt;&gt;"",FT!C140,"")</f>
        <v>56.105800000000002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3.5466199999999999</v>
      </c>
      <c r="G141" s="61">
        <f>IF(FT!B141&lt;&gt;"",FT!B141*100,"")</f>
        <v>21.435600000000001</v>
      </c>
      <c r="H141" s="61">
        <f t="shared" si="13"/>
        <v>1</v>
      </c>
      <c r="I141" t="str">
        <f>IF(FT!B141&lt;&gt;"",FT!E141,"")</f>
        <v>2 [56.512237]</v>
      </c>
      <c r="J141">
        <f>IF(FT!B141&lt;&gt;"",FT!C141,"")</f>
        <v>56.5122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52876</v>
      </c>
      <c r="D142" s="61">
        <f>FH!B142*1</f>
        <v>52876</v>
      </c>
      <c r="E142">
        <f t="shared" si="15"/>
        <v>140</v>
      </c>
      <c r="F142" s="61">
        <f>IF(FT!A142&lt;&gt;"",FT!A142*10,"")</f>
        <v>3.5390800000000002</v>
      </c>
      <c r="G142" s="61">
        <f>IF(FT!B142&lt;&gt;"",FT!B142*100,"")</f>
        <v>20.878499999999999</v>
      </c>
      <c r="H142" s="61">
        <f t="shared" si="13"/>
        <v>1</v>
      </c>
      <c r="I142" t="str">
        <f>IF(FT!B142&lt;&gt;"",FT!E142,"")</f>
        <v>2 [56.922071]</v>
      </c>
      <c r="J142">
        <f>IF(FT!B142&lt;&gt;"",FT!C142,"")</f>
        <v>56.9221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3.5301900000000002</v>
      </c>
      <c r="G143" s="61">
        <f>IF(FT!B143&lt;&gt;"",FT!B143*100,"")</f>
        <v>20.3262</v>
      </c>
      <c r="H143" s="61">
        <f t="shared" si="13"/>
        <v>1</v>
      </c>
      <c r="I143" t="str">
        <f>IF(FT!B143&lt;&gt;"",FT!E143,"")</f>
        <v>2 [57.328329]</v>
      </c>
      <c r="J143">
        <f>IF(FT!B143&lt;&gt;"",FT!C143,"")</f>
        <v>57.328299999999999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50037</v>
      </c>
      <c r="D144" s="61">
        <f>FH!B144*1</f>
        <v>50037</v>
      </c>
      <c r="E144">
        <f t="shared" si="15"/>
        <v>142</v>
      </c>
      <c r="F144" s="61">
        <f>IF(FT!A144&lt;&gt;"",FT!A144*10,"")</f>
        <v>3.5154999999999998</v>
      </c>
      <c r="G144" s="61">
        <f>IF(FT!B144&lt;&gt;"",FT!B144*100,"")</f>
        <v>19.790700000000001</v>
      </c>
      <c r="H144" s="61">
        <f t="shared" si="13"/>
        <v>1</v>
      </c>
      <c r="I144" t="str">
        <f>IF(FT!B144&lt;&gt;"",FT!E144,"")</f>
        <v>2 [57.734218]</v>
      </c>
      <c r="J144">
        <f>IF(FT!B144&lt;&gt;"",FT!C144,"")</f>
        <v>57.734200000000001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3.5056799999999999</v>
      </c>
      <c r="G145" s="61">
        <f>IF(FT!B145&lt;&gt;"",FT!B145*100,"")</f>
        <v>19.2484</v>
      </c>
      <c r="H145" s="61">
        <f t="shared" si="13"/>
        <v>1</v>
      </c>
      <c r="I145" t="str">
        <f>IF(FT!B145&lt;&gt;"",FT!E145,"")</f>
        <v>2 [58.138278]</v>
      </c>
      <c r="J145">
        <f>IF(FT!B145&lt;&gt;"",FT!C145,"")</f>
        <v>58.138300000000001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3.49505</v>
      </c>
      <c r="G146" s="61">
        <f>IF(FT!B146&lt;&gt;"",FT!B146*100,"")</f>
        <v>19.084200000000003</v>
      </c>
      <c r="H146" s="61">
        <f t="shared" si="13"/>
        <v>1</v>
      </c>
      <c r="I146" t="str">
        <f>IF(FT!B146&lt;&gt;"",FT!E146,"")</f>
        <v>2 [58.543061]</v>
      </c>
      <c r="J146">
        <f>IF(FT!B146&lt;&gt;"",FT!C146,"")</f>
        <v>58.543100000000003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48891</v>
      </c>
      <c r="D147" s="61">
        <f>FH!B147*1</f>
        <v>48891</v>
      </c>
      <c r="E147">
        <f t="shared" si="15"/>
        <v>145</v>
      </c>
      <c r="F147" s="61">
        <f>IF(FT!A147&lt;&gt;"",FT!A147*10,"")</f>
        <v>3.4835199999999999</v>
      </c>
      <c r="G147" s="61">
        <f>IF(FT!B147&lt;&gt;"",FT!B147*100,"")</f>
        <v>19.1997</v>
      </c>
      <c r="H147" s="61">
        <f t="shared" si="13"/>
        <v>1</v>
      </c>
      <c r="I147" t="str">
        <f>IF(FT!B147&lt;&gt;"",FT!E147,"")</f>
        <v>2 [58.953550]</v>
      </c>
      <c r="J147">
        <f>IF(FT!B147&lt;&gt;"",FT!C147,"")</f>
        <v>58.953499999999998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3.4721700000000002</v>
      </c>
      <c r="G148" s="61">
        <f>IF(FT!B148&lt;&gt;"",FT!B148*100,"")</f>
        <v>19.194199999999999</v>
      </c>
      <c r="H148" s="61">
        <f t="shared" si="13"/>
        <v>1</v>
      </c>
      <c r="I148" t="str">
        <f>IF(FT!B148&lt;&gt;"",FT!E148,"")</f>
        <v>2 [59.356494]</v>
      </c>
      <c r="J148">
        <f>IF(FT!B148&lt;&gt;"",FT!C148,"")</f>
        <v>59.356499999999997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47686</v>
      </c>
      <c r="D149" s="61">
        <f>FH!B149*1</f>
        <v>47686</v>
      </c>
      <c r="E149">
        <f t="shared" si="15"/>
        <v>147</v>
      </c>
      <c r="F149" s="61">
        <f>IF(FT!A149&lt;&gt;"",FT!A149*10,"")</f>
        <v>3.45783</v>
      </c>
      <c r="G149" s="61">
        <f>IF(FT!B149&lt;&gt;"",FT!B149*100,"")</f>
        <v>19.1858</v>
      </c>
      <c r="H149" s="61">
        <f t="shared" si="13"/>
        <v>1</v>
      </c>
      <c r="I149" t="str">
        <f>IF(FT!B149&lt;&gt;"",FT!E149,"")</f>
        <v>2 [59.763654]</v>
      </c>
      <c r="J149">
        <f>IF(FT!B149&lt;&gt;"",FT!C149,"")</f>
        <v>59.7637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42159</v>
      </c>
      <c r="D152" s="61">
        <f>FH!B152*1</f>
        <v>42159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41650</v>
      </c>
      <c r="D154" s="61">
        <f>FH!B154*1</f>
        <v>41650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36271</v>
      </c>
      <c r="D157" s="61">
        <f>FH!B157*1</f>
        <v>36271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28808</v>
      </c>
      <c r="D160" s="61">
        <f>FH!B160*1</f>
        <v>28808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23518</v>
      </c>
      <c r="D162" s="61">
        <f>FH!B162*1</f>
        <v>23518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24283</v>
      </c>
      <c r="D165" s="61">
        <f>FH!B165*1</f>
        <v>24283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19604</v>
      </c>
      <c r="D167" s="61">
        <f>FH!B167*1</f>
        <v>19604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16987</v>
      </c>
      <c r="D170" s="61">
        <f>FH!B170*1</f>
        <v>16987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19330</v>
      </c>
      <c r="D173" s="61">
        <f>FH!B173*1</f>
        <v>19330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21412</v>
      </c>
      <c r="D175" s="61">
        <f>FH!B175*1</f>
        <v>21412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16969</v>
      </c>
      <c r="D178" s="61">
        <f>FH!B178*1</f>
        <v>16969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19017</v>
      </c>
      <c r="D180" s="61">
        <f>FH!B180*1</f>
        <v>19017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16159</v>
      </c>
      <c r="D183" s="61">
        <f>FH!B183*1</f>
        <v>16159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12917</v>
      </c>
      <c r="D185" s="61">
        <f>FH!B185*1</f>
        <v>12917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11562</v>
      </c>
      <c r="D188" s="61">
        <f>FH!B188*1</f>
        <v>11562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11689</v>
      </c>
      <c r="D191" s="61">
        <f>FH!B191*1</f>
        <v>11689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11983</v>
      </c>
      <c r="D193" s="61">
        <f>FH!B193*1</f>
        <v>11983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11744</v>
      </c>
      <c r="D196" s="61">
        <f>FH!B196*1</f>
        <v>11744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8451</v>
      </c>
      <c r="D198" s="61">
        <f>FH!B198*1</f>
        <v>8451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6672</v>
      </c>
      <c r="D201" s="61">
        <f>FH!B201*1</f>
        <v>6672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4366</v>
      </c>
      <c r="D203" s="61">
        <f>FH!B203*1</f>
        <v>4366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3967</v>
      </c>
      <c r="D206" s="61">
        <f>FH!B206*1</f>
        <v>3967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1057</v>
      </c>
      <c r="D209" s="61">
        <f>FH!B209*1</f>
        <v>1057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576</v>
      </c>
      <c r="D211" s="61">
        <f>FH!B211*1</f>
        <v>576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81</v>
      </c>
      <c r="D214" s="61">
        <f>FH!B214*1</f>
        <v>81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41.488500000000002</v>
      </c>
      <c r="C5" s="66">
        <v>7.0168600000000003</v>
      </c>
      <c r="D5" s="66">
        <v>16.912800000000001</v>
      </c>
      <c r="E5" s="66">
        <v>20</v>
      </c>
      <c r="F5" s="66">
        <v>17.0562</v>
      </c>
      <c r="G5" s="66">
        <v>50</v>
      </c>
      <c r="H5" s="66">
        <v>49.128500000000003</v>
      </c>
    </row>
    <row r="6" spans="1:8">
      <c r="A6" s="58" t="s">
        <v>303</v>
      </c>
      <c r="B6" s="66">
        <v>25.828600000000002</v>
      </c>
      <c r="C6" s="66">
        <v>1.9360299999999999</v>
      </c>
      <c r="D6" s="66">
        <v>7.4956500000000004</v>
      </c>
      <c r="E6" s="66">
        <v>20</v>
      </c>
      <c r="F6" s="66">
        <v>20.586200000000002</v>
      </c>
      <c r="G6" s="66">
        <v>40</v>
      </c>
      <c r="H6" s="66">
        <v>30.244399999999999</v>
      </c>
    </row>
    <row r="7" spans="1:8">
      <c r="A7" s="58" t="s">
        <v>304</v>
      </c>
      <c r="B7" s="66">
        <v>31.416399999999999</v>
      </c>
      <c r="C7" s="66">
        <v>8.4532000000000007</v>
      </c>
      <c r="D7" s="66">
        <v>26.9069</v>
      </c>
      <c r="E7" s="66">
        <v>15</v>
      </c>
      <c r="F7" s="66">
        <v>7.5728999999999997</v>
      </c>
      <c r="G7" s="66">
        <v>40</v>
      </c>
      <c r="H7" s="66">
        <v>40.964199999999998</v>
      </c>
    </row>
    <row r="8" spans="1:8">
      <c r="A8" s="58" t="s">
        <v>305</v>
      </c>
      <c r="B8" s="66">
        <v>32.796100000000003</v>
      </c>
      <c r="C8" s="66">
        <v>4.0944700000000003</v>
      </c>
      <c r="D8" s="66">
        <v>12.4846</v>
      </c>
      <c r="E8" s="66">
        <v>20</v>
      </c>
      <c r="F8" s="66">
        <v>20.767099999999999</v>
      </c>
      <c r="G8" s="66">
        <v>50</v>
      </c>
      <c r="H8" s="66">
        <v>37.733199999999997</v>
      </c>
    </row>
    <row r="9" spans="1:8">
      <c r="A9" s="58" t="s">
        <v>306</v>
      </c>
      <c r="B9" s="66">
        <v>66.291300000000007</v>
      </c>
      <c r="C9" s="66">
        <v>8.4117999999999995</v>
      </c>
      <c r="D9" s="66">
        <v>12.6891</v>
      </c>
      <c r="E9" s="66">
        <v>50</v>
      </c>
      <c r="F9" s="66">
        <v>46.117199999999997</v>
      </c>
      <c r="G9" s="66">
        <v>100</v>
      </c>
      <c r="H9" s="66">
        <v>88.915199999999999</v>
      </c>
    </row>
    <row r="10" spans="1:8">
      <c r="A10" s="58" t="s">
        <v>307</v>
      </c>
      <c r="B10" s="66">
        <v>74.984300000000005</v>
      </c>
      <c r="C10" s="66">
        <v>4.4740700000000002</v>
      </c>
      <c r="D10" s="66">
        <v>5.9666800000000002</v>
      </c>
      <c r="E10" s="66">
        <v>40</v>
      </c>
      <c r="F10" s="66">
        <v>59.185400000000001</v>
      </c>
      <c r="G10" s="66">
        <v>100</v>
      </c>
      <c r="H10" s="66">
        <v>83.478399999999993</v>
      </c>
    </row>
    <row r="11" spans="1:8">
      <c r="A11" s="58" t="s">
        <v>308</v>
      </c>
      <c r="B11" s="66">
        <v>21.687899999999999</v>
      </c>
      <c r="C11" s="66">
        <v>3.0645500000000001</v>
      </c>
      <c r="D11" s="66">
        <v>14.1302</v>
      </c>
      <c r="E11" s="66">
        <v>10</v>
      </c>
      <c r="F11" s="66">
        <v>11.2096</v>
      </c>
      <c r="G11" s="66">
        <v>50</v>
      </c>
      <c r="H11" s="66">
        <v>24.5397</v>
      </c>
    </row>
    <row r="12" spans="1:8">
      <c r="A12" s="58" t="s">
        <v>309</v>
      </c>
      <c r="B12" s="66">
        <v>70.415300000000002</v>
      </c>
      <c r="C12" s="66">
        <v>5.22567</v>
      </c>
      <c r="D12" s="66">
        <v>7.4211999999999998</v>
      </c>
      <c r="E12" s="66">
        <v>50</v>
      </c>
      <c r="F12" s="66">
        <v>59.894199999999998</v>
      </c>
      <c r="G12" s="66">
        <v>100</v>
      </c>
      <c r="H12" s="66">
        <v>86.196799999999996</v>
      </c>
    </row>
    <row r="13" spans="1:8">
      <c r="A13" s="58" t="s">
        <v>310</v>
      </c>
      <c r="B13" s="66">
        <v>17.6797</v>
      </c>
      <c r="C13" s="66">
        <v>2.31629</v>
      </c>
      <c r="D13" s="66">
        <v>13.1014</v>
      </c>
      <c r="E13" s="66">
        <v>10</v>
      </c>
      <c r="F13" s="66">
        <v>12.184900000000001</v>
      </c>
      <c r="G13" s="66">
        <v>25</v>
      </c>
      <c r="H13" s="66">
        <v>24.684999999999999</v>
      </c>
    </row>
    <row r="14" spans="1:8">
      <c r="A14" s="58" t="s">
        <v>311</v>
      </c>
      <c r="B14" s="66">
        <v>23.1629</v>
      </c>
      <c r="C14" s="66">
        <v>7.8298399999999999</v>
      </c>
      <c r="D14" s="66">
        <v>33.8033</v>
      </c>
      <c r="E14" s="66">
        <v>10</v>
      </c>
      <c r="F14" s="66">
        <v>2.6794099999999998</v>
      </c>
      <c r="G14" s="66">
        <v>50</v>
      </c>
      <c r="H14" s="66">
        <v>26.7301</v>
      </c>
    </row>
    <row r="15" spans="1:8">
      <c r="A15" s="58" t="s">
        <v>312</v>
      </c>
      <c r="B15" s="66">
        <v>-3.67935E-2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-2.25746E-2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15.091200000000001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0.42780800000000002</v>
      </c>
      <c r="C18" s="66">
        <v>1.695E-2</v>
      </c>
      <c r="D18" s="66">
        <v>3.9620700000000002E-2</v>
      </c>
      <c r="E18" s="66">
        <v>0</v>
      </c>
      <c r="F18" s="66">
        <v>0.410858</v>
      </c>
      <c r="G18" s="66">
        <v>0</v>
      </c>
      <c r="H18" s="66">
        <v>0.44475799999999999</v>
      </c>
    </row>
    <row r="19" spans="1:8">
      <c r="A19" s="58" t="s">
        <v>316</v>
      </c>
      <c r="B19" s="66">
        <v>0.60241800000000001</v>
      </c>
      <c r="C19" s="66">
        <v>2.9935E-2</v>
      </c>
      <c r="D19" s="66">
        <v>4.96915E-2</v>
      </c>
      <c r="E19" s="66">
        <v>0</v>
      </c>
      <c r="F19" s="66">
        <v>0.57248299999999996</v>
      </c>
      <c r="G19" s="66">
        <v>0</v>
      </c>
      <c r="H19" s="66">
        <v>0.63235300000000005</v>
      </c>
    </row>
    <row r="20" spans="1:8">
      <c r="A20" s="58" t="s">
        <v>317</v>
      </c>
      <c r="B20" s="66">
        <v>6.29417E-3</v>
      </c>
      <c r="C20" s="66">
        <v>0.10993799999999999</v>
      </c>
      <c r="D20" s="66">
        <v>17.466699999999999</v>
      </c>
      <c r="E20" s="66">
        <v>0</v>
      </c>
      <c r="F20" s="196">
        <v>3.8618400000000003E-5</v>
      </c>
      <c r="G20" s="66">
        <v>0</v>
      </c>
      <c r="H20" s="66">
        <v>0.85869600000000001</v>
      </c>
    </row>
    <row r="21" spans="1:8">
      <c r="A21" s="58" t="s">
        <v>318</v>
      </c>
      <c r="B21" s="66">
        <v>0.24438499999999999</v>
      </c>
      <c r="C21" s="66">
        <v>0.88756599999999997</v>
      </c>
      <c r="D21" s="66">
        <v>3.6318299999999999</v>
      </c>
      <c r="E21" s="66">
        <v>0</v>
      </c>
      <c r="F21" s="66">
        <v>1.07722E-3</v>
      </c>
      <c r="G21" s="66">
        <v>0</v>
      </c>
      <c r="H21" s="66">
        <v>6.0522999999999998</v>
      </c>
    </row>
    <row r="22" spans="1:8">
      <c r="A22" s="58" t="s">
        <v>319</v>
      </c>
      <c r="B22" s="66">
        <v>58.598500000000001</v>
      </c>
      <c r="C22" s="66">
        <v>21.895800000000001</v>
      </c>
      <c r="D22" s="66">
        <v>0.37365700000000002</v>
      </c>
      <c r="E22" s="66">
        <v>0</v>
      </c>
      <c r="F22" s="66">
        <v>19.741099999999999</v>
      </c>
      <c r="G22" s="66">
        <v>0</v>
      </c>
      <c r="H22" s="66">
        <v>155.142</v>
      </c>
    </row>
    <row r="23" spans="1:8">
      <c r="A23" s="58" t="s">
        <v>320</v>
      </c>
      <c r="B23" s="66">
        <v>27.6447</v>
      </c>
      <c r="C23" s="66">
        <v>4.5956099999999998</v>
      </c>
      <c r="D23" s="66">
        <v>0.166238</v>
      </c>
      <c r="E23" s="66">
        <v>0</v>
      </c>
      <c r="F23" s="66">
        <v>14.5151</v>
      </c>
      <c r="G23" s="66">
        <v>0</v>
      </c>
      <c r="H23" s="66">
        <v>35.3626</v>
      </c>
    </row>
    <row r="24" spans="1:8">
      <c r="A24" s="58" t="s">
        <v>321</v>
      </c>
      <c r="B24" s="66">
        <v>2.45574E-2</v>
      </c>
      <c r="C24" s="66">
        <v>9.4772700000000001E-2</v>
      </c>
      <c r="D24" s="66">
        <v>3.8592399999999998</v>
      </c>
      <c r="E24" s="66">
        <v>0</v>
      </c>
      <c r="F24" s="66">
        <v>2.0079599999999999E-4</v>
      </c>
      <c r="G24" s="66">
        <v>0</v>
      </c>
      <c r="H24" s="66">
        <v>0.65221700000000005</v>
      </c>
    </row>
    <row r="25" spans="1:8">
      <c r="A25" s="58" t="s">
        <v>322</v>
      </c>
      <c r="B25" s="66">
        <v>0.26933000000000001</v>
      </c>
      <c r="C25" s="66">
        <v>0.67508999999999997</v>
      </c>
      <c r="D25" s="66">
        <v>2.5065599999999999</v>
      </c>
      <c r="E25" s="66">
        <v>0</v>
      </c>
      <c r="F25" s="66">
        <v>2.54647E-2</v>
      </c>
      <c r="G25" s="66">
        <v>0</v>
      </c>
      <c r="H25" s="66">
        <v>3.8044799999999999</v>
      </c>
    </row>
    <row r="26" spans="1:8">
      <c r="A26" s="58" t="s">
        <v>323</v>
      </c>
      <c r="B26" s="66">
        <v>1.2900500000000001E-3</v>
      </c>
      <c r="C26" s="66">
        <v>1.0751200000000001E-2</v>
      </c>
      <c r="D26" s="66">
        <v>8.3339400000000001</v>
      </c>
      <c r="E26" s="66">
        <v>0</v>
      </c>
      <c r="F26" s="196">
        <v>1.9695400000000001E-5</v>
      </c>
      <c r="G26" s="66">
        <v>0</v>
      </c>
      <c r="H26" s="66">
        <v>7.6165300000000005E-2</v>
      </c>
    </row>
    <row r="27" spans="1:8">
      <c r="A27" s="58" t="s">
        <v>324</v>
      </c>
      <c r="B27" s="196">
        <v>-5.5803600000000002E-5</v>
      </c>
      <c r="C27" s="66">
        <v>2.6775000000000002E-3</v>
      </c>
      <c r="D27" s="66">
        <v>-47.980800000000002</v>
      </c>
      <c r="E27" s="66">
        <v>0</v>
      </c>
      <c r="F27" s="66">
        <v>-1.40001E-2</v>
      </c>
      <c r="G27" s="66">
        <v>0</v>
      </c>
      <c r="H27" s="66">
        <v>1.49225E-2</v>
      </c>
    </row>
    <row r="28" spans="1:8">
      <c r="A28" s="58" t="s">
        <v>325</v>
      </c>
      <c r="B28" s="66">
        <v>2.3684899999999998E-2</v>
      </c>
      <c r="C28" s="66">
        <v>4.4472100000000001E-2</v>
      </c>
      <c r="D28" s="66">
        <v>1.8776600000000001</v>
      </c>
      <c r="E28" s="66">
        <v>0</v>
      </c>
      <c r="F28" s="66">
        <v>5.4036500000000001E-4</v>
      </c>
      <c r="G28" s="66">
        <v>0</v>
      </c>
      <c r="H28" s="66">
        <v>0.249333</v>
      </c>
    </row>
    <row r="29" spans="1:8">
      <c r="A29" s="58" t="s">
        <v>326</v>
      </c>
      <c r="B29" s="66">
        <v>75.679500000000004</v>
      </c>
      <c r="C29" s="66">
        <v>11.117800000000001</v>
      </c>
      <c r="D29" s="66">
        <v>0.14690600000000001</v>
      </c>
      <c r="E29" s="66">
        <v>0</v>
      </c>
      <c r="F29" s="66">
        <v>49.481999999999999</v>
      </c>
      <c r="G29" s="66">
        <v>0</v>
      </c>
      <c r="H29" s="66">
        <v>118.26900000000001</v>
      </c>
    </row>
    <row r="30" spans="1:8">
      <c r="A30" s="58" t="s">
        <v>327</v>
      </c>
      <c r="B30" s="66">
        <v>29.242599999999999</v>
      </c>
      <c r="C30" s="66">
        <v>3.9226000000000001</v>
      </c>
      <c r="D30" s="66">
        <v>0.13414000000000001</v>
      </c>
      <c r="E30" s="66">
        <v>0</v>
      </c>
      <c r="F30" s="66">
        <v>15.662800000000001</v>
      </c>
      <c r="G30" s="66">
        <v>0</v>
      </c>
      <c r="H30" s="66">
        <v>32.424500000000002</v>
      </c>
    </row>
    <row r="31" spans="1:8">
      <c r="A31" s="58" t="s">
        <v>328</v>
      </c>
      <c r="B31" s="66">
        <v>352.68200000000002</v>
      </c>
      <c r="C31" s="66">
        <v>60.672600000000003</v>
      </c>
      <c r="D31" s="66">
        <v>0.17203199999999999</v>
      </c>
      <c r="E31" s="66">
        <v>0</v>
      </c>
      <c r="F31" s="66">
        <v>146.47499999999999</v>
      </c>
      <c r="G31" s="66">
        <v>0</v>
      </c>
      <c r="H31" s="66">
        <v>437.31200000000001</v>
      </c>
    </row>
    <row r="32" spans="1:8">
      <c r="A32" s="58" t="s">
        <v>329</v>
      </c>
      <c r="B32" s="66">
        <v>0.314164</v>
      </c>
      <c r="C32" s="66">
        <v>8.4531999999999996E-2</v>
      </c>
      <c r="D32" s="66">
        <v>0.269069</v>
      </c>
      <c r="E32" s="66">
        <v>0.15</v>
      </c>
      <c r="F32" s="66">
        <v>7.5729000000000005E-2</v>
      </c>
      <c r="G32" s="66">
        <v>0.4</v>
      </c>
      <c r="H32" s="66">
        <v>0.40964200000000001</v>
      </c>
    </row>
    <row r="33" spans="1:8">
      <c r="A33" s="58" t="s">
        <v>330</v>
      </c>
      <c r="B33" s="66">
        <v>0.21820500000000001</v>
      </c>
      <c r="C33" s="66">
        <v>5.4443600000000002E-2</v>
      </c>
      <c r="D33" s="66">
        <v>0.24950700000000001</v>
      </c>
      <c r="E33" s="66">
        <v>0</v>
      </c>
      <c r="F33" s="66">
        <v>0.18595600000000001</v>
      </c>
      <c r="G33" s="66">
        <v>0</v>
      </c>
      <c r="H33" s="66">
        <v>0.35871700000000001</v>
      </c>
    </row>
    <row r="34" spans="1:8">
      <c r="A34" s="58" t="s">
        <v>331</v>
      </c>
      <c r="B34" s="66">
        <v>0.17679700000000001</v>
      </c>
      <c r="C34" s="66">
        <v>2.31629E-2</v>
      </c>
      <c r="D34" s="66">
        <v>0.13101399999999999</v>
      </c>
      <c r="E34" s="66">
        <v>0.1</v>
      </c>
      <c r="F34" s="66">
        <v>0.121849</v>
      </c>
      <c r="G34" s="66">
        <v>0.25</v>
      </c>
      <c r="H34" s="66">
        <v>0.24685000000000001</v>
      </c>
    </row>
    <row r="35" spans="1:8">
      <c r="A35" s="58" t="s">
        <v>332</v>
      </c>
      <c r="B35" s="66">
        <v>8.2417699999999997E-2</v>
      </c>
      <c r="C35" s="66">
        <v>2.0929099999999999E-2</v>
      </c>
      <c r="D35" s="66">
        <v>0.25393900000000003</v>
      </c>
      <c r="E35" s="66">
        <v>0</v>
      </c>
      <c r="F35" s="66">
        <v>4.15682E-2</v>
      </c>
      <c r="G35" s="66">
        <v>0</v>
      </c>
      <c r="H35" s="66">
        <v>0.14671600000000001</v>
      </c>
    </row>
    <row r="36" spans="1:8">
      <c r="A36" s="58" t="s">
        <v>333</v>
      </c>
      <c r="B36" s="66">
        <v>0.15187400000000001</v>
      </c>
      <c r="C36" s="66">
        <v>9.0654399999999996E-2</v>
      </c>
      <c r="D36" s="66">
        <v>0.59690399999999999</v>
      </c>
      <c r="E36" s="66">
        <v>0</v>
      </c>
      <c r="F36" s="66">
        <v>3.2837100000000001E-2</v>
      </c>
      <c r="G36" s="66">
        <v>0</v>
      </c>
      <c r="H36" s="66">
        <v>0.47430299999999997</v>
      </c>
    </row>
    <row r="37" spans="1:8">
      <c r="A37" s="58" t="s">
        <v>334</v>
      </c>
      <c r="B37" s="66">
        <v>0.231629</v>
      </c>
      <c r="C37" s="66">
        <v>7.8298400000000004E-2</v>
      </c>
      <c r="D37" s="66">
        <v>0.33803299999999997</v>
      </c>
      <c r="E37" s="66">
        <v>0.1</v>
      </c>
      <c r="F37" s="66">
        <v>2.6794100000000001E-2</v>
      </c>
      <c r="G37" s="66">
        <v>0.5</v>
      </c>
      <c r="H37" s="66">
        <v>0.26730100000000001</v>
      </c>
    </row>
    <row r="38" spans="1:8">
      <c r="A38" s="58" t="s">
        <v>335</v>
      </c>
      <c r="B38" s="66">
        <v>-15.4344</v>
      </c>
      <c r="C38" s="66">
        <v>77.005799999999994</v>
      </c>
      <c r="D38" s="66">
        <v>-4.9892099999999999</v>
      </c>
      <c r="E38" s="66">
        <v>0</v>
      </c>
      <c r="F38" s="66">
        <v>-211.28200000000001</v>
      </c>
      <c r="G38" s="66">
        <v>0</v>
      </c>
      <c r="H38" s="66">
        <v>381.13400000000001</v>
      </c>
    </row>
    <row r="39" spans="1:8">
      <c r="A39" s="58" t="s">
        <v>336</v>
      </c>
      <c r="B39" s="66">
        <v>-2.97905</v>
      </c>
      <c r="C39" s="66">
        <v>14.991199999999999</v>
      </c>
      <c r="D39" s="66">
        <v>-5.0321999999999996</v>
      </c>
      <c r="E39" s="66">
        <v>0</v>
      </c>
      <c r="F39" s="66">
        <v>-21.388999999999999</v>
      </c>
      <c r="G39" s="66">
        <v>0</v>
      </c>
      <c r="H39" s="66">
        <v>81.495599999999996</v>
      </c>
    </row>
    <row r="40" spans="1:8">
      <c r="A40" s="58" t="s">
        <v>337</v>
      </c>
      <c r="B40" s="66">
        <v>-1.29566</v>
      </c>
      <c r="C40" s="66">
        <v>4.4862900000000003</v>
      </c>
      <c r="D40" s="66">
        <v>-3.4625499999999998</v>
      </c>
      <c r="E40" s="66">
        <v>0</v>
      </c>
      <c r="F40" s="66">
        <v>-6.1433</v>
      </c>
      <c r="G40" s="66">
        <v>0</v>
      </c>
      <c r="H40" s="66">
        <v>7.7797499999999999</v>
      </c>
    </row>
    <row r="41" spans="1:8">
      <c r="A41" s="58" t="s">
        <v>338</v>
      </c>
      <c r="B41" s="66">
        <v>-9.3671599999999994E-2</v>
      </c>
      <c r="C41" s="66">
        <v>0.28714299999999998</v>
      </c>
      <c r="D41" s="66">
        <v>-3.06542</v>
      </c>
      <c r="E41" s="66">
        <v>0</v>
      </c>
      <c r="F41" s="66">
        <v>-0.62382400000000005</v>
      </c>
      <c r="G41" s="66">
        <v>0</v>
      </c>
      <c r="H41" s="66">
        <v>1</v>
      </c>
    </row>
    <row r="42" spans="1:8">
      <c r="A42" s="58" t="s">
        <v>339</v>
      </c>
      <c r="B42" s="66">
        <v>-2.1603899999999999E-2</v>
      </c>
      <c r="C42" s="66">
        <v>0.138492</v>
      </c>
      <c r="D42" s="66">
        <v>-6.4104999999999999</v>
      </c>
      <c r="E42" s="66">
        <v>0</v>
      </c>
      <c r="F42" s="66">
        <v>-0.270679</v>
      </c>
      <c r="G42" s="66">
        <v>0</v>
      </c>
      <c r="H42" s="66">
        <v>0.62313200000000002</v>
      </c>
    </row>
    <row r="43" spans="1:8">
      <c r="A43" s="58" t="s">
        <v>340</v>
      </c>
      <c r="B43" s="66">
        <v>8.07393E-3</v>
      </c>
      <c r="C43" s="66">
        <v>6.3609600000000002E-2</v>
      </c>
      <c r="D43" s="66">
        <v>7.8783899999999996</v>
      </c>
      <c r="E43" s="66">
        <v>0</v>
      </c>
      <c r="F43" s="66">
        <v>-4.8891700000000003E-2</v>
      </c>
      <c r="G43" s="66">
        <v>0</v>
      </c>
      <c r="H43" s="66">
        <v>0.15565799999999999</v>
      </c>
    </row>
    <row r="44" spans="1:8">
      <c r="A44" s="58" t="s">
        <v>341</v>
      </c>
      <c r="B44" s="66">
        <v>-79.699200000000005</v>
      </c>
      <c r="C44" s="66">
        <v>43.0154</v>
      </c>
      <c r="D44" s="66">
        <v>-0.53972200000000004</v>
      </c>
      <c r="E44" s="66">
        <v>0</v>
      </c>
      <c r="F44" s="66">
        <v>-177.24700000000001</v>
      </c>
      <c r="G44" s="66">
        <v>0</v>
      </c>
      <c r="H44" s="66">
        <v>0.14883399999999999</v>
      </c>
    </row>
    <row r="45" spans="1:8">
      <c r="A45" s="58" t="s">
        <v>342</v>
      </c>
      <c r="B45" s="66">
        <v>54.8996</v>
      </c>
      <c r="C45" s="66">
        <v>7.0738399999999997</v>
      </c>
      <c r="D45" s="66">
        <v>0.12885099999999999</v>
      </c>
      <c r="E45" s="66">
        <v>0</v>
      </c>
      <c r="F45" s="66">
        <v>30.639700000000001</v>
      </c>
      <c r="G45" s="66">
        <v>0</v>
      </c>
      <c r="H45" s="66">
        <v>70.374399999999994</v>
      </c>
    </row>
    <row r="46" spans="1:8">
      <c r="A46" s="58" t="s">
        <v>343</v>
      </c>
      <c r="B46" s="66">
        <v>30.6035</v>
      </c>
      <c r="C46" s="66">
        <v>4.84171</v>
      </c>
      <c r="D46" s="66">
        <v>0.15820799999999999</v>
      </c>
      <c r="E46" s="66">
        <v>0</v>
      </c>
      <c r="F46" s="66">
        <v>12.4513</v>
      </c>
      <c r="G46" s="66">
        <v>0</v>
      </c>
      <c r="H46" s="66">
        <v>36.566600000000001</v>
      </c>
    </row>
    <row r="47" spans="1:8">
      <c r="A47" s="58" t="s">
        <v>344</v>
      </c>
      <c r="B47" s="66">
        <v>0.99548199999999998</v>
      </c>
      <c r="C47" s="66">
        <v>1.01841</v>
      </c>
      <c r="D47" s="66">
        <v>1.0230399999999999</v>
      </c>
      <c r="E47" s="66">
        <v>0</v>
      </c>
      <c r="F47" s="66">
        <v>0.35510999999999998</v>
      </c>
      <c r="G47" s="66">
        <v>0</v>
      </c>
      <c r="H47" s="66">
        <v>7.4940600000000002</v>
      </c>
    </row>
    <row r="48" spans="1:8">
      <c r="A48" s="58" t="s">
        <v>345</v>
      </c>
      <c r="B48" s="66">
        <v>0.72034699999999996</v>
      </c>
      <c r="C48" s="66">
        <v>9.4561500000000007E-2</v>
      </c>
      <c r="D48" s="66">
        <v>0.131272</v>
      </c>
      <c r="E48" s="66">
        <v>0</v>
      </c>
      <c r="F48" s="66">
        <v>0.50620699999999996</v>
      </c>
      <c r="G48" s="66">
        <v>0</v>
      </c>
      <c r="H48" s="66">
        <v>1.0876300000000001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1.6772999999999954</v>
      </c>
      <c r="C5" s="66">
        <f>'M2'!C5-'M1'!C5</f>
        <v>-4.3559099999999988</v>
      </c>
      <c r="D5" s="66">
        <f>'M2'!D5-'M1'!D5</f>
        <v>-11.02961</v>
      </c>
      <c r="E5" s="66">
        <f>'M2'!E5-'M1'!E5</f>
        <v>0</v>
      </c>
      <c r="F5" s="66">
        <f>'M2'!F5-'M1'!F5</f>
        <v>16.929999999999996</v>
      </c>
      <c r="G5" s="66">
        <f>'M2'!G5-'M1'!G5</f>
        <v>0</v>
      </c>
      <c r="H5" s="66">
        <f>'M2'!H5-'M1'!H5</f>
        <v>-1.2394000000000034</v>
      </c>
    </row>
    <row r="6" spans="1:8">
      <c r="A6" s="66" t="s">
        <v>244</v>
      </c>
      <c r="B6" s="66">
        <f>'M2'!B6-'M1'!B6</f>
        <v>-0.15449999999999875</v>
      </c>
      <c r="C6" s="66">
        <f>'M2'!C6-'M1'!C6</f>
        <v>-0.41234000000000015</v>
      </c>
      <c r="D6" s="66">
        <f>'M2'!D6-'M1'!D6</f>
        <v>-1.5511700000000008</v>
      </c>
      <c r="E6" s="66">
        <f>'M2'!E6-'M1'!E6</f>
        <v>0</v>
      </c>
      <c r="F6" s="66">
        <f>'M2'!F6-'M1'!F6</f>
        <v>2.0826999999999991</v>
      </c>
      <c r="G6" s="66">
        <f>'M2'!G6-'M1'!G6</f>
        <v>0</v>
      </c>
      <c r="H6" s="66">
        <f>'M2'!H6-'M1'!H6</f>
        <v>0.4109000000000016</v>
      </c>
    </row>
    <row r="7" spans="1:8">
      <c r="A7" s="66" t="s">
        <v>245</v>
      </c>
      <c r="B7" s="66">
        <f>'M2'!B7-'M1'!B7</f>
        <v>1.5825999999999993</v>
      </c>
      <c r="C7" s="66">
        <f>'M2'!C7-'M1'!C7</f>
        <v>0.40617000000000125</v>
      </c>
      <c r="D7" s="66">
        <f>'M2'!D7-'M1'!D7</f>
        <v>-5.7700000000000529E-2</v>
      </c>
      <c r="E7" s="66">
        <f>'M2'!E7-'M1'!E7</f>
        <v>0</v>
      </c>
      <c r="F7" s="66">
        <f>'M2'!F7-'M1'!F7</f>
        <v>-0.69458000000000109</v>
      </c>
      <c r="G7" s="66">
        <f>'M2'!G7-'M1'!G7</f>
        <v>0</v>
      </c>
      <c r="H7" s="66">
        <f>'M2'!H7-'M1'!H7</f>
        <v>1.4831999999999965</v>
      </c>
    </row>
    <row r="8" spans="1:8">
      <c r="A8" s="66" t="s">
        <v>246</v>
      </c>
      <c r="B8" s="66">
        <f>'M2'!B8-'M1'!B8</f>
        <v>2.8264000000000031</v>
      </c>
      <c r="C8" s="66">
        <f>'M2'!C8-'M1'!C8</f>
        <v>0.19549000000000039</v>
      </c>
      <c r="D8" s="66">
        <f>'M2'!D8-'M1'!D8</f>
        <v>-0.45500000000000007</v>
      </c>
      <c r="E8" s="66">
        <f>'M2'!E8-'M1'!E8</f>
        <v>0</v>
      </c>
      <c r="F8" s="66">
        <f>'M2'!F8-'M1'!F8</f>
        <v>2.3790000000000013</v>
      </c>
      <c r="G8" s="66">
        <f>'M2'!G8-'M1'!G8</f>
        <v>0</v>
      </c>
      <c r="H8" s="66">
        <f>'M2'!H8-'M1'!H8</f>
        <v>1.7293999999999983</v>
      </c>
    </row>
    <row r="9" spans="1:8">
      <c r="A9" s="66" t="s">
        <v>247</v>
      </c>
      <c r="B9" s="66">
        <f>'M2'!B9-'M1'!B9</f>
        <v>-1.902000000000001</v>
      </c>
      <c r="C9" s="66">
        <f>'M2'!C9-'M1'!C9</f>
        <v>-0.9163199999999998</v>
      </c>
      <c r="D9" s="66">
        <f>'M2'!D9-'M1'!D9</f>
        <v>-1.0455999999999985</v>
      </c>
      <c r="E9" s="66">
        <f>'M2'!E9-'M1'!E9</f>
        <v>0</v>
      </c>
      <c r="F9" s="66">
        <f>'M2'!F9-'M1'!F9</f>
        <v>-3.1354000000000042</v>
      </c>
      <c r="G9" s="66">
        <f>'M2'!G9-'M1'!G9</f>
        <v>0</v>
      </c>
      <c r="H9" s="66">
        <f>'M2'!H9-'M1'!H9</f>
        <v>-15.028599999999997</v>
      </c>
    </row>
    <row r="10" spans="1:8">
      <c r="A10" s="66" t="s">
        <v>248</v>
      </c>
      <c r="B10" s="66">
        <f>'M2'!B10-'M1'!B10</f>
        <v>-2.9569000000000045</v>
      </c>
      <c r="C10" s="66">
        <f>'M2'!C10-'M1'!C10</f>
        <v>2.1617299999999995</v>
      </c>
      <c r="D10" s="66">
        <f>'M2'!D10-'M1'!D10</f>
        <v>3.0682299999999998</v>
      </c>
      <c r="E10" s="66">
        <f>'M2'!E10-'M1'!E10</f>
        <v>0</v>
      </c>
      <c r="F10" s="66">
        <f>'M2'!F10-'M1'!F10</f>
        <v>-15.305399999999992</v>
      </c>
      <c r="G10" s="66">
        <f>'M2'!G10-'M1'!G10</f>
        <v>0</v>
      </c>
      <c r="H10" s="66">
        <f>'M2'!H10-'M1'!H10</f>
        <v>-2.3994999999999891</v>
      </c>
    </row>
    <row r="11" spans="1:8">
      <c r="A11" s="66" t="s">
        <v>249</v>
      </c>
      <c r="B11" s="66">
        <f>'M2'!B11-'M1'!B11</f>
        <v>-0.54469999999999885</v>
      </c>
      <c r="C11" s="66">
        <f>'M2'!C11-'M1'!C11</f>
        <v>-1.9007700000000001</v>
      </c>
      <c r="D11" s="66">
        <f>'M2'!D11-'M1'!D11</f>
        <v>-8.4116900000000001</v>
      </c>
      <c r="E11" s="66">
        <f>'M2'!E11-'M1'!E11</f>
        <v>0</v>
      </c>
      <c r="F11" s="66">
        <f>'M2'!F11-'M1'!F11</f>
        <v>5.9974000000000007</v>
      </c>
      <c r="G11" s="66">
        <f>'M2'!G11-'M1'!G11</f>
        <v>0</v>
      </c>
      <c r="H11" s="66">
        <f>'M2'!H11-'M1'!H11</f>
        <v>-7.6599999999999113E-2</v>
      </c>
    </row>
    <row r="12" spans="1:8">
      <c r="A12" s="66" t="s">
        <v>250</v>
      </c>
      <c r="B12" s="66">
        <f>'M2'!B12-'M1'!B12</f>
        <v>-2.605400000000003</v>
      </c>
      <c r="C12" s="66">
        <f>'M2'!C12-'M1'!C12</f>
        <v>-1.60873</v>
      </c>
      <c r="D12" s="66">
        <f>'M2'!D12-'M1'!D12</f>
        <v>-2.0489300000000004</v>
      </c>
      <c r="E12" s="66">
        <f>'M2'!E12-'M1'!E12</f>
        <v>0</v>
      </c>
      <c r="F12" s="66">
        <f>'M2'!F12-'M1'!F12</f>
        <v>-2.9316999999999993</v>
      </c>
      <c r="G12" s="66">
        <f>'M2'!G12-'M1'!G12</f>
        <v>0</v>
      </c>
      <c r="H12" s="66">
        <f>'M2'!H12-'M1'!H12</f>
        <v>-12.878</v>
      </c>
    </row>
    <row r="13" spans="1:8">
      <c r="A13" s="66" t="s">
        <v>251</v>
      </c>
      <c r="B13" s="66">
        <f>'M2'!B13-'M1'!B13</f>
        <v>1.090799999999998</v>
      </c>
      <c r="C13" s="66">
        <f>'M2'!C13-'M1'!C13</f>
        <v>-0.54543999999999992</v>
      </c>
      <c r="D13" s="66">
        <f>'M2'!D13-'M1'!D13</f>
        <v>-3.9151999999999987</v>
      </c>
      <c r="E13" s="66">
        <f>'M2'!E13-'M1'!E13</f>
        <v>0</v>
      </c>
      <c r="F13" s="66">
        <f>'M2'!F13-'M1'!F13</f>
        <v>1.3431999999999995</v>
      </c>
      <c r="G13" s="66">
        <f>'M2'!G13-'M1'!G13</f>
        <v>0</v>
      </c>
      <c r="H13" s="66">
        <f>'M2'!H13-'M1'!H13</f>
        <v>1.4870999999999981</v>
      </c>
    </row>
    <row r="14" spans="1:8">
      <c r="A14" s="66" t="s">
        <v>252</v>
      </c>
      <c r="B14" s="66">
        <f>'M2'!B14-'M1'!B14</f>
        <v>-5.4543999999999997</v>
      </c>
      <c r="C14" s="66">
        <f>'M2'!C14-'M1'!C14</f>
        <v>0.21784999999999943</v>
      </c>
      <c r="D14" s="66">
        <f>'M2'!D14-'M1'!D14</f>
        <v>9.7334000000000032</v>
      </c>
      <c r="E14" s="66">
        <f>'M2'!E14-'M1'!E14</f>
        <v>0</v>
      </c>
      <c r="F14" s="66">
        <f>'M2'!F14-'M1'!F14</f>
        <v>-1.6490000000000116E-2</v>
      </c>
      <c r="G14" s="66">
        <f>'M2'!G14-'M1'!G14</f>
        <v>0</v>
      </c>
      <c r="H14" s="66">
        <f>'M2'!H14-'M1'!H14</f>
        <v>-0.75560000000000116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3.3340000000000036E-2</v>
      </c>
      <c r="C18" s="66">
        <f>'M2'!C18-'M1'!C18</f>
        <v>1.695E-2</v>
      </c>
      <c r="D18" s="66">
        <f>'M2'!D18-'M1'!D18</f>
        <v>3.9620700000000002E-2</v>
      </c>
      <c r="E18" s="66">
        <f>'M2'!E18-'M1'!E18</f>
        <v>0</v>
      </c>
      <c r="F18" s="66">
        <f>'M2'!F18-'M1'!F18</f>
        <v>0.410858</v>
      </c>
      <c r="G18" s="66">
        <f>'M2'!G18-'M1'!G18</f>
        <v>0</v>
      </c>
      <c r="H18" s="66">
        <f>'M2'!H18-'M1'!H18</f>
        <v>0.44475799999999999</v>
      </c>
    </row>
    <row r="19" spans="1:8">
      <c r="A19" s="66" t="s">
        <v>256</v>
      </c>
      <c r="B19" s="66">
        <f>'M2'!B19-'M1'!B19</f>
        <v>4.2298000000000058E-2</v>
      </c>
      <c r="C19" s="66">
        <f>'M2'!C19-'M1'!C19</f>
        <v>2.9935E-2</v>
      </c>
      <c r="D19" s="66">
        <f>'M2'!D19-'M1'!D19</f>
        <v>4.96915E-2</v>
      </c>
      <c r="E19" s="66">
        <f>'M2'!E19-'M1'!E19</f>
        <v>0</v>
      </c>
      <c r="F19" s="66">
        <f>'M2'!F19-'M1'!F19</f>
        <v>0.57248299999999996</v>
      </c>
      <c r="G19" s="66">
        <f>'M2'!G19-'M1'!G19</f>
        <v>0</v>
      </c>
      <c r="H19" s="66">
        <f>'M2'!H19-'M1'!H19</f>
        <v>0.63235300000000005</v>
      </c>
    </row>
    <row r="20" spans="1:8">
      <c r="A20" s="66" t="s">
        <v>63</v>
      </c>
      <c r="B20" s="66">
        <f>'M2'!B20-'M1'!B20</f>
        <v>2.8896000000000043E-4</v>
      </c>
      <c r="C20" s="66">
        <f>'M2'!C20-'M1'!C20</f>
        <v>-2.5500599999999998E-2</v>
      </c>
      <c r="D20" s="66">
        <f>'M2'!D20-'M1'!D20</f>
        <v>-4.8254999999999981</v>
      </c>
      <c r="E20" s="66">
        <f>'M2'!E20-'M1'!E20</f>
        <v>0</v>
      </c>
      <c r="F20" s="66">
        <f>'M2'!F20-'M1'!F20</f>
        <v>9.590199999999995E-6</v>
      </c>
      <c r="G20" s="66">
        <f>'M2'!G20-'M1'!G20</f>
        <v>0</v>
      </c>
      <c r="H20" s="66">
        <f>'M2'!H20-'M1'!H20</f>
        <v>-1.9191000000000069E-2</v>
      </c>
    </row>
    <row r="21" spans="1:8">
      <c r="A21" s="66" t="s">
        <v>64</v>
      </c>
      <c r="B21" s="66">
        <f>'M2'!B21-'M1'!B21</f>
        <v>-9.0349999999999875E-3</v>
      </c>
      <c r="C21" s="66">
        <f>'M2'!C21-'M1'!C21</f>
        <v>-0.36087500000000006</v>
      </c>
      <c r="D21" s="66">
        <f>'M2'!D21-'M1'!D21</f>
        <v>-1.3484800000000003</v>
      </c>
      <c r="E21" s="66">
        <f>'M2'!E21-'M1'!E21</f>
        <v>0</v>
      </c>
      <c r="F21" s="66">
        <f>'M2'!F21-'M1'!F21</f>
        <v>1.6316599999999998E-3</v>
      </c>
      <c r="G21" s="66">
        <f>'M2'!G21-'M1'!G21</f>
        <v>0</v>
      </c>
      <c r="H21" s="66">
        <f>'M2'!H21-'M1'!H21</f>
        <v>-1.5132099999999999</v>
      </c>
    </row>
    <row r="22" spans="1:8">
      <c r="A22" s="66" t="s">
        <v>65</v>
      </c>
      <c r="B22" s="66">
        <f>'M2'!B22-'M1'!B22</f>
        <v>6.9027000000000029</v>
      </c>
      <c r="C22" s="66">
        <f>'M2'!C22-'M1'!C22</f>
        <v>-6.5526000000000018</v>
      </c>
      <c r="D22" s="66">
        <f>'M2'!D22-'M1'!D22</f>
        <v>-0.15479199999999999</v>
      </c>
      <c r="E22" s="66">
        <f>'M2'!E22-'M1'!E22</f>
        <v>0</v>
      </c>
      <c r="F22" s="66">
        <f>'M2'!F22-'M1'!F22</f>
        <v>21.201600000000003</v>
      </c>
      <c r="G22" s="66">
        <f>'M2'!G22-'M1'!G22</f>
        <v>0</v>
      </c>
      <c r="H22" s="66">
        <f>'M2'!H22-'M1'!H22</f>
        <v>-29.872</v>
      </c>
    </row>
    <row r="23" spans="1:8">
      <c r="A23" s="66" t="s">
        <v>66</v>
      </c>
      <c r="B23" s="66">
        <f>'M2'!B23-'M1'!B23</f>
        <v>3.4848999999999997</v>
      </c>
      <c r="C23" s="66">
        <f>'M2'!C23-'M1'!C23</f>
        <v>-2.4286600000000003</v>
      </c>
      <c r="D23" s="66">
        <f>'M2'!D23-'M1'!D23</f>
        <v>-0.11425500000000001</v>
      </c>
      <c r="E23" s="66">
        <f>'M2'!E23-'M1'!E23</f>
        <v>0</v>
      </c>
      <c r="F23" s="66">
        <f>'M2'!F23-'M1'!F23</f>
        <v>6.4080000000000013</v>
      </c>
      <c r="G23" s="66">
        <f>'M2'!G23-'M1'!G23</f>
        <v>0</v>
      </c>
      <c r="H23" s="66">
        <f>'M2'!H23-'M1'!H23</f>
        <v>4.0374000000000017</v>
      </c>
    </row>
    <row r="24" spans="1:8">
      <c r="A24" s="66" t="s">
        <v>67</v>
      </c>
      <c r="B24" s="66">
        <f>'M2'!B24-'M1'!B24</f>
        <v>1.1347300000000001E-2</v>
      </c>
      <c r="C24" s="66">
        <f>'M2'!C24-'M1'!C24</f>
        <v>-2.6181300000000005E-2</v>
      </c>
      <c r="D24" s="66">
        <f>'M2'!D24-'M1'!D24</f>
        <v>-2.9297299999999997</v>
      </c>
      <c r="E24" s="66">
        <f>'M2'!E24-'M1'!E24</f>
        <v>0</v>
      </c>
      <c r="F24" s="66">
        <f>'M2'!F24-'M1'!F24</f>
        <v>3.0060000000000048E-6</v>
      </c>
      <c r="G24" s="66">
        <f>'M2'!G24-'M1'!G24</f>
        <v>0</v>
      </c>
      <c r="H24" s="66">
        <f>'M2'!H24-'M1'!H24</f>
        <v>4.3170000000000153E-3</v>
      </c>
    </row>
    <row r="25" spans="1:8">
      <c r="A25" s="66" t="s">
        <v>68</v>
      </c>
      <c r="B25" s="66">
        <f>'M2'!B25-'M1'!B25</f>
        <v>-2.7630000000000154E-3</v>
      </c>
      <c r="C25" s="66">
        <f>'M2'!C25-'M1'!C25</f>
        <v>-0.31868999999999997</v>
      </c>
      <c r="D25" s="66">
        <f>'M2'!D25-'M1'!D25</f>
        <v>-1.1555500000000001</v>
      </c>
      <c r="E25" s="66">
        <f>'M2'!E25-'M1'!E25</f>
        <v>0</v>
      </c>
      <c r="F25" s="66">
        <f>'M2'!F25-'M1'!F25</f>
        <v>4.89215E-2</v>
      </c>
      <c r="G25" s="66">
        <f>'M2'!G25-'M1'!G25</f>
        <v>0</v>
      </c>
      <c r="H25" s="66">
        <f>'M2'!H25-'M1'!H25</f>
        <v>-1.3887199999999997</v>
      </c>
    </row>
    <row r="26" spans="1:8">
      <c r="A26" s="66" t="s">
        <v>69</v>
      </c>
      <c r="B26" s="66">
        <f>'M2'!B26-'M1'!B26</f>
        <v>6.5649999999999997E-5</v>
      </c>
      <c r="C26" s="66">
        <f>'M2'!C26-'M1'!C26</f>
        <v>-3.8327599999999993E-3</v>
      </c>
      <c r="D26" s="66">
        <f>'M2'!D26-'M1'!D26</f>
        <v>-3.3708599999999995</v>
      </c>
      <c r="E26" s="66">
        <f>'M2'!E26-'M1'!E26</f>
        <v>0</v>
      </c>
      <c r="F26" s="66">
        <f>'M2'!F26-'M1'!F26</f>
        <v>0</v>
      </c>
      <c r="G26" s="66">
        <f>'M2'!G26-'M1'!G26</f>
        <v>0</v>
      </c>
      <c r="H26" s="66">
        <f>'M2'!H26-'M1'!H26</f>
        <v>-2.5538000000000088E-3</v>
      </c>
    </row>
    <row r="27" spans="1:8">
      <c r="A27" s="66" t="s">
        <v>70</v>
      </c>
      <c r="B27" s="66">
        <f>'M2'!B27-'M1'!B27</f>
        <v>-1.6412900000000007E-5</v>
      </c>
      <c r="C27" s="66">
        <f>'M2'!C27-'M1'!C27</f>
        <v>-1.9136000000000023E-4</v>
      </c>
      <c r="D27" s="66">
        <f>'M2'!D27-'M1'!D27</f>
        <v>16.993700000000004</v>
      </c>
      <c r="E27" s="66">
        <f>'M2'!E27-'M1'!E27</f>
        <v>0</v>
      </c>
      <c r="F27" s="66">
        <f>'M2'!F27-'M1'!F27</f>
        <v>3.0165999999999995E-3</v>
      </c>
      <c r="G27" s="66">
        <f>'M2'!G27-'M1'!G27</f>
        <v>0</v>
      </c>
      <c r="H27" s="66">
        <f>'M2'!H27-'M1'!H27</f>
        <v>-3.509E-3</v>
      </c>
    </row>
    <row r="28" spans="1:8">
      <c r="A28" s="66" t="s">
        <v>71</v>
      </c>
      <c r="B28" s="66">
        <f>'M2'!B28-'M1'!B28</f>
        <v>-9.3419999999999961E-4</v>
      </c>
      <c r="C28" s="66">
        <f>'M2'!C28-'M1'!C28</f>
        <v>-1.1899800000000002E-2</v>
      </c>
      <c r="D28" s="66">
        <f>'M2'!D28-'M1'!D28</f>
        <v>-0.42600999999999978</v>
      </c>
      <c r="E28" s="66">
        <f>'M2'!E28-'M1'!E28</f>
        <v>0</v>
      </c>
      <c r="F28" s="66">
        <f>'M2'!F28-'M1'!F28</f>
        <v>1.5625000000000003E-4</v>
      </c>
      <c r="G28" s="66">
        <f>'M2'!G28-'M1'!G28</f>
        <v>0</v>
      </c>
      <c r="H28" s="66">
        <f>'M2'!H28-'M1'!H28</f>
        <v>-3.7073999999999996E-2</v>
      </c>
    </row>
    <row r="29" spans="1:8">
      <c r="A29" s="66" t="s">
        <v>72</v>
      </c>
      <c r="B29" s="66">
        <f>'M2'!B29-'M1'!B29</f>
        <v>3.751899999999992</v>
      </c>
      <c r="C29" s="66">
        <f>'M2'!C29-'M1'!C29</f>
        <v>-2.6642299999999999</v>
      </c>
      <c r="D29" s="66">
        <f>'M2'!D29-'M1'!D29</f>
        <v>-4.2419999999999999E-2</v>
      </c>
      <c r="E29" s="66">
        <f>'M2'!E29-'M1'!E29</f>
        <v>0</v>
      </c>
      <c r="F29" s="66">
        <f>'M2'!F29-'M1'!F29</f>
        <v>7.6195000000000022</v>
      </c>
      <c r="G29" s="66">
        <f>'M2'!G29-'M1'!G29</f>
        <v>0</v>
      </c>
      <c r="H29" s="66">
        <f>'M2'!H29-'M1'!H29</f>
        <v>-10.753</v>
      </c>
    </row>
    <row r="30" spans="1:8">
      <c r="A30" s="66" t="s">
        <v>73</v>
      </c>
      <c r="B30" s="66">
        <f>'M2'!B30-'M1'!B30</f>
        <v>0.99579999999999913</v>
      </c>
      <c r="C30" s="66">
        <f>'M2'!C30-'M1'!C30</f>
        <v>-2.9454400000000005</v>
      </c>
      <c r="D30" s="66">
        <f>'M2'!D30-'M1'!D30</f>
        <v>-0.10536760000000001</v>
      </c>
      <c r="E30" s="66">
        <f>'M2'!E30-'M1'!E30</f>
        <v>0</v>
      </c>
      <c r="F30" s="66">
        <f>'M2'!F30-'M1'!F30</f>
        <v>9.3509999999999991</v>
      </c>
      <c r="G30" s="66">
        <f>'M2'!G30-'M1'!G30</f>
        <v>0</v>
      </c>
      <c r="H30" s="66">
        <f>'M2'!H30-'M1'!H30</f>
        <v>0.76150000000000162</v>
      </c>
    </row>
    <row r="31" spans="1:8">
      <c r="A31" s="66" t="s">
        <v>74</v>
      </c>
      <c r="B31" s="66">
        <f>'M2'!B31-'M1'!B31</f>
        <v>8.1499999999999773</v>
      </c>
      <c r="C31" s="66">
        <f>'M2'!C31-'M1'!C31</f>
        <v>-35.065800000000003</v>
      </c>
      <c r="D31" s="66">
        <f>'M2'!D31-'M1'!D31</f>
        <v>-0.10336400000000001</v>
      </c>
      <c r="E31" s="66">
        <f>'M2'!E31-'M1'!E31</f>
        <v>0</v>
      </c>
      <c r="F31" s="66">
        <f>'M2'!F31-'M1'!F31</f>
        <v>105.042</v>
      </c>
      <c r="G31" s="66">
        <f>'M2'!G31-'M1'!G31</f>
        <v>0</v>
      </c>
      <c r="H31" s="66">
        <f>'M2'!H31-'M1'!H31</f>
        <v>-39.408000000000015</v>
      </c>
    </row>
    <row r="32" spans="1:8">
      <c r="A32" s="66" t="s">
        <v>75</v>
      </c>
      <c r="B32" s="66">
        <f>'M2'!B32-'M1'!B32</f>
        <v>1.5825999999999951E-2</v>
      </c>
      <c r="C32" s="66">
        <f>'M2'!C32-'M1'!C32</f>
        <v>4.0617000000000014E-3</v>
      </c>
      <c r="D32" s="66">
        <f>'M2'!D32-'M1'!D32</f>
        <v>-5.7699999999999418E-4</v>
      </c>
      <c r="E32" s="66">
        <f>'M2'!E32-'M1'!E32</f>
        <v>0</v>
      </c>
      <c r="F32" s="66">
        <f>'M2'!F32-'M1'!F32</f>
        <v>-6.945800000000002E-3</v>
      </c>
      <c r="G32" s="66">
        <f>'M2'!G32-'M1'!G32</f>
        <v>0</v>
      </c>
      <c r="H32" s="66">
        <f>'M2'!H32-'M1'!H32</f>
        <v>1.4832000000000012E-2</v>
      </c>
    </row>
    <row r="33" spans="1:8">
      <c r="A33" s="66" t="s">
        <v>76</v>
      </c>
      <c r="B33" s="66">
        <f>'M2'!B33-'M1'!B33</f>
        <v>-0.113397</v>
      </c>
      <c r="C33" s="66">
        <f>'M2'!C33-'M1'!C33</f>
        <v>-3.9533699999999998E-2</v>
      </c>
      <c r="D33" s="66">
        <f>'M2'!D33-'M1'!D33</f>
        <v>-0.10099930000000001</v>
      </c>
      <c r="E33" s="66">
        <f>'M2'!E33-'M1'!E33</f>
        <v>0</v>
      </c>
      <c r="F33" s="66">
        <f>'M2'!F33-'M1'!F33</f>
        <v>-2.3074999999999984E-2</v>
      </c>
      <c r="G33" s="66">
        <f>'M2'!G33-'M1'!G33</f>
        <v>0</v>
      </c>
      <c r="H33" s="66">
        <f>'M2'!H33-'M1'!H33</f>
        <v>-0.10232800000000003</v>
      </c>
    </row>
    <row r="34" spans="1:8">
      <c r="A34" s="66" t="s">
        <v>77</v>
      </c>
      <c r="B34" s="66">
        <f>'M2'!B34-'M1'!B34</f>
        <v>1.0908000000000001E-2</v>
      </c>
      <c r="C34" s="66">
        <f>'M2'!C34-'M1'!C34</f>
        <v>-5.4544000000000016E-3</v>
      </c>
      <c r="D34" s="66">
        <f>'M2'!D34-'M1'!D34</f>
        <v>-3.9152000000000006E-2</v>
      </c>
      <c r="E34" s="66">
        <f>'M2'!E34-'M1'!E34</f>
        <v>0</v>
      </c>
      <c r="F34" s="66">
        <f>'M2'!F34-'M1'!F34</f>
        <v>1.3432000000000013E-2</v>
      </c>
      <c r="G34" s="66">
        <f>'M2'!G34-'M1'!G34</f>
        <v>0</v>
      </c>
      <c r="H34" s="66">
        <f>'M2'!H34-'M1'!H34</f>
        <v>1.4871000000000023E-2</v>
      </c>
    </row>
    <row r="35" spans="1:8">
      <c r="A35" s="66" t="s">
        <v>78</v>
      </c>
      <c r="B35" s="66">
        <f>'M2'!B35-'M1'!B35</f>
        <v>1.3396999999999992E-3</v>
      </c>
      <c r="C35" s="66">
        <f>'M2'!C35-'M1'!C35</f>
        <v>-6.6429999999999961E-4</v>
      </c>
      <c r="D35" s="66">
        <f>'M2'!D35-'M1'!D35</f>
        <v>-1.2202999999999992E-2</v>
      </c>
      <c r="E35" s="66">
        <f>'M2'!E35-'M1'!E35</f>
        <v>0</v>
      </c>
      <c r="F35" s="66">
        <f>'M2'!F35-'M1'!F35</f>
        <v>3.2729000000000022E-3</v>
      </c>
      <c r="G35" s="66">
        <f>'M2'!G35-'M1'!G35</f>
        <v>0</v>
      </c>
      <c r="H35" s="66">
        <f>'M2'!H35-'M1'!H35</f>
        <v>2.1283000000000024E-2</v>
      </c>
    </row>
    <row r="36" spans="1:8">
      <c r="A36" s="66" t="s">
        <v>79</v>
      </c>
      <c r="B36" s="66">
        <f>'M2'!B36-'M1'!B36</f>
        <v>1.0270000000000001E-2</v>
      </c>
      <c r="C36" s="66">
        <f>'M2'!C36-'M1'!C36</f>
        <v>7.3700000000000154E-4</v>
      </c>
      <c r="D36" s="66">
        <f>'M2'!D36-'M1'!D36</f>
        <v>-3.5206000000000071E-2</v>
      </c>
      <c r="E36" s="66">
        <f>'M2'!E36-'M1'!E36</f>
        <v>0</v>
      </c>
      <c r="F36" s="66">
        <f>'M2'!F36-'M1'!F36</f>
        <v>-7.949999999999624E-5</v>
      </c>
      <c r="G36" s="66">
        <f>'M2'!G36-'M1'!G36</f>
        <v>0</v>
      </c>
      <c r="H36" s="66">
        <f>'M2'!H36-'M1'!H36</f>
        <v>2.2022999999999959E-2</v>
      </c>
    </row>
    <row r="37" spans="1:8">
      <c r="A37" s="66" t="s">
        <v>80</v>
      </c>
      <c r="B37" s="66">
        <f>'M2'!B37-'M1'!B37</f>
        <v>-5.4543999999999981E-2</v>
      </c>
      <c r="C37" s="66">
        <f>'M2'!C37-'M1'!C37</f>
        <v>2.1784999999999999E-3</v>
      </c>
      <c r="D37" s="66">
        <f>'M2'!D37-'M1'!D37</f>
        <v>9.7334000000000032E-2</v>
      </c>
      <c r="E37" s="66">
        <f>'M2'!E37-'M1'!E37</f>
        <v>0</v>
      </c>
      <c r="F37" s="66">
        <f>'M2'!F37-'M1'!F37</f>
        <v>-1.6489999999999908E-4</v>
      </c>
      <c r="G37" s="66">
        <f>'M2'!G37-'M1'!G37</f>
        <v>0</v>
      </c>
      <c r="H37" s="66">
        <f>'M2'!H37-'M1'!H37</f>
        <v>-7.5560000000000072E-3</v>
      </c>
    </row>
    <row r="38" spans="1:8">
      <c r="A38" s="66" t="s">
        <v>81</v>
      </c>
      <c r="B38" s="66">
        <f>'M2'!B38-'M1'!B38</f>
        <v>16.59028</v>
      </c>
      <c r="C38" s="66">
        <f>'M2'!C38-'M1'!C38</f>
        <v>22.209199999999996</v>
      </c>
      <c r="D38" s="66">
        <f>'M2'!D38-'M1'!D38</f>
        <v>-17.538339999999998</v>
      </c>
      <c r="E38" s="66">
        <f>'M2'!E38-'M1'!E38</f>
        <v>0</v>
      </c>
      <c r="F38" s="66">
        <f>'M2'!F38-'M1'!F38</f>
        <v>-104.986</v>
      </c>
      <c r="G38" s="66">
        <f>'M2'!G38-'M1'!G38</f>
        <v>0</v>
      </c>
      <c r="H38" s="66">
        <f>'M2'!H38-'M1'!H38</f>
        <v>97.165999999999997</v>
      </c>
    </row>
    <row r="39" spans="1:8">
      <c r="A39" s="66" t="s">
        <v>82</v>
      </c>
      <c r="B39" s="66">
        <f>'M2'!B39-'M1'!B39</f>
        <v>7.9330999999999996</v>
      </c>
      <c r="C39" s="66">
        <f>'M2'!C39-'M1'!C39</f>
        <v>3.0584000000000007</v>
      </c>
      <c r="D39" s="66">
        <f>'M2'!D39-'M1'!D39</f>
        <v>11.81138</v>
      </c>
      <c r="E39" s="66">
        <f>'M2'!E39-'M1'!E39</f>
        <v>0</v>
      </c>
      <c r="F39" s="66">
        <f>'M2'!F39-'M1'!F39</f>
        <v>8.1882999999999999</v>
      </c>
      <c r="G39" s="66">
        <f>'M2'!G39-'M1'!G39</f>
        <v>0</v>
      </c>
      <c r="H39" s="66">
        <f>'M2'!H39-'M1'!H39</f>
        <v>32.310899999999997</v>
      </c>
    </row>
    <row r="40" spans="1:8">
      <c r="A40" s="66" t="s">
        <v>83</v>
      </c>
      <c r="B40" s="66">
        <f>'M2'!B40-'M1'!B40</f>
        <v>6.8639499999999991</v>
      </c>
      <c r="C40" s="66">
        <f>'M2'!C40-'M1'!C40</f>
        <v>1.8744000000000001</v>
      </c>
      <c r="D40" s="66">
        <f>'M2'!D40-'M1'!D40</f>
        <v>1.719363</v>
      </c>
      <c r="E40" s="66">
        <f>'M2'!E40-'M1'!E40</f>
        <v>0</v>
      </c>
      <c r="F40" s="66">
        <f>'M2'!F40-'M1'!F40</f>
        <v>1.2069299999999998</v>
      </c>
      <c r="G40" s="66">
        <f>'M2'!G40-'M1'!G40</f>
        <v>0</v>
      </c>
      <c r="H40" s="66">
        <f>'M2'!H40-'M1'!H40</f>
        <v>8.2525700000000004</v>
      </c>
    </row>
    <row r="41" spans="1:8">
      <c r="A41" s="66" t="s">
        <v>84</v>
      </c>
      <c r="B41" s="66">
        <f>'M2'!B41-'M1'!B41</f>
        <v>5.7731399999999988E-2</v>
      </c>
      <c r="C41" s="66">
        <f>'M2'!C41-'M1'!C41</f>
        <v>4.5939000000000008E-2</v>
      </c>
      <c r="D41" s="66">
        <f>'M2'!D41-'M1'!D41</f>
        <v>-2.1211200000000003</v>
      </c>
      <c r="E41" s="66">
        <f>'M2'!E41-'M1'!E41</f>
        <v>0</v>
      </c>
      <c r="F41" s="66">
        <f>'M2'!F41-'M1'!F41</f>
        <v>-7.3824000000000001E-2</v>
      </c>
      <c r="G41" s="66">
        <f>'M2'!G41-'M1'!G41</f>
        <v>0</v>
      </c>
      <c r="H41" s="66">
        <f>'M2'!H41-'M1'!H41</f>
        <v>0</v>
      </c>
    </row>
    <row r="42" spans="1:8">
      <c r="A42" s="66" t="s">
        <v>85</v>
      </c>
      <c r="B42" s="66">
        <f>'M2'!B42-'M1'!B42</f>
        <v>0.13220019999999999</v>
      </c>
      <c r="C42" s="66">
        <f>'M2'!C42-'M1'!C42</f>
        <v>-1.2854999999999991E-2</v>
      </c>
      <c r="D42" s="66">
        <f>'M2'!D42-'M1'!D42</f>
        <v>4.0915800000000004</v>
      </c>
      <c r="E42" s="66">
        <f>'M2'!E42-'M1'!E42</f>
        <v>0</v>
      </c>
      <c r="F42" s="66">
        <f>'M2'!F42-'M1'!F42</f>
        <v>8.1530999999999992E-2</v>
      </c>
      <c r="G42" s="66">
        <f>'M2'!G42-'M1'!G42</f>
        <v>0</v>
      </c>
      <c r="H42" s="66">
        <f>'M2'!H42-'M1'!H42</f>
        <v>0.19755300000000003</v>
      </c>
    </row>
    <row r="43" spans="1:8">
      <c r="A43" s="66" t="s">
        <v>86</v>
      </c>
      <c r="B43" s="66">
        <f>'M2'!B43-'M1'!B43</f>
        <v>0.10463816999999999</v>
      </c>
      <c r="C43" s="66">
        <f>'M2'!C43-'M1'!C43</f>
        <v>2.5418200000000002E-2</v>
      </c>
      <c r="D43" s="66">
        <f>'M2'!D43-'M1'!D43</f>
        <v>3.0045600000000001</v>
      </c>
      <c r="E43" s="66">
        <f>'M2'!E43-'M1'!E43</f>
        <v>0</v>
      </c>
      <c r="F43" s="66">
        <f>'M2'!F43-'M1'!F43</f>
        <v>6.6642000000000021E-3</v>
      </c>
      <c r="G43" s="66">
        <f>'M2'!G43-'M1'!G43</f>
        <v>0</v>
      </c>
      <c r="H43" s="66">
        <f>'M2'!H43-'M1'!H43</f>
        <v>0.10193289999999999</v>
      </c>
    </row>
    <row r="44" spans="1:8">
      <c r="A44" s="66" t="s">
        <v>87</v>
      </c>
      <c r="B44" s="66">
        <f>'M2'!B44-'M1'!B44</f>
        <v>37.936</v>
      </c>
      <c r="C44" s="66">
        <f>'M2'!C44-'M1'!C44</f>
        <v>-6.1708999999999996</v>
      </c>
      <c r="D44" s="66">
        <f>'M2'!D44-'M1'!D44</f>
        <v>-0.13635099999999994</v>
      </c>
      <c r="E44" s="66">
        <f>'M2'!E44-'M1'!E44</f>
        <v>0</v>
      </c>
      <c r="F44" s="66">
        <f>'M2'!F44-'M1'!F44</f>
        <v>62.860000000000014</v>
      </c>
      <c r="G44" s="66">
        <f>'M2'!G44-'M1'!G44</f>
        <v>0</v>
      </c>
      <c r="H44" s="66">
        <f>'M2'!H44-'M1'!H44</f>
        <v>35.380533999999997</v>
      </c>
    </row>
    <row r="45" spans="1:8">
      <c r="A45" s="66" t="s">
        <v>88</v>
      </c>
      <c r="B45" s="66">
        <f>'M2'!B45-'M1'!B45</f>
        <v>1.0395000000000039</v>
      </c>
      <c r="C45" s="66">
        <f>'M2'!C45-'M1'!C45</f>
        <v>-0.25540000000000074</v>
      </c>
      <c r="D45" s="66">
        <f>'M2'!D45-'M1'!D45</f>
        <v>-7.081000000000004E-3</v>
      </c>
      <c r="E45" s="66">
        <f>'M2'!E45-'M1'!E45</f>
        <v>0</v>
      </c>
      <c r="F45" s="66">
        <f>'M2'!F45-'M1'!F45</f>
        <v>4.9079999999999977</v>
      </c>
      <c r="G45" s="66">
        <f>'M2'!G45-'M1'!G45</f>
        <v>0</v>
      </c>
      <c r="H45" s="66">
        <f>'M2'!H45-'M1'!H45</f>
        <v>4.527000000000001</v>
      </c>
    </row>
    <row r="46" spans="1:8">
      <c r="A46" s="66" t="s">
        <v>89</v>
      </c>
      <c r="B46" s="66">
        <f>'M2'!B46-'M1'!B46</f>
        <v>1.0279999999999987</v>
      </c>
      <c r="C46" s="66">
        <f>'M2'!C46-'M1'!C46</f>
        <v>-3.0026000000000006</v>
      </c>
      <c r="D46" s="66">
        <f>'M2'!D46-'M1'!D46</f>
        <v>-0.10205329999999999</v>
      </c>
      <c r="E46" s="66">
        <f>'M2'!E46-'M1'!E46</f>
        <v>0</v>
      </c>
      <c r="F46" s="66">
        <f>'M2'!F46-'M1'!F46</f>
        <v>14.894000000000002</v>
      </c>
      <c r="G46" s="66">
        <f>'M2'!G46-'M1'!G46</f>
        <v>0</v>
      </c>
      <c r="H46" s="66">
        <f>'M2'!H46-'M1'!H46</f>
        <v>4.1143000000000001</v>
      </c>
    </row>
    <row r="47" spans="1:8">
      <c r="A47" s="66" t="s">
        <v>90</v>
      </c>
      <c r="B47" s="66">
        <f>'M2'!B47-'M1'!B47</f>
        <v>-9.5440999999999887E-2</v>
      </c>
      <c r="C47" s="66">
        <f>'M2'!C47-'M1'!C47</f>
        <v>-0.33848299999999998</v>
      </c>
      <c r="D47" s="66">
        <f>'M2'!D47-'M1'!D47</f>
        <v>-0.24119200000000007</v>
      </c>
      <c r="E47" s="66">
        <f>'M2'!E47-'M1'!E47</f>
        <v>0</v>
      </c>
      <c r="F47" s="66">
        <f>'M2'!F47-'M1'!F47</f>
        <v>-0.19953599999999999</v>
      </c>
      <c r="G47" s="66">
        <f>'M2'!G47-'M1'!G47</f>
        <v>0</v>
      </c>
      <c r="H47" s="66">
        <f>'M2'!H47-'M1'!H47</f>
        <v>-2.6783299999999999</v>
      </c>
    </row>
    <row r="48" spans="1:8">
      <c r="A48" s="66" t="s">
        <v>91</v>
      </c>
      <c r="B48" s="66">
        <f>'M2'!B48-'M1'!B48</f>
        <v>-2.5255999999999945E-2</v>
      </c>
      <c r="C48" s="66">
        <f>'M2'!C48-'M1'!C48</f>
        <v>-2.1964600000000001E-2</v>
      </c>
      <c r="D48" s="66">
        <f>'M2'!D48-'M1'!D48</f>
        <v>-2.623700000000001E-2</v>
      </c>
      <c r="E48" s="66">
        <f>'M2'!E48-'M1'!E48</f>
        <v>0</v>
      </c>
      <c r="F48" s="66">
        <f>'M2'!F48-'M1'!F48</f>
        <v>-0.10513399999999995</v>
      </c>
      <c r="G48" s="66">
        <f>'M2'!G48-'M1'!G48</f>
        <v>0</v>
      </c>
      <c r="H48" s="66">
        <f>'M2'!H48-'M1'!H48</f>
        <v>-0.27229300000000012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294</v>
      </c>
      <c r="D1" s="66" t="s">
        <v>295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40.988700000000001</v>
      </c>
      <c r="C5" s="66">
        <v>8.5521499999999993</v>
      </c>
      <c r="D5" s="66">
        <v>20.864699999999999</v>
      </c>
      <c r="E5" s="66">
        <v>20</v>
      </c>
      <c r="F5" s="66">
        <v>17.0562</v>
      </c>
      <c r="G5" s="66">
        <v>50</v>
      </c>
      <c r="H5" s="66">
        <v>49.128500000000003</v>
      </c>
    </row>
    <row r="6" spans="1:8">
      <c r="A6" s="66" t="s">
        <v>303</v>
      </c>
      <c r="B6" s="66">
        <v>25.9255</v>
      </c>
      <c r="C6" s="66">
        <v>2.1126200000000002</v>
      </c>
      <c r="D6" s="66">
        <v>8.1488200000000006</v>
      </c>
      <c r="E6" s="66">
        <v>20</v>
      </c>
      <c r="F6" s="66">
        <v>20.586200000000002</v>
      </c>
      <c r="G6" s="66">
        <v>40</v>
      </c>
      <c r="H6" s="66">
        <v>29.628399999999999</v>
      </c>
    </row>
    <row r="7" spans="1:8">
      <c r="A7" s="66" t="s">
        <v>304</v>
      </c>
      <c r="B7" s="66">
        <v>30.658200000000001</v>
      </c>
      <c r="C7" s="66">
        <v>8.2282499999999992</v>
      </c>
      <c r="D7" s="66">
        <v>26.838699999999999</v>
      </c>
      <c r="E7" s="66">
        <v>15</v>
      </c>
      <c r="F7" s="66">
        <v>8.2674800000000008</v>
      </c>
      <c r="G7" s="66">
        <v>40</v>
      </c>
      <c r="H7" s="66">
        <v>39.481000000000002</v>
      </c>
    </row>
    <row r="8" spans="1:8">
      <c r="A8" s="66" t="s">
        <v>305</v>
      </c>
      <c r="B8" s="66">
        <v>31.1495</v>
      </c>
      <c r="C8" s="66">
        <v>3.85825</v>
      </c>
      <c r="D8" s="66">
        <v>12.386200000000001</v>
      </c>
      <c r="E8" s="66">
        <v>20</v>
      </c>
      <c r="F8" s="66">
        <v>20.767099999999999</v>
      </c>
      <c r="G8" s="66">
        <v>50</v>
      </c>
      <c r="H8" s="66">
        <v>36.003799999999998</v>
      </c>
    </row>
    <row r="9" spans="1:8">
      <c r="A9" s="66" t="s">
        <v>306</v>
      </c>
      <c r="B9" s="66">
        <v>67.097300000000004</v>
      </c>
      <c r="C9" s="66">
        <v>8.2774099999999997</v>
      </c>
      <c r="D9" s="66">
        <v>12.336399999999999</v>
      </c>
      <c r="E9" s="66">
        <v>50</v>
      </c>
      <c r="F9" s="66">
        <v>49.252600000000001</v>
      </c>
      <c r="G9" s="66">
        <v>100</v>
      </c>
      <c r="H9" s="66">
        <v>88.915199999999999</v>
      </c>
    </row>
    <row r="10" spans="1:8">
      <c r="A10" s="66" t="s">
        <v>307</v>
      </c>
      <c r="B10" s="66">
        <v>76.710700000000003</v>
      </c>
      <c r="C10" s="66">
        <v>2.6254900000000001</v>
      </c>
      <c r="D10" s="66">
        <v>3.42258</v>
      </c>
      <c r="E10" s="66">
        <v>40</v>
      </c>
      <c r="F10" s="66">
        <v>74.490799999999993</v>
      </c>
      <c r="G10" s="66">
        <v>100</v>
      </c>
      <c r="H10" s="66">
        <v>83.478399999999993</v>
      </c>
    </row>
    <row r="11" spans="1:8">
      <c r="A11" s="66" t="s">
        <v>308</v>
      </c>
      <c r="B11" s="66">
        <v>22.014299999999999</v>
      </c>
      <c r="C11" s="66">
        <v>3.8311000000000002</v>
      </c>
      <c r="D11" s="66">
        <v>17.402699999999999</v>
      </c>
      <c r="E11" s="66">
        <v>10</v>
      </c>
      <c r="F11" s="66">
        <v>11.2096</v>
      </c>
      <c r="G11" s="66">
        <v>50</v>
      </c>
      <c r="H11" s="66">
        <v>24.5397</v>
      </c>
    </row>
    <row r="12" spans="1:8">
      <c r="A12" s="66" t="s">
        <v>309</v>
      </c>
      <c r="B12" s="66">
        <v>71.867800000000003</v>
      </c>
      <c r="C12" s="66">
        <v>5.2295400000000001</v>
      </c>
      <c r="D12" s="66">
        <v>7.2766000000000002</v>
      </c>
      <c r="E12" s="66">
        <v>50</v>
      </c>
      <c r="F12" s="66">
        <v>62.825899999999997</v>
      </c>
      <c r="G12" s="66">
        <v>100</v>
      </c>
      <c r="H12" s="66">
        <v>86.196799999999996</v>
      </c>
    </row>
    <row r="13" spans="1:8">
      <c r="A13" s="66" t="s">
        <v>310</v>
      </c>
      <c r="B13" s="66">
        <v>16.944900000000001</v>
      </c>
      <c r="C13" s="66">
        <v>2.4963199999999999</v>
      </c>
      <c r="D13" s="66">
        <v>14.731999999999999</v>
      </c>
      <c r="E13" s="66">
        <v>10</v>
      </c>
      <c r="F13" s="66">
        <v>12.184900000000001</v>
      </c>
      <c r="G13" s="66">
        <v>25</v>
      </c>
      <c r="H13" s="66">
        <v>23.197900000000001</v>
      </c>
    </row>
    <row r="14" spans="1:8">
      <c r="A14" s="66" t="s">
        <v>311</v>
      </c>
      <c r="B14" s="66">
        <v>24.963200000000001</v>
      </c>
      <c r="C14" s="66">
        <v>7.6936400000000003</v>
      </c>
      <c r="D14" s="66">
        <v>30.82</v>
      </c>
      <c r="E14" s="66">
        <v>10</v>
      </c>
      <c r="F14" s="66">
        <v>2.6959</v>
      </c>
      <c r="G14" s="66">
        <v>50</v>
      </c>
      <c r="H14" s="66">
        <v>26.7301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0.39446799999999999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316</v>
      </c>
      <c r="B19" s="66">
        <v>0.56011999999999995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317</v>
      </c>
      <c r="B20" s="66">
        <v>6.1777799999999999E-3</v>
      </c>
      <c r="C20" s="66">
        <v>0.121949</v>
      </c>
      <c r="D20" s="66">
        <v>19.739999999999998</v>
      </c>
      <c r="E20" s="66">
        <v>0</v>
      </c>
      <c r="F20" s="196">
        <v>3.8618400000000003E-5</v>
      </c>
      <c r="G20" s="66">
        <v>0</v>
      </c>
      <c r="H20" s="66">
        <v>0.85869600000000001</v>
      </c>
    </row>
    <row r="21" spans="1:8">
      <c r="A21" s="66" t="s">
        <v>318</v>
      </c>
      <c r="B21" s="66">
        <v>0.24838299999999999</v>
      </c>
      <c r="C21" s="66">
        <v>1.0479000000000001</v>
      </c>
      <c r="D21" s="66">
        <v>4.2188800000000004</v>
      </c>
      <c r="E21" s="66">
        <v>0</v>
      </c>
      <c r="F21" s="66">
        <v>1.07722E-3</v>
      </c>
      <c r="G21" s="66">
        <v>0</v>
      </c>
      <c r="H21" s="66">
        <v>6.0522999999999998</v>
      </c>
    </row>
    <row r="22" spans="1:8">
      <c r="A22" s="66" t="s">
        <v>319</v>
      </c>
      <c r="B22" s="66">
        <v>55.365699999999997</v>
      </c>
      <c r="C22" s="66">
        <v>24.752500000000001</v>
      </c>
      <c r="D22" s="66">
        <v>0.447073</v>
      </c>
      <c r="E22" s="66">
        <v>0</v>
      </c>
      <c r="F22" s="66">
        <v>19.741099999999999</v>
      </c>
      <c r="G22" s="66">
        <v>0</v>
      </c>
      <c r="H22" s="66">
        <v>155.142</v>
      </c>
    </row>
    <row r="23" spans="1:8">
      <c r="A23" s="66" t="s">
        <v>320</v>
      </c>
      <c r="B23" s="66">
        <v>24.506499999999999</v>
      </c>
      <c r="C23" s="66">
        <v>5.4112900000000002</v>
      </c>
      <c r="D23" s="66">
        <v>0.22081000000000001</v>
      </c>
      <c r="E23" s="66">
        <v>0</v>
      </c>
      <c r="F23" s="66">
        <v>14.5151</v>
      </c>
      <c r="G23" s="66">
        <v>0</v>
      </c>
      <c r="H23" s="66">
        <v>31.325199999999999</v>
      </c>
    </row>
    <row r="24" spans="1:8">
      <c r="A24" s="66" t="s">
        <v>321</v>
      </c>
      <c r="B24" s="66">
        <v>1.9182899999999999E-2</v>
      </c>
      <c r="C24" s="66">
        <v>0.106948</v>
      </c>
      <c r="D24" s="66">
        <v>5.5751999999999997</v>
      </c>
      <c r="E24" s="66">
        <v>0</v>
      </c>
      <c r="F24" s="66">
        <v>2.0079599999999999E-4</v>
      </c>
      <c r="G24" s="66">
        <v>0</v>
      </c>
      <c r="H24" s="66">
        <v>0.64790000000000003</v>
      </c>
    </row>
    <row r="25" spans="1:8">
      <c r="A25" s="66" t="s">
        <v>322</v>
      </c>
      <c r="B25" s="66">
        <v>0.27138800000000002</v>
      </c>
      <c r="C25" s="66">
        <v>0.81318999999999997</v>
      </c>
      <c r="D25" s="66">
        <v>2.99641</v>
      </c>
      <c r="E25" s="66">
        <v>0</v>
      </c>
      <c r="F25" s="66">
        <v>2.54647E-2</v>
      </c>
      <c r="G25" s="66">
        <v>0</v>
      </c>
      <c r="H25" s="66">
        <v>3.8044799999999999</v>
      </c>
    </row>
    <row r="26" spans="1:8">
      <c r="A26" s="66" t="s">
        <v>323</v>
      </c>
      <c r="B26" s="66">
        <v>1.2637900000000001E-3</v>
      </c>
      <c r="C26" s="66">
        <v>1.24853E-2</v>
      </c>
      <c r="D26" s="66">
        <v>9.8792799999999996</v>
      </c>
      <c r="E26" s="66">
        <v>0</v>
      </c>
      <c r="F26" s="196">
        <v>1.9695400000000001E-5</v>
      </c>
      <c r="G26" s="66">
        <v>0</v>
      </c>
      <c r="H26" s="66">
        <v>7.6165300000000005E-2</v>
      </c>
    </row>
    <row r="27" spans="1:8">
      <c r="A27" s="66" t="s">
        <v>324</v>
      </c>
      <c r="B27" s="196">
        <v>-4.9238399999999999E-5</v>
      </c>
      <c r="C27" s="66">
        <v>2.7728900000000001E-3</v>
      </c>
      <c r="D27" s="66">
        <v>-56.315600000000003</v>
      </c>
      <c r="E27" s="66">
        <v>0</v>
      </c>
      <c r="F27" s="66">
        <v>-1.40001E-2</v>
      </c>
      <c r="G27" s="66">
        <v>0</v>
      </c>
      <c r="H27" s="66">
        <v>1.49225E-2</v>
      </c>
    </row>
    <row r="28" spans="1:8">
      <c r="A28" s="66" t="s">
        <v>325</v>
      </c>
      <c r="B28" s="66">
        <v>2.43717E-2</v>
      </c>
      <c r="C28" s="66">
        <v>4.9966900000000002E-2</v>
      </c>
      <c r="D28" s="66">
        <v>2.0501999999999998</v>
      </c>
      <c r="E28" s="66">
        <v>0</v>
      </c>
      <c r="F28" s="66">
        <v>5.4036500000000001E-4</v>
      </c>
      <c r="G28" s="66">
        <v>0</v>
      </c>
      <c r="H28" s="66">
        <v>0.249333</v>
      </c>
    </row>
    <row r="29" spans="1:8">
      <c r="A29" s="66" t="s">
        <v>326</v>
      </c>
      <c r="B29" s="66">
        <v>73.668300000000002</v>
      </c>
      <c r="C29" s="66">
        <v>12.1731</v>
      </c>
      <c r="D29" s="66">
        <v>0.165242</v>
      </c>
      <c r="E29" s="66">
        <v>0</v>
      </c>
      <c r="F29" s="66">
        <v>49.481999999999999</v>
      </c>
      <c r="G29" s="66">
        <v>0</v>
      </c>
      <c r="H29" s="66">
        <v>118.26900000000001</v>
      </c>
    </row>
    <row r="30" spans="1:8">
      <c r="A30" s="66" t="s">
        <v>327</v>
      </c>
      <c r="B30" s="66">
        <v>28.538399999999999</v>
      </c>
      <c r="C30" s="66">
        <v>4.7715500000000004</v>
      </c>
      <c r="D30" s="66">
        <v>0.16719800000000001</v>
      </c>
      <c r="E30" s="66">
        <v>0</v>
      </c>
      <c r="F30" s="66">
        <v>15.662800000000001</v>
      </c>
      <c r="G30" s="66">
        <v>0</v>
      </c>
      <c r="H30" s="66">
        <v>31.663</v>
      </c>
    </row>
    <row r="31" spans="1:8">
      <c r="A31" s="66" t="s">
        <v>328</v>
      </c>
      <c r="B31" s="66">
        <v>348.221</v>
      </c>
      <c r="C31" s="66">
        <v>75.625500000000002</v>
      </c>
      <c r="D31" s="66">
        <v>0.21717700000000001</v>
      </c>
      <c r="E31" s="66">
        <v>0</v>
      </c>
      <c r="F31" s="66">
        <v>146.47499999999999</v>
      </c>
      <c r="G31" s="66">
        <v>0</v>
      </c>
      <c r="H31" s="66">
        <v>437.31200000000001</v>
      </c>
    </row>
    <row r="32" spans="1:8">
      <c r="A32" s="66" t="s">
        <v>329</v>
      </c>
      <c r="B32" s="66">
        <v>0.30658200000000002</v>
      </c>
      <c r="C32" s="66">
        <v>8.2282499999999995E-2</v>
      </c>
      <c r="D32" s="66">
        <v>0.26838699999999999</v>
      </c>
      <c r="E32" s="66">
        <v>0.15</v>
      </c>
      <c r="F32" s="66">
        <v>8.2674800000000007E-2</v>
      </c>
      <c r="G32" s="66">
        <v>0.4</v>
      </c>
      <c r="H32" s="66">
        <v>0.39480999999999999</v>
      </c>
    </row>
    <row r="33" spans="1:8">
      <c r="A33" s="66" t="s">
        <v>330</v>
      </c>
      <c r="B33" s="66">
        <v>0.32038</v>
      </c>
      <c r="C33" s="66">
        <v>5.2631299999999999E-2</v>
      </c>
      <c r="D33" s="66">
        <v>0.16427800000000001</v>
      </c>
      <c r="E33" s="66">
        <v>0</v>
      </c>
      <c r="F33" s="66">
        <v>0.20903099999999999</v>
      </c>
      <c r="G33" s="66">
        <v>0</v>
      </c>
      <c r="H33" s="66">
        <v>0.35871700000000001</v>
      </c>
    </row>
    <row r="34" spans="1:8">
      <c r="A34" s="66" t="s">
        <v>331</v>
      </c>
      <c r="B34" s="66">
        <v>0.16944899999999999</v>
      </c>
      <c r="C34" s="66">
        <v>2.4963200000000001E-2</v>
      </c>
      <c r="D34" s="66">
        <v>0.14732000000000001</v>
      </c>
      <c r="E34" s="66">
        <v>0.1</v>
      </c>
      <c r="F34" s="66">
        <v>0.121849</v>
      </c>
      <c r="G34" s="66">
        <v>0.25</v>
      </c>
      <c r="H34" s="66">
        <v>0.23197899999999999</v>
      </c>
    </row>
    <row r="35" spans="1:8">
      <c r="A35" s="66" t="s">
        <v>332</v>
      </c>
      <c r="B35" s="66">
        <v>8.16278E-2</v>
      </c>
      <c r="C35" s="66">
        <v>2.1210900000000001E-2</v>
      </c>
      <c r="D35" s="66">
        <v>0.259849</v>
      </c>
      <c r="E35" s="66">
        <v>0</v>
      </c>
      <c r="F35" s="66">
        <v>4.15682E-2</v>
      </c>
      <c r="G35" s="66">
        <v>0</v>
      </c>
      <c r="H35" s="66">
        <v>0.12543299999999999</v>
      </c>
    </row>
    <row r="36" spans="1:8">
      <c r="A36" s="66" t="s">
        <v>333</v>
      </c>
      <c r="B36" s="66">
        <v>0.14732500000000001</v>
      </c>
      <c r="C36" s="66">
        <v>9.0164300000000003E-2</v>
      </c>
      <c r="D36" s="66">
        <v>0.61200900000000003</v>
      </c>
      <c r="E36" s="66">
        <v>0</v>
      </c>
      <c r="F36" s="66">
        <v>3.2916599999999997E-2</v>
      </c>
      <c r="G36" s="66">
        <v>0</v>
      </c>
      <c r="H36" s="66">
        <v>0.45228000000000002</v>
      </c>
    </row>
    <row r="37" spans="1:8">
      <c r="A37" s="66" t="s">
        <v>334</v>
      </c>
      <c r="B37" s="66">
        <v>0.24963199999999999</v>
      </c>
      <c r="C37" s="66">
        <v>7.6936400000000002E-2</v>
      </c>
      <c r="D37" s="66">
        <v>0.30819999999999997</v>
      </c>
      <c r="E37" s="66">
        <v>0.1</v>
      </c>
      <c r="F37" s="66">
        <v>2.6959E-2</v>
      </c>
      <c r="G37" s="66">
        <v>0.5</v>
      </c>
      <c r="H37" s="66">
        <v>0.26730100000000001</v>
      </c>
    </row>
    <row r="38" spans="1:8">
      <c r="A38" s="66" t="s">
        <v>335</v>
      </c>
      <c r="B38" s="66">
        <v>-20.792300000000001</v>
      </c>
      <c r="C38" s="66">
        <v>64.528000000000006</v>
      </c>
      <c r="D38" s="66">
        <v>-3.1034600000000001</v>
      </c>
      <c r="E38" s="66">
        <v>0</v>
      </c>
      <c r="F38" s="66">
        <v>-106.29600000000001</v>
      </c>
      <c r="G38" s="66">
        <v>0</v>
      </c>
      <c r="H38" s="66">
        <v>283.96800000000002</v>
      </c>
    </row>
    <row r="39" spans="1:8">
      <c r="A39" s="66" t="s">
        <v>336</v>
      </c>
      <c r="B39" s="66">
        <v>-6.3678699999999999</v>
      </c>
      <c r="C39" s="66">
        <v>12.3849</v>
      </c>
      <c r="D39" s="66">
        <v>-1.9449000000000001</v>
      </c>
      <c r="E39" s="66">
        <v>0</v>
      </c>
      <c r="F39" s="66">
        <v>-21.388999999999999</v>
      </c>
      <c r="G39" s="66">
        <v>0</v>
      </c>
      <c r="H39" s="66">
        <v>49.184699999999999</v>
      </c>
    </row>
    <row r="40" spans="1:8">
      <c r="A40" s="66" t="s">
        <v>337</v>
      </c>
      <c r="B40" s="66">
        <v>-2.1516199999999999</v>
      </c>
      <c r="C40" s="66">
        <v>1.95221</v>
      </c>
      <c r="D40" s="66">
        <v>-0.90732199999999996</v>
      </c>
      <c r="E40" s="66">
        <v>0</v>
      </c>
      <c r="F40" s="66">
        <v>-6.1433</v>
      </c>
      <c r="G40" s="66">
        <v>0</v>
      </c>
      <c r="H40" s="66">
        <v>-0.47282000000000002</v>
      </c>
    </row>
    <row r="41" spans="1:8">
      <c r="A41" s="66" t="s">
        <v>338</v>
      </c>
      <c r="B41" s="66">
        <v>-0.132988</v>
      </c>
      <c r="C41" s="66">
        <v>0.26188800000000001</v>
      </c>
      <c r="D41" s="66">
        <v>-1.9692499999999999</v>
      </c>
      <c r="E41" s="66">
        <v>0</v>
      </c>
      <c r="F41" s="66">
        <v>-0.55000000000000004</v>
      </c>
      <c r="G41" s="66">
        <v>0</v>
      </c>
      <c r="H41" s="66">
        <v>1</v>
      </c>
    </row>
    <row r="42" spans="1:8">
      <c r="A42" s="66" t="s">
        <v>339</v>
      </c>
      <c r="B42" s="66">
        <v>-8.6498199999999997E-2</v>
      </c>
      <c r="C42" s="66">
        <v>0.13075999999999999</v>
      </c>
      <c r="D42" s="66">
        <v>-1.5117100000000001</v>
      </c>
      <c r="E42" s="66">
        <v>0</v>
      </c>
      <c r="F42" s="66">
        <v>-0.270679</v>
      </c>
      <c r="G42" s="66">
        <v>0</v>
      </c>
      <c r="H42" s="66">
        <v>0.42557899999999999</v>
      </c>
    </row>
    <row r="43" spans="1:8">
      <c r="A43" s="66" t="s">
        <v>340</v>
      </c>
      <c r="B43" s="66">
        <v>-9.75087E-3</v>
      </c>
      <c r="C43" s="66">
        <v>2.4198299999999999E-2</v>
      </c>
      <c r="D43" s="66">
        <v>-2.4816600000000002</v>
      </c>
      <c r="E43" s="66">
        <v>0</v>
      </c>
      <c r="F43" s="66">
        <v>-4.8891700000000003E-2</v>
      </c>
      <c r="G43" s="66">
        <v>0</v>
      </c>
      <c r="H43" s="66">
        <v>5.3725099999999998E-2</v>
      </c>
    </row>
    <row r="44" spans="1:8">
      <c r="A44" s="66" t="s">
        <v>341</v>
      </c>
      <c r="B44" s="66">
        <v>-99.041600000000003</v>
      </c>
      <c r="C44" s="66">
        <v>37.8628</v>
      </c>
      <c r="D44" s="66">
        <v>-0.38229200000000002</v>
      </c>
      <c r="E44" s="66">
        <v>0</v>
      </c>
      <c r="F44" s="66">
        <v>-177.24700000000001</v>
      </c>
      <c r="G44" s="66">
        <v>0</v>
      </c>
      <c r="H44" s="66">
        <v>-35.231699999999996</v>
      </c>
    </row>
    <row r="45" spans="1:8">
      <c r="A45" s="66" t="s">
        <v>342</v>
      </c>
      <c r="B45" s="66">
        <v>54.266399999999997</v>
      </c>
      <c r="C45" s="66">
        <v>7.1115700000000004</v>
      </c>
      <c r="D45" s="66">
        <v>0.131049</v>
      </c>
      <c r="E45" s="66">
        <v>0</v>
      </c>
      <c r="F45" s="66">
        <v>30.639700000000001</v>
      </c>
      <c r="G45" s="66">
        <v>0</v>
      </c>
      <c r="H45" s="66">
        <v>65.847399999999993</v>
      </c>
    </row>
    <row r="46" spans="1:8">
      <c r="A46" s="66" t="s">
        <v>343</v>
      </c>
      <c r="B46" s="66">
        <v>30.253</v>
      </c>
      <c r="C46" s="66">
        <v>5.5840500000000004</v>
      </c>
      <c r="D46" s="66">
        <v>0.18457799999999999</v>
      </c>
      <c r="E46" s="66">
        <v>0</v>
      </c>
      <c r="F46" s="66">
        <v>12.4513</v>
      </c>
      <c r="G46" s="66">
        <v>0</v>
      </c>
      <c r="H46" s="66">
        <v>32.452300000000001</v>
      </c>
    </row>
    <row r="47" spans="1:8">
      <c r="A47" s="66" t="s">
        <v>344</v>
      </c>
      <c r="B47" s="66">
        <v>1.0633999999999999</v>
      </c>
      <c r="C47" s="66">
        <v>1.1701699999999999</v>
      </c>
      <c r="D47" s="66">
        <v>1.1004100000000001</v>
      </c>
      <c r="E47" s="66">
        <v>0</v>
      </c>
      <c r="F47" s="66">
        <v>0.55464599999999997</v>
      </c>
      <c r="G47" s="66">
        <v>0</v>
      </c>
      <c r="H47" s="66">
        <v>7.4940600000000002</v>
      </c>
    </row>
    <row r="48" spans="1:8">
      <c r="A48" s="66" t="s">
        <v>345</v>
      </c>
      <c r="B48" s="66">
        <v>0.73355599999999999</v>
      </c>
      <c r="C48" s="66">
        <v>9.8196599999999995E-2</v>
      </c>
      <c r="D48" s="66">
        <v>0.13386400000000001</v>
      </c>
      <c r="E48" s="66">
        <v>0</v>
      </c>
      <c r="F48" s="66">
        <v>0.61351</v>
      </c>
      <c r="G48" s="66">
        <v>0</v>
      </c>
      <c r="H48" s="66">
        <v>1.0876300000000001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294</v>
      </c>
      <c r="D1" s="66" t="s">
        <v>346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42.665999999999997</v>
      </c>
      <c r="C5" s="66">
        <v>4.1962400000000004</v>
      </c>
      <c r="D5" s="66">
        <v>9.8350899999999992</v>
      </c>
      <c r="E5" s="66">
        <v>20</v>
      </c>
      <c r="F5" s="66">
        <v>33.986199999999997</v>
      </c>
      <c r="G5" s="66">
        <v>50</v>
      </c>
      <c r="H5" s="66">
        <v>47.889099999999999</v>
      </c>
    </row>
    <row r="6" spans="1:8">
      <c r="A6" s="66" t="s">
        <v>303</v>
      </c>
      <c r="B6" s="66">
        <v>25.771000000000001</v>
      </c>
      <c r="C6" s="66">
        <v>1.70028</v>
      </c>
      <c r="D6" s="66">
        <v>6.5976499999999998</v>
      </c>
      <c r="E6" s="66">
        <v>20</v>
      </c>
      <c r="F6" s="66">
        <v>22.668900000000001</v>
      </c>
      <c r="G6" s="66">
        <v>40</v>
      </c>
      <c r="H6" s="66">
        <v>30.039300000000001</v>
      </c>
    </row>
    <row r="7" spans="1:8">
      <c r="A7" s="66" t="s">
        <v>304</v>
      </c>
      <c r="B7" s="66">
        <v>32.2408</v>
      </c>
      <c r="C7" s="66">
        <v>8.6344200000000004</v>
      </c>
      <c r="D7" s="66">
        <v>26.780999999999999</v>
      </c>
      <c r="E7" s="66">
        <v>15</v>
      </c>
      <c r="F7" s="66">
        <v>7.5728999999999997</v>
      </c>
      <c r="G7" s="66">
        <v>40</v>
      </c>
      <c r="H7" s="66">
        <v>40.964199999999998</v>
      </c>
    </row>
    <row r="8" spans="1:8">
      <c r="A8" s="66" t="s">
        <v>305</v>
      </c>
      <c r="B8" s="66">
        <v>33.975900000000003</v>
      </c>
      <c r="C8" s="66">
        <v>4.0537400000000003</v>
      </c>
      <c r="D8" s="66">
        <v>11.9312</v>
      </c>
      <c r="E8" s="66">
        <v>20</v>
      </c>
      <c r="F8" s="66">
        <v>23.146100000000001</v>
      </c>
      <c r="G8" s="66">
        <v>50</v>
      </c>
      <c r="H8" s="66">
        <v>37.733199999999997</v>
      </c>
    </row>
    <row r="9" spans="1:8">
      <c r="A9" s="66" t="s">
        <v>306</v>
      </c>
      <c r="B9" s="66">
        <v>65.195300000000003</v>
      </c>
      <c r="C9" s="66">
        <v>7.3610899999999999</v>
      </c>
      <c r="D9" s="66">
        <v>11.290800000000001</v>
      </c>
      <c r="E9" s="66">
        <v>50</v>
      </c>
      <c r="F9" s="66">
        <v>46.117199999999997</v>
      </c>
      <c r="G9" s="66">
        <v>100</v>
      </c>
      <c r="H9" s="66">
        <v>73.886600000000001</v>
      </c>
    </row>
    <row r="10" spans="1:8">
      <c r="A10" s="66" t="s">
        <v>307</v>
      </c>
      <c r="B10" s="66">
        <v>73.753799999999998</v>
      </c>
      <c r="C10" s="66">
        <v>4.7872199999999996</v>
      </c>
      <c r="D10" s="66">
        <v>6.4908099999999997</v>
      </c>
      <c r="E10" s="66">
        <v>40</v>
      </c>
      <c r="F10" s="66">
        <v>59.185400000000001</v>
      </c>
      <c r="G10" s="66">
        <v>100</v>
      </c>
      <c r="H10" s="66">
        <v>81.078900000000004</v>
      </c>
    </row>
    <row r="11" spans="1:8">
      <c r="A11" s="66" t="s">
        <v>308</v>
      </c>
      <c r="B11" s="66">
        <v>21.4696</v>
      </c>
      <c r="C11" s="66">
        <v>1.9303300000000001</v>
      </c>
      <c r="D11" s="66">
        <v>8.9910099999999993</v>
      </c>
      <c r="E11" s="66">
        <v>10</v>
      </c>
      <c r="F11" s="66">
        <v>17.207000000000001</v>
      </c>
      <c r="G11" s="66">
        <v>50</v>
      </c>
      <c r="H11" s="66">
        <v>24.463100000000001</v>
      </c>
    </row>
    <row r="12" spans="1:8">
      <c r="A12" s="66" t="s">
        <v>309</v>
      </c>
      <c r="B12" s="66">
        <v>69.2624</v>
      </c>
      <c r="C12" s="66">
        <v>3.6208100000000001</v>
      </c>
      <c r="D12" s="66">
        <v>5.2276699999999998</v>
      </c>
      <c r="E12" s="66">
        <v>50</v>
      </c>
      <c r="F12" s="66">
        <v>59.894199999999998</v>
      </c>
      <c r="G12" s="66">
        <v>100</v>
      </c>
      <c r="H12" s="66">
        <v>73.318799999999996</v>
      </c>
    </row>
    <row r="13" spans="1:8">
      <c r="A13" s="66" t="s">
        <v>310</v>
      </c>
      <c r="B13" s="66">
        <v>18.035699999999999</v>
      </c>
      <c r="C13" s="66">
        <v>1.9508799999999999</v>
      </c>
      <c r="D13" s="66">
        <v>10.816800000000001</v>
      </c>
      <c r="E13" s="66">
        <v>10</v>
      </c>
      <c r="F13" s="66">
        <v>13.5281</v>
      </c>
      <c r="G13" s="66">
        <v>25</v>
      </c>
      <c r="H13" s="66">
        <v>24.684999999999999</v>
      </c>
    </row>
    <row r="14" spans="1:8">
      <c r="A14" s="66" t="s">
        <v>311</v>
      </c>
      <c r="B14" s="66">
        <v>19.508800000000001</v>
      </c>
      <c r="C14" s="66">
        <v>7.9114899999999997</v>
      </c>
      <c r="D14" s="66">
        <v>40.553400000000003</v>
      </c>
      <c r="E14" s="66">
        <v>10</v>
      </c>
      <c r="F14" s="66">
        <v>2.6794099999999998</v>
      </c>
      <c r="G14" s="66">
        <v>50</v>
      </c>
      <c r="H14" s="66">
        <v>25.974499999999999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0.42780800000000002</v>
      </c>
      <c r="C18" s="66">
        <v>1.695E-2</v>
      </c>
      <c r="D18" s="66">
        <v>3.9620700000000002E-2</v>
      </c>
      <c r="E18" s="66">
        <v>0</v>
      </c>
      <c r="F18" s="66">
        <v>0.410858</v>
      </c>
      <c r="G18" s="66">
        <v>0</v>
      </c>
      <c r="H18" s="66">
        <v>0.44475799999999999</v>
      </c>
    </row>
    <row r="19" spans="1:8">
      <c r="A19" s="66" t="s">
        <v>316</v>
      </c>
      <c r="B19" s="66">
        <v>0.60241800000000001</v>
      </c>
      <c r="C19" s="66">
        <v>2.9935E-2</v>
      </c>
      <c r="D19" s="66">
        <v>4.96915E-2</v>
      </c>
      <c r="E19" s="66">
        <v>0</v>
      </c>
      <c r="F19" s="66">
        <v>0.57248299999999996</v>
      </c>
      <c r="G19" s="66">
        <v>0</v>
      </c>
      <c r="H19" s="66">
        <v>0.63235300000000005</v>
      </c>
    </row>
    <row r="20" spans="1:8">
      <c r="A20" s="66" t="s">
        <v>317</v>
      </c>
      <c r="B20" s="66">
        <v>6.4667400000000003E-3</v>
      </c>
      <c r="C20" s="66">
        <v>9.6448400000000004E-2</v>
      </c>
      <c r="D20" s="66">
        <v>14.9145</v>
      </c>
      <c r="E20" s="66">
        <v>0</v>
      </c>
      <c r="F20" s="196">
        <v>4.8208599999999998E-5</v>
      </c>
      <c r="G20" s="66">
        <v>0</v>
      </c>
      <c r="H20" s="66">
        <v>0.83950499999999995</v>
      </c>
    </row>
    <row r="21" spans="1:8">
      <c r="A21" s="66" t="s">
        <v>318</v>
      </c>
      <c r="B21" s="66">
        <v>0.23934800000000001</v>
      </c>
      <c r="C21" s="66">
        <v>0.687025</v>
      </c>
      <c r="D21" s="66">
        <v>2.8704000000000001</v>
      </c>
      <c r="E21" s="66">
        <v>0</v>
      </c>
      <c r="F21" s="66">
        <v>2.7088799999999999E-3</v>
      </c>
      <c r="G21" s="66">
        <v>0</v>
      </c>
      <c r="H21" s="66">
        <v>4.5390899999999998</v>
      </c>
    </row>
    <row r="22" spans="1:8">
      <c r="A22" s="66" t="s">
        <v>319</v>
      </c>
      <c r="B22" s="66">
        <v>62.2684</v>
      </c>
      <c r="C22" s="66">
        <v>18.1999</v>
      </c>
      <c r="D22" s="66">
        <v>0.29228100000000001</v>
      </c>
      <c r="E22" s="66">
        <v>0</v>
      </c>
      <c r="F22" s="66">
        <v>40.942700000000002</v>
      </c>
      <c r="G22" s="66">
        <v>0</v>
      </c>
      <c r="H22" s="66">
        <v>125.27</v>
      </c>
    </row>
    <row r="23" spans="1:8">
      <c r="A23" s="66" t="s">
        <v>320</v>
      </c>
      <c r="B23" s="66">
        <v>27.991399999999999</v>
      </c>
      <c r="C23" s="66">
        <v>2.9826299999999999</v>
      </c>
      <c r="D23" s="66">
        <v>0.106555</v>
      </c>
      <c r="E23" s="66">
        <v>0</v>
      </c>
      <c r="F23" s="66">
        <v>20.923100000000002</v>
      </c>
      <c r="G23" s="66">
        <v>0</v>
      </c>
      <c r="H23" s="66">
        <v>35.3626</v>
      </c>
    </row>
    <row r="24" spans="1:8">
      <c r="A24" s="66" t="s">
        <v>321</v>
      </c>
      <c r="B24" s="66">
        <v>3.05302E-2</v>
      </c>
      <c r="C24" s="66">
        <v>8.0766699999999997E-2</v>
      </c>
      <c r="D24" s="66">
        <v>2.64547</v>
      </c>
      <c r="E24" s="66">
        <v>0</v>
      </c>
      <c r="F24" s="66">
        <v>2.03802E-4</v>
      </c>
      <c r="G24" s="66">
        <v>0</v>
      </c>
      <c r="H24" s="66">
        <v>0.65221700000000005</v>
      </c>
    </row>
    <row r="25" spans="1:8">
      <c r="A25" s="66" t="s">
        <v>322</v>
      </c>
      <c r="B25" s="66">
        <v>0.268625</v>
      </c>
      <c r="C25" s="66">
        <v>0.4945</v>
      </c>
      <c r="D25" s="66">
        <v>1.8408599999999999</v>
      </c>
      <c r="E25" s="66">
        <v>0</v>
      </c>
      <c r="F25" s="66">
        <v>7.43862E-2</v>
      </c>
      <c r="G25" s="66">
        <v>0</v>
      </c>
      <c r="H25" s="66">
        <v>2.4157600000000001</v>
      </c>
    </row>
    <row r="26" spans="1:8">
      <c r="A26" s="66" t="s">
        <v>323</v>
      </c>
      <c r="B26" s="66">
        <v>1.3294400000000001E-3</v>
      </c>
      <c r="C26" s="66">
        <v>8.6525400000000002E-3</v>
      </c>
      <c r="D26" s="66">
        <v>6.5084200000000001</v>
      </c>
      <c r="E26" s="66">
        <v>0</v>
      </c>
      <c r="F26" s="196">
        <v>1.9695400000000001E-5</v>
      </c>
      <c r="G26" s="66">
        <v>0</v>
      </c>
      <c r="H26" s="66">
        <v>7.3611499999999996E-2</v>
      </c>
    </row>
    <row r="27" spans="1:8">
      <c r="A27" s="66" t="s">
        <v>324</v>
      </c>
      <c r="B27" s="196">
        <v>-6.5651300000000006E-5</v>
      </c>
      <c r="C27" s="66">
        <v>2.5815299999999998E-3</v>
      </c>
      <c r="D27" s="66">
        <v>-39.321899999999999</v>
      </c>
      <c r="E27" s="66">
        <v>0</v>
      </c>
      <c r="F27" s="66">
        <v>-1.09835E-2</v>
      </c>
      <c r="G27" s="66">
        <v>0</v>
      </c>
      <c r="H27" s="66">
        <v>1.14135E-2</v>
      </c>
    </row>
    <row r="28" spans="1:8">
      <c r="A28" s="66" t="s">
        <v>325</v>
      </c>
      <c r="B28" s="66">
        <v>2.34375E-2</v>
      </c>
      <c r="C28" s="66">
        <v>3.80671E-2</v>
      </c>
      <c r="D28" s="66">
        <v>1.62419</v>
      </c>
      <c r="E28" s="66">
        <v>0</v>
      </c>
      <c r="F28" s="66">
        <v>6.9661500000000004E-4</v>
      </c>
      <c r="G28" s="66">
        <v>0</v>
      </c>
      <c r="H28" s="66">
        <v>0.212259</v>
      </c>
    </row>
    <row r="29" spans="1:8">
      <c r="A29" s="66" t="s">
        <v>326</v>
      </c>
      <c r="B29" s="66">
        <v>77.420199999999994</v>
      </c>
      <c r="C29" s="66">
        <v>9.5088699999999999</v>
      </c>
      <c r="D29" s="66">
        <v>0.122822</v>
      </c>
      <c r="E29" s="66">
        <v>0</v>
      </c>
      <c r="F29" s="66">
        <v>57.101500000000001</v>
      </c>
      <c r="G29" s="66">
        <v>0</v>
      </c>
      <c r="H29" s="66">
        <v>107.51600000000001</v>
      </c>
    </row>
    <row r="30" spans="1:8">
      <c r="A30" s="66" t="s">
        <v>327</v>
      </c>
      <c r="B30" s="66">
        <v>29.534199999999998</v>
      </c>
      <c r="C30" s="66">
        <v>1.8261099999999999</v>
      </c>
      <c r="D30" s="66">
        <v>6.1830400000000001E-2</v>
      </c>
      <c r="E30" s="66">
        <v>0</v>
      </c>
      <c r="F30" s="66">
        <v>25.0138</v>
      </c>
      <c r="G30" s="66">
        <v>0</v>
      </c>
      <c r="H30" s="66">
        <v>32.424500000000002</v>
      </c>
    </row>
    <row r="31" spans="1:8">
      <c r="A31" s="66" t="s">
        <v>328</v>
      </c>
      <c r="B31" s="66">
        <v>356.37099999999998</v>
      </c>
      <c r="C31" s="66">
        <v>40.559699999999999</v>
      </c>
      <c r="D31" s="66">
        <v>0.113813</v>
      </c>
      <c r="E31" s="66">
        <v>0</v>
      </c>
      <c r="F31" s="66">
        <v>251.517</v>
      </c>
      <c r="G31" s="66">
        <v>0</v>
      </c>
      <c r="H31" s="66">
        <v>397.904</v>
      </c>
    </row>
    <row r="32" spans="1:8">
      <c r="A32" s="66" t="s">
        <v>329</v>
      </c>
      <c r="B32" s="66">
        <v>0.32240799999999997</v>
      </c>
      <c r="C32" s="66">
        <v>8.6344199999999996E-2</v>
      </c>
      <c r="D32" s="66">
        <v>0.26780999999999999</v>
      </c>
      <c r="E32" s="66">
        <v>0.15</v>
      </c>
      <c r="F32" s="66">
        <v>7.5729000000000005E-2</v>
      </c>
      <c r="G32" s="66">
        <v>0.4</v>
      </c>
      <c r="H32" s="66">
        <v>0.40964200000000001</v>
      </c>
    </row>
    <row r="33" spans="1:8">
      <c r="A33" s="66" t="s">
        <v>330</v>
      </c>
      <c r="B33" s="66">
        <v>0.206983</v>
      </c>
      <c r="C33" s="66">
        <v>1.3097599999999999E-2</v>
      </c>
      <c r="D33" s="66">
        <v>6.3278699999999993E-2</v>
      </c>
      <c r="E33" s="66">
        <v>0</v>
      </c>
      <c r="F33" s="66">
        <v>0.18595600000000001</v>
      </c>
      <c r="G33" s="66">
        <v>0</v>
      </c>
      <c r="H33" s="66">
        <v>0.25638899999999998</v>
      </c>
    </row>
    <row r="34" spans="1:8">
      <c r="A34" s="66" t="s">
        <v>331</v>
      </c>
      <c r="B34" s="66">
        <v>0.18035699999999999</v>
      </c>
      <c r="C34" s="66">
        <v>1.95088E-2</v>
      </c>
      <c r="D34" s="66">
        <v>0.108168</v>
      </c>
      <c r="E34" s="66">
        <v>0.1</v>
      </c>
      <c r="F34" s="66">
        <v>0.13528100000000001</v>
      </c>
      <c r="G34" s="66">
        <v>0.25</v>
      </c>
      <c r="H34" s="66">
        <v>0.24685000000000001</v>
      </c>
    </row>
    <row r="35" spans="1:8">
      <c r="A35" s="66" t="s">
        <v>332</v>
      </c>
      <c r="B35" s="66">
        <v>8.29675E-2</v>
      </c>
      <c r="C35" s="66">
        <v>2.0546600000000002E-2</v>
      </c>
      <c r="D35" s="66">
        <v>0.24764600000000001</v>
      </c>
      <c r="E35" s="66">
        <v>0</v>
      </c>
      <c r="F35" s="66">
        <v>4.4841100000000002E-2</v>
      </c>
      <c r="G35" s="66">
        <v>0</v>
      </c>
      <c r="H35" s="66">
        <v>0.14671600000000001</v>
      </c>
    </row>
    <row r="36" spans="1:8">
      <c r="A36" s="66" t="s">
        <v>333</v>
      </c>
      <c r="B36" s="66">
        <v>0.15759500000000001</v>
      </c>
      <c r="C36" s="66">
        <v>9.0901300000000004E-2</v>
      </c>
      <c r="D36" s="66">
        <v>0.57680299999999995</v>
      </c>
      <c r="E36" s="66">
        <v>0</v>
      </c>
      <c r="F36" s="66">
        <v>3.2837100000000001E-2</v>
      </c>
      <c r="G36" s="66">
        <v>0</v>
      </c>
      <c r="H36" s="66">
        <v>0.47430299999999997</v>
      </c>
    </row>
    <row r="37" spans="1:8">
      <c r="A37" s="66" t="s">
        <v>334</v>
      </c>
      <c r="B37" s="66">
        <v>0.19508800000000001</v>
      </c>
      <c r="C37" s="66">
        <v>7.9114900000000002E-2</v>
      </c>
      <c r="D37" s="66">
        <v>0.40553400000000001</v>
      </c>
      <c r="E37" s="66">
        <v>0.1</v>
      </c>
      <c r="F37" s="66">
        <v>2.6794100000000001E-2</v>
      </c>
      <c r="G37" s="66">
        <v>0.5</v>
      </c>
      <c r="H37" s="66">
        <v>0.259745</v>
      </c>
    </row>
    <row r="38" spans="1:8">
      <c r="A38" s="66" t="s">
        <v>335</v>
      </c>
      <c r="B38" s="66">
        <v>-4.2020200000000001</v>
      </c>
      <c r="C38" s="66">
        <v>86.737200000000001</v>
      </c>
      <c r="D38" s="66">
        <v>-20.6418</v>
      </c>
      <c r="E38" s="66">
        <v>0</v>
      </c>
      <c r="F38" s="66">
        <v>-211.28200000000001</v>
      </c>
      <c r="G38" s="66">
        <v>0</v>
      </c>
      <c r="H38" s="66">
        <v>381.13400000000001</v>
      </c>
    </row>
    <row r="39" spans="1:8">
      <c r="A39" s="66" t="s">
        <v>336</v>
      </c>
      <c r="B39" s="66">
        <v>1.5652299999999999</v>
      </c>
      <c r="C39" s="66">
        <v>15.443300000000001</v>
      </c>
      <c r="D39" s="66">
        <v>9.8664799999999993</v>
      </c>
      <c r="E39" s="66">
        <v>0</v>
      </c>
      <c r="F39" s="66">
        <v>-13.200699999999999</v>
      </c>
      <c r="G39" s="66">
        <v>0</v>
      </c>
      <c r="H39" s="66">
        <v>81.495599999999996</v>
      </c>
    </row>
    <row r="40" spans="1:8">
      <c r="A40" s="66" t="s">
        <v>337</v>
      </c>
      <c r="B40" s="66">
        <v>4.7123299999999997</v>
      </c>
      <c r="C40" s="66">
        <v>3.8266100000000001</v>
      </c>
      <c r="D40" s="66">
        <v>0.81204100000000001</v>
      </c>
      <c r="E40" s="66">
        <v>0</v>
      </c>
      <c r="F40" s="66">
        <v>-4.9363700000000001</v>
      </c>
      <c r="G40" s="66">
        <v>0</v>
      </c>
      <c r="H40" s="66">
        <v>7.7797499999999999</v>
      </c>
    </row>
    <row r="41" spans="1:8">
      <c r="A41" s="66" t="s">
        <v>338</v>
      </c>
      <c r="B41" s="66">
        <v>-7.5256600000000007E-2</v>
      </c>
      <c r="C41" s="66">
        <v>0.30782700000000002</v>
      </c>
      <c r="D41" s="66">
        <v>-4.0903700000000001</v>
      </c>
      <c r="E41" s="66">
        <v>0</v>
      </c>
      <c r="F41" s="66">
        <v>-0.62382400000000005</v>
      </c>
      <c r="G41" s="66">
        <v>0</v>
      </c>
      <c r="H41" s="66">
        <v>1</v>
      </c>
    </row>
    <row r="42" spans="1:8">
      <c r="A42" s="66" t="s">
        <v>339</v>
      </c>
      <c r="B42" s="66">
        <v>4.5702E-2</v>
      </c>
      <c r="C42" s="66">
        <v>0.117905</v>
      </c>
      <c r="D42" s="66">
        <v>2.5798700000000001</v>
      </c>
      <c r="E42" s="66">
        <v>0</v>
      </c>
      <c r="F42" s="66">
        <v>-0.18914800000000001</v>
      </c>
      <c r="G42" s="66">
        <v>0</v>
      </c>
      <c r="H42" s="66">
        <v>0.62313200000000002</v>
      </c>
    </row>
    <row r="43" spans="1:8">
      <c r="A43" s="66" t="s">
        <v>340</v>
      </c>
      <c r="B43" s="66">
        <v>9.4887299999999994E-2</v>
      </c>
      <c r="C43" s="66">
        <v>4.9616500000000001E-2</v>
      </c>
      <c r="D43" s="66">
        <v>0.52290000000000003</v>
      </c>
      <c r="E43" s="66">
        <v>0</v>
      </c>
      <c r="F43" s="66">
        <v>-4.2227500000000001E-2</v>
      </c>
      <c r="G43" s="66">
        <v>0</v>
      </c>
      <c r="H43" s="66">
        <v>0.15565799999999999</v>
      </c>
    </row>
    <row r="44" spans="1:8">
      <c r="A44" s="66" t="s">
        <v>341</v>
      </c>
      <c r="B44" s="66">
        <v>-61.105600000000003</v>
      </c>
      <c r="C44" s="66">
        <v>31.6919</v>
      </c>
      <c r="D44" s="66">
        <v>-0.51864299999999997</v>
      </c>
      <c r="E44" s="66">
        <v>0</v>
      </c>
      <c r="F44" s="66">
        <v>-114.387</v>
      </c>
      <c r="G44" s="66">
        <v>0</v>
      </c>
      <c r="H44" s="66">
        <v>0.14883399999999999</v>
      </c>
    </row>
    <row r="45" spans="1:8">
      <c r="A45" s="66" t="s">
        <v>342</v>
      </c>
      <c r="B45" s="66">
        <v>55.305900000000001</v>
      </c>
      <c r="C45" s="66">
        <v>6.8561699999999997</v>
      </c>
      <c r="D45" s="66">
        <v>0.12396799999999999</v>
      </c>
      <c r="E45" s="66">
        <v>0</v>
      </c>
      <c r="F45" s="66">
        <v>35.547699999999999</v>
      </c>
      <c r="G45" s="66">
        <v>0</v>
      </c>
      <c r="H45" s="66">
        <v>70.374399999999994</v>
      </c>
    </row>
    <row r="46" spans="1:8">
      <c r="A46" s="66" t="s">
        <v>343</v>
      </c>
      <c r="B46" s="66">
        <v>31.280999999999999</v>
      </c>
      <c r="C46" s="66">
        <v>2.5814499999999998</v>
      </c>
      <c r="D46" s="66">
        <v>8.2524700000000006E-2</v>
      </c>
      <c r="E46" s="66">
        <v>0</v>
      </c>
      <c r="F46" s="66">
        <v>27.345300000000002</v>
      </c>
      <c r="G46" s="66">
        <v>0</v>
      </c>
      <c r="H46" s="66">
        <v>36.566600000000001</v>
      </c>
    </row>
    <row r="47" spans="1:8">
      <c r="A47" s="66" t="s">
        <v>344</v>
      </c>
      <c r="B47" s="66">
        <v>0.96795900000000001</v>
      </c>
      <c r="C47" s="66">
        <v>0.83168699999999995</v>
      </c>
      <c r="D47" s="66">
        <v>0.85921800000000004</v>
      </c>
      <c r="E47" s="66">
        <v>0</v>
      </c>
      <c r="F47" s="66">
        <v>0.35510999999999998</v>
      </c>
      <c r="G47" s="66">
        <v>0</v>
      </c>
      <c r="H47" s="66">
        <v>4.8157300000000003</v>
      </c>
    </row>
    <row r="48" spans="1:8">
      <c r="A48" s="66" t="s">
        <v>345</v>
      </c>
      <c r="B48" s="66">
        <v>0.70830000000000004</v>
      </c>
      <c r="C48" s="66">
        <v>7.6231999999999994E-2</v>
      </c>
      <c r="D48" s="66">
        <v>0.107627</v>
      </c>
      <c r="E48" s="66">
        <v>0</v>
      </c>
      <c r="F48" s="66">
        <v>0.50837600000000005</v>
      </c>
      <c r="G48" s="66">
        <v>0</v>
      </c>
      <c r="H48" s="66">
        <v>0.81533699999999998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347</v>
      </c>
      <c r="B1" s="60" t="s">
        <v>348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86.770751498937557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1.6753254338720946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0.66111979292356471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3240</v>
      </c>
      <c r="B8" s="66">
        <v>3240</v>
      </c>
      <c r="D8">
        <f t="shared" si="0"/>
        <v>1.3968768592689678E-2</v>
      </c>
      <c r="E8">
        <f t="shared" si="0"/>
        <v>1.3968768592689678E-2</v>
      </c>
      <c r="G8">
        <f t="shared" ca="1" si="1"/>
        <v>6</v>
      </c>
      <c r="H8">
        <f t="shared" ca="1" si="2"/>
        <v>8.3812611556138061E-2</v>
      </c>
      <c r="I8">
        <f t="shared" ca="1" si="3"/>
        <v>91.131049143154527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885</v>
      </c>
      <c r="B10" s="66">
        <v>885</v>
      </c>
      <c r="D10">
        <f t="shared" si="0"/>
        <v>3.8155432730031988E-3</v>
      </c>
      <c r="E10">
        <f t="shared" si="0"/>
        <v>3.8155432730031988E-3</v>
      </c>
      <c r="G10">
        <f t="shared" ca="1" si="1"/>
        <v>8</v>
      </c>
      <c r="H10">
        <f t="shared" ca="1" si="2"/>
        <v>3.0524346184025591E-2</v>
      </c>
      <c r="I10">
        <f t="shared" ca="1" si="3"/>
        <v>23.674802295193818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2053</v>
      </c>
      <c r="B13" s="66">
        <v>2053</v>
      </c>
      <c r="D13">
        <f t="shared" si="0"/>
        <v>8.8511981237012066E-3</v>
      </c>
      <c r="E13">
        <f t="shared" si="0"/>
        <v>8.8511981237012066E-3</v>
      </c>
      <c r="G13">
        <f t="shared" ca="1" si="1"/>
        <v>11</v>
      </c>
      <c r="H13">
        <f t="shared" ca="1" si="2"/>
        <v>9.7363179360713273E-2</v>
      </c>
      <c r="I13">
        <f t="shared" ca="1" si="3"/>
        <v>50.816558702936568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3782</v>
      </c>
      <c r="B15" s="66">
        <v>3782</v>
      </c>
      <c r="D15">
        <f t="shared" si="0"/>
        <v>1.6305519388133446E-2</v>
      </c>
      <c r="E15">
        <f t="shared" si="0"/>
        <v>1.6305519388133446E-2</v>
      </c>
      <c r="G15">
        <f t="shared" ca="1" si="1"/>
        <v>13</v>
      </c>
      <c r="H15">
        <f t="shared" ca="1" si="2"/>
        <v>0.21197175204573482</v>
      </c>
      <c r="I15">
        <f t="shared" ca="1" si="3"/>
        <v>88.736654753897341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5398</v>
      </c>
      <c r="B18" s="66">
        <v>5398</v>
      </c>
      <c r="D18">
        <f t="shared" si="0"/>
        <v>2.3272658291153974E-2</v>
      </c>
      <c r="E18">
        <f t="shared" si="0"/>
        <v>2.3272658291153974E-2</v>
      </c>
      <c r="G18">
        <f t="shared" ca="1" si="1"/>
        <v>16</v>
      </c>
      <c r="H18">
        <f t="shared" ca="1" si="2"/>
        <v>0.37236253265846359</v>
      </c>
      <c r="I18">
        <f t="shared" ca="1" si="3"/>
        <v>116.56109200924423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15977</v>
      </c>
      <c r="B21" s="66">
        <v>15977</v>
      </c>
      <c r="D21">
        <f t="shared" si="0"/>
        <v>6.88824122856182E-2</v>
      </c>
      <c r="E21">
        <f t="shared" si="0"/>
        <v>6.88824122856182E-2</v>
      </c>
      <c r="G21">
        <f t="shared" ca="1" si="1"/>
        <v>19</v>
      </c>
      <c r="H21">
        <f t="shared" ca="1" si="2"/>
        <v>1.3087658334267458</v>
      </c>
      <c r="I21">
        <f t="shared" ca="1" si="3"/>
        <v>316.36829270710052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21651</v>
      </c>
      <c r="B23" s="66">
        <v>21651</v>
      </c>
      <c r="D23">
        <f t="shared" si="0"/>
        <v>9.3345002716149442E-2</v>
      </c>
      <c r="E23">
        <f t="shared" si="0"/>
        <v>9.3345002716149442E-2</v>
      </c>
      <c r="G23">
        <f t="shared" ca="1" si="1"/>
        <v>21</v>
      </c>
      <c r="H23">
        <f t="shared" ca="1" si="2"/>
        <v>1.9602450570391383</v>
      </c>
      <c r="I23">
        <f t="shared" ca="1" si="3"/>
        <v>403.79104290854519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20943</v>
      </c>
      <c r="B26" s="66">
        <v>20943</v>
      </c>
      <c r="D26">
        <f t="shared" si="0"/>
        <v>9.0292568097746884E-2</v>
      </c>
      <c r="E26">
        <f t="shared" si="0"/>
        <v>9.0292568097746884E-2</v>
      </c>
      <c r="G26">
        <f t="shared" ca="1" si="1"/>
        <v>24</v>
      </c>
      <c r="H26">
        <f t="shared" ca="1" si="2"/>
        <v>2.1670216343459252</v>
      </c>
      <c r="I26">
        <f t="shared" ca="1" si="3"/>
        <v>355.76781917202948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37580</v>
      </c>
      <c r="B28" s="66">
        <v>37580</v>
      </c>
      <c r="D28">
        <f t="shared" si="0"/>
        <v>0.16202047028187597</v>
      </c>
      <c r="E28">
        <f t="shared" si="0"/>
        <v>0.16202047028187597</v>
      </c>
      <c r="G28">
        <f t="shared" ca="1" si="1"/>
        <v>26</v>
      </c>
      <c r="H28">
        <f t="shared" ca="1" si="2"/>
        <v>4.2125322273287749</v>
      </c>
      <c r="I28">
        <f t="shared" ca="1" si="3"/>
        <v>598.35524499012899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46860</v>
      </c>
      <c r="B31" s="66">
        <v>46860</v>
      </c>
      <c r="D31">
        <f t="shared" si="0"/>
        <v>0.20202978279427108</v>
      </c>
      <c r="E31">
        <f t="shared" si="0"/>
        <v>0.20202978279427108</v>
      </c>
      <c r="G31">
        <f t="shared" ca="1" si="1"/>
        <v>29</v>
      </c>
      <c r="H31">
        <f t="shared" ca="1" si="2"/>
        <v>5.8588637010338616</v>
      </c>
      <c r="I31">
        <f t="shared" ca="1" si="3"/>
        <v>674.26626408439267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51241</v>
      </c>
      <c r="B33" s="66">
        <v>51241</v>
      </c>
      <c r="D33">
        <f t="shared" si="0"/>
        <v>0.2209177998327197</v>
      </c>
      <c r="E33">
        <f t="shared" si="0"/>
        <v>0.2209177998327197</v>
      </c>
      <c r="G33">
        <f t="shared" ca="1" si="1"/>
        <v>31</v>
      </c>
      <c r="H33">
        <f t="shared" ca="1" si="2"/>
        <v>6.8484517948143102</v>
      </c>
      <c r="I33">
        <f t="shared" ca="1" si="3"/>
        <v>687.13758224221499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53712</v>
      </c>
      <c r="B36" s="66">
        <v>53712</v>
      </c>
      <c r="D36">
        <f t="shared" si="0"/>
        <v>0.23157114155881109</v>
      </c>
      <c r="E36">
        <f t="shared" si="0"/>
        <v>0.23157114155881109</v>
      </c>
      <c r="G36">
        <f t="shared" ca="1" si="1"/>
        <v>34</v>
      </c>
      <c r="H36">
        <f t="shared" ca="1" si="2"/>
        <v>7.873418812999577</v>
      </c>
      <c r="I36">
        <f t="shared" ca="1" si="3"/>
        <v>644.86824909943641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57361</v>
      </c>
      <c r="B39" s="66">
        <v>57361</v>
      </c>
      <c r="D39">
        <f t="shared" si="0"/>
        <v>0.24730325161891129</v>
      </c>
      <c r="E39">
        <f t="shared" si="0"/>
        <v>0.24730325161891129</v>
      </c>
      <c r="G39">
        <f t="shared" ca="1" si="1"/>
        <v>37</v>
      </c>
      <c r="H39">
        <f t="shared" ca="1" si="2"/>
        <v>9.1502203098997175</v>
      </c>
      <c r="I39">
        <f t="shared" ca="1" si="3"/>
        <v>612.60173606466299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75765</v>
      </c>
      <c r="B41" s="66">
        <v>75765</v>
      </c>
      <c r="D41">
        <f t="shared" si="0"/>
        <v>0.32664930630405353</v>
      </c>
      <c r="E41">
        <f t="shared" si="0"/>
        <v>0.32664930630405353</v>
      </c>
      <c r="G41">
        <f t="shared" ca="1" si="1"/>
        <v>39</v>
      </c>
      <c r="H41">
        <f t="shared" ca="1" si="2"/>
        <v>12.739322945858088</v>
      </c>
      <c r="I41">
        <f t="shared" ca="1" si="3"/>
        <v>745.4283178091232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93651</v>
      </c>
      <c r="B44" s="66">
        <v>93651</v>
      </c>
      <c r="D44">
        <f t="shared" si="0"/>
        <v>0.40376208255369783</v>
      </c>
      <c r="E44">
        <f t="shared" si="0"/>
        <v>0.40376208255369783</v>
      </c>
      <c r="G44">
        <f t="shared" ca="1" si="1"/>
        <v>42</v>
      </c>
      <c r="H44">
        <f t="shared" ca="1" si="2"/>
        <v>16.95800746725531</v>
      </c>
      <c r="I44">
        <f t="shared" ca="1" si="3"/>
        <v>809.3088701380974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117357</v>
      </c>
      <c r="B46" s="66">
        <v>117357</v>
      </c>
      <c r="D46">
        <f t="shared" si="0"/>
        <v>0.50596690609021067</v>
      </c>
      <c r="E46">
        <f t="shared" si="0"/>
        <v>0.50596690609021067</v>
      </c>
      <c r="G46">
        <f t="shared" ca="1" si="1"/>
        <v>44</v>
      </c>
      <c r="H46">
        <f t="shared" ca="1" si="2"/>
        <v>22.262543867969271</v>
      </c>
      <c r="I46">
        <f t="shared" ca="1" si="3"/>
        <v>925.58407507490347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140780</v>
      </c>
      <c r="B49" s="66">
        <v>140780</v>
      </c>
      <c r="D49">
        <f t="shared" si="0"/>
        <v>0.60695161804902864</v>
      </c>
      <c r="E49">
        <f t="shared" si="0"/>
        <v>0.60695161804902864</v>
      </c>
      <c r="G49">
        <f t="shared" ca="1" si="1"/>
        <v>47</v>
      </c>
      <c r="H49">
        <f t="shared" ca="1" si="2"/>
        <v>28.526726048304347</v>
      </c>
      <c r="I49">
        <f t="shared" ca="1" si="3"/>
        <v>960.02306725259552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154506</v>
      </c>
      <c r="B51" s="66">
        <v>154506</v>
      </c>
      <c r="D51">
        <f t="shared" si="0"/>
        <v>0.66612918524139242</v>
      </c>
      <c r="E51">
        <f t="shared" si="0"/>
        <v>0.66612918524139242</v>
      </c>
      <c r="G51">
        <f t="shared" ca="1" si="1"/>
        <v>49</v>
      </c>
      <c r="H51">
        <f t="shared" ca="1" si="2"/>
        <v>32.640330076828228</v>
      </c>
      <c r="I51">
        <f t="shared" ca="1" si="3"/>
        <v>950.31965891527364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168279</v>
      </c>
      <c r="B54" s="66">
        <v>168279</v>
      </c>
      <c r="D54">
        <f t="shared" si="0"/>
        <v>0.72550938580531676</v>
      </c>
      <c r="E54">
        <f t="shared" si="0"/>
        <v>0.72550938580531676</v>
      </c>
      <c r="G54">
        <f t="shared" ca="1" si="1"/>
        <v>52</v>
      </c>
      <c r="H54">
        <f t="shared" ca="1" si="2"/>
        <v>37.726488061876474</v>
      </c>
      <c r="I54">
        <f t="shared" ca="1" si="3"/>
        <v>877.14459092258687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170718</v>
      </c>
      <c r="B57" s="66">
        <v>170718</v>
      </c>
      <c r="D57">
        <f t="shared" si="0"/>
        <v>0.73602476438481368</v>
      </c>
      <c r="E57">
        <f t="shared" si="0"/>
        <v>0.73602476438481368</v>
      </c>
      <c r="G57">
        <f t="shared" ca="1" si="1"/>
        <v>55</v>
      </c>
      <c r="H57">
        <f t="shared" ca="1" si="2"/>
        <v>40.481362041164751</v>
      </c>
      <c r="I57">
        <f t="shared" ca="1" si="3"/>
        <v>742.92915568499097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193206</v>
      </c>
      <c r="B59" s="66">
        <v>193206</v>
      </c>
      <c r="D59">
        <f t="shared" si="0"/>
        <v>0.83297836565407468</v>
      </c>
      <c r="E59">
        <f t="shared" si="0"/>
        <v>0.83297836565407468</v>
      </c>
      <c r="G59">
        <f t="shared" ca="1" si="1"/>
        <v>57</v>
      </c>
      <c r="H59">
        <f t="shared" ca="1" si="2"/>
        <v>47.47976684228226</v>
      </c>
      <c r="I59">
        <f t="shared" ca="1" si="3"/>
        <v>738.26676365813285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201260</v>
      </c>
      <c r="B62" s="66">
        <v>201260</v>
      </c>
      <c r="D62">
        <f t="shared" si="0"/>
        <v>0.86770196511256925</v>
      </c>
      <c r="E62">
        <f t="shared" si="0"/>
        <v>0.86770196511256925</v>
      </c>
      <c r="G62">
        <f t="shared" ca="1" si="1"/>
        <v>60</v>
      </c>
      <c r="H62">
        <f t="shared" ca="1" si="2"/>
        <v>52.062117906754153</v>
      </c>
      <c r="I62">
        <f t="shared" ca="1" si="3"/>
        <v>621.85868829255082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205239</v>
      </c>
      <c r="B64" s="66">
        <v>205239</v>
      </c>
      <c r="D64">
        <f t="shared" si="0"/>
        <v>0.8848568201219249</v>
      </c>
      <c r="E64">
        <f t="shared" si="0"/>
        <v>0.8848568201219249</v>
      </c>
      <c r="G64">
        <f t="shared" ca="1" si="1"/>
        <v>62</v>
      </c>
      <c r="H64">
        <f t="shared" ca="1" si="2"/>
        <v>54.861122847559344</v>
      </c>
      <c r="I64">
        <f t="shared" ca="1" si="3"/>
        <v>542.93941113259768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200174</v>
      </c>
      <c r="B67" s="66">
        <v>200174</v>
      </c>
      <c r="D67">
        <f t="shared" ref="D67:E130" si="4">IFERROR( A67/MAX(A$2:A$257), 0 )</f>
        <v>0.86301984082501959</v>
      </c>
      <c r="E67">
        <f t="shared" si="4"/>
        <v>0.86301984082501959</v>
      </c>
      <c r="G67">
        <f t="shared" ref="G67:G130" ca="1" si="5">CELL("row",D67)-2</f>
        <v>65</v>
      </c>
      <c r="H67">
        <f t="shared" ref="H67:H130" ca="1" si="6">D67*G67</f>
        <v>56.096289653626272</v>
      </c>
      <c r="I67">
        <f t="shared" ref="I67:I130" ca="1" si="7">D67*((G67-$L$1)^2)</f>
        <v>409.04173464393665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214188</v>
      </c>
      <c r="B69" s="66">
        <v>214188</v>
      </c>
      <c r="D69">
        <f t="shared" si="4"/>
        <v>0.9234390763367335</v>
      </c>
      <c r="E69">
        <f t="shared" si="4"/>
        <v>0.9234390763367335</v>
      </c>
      <c r="G69">
        <f t="shared" ca="1" si="5"/>
        <v>67</v>
      </c>
      <c r="H69">
        <f t="shared" ca="1" si="6"/>
        <v>61.870418114561147</v>
      </c>
      <c r="I69">
        <f t="shared" ca="1" si="7"/>
        <v>360.95628079723411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222567</v>
      </c>
      <c r="B72" s="66">
        <v>222567</v>
      </c>
      <c r="D72">
        <f t="shared" si="4"/>
        <v>0.95956386400282823</v>
      </c>
      <c r="E72">
        <f t="shared" si="4"/>
        <v>0.95956386400282823</v>
      </c>
      <c r="G72">
        <f t="shared" ca="1" si="5"/>
        <v>70</v>
      </c>
      <c r="H72">
        <f t="shared" ca="1" si="6"/>
        <v>67.169470480197973</v>
      </c>
      <c r="I72">
        <f t="shared" ca="1" si="7"/>
        <v>269.88511482109885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217201</v>
      </c>
      <c r="B75" s="66">
        <v>217201</v>
      </c>
      <c r="D75">
        <f t="shared" si="4"/>
        <v>0.93642916885826877</v>
      </c>
      <c r="E75">
        <f t="shared" si="4"/>
        <v>0.93642916885826877</v>
      </c>
      <c r="G75">
        <f t="shared" ca="1" si="5"/>
        <v>73</v>
      </c>
      <c r="H75">
        <f t="shared" ca="1" si="6"/>
        <v>68.359329326653622</v>
      </c>
      <c r="I75">
        <f t="shared" ca="1" si="7"/>
        <v>177.57843148162712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231946</v>
      </c>
      <c r="B77" s="66">
        <v>231946</v>
      </c>
      <c r="D77">
        <f t="shared" si="4"/>
        <v>1</v>
      </c>
      <c r="E77">
        <f t="shared" si="4"/>
        <v>1</v>
      </c>
      <c r="G77">
        <f t="shared" ca="1" si="5"/>
        <v>75</v>
      </c>
      <c r="H77">
        <f t="shared" ca="1" si="6"/>
        <v>75</v>
      </c>
      <c r="I77">
        <f t="shared" ca="1" si="7"/>
        <v>138.55059084974073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224108</v>
      </c>
      <c r="B80" s="66">
        <v>224108</v>
      </c>
      <c r="D80">
        <f t="shared" si="4"/>
        <v>0.96620765178101797</v>
      </c>
      <c r="E80">
        <f t="shared" si="4"/>
        <v>0.96620765178101797</v>
      </c>
      <c r="G80">
        <f t="shared" ca="1" si="5"/>
        <v>78</v>
      </c>
      <c r="H80">
        <f t="shared" ca="1" si="6"/>
        <v>75.364196838919398</v>
      </c>
      <c r="I80">
        <f t="shared" ca="1" si="7"/>
        <v>74.326568910911632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224104</v>
      </c>
      <c r="B82" s="66">
        <v>224104</v>
      </c>
      <c r="D82">
        <f t="shared" si="4"/>
        <v>0.96619040638769371</v>
      </c>
      <c r="E82">
        <f t="shared" si="4"/>
        <v>0.96619040638769371</v>
      </c>
      <c r="G82">
        <f t="shared" ca="1" si="5"/>
        <v>80</v>
      </c>
      <c r="H82">
        <f t="shared" ca="1" si="6"/>
        <v>77.295232511015499</v>
      </c>
      <c r="I82">
        <f t="shared" ca="1" si="7"/>
        <v>44.2931400955881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216763</v>
      </c>
      <c r="B85" s="66">
        <v>216763</v>
      </c>
      <c r="D85">
        <f t="shared" si="4"/>
        <v>0.93454079828925696</v>
      </c>
      <c r="E85">
        <f t="shared" si="4"/>
        <v>0.93454079828925696</v>
      </c>
      <c r="G85">
        <f t="shared" ca="1" si="5"/>
        <v>83</v>
      </c>
      <c r="H85">
        <f t="shared" ca="1" si="6"/>
        <v>77.566886258008324</v>
      </c>
      <c r="I85">
        <f t="shared" ca="1" si="7"/>
        <v>13.28783083017222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216549</v>
      </c>
      <c r="B88" s="66">
        <v>216549</v>
      </c>
      <c r="D88">
        <f t="shared" si="4"/>
        <v>0.93361816974640655</v>
      </c>
      <c r="E88">
        <f t="shared" si="4"/>
        <v>0.93361816974640655</v>
      </c>
      <c r="G88">
        <f t="shared" ca="1" si="5"/>
        <v>86</v>
      </c>
      <c r="H88">
        <f t="shared" ca="1" si="6"/>
        <v>80.291162598190965</v>
      </c>
      <c r="I88">
        <f t="shared" ca="1" si="7"/>
        <v>0.55462322422059374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209129</v>
      </c>
      <c r="B90" s="66">
        <v>209129</v>
      </c>
      <c r="D90">
        <f t="shared" si="4"/>
        <v>0.90162796512981469</v>
      </c>
      <c r="E90">
        <f t="shared" si="4"/>
        <v>0.90162796512981469</v>
      </c>
      <c r="G90">
        <f t="shared" ca="1" si="5"/>
        <v>88</v>
      </c>
      <c r="H90">
        <f t="shared" ca="1" si="6"/>
        <v>79.343260931423686</v>
      </c>
      <c r="I90">
        <f t="shared" ca="1" si="7"/>
        <v>1.3624066293935271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198246</v>
      </c>
      <c r="B93" s="66">
        <v>198246</v>
      </c>
      <c r="D93">
        <f t="shared" si="4"/>
        <v>0.85470756124270308</v>
      </c>
      <c r="E93">
        <f t="shared" si="4"/>
        <v>0.85470756124270308</v>
      </c>
      <c r="G93">
        <f t="shared" ca="1" si="5"/>
        <v>91</v>
      </c>
      <c r="H93">
        <f t="shared" ca="1" si="6"/>
        <v>77.778388073085978</v>
      </c>
      <c r="I93">
        <f t="shared" ca="1" si="7"/>
        <v>15.28776344722352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212963</v>
      </c>
      <c r="B95" s="66">
        <v>212963</v>
      </c>
      <c r="D95">
        <f t="shared" si="4"/>
        <v>0.91815767463116416</v>
      </c>
      <c r="E95">
        <f t="shared" si="4"/>
        <v>0.91815767463116416</v>
      </c>
      <c r="G95">
        <f t="shared" ca="1" si="5"/>
        <v>93</v>
      </c>
      <c r="H95">
        <f t="shared" ca="1" si="6"/>
        <v>85.388663740698263</v>
      </c>
      <c r="I95">
        <f t="shared" ca="1" si="7"/>
        <v>35.627765196540302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209037</v>
      </c>
      <c r="B98" s="66">
        <v>209037</v>
      </c>
      <c r="D98">
        <f t="shared" si="4"/>
        <v>0.90123132108335557</v>
      </c>
      <c r="E98">
        <f t="shared" si="4"/>
        <v>0.90123132108335557</v>
      </c>
      <c r="G98">
        <f t="shared" ca="1" si="5"/>
        <v>96</v>
      </c>
      <c r="H98">
        <f t="shared" ca="1" si="6"/>
        <v>86.518206824002135</v>
      </c>
      <c r="I98">
        <f t="shared" ca="1" si="7"/>
        <v>76.766007837833087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190867</v>
      </c>
      <c r="B100" s="66">
        <v>190867</v>
      </c>
      <c r="D100">
        <f t="shared" si="4"/>
        <v>0.82289412190768541</v>
      </c>
      <c r="E100">
        <f t="shared" si="4"/>
        <v>0.82289412190768541</v>
      </c>
      <c r="G100">
        <f t="shared" ca="1" si="5"/>
        <v>98</v>
      </c>
      <c r="H100">
        <f t="shared" ca="1" si="6"/>
        <v>80.64362394695317</v>
      </c>
      <c r="I100">
        <f t="shared" ca="1" si="7"/>
        <v>103.76367521631153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176642</v>
      </c>
      <c r="B103" s="66">
        <v>176642</v>
      </c>
      <c r="D103">
        <f t="shared" si="4"/>
        <v>0.76156519189811422</v>
      </c>
      <c r="E103">
        <f t="shared" si="4"/>
        <v>0.76156519189811422</v>
      </c>
      <c r="G103">
        <f t="shared" ca="1" si="5"/>
        <v>101</v>
      </c>
      <c r="H103">
        <f t="shared" ca="1" si="6"/>
        <v>76.918084381709534</v>
      </c>
      <c r="I103">
        <f t="shared" ca="1" si="7"/>
        <v>154.19525657938851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170434</v>
      </c>
      <c r="B106" s="66">
        <v>170434</v>
      </c>
      <c r="D106">
        <f t="shared" si="4"/>
        <v>0.73480034145878781</v>
      </c>
      <c r="E106">
        <f t="shared" si="4"/>
        <v>0.73480034145878781</v>
      </c>
      <c r="G106">
        <f t="shared" ca="1" si="5"/>
        <v>104</v>
      </c>
      <c r="H106">
        <f t="shared" ca="1" si="6"/>
        <v>76.419235511713936</v>
      </c>
      <c r="I106">
        <f t="shared" ca="1" si="7"/>
        <v>218.12327983508723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155973</v>
      </c>
      <c r="B108" s="66">
        <v>155973</v>
      </c>
      <c r="D108">
        <f t="shared" si="4"/>
        <v>0.67245393324308245</v>
      </c>
      <c r="E108">
        <f t="shared" si="4"/>
        <v>0.67245393324308245</v>
      </c>
      <c r="G108">
        <f t="shared" ca="1" si="5"/>
        <v>106</v>
      </c>
      <c r="H108">
        <f t="shared" ca="1" si="6"/>
        <v>71.280116923766741</v>
      </c>
      <c r="I108">
        <f t="shared" ca="1" si="7"/>
        <v>248.64925477004036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130234</v>
      </c>
      <c r="B111" s="66">
        <v>130234</v>
      </c>
      <c r="D111">
        <f t="shared" si="4"/>
        <v>0.56148413854948998</v>
      </c>
      <c r="E111">
        <f t="shared" si="4"/>
        <v>0.56148413854948998</v>
      </c>
      <c r="G111">
        <f t="shared" ca="1" si="5"/>
        <v>109</v>
      </c>
      <c r="H111">
        <f t="shared" ca="1" si="6"/>
        <v>61.201771101894408</v>
      </c>
      <c r="I111">
        <f t="shared" ca="1" si="7"/>
        <v>277.45148526064702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114357</v>
      </c>
      <c r="B113" s="66">
        <v>114357</v>
      </c>
      <c r="D113">
        <f t="shared" si="4"/>
        <v>0.49303286109697947</v>
      </c>
      <c r="E113">
        <f t="shared" si="4"/>
        <v>0.49303286109697947</v>
      </c>
      <c r="G113">
        <f t="shared" ca="1" si="5"/>
        <v>111</v>
      </c>
      <c r="H113">
        <f t="shared" ca="1" si="6"/>
        <v>54.726647581764723</v>
      </c>
      <c r="I113">
        <f t="shared" ca="1" si="7"/>
        <v>289.4381374026525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114444</v>
      </c>
      <c r="B116" s="66">
        <v>114444</v>
      </c>
      <c r="D116">
        <f t="shared" si="4"/>
        <v>0.49340794840178315</v>
      </c>
      <c r="E116">
        <f t="shared" si="4"/>
        <v>0.49340794840178315</v>
      </c>
      <c r="G116">
        <f t="shared" ca="1" si="5"/>
        <v>114</v>
      </c>
      <c r="H116">
        <f t="shared" ca="1" si="6"/>
        <v>56.248506117803281</v>
      </c>
      <c r="I116">
        <f t="shared" ca="1" si="7"/>
        <v>365.82842913757412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94601</v>
      </c>
      <c r="B118" s="66">
        <v>94601</v>
      </c>
      <c r="D118">
        <f t="shared" si="4"/>
        <v>0.40785786346822106</v>
      </c>
      <c r="E118">
        <f t="shared" si="4"/>
        <v>0.40785786346822106</v>
      </c>
      <c r="G118">
        <f t="shared" ca="1" si="5"/>
        <v>116</v>
      </c>
      <c r="H118">
        <f t="shared" ca="1" si="6"/>
        <v>47.31151216231364</v>
      </c>
      <c r="I118">
        <f t="shared" ca="1" si="7"/>
        <v>348.45294471900786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81901</v>
      </c>
      <c r="B121" s="66">
        <v>81901</v>
      </c>
      <c r="D121">
        <f t="shared" si="4"/>
        <v>0.35310373966354236</v>
      </c>
      <c r="E121">
        <f t="shared" si="4"/>
        <v>0.35310373966354236</v>
      </c>
      <c r="G121">
        <f t="shared" ca="1" si="5"/>
        <v>119</v>
      </c>
      <c r="H121">
        <f t="shared" ca="1" si="6"/>
        <v>42.019345019961541</v>
      </c>
      <c r="I121">
        <f t="shared" ca="1" si="7"/>
        <v>366.77749093284621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79296</v>
      </c>
      <c r="B124" s="66">
        <v>79296</v>
      </c>
      <c r="D124">
        <f t="shared" si="4"/>
        <v>0.34187267726108661</v>
      </c>
      <c r="E124">
        <f t="shared" si="4"/>
        <v>0.34187267726108661</v>
      </c>
      <c r="G124">
        <f t="shared" ca="1" si="5"/>
        <v>122</v>
      </c>
      <c r="H124">
        <f t="shared" ca="1" si="6"/>
        <v>41.708466625852566</v>
      </c>
      <c r="I124">
        <f t="shared" ca="1" si="7"/>
        <v>424.29816263787387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70033</v>
      </c>
      <c r="B126" s="66">
        <v>70033</v>
      </c>
      <c r="D126">
        <f t="shared" si="4"/>
        <v>0.3019366576703198</v>
      </c>
      <c r="E126">
        <f t="shared" si="4"/>
        <v>0.3019366576703198</v>
      </c>
      <c r="G126">
        <f t="shared" ca="1" si="5"/>
        <v>124</v>
      </c>
      <c r="H126">
        <f t="shared" ca="1" si="6"/>
        <v>37.440145551119656</v>
      </c>
      <c r="I126">
        <f t="shared" ca="1" si="7"/>
        <v>418.4893235318595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60244</v>
      </c>
      <c r="B129" s="66">
        <v>60244</v>
      </c>
      <c r="D129">
        <f t="shared" si="4"/>
        <v>0.25973286885740648</v>
      </c>
      <c r="E129">
        <f t="shared" si="4"/>
        <v>0.25973286885740648</v>
      </c>
      <c r="G129">
        <f t="shared" ca="1" si="5"/>
        <v>127</v>
      </c>
      <c r="H129">
        <f t="shared" ca="1" si="6"/>
        <v>32.986074344890625</v>
      </c>
      <c r="I129">
        <f t="shared" ca="1" si="7"/>
        <v>420.34971006934541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59216</v>
      </c>
      <c r="B131" s="66">
        <v>59216</v>
      </c>
      <c r="D131">
        <f t="shared" ref="D131:E194" si="8">IFERROR( A131/MAX(A$2:A$257), 0 )</f>
        <v>0.25530080277305922</v>
      </c>
      <c r="E131">
        <f t="shared" si="8"/>
        <v>0.25530080277305922</v>
      </c>
      <c r="G131">
        <f t="shared" ref="G131:G194" ca="1" si="9">CELL("row",D131)-2</f>
        <v>129</v>
      </c>
      <c r="H131">
        <f t="shared" ref="H131:H194" ca="1" si="10">D131*G131</f>
        <v>32.933803557724637</v>
      </c>
      <c r="I131">
        <f t="shared" ref="I131:I194" ca="1" si="11">D131*((G131-$L$1)^2)</f>
        <v>455.28032880739875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63654</v>
      </c>
      <c r="B134" s="66">
        <v>63654</v>
      </c>
      <c r="D134">
        <f t="shared" si="8"/>
        <v>0.27443456666637922</v>
      </c>
      <c r="E134">
        <f t="shared" si="8"/>
        <v>0.27443456666637922</v>
      </c>
      <c r="G134">
        <f t="shared" ca="1" si="9"/>
        <v>132</v>
      </c>
      <c r="H134">
        <f t="shared" ca="1" si="10"/>
        <v>36.225362799962056</v>
      </c>
      <c r="I134">
        <f t="shared" ca="1" si="11"/>
        <v>561.40665454814939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59175</v>
      </c>
      <c r="B136" s="66">
        <v>59175</v>
      </c>
      <c r="D136">
        <f t="shared" si="8"/>
        <v>0.2551240374914851</v>
      </c>
      <c r="E136">
        <f t="shared" si="8"/>
        <v>0.2551240374914851</v>
      </c>
      <c r="G136">
        <f t="shared" ca="1" si="9"/>
        <v>134</v>
      </c>
      <c r="H136">
        <f t="shared" ca="1" si="10"/>
        <v>34.186621023859004</v>
      </c>
      <c r="I136">
        <f t="shared" ca="1" si="11"/>
        <v>569.08016632956424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55360</v>
      </c>
      <c r="B139" s="66">
        <v>55360</v>
      </c>
      <c r="D139">
        <f t="shared" si="8"/>
        <v>0.2386762436084261</v>
      </c>
      <c r="E139">
        <f t="shared" si="8"/>
        <v>0.2386762436084261</v>
      </c>
      <c r="G139">
        <f t="shared" ca="1" si="9"/>
        <v>137</v>
      </c>
      <c r="H139">
        <f t="shared" ca="1" si="10"/>
        <v>32.698645374354378</v>
      </c>
      <c r="I139">
        <f t="shared" ca="1" si="11"/>
        <v>602.17476972991528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52876</v>
      </c>
      <c r="B142" s="66">
        <v>52876</v>
      </c>
      <c r="D142">
        <f t="shared" si="8"/>
        <v>0.22796685435403069</v>
      </c>
      <c r="E142">
        <f t="shared" si="8"/>
        <v>0.22796685435403069</v>
      </c>
      <c r="G142">
        <f t="shared" ca="1" si="9"/>
        <v>140</v>
      </c>
      <c r="H142">
        <f t="shared" ca="1" si="10"/>
        <v>31.915359609564298</v>
      </c>
      <c r="I142">
        <f t="shared" ca="1" si="11"/>
        <v>645.91054697323523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50037</v>
      </c>
      <c r="B144" s="66">
        <v>50037</v>
      </c>
      <c r="D144">
        <f t="shared" si="8"/>
        <v>0.21572693644210289</v>
      </c>
      <c r="E144">
        <f t="shared" si="8"/>
        <v>0.21572693644210289</v>
      </c>
      <c r="G144">
        <f t="shared" ca="1" si="9"/>
        <v>142</v>
      </c>
      <c r="H144">
        <f t="shared" ca="1" si="10"/>
        <v>30.63322497477861</v>
      </c>
      <c r="I144">
        <f t="shared" ca="1" si="11"/>
        <v>658.02537868958768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48891</v>
      </c>
      <c r="B147" s="66">
        <v>48891</v>
      </c>
      <c r="D147">
        <f t="shared" si="8"/>
        <v>0.21078613125468859</v>
      </c>
      <c r="E147">
        <f t="shared" si="8"/>
        <v>0.21078613125468859</v>
      </c>
      <c r="G147">
        <f t="shared" ca="1" si="9"/>
        <v>145</v>
      </c>
      <c r="H147">
        <f t="shared" ca="1" si="10"/>
        <v>30.563989031929847</v>
      </c>
      <c r="I147">
        <f t="shared" ca="1" si="11"/>
        <v>714.70102231724979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47686</v>
      </c>
      <c r="B149" s="66">
        <v>47686</v>
      </c>
      <c r="D149">
        <f t="shared" si="8"/>
        <v>0.20559095651574072</v>
      </c>
      <c r="E149">
        <f t="shared" si="8"/>
        <v>0.20559095651574072</v>
      </c>
      <c r="G149">
        <f t="shared" ca="1" si="9"/>
        <v>147</v>
      </c>
      <c r="H149">
        <f t="shared" ca="1" si="10"/>
        <v>30.221870607813887</v>
      </c>
      <c r="I149">
        <f t="shared" ca="1" si="11"/>
        <v>745.79401849732392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42159</v>
      </c>
      <c r="B152" s="66">
        <v>42159</v>
      </c>
      <c r="D152">
        <f t="shared" si="8"/>
        <v>0.18176213428987781</v>
      </c>
      <c r="E152">
        <f t="shared" si="8"/>
        <v>0.18176213428987781</v>
      </c>
      <c r="G152">
        <f t="shared" ca="1" si="9"/>
        <v>150</v>
      </c>
      <c r="H152">
        <f t="shared" ca="1" si="10"/>
        <v>27.264320143481672</v>
      </c>
      <c r="I152">
        <f t="shared" ca="1" si="11"/>
        <v>726.6737192841349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41650</v>
      </c>
      <c r="B154" s="66">
        <v>41650</v>
      </c>
      <c r="D154">
        <f t="shared" si="8"/>
        <v>0.17956765798935959</v>
      </c>
      <c r="E154">
        <f t="shared" si="8"/>
        <v>0.17956765798935959</v>
      </c>
      <c r="G154">
        <f t="shared" ca="1" si="9"/>
        <v>152</v>
      </c>
      <c r="H154">
        <f t="shared" ca="1" si="10"/>
        <v>27.294284014382658</v>
      </c>
      <c r="I154">
        <f t="shared" ca="1" si="11"/>
        <v>764.03432229724297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36271</v>
      </c>
      <c r="B157" s="66">
        <v>36271</v>
      </c>
      <c r="D157">
        <f t="shared" si="8"/>
        <v>0.15637691531649608</v>
      </c>
      <c r="E157">
        <f t="shared" si="8"/>
        <v>0.15637691531649608</v>
      </c>
      <c r="G157">
        <f t="shared" ca="1" si="9"/>
        <v>155</v>
      </c>
      <c r="H157">
        <f t="shared" ca="1" si="10"/>
        <v>24.238421874056893</v>
      </c>
      <c r="I157">
        <f t="shared" ca="1" si="11"/>
        <v>727.97056238019491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28808</v>
      </c>
      <c r="B160" s="66">
        <v>28808</v>
      </c>
      <c r="D160">
        <f t="shared" si="8"/>
        <v>0.12420132272166798</v>
      </c>
      <c r="E160">
        <f t="shared" si="8"/>
        <v>0.12420132272166798</v>
      </c>
      <c r="G160">
        <f t="shared" ca="1" si="9"/>
        <v>158</v>
      </c>
      <c r="H160">
        <f t="shared" ca="1" si="10"/>
        <v>19.623808990023541</v>
      </c>
      <c r="I160">
        <f t="shared" ca="1" si="11"/>
        <v>630.14855654802443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23518</v>
      </c>
      <c r="B162" s="66">
        <v>23518</v>
      </c>
      <c r="D162">
        <f t="shared" si="8"/>
        <v>0.10139429005027033</v>
      </c>
      <c r="E162">
        <f t="shared" si="8"/>
        <v>0.10139429005027033</v>
      </c>
      <c r="G162">
        <f t="shared" ca="1" si="9"/>
        <v>160</v>
      </c>
      <c r="H162">
        <f t="shared" ca="1" si="10"/>
        <v>16.223086408043251</v>
      </c>
      <c r="I162">
        <f t="shared" ca="1" si="11"/>
        <v>543.7291958376602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24283</v>
      </c>
      <c r="B165" s="66">
        <v>24283</v>
      </c>
      <c r="D165">
        <f t="shared" si="8"/>
        <v>0.10469247152354427</v>
      </c>
      <c r="E165">
        <f t="shared" si="8"/>
        <v>0.10469247152354427</v>
      </c>
      <c r="G165">
        <f t="shared" ca="1" si="9"/>
        <v>163</v>
      </c>
      <c r="H165">
        <f t="shared" ca="1" si="10"/>
        <v>17.064872858337715</v>
      </c>
      <c r="I165">
        <f t="shared" ca="1" si="11"/>
        <v>608.35730762950402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19604</v>
      </c>
      <c r="B167" s="66">
        <v>19604</v>
      </c>
      <c r="D167">
        <f t="shared" si="8"/>
        <v>8.451967268243471E-2</v>
      </c>
      <c r="E167">
        <f t="shared" si="8"/>
        <v>8.451967268243471E-2</v>
      </c>
      <c r="G167">
        <f t="shared" ca="1" si="9"/>
        <v>165</v>
      </c>
      <c r="H167">
        <f t="shared" ca="1" si="10"/>
        <v>13.945745992601728</v>
      </c>
      <c r="I167">
        <f t="shared" ca="1" si="11"/>
        <v>517.2447878113328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16987</v>
      </c>
      <c r="B170" s="66">
        <v>16987</v>
      </c>
      <c r="D170">
        <f t="shared" si="8"/>
        <v>7.3236874100006039E-2</v>
      </c>
      <c r="E170">
        <f t="shared" si="8"/>
        <v>7.3236874100006039E-2</v>
      </c>
      <c r="G170">
        <f t="shared" ca="1" si="9"/>
        <v>168</v>
      </c>
      <c r="H170">
        <f t="shared" ca="1" si="10"/>
        <v>12.303794848801015</v>
      </c>
      <c r="I170">
        <f t="shared" ca="1" si="11"/>
        <v>483.23086978972879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19330</v>
      </c>
      <c r="B173" s="66">
        <v>19330</v>
      </c>
      <c r="D173">
        <f t="shared" si="8"/>
        <v>8.333836323971959E-2</v>
      </c>
      <c r="E173">
        <f t="shared" si="8"/>
        <v>8.333836323971959E-2</v>
      </c>
      <c r="G173">
        <f t="shared" ca="1" si="9"/>
        <v>171</v>
      </c>
      <c r="H173">
        <f t="shared" ca="1" si="10"/>
        <v>14.250860113992051</v>
      </c>
      <c r="I173">
        <f t="shared" ca="1" si="11"/>
        <v>591.24954359216622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21412</v>
      </c>
      <c r="B175" s="66">
        <v>21412</v>
      </c>
      <c r="D175">
        <f t="shared" si="8"/>
        <v>9.2314590465022037E-2</v>
      </c>
      <c r="E175">
        <f t="shared" si="8"/>
        <v>9.2314590465022037E-2</v>
      </c>
      <c r="G175">
        <f t="shared" ca="1" si="9"/>
        <v>173</v>
      </c>
      <c r="H175">
        <f t="shared" ca="1" si="10"/>
        <v>15.970424150448812</v>
      </c>
      <c r="I175">
        <f t="shared" ca="1" si="11"/>
        <v>686.40359547741923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16969</v>
      </c>
      <c r="B178" s="66">
        <v>16969</v>
      </c>
      <c r="D178">
        <f t="shared" si="8"/>
        <v>7.3159269830046655E-2</v>
      </c>
      <c r="E178">
        <f t="shared" si="8"/>
        <v>7.3159269830046655E-2</v>
      </c>
      <c r="G178">
        <f t="shared" ca="1" si="9"/>
        <v>176</v>
      </c>
      <c r="H178">
        <f t="shared" ca="1" si="10"/>
        <v>12.876031490088211</v>
      </c>
      <c r="I178">
        <f t="shared" ca="1" si="11"/>
        <v>582.48377542472838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19017</v>
      </c>
      <c r="B180" s="66">
        <v>19017</v>
      </c>
      <c r="D180">
        <f t="shared" si="8"/>
        <v>8.1988911212092466E-2</v>
      </c>
      <c r="E180">
        <f t="shared" si="8"/>
        <v>8.1988911212092466E-2</v>
      </c>
      <c r="G180">
        <f t="shared" ca="1" si="9"/>
        <v>178</v>
      </c>
      <c r="H180">
        <f t="shared" ca="1" si="10"/>
        <v>14.594026195752459</v>
      </c>
      <c r="I180">
        <f t="shared" ca="1" si="11"/>
        <v>682.3753246341762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16159</v>
      </c>
      <c r="B183" s="66">
        <v>16159</v>
      </c>
      <c r="D183">
        <f t="shared" si="8"/>
        <v>6.9667077681874232E-2</v>
      </c>
      <c r="E183">
        <f t="shared" si="8"/>
        <v>6.9667077681874232E-2</v>
      </c>
      <c r="G183">
        <f t="shared" ca="1" si="9"/>
        <v>181</v>
      </c>
      <c r="H183">
        <f t="shared" ca="1" si="10"/>
        <v>12.609741060419235</v>
      </c>
      <c r="I183">
        <f t="shared" ca="1" si="11"/>
        <v>618.58452149042694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12917</v>
      </c>
      <c r="B185" s="66">
        <v>12917</v>
      </c>
      <c r="D185">
        <f t="shared" si="8"/>
        <v>5.5689686392522399E-2</v>
      </c>
      <c r="E185">
        <f t="shared" si="8"/>
        <v>5.5689686392522399E-2</v>
      </c>
      <c r="G185">
        <f t="shared" ca="1" si="9"/>
        <v>183</v>
      </c>
      <c r="H185">
        <f t="shared" ca="1" si="10"/>
        <v>10.191212609831599</v>
      </c>
      <c r="I185">
        <f t="shared" ca="1" si="11"/>
        <v>515.69029776699062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11562</v>
      </c>
      <c r="B188" s="66">
        <v>11562</v>
      </c>
      <c r="D188">
        <f t="shared" si="8"/>
        <v>4.9847809403912979E-2</v>
      </c>
      <c r="E188">
        <f t="shared" si="8"/>
        <v>4.9847809403912979E-2</v>
      </c>
      <c r="G188">
        <f t="shared" ca="1" si="9"/>
        <v>186</v>
      </c>
      <c r="H188">
        <f t="shared" ca="1" si="10"/>
        <v>9.2716925491278133</v>
      </c>
      <c r="I188">
        <f t="shared" ca="1" si="11"/>
        <v>490.82365175939975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11689</v>
      </c>
      <c r="B191" s="66">
        <v>11689</v>
      </c>
      <c r="D191">
        <f t="shared" si="8"/>
        <v>5.0395350641959769E-2</v>
      </c>
      <c r="E191">
        <f t="shared" si="8"/>
        <v>5.0395350641959769E-2</v>
      </c>
      <c r="G191">
        <f t="shared" ca="1" si="9"/>
        <v>189</v>
      </c>
      <c r="H191">
        <f t="shared" ca="1" si="10"/>
        <v>9.5247212713303959</v>
      </c>
      <c r="I191">
        <f t="shared" ca="1" si="11"/>
        <v>526.67270055373285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11983</v>
      </c>
      <c r="B193" s="66">
        <v>11983</v>
      </c>
      <c r="D193">
        <f t="shared" si="8"/>
        <v>5.1662887051296423E-2</v>
      </c>
      <c r="E193">
        <f t="shared" si="8"/>
        <v>5.1662887051296423E-2</v>
      </c>
      <c r="G193">
        <f t="shared" ca="1" si="9"/>
        <v>191</v>
      </c>
      <c r="H193">
        <f t="shared" ca="1" si="10"/>
        <v>9.867611426797616</v>
      </c>
      <c r="I193">
        <f t="shared" ca="1" si="11"/>
        <v>561.25197848215578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11744</v>
      </c>
      <c r="B196" s="66">
        <v>11744</v>
      </c>
      <c r="D196">
        <f t="shared" si="12"/>
        <v>5.0632474800169004E-2</v>
      </c>
      <c r="E196">
        <f t="shared" si="12"/>
        <v>5.0632474800169004E-2</v>
      </c>
      <c r="G196">
        <f t="shared" ca="1" si="13"/>
        <v>194</v>
      </c>
      <c r="H196">
        <f t="shared" ca="1" si="14"/>
        <v>9.8227001112327876</v>
      </c>
      <c r="I196">
        <f t="shared" ca="1" si="15"/>
        <v>582.17785262647749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8451</v>
      </c>
      <c r="B198" s="66">
        <v>8451</v>
      </c>
      <c r="D198">
        <f t="shared" si="12"/>
        <v>3.6435204745932245E-2</v>
      </c>
      <c r="E198">
        <f t="shared" si="12"/>
        <v>3.6435204745932245E-2</v>
      </c>
      <c r="G198">
        <f t="shared" ca="1" si="13"/>
        <v>196</v>
      </c>
      <c r="H198">
        <f t="shared" ca="1" si="14"/>
        <v>7.1413001302027199</v>
      </c>
      <c r="I198">
        <f t="shared" ca="1" si="15"/>
        <v>434.70947453817274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6672</v>
      </c>
      <c r="B201" s="66">
        <v>6672</v>
      </c>
      <c r="D201">
        <f t="shared" si="12"/>
        <v>2.8765316064946152E-2</v>
      </c>
      <c r="E201">
        <f t="shared" si="12"/>
        <v>2.8765316064946152E-2</v>
      </c>
      <c r="G201">
        <f t="shared" ca="1" si="13"/>
        <v>199</v>
      </c>
      <c r="H201">
        <f t="shared" ca="1" si="14"/>
        <v>5.7242978969242841</v>
      </c>
      <c r="I201">
        <f t="shared" ca="1" si="15"/>
        <v>362.31078332854821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4366</v>
      </c>
      <c r="B203" s="66">
        <v>4366</v>
      </c>
      <c r="D203">
        <f t="shared" si="12"/>
        <v>1.8823346813482449E-2</v>
      </c>
      <c r="E203">
        <f t="shared" si="12"/>
        <v>1.8823346813482449E-2</v>
      </c>
      <c r="G203">
        <f t="shared" ca="1" si="13"/>
        <v>201</v>
      </c>
      <c r="H203">
        <f t="shared" ca="1" si="14"/>
        <v>3.7834927095099724</v>
      </c>
      <c r="I203">
        <f t="shared" ca="1" si="15"/>
        <v>245.6130755282303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3967</v>
      </c>
      <c r="B206" s="66">
        <v>3967</v>
      </c>
      <c r="D206">
        <f t="shared" si="12"/>
        <v>1.7103118829382702E-2</v>
      </c>
      <c r="E206">
        <f t="shared" si="12"/>
        <v>1.7103118829382702E-2</v>
      </c>
      <c r="G206">
        <f t="shared" ca="1" si="13"/>
        <v>204</v>
      </c>
      <c r="H206">
        <f t="shared" ca="1" si="14"/>
        <v>3.4890362411940714</v>
      </c>
      <c r="I206">
        <f t="shared" ca="1" si="15"/>
        <v>235.04297476679625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1057</v>
      </c>
      <c r="B209" s="66">
        <v>1057</v>
      </c>
      <c r="D209">
        <f t="shared" si="12"/>
        <v>4.5570951859484534E-3</v>
      </c>
      <c r="E209">
        <f t="shared" si="12"/>
        <v>4.5570951859484534E-3</v>
      </c>
      <c r="G209">
        <f t="shared" ca="1" si="13"/>
        <v>207</v>
      </c>
      <c r="H209">
        <f t="shared" ca="1" si="14"/>
        <v>0.94331870349132985</v>
      </c>
      <c r="I209">
        <f t="shared" ca="1" si="15"/>
        <v>65.8731399129653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576</v>
      </c>
      <c r="B211" s="66">
        <v>576</v>
      </c>
      <c r="D211">
        <f t="shared" si="12"/>
        <v>2.4833366387003873E-3</v>
      </c>
      <c r="E211">
        <f t="shared" si="12"/>
        <v>2.4833366387003873E-3</v>
      </c>
      <c r="G211">
        <f t="shared" ca="1" si="13"/>
        <v>209</v>
      </c>
      <c r="H211">
        <f t="shared" ca="1" si="14"/>
        <v>0.51901735748838096</v>
      </c>
      <c r="I211">
        <f t="shared" ca="1" si="15"/>
        <v>37.101022535165335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81</v>
      </c>
      <c r="B214" s="66">
        <v>81</v>
      </c>
      <c r="D214">
        <f t="shared" si="12"/>
        <v>3.4921921481724196E-4</v>
      </c>
      <c r="E214">
        <f t="shared" si="12"/>
        <v>3.4921921481724196E-4</v>
      </c>
      <c r="G214">
        <f t="shared" ca="1" si="13"/>
        <v>212</v>
      </c>
      <c r="H214">
        <f t="shared" ca="1" si="14"/>
        <v>7.4034473541255294E-2</v>
      </c>
      <c r="I214">
        <f t="shared" ca="1" si="15"/>
        <v>5.4765830800764359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347</v>
      </c>
      <c r="B1" s="66" t="s">
        <v>348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84.865409963939101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1.6385380708649309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0.66092192014470252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1476</v>
      </c>
      <c r="B8" s="66">
        <v>1476</v>
      </c>
      <c r="D8">
        <f t="shared" si="0"/>
        <v>1.2994215989224309</v>
      </c>
      <c r="E8">
        <f t="shared" si="1"/>
        <v>1.2994215989224309</v>
      </c>
      <c r="G8">
        <f t="shared" ca="1" si="2"/>
        <v>6</v>
      </c>
      <c r="H8">
        <f t="shared" ca="1" si="3"/>
        <v>7.7965295935345855</v>
      </c>
      <c r="I8">
        <f t="shared" ca="1" si="4"/>
        <v>8082.0812436411561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278</v>
      </c>
      <c r="B10" s="66">
        <v>278</v>
      </c>
      <c r="D10">
        <f t="shared" si="0"/>
        <v>0.24474200846912994</v>
      </c>
      <c r="E10">
        <f t="shared" si="1"/>
        <v>0.24474200846912994</v>
      </c>
      <c r="G10">
        <f t="shared" ca="1" si="2"/>
        <v>8</v>
      </c>
      <c r="H10">
        <f t="shared" ca="1" si="3"/>
        <v>1.9579360677530395</v>
      </c>
      <c r="I10">
        <f t="shared" ca="1" si="4"/>
        <v>1446.0070668823487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1393</v>
      </c>
      <c r="B13" s="66">
        <v>1393</v>
      </c>
      <c r="D13">
        <f t="shared" si="0"/>
        <v>1.2263511431564675</v>
      </c>
      <c r="E13">
        <f t="shared" si="1"/>
        <v>1.2263511431564675</v>
      </c>
      <c r="G13">
        <f t="shared" ca="1" si="2"/>
        <v>11</v>
      </c>
      <c r="H13">
        <f t="shared" ca="1" si="3"/>
        <v>13.489862574721142</v>
      </c>
      <c r="I13">
        <f t="shared" ca="1" si="4"/>
        <v>6691.0929872374309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3233</v>
      </c>
      <c r="B15" s="66">
        <v>3233</v>
      </c>
      <c r="D15">
        <f t="shared" si="0"/>
        <v>2.8462263071248097</v>
      </c>
      <c r="E15">
        <f t="shared" si="1"/>
        <v>2.8462263071248097</v>
      </c>
      <c r="G15">
        <f t="shared" ca="1" si="2"/>
        <v>13</v>
      </c>
      <c r="H15">
        <f t="shared" ca="1" si="3"/>
        <v>37.000941992622529</v>
      </c>
      <c r="I15">
        <f t="shared" ca="1" si="4"/>
        <v>14699.726121049158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4122</v>
      </c>
      <c r="B18" s="66">
        <v>4122</v>
      </c>
      <c r="D18">
        <f t="shared" si="0"/>
        <v>3.628872514063862</v>
      </c>
      <c r="E18">
        <f t="shared" si="1"/>
        <v>3.628872514063862</v>
      </c>
      <c r="G18">
        <f t="shared" ca="1" si="2"/>
        <v>16</v>
      </c>
      <c r="H18">
        <f t="shared" ca="1" si="3"/>
        <v>58.061960225021792</v>
      </c>
      <c r="I18">
        <f t="shared" ca="1" si="4"/>
        <v>17209.727183199768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8729</v>
      </c>
      <c r="B21" s="66">
        <v>8729</v>
      </c>
      <c r="D21">
        <f t="shared" si="0"/>
        <v>7.6847229925432918</v>
      </c>
      <c r="E21">
        <f t="shared" si="1"/>
        <v>7.6847229925432918</v>
      </c>
      <c r="G21">
        <f t="shared" ca="1" si="2"/>
        <v>19</v>
      </c>
      <c r="H21">
        <f t="shared" ca="1" si="3"/>
        <v>146.00973685832255</v>
      </c>
      <c r="I21">
        <f t="shared" ca="1" si="4"/>
        <v>33338.266657164335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11935</v>
      </c>
      <c r="B23" s="66">
        <v>11935</v>
      </c>
      <c r="D23">
        <f t="shared" si="0"/>
        <v>10.507179392370739</v>
      </c>
      <c r="E23">
        <f t="shared" si="1"/>
        <v>10.507179392370739</v>
      </c>
      <c r="G23">
        <f t="shared" ca="1" si="2"/>
        <v>21</v>
      </c>
      <c r="H23">
        <f t="shared" ca="1" si="3"/>
        <v>220.65076723978552</v>
      </c>
      <c r="I23">
        <f t="shared" ca="1" si="4"/>
        <v>42856.584431593823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11772</v>
      </c>
      <c r="B26" s="66">
        <v>11772</v>
      </c>
      <c r="D26">
        <f t="shared" si="0"/>
        <v>10.363679581649631</v>
      </c>
      <c r="E26">
        <f t="shared" si="1"/>
        <v>10.363679581649631</v>
      </c>
      <c r="G26">
        <f t="shared" ca="1" si="2"/>
        <v>24</v>
      </c>
      <c r="H26">
        <f t="shared" ca="1" si="3"/>
        <v>248.72830995959114</v>
      </c>
      <c r="I26">
        <f t="shared" ca="1" si="4"/>
        <v>38393.267998910676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22381</v>
      </c>
      <c r="B28" s="66">
        <v>22381</v>
      </c>
      <c r="D28">
        <f t="shared" si="0"/>
        <v>19.703492415638838</v>
      </c>
      <c r="E28">
        <f t="shared" si="1"/>
        <v>19.703492415638838</v>
      </c>
      <c r="G28">
        <f t="shared" ca="1" si="2"/>
        <v>26</v>
      </c>
      <c r="H28">
        <f t="shared" ca="1" si="3"/>
        <v>512.2908028066098</v>
      </c>
      <c r="I28">
        <f t="shared" ca="1" si="4"/>
        <v>68275.290554254781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23721</v>
      </c>
      <c r="B31" s="66">
        <v>23721</v>
      </c>
      <c r="D31">
        <f t="shared" si="0"/>
        <v>20.88318411113752</v>
      </c>
      <c r="E31">
        <f t="shared" si="1"/>
        <v>20.88318411113752</v>
      </c>
      <c r="G31">
        <f t="shared" ca="1" si="2"/>
        <v>29</v>
      </c>
      <c r="H31">
        <f t="shared" ca="1" si="3"/>
        <v>605.61233922298811</v>
      </c>
      <c r="I31">
        <f t="shared" ca="1" si="4"/>
        <v>65175.248788212928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29440</v>
      </c>
      <c r="B33" s="66">
        <v>29440</v>
      </c>
      <c r="D33">
        <f t="shared" si="0"/>
        <v>25.918002623493472</v>
      </c>
      <c r="E33">
        <f t="shared" si="1"/>
        <v>25.918002623493472</v>
      </c>
      <c r="G33">
        <f t="shared" ca="1" si="2"/>
        <v>31</v>
      </c>
      <c r="H33">
        <f t="shared" ca="1" si="3"/>
        <v>803.45808132829757</v>
      </c>
      <c r="I33">
        <f t="shared" ca="1" si="4"/>
        <v>75200.628211156247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31859</v>
      </c>
      <c r="B36" s="66">
        <v>31859</v>
      </c>
      <c r="D36">
        <f t="shared" si="0"/>
        <v>28.047610243949677</v>
      </c>
      <c r="E36">
        <f t="shared" si="1"/>
        <v>28.047610243949677</v>
      </c>
      <c r="G36">
        <f t="shared" ca="1" si="2"/>
        <v>34</v>
      </c>
      <c r="H36">
        <f t="shared" ca="1" si="3"/>
        <v>953.61874829428905</v>
      </c>
      <c r="I36">
        <f t="shared" ca="1" si="4"/>
        <v>72567.299567162569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35360</v>
      </c>
      <c r="B39" s="66">
        <v>35360</v>
      </c>
      <c r="D39">
        <f t="shared" si="0"/>
        <v>31.129774890174225</v>
      </c>
      <c r="E39">
        <f t="shared" si="1"/>
        <v>31.129774890174225</v>
      </c>
      <c r="G39">
        <f t="shared" ca="1" si="2"/>
        <v>37</v>
      </c>
      <c r="H39">
        <f t="shared" ca="1" si="3"/>
        <v>1151.8016709364463</v>
      </c>
      <c r="I39">
        <f t="shared" ca="1" si="4"/>
        <v>71321.348524174318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49153</v>
      </c>
      <c r="B41" s="66">
        <v>49153</v>
      </c>
      <c r="D41">
        <f t="shared" si="0"/>
        <v>43.272676051378212</v>
      </c>
      <c r="E41">
        <f t="shared" si="1"/>
        <v>43.272676051378212</v>
      </c>
      <c r="G41">
        <f t="shared" ca="1" si="2"/>
        <v>39</v>
      </c>
      <c r="H41">
        <f t="shared" ca="1" si="3"/>
        <v>1687.6343660037503</v>
      </c>
      <c r="I41">
        <f t="shared" ca="1" si="4"/>
        <v>91029.951851867256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52097</v>
      </c>
      <c r="B44" s="66">
        <v>52097</v>
      </c>
      <c r="D44">
        <f t="shared" si="0"/>
        <v>45.864476313727565</v>
      </c>
      <c r="E44">
        <f t="shared" si="1"/>
        <v>45.864476313727565</v>
      </c>
      <c r="G44">
        <f t="shared" ca="1" si="2"/>
        <v>42</v>
      </c>
      <c r="H44">
        <f t="shared" ca="1" si="3"/>
        <v>1926.3080051765578</v>
      </c>
      <c r="I44">
        <f t="shared" ca="1" si="4"/>
        <v>84273.377984316394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63208</v>
      </c>
      <c r="B46" s="66">
        <v>63208</v>
      </c>
      <c r="D46">
        <f t="shared" si="0"/>
        <v>55.646233350060307</v>
      </c>
      <c r="E46">
        <f t="shared" si="1"/>
        <v>55.646233350060307</v>
      </c>
      <c r="G46">
        <f t="shared" ca="1" si="2"/>
        <v>44</v>
      </c>
      <c r="H46">
        <f t="shared" ca="1" si="3"/>
        <v>2448.4342674026534</v>
      </c>
      <c r="I46">
        <f t="shared" ca="1" si="4"/>
        <v>92928.193122544923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72241</v>
      </c>
      <c r="B49" s="66">
        <v>72241</v>
      </c>
      <c r="D49">
        <f t="shared" si="0"/>
        <v>63.598587891433148</v>
      </c>
      <c r="E49">
        <f t="shared" si="1"/>
        <v>63.598587891433148</v>
      </c>
      <c r="G49">
        <f t="shared" ca="1" si="2"/>
        <v>47</v>
      </c>
      <c r="H49">
        <f t="shared" ca="1" si="3"/>
        <v>2989.1336308973578</v>
      </c>
      <c r="I49">
        <f t="shared" ca="1" si="4"/>
        <v>91186.973016370874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78984</v>
      </c>
      <c r="B51" s="66">
        <v>78984</v>
      </c>
      <c r="D51">
        <f t="shared" si="0"/>
        <v>69.534902147214964</v>
      </c>
      <c r="E51">
        <f t="shared" si="1"/>
        <v>69.534902147214964</v>
      </c>
      <c r="G51">
        <f t="shared" ca="1" si="2"/>
        <v>49</v>
      </c>
      <c r="H51">
        <f t="shared" ca="1" si="3"/>
        <v>3407.2102052135333</v>
      </c>
      <c r="I51">
        <f t="shared" ca="1" si="4"/>
        <v>89444.666012133443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85615</v>
      </c>
      <c r="B54" s="66">
        <v>85615</v>
      </c>
      <c r="D54">
        <f t="shared" si="0"/>
        <v>75.372615306059572</v>
      </c>
      <c r="E54">
        <f t="shared" si="1"/>
        <v>75.372615306059572</v>
      </c>
      <c r="G54">
        <f t="shared" ca="1" si="2"/>
        <v>52</v>
      </c>
      <c r="H54">
        <f t="shared" ca="1" si="3"/>
        <v>3919.3759959150975</v>
      </c>
      <c r="I54">
        <f t="shared" ca="1" si="4"/>
        <v>81412.612805070996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82785</v>
      </c>
      <c r="B57" s="66">
        <v>82785</v>
      </c>
      <c r="D57">
        <f t="shared" si="0"/>
        <v>72.881176874521302</v>
      </c>
      <c r="E57">
        <f t="shared" si="1"/>
        <v>72.881176874521302</v>
      </c>
      <c r="G57">
        <f t="shared" ca="1" si="2"/>
        <v>55</v>
      </c>
      <c r="H57">
        <f t="shared" ca="1" si="3"/>
        <v>4008.4647280986715</v>
      </c>
      <c r="I57">
        <f t="shared" ca="1" si="4"/>
        <v>65005.83457810805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93578</v>
      </c>
      <c r="B59" s="66">
        <v>93578</v>
      </c>
      <c r="D59">
        <f t="shared" si="0"/>
        <v>82.382977224907336</v>
      </c>
      <c r="E59">
        <f t="shared" si="1"/>
        <v>82.382977224907336</v>
      </c>
      <c r="G59">
        <f t="shared" ca="1" si="2"/>
        <v>57</v>
      </c>
      <c r="H59">
        <f t="shared" ca="1" si="3"/>
        <v>4695.8297018197181</v>
      </c>
      <c r="I59">
        <f t="shared" ca="1" si="4"/>
        <v>63968.822507911704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98822</v>
      </c>
      <c r="B62" s="66">
        <v>98822</v>
      </c>
      <c r="D62">
        <f t="shared" si="0"/>
        <v>86.999621442217119</v>
      </c>
      <c r="E62">
        <f t="shared" si="1"/>
        <v>86.999621442217119</v>
      </c>
      <c r="G62">
        <f t="shared" ca="1" si="2"/>
        <v>60</v>
      </c>
      <c r="H62">
        <f t="shared" ca="1" si="3"/>
        <v>5219.9772865330269</v>
      </c>
      <c r="I62">
        <f t="shared" ca="1" si="4"/>
        <v>53790.875244737894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95508</v>
      </c>
      <c r="B64" s="66">
        <v>95508</v>
      </c>
      <c r="D64">
        <f t="shared" si="0"/>
        <v>84.082085413200218</v>
      </c>
      <c r="E64">
        <f t="shared" si="1"/>
        <v>84.082085413200218</v>
      </c>
      <c r="G64">
        <f t="shared" ca="1" si="2"/>
        <v>62</v>
      </c>
      <c r="H64">
        <f t="shared" ca="1" si="3"/>
        <v>5213.0892956184134</v>
      </c>
      <c r="I64">
        <f t="shared" ca="1" si="4"/>
        <v>43960.382184892529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95175</v>
      </c>
      <c r="B67" s="66">
        <v>95175</v>
      </c>
      <c r="D67">
        <f t="shared" ref="D67:D130" si="5">IFERROR( 100*A67/MAX(A$2:A$257), 0 )</f>
        <v>83.788923223199433</v>
      </c>
      <c r="E67">
        <f t="shared" ref="E67:E130" si="6">IFERROR( 100*B67/MAX(B$2:B$257), 0 )</f>
        <v>83.788923223199433</v>
      </c>
      <c r="G67">
        <f t="shared" ref="G67:G130" ca="1" si="7">CELL("row",D67)-2</f>
        <v>65</v>
      </c>
      <c r="H67">
        <f t="shared" ref="H67:H130" ca="1" si="8">D67*G67</f>
        <v>5446.2800095079629</v>
      </c>
      <c r="I67">
        <f t="shared" ref="I67:I130" ca="1" si="9">D67*((G67-$L$1)^2)</f>
        <v>33066.00091394539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95147</v>
      </c>
      <c r="B69" s="66">
        <v>95147</v>
      </c>
      <c r="D69">
        <f t="shared" si="5"/>
        <v>83.764272948965129</v>
      </c>
      <c r="E69">
        <f t="shared" si="6"/>
        <v>83.764272948965129</v>
      </c>
      <c r="G69">
        <f t="shared" ca="1" si="7"/>
        <v>67</v>
      </c>
      <c r="H69">
        <f t="shared" ca="1" si="8"/>
        <v>5612.2062875806632</v>
      </c>
      <c r="I69">
        <f t="shared" ca="1" si="9"/>
        <v>26735.28366692266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103849</v>
      </c>
      <c r="B72" s="66">
        <v>103849</v>
      </c>
      <c r="D72">
        <f t="shared" si="5"/>
        <v>91.425226034211065</v>
      </c>
      <c r="E72">
        <f t="shared" si="6"/>
        <v>91.425226034211065</v>
      </c>
      <c r="G72">
        <f t="shared" ca="1" si="7"/>
        <v>70</v>
      </c>
      <c r="H72">
        <f t="shared" ca="1" si="8"/>
        <v>6399.7658223947747</v>
      </c>
      <c r="I72">
        <f t="shared" ca="1" si="9"/>
        <v>20203.184243860866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100718</v>
      </c>
      <c r="B75" s="66">
        <v>100718</v>
      </c>
      <c r="D75">
        <f t="shared" si="5"/>
        <v>88.668797154654058</v>
      </c>
      <c r="E75">
        <f t="shared" si="6"/>
        <v>88.668797154654058</v>
      </c>
      <c r="G75">
        <f t="shared" ca="1" si="7"/>
        <v>73</v>
      </c>
      <c r="H75">
        <f t="shared" ca="1" si="8"/>
        <v>6472.8221922897465</v>
      </c>
      <c r="I75">
        <f t="shared" ca="1" si="9"/>
        <v>12483.498500671889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113589</v>
      </c>
      <c r="B77" s="66">
        <v>113589</v>
      </c>
      <c r="D77">
        <f t="shared" si="5"/>
        <v>100</v>
      </c>
      <c r="E77">
        <f t="shared" si="6"/>
        <v>100</v>
      </c>
      <c r="G77">
        <f t="shared" ca="1" si="7"/>
        <v>75</v>
      </c>
      <c r="H77">
        <f t="shared" ca="1" si="8"/>
        <v>7500</v>
      </c>
      <c r="I77">
        <f t="shared" ca="1" si="9"/>
        <v>9732.6313756588897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101799</v>
      </c>
      <c r="B80" s="66">
        <v>101799</v>
      </c>
      <c r="D80">
        <f t="shared" si="5"/>
        <v>89.620473813485461</v>
      </c>
      <c r="E80">
        <f t="shared" si="6"/>
        <v>89.620473813485461</v>
      </c>
      <c r="G80">
        <f t="shared" ca="1" si="7"/>
        <v>78</v>
      </c>
      <c r="H80">
        <f t="shared" ca="1" si="8"/>
        <v>6990.396957451866</v>
      </c>
      <c r="I80">
        <f t="shared" ca="1" si="9"/>
        <v>4224.1583257117973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100378</v>
      </c>
      <c r="B82" s="66">
        <v>100378</v>
      </c>
      <c r="D82">
        <f t="shared" si="5"/>
        <v>88.369472396094693</v>
      </c>
      <c r="E82">
        <f t="shared" si="6"/>
        <v>88.369472396094693</v>
      </c>
      <c r="G82">
        <f t="shared" ca="1" si="7"/>
        <v>80</v>
      </c>
      <c r="H82">
        <f t="shared" ca="1" si="8"/>
        <v>7069.5577916875754</v>
      </c>
      <c r="I82">
        <f t="shared" ca="1" si="9"/>
        <v>2091.9010719841613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102101</v>
      </c>
      <c r="B85" s="66">
        <v>102101</v>
      </c>
      <c r="D85">
        <f t="shared" si="5"/>
        <v>89.886344628441137</v>
      </c>
      <c r="E85">
        <f t="shared" si="6"/>
        <v>89.886344628441137</v>
      </c>
      <c r="G85">
        <f t="shared" ca="1" si="7"/>
        <v>83</v>
      </c>
      <c r="H85">
        <f t="shared" ca="1" si="8"/>
        <v>7460.5666041606146</v>
      </c>
      <c r="I85">
        <f t="shared" ca="1" si="9"/>
        <v>312.7823972489802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104493</v>
      </c>
      <c r="B88" s="66">
        <v>104493</v>
      </c>
      <c r="D88">
        <f t="shared" si="5"/>
        <v>91.992182341599985</v>
      </c>
      <c r="E88">
        <f t="shared" si="6"/>
        <v>91.992182341599985</v>
      </c>
      <c r="G88">
        <f t="shared" ca="1" si="7"/>
        <v>86</v>
      </c>
      <c r="H88">
        <f t="shared" ca="1" si="8"/>
        <v>7911.3276813775983</v>
      </c>
      <c r="I88">
        <f t="shared" ca="1" si="9"/>
        <v>118.42103496438637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102546</v>
      </c>
      <c r="B90" s="66">
        <v>102546</v>
      </c>
      <c r="D90">
        <f t="shared" si="5"/>
        <v>90.278107915379124</v>
      </c>
      <c r="E90">
        <f t="shared" si="6"/>
        <v>90.278107915379124</v>
      </c>
      <c r="G90">
        <f t="shared" ca="1" si="7"/>
        <v>88</v>
      </c>
      <c r="H90">
        <f t="shared" ca="1" si="8"/>
        <v>7944.4734965533626</v>
      </c>
      <c r="I90">
        <f t="shared" ca="1" si="9"/>
        <v>887.04151481973565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90160</v>
      </c>
      <c r="B93" s="66">
        <v>90160</v>
      </c>
      <c r="D93">
        <f t="shared" si="5"/>
        <v>79.373883034448752</v>
      </c>
      <c r="E93">
        <f t="shared" si="6"/>
        <v>79.373883034448752</v>
      </c>
      <c r="G93">
        <f t="shared" ca="1" si="7"/>
        <v>91</v>
      </c>
      <c r="H93">
        <f t="shared" ca="1" si="8"/>
        <v>7223.0233561348368</v>
      </c>
      <c r="I93">
        <f t="shared" ca="1" si="9"/>
        <v>2987.0928110416289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101494</v>
      </c>
      <c r="B95" s="66">
        <v>101494</v>
      </c>
      <c r="D95">
        <f t="shared" si="5"/>
        <v>89.351961897718965</v>
      </c>
      <c r="E95">
        <f t="shared" si="6"/>
        <v>89.351961897718965</v>
      </c>
      <c r="G95">
        <f t="shared" ca="1" si="7"/>
        <v>93</v>
      </c>
      <c r="H95">
        <f t="shared" ca="1" si="8"/>
        <v>8309.7324564878636</v>
      </c>
      <c r="I95">
        <f t="shared" ca="1" si="9"/>
        <v>5912.5582659676284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95399</v>
      </c>
      <c r="B98" s="66">
        <v>95399</v>
      </c>
      <c r="D98">
        <f t="shared" si="5"/>
        <v>83.986125417073836</v>
      </c>
      <c r="E98">
        <f t="shared" si="6"/>
        <v>83.986125417073836</v>
      </c>
      <c r="G98">
        <f t="shared" ca="1" si="7"/>
        <v>96</v>
      </c>
      <c r="H98">
        <f t="shared" ca="1" si="8"/>
        <v>8062.6680400390887</v>
      </c>
      <c r="I98">
        <f t="shared" ca="1" si="9"/>
        <v>10412.523844537869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90616</v>
      </c>
      <c r="B100" s="66">
        <v>90616</v>
      </c>
      <c r="D100">
        <f t="shared" si="5"/>
        <v>79.775330357693093</v>
      </c>
      <c r="E100">
        <f t="shared" si="6"/>
        <v>79.775330357693093</v>
      </c>
      <c r="G100">
        <f t="shared" ca="1" si="7"/>
        <v>98</v>
      </c>
      <c r="H100">
        <f t="shared" ca="1" si="8"/>
        <v>7817.9823750539235</v>
      </c>
      <c r="I100">
        <f t="shared" ca="1" si="9"/>
        <v>13762.636998231348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91060</v>
      </c>
      <c r="B103" s="66">
        <v>91060</v>
      </c>
      <c r="D103">
        <f t="shared" si="5"/>
        <v>80.166213277694141</v>
      </c>
      <c r="E103">
        <f t="shared" si="6"/>
        <v>80.166213277694141</v>
      </c>
      <c r="G103">
        <f t="shared" ca="1" si="7"/>
        <v>101</v>
      </c>
      <c r="H103">
        <f t="shared" ca="1" si="8"/>
        <v>8096.7875410471079</v>
      </c>
      <c r="I103">
        <f t="shared" ca="1" si="9"/>
        <v>20869.269121330119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86022</v>
      </c>
      <c r="B106" s="66">
        <v>86022</v>
      </c>
      <c r="D106">
        <f t="shared" si="5"/>
        <v>75.73092464939387</v>
      </c>
      <c r="E106">
        <f t="shared" si="6"/>
        <v>75.73092464939387</v>
      </c>
      <c r="G106">
        <f t="shared" ca="1" si="7"/>
        <v>104</v>
      </c>
      <c r="H106">
        <f t="shared" ca="1" si="8"/>
        <v>7876.0161635369623</v>
      </c>
      <c r="I106">
        <f t="shared" ca="1" si="9"/>
        <v>27727.555484005556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78480</v>
      </c>
      <c r="B108" s="66">
        <v>78480</v>
      </c>
      <c r="D108">
        <f t="shared" si="5"/>
        <v>69.091197210997549</v>
      </c>
      <c r="E108">
        <f t="shared" si="6"/>
        <v>69.091197210997549</v>
      </c>
      <c r="G108">
        <f t="shared" ca="1" si="7"/>
        <v>106</v>
      </c>
      <c r="H108">
        <f t="shared" ca="1" si="8"/>
        <v>7323.6669043657403</v>
      </c>
      <c r="I108">
        <f t="shared" ca="1" si="9"/>
        <v>30861.026963421442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68443</v>
      </c>
      <c r="B111" s="66">
        <v>68443</v>
      </c>
      <c r="D111">
        <f t="shared" si="5"/>
        <v>60.254954264937624</v>
      </c>
      <c r="E111">
        <f t="shared" si="6"/>
        <v>60.254954264937624</v>
      </c>
      <c r="G111">
        <f t="shared" ca="1" si="7"/>
        <v>109</v>
      </c>
      <c r="H111">
        <f t="shared" ca="1" si="8"/>
        <v>6567.790014878201</v>
      </c>
      <c r="I111">
        <f t="shared" ca="1" si="9"/>
        <v>35097.211534069414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57133</v>
      </c>
      <c r="B113" s="66">
        <v>57133</v>
      </c>
      <c r="D113">
        <f t="shared" si="5"/>
        <v>50.298004208153955</v>
      </c>
      <c r="E113">
        <f t="shared" si="6"/>
        <v>50.298004208153955</v>
      </c>
      <c r="G113">
        <f t="shared" ca="1" si="7"/>
        <v>111</v>
      </c>
      <c r="H113">
        <f t="shared" ca="1" si="8"/>
        <v>5583.0784671050887</v>
      </c>
      <c r="I113">
        <f t="shared" ca="1" si="9"/>
        <v>34354.381697201701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58186</v>
      </c>
      <c r="B116" s="66">
        <v>58186</v>
      </c>
      <c r="D116">
        <f t="shared" si="5"/>
        <v>51.225030592751061</v>
      </c>
      <c r="E116">
        <f t="shared" si="6"/>
        <v>51.225030592751061</v>
      </c>
      <c r="G116">
        <f t="shared" ca="1" si="7"/>
        <v>114</v>
      </c>
      <c r="H116">
        <f t="shared" ca="1" si="8"/>
        <v>5839.6534875736206</v>
      </c>
      <c r="I116">
        <f t="shared" ca="1" si="9"/>
        <v>43481.052608636019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46882</v>
      </c>
      <c r="B118" s="66">
        <v>46882</v>
      </c>
      <c r="D118">
        <f t="shared" si="5"/>
        <v>41.273362737589025</v>
      </c>
      <c r="E118">
        <f t="shared" si="6"/>
        <v>41.273362737589025</v>
      </c>
      <c r="G118">
        <f t="shared" ca="1" si="7"/>
        <v>116</v>
      </c>
      <c r="H118">
        <f t="shared" ca="1" si="8"/>
        <v>4787.7100775603267</v>
      </c>
      <c r="I118">
        <f t="shared" ca="1" si="9"/>
        <v>40008.858205747194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40443</v>
      </c>
      <c r="B121" s="66">
        <v>40443</v>
      </c>
      <c r="D121">
        <f t="shared" si="5"/>
        <v>35.604680030636771</v>
      </c>
      <c r="E121">
        <f t="shared" si="6"/>
        <v>35.604680030636771</v>
      </c>
      <c r="G121">
        <f t="shared" ca="1" si="7"/>
        <v>119</v>
      </c>
      <c r="H121">
        <f t="shared" ca="1" si="8"/>
        <v>4236.9569236457755</v>
      </c>
      <c r="I121">
        <f t="shared" ca="1" si="9"/>
        <v>41485.51346711204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36988</v>
      </c>
      <c r="B124" s="66">
        <v>36988</v>
      </c>
      <c r="D124">
        <f t="shared" si="5"/>
        <v>32.563012263511432</v>
      </c>
      <c r="E124">
        <f t="shared" si="6"/>
        <v>32.563012263511432</v>
      </c>
      <c r="G124">
        <f t="shared" ca="1" si="7"/>
        <v>122</v>
      </c>
      <c r="H124">
        <f t="shared" ca="1" si="8"/>
        <v>3972.6874961483945</v>
      </c>
      <c r="I124">
        <f t="shared" ca="1" si="9"/>
        <v>44903.670268325135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30049</v>
      </c>
      <c r="B126" s="66">
        <v>30049</v>
      </c>
      <c r="D126">
        <f t="shared" si="5"/>
        <v>26.454146088089516</v>
      </c>
      <c r="E126">
        <f t="shared" si="6"/>
        <v>26.454146088089516</v>
      </c>
      <c r="G126">
        <f t="shared" ca="1" si="7"/>
        <v>124</v>
      </c>
      <c r="H126">
        <f t="shared" ca="1" si="8"/>
        <v>3280.3141149231001</v>
      </c>
      <c r="I126">
        <f t="shared" ca="1" si="9"/>
        <v>40514.951632150958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23775</v>
      </c>
      <c r="B129" s="66">
        <v>23775</v>
      </c>
      <c r="D129">
        <f t="shared" si="5"/>
        <v>20.930723925732245</v>
      </c>
      <c r="E129">
        <f t="shared" si="6"/>
        <v>20.930723925732245</v>
      </c>
      <c r="G129">
        <f t="shared" ca="1" si="7"/>
        <v>127</v>
      </c>
      <c r="H129">
        <f t="shared" ca="1" si="8"/>
        <v>2658.2019385679951</v>
      </c>
      <c r="I129">
        <f t="shared" ca="1" si="9"/>
        <v>37158.809772713095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20665</v>
      </c>
      <c r="B131" s="66">
        <v>20665</v>
      </c>
      <c r="D131">
        <f t="shared" ref="D131:D194" si="10">IFERROR( 100*A131/MAX(A$2:A$257), 0 )</f>
        <v>18.19278275185097</v>
      </c>
      <c r="E131">
        <f t="shared" ref="E131:E194" si="11">IFERROR( 100*B131/MAX(B$2:B$257), 0 )</f>
        <v>18.19278275185097</v>
      </c>
      <c r="G131">
        <f t="shared" ref="G131:G194" ca="1" si="12">CELL("row",D131)-2</f>
        <v>129</v>
      </c>
      <c r="H131">
        <f t="shared" ref="H131:H194" ca="1" si="13">D131*G131</f>
        <v>2346.8689749887753</v>
      </c>
      <c r="I131">
        <f t="shared" ref="I131:I194" ca="1" si="14">D131*((G131-$L$1)^2)</f>
        <v>35437.030881565421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24658</v>
      </c>
      <c r="B134" s="66">
        <v>24658</v>
      </c>
      <c r="D134">
        <f t="shared" si="10"/>
        <v>21.708087931049661</v>
      </c>
      <c r="E134">
        <f t="shared" si="11"/>
        <v>21.708087931049661</v>
      </c>
      <c r="G134">
        <f t="shared" ca="1" si="12"/>
        <v>132</v>
      </c>
      <c r="H134">
        <f t="shared" ca="1" si="13"/>
        <v>2865.4676068985555</v>
      </c>
      <c r="I134">
        <f t="shared" ca="1" si="14"/>
        <v>48228.198550086352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20955</v>
      </c>
      <c r="B136" s="66">
        <v>20955</v>
      </c>
      <c r="D136">
        <f t="shared" si="10"/>
        <v>18.448089163563374</v>
      </c>
      <c r="E136">
        <f t="shared" si="11"/>
        <v>18.448089163563374</v>
      </c>
      <c r="G136">
        <f t="shared" ca="1" si="12"/>
        <v>134</v>
      </c>
      <c r="H136">
        <f t="shared" ca="1" si="13"/>
        <v>2472.043947917492</v>
      </c>
      <c r="I136">
        <f t="shared" ca="1" si="14"/>
        <v>44537.523299823697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18321</v>
      </c>
      <c r="B139" s="66">
        <v>18321</v>
      </c>
      <c r="D139">
        <f t="shared" si="10"/>
        <v>16.129202651665214</v>
      </c>
      <c r="E139">
        <f t="shared" si="11"/>
        <v>16.129202651665214</v>
      </c>
      <c r="G139">
        <f t="shared" ca="1" si="12"/>
        <v>137</v>
      </c>
      <c r="H139">
        <f t="shared" ca="1" si="13"/>
        <v>2209.7007632781342</v>
      </c>
      <c r="I139">
        <f t="shared" ca="1" si="14"/>
        <v>43839.422458704415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16936</v>
      </c>
      <c r="B142" s="66">
        <v>16936</v>
      </c>
      <c r="D142">
        <f t="shared" si="10"/>
        <v>14.90989444400426</v>
      </c>
      <c r="E142">
        <f t="shared" si="11"/>
        <v>14.90989444400426</v>
      </c>
      <c r="G142">
        <f t="shared" ca="1" si="12"/>
        <v>140</v>
      </c>
      <c r="H142">
        <f t="shared" ca="1" si="13"/>
        <v>2087.3852221605966</v>
      </c>
      <c r="I142">
        <f t="shared" ca="1" si="14"/>
        <v>45323.440333461993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15859</v>
      </c>
      <c r="B144" s="66">
        <v>15859</v>
      </c>
      <c r="D144">
        <f t="shared" si="10"/>
        <v>13.961739252920617</v>
      </c>
      <c r="E144">
        <f t="shared" si="11"/>
        <v>13.961739252920617</v>
      </c>
      <c r="G144">
        <f t="shared" ca="1" si="12"/>
        <v>142</v>
      </c>
      <c r="H144">
        <f t="shared" ca="1" si="13"/>
        <v>1982.5669739147277</v>
      </c>
      <c r="I144">
        <f t="shared" ca="1" si="14"/>
        <v>45576.162395160602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16681</v>
      </c>
      <c r="B147" s="66">
        <v>16681</v>
      </c>
      <c r="D147">
        <f t="shared" si="10"/>
        <v>14.685400875084735</v>
      </c>
      <c r="E147">
        <f t="shared" si="11"/>
        <v>14.685400875084735</v>
      </c>
      <c r="G147">
        <f t="shared" ca="1" si="12"/>
        <v>145</v>
      </c>
      <c r="H147">
        <f t="shared" ca="1" si="13"/>
        <v>2129.3831268872864</v>
      </c>
      <c r="I147">
        <f t="shared" ca="1" si="14"/>
        <v>53104.890204674848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18278</v>
      </c>
      <c r="B149" s="66">
        <v>18278</v>
      </c>
      <c r="D149">
        <f t="shared" si="10"/>
        <v>16.091346873376825</v>
      </c>
      <c r="E149">
        <f t="shared" si="11"/>
        <v>16.091346873376825</v>
      </c>
      <c r="G149">
        <f t="shared" ca="1" si="12"/>
        <v>147</v>
      </c>
      <c r="H149">
        <f t="shared" ca="1" si="13"/>
        <v>2365.427990386393</v>
      </c>
      <c r="I149">
        <f t="shared" ca="1" si="14"/>
        <v>62123.980002144905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16533</v>
      </c>
      <c r="B152" s="66">
        <v>16533</v>
      </c>
      <c r="D152">
        <f t="shared" si="10"/>
        <v>14.555106568417717</v>
      </c>
      <c r="E152">
        <f t="shared" si="11"/>
        <v>14.555106568417717</v>
      </c>
      <c r="G152">
        <f t="shared" ca="1" si="12"/>
        <v>150</v>
      </c>
      <c r="H152">
        <f t="shared" ca="1" si="13"/>
        <v>2183.2659852626575</v>
      </c>
      <c r="I152">
        <f t="shared" ca="1" si="14"/>
        <v>61750.255311048524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20235</v>
      </c>
      <c r="B154" s="66">
        <v>20235</v>
      </c>
      <c r="D154">
        <f t="shared" si="10"/>
        <v>17.814224968967064</v>
      </c>
      <c r="E154">
        <f t="shared" si="11"/>
        <v>17.814224968967064</v>
      </c>
      <c r="G154">
        <f t="shared" ca="1" si="12"/>
        <v>152</v>
      </c>
      <c r="H154">
        <f t="shared" ca="1" si="13"/>
        <v>2707.7621952829936</v>
      </c>
      <c r="I154">
        <f t="shared" ca="1" si="14"/>
        <v>80289.659283326007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19347</v>
      </c>
      <c r="B157" s="66">
        <v>19347</v>
      </c>
      <c r="D157">
        <f t="shared" si="10"/>
        <v>17.032459128964952</v>
      </c>
      <c r="E157">
        <f t="shared" si="11"/>
        <v>17.032459128964952</v>
      </c>
      <c r="G157">
        <f t="shared" ca="1" si="12"/>
        <v>155</v>
      </c>
      <c r="H157">
        <f t="shared" ca="1" si="13"/>
        <v>2640.0311649895675</v>
      </c>
      <c r="I157">
        <f t="shared" ca="1" si="14"/>
        <v>83780.294166403401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14167</v>
      </c>
      <c r="B160" s="66">
        <v>14167</v>
      </c>
      <c r="D160">
        <f t="shared" si="10"/>
        <v>12.472158395619294</v>
      </c>
      <c r="E160">
        <f t="shared" si="11"/>
        <v>12.472158395619294</v>
      </c>
      <c r="G160">
        <f t="shared" ca="1" si="12"/>
        <v>158</v>
      </c>
      <c r="H160">
        <f t="shared" ca="1" si="13"/>
        <v>1970.6010265078485</v>
      </c>
      <c r="I160">
        <f t="shared" ca="1" si="14"/>
        <v>66709.437741132322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11050</v>
      </c>
      <c r="B162" s="66">
        <v>11050</v>
      </c>
      <c r="D162">
        <f t="shared" si="10"/>
        <v>9.728054653179445</v>
      </c>
      <c r="E162">
        <f t="shared" si="11"/>
        <v>9.728054653179445</v>
      </c>
      <c r="G162">
        <f t="shared" ca="1" si="12"/>
        <v>160</v>
      </c>
      <c r="H162">
        <f t="shared" ca="1" si="13"/>
        <v>1556.4887445087111</v>
      </c>
      <c r="I162">
        <f t="shared" ca="1" si="14"/>
        <v>54916.878526750566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11197</v>
      </c>
      <c r="B165" s="66">
        <v>11197</v>
      </c>
      <c r="D165">
        <f t="shared" si="10"/>
        <v>9.8574685929095249</v>
      </c>
      <c r="E165">
        <f t="shared" si="11"/>
        <v>9.8574685929095249</v>
      </c>
      <c r="G165">
        <f t="shared" ca="1" si="12"/>
        <v>163</v>
      </c>
      <c r="H165">
        <f t="shared" ca="1" si="13"/>
        <v>1606.7673806442526</v>
      </c>
      <c r="I165">
        <f t="shared" ca="1" si="14"/>
        <v>60179.985342486274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9518</v>
      </c>
      <c r="B167" s="66">
        <v>9518</v>
      </c>
      <c r="D167">
        <f t="shared" si="10"/>
        <v>8.3793325057884118</v>
      </c>
      <c r="E167">
        <f t="shared" si="11"/>
        <v>8.3793325057884118</v>
      </c>
      <c r="G167">
        <f t="shared" ca="1" si="12"/>
        <v>165</v>
      </c>
      <c r="H167">
        <f t="shared" ca="1" si="13"/>
        <v>1382.5898634550879</v>
      </c>
      <c r="I167">
        <f t="shared" ca="1" si="14"/>
        <v>53808.323770537805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8262</v>
      </c>
      <c r="B170" s="66">
        <v>8262</v>
      </c>
      <c r="D170">
        <f t="shared" si="10"/>
        <v>7.2735916329926313</v>
      </c>
      <c r="E170">
        <f t="shared" si="11"/>
        <v>7.2735916329926313</v>
      </c>
      <c r="G170">
        <f t="shared" ca="1" si="12"/>
        <v>168</v>
      </c>
      <c r="H170">
        <f t="shared" ca="1" si="13"/>
        <v>1221.9633943427621</v>
      </c>
      <c r="I170">
        <f t="shared" ca="1" si="14"/>
        <v>50270.410708389783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8122</v>
      </c>
      <c r="B173" s="66">
        <v>8122</v>
      </c>
      <c r="D173">
        <f t="shared" si="10"/>
        <v>7.1503402618211274</v>
      </c>
      <c r="E173">
        <f t="shared" si="11"/>
        <v>7.1503402618211274</v>
      </c>
      <c r="G173">
        <f t="shared" ca="1" si="12"/>
        <v>171</v>
      </c>
      <c r="H173">
        <f t="shared" ca="1" si="13"/>
        <v>1222.7081847714128</v>
      </c>
      <c r="I173">
        <f t="shared" ca="1" si="14"/>
        <v>53049.572804343072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9518</v>
      </c>
      <c r="B175" s="66">
        <v>9518</v>
      </c>
      <c r="D175">
        <f t="shared" si="10"/>
        <v>8.3793325057884118</v>
      </c>
      <c r="E175">
        <f t="shared" si="11"/>
        <v>8.3793325057884118</v>
      </c>
      <c r="G175">
        <f t="shared" ca="1" si="12"/>
        <v>173</v>
      </c>
      <c r="H175">
        <f t="shared" ca="1" si="13"/>
        <v>1449.6245235013953</v>
      </c>
      <c r="I175">
        <f t="shared" ca="1" si="14"/>
        <v>65088.191052943352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8177</v>
      </c>
      <c r="B178" s="66">
        <v>8177</v>
      </c>
      <c r="D178">
        <f t="shared" si="10"/>
        <v>7.1987604433527892</v>
      </c>
      <c r="E178">
        <f t="shared" si="11"/>
        <v>7.1987604433527892</v>
      </c>
      <c r="G178">
        <f t="shared" ca="1" si="12"/>
        <v>176</v>
      </c>
      <c r="H178">
        <f t="shared" ca="1" si="13"/>
        <v>1266.9818380300908</v>
      </c>
      <c r="I178">
        <f t="shared" ca="1" si="14"/>
        <v>59789.402053025697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9385</v>
      </c>
      <c r="B180" s="66">
        <v>9385</v>
      </c>
      <c r="D180">
        <f t="shared" si="10"/>
        <v>8.2622437031754838</v>
      </c>
      <c r="E180">
        <f t="shared" si="11"/>
        <v>8.2622437031754838</v>
      </c>
      <c r="G180">
        <f t="shared" ca="1" si="12"/>
        <v>178</v>
      </c>
      <c r="H180">
        <f t="shared" ca="1" si="13"/>
        <v>1470.679379165236</v>
      </c>
      <c r="I180">
        <f t="shared" ca="1" si="14"/>
        <v>71667.130371094463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10642</v>
      </c>
      <c r="B183" s="66">
        <v>10642</v>
      </c>
      <c r="D183">
        <f t="shared" si="10"/>
        <v>9.3688649429082034</v>
      </c>
      <c r="E183">
        <f t="shared" si="11"/>
        <v>9.3688649429082034</v>
      </c>
      <c r="G183">
        <f t="shared" ca="1" si="12"/>
        <v>181</v>
      </c>
      <c r="H183">
        <f t="shared" ca="1" si="13"/>
        <v>1695.7645546663848</v>
      </c>
      <c r="I183">
        <f t="shared" ca="1" si="14"/>
        <v>86585.732553077105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6537</v>
      </c>
      <c r="B185" s="66">
        <v>6537</v>
      </c>
      <c r="D185">
        <f t="shared" si="10"/>
        <v>5.7549586667723105</v>
      </c>
      <c r="E185">
        <f t="shared" si="11"/>
        <v>5.7549586667723105</v>
      </c>
      <c r="G185">
        <f t="shared" ca="1" si="12"/>
        <v>183</v>
      </c>
      <c r="H185">
        <f t="shared" ca="1" si="13"/>
        <v>1053.1574360193329</v>
      </c>
      <c r="I185">
        <f t="shared" ca="1" si="14"/>
        <v>55422.541062272328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4039</v>
      </c>
      <c r="B188" s="66">
        <v>4039</v>
      </c>
      <c r="D188">
        <f t="shared" si="10"/>
        <v>3.5558020582978984</v>
      </c>
      <c r="E188">
        <f t="shared" si="11"/>
        <v>3.5558020582978984</v>
      </c>
      <c r="G188">
        <f t="shared" ca="1" si="12"/>
        <v>186</v>
      </c>
      <c r="H188">
        <f t="shared" ca="1" si="13"/>
        <v>661.37918284340913</v>
      </c>
      <c r="I188">
        <f t="shared" ca="1" si="14"/>
        <v>36369.473464699186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5212</v>
      </c>
      <c r="B191" s="66">
        <v>5212</v>
      </c>
      <c r="D191">
        <f t="shared" si="10"/>
        <v>4.5884724753277162</v>
      </c>
      <c r="E191">
        <f t="shared" si="11"/>
        <v>4.5884724753277162</v>
      </c>
      <c r="G191">
        <f t="shared" ca="1" si="12"/>
        <v>189</v>
      </c>
      <c r="H191">
        <f t="shared" ca="1" si="13"/>
        <v>867.22129783693833</v>
      </c>
      <c r="I191">
        <f t="shared" ca="1" si="14"/>
        <v>49757.45444751851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4206</v>
      </c>
      <c r="B193" s="66">
        <v>4206</v>
      </c>
      <c r="D193">
        <f t="shared" si="10"/>
        <v>3.7028233367667642</v>
      </c>
      <c r="E193">
        <f t="shared" si="11"/>
        <v>3.7028233367667642</v>
      </c>
      <c r="G193">
        <f t="shared" ca="1" si="12"/>
        <v>191</v>
      </c>
      <c r="H193">
        <f t="shared" ca="1" si="13"/>
        <v>707.23925732245198</v>
      </c>
      <c r="I193">
        <f t="shared" ca="1" si="14"/>
        <v>41710.643069424106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4914</v>
      </c>
      <c r="B196" s="66">
        <v>4914</v>
      </c>
      <c r="D196">
        <f t="shared" si="15"/>
        <v>4.3261231281198</v>
      </c>
      <c r="E196">
        <f t="shared" si="16"/>
        <v>4.3261231281198</v>
      </c>
      <c r="G196">
        <f t="shared" ca="1" si="17"/>
        <v>194</v>
      </c>
      <c r="H196">
        <f t="shared" ca="1" si="18"/>
        <v>839.26788685524116</v>
      </c>
      <c r="I196">
        <f t="shared" ca="1" si="19"/>
        <v>51525.678419436961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4066</v>
      </c>
      <c r="B198" s="66">
        <v>4066</v>
      </c>
      <c r="D198">
        <f t="shared" si="15"/>
        <v>3.5795719655952603</v>
      </c>
      <c r="E198">
        <f t="shared" si="16"/>
        <v>3.5795719655952603</v>
      </c>
      <c r="G198">
        <f t="shared" ca="1" si="17"/>
        <v>196</v>
      </c>
      <c r="H198">
        <f t="shared" ca="1" si="18"/>
        <v>701.59610525667097</v>
      </c>
      <c r="I198">
        <f t="shared" ca="1" si="19"/>
        <v>44210.925018001042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3418</v>
      </c>
      <c r="B201" s="66">
        <v>3418</v>
      </c>
      <c r="D201">
        <f t="shared" si="15"/>
        <v>3.0090941904585833</v>
      </c>
      <c r="E201">
        <f t="shared" si="16"/>
        <v>3.0090941904585833</v>
      </c>
      <c r="G201">
        <f t="shared" ca="1" si="17"/>
        <v>199</v>
      </c>
      <c r="H201">
        <f t="shared" ca="1" si="18"/>
        <v>598.80974390125812</v>
      </c>
      <c r="I201">
        <f t="shared" ca="1" si="19"/>
        <v>39198.581261167499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3110</v>
      </c>
      <c r="B203" s="66">
        <v>3110</v>
      </c>
      <c r="D203">
        <f t="shared" si="15"/>
        <v>2.7379411738812736</v>
      </c>
      <c r="E203">
        <f t="shared" si="16"/>
        <v>2.7379411738812736</v>
      </c>
      <c r="G203">
        <f t="shared" ca="1" si="17"/>
        <v>201</v>
      </c>
      <c r="H203">
        <f t="shared" ca="1" si="18"/>
        <v>550.32617595013596</v>
      </c>
      <c r="I203">
        <f t="shared" ca="1" si="19"/>
        <v>36927.277939628519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2314</v>
      </c>
      <c r="B206" s="66">
        <v>2314</v>
      </c>
      <c r="D206">
        <f t="shared" si="15"/>
        <v>2.037169092077578</v>
      </c>
      <c r="E206">
        <f t="shared" si="16"/>
        <v>2.037169092077578</v>
      </c>
      <c r="G206">
        <f t="shared" ca="1" si="17"/>
        <v>204</v>
      </c>
      <c r="H206">
        <f t="shared" ca="1" si="18"/>
        <v>415.58249478382589</v>
      </c>
      <c r="I206">
        <f t="shared" ca="1" si="19"/>
        <v>28913.643888617327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172</v>
      </c>
      <c r="B209" s="66">
        <v>172</v>
      </c>
      <c r="D209">
        <f t="shared" si="15"/>
        <v>0.15142311315356241</v>
      </c>
      <c r="E209">
        <f t="shared" si="16"/>
        <v>0.15142311315356241</v>
      </c>
      <c r="G209">
        <f t="shared" ca="1" si="17"/>
        <v>207</v>
      </c>
      <c r="H209">
        <f t="shared" ca="1" si="18"/>
        <v>31.34458442278742</v>
      </c>
      <c r="I209">
        <f t="shared" ca="1" si="19"/>
        <v>2258.7570894396345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347</v>
      </c>
      <c r="B1" s="66" t="s">
        <v>348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88.454068554526927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1.707826061419778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0.66009310618793282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1796</v>
      </c>
      <c r="B8" s="66">
        <v>1796</v>
      </c>
      <c r="D8">
        <f t="shared" si="0"/>
        <v>1.4423733305492423</v>
      </c>
      <c r="E8">
        <f t="shared" si="1"/>
        <v>1.4423733305492423</v>
      </c>
      <c r="G8">
        <f t="shared" ca="1" si="2"/>
        <v>6</v>
      </c>
      <c r="H8">
        <f t="shared" ca="1" si="3"/>
        <v>8.6542399832954544</v>
      </c>
      <c r="I8">
        <f t="shared" ca="1" si="4"/>
        <v>9806.2252258451044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607</v>
      </c>
      <c r="B10" s="66">
        <v>607</v>
      </c>
      <c r="D10">
        <f t="shared" si="0"/>
        <v>0.4874836367724889</v>
      </c>
      <c r="E10">
        <f t="shared" si="1"/>
        <v>0.4874836367724889</v>
      </c>
      <c r="G10">
        <f t="shared" ca="1" si="2"/>
        <v>8</v>
      </c>
      <c r="H10">
        <f t="shared" ca="1" si="3"/>
        <v>3.8998690941799112</v>
      </c>
      <c r="I10">
        <f t="shared" ca="1" si="4"/>
        <v>3155.41194231691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660</v>
      </c>
      <c r="B13" s="66">
        <v>660</v>
      </c>
      <c r="D13">
        <f t="shared" si="0"/>
        <v>0.53004810588112472</v>
      </c>
      <c r="E13">
        <f t="shared" si="1"/>
        <v>0.53004810588112472</v>
      </c>
      <c r="G13">
        <f t="shared" ca="1" si="2"/>
        <v>11</v>
      </c>
      <c r="H13">
        <f t="shared" ca="1" si="3"/>
        <v>5.830529164692372</v>
      </c>
      <c r="I13">
        <f t="shared" ca="1" si="4"/>
        <v>3179.8289434603917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549</v>
      </c>
      <c r="B15" s="66">
        <v>549</v>
      </c>
      <c r="D15">
        <f t="shared" si="0"/>
        <v>0.44090365171020823</v>
      </c>
      <c r="E15">
        <f t="shared" si="1"/>
        <v>0.44090365171020823</v>
      </c>
      <c r="G15">
        <f t="shared" ca="1" si="2"/>
        <v>13</v>
      </c>
      <c r="H15">
        <f t="shared" ca="1" si="3"/>
        <v>5.7317474722327066</v>
      </c>
      <c r="I15">
        <f t="shared" ca="1" si="4"/>
        <v>2510.2040181868788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1294</v>
      </c>
      <c r="B18" s="66">
        <v>1294</v>
      </c>
      <c r="D18">
        <f t="shared" si="0"/>
        <v>1.039215528803296</v>
      </c>
      <c r="E18">
        <f t="shared" si="1"/>
        <v>1.039215528803296</v>
      </c>
      <c r="G18">
        <f t="shared" ca="1" si="2"/>
        <v>16</v>
      </c>
      <c r="H18">
        <f t="shared" ca="1" si="3"/>
        <v>16.627448460852737</v>
      </c>
      <c r="I18">
        <f t="shared" ca="1" si="4"/>
        <v>5455.4575783504979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7460</v>
      </c>
      <c r="B21" s="66">
        <v>7460</v>
      </c>
      <c r="D21">
        <f t="shared" si="0"/>
        <v>5.9911498028381667</v>
      </c>
      <c r="E21">
        <f t="shared" si="1"/>
        <v>5.9911498028381667</v>
      </c>
      <c r="G21">
        <f t="shared" ca="1" si="2"/>
        <v>19</v>
      </c>
      <c r="H21">
        <f t="shared" ca="1" si="3"/>
        <v>113.83184625392516</v>
      </c>
      <c r="I21">
        <f t="shared" ca="1" si="4"/>
        <v>28900.513652975795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9962</v>
      </c>
      <c r="B23" s="66">
        <v>9962</v>
      </c>
      <c r="D23">
        <f t="shared" si="0"/>
        <v>8.0005139860420673</v>
      </c>
      <c r="E23">
        <f t="shared" si="1"/>
        <v>8.0005139860420673</v>
      </c>
      <c r="G23">
        <f t="shared" ca="1" si="2"/>
        <v>21</v>
      </c>
      <c r="H23">
        <f t="shared" ca="1" si="3"/>
        <v>168.01079370688342</v>
      </c>
      <c r="I23">
        <f t="shared" ca="1" si="4"/>
        <v>36402.749579362615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9253</v>
      </c>
      <c r="B26" s="66">
        <v>9253</v>
      </c>
      <c r="D26">
        <f t="shared" si="0"/>
        <v>7.4311138238152221</v>
      </c>
      <c r="E26">
        <f t="shared" si="1"/>
        <v>7.4311138238152221</v>
      </c>
      <c r="G26">
        <f t="shared" ca="1" si="2"/>
        <v>24</v>
      </c>
      <c r="H26">
        <f t="shared" ca="1" si="3"/>
        <v>178.34673177156532</v>
      </c>
      <c r="I26">
        <f t="shared" ca="1" si="4"/>
        <v>30871.276450807942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15349</v>
      </c>
      <c r="B28" s="66">
        <v>15349</v>
      </c>
      <c r="D28">
        <f t="shared" si="0"/>
        <v>12.326830874499064</v>
      </c>
      <c r="E28">
        <f t="shared" si="1"/>
        <v>12.326830874499064</v>
      </c>
      <c r="G28">
        <f t="shared" ca="1" si="2"/>
        <v>26</v>
      </c>
      <c r="H28">
        <f t="shared" ca="1" si="3"/>
        <v>320.49760273697569</v>
      </c>
      <c r="I28">
        <f t="shared" ca="1" si="4"/>
        <v>48080.93546437753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23412</v>
      </c>
      <c r="B31" s="66">
        <v>23412</v>
      </c>
      <c r="D31">
        <f t="shared" si="0"/>
        <v>18.802251901346803</v>
      </c>
      <c r="E31">
        <f t="shared" si="1"/>
        <v>18.802251901346803</v>
      </c>
      <c r="G31">
        <f t="shared" ca="1" si="2"/>
        <v>29</v>
      </c>
      <c r="H31">
        <f t="shared" ca="1" si="3"/>
        <v>545.26530513905732</v>
      </c>
      <c r="I31">
        <f t="shared" ca="1" si="4"/>
        <v>66461.941822460954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21999</v>
      </c>
      <c r="B33" s="66">
        <v>21999</v>
      </c>
      <c r="D33">
        <f t="shared" si="0"/>
        <v>17.66746709284676</v>
      </c>
      <c r="E33">
        <f t="shared" si="1"/>
        <v>17.66746709284676</v>
      </c>
      <c r="G33">
        <f t="shared" ca="1" si="2"/>
        <v>31</v>
      </c>
      <c r="H33">
        <f t="shared" ca="1" si="3"/>
        <v>547.69147987824954</v>
      </c>
      <c r="I33">
        <f t="shared" ca="1" si="4"/>
        <v>58319.778734075422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22169</v>
      </c>
      <c r="B36" s="66">
        <v>22169</v>
      </c>
      <c r="D36">
        <f t="shared" si="0"/>
        <v>17.803994635270687</v>
      </c>
      <c r="E36">
        <f t="shared" si="1"/>
        <v>17.803994635270687</v>
      </c>
      <c r="G36">
        <f t="shared" ca="1" si="2"/>
        <v>34</v>
      </c>
      <c r="H36">
        <f t="shared" ca="1" si="3"/>
        <v>605.33581759920332</v>
      </c>
      <c r="I36">
        <f t="shared" ca="1" si="4"/>
        <v>52793.216436700575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22388</v>
      </c>
      <c r="B39" s="66">
        <v>22388</v>
      </c>
      <c r="D39">
        <f t="shared" si="0"/>
        <v>17.979874234040331</v>
      </c>
      <c r="E39">
        <f t="shared" si="1"/>
        <v>17.979874234040331</v>
      </c>
      <c r="G39">
        <f t="shared" ca="1" si="2"/>
        <v>37</v>
      </c>
      <c r="H39">
        <f t="shared" ca="1" si="3"/>
        <v>665.25534665949226</v>
      </c>
      <c r="I39">
        <f t="shared" ca="1" si="4"/>
        <v>47602.097683194152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27137</v>
      </c>
      <c r="B41" s="66">
        <v>27137</v>
      </c>
      <c r="D41">
        <f t="shared" si="0"/>
        <v>21.793811286812243</v>
      </c>
      <c r="E41">
        <f t="shared" si="1"/>
        <v>21.793811286812243</v>
      </c>
      <c r="G41">
        <f t="shared" ca="1" si="2"/>
        <v>39</v>
      </c>
      <c r="H41">
        <f t="shared" ca="1" si="3"/>
        <v>849.9586401856775</v>
      </c>
      <c r="I41">
        <f t="shared" ca="1" si="4"/>
        <v>53301.230979642583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42437</v>
      </c>
      <c r="B44" s="66">
        <v>42437</v>
      </c>
      <c r="D44">
        <f t="shared" si="0"/>
        <v>34.081290104965589</v>
      </c>
      <c r="E44">
        <f t="shared" si="1"/>
        <v>34.081290104965589</v>
      </c>
      <c r="G44">
        <f t="shared" ca="1" si="2"/>
        <v>42</v>
      </c>
      <c r="H44">
        <f t="shared" ca="1" si="3"/>
        <v>1431.4141844085548</v>
      </c>
      <c r="I44">
        <f t="shared" ca="1" si="4"/>
        <v>73546.758959296567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55444</v>
      </c>
      <c r="B46" s="66">
        <v>55444</v>
      </c>
      <c r="D46">
        <f t="shared" si="0"/>
        <v>44.527253306777389</v>
      </c>
      <c r="E46">
        <f t="shared" si="1"/>
        <v>44.527253306777389</v>
      </c>
      <c r="G46">
        <f t="shared" ca="1" si="2"/>
        <v>44</v>
      </c>
      <c r="H46">
        <f t="shared" ca="1" si="3"/>
        <v>1959.1991454982051</v>
      </c>
      <c r="I46">
        <f t="shared" ca="1" si="4"/>
        <v>87993.164401237053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70489</v>
      </c>
      <c r="B49" s="66">
        <v>70489</v>
      </c>
      <c r="D49">
        <f t="shared" si="0"/>
        <v>56.609940811294841</v>
      </c>
      <c r="E49">
        <f t="shared" si="1"/>
        <v>56.609940811294841</v>
      </c>
      <c r="G49">
        <f t="shared" ca="1" si="2"/>
        <v>47</v>
      </c>
      <c r="H49">
        <f t="shared" ca="1" si="3"/>
        <v>2660.6672181308577</v>
      </c>
      <c r="I49">
        <f t="shared" ca="1" si="4"/>
        <v>97280.775350116062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77519</v>
      </c>
      <c r="B51" s="66">
        <v>77519</v>
      </c>
      <c r="D51">
        <f t="shared" si="0"/>
        <v>62.255756242119553</v>
      </c>
      <c r="E51">
        <f t="shared" si="1"/>
        <v>62.255756242119553</v>
      </c>
      <c r="G51">
        <f t="shared" ca="1" si="2"/>
        <v>49</v>
      </c>
      <c r="H51">
        <f t="shared" ca="1" si="3"/>
        <v>3050.5320558638582</v>
      </c>
      <c r="I51">
        <f t="shared" ca="1" si="4"/>
        <v>96908.774764607369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84305</v>
      </c>
      <c r="B54" s="66">
        <v>84305</v>
      </c>
      <c r="D54">
        <f t="shared" si="0"/>
        <v>67.70561449440639</v>
      </c>
      <c r="E54">
        <f t="shared" si="1"/>
        <v>67.70561449440639</v>
      </c>
      <c r="G54">
        <f t="shared" ca="1" si="2"/>
        <v>52</v>
      </c>
      <c r="H54">
        <f t="shared" ca="1" si="3"/>
        <v>3520.6919537091321</v>
      </c>
      <c r="I54">
        <f t="shared" ca="1" si="4"/>
        <v>89973.931126503885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89744</v>
      </c>
      <c r="B57" s="66">
        <v>89744</v>
      </c>
      <c r="D57">
        <f t="shared" si="0"/>
        <v>72.073692748781298</v>
      </c>
      <c r="E57">
        <f t="shared" si="1"/>
        <v>72.073692748781298</v>
      </c>
      <c r="G57">
        <f t="shared" ca="1" si="2"/>
        <v>55</v>
      </c>
      <c r="H57">
        <f t="shared" ca="1" si="3"/>
        <v>3964.0531011829712</v>
      </c>
      <c r="I57">
        <f t="shared" ca="1" si="4"/>
        <v>80663.053665490675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101491</v>
      </c>
      <c r="B59" s="66">
        <v>101491</v>
      </c>
      <c r="D59">
        <f t="shared" si="0"/>
        <v>81.507745930274581</v>
      </c>
      <c r="E59">
        <f t="shared" si="1"/>
        <v>81.507745930274581</v>
      </c>
      <c r="G59">
        <f t="shared" ca="1" si="2"/>
        <v>57</v>
      </c>
      <c r="H59">
        <f t="shared" ca="1" si="3"/>
        <v>4645.941518025651</v>
      </c>
      <c r="I59">
        <f t="shared" ca="1" si="4"/>
        <v>80640.375434984453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104116</v>
      </c>
      <c r="B62" s="66">
        <v>104116</v>
      </c>
      <c r="D62">
        <f t="shared" si="0"/>
        <v>83.615891805938148</v>
      </c>
      <c r="E62">
        <f t="shared" si="1"/>
        <v>83.615891805938148</v>
      </c>
      <c r="G62">
        <f t="shared" ca="1" si="2"/>
        <v>60</v>
      </c>
      <c r="H62">
        <f t="shared" ca="1" si="3"/>
        <v>5016.9535083562887</v>
      </c>
      <c r="I62">
        <f t="shared" ca="1" si="4"/>
        <v>67698.270393441984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111813</v>
      </c>
      <c r="B64" s="66">
        <v>111813</v>
      </c>
      <c r="D64">
        <f t="shared" si="0"/>
        <v>89.797377064979074</v>
      </c>
      <c r="E64">
        <f t="shared" si="1"/>
        <v>89.797377064979074</v>
      </c>
      <c r="G64">
        <f t="shared" ca="1" si="2"/>
        <v>62</v>
      </c>
      <c r="H64">
        <f t="shared" ca="1" si="3"/>
        <v>5567.4373780287024</v>
      </c>
      <c r="I64">
        <f t="shared" ca="1" si="4"/>
        <v>62841.797752800798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106655</v>
      </c>
      <c r="B67" s="66">
        <v>106655</v>
      </c>
      <c r="D67">
        <f t="shared" ref="D67:D130" si="5">IFERROR(100*A67/MAX(A$2:A$257), 0 )</f>
        <v>85.654970807199021</v>
      </c>
      <c r="E67">
        <f t="shared" ref="E67:E130" si="6">IFERROR(100*B67/MAX(B$2:B$257), 0 )</f>
        <v>85.654970807199021</v>
      </c>
      <c r="G67">
        <f t="shared" ref="G67:G130" ca="1" si="7">CELL("row",D67)-2</f>
        <v>65</v>
      </c>
      <c r="H67">
        <f t="shared" ref="H67:H130" ca="1" si="8">D67*G67</f>
        <v>5567.5731024679362</v>
      </c>
      <c r="I67">
        <f t="shared" ref="I67:I130" ca="1" si="9">D67*((G67-$L$1)^2)</f>
        <v>47118.228273176086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121117</v>
      </c>
      <c r="B69" s="66">
        <v>121117</v>
      </c>
      <c r="D69">
        <f t="shared" si="5"/>
        <v>97.269449151521485</v>
      </c>
      <c r="E69">
        <f t="shared" si="6"/>
        <v>97.269449151521485</v>
      </c>
      <c r="G69">
        <f t="shared" ca="1" si="7"/>
        <v>67</v>
      </c>
      <c r="H69">
        <f t="shared" ca="1" si="8"/>
        <v>6517.0530931519397</v>
      </c>
      <c r="I69">
        <f t="shared" ca="1" si="9"/>
        <v>44770.895844226674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120702</v>
      </c>
      <c r="B72" s="66">
        <v>120702</v>
      </c>
      <c r="D72">
        <f t="shared" si="5"/>
        <v>96.93616132736895</v>
      </c>
      <c r="E72">
        <f t="shared" si="6"/>
        <v>96.93616132736895</v>
      </c>
      <c r="G72">
        <f t="shared" ca="1" si="7"/>
        <v>70</v>
      </c>
      <c r="H72">
        <f t="shared" ca="1" si="8"/>
        <v>6785.5312929158263</v>
      </c>
      <c r="I72">
        <f t="shared" ca="1" si="9"/>
        <v>33011.866253977045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118068</v>
      </c>
      <c r="B75" s="66">
        <v>118068</v>
      </c>
      <c r="D75">
        <f t="shared" si="5"/>
        <v>94.820787522988823</v>
      </c>
      <c r="E75">
        <f t="shared" si="6"/>
        <v>94.820787522988823</v>
      </c>
      <c r="G75">
        <f t="shared" ca="1" si="7"/>
        <v>73</v>
      </c>
      <c r="H75">
        <f t="shared" ca="1" si="8"/>
        <v>6921.917489178184</v>
      </c>
      <c r="I75">
        <f t="shared" ca="1" si="9"/>
        <v>22645.881314807219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119607</v>
      </c>
      <c r="B77" s="66">
        <v>119607</v>
      </c>
      <c r="D77">
        <f t="shared" si="5"/>
        <v>96.05676333352072</v>
      </c>
      <c r="E77">
        <f t="shared" si="6"/>
        <v>96.05676333352072</v>
      </c>
      <c r="G77">
        <f t="shared" ca="1" si="7"/>
        <v>75</v>
      </c>
      <c r="H77">
        <f t="shared" ca="1" si="8"/>
        <v>7204.2572500140541</v>
      </c>
      <c r="I77">
        <f t="shared" ca="1" si="9"/>
        <v>17387.423066606134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123194</v>
      </c>
      <c r="B80" s="66">
        <v>123194</v>
      </c>
      <c r="D80">
        <f t="shared" si="5"/>
        <v>98.93749447866557</v>
      </c>
      <c r="E80">
        <f t="shared" si="6"/>
        <v>98.93749447866557</v>
      </c>
      <c r="G80">
        <f t="shared" ca="1" si="7"/>
        <v>78</v>
      </c>
      <c r="H80">
        <f t="shared" ca="1" si="8"/>
        <v>7717.1245693359142</v>
      </c>
      <c r="I80">
        <f t="shared" ca="1" si="9"/>
        <v>10812.636309685093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124517</v>
      </c>
      <c r="B82" s="66">
        <v>124517</v>
      </c>
      <c r="D82">
        <f t="shared" si="5"/>
        <v>100</v>
      </c>
      <c r="E82">
        <f t="shared" si="6"/>
        <v>100</v>
      </c>
      <c r="G82">
        <f t="shared" ca="1" si="7"/>
        <v>80</v>
      </c>
      <c r="H82">
        <f t="shared" ca="1" si="8"/>
        <v>8000</v>
      </c>
      <c r="I82">
        <f t="shared" ca="1" si="9"/>
        <v>7147.1275124641015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115657</v>
      </c>
      <c r="B85" s="66">
        <v>115657</v>
      </c>
      <c r="D85">
        <f t="shared" si="5"/>
        <v>92.884505730141271</v>
      </c>
      <c r="E85">
        <f t="shared" si="6"/>
        <v>92.884505730141271</v>
      </c>
      <c r="G85">
        <f t="shared" ca="1" si="7"/>
        <v>83</v>
      </c>
      <c r="H85">
        <f t="shared" ca="1" si="8"/>
        <v>7709.4139756017257</v>
      </c>
      <c r="I85">
        <f t="shared" ca="1" si="9"/>
        <v>2763.0227408507112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112643</v>
      </c>
      <c r="B88" s="66">
        <v>112643</v>
      </c>
      <c r="D88">
        <f t="shared" si="5"/>
        <v>90.463952713284129</v>
      </c>
      <c r="E88">
        <f t="shared" si="6"/>
        <v>90.463952713284129</v>
      </c>
      <c r="G88">
        <f t="shared" ca="1" si="7"/>
        <v>86</v>
      </c>
      <c r="H88">
        <f t="shared" ca="1" si="8"/>
        <v>7779.8999333424354</v>
      </c>
      <c r="I88">
        <f t="shared" ca="1" si="9"/>
        <v>544.81485549283798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107846</v>
      </c>
      <c r="B90" s="66">
        <v>107846</v>
      </c>
      <c r="D90">
        <f t="shared" si="5"/>
        <v>86.611466707357224</v>
      </c>
      <c r="E90">
        <f t="shared" si="6"/>
        <v>86.611466707357224</v>
      </c>
      <c r="G90">
        <f t="shared" ca="1" si="7"/>
        <v>88</v>
      </c>
      <c r="H90">
        <f t="shared" ca="1" si="8"/>
        <v>7621.8090702474356</v>
      </c>
      <c r="I90">
        <f t="shared" ca="1" si="9"/>
        <v>17.857400827082486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109430</v>
      </c>
      <c r="B93" s="66">
        <v>109430</v>
      </c>
      <c r="D93">
        <f t="shared" si="5"/>
        <v>87.883582161471921</v>
      </c>
      <c r="E93">
        <f t="shared" si="6"/>
        <v>87.883582161471921</v>
      </c>
      <c r="G93">
        <f t="shared" ca="1" si="7"/>
        <v>91</v>
      </c>
      <c r="H93">
        <f t="shared" ca="1" si="8"/>
        <v>7997.4059766939445</v>
      </c>
      <c r="I93">
        <f t="shared" ca="1" si="9"/>
        <v>569.6408961090209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113275</v>
      </c>
      <c r="B95" s="66">
        <v>113275</v>
      </c>
      <c r="D95">
        <f t="shared" si="5"/>
        <v>90.971513929824837</v>
      </c>
      <c r="E95">
        <f t="shared" si="6"/>
        <v>90.971513929824837</v>
      </c>
      <c r="G95">
        <f t="shared" ca="1" si="7"/>
        <v>93</v>
      </c>
      <c r="H95">
        <f t="shared" ca="1" si="8"/>
        <v>8460.3507954737106</v>
      </c>
      <c r="I95">
        <f t="shared" ca="1" si="9"/>
        <v>1879.9711576561679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114862</v>
      </c>
      <c r="B98" s="66">
        <v>114862</v>
      </c>
      <c r="D98">
        <f t="shared" si="5"/>
        <v>92.246038693511736</v>
      </c>
      <c r="E98">
        <f t="shared" si="6"/>
        <v>92.246038693511736</v>
      </c>
      <c r="G98">
        <f t="shared" ca="1" si="7"/>
        <v>96</v>
      </c>
      <c r="H98">
        <f t="shared" ca="1" si="8"/>
        <v>8855.6197145771257</v>
      </c>
      <c r="I98">
        <f t="shared" ca="1" si="9"/>
        <v>5252.5891962095257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101681</v>
      </c>
      <c r="B100" s="66">
        <v>101681</v>
      </c>
      <c r="D100">
        <f t="shared" si="5"/>
        <v>81.660335536513088</v>
      </c>
      <c r="E100">
        <f t="shared" si="6"/>
        <v>81.660335536513088</v>
      </c>
      <c r="G100">
        <f t="shared" ca="1" si="7"/>
        <v>98</v>
      </c>
      <c r="H100">
        <f t="shared" ca="1" si="8"/>
        <v>8002.7128825782829</v>
      </c>
      <c r="I100">
        <f t="shared" ca="1" si="9"/>
        <v>7441.2823285221566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86136</v>
      </c>
      <c r="B103" s="66">
        <v>86136</v>
      </c>
      <c r="D103">
        <f t="shared" si="5"/>
        <v>69.176096436631141</v>
      </c>
      <c r="E103">
        <f t="shared" si="6"/>
        <v>69.176096436631141</v>
      </c>
      <c r="G103">
        <f t="shared" ca="1" si="7"/>
        <v>101</v>
      </c>
      <c r="H103">
        <f t="shared" ca="1" si="8"/>
        <v>6986.7857400997455</v>
      </c>
      <c r="I103">
        <f t="shared" ca="1" si="9"/>
        <v>10888.344961411984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84886</v>
      </c>
      <c r="B106" s="66">
        <v>84886</v>
      </c>
      <c r="D106">
        <f t="shared" si="5"/>
        <v>68.172217448219925</v>
      </c>
      <c r="E106">
        <f t="shared" si="6"/>
        <v>68.172217448219925</v>
      </c>
      <c r="G106">
        <f t="shared" ca="1" si="7"/>
        <v>104</v>
      </c>
      <c r="H106">
        <f t="shared" ca="1" si="8"/>
        <v>7089.9106146148724</v>
      </c>
      <c r="I106">
        <f t="shared" ca="1" si="9"/>
        <v>16475.587767847592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77752</v>
      </c>
      <c r="B108" s="66">
        <v>77752</v>
      </c>
      <c r="D108">
        <f t="shared" si="5"/>
        <v>62.4428792855594</v>
      </c>
      <c r="E108">
        <f t="shared" si="6"/>
        <v>62.4428792855594</v>
      </c>
      <c r="G108">
        <f t="shared" ca="1" si="7"/>
        <v>106</v>
      </c>
      <c r="H108">
        <f t="shared" ca="1" si="8"/>
        <v>6618.9452042692965</v>
      </c>
      <c r="I108">
        <f t="shared" ca="1" si="9"/>
        <v>19223.646726478353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62448</v>
      </c>
      <c r="B111" s="66">
        <v>62448</v>
      </c>
      <c r="D111">
        <f t="shared" si="5"/>
        <v>50.15218805464314</v>
      </c>
      <c r="E111">
        <f t="shared" si="6"/>
        <v>50.15218805464314</v>
      </c>
      <c r="G111">
        <f t="shared" ca="1" si="7"/>
        <v>109</v>
      </c>
      <c r="H111">
        <f t="shared" ca="1" si="8"/>
        <v>5466.5884979561024</v>
      </c>
      <c r="I111">
        <f t="shared" ca="1" si="9"/>
        <v>21171.0088980492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57836</v>
      </c>
      <c r="B113" s="66">
        <v>57836</v>
      </c>
      <c r="D113">
        <f t="shared" si="5"/>
        <v>46.448276139001102</v>
      </c>
      <c r="E113">
        <f t="shared" si="6"/>
        <v>46.448276139001102</v>
      </c>
      <c r="G113">
        <f t="shared" ca="1" si="7"/>
        <v>111</v>
      </c>
      <c r="H113">
        <f t="shared" ca="1" si="8"/>
        <v>5155.7586514291224</v>
      </c>
      <c r="I113">
        <f t="shared" ca="1" si="9"/>
        <v>23610.542428015724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56651</v>
      </c>
      <c r="B116" s="66">
        <v>56651</v>
      </c>
      <c r="D116">
        <f t="shared" si="5"/>
        <v>45.496598857987266</v>
      </c>
      <c r="E116">
        <f t="shared" si="6"/>
        <v>45.496598857987266</v>
      </c>
      <c r="G116">
        <f t="shared" ca="1" si="7"/>
        <v>114</v>
      </c>
      <c r="H116">
        <f t="shared" ca="1" si="8"/>
        <v>5186.6122698105482</v>
      </c>
      <c r="I116">
        <f t="shared" ca="1" si="9"/>
        <v>29690.835343507875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48201</v>
      </c>
      <c r="B118" s="66">
        <v>48201</v>
      </c>
      <c r="D118">
        <f t="shared" si="5"/>
        <v>38.710376896327411</v>
      </c>
      <c r="E118">
        <f t="shared" si="6"/>
        <v>38.710376896327411</v>
      </c>
      <c r="G118">
        <f t="shared" ca="1" si="7"/>
        <v>116</v>
      </c>
      <c r="H118">
        <f t="shared" ca="1" si="8"/>
        <v>4490.4037199739796</v>
      </c>
      <c r="I118">
        <f t="shared" ca="1" si="9"/>
        <v>29372.595491151129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41936</v>
      </c>
      <c r="B121" s="66">
        <v>41936</v>
      </c>
      <c r="D121">
        <f t="shared" si="5"/>
        <v>33.678935406410368</v>
      </c>
      <c r="E121">
        <f t="shared" si="6"/>
        <v>33.678935406410368</v>
      </c>
      <c r="G121">
        <f t="shared" ca="1" si="7"/>
        <v>119</v>
      </c>
      <c r="H121">
        <f t="shared" ca="1" si="8"/>
        <v>4007.7933133628339</v>
      </c>
      <c r="I121">
        <f t="shared" ca="1" si="9"/>
        <v>31424.262967483097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43016</v>
      </c>
      <c r="B124" s="66">
        <v>43016</v>
      </c>
      <c r="D124">
        <f t="shared" si="5"/>
        <v>34.546286852397664</v>
      </c>
      <c r="E124">
        <f t="shared" si="6"/>
        <v>34.546286852397664</v>
      </c>
      <c r="G124">
        <f t="shared" ca="1" si="7"/>
        <v>122</v>
      </c>
      <c r="H124">
        <f t="shared" ca="1" si="8"/>
        <v>4214.6469959925153</v>
      </c>
      <c r="I124">
        <f t="shared" ca="1" si="9"/>
        <v>38875.956282012106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40546</v>
      </c>
      <c r="B126" s="66">
        <v>40546</v>
      </c>
      <c r="D126">
        <f t="shared" si="5"/>
        <v>32.562621971297091</v>
      </c>
      <c r="E126">
        <f t="shared" si="6"/>
        <v>32.562621971297091</v>
      </c>
      <c r="G126">
        <f t="shared" ca="1" si="7"/>
        <v>124</v>
      </c>
      <c r="H126">
        <f t="shared" ca="1" si="8"/>
        <v>4037.7651244408394</v>
      </c>
      <c r="I126">
        <f t="shared" ca="1" si="9"/>
        <v>41143.30406559827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36655</v>
      </c>
      <c r="B129" s="66">
        <v>36655</v>
      </c>
      <c r="D129">
        <f t="shared" si="5"/>
        <v>29.437747456170644</v>
      </c>
      <c r="E129">
        <f t="shared" si="6"/>
        <v>29.437747456170644</v>
      </c>
      <c r="G129">
        <f t="shared" ca="1" si="7"/>
        <v>127</v>
      </c>
      <c r="H129">
        <f t="shared" ca="1" si="8"/>
        <v>3738.5939269336718</v>
      </c>
      <c r="I129">
        <f t="shared" ca="1" si="9"/>
        <v>43738.276380150804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38914</v>
      </c>
      <c r="B131" s="66">
        <v>38914</v>
      </c>
      <c r="D131">
        <f t="shared" ref="D131:D194" si="10">IFERROR(100*A131/MAX(A$2:A$257), 0 )</f>
        <v>31.251957564027403</v>
      </c>
      <c r="E131">
        <f t="shared" ref="E131:E194" si="11">IFERROR(100*B131/MAX(B$2:B$257), 0 )</f>
        <v>31.251957564027403</v>
      </c>
      <c r="G131">
        <f t="shared" ref="G131:G194" ca="1" si="12">CELL("row",D131)-2</f>
        <v>129</v>
      </c>
      <c r="H131">
        <f t="shared" ref="H131:H194" ca="1" si="13">D131*G131</f>
        <v>4031.5025257595348</v>
      </c>
      <c r="I131">
        <f t="shared" ref="I131:I194" ca="1" si="14">D131*((G131-$L$1)^2)</f>
        <v>51377.360580945511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39578</v>
      </c>
      <c r="B134" s="66">
        <v>39578</v>
      </c>
      <c r="D134">
        <f t="shared" si="10"/>
        <v>31.785218082671442</v>
      </c>
      <c r="E134">
        <f t="shared" si="11"/>
        <v>31.785218082671442</v>
      </c>
      <c r="G134">
        <f t="shared" ca="1" si="12"/>
        <v>132</v>
      </c>
      <c r="H134">
        <f t="shared" ca="1" si="13"/>
        <v>4195.6487869126304</v>
      </c>
      <c r="I134">
        <f t="shared" ca="1" si="14"/>
        <v>60272.660842111603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38702</v>
      </c>
      <c r="B136" s="66">
        <v>38702</v>
      </c>
      <c r="D136">
        <f t="shared" si="10"/>
        <v>31.08169968759286</v>
      </c>
      <c r="E136">
        <f t="shared" si="11"/>
        <v>31.08169968759286</v>
      </c>
      <c r="G136">
        <f t="shared" ca="1" si="12"/>
        <v>134</v>
      </c>
      <c r="H136">
        <f t="shared" ca="1" si="13"/>
        <v>4164.9477581374431</v>
      </c>
      <c r="I136">
        <f t="shared" ca="1" si="14"/>
        <v>64476.868444120359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37343</v>
      </c>
      <c r="B139" s="66">
        <v>37343</v>
      </c>
      <c r="D139">
        <f t="shared" si="10"/>
        <v>29.990282451392179</v>
      </c>
      <c r="E139">
        <f t="shared" si="11"/>
        <v>29.990282451392179</v>
      </c>
      <c r="G139">
        <f t="shared" ca="1" si="12"/>
        <v>137</v>
      </c>
      <c r="H139">
        <f t="shared" ca="1" si="13"/>
        <v>4108.668695840729</v>
      </c>
      <c r="I139">
        <f t="shared" ca="1" si="14"/>
        <v>70678.322377961071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36597</v>
      </c>
      <c r="B142" s="66">
        <v>36597</v>
      </c>
      <c r="D142">
        <f t="shared" si="10"/>
        <v>29.391167471108364</v>
      </c>
      <c r="E142">
        <f t="shared" si="11"/>
        <v>29.391167471108364</v>
      </c>
      <c r="G142">
        <f t="shared" ca="1" si="12"/>
        <v>140</v>
      </c>
      <c r="H142">
        <f t="shared" ca="1" si="13"/>
        <v>4114.7634459551709</v>
      </c>
      <c r="I142">
        <f t="shared" ca="1" si="14"/>
        <v>78091.833748752266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34524</v>
      </c>
      <c r="B144" s="66">
        <v>34524</v>
      </c>
      <c r="D144">
        <f t="shared" si="10"/>
        <v>27.726334556727195</v>
      </c>
      <c r="E144">
        <f t="shared" si="11"/>
        <v>27.726334556727195</v>
      </c>
      <c r="G144">
        <f t="shared" ca="1" si="12"/>
        <v>142</v>
      </c>
      <c r="H144">
        <f t="shared" ca="1" si="13"/>
        <v>3937.1395070552617</v>
      </c>
      <c r="I144">
        <f t="shared" ca="1" si="14"/>
        <v>79496.025215929272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32777</v>
      </c>
      <c r="B147" s="66">
        <v>32777</v>
      </c>
      <c r="D147">
        <f t="shared" si="10"/>
        <v>26.323313282523671</v>
      </c>
      <c r="E147">
        <f t="shared" si="11"/>
        <v>26.323313282523671</v>
      </c>
      <c r="G147">
        <f t="shared" ca="1" si="12"/>
        <v>145</v>
      </c>
      <c r="H147">
        <f t="shared" ca="1" si="13"/>
        <v>3816.8804259659323</v>
      </c>
      <c r="I147">
        <f t="shared" ca="1" si="14"/>
        <v>84167.277025013114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29912</v>
      </c>
      <c r="B149" s="66">
        <v>29912</v>
      </c>
      <c r="D149">
        <f t="shared" si="10"/>
        <v>24.022422641085154</v>
      </c>
      <c r="E149">
        <f t="shared" si="11"/>
        <v>24.022422641085154</v>
      </c>
      <c r="G149">
        <f t="shared" ca="1" si="12"/>
        <v>147</v>
      </c>
      <c r="H149">
        <f t="shared" ca="1" si="13"/>
        <v>3531.2961282395177</v>
      </c>
      <c r="I149">
        <f t="shared" ca="1" si="14"/>
        <v>82339.882561196457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26134</v>
      </c>
      <c r="B152" s="66">
        <v>26134</v>
      </c>
      <c r="D152">
        <f t="shared" si="10"/>
        <v>20.988298786511077</v>
      </c>
      <c r="E152">
        <f t="shared" si="11"/>
        <v>20.988298786511077</v>
      </c>
      <c r="G152">
        <f t="shared" ca="1" si="12"/>
        <v>150</v>
      </c>
      <c r="H152">
        <f t="shared" ca="1" si="13"/>
        <v>3148.2448179766616</v>
      </c>
      <c r="I152">
        <f t="shared" ca="1" si="14"/>
        <v>79501.612181104923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21795</v>
      </c>
      <c r="B154" s="66">
        <v>21795</v>
      </c>
      <c r="D154">
        <f t="shared" si="10"/>
        <v>17.503634041938049</v>
      </c>
      <c r="E154">
        <f t="shared" si="11"/>
        <v>17.503634041938049</v>
      </c>
      <c r="G154">
        <f t="shared" ca="1" si="12"/>
        <v>152</v>
      </c>
      <c r="H154">
        <f t="shared" ca="1" si="13"/>
        <v>2660.5523743745835</v>
      </c>
      <c r="I154">
        <f t="shared" ca="1" si="14"/>
        <v>70681.169128978276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17351</v>
      </c>
      <c r="B157" s="66">
        <v>17351</v>
      </c>
      <c r="D157">
        <f t="shared" si="10"/>
        <v>13.934643462338476</v>
      </c>
      <c r="E157">
        <f t="shared" si="11"/>
        <v>13.934643462338476</v>
      </c>
      <c r="G157">
        <f t="shared" ca="1" si="12"/>
        <v>155</v>
      </c>
      <c r="H157">
        <f t="shared" ca="1" si="13"/>
        <v>2159.8697366624638</v>
      </c>
      <c r="I157">
        <f t="shared" ca="1" si="14"/>
        <v>61707.631545289514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14744</v>
      </c>
      <c r="B160" s="66">
        <v>14744</v>
      </c>
      <c r="D160">
        <f t="shared" si="10"/>
        <v>11.840953444108033</v>
      </c>
      <c r="E160">
        <f t="shared" si="11"/>
        <v>11.840953444108033</v>
      </c>
      <c r="G160">
        <f t="shared" ca="1" si="12"/>
        <v>158</v>
      </c>
      <c r="H160">
        <f t="shared" ca="1" si="13"/>
        <v>1870.8706441690692</v>
      </c>
      <c r="I160">
        <f t="shared" ca="1" si="14"/>
        <v>57270.388577172824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12468</v>
      </c>
      <c r="B162" s="66">
        <v>12468</v>
      </c>
      <c r="D162">
        <f t="shared" si="10"/>
        <v>10.013090582008882</v>
      </c>
      <c r="E162">
        <f t="shared" si="11"/>
        <v>10.013090582008882</v>
      </c>
      <c r="G162">
        <f t="shared" ca="1" si="12"/>
        <v>160</v>
      </c>
      <c r="H162">
        <f t="shared" ca="1" si="13"/>
        <v>1602.0944931214212</v>
      </c>
      <c r="I162">
        <f t="shared" ca="1" si="14"/>
        <v>51255.211401012995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13256</v>
      </c>
      <c r="B165" s="66">
        <v>13256</v>
      </c>
      <c r="D165">
        <f t="shared" si="10"/>
        <v>10.645935896303316</v>
      </c>
      <c r="E165">
        <f t="shared" si="11"/>
        <v>10.645935896303316</v>
      </c>
      <c r="G165">
        <f t="shared" ca="1" si="12"/>
        <v>163</v>
      </c>
      <c r="H165">
        <f t="shared" ca="1" si="13"/>
        <v>1735.2875510974404</v>
      </c>
      <c r="I165">
        <f t="shared" ca="1" si="14"/>
        <v>59160.486668559279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10242</v>
      </c>
      <c r="B167" s="66">
        <v>10242</v>
      </c>
      <c r="D167">
        <f t="shared" si="10"/>
        <v>8.2253828794461796</v>
      </c>
      <c r="E167">
        <f t="shared" si="11"/>
        <v>8.2253828794461796</v>
      </c>
      <c r="G167">
        <f t="shared" ca="1" si="12"/>
        <v>165</v>
      </c>
      <c r="H167">
        <f t="shared" ca="1" si="13"/>
        <v>1357.1881751086196</v>
      </c>
      <c r="I167">
        <f t="shared" ca="1" si="14"/>
        <v>48194.818279269144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8725</v>
      </c>
      <c r="B170" s="66">
        <v>8725</v>
      </c>
      <c r="D170">
        <f t="shared" si="10"/>
        <v>7.0070753391103224</v>
      </c>
      <c r="E170">
        <f t="shared" si="11"/>
        <v>7.0070753391103224</v>
      </c>
      <c r="G170">
        <f t="shared" ca="1" si="12"/>
        <v>168</v>
      </c>
      <c r="H170">
        <f t="shared" ca="1" si="13"/>
        <v>1177.1886569705341</v>
      </c>
      <c r="I170">
        <f t="shared" ca="1" si="14"/>
        <v>44337.656065542011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11717</v>
      </c>
      <c r="B173" s="66">
        <v>11717</v>
      </c>
      <c r="D173">
        <f t="shared" si="10"/>
        <v>9.4099600857714201</v>
      </c>
      <c r="E173">
        <f t="shared" si="11"/>
        <v>9.4099600857714201</v>
      </c>
      <c r="G173">
        <f t="shared" ca="1" si="12"/>
        <v>171</v>
      </c>
      <c r="H173">
        <f t="shared" ca="1" si="13"/>
        <v>1609.1031746669128</v>
      </c>
      <c r="I173">
        <f t="shared" ca="1" si="14"/>
        <v>64117.875842268979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12056</v>
      </c>
      <c r="B175" s="66">
        <v>12056</v>
      </c>
      <c r="D175">
        <f t="shared" si="10"/>
        <v>9.6822120674285443</v>
      </c>
      <c r="E175">
        <f t="shared" si="11"/>
        <v>9.6822120674285443</v>
      </c>
      <c r="G175">
        <f t="shared" ca="1" si="12"/>
        <v>173</v>
      </c>
      <c r="H175">
        <f t="shared" ca="1" si="13"/>
        <v>1675.0226876651382</v>
      </c>
      <c r="I175">
        <f t="shared" ca="1" si="14"/>
        <v>69208.592482259148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8792</v>
      </c>
      <c r="B178" s="66">
        <v>8792</v>
      </c>
      <c r="D178">
        <f t="shared" si="10"/>
        <v>7.0608832528891634</v>
      </c>
      <c r="E178">
        <f t="shared" si="11"/>
        <v>7.0608832528891634</v>
      </c>
      <c r="G178">
        <f t="shared" ca="1" si="12"/>
        <v>176</v>
      </c>
      <c r="H178">
        <f t="shared" ca="1" si="13"/>
        <v>1242.7154525084927</v>
      </c>
      <c r="I178">
        <f t="shared" ca="1" si="14"/>
        <v>54116.657701733013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9977</v>
      </c>
      <c r="B180" s="66">
        <v>9977</v>
      </c>
      <c r="D180">
        <f t="shared" si="10"/>
        <v>8.0125605339030006</v>
      </c>
      <c r="E180">
        <f t="shared" si="11"/>
        <v>8.0125605339030006</v>
      </c>
      <c r="G180">
        <f t="shared" ca="1" si="12"/>
        <v>178</v>
      </c>
      <c r="H180">
        <f t="shared" ca="1" si="13"/>
        <v>1426.2357750347342</v>
      </c>
      <c r="I180">
        <f t="shared" ca="1" si="14"/>
        <v>64248.50701999692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5689</v>
      </c>
      <c r="B183" s="66">
        <v>5689</v>
      </c>
      <c r="D183">
        <f t="shared" si="10"/>
        <v>4.5688540520571488</v>
      </c>
      <c r="E183">
        <f t="shared" si="11"/>
        <v>4.5688540520571488</v>
      </c>
      <c r="G183">
        <f t="shared" ca="1" si="12"/>
        <v>181</v>
      </c>
      <c r="H183">
        <f t="shared" ca="1" si="13"/>
        <v>826.96258342234398</v>
      </c>
      <c r="I183">
        <f t="shared" ca="1" si="14"/>
        <v>39131.090124906594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6552</v>
      </c>
      <c r="B185" s="66">
        <v>6552</v>
      </c>
      <c r="D185">
        <f t="shared" si="10"/>
        <v>5.261932105656256</v>
      </c>
      <c r="E185">
        <f t="shared" si="11"/>
        <v>5.261932105656256</v>
      </c>
      <c r="G185">
        <f t="shared" ca="1" si="12"/>
        <v>183</v>
      </c>
      <c r="H185">
        <f t="shared" ca="1" si="13"/>
        <v>962.93357533509482</v>
      </c>
      <c r="I185">
        <f t="shared" ca="1" si="14"/>
        <v>47036.059347518014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7523</v>
      </c>
      <c r="B188" s="66">
        <v>7523</v>
      </c>
      <c r="D188">
        <f t="shared" si="10"/>
        <v>6.0417453038540918</v>
      </c>
      <c r="E188">
        <f t="shared" si="11"/>
        <v>6.0417453038540918</v>
      </c>
      <c r="G188">
        <f t="shared" ca="1" si="12"/>
        <v>186</v>
      </c>
      <c r="H188">
        <f t="shared" ca="1" si="13"/>
        <v>1123.764626516861</v>
      </c>
      <c r="I188">
        <f t="shared" ca="1" si="14"/>
        <v>57488.467729541335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6651</v>
      </c>
      <c r="B191" s="66">
        <v>6651</v>
      </c>
      <c r="D191">
        <f t="shared" si="10"/>
        <v>5.3414393215384246</v>
      </c>
      <c r="E191">
        <f t="shared" si="11"/>
        <v>5.3414393215384246</v>
      </c>
      <c r="G191">
        <f t="shared" ca="1" si="12"/>
        <v>189</v>
      </c>
      <c r="H191">
        <f t="shared" ca="1" si="13"/>
        <v>1009.5320317707623</v>
      </c>
      <c r="I191">
        <f t="shared" ca="1" si="14"/>
        <v>53999.197122008569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7777</v>
      </c>
      <c r="B193" s="66">
        <v>7777</v>
      </c>
      <c r="D193">
        <f t="shared" si="10"/>
        <v>6.2457335142992525</v>
      </c>
      <c r="E193">
        <f t="shared" si="11"/>
        <v>6.2457335142992525</v>
      </c>
      <c r="G193">
        <f t="shared" ca="1" si="12"/>
        <v>191</v>
      </c>
      <c r="H193">
        <f t="shared" ca="1" si="13"/>
        <v>1192.9351012311572</v>
      </c>
      <c r="I193">
        <f t="shared" ca="1" si="14"/>
        <v>65678.060402728079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6830</v>
      </c>
      <c r="B196" s="66">
        <v>6830</v>
      </c>
      <c r="D196">
        <f t="shared" si="15"/>
        <v>5.4851947926789117</v>
      </c>
      <c r="E196">
        <f t="shared" si="16"/>
        <v>5.4851947926789117</v>
      </c>
      <c r="G196">
        <f t="shared" ca="1" si="17"/>
        <v>194</v>
      </c>
      <c r="H196">
        <f t="shared" ca="1" si="18"/>
        <v>1064.1277897797088</v>
      </c>
      <c r="I196">
        <f t="shared" ca="1" si="19"/>
        <v>61104.760870603845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4385</v>
      </c>
      <c r="B198" s="66">
        <v>4385</v>
      </c>
      <c r="D198">
        <f t="shared" si="15"/>
        <v>3.5216074913465629</v>
      </c>
      <c r="E198">
        <f t="shared" si="16"/>
        <v>3.5216074913465629</v>
      </c>
      <c r="G198">
        <f t="shared" ca="1" si="17"/>
        <v>196</v>
      </c>
      <c r="H198">
        <f t="shared" ca="1" si="18"/>
        <v>690.23506830392637</v>
      </c>
      <c r="I198">
        <f t="shared" ca="1" si="19"/>
        <v>40731.360793731154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3254</v>
      </c>
      <c r="B201" s="66">
        <v>3254</v>
      </c>
      <c r="D201">
        <f t="shared" si="15"/>
        <v>2.6132977826320904</v>
      </c>
      <c r="E201">
        <f t="shared" si="16"/>
        <v>2.6132977826320904</v>
      </c>
      <c r="G201">
        <f t="shared" ca="1" si="17"/>
        <v>199</v>
      </c>
      <c r="H201">
        <f t="shared" ca="1" si="18"/>
        <v>520.04625874378598</v>
      </c>
      <c r="I201">
        <f t="shared" ca="1" si="19"/>
        <v>31935.551956010098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1256</v>
      </c>
      <c r="B203" s="66">
        <v>1256</v>
      </c>
      <c r="D203">
        <f t="shared" si="15"/>
        <v>1.0086976075555949</v>
      </c>
      <c r="E203">
        <f t="shared" si="16"/>
        <v>1.0086976075555949</v>
      </c>
      <c r="G203">
        <f t="shared" ca="1" si="17"/>
        <v>201</v>
      </c>
      <c r="H203">
        <f t="shared" ca="1" si="18"/>
        <v>202.74821911867457</v>
      </c>
      <c r="I203">
        <f t="shared" ca="1" si="19"/>
        <v>12776.755684983562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1653</v>
      </c>
      <c r="B206" s="66">
        <v>1653</v>
      </c>
      <c r="D206">
        <f t="shared" si="15"/>
        <v>1.3275295742749986</v>
      </c>
      <c r="E206">
        <f t="shared" si="16"/>
        <v>1.3275295742749986</v>
      </c>
      <c r="G206">
        <f t="shared" ca="1" si="17"/>
        <v>204</v>
      </c>
      <c r="H206">
        <f t="shared" ca="1" si="18"/>
        <v>270.81603315209969</v>
      </c>
      <c r="I206">
        <f t="shared" ca="1" si="19"/>
        <v>17723.664510278952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885</v>
      </c>
      <c r="B209" s="66">
        <v>885</v>
      </c>
      <c r="D209">
        <f t="shared" si="15"/>
        <v>0.71074632379514446</v>
      </c>
      <c r="E209">
        <f t="shared" si="16"/>
        <v>0.71074632379514446</v>
      </c>
      <c r="G209">
        <f t="shared" ca="1" si="17"/>
        <v>207</v>
      </c>
      <c r="H209">
        <f t="shared" ca="1" si="18"/>
        <v>147.1244890255949</v>
      </c>
      <c r="I209">
        <f t="shared" ca="1" si="19"/>
        <v>9988.2160733981709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576</v>
      </c>
      <c r="B211" s="66">
        <v>576</v>
      </c>
      <c r="D211">
        <f t="shared" si="15"/>
        <v>0.46258743785989059</v>
      </c>
      <c r="E211">
        <f t="shared" si="16"/>
        <v>0.46258743785989059</v>
      </c>
      <c r="G211">
        <f t="shared" ca="1" si="17"/>
        <v>209</v>
      </c>
      <c r="H211">
        <f t="shared" ca="1" si="18"/>
        <v>96.680774512717136</v>
      </c>
      <c r="I211">
        <f t="shared" ca="1" si="19"/>
        <v>6722.0068221372621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81</v>
      </c>
      <c r="B214" s="66">
        <v>81</v>
      </c>
      <c r="D214">
        <f t="shared" si="15"/>
        <v>6.5051358449047123E-2</v>
      </c>
      <c r="E214">
        <f t="shared" si="16"/>
        <v>6.5051358449047123E-2</v>
      </c>
      <c r="G214">
        <f t="shared" ca="1" si="17"/>
        <v>212</v>
      </c>
      <c r="H214">
        <f t="shared" ca="1" si="18"/>
        <v>13.790887991197989</v>
      </c>
      <c r="I214">
        <f t="shared" ca="1" si="19"/>
        <v>992.91773116529646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349</v>
      </c>
      <c r="B1" s="68" t="s">
        <v>350</v>
      </c>
      <c r="C1" s="32" t="s">
        <v>351</v>
      </c>
      <c r="D1" s="32" t="s">
        <v>352</v>
      </c>
      <c r="E1" s="32" t="s">
        <v>353</v>
      </c>
    </row>
    <row r="2" spans="1:5">
      <c r="A2" s="68">
        <v>0.24634</v>
      </c>
      <c r="B2" s="68">
        <v>0.52355600000000002</v>
      </c>
      <c r="C2" s="68">
        <v>0</v>
      </c>
      <c r="D2" s="68">
        <v>1</v>
      </c>
      <c r="E2" s="68" t="s">
        <v>354</v>
      </c>
    </row>
    <row r="3" spans="1:5">
      <c r="A3" s="68">
        <v>0.25285600000000003</v>
      </c>
      <c r="B3" s="68">
        <v>0.51228700000000005</v>
      </c>
      <c r="C3" s="68">
        <v>0.40443299999999999</v>
      </c>
      <c r="D3" s="89">
        <v>1</v>
      </c>
      <c r="E3" s="68" t="s">
        <v>355</v>
      </c>
    </row>
    <row r="4" spans="1:5">
      <c r="A4" s="68">
        <v>0.25936100000000001</v>
      </c>
      <c r="B4" s="68">
        <v>0.50038499999999997</v>
      </c>
      <c r="C4" s="68">
        <v>0.81212099999999998</v>
      </c>
      <c r="D4" s="89">
        <v>1</v>
      </c>
      <c r="E4" s="68" t="s">
        <v>356</v>
      </c>
    </row>
    <row r="5" spans="1:5">
      <c r="A5" s="89">
        <v>0.26579700000000001</v>
      </c>
      <c r="B5" s="89">
        <v>0.48731200000000002</v>
      </c>
      <c r="C5" s="89">
        <v>1.21818</v>
      </c>
      <c r="D5" s="89">
        <v>1</v>
      </c>
      <c r="E5" s="68" t="s">
        <v>357</v>
      </c>
    </row>
    <row r="6" spans="1:5">
      <c r="A6" s="68">
        <v>0.27218999999999999</v>
      </c>
      <c r="B6" s="68">
        <v>0.47448600000000002</v>
      </c>
      <c r="C6" s="68">
        <v>1.6215200000000001</v>
      </c>
      <c r="D6" s="68">
        <v>1</v>
      </c>
      <c r="E6" s="68" t="s">
        <v>358</v>
      </c>
    </row>
    <row r="7" spans="1:5">
      <c r="A7" s="68">
        <v>0.27859400000000001</v>
      </c>
      <c r="B7" s="68">
        <v>0.46200000000000002</v>
      </c>
      <c r="C7" s="68">
        <v>2.02623</v>
      </c>
      <c r="D7" s="68">
        <v>1</v>
      </c>
      <c r="E7" s="68" t="s">
        <v>359</v>
      </c>
    </row>
    <row r="8" spans="1:5">
      <c r="A8" s="68">
        <v>0.28485899999999997</v>
      </c>
      <c r="B8" s="68">
        <v>0.44992900000000002</v>
      </c>
      <c r="C8" s="68">
        <v>2.4389799999999999</v>
      </c>
      <c r="D8" s="68">
        <v>1</v>
      </c>
      <c r="E8" s="68" t="s">
        <v>360</v>
      </c>
    </row>
    <row r="9" spans="1:5">
      <c r="A9" s="68">
        <v>0.29110999999999998</v>
      </c>
      <c r="B9" s="68">
        <v>0.43776999999999999</v>
      </c>
      <c r="C9" s="68">
        <v>2.84063</v>
      </c>
      <c r="D9" s="68">
        <v>1</v>
      </c>
      <c r="E9" s="68" t="s">
        <v>361</v>
      </c>
    </row>
    <row r="10" spans="1:5">
      <c r="A10" s="68">
        <v>0.29748200000000002</v>
      </c>
      <c r="B10" s="68">
        <v>0.42534699999999998</v>
      </c>
      <c r="C10" s="68">
        <v>3.2461700000000002</v>
      </c>
      <c r="D10" s="68">
        <v>1</v>
      </c>
      <c r="E10" s="68" t="s">
        <v>362</v>
      </c>
    </row>
    <row r="11" spans="1:5">
      <c r="A11" s="68">
        <v>0.30355300000000002</v>
      </c>
      <c r="B11" s="68">
        <v>0.41429300000000002</v>
      </c>
      <c r="C11" s="68">
        <v>3.6535600000000001</v>
      </c>
      <c r="D11" s="68">
        <v>1</v>
      </c>
      <c r="E11" s="68" t="s">
        <v>363</v>
      </c>
    </row>
    <row r="12" spans="1:5">
      <c r="A12" s="68">
        <v>0.30935200000000002</v>
      </c>
      <c r="B12" s="68">
        <v>0.404223</v>
      </c>
      <c r="C12" s="68">
        <v>4.0589700000000004</v>
      </c>
      <c r="D12" s="68">
        <v>1</v>
      </c>
      <c r="E12" s="68" t="s">
        <v>364</v>
      </c>
    </row>
    <row r="13" spans="1:5">
      <c r="A13" s="68">
        <v>0.31468200000000002</v>
      </c>
      <c r="B13" s="68">
        <v>0.39605400000000002</v>
      </c>
      <c r="C13" s="68">
        <v>4.4672999999999998</v>
      </c>
      <c r="D13" s="68">
        <v>1</v>
      </c>
      <c r="E13" s="68" t="s">
        <v>365</v>
      </c>
    </row>
    <row r="14" spans="1:5">
      <c r="A14" s="68">
        <v>0.31967800000000002</v>
      </c>
      <c r="B14" s="68">
        <v>0.38892700000000002</v>
      </c>
      <c r="C14" s="68">
        <v>4.8729800000000001</v>
      </c>
      <c r="D14" s="68">
        <v>1</v>
      </c>
      <c r="E14" s="68" t="s">
        <v>366</v>
      </c>
    </row>
    <row r="15" spans="1:5">
      <c r="A15" s="68">
        <v>0.32427</v>
      </c>
      <c r="B15" s="68">
        <v>0.38217699999999999</v>
      </c>
      <c r="C15" s="68">
        <v>5.2779299999999996</v>
      </c>
      <c r="D15" s="68">
        <v>1</v>
      </c>
      <c r="E15" s="68" t="s">
        <v>367</v>
      </c>
    </row>
    <row r="16" spans="1:5">
      <c r="A16" s="68">
        <v>0.328735</v>
      </c>
      <c r="B16" s="68">
        <v>0.37525999999999998</v>
      </c>
      <c r="C16" s="68">
        <v>5.6857699999999998</v>
      </c>
      <c r="D16" s="68">
        <v>1</v>
      </c>
      <c r="E16" s="68" t="s">
        <v>368</v>
      </c>
    </row>
    <row r="17" spans="1:5">
      <c r="A17" s="68">
        <v>0.33304600000000001</v>
      </c>
      <c r="B17" s="68">
        <v>0.368423</v>
      </c>
      <c r="C17" s="68">
        <v>6.0896299999999997</v>
      </c>
      <c r="D17" s="68">
        <v>1</v>
      </c>
      <c r="E17" s="68" t="s">
        <v>369</v>
      </c>
    </row>
    <row r="18" spans="1:5">
      <c r="A18" s="68">
        <v>0.33727299999999999</v>
      </c>
      <c r="B18" s="68">
        <v>0.36141600000000002</v>
      </c>
      <c r="C18" s="68">
        <v>6.49756</v>
      </c>
      <c r="D18" s="68">
        <v>1</v>
      </c>
      <c r="E18" s="68" t="s">
        <v>370</v>
      </c>
    </row>
    <row r="19" spans="1:5">
      <c r="A19" s="68">
        <v>0.34137000000000001</v>
      </c>
      <c r="B19" s="68">
        <v>0.35542299999999999</v>
      </c>
      <c r="C19" s="68">
        <v>6.9041199999999998</v>
      </c>
      <c r="D19" s="68">
        <v>1</v>
      </c>
      <c r="E19" s="68" t="s">
        <v>371</v>
      </c>
    </row>
    <row r="20" spans="1:5">
      <c r="A20" s="68">
        <v>0.34515299999999999</v>
      </c>
      <c r="B20" s="68">
        <v>0.35052299999999997</v>
      </c>
      <c r="C20" s="68">
        <v>7.3101500000000001</v>
      </c>
      <c r="D20" s="68">
        <v>1</v>
      </c>
      <c r="E20" s="68" t="s">
        <v>372</v>
      </c>
    </row>
    <row r="21" spans="1:5">
      <c r="A21" s="68">
        <v>0.34901300000000002</v>
      </c>
      <c r="B21" s="68">
        <v>0.34643600000000002</v>
      </c>
      <c r="C21" s="68">
        <v>7.7198900000000004</v>
      </c>
      <c r="D21" s="68">
        <v>1</v>
      </c>
      <c r="E21" s="68" t="s">
        <v>373</v>
      </c>
    </row>
    <row r="22" spans="1:5">
      <c r="A22" s="68">
        <v>0.35277799999999998</v>
      </c>
      <c r="B22" s="68">
        <v>0.34321499999999999</v>
      </c>
      <c r="C22" s="68">
        <v>8.1222100000000008</v>
      </c>
      <c r="D22" s="68">
        <v>1</v>
      </c>
      <c r="E22" s="68" t="s">
        <v>374</v>
      </c>
    </row>
    <row r="23" spans="1:5">
      <c r="A23" s="68">
        <v>0.35604799999999998</v>
      </c>
      <c r="B23" s="68">
        <v>0.34043400000000001</v>
      </c>
      <c r="C23" s="68">
        <v>8.5299300000000002</v>
      </c>
      <c r="D23" s="68">
        <v>1</v>
      </c>
      <c r="E23" s="68" t="s">
        <v>375</v>
      </c>
    </row>
    <row r="24" spans="1:5">
      <c r="A24" s="68">
        <v>0.358931</v>
      </c>
      <c r="B24" s="68">
        <v>0.33757700000000002</v>
      </c>
      <c r="C24" s="68">
        <v>8.9357299999999995</v>
      </c>
      <c r="D24" s="68">
        <v>1</v>
      </c>
      <c r="E24" s="68" t="s">
        <v>376</v>
      </c>
    </row>
    <row r="25" spans="1:5">
      <c r="A25" s="68">
        <v>0.36147000000000001</v>
      </c>
      <c r="B25" s="68">
        <v>0.33496599999999999</v>
      </c>
      <c r="C25" s="68">
        <v>9.3417399999999997</v>
      </c>
      <c r="D25" s="68">
        <v>1</v>
      </c>
      <c r="E25" s="68" t="s">
        <v>377</v>
      </c>
    </row>
    <row r="26" spans="1:5">
      <c r="A26" s="68">
        <v>0.36388500000000001</v>
      </c>
      <c r="B26" s="68">
        <v>0.33222499999999999</v>
      </c>
      <c r="C26" s="68">
        <v>9.7496100000000006</v>
      </c>
      <c r="D26" s="68">
        <v>1</v>
      </c>
      <c r="E26" s="68" t="s">
        <v>378</v>
      </c>
    </row>
    <row r="27" spans="1:5">
      <c r="A27" s="68">
        <v>0.36605199999999999</v>
      </c>
      <c r="B27" s="68">
        <v>0.32985500000000001</v>
      </c>
      <c r="C27" s="68">
        <v>10.1547</v>
      </c>
      <c r="D27" s="68">
        <v>1</v>
      </c>
      <c r="E27" s="68" t="s">
        <v>379</v>
      </c>
    </row>
    <row r="28" spans="1:5">
      <c r="A28" s="68">
        <v>0.36808600000000002</v>
      </c>
      <c r="B28" s="68">
        <v>0.32786500000000002</v>
      </c>
      <c r="C28" s="68">
        <v>10.5604</v>
      </c>
      <c r="D28" s="68">
        <v>1</v>
      </c>
      <c r="E28" s="68" t="s">
        <v>380</v>
      </c>
    </row>
    <row r="29" spans="1:5">
      <c r="A29" s="68">
        <v>0.36993100000000001</v>
      </c>
      <c r="B29" s="68">
        <v>0.32573400000000002</v>
      </c>
      <c r="C29" s="68">
        <v>10.9657</v>
      </c>
      <c r="D29" s="68">
        <v>1</v>
      </c>
      <c r="E29" s="68" t="s">
        <v>381</v>
      </c>
    </row>
    <row r="30" spans="1:5">
      <c r="A30" s="68">
        <v>0.37142199999999997</v>
      </c>
      <c r="B30" s="68">
        <v>0.32391500000000001</v>
      </c>
      <c r="C30" s="68">
        <v>11.3741</v>
      </c>
      <c r="D30" s="68">
        <v>1</v>
      </c>
      <c r="E30" s="68" t="s">
        <v>382</v>
      </c>
    </row>
    <row r="31" spans="1:5">
      <c r="A31" s="68">
        <v>0.37275799999999998</v>
      </c>
      <c r="B31" s="68">
        <v>0.32252199999999998</v>
      </c>
      <c r="C31" s="68">
        <v>11.783300000000001</v>
      </c>
      <c r="D31" s="68">
        <v>1</v>
      </c>
      <c r="E31" s="68" t="s">
        <v>383</v>
      </c>
    </row>
    <row r="32" spans="1:5">
      <c r="A32" s="68">
        <v>0.37386999999999998</v>
      </c>
      <c r="B32" s="68">
        <v>0.32164500000000001</v>
      </c>
      <c r="C32" s="68">
        <v>12.185700000000001</v>
      </c>
      <c r="D32" s="68">
        <v>1</v>
      </c>
      <c r="E32" s="68" t="s">
        <v>384</v>
      </c>
    </row>
    <row r="33" spans="1:5">
      <c r="A33" s="68">
        <v>0.374724</v>
      </c>
      <c r="B33" s="68">
        <v>0.321492</v>
      </c>
      <c r="C33" s="68">
        <v>12.589700000000001</v>
      </c>
      <c r="D33" s="68">
        <v>1</v>
      </c>
      <c r="E33" s="68" t="s">
        <v>385</v>
      </c>
    </row>
    <row r="34" spans="1:5">
      <c r="A34" s="68">
        <v>0.37525500000000001</v>
      </c>
      <c r="B34" s="68">
        <v>0.32181700000000002</v>
      </c>
      <c r="C34" s="68">
        <v>13.000500000000001</v>
      </c>
      <c r="D34" s="68">
        <v>1</v>
      </c>
      <c r="E34" s="68" t="s">
        <v>386</v>
      </c>
    </row>
    <row r="35" spans="1:5">
      <c r="A35" s="68">
        <v>0.37523099999999998</v>
      </c>
      <c r="B35" s="68">
        <v>0.32302799999999998</v>
      </c>
      <c r="C35" s="68">
        <v>13.4048</v>
      </c>
      <c r="D35" s="68">
        <v>1</v>
      </c>
      <c r="E35" s="68" t="s">
        <v>387</v>
      </c>
    </row>
    <row r="36" spans="1:5">
      <c r="A36" s="68">
        <v>0.37495299999999998</v>
      </c>
      <c r="B36" s="68">
        <v>0.32462299999999999</v>
      </c>
      <c r="C36" s="68">
        <v>13.8103</v>
      </c>
      <c r="D36" s="68">
        <v>1</v>
      </c>
      <c r="E36" s="68" t="s">
        <v>388</v>
      </c>
    </row>
    <row r="37" spans="1:5">
      <c r="A37" s="68">
        <v>0.37456099999999998</v>
      </c>
      <c r="B37" s="68">
        <v>0.32665</v>
      </c>
      <c r="C37" s="68">
        <v>14.216100000000001</v>
      </c>
      <c r="D37" s="68">
        <v>1</v>
      </c>
      <c r="E37" s="68" t="s">
        <v>389</v>
      </c>
    </row>
    <row r="38" spans="1:5">
      <c r="A38" s="68">
        <v>0.37408799999999998</v>
      </c>
      <c r="B38" s="68">
        <v>0.32864300000000002</v>
      </c>
      <c r="C38" s="68">
        <v>14.6211</v>
      </c>
      <c r="D38" s="68">
        <v>1</v>
      </c>
      <c r="E38" s="68" t="s">
        <v>390</v>
      </c>
    </row>
    <row r="39" spans="1:5">
      <c r="A39" s="68">
        <v>0.37353700000000001</v>
      </c>
      <c r="B39" s="68">
        <v>0.330461</v>
      </c>
      <c r="C39" s="68">
        <v>15.029500000000001</v>
      </c>
      <c r="D39" s="68">
        <v>1</v>
      </c>
      <c r="E39" s="68" t="s">
        <v>391</v>
      </c>
    </row>
    <row r="40" spans="1:5">
      <c r="A40" s="68">
        <v>0.37302400000000002</v>
      </c>
      <c r="B40" s="68">
        <v>0.332648</v>
      </c>
      <c r="C40" s="68">
        <v>15.439</v>
      </c>
      <c r="D40" s="68">
        <v>1</v>
      </c>
      <c r="E40" s="68" t="s">
        <v>392</v>
      </c>
    </row>
    <row r="41" spans="1:5">
      <c r="A41" s="68">
        <v>0.37231300000000001</v>
      </c>
      <c r="B41" s="68">
        <v>0.33448899999999998</v>
      </c>
      <c r="C41" s="68">
        <v>15.8424</v>
      </c>
      <c r="D41" s="68">
        <v>1</v>
      </c>
      <c r="E41" s="68" t="s">
        <v>393</v>
      </c>
    </row>
    <row r="42" spans="1:5">
      <c r="A42" s="68">
        <v>0.37133899999999997</v>
      </c>
      <c r="B42" s="68">
        <v>0.33704699999999999</v>
      </c>
      <c r="C42" s="68">
        <v>16.246600000000001</v>
      </c>
      <c r="D42" s="68">
        <v>1</v>
      </c>
      <c r="E42" s="68" t="s">
        <v>394</v>
      </c>
    </row>
    <row r="43" spans="1:5">
      <c r="A43" s="68">
        <v>0.37005500000000002</v>
      </c>
      <c r="B43" s="68">
        <v>0.33978000000000003</v>
      </c>
      <c r="C43" s="68">
        <v>16.657</v>
      </c>
      <c r="D43" s="68">
        <v>1</v>
      </c>
      <c r="E43" s="68" t="s">
        <v>395</v>
      </c>
    </row>
    <row r="44" spans="1:5">
      <c r="A44" s="68">
        <v>0.36871799999999999</v>
      </c>
      <c r="B44" s="68">
        <v>0.34243600000000002</v>
      </c>
      <c r="C44" s="68">
        <v>17.062100000000001</v>
      </c>
      <c r="D44" s="68">
        <v>1</v>
      </c>
      <c r="E44" s="68" t="s">
        <v>396</v>
      </c>
    </row>
    <row r="45" spans="1:5">
      <c r="A45" s="68">
        <v>0.36756899999999998</v>
      </c>
      <c r="B45" s="68">
        <v>0.344385</v>
      </c>
      <c r="C45" s="68">
        <v>17.465299999999999</v>
      </c>
      <c r="D45" s="68">
        <v>1</v>
      </c>
      <c r="E45" s="68" t="s">
        <v>397</v>
      </c>
    </row>
    <row r="46" spans="1:5">
      <c r="A46" s="68">
        <v>0.36624200000000001</v>
      </c>
      <c r="B46" s="68">
        <v>0.34533900000000001</v>
      </c>
      <c r="C46" s="68">
        <v>17.873100000000001</v>
      </c>
      <c r="D46" s="68">
        <v>1</v>
      </c>
      <c r="E46" s="68" t="s">
        <v>398</v>
      </c>
    </row>
    <row r="47" spans="1:5">
      <c r="A47" s="68">
        <v>0.36479899999999998</v>
      </c>
      <c r="B47" s="68">
        <v>0.34526699999999999</v>
      </c>
      <c r="C47" s="68">
        <v>18.279199999999999</v>
      </c>
      <c r="D47" s="68">
        <v>1</v>
      </c>
      <c r="E47" s="68" t="s">
        <v>399</v>
      </c>
    </row>
    <row r="48" spans="1:5">
      <c r="A48" s="68">
        <v>0.36324299999999998</v>
      </c>
      <c r="B48" s="68">
        <v>0.34449800000000003</v>
      </c>
      <c r="C48" s="68">
        <v>18.681999999999999</v>
      </c>
      <c r="D48" s="68">
        <v>1</v>
      </c>
      <c r="E48" s="68" t="s">
        <v>400</v>
      </c>
    </row>
    <row r="49" spans="1:5">
      <c r="A49" s="68">
        <v>0.361703</v>
      </c>
      <c r="B49" s="68">
        <v>0.34384100000000001</v>
      </c>
      <c r="C49" s="68">
        <v>19.0932</v>
      </c>
      <c r="D49" s="68">
        <v>1</v>
      </c>
      <c r="E49" s="68" t="s">
        <v>401</v>
      </c>
    </row>
    <row r="50" spans="1:5">
      <c r="A50" s="68">
        <v>0.36028399999999999</v>
      </c>
      <c r="B50" s="68">
        <v>0.34266999999999997</v>
      </c>
      <c r="C50" s="68">
        <v>19.498999999999999</v>
      </c>
      <c r="D50" s="68">
        <v>1</v>
      </c>
      <c r="E50" s="68" t="s">
        <v>402</v>
      </c>
    </row>
    <row r="51" spans="1:5">
      <c r="A51" s="68">
        <v>0.35855300000000001</v>
      </c>
      <c r="B51" s="68">
        <v>0.34125299999999997</v>
      </c>
      <c r="C51" s="68">
        <v>19.904800000000002</v>
      </c>
      <c r="D51" s="68">
        <v>1</v>
      </c>
      <c r="E51" s="68" t="s">
        <v>403</v>
      </c>
    </row>
    <row r="52" spans="1:5">
      <c r="A52" s="68">
        <v>0.35725200000000001</v>
      </c>
      <c r="B52" s="68">
        <v>0.34037600000000001</v>
      </c>
      <c r="C52" s="68">
        <v>20.309699999999999</v>
      </c>
      <c r="D52" s="68">
        <v>1</v>
      </c>
      <c r="E52" s="68" t="s">
        <v>404</v>
      </c>
    </row>
    <row r="53" spans="1:5">
      <c r="A53" s="68">
        <v>0.35517399999999999</v>
      </c>
      <c r="B53" s="68">
        <v>0.33803899999999998</v>
      </c>
      <c r="C53" s="68">
        <v>20.7164</v>
      </c>
      <c r="D53" s="68">
        <v>1</v>
      </c>
      <c r="E53" s="68" t="s">
        <v>405</v>
      </c>
    </row>
    <row r="54" spans="1:5">
      <c r="A54" s="68">
        <v>0.35286600000000001</v>
      </c>
      <c r="B54" s="68">
        <v>0.33580399999999999</v>
      </c>
      <c r="C54" s="68">
        <v>21.121200000000002</v>
      </c>
      <c r="D54" s="68">
        <v>1</v>
      </c>
      <c r="E54" s="68" t="s">
        <v>406</v>
      </c>
    </row>
    <row r="55" spans="1:5">
      <c r="A55" s="68">
        <v>0.34965600000000002</v>
      </c>
      <c r="B55" s="68">
        <v>0.33309499999999997</v>
      </c>
      <c r="C55" s="68">
        <v>21.5303</v>
      </c>
      <c r="D55" s="68">
        <v>1</v>
      </c>
      <c r="E55" s="68" t="s">
        <v>407</v>
      </c>
    </row>
    <row r="56" spans="1:5">
      <c r="A56" s="68">
        <v>0.34767999999999999</v>
      </c>
      <c r="B56" s="68">
        <v>0.332897</v>
      </c>
      <c r="C56" s="68">
        <v>21.9358</v>
      </c>
      <c r="D56" s="68">
        <v>1</v>
      </c>
      <c r="E56" s="68" t="s">
        <v>408</v>
      </c>
    </row>
    <row r="57" spans="1:5">
      <c r="A57" s="68">
        <v>0.34492</v>
      </c>
      <c r="B57" s="68">
        <v>0.33247399999999999</v>
      </c>
      <c r="C57" s="68">
        <v>22.3398</v>
      </c>
      <c r="D57" s="68">
        <v>1</v>
      </c>
      <c r="E57" s="68" t="s">
        <v>409</v>
      </c>
    </row>
    <row r="58" spans="1:5">
      <c r="A58" s="68">
        <v>0.34179599999999999</v>
      </c>
      <c r="B58" s="68">
        <v>0.33144600000000002</v>
      </c>
      <c r="C58" s="68">
        <v>22.748699999999999</v>
      </c>
      <c r="D58" s="68">
        <v>1</v>
      </c>
      <c r="E58" s="68" t="s">
        <v>410</v>
      </c>
    </row>
    <row r="59" spans="1:5">
      <c r="A59" s="68">
        <v>0.33971800000000002</v>
      </c>
      <c r="B59" s="68">
        <v>0.331345</v>
      </c>
      <c r="C59" s="68">
        <v>23.156300000000002</v>
      </c>
      <c r="D59" s="68">
        <v>1</v>
      </c>
      <c r="E59" s="68" t="s">
        <v>411</v>
      </c>
    </row>
    <row r="60" spans="1:5">
      <c r="A60" s="68">
        <v>0.33726499999999998</v>
      </c>
      <c r="B60" s="68">
        <v>0.33008799999999999</v>
      </c>
      <c r="C60" s="68">
        <v>23.561</v>
      </c>
      <c r="D60" s="68">
        <v>1</v>
      </c>
      <c r="E60" s="68" t="s">
        <v>412</v>
      </c>
    </row>
    <row r="61" spans="1:5">
      <c r="A61" s="68">
        <v>0.33515299999999998</v>
      </c>
      <c r="B61" s="68">
        <v>0.32786199999999999</v>
      </c>
      <c r="C61" s="68">
        <v>23.968399999999999</v>
      </c>
      <c r="D61" s="68">
        <v>1</v>
      </c>
      <c r="E61" s="68" t="s">
        <v>413</v>
      </c>
    </row>
    <row r="62" spans="1:5">
      <c r="A62" s="68">
        <v>0.33378600000000003</v>
      </c>
      <c r="B62" s="68">
        <v>0.32691100000000001</v>
      </c>
      <c r="C62" s="68">
        <v>24.374099999999999</v>
      </c>
      <c r="D62" s="68">
        <v>1</v>
      </c>
      <c r="E62" s="68" t="s">
        <v>414</v>
      </c>
    </row>
    <row r="63" spans="1:5">
      <c r="A63" s="68">
        <v>0.33271899999999999</v>
      </c>
      <c r="B63" s="68">
        <v>0.325961</v>
      </c>
      <c r="C63" s="68">
        <v>24.776700000000002</v>
      </c>
      <c r="D63" s="68">
        <v>1</v>
      </c>
      <c r="E63" s="68" t="s">
        <v>415</v>
      </c>
    </row>
    <row r="64" spans="1:5">
      <c r="A64" s="68">
        <v>0.33203899999999997</v>
      </c>
      <c r="B64" s="68">
        <v>0.32753900000000002</v>
      </c>
      <c r="C64" s="68">
        <v>25.1859</v>
      </c>
      <c r="D64" s="68">
        <v>1</v>
      </c>
      <c r="E64" s="68" t="s">
        <v>416</v>
      </c>
    </row>
    <row r="65" spans="1:5">
      <c r="A65" s="68">
        <v>0.33147900000000002</v>
      </c>
      <c r="B65" s="68">
        <v>0.32908199999999999</v>
      </c>
      <c r="C65" s="68">
        <v>25.593499999999999</v>
      </c>
      <c r="D65" s="68">
        <v>1</v>
      </c>
      <c r="E65" s="68" t="s">
        <v>417</v>
      </c>
    </row>
    <row r="66" spans="1:5">
      <c r="A66" s="68">
        <v>0.33079799999999998</v>
      </c>
      <c r="B66" s="68">
        <v>0.33128099999999999</v>
      </c>
      <c r="C66" s="68">
        <v>26.000499999999999</v>
      </c>
      <c r="D66" s="68">
        <v>1</v>
      </c>
      <c r="E66" s="68" t="s">
        <v>418</v>
      </c>
    </row>
    <row r="67" spans="1:5">
      <c r="A67" s="68">
        <v>0.32999400000000001</v>
      </c>
      <c r="B67" s="68">
        <v>0.33352799999999999</v>
      </c>
      <c r="C67" s="68">
        <v>26.404399999999999</v>
      </c>
      <c r="D67" s="68">
        <v>1</v>
      </c>
      <c r="E67" s="68" t="s">
        <v>419</v>
      </c>
    </row>
    <row r="68" spans="1:5">
      <c r="A68" s="68">
        <v>0.32933600000000002</v>
      </c>
      <c r="B68" s="68">
        <v>0.33407599999999998</v>
      </c>
      <c r="C68" s="68">
        <v>26.807099999999998</v>
      </c>
      <c r="D68" s="68">
        <v>1</v>
      </c>
      <c r="E68" s="68" t="s">
        <v>420</v>
      </c>
    </row>
    <row r="69" spans="1:5">
      <c r="A69" s="68">
        <v>0.32862000000000002</v>
      </c>
      <c r="B69" s="68">
        <v>0.33622000000000002</v>
      </c>
      <c r="C69" s="68">
        <v>27.213200000000001</v>
      </c>
      <c r="D69" s="68">
        <v>1</v>
      </c>
      <c r="E69" s="68" t="s">
        <v>421</v>
      </c>
    </row>
    <row r="70" spans="1:5">
      <c r="A70" s="68">
        <v>0.327824</v>
      </c>
      <c r="B70" s="68">
        <v>0.34070299999999998</v>
      </c>
      <c r="C70" s="68">
        <v>27.6249</v>
      </c>
      <c r="D70" s="68">
        <v>1</v>
      </c>
      <c r="E70" s="68" t="s">
        <v>422</v>
      </c>
    </row>
    <row r="71" spans="1:5">
      <c r="A71" s="68">
        <v>0.32711499999999999</v>
      </c>
      <c r="B71" s="68">
        <v>0.343912</v>
      </c>
      <c r="C71" s="68">
        <v>28.030100000000001</v>
      </c>
      <c r="D71" s="68">
        <v>1</v>
      </c>
      <c r="E71" s="68" t="s">
        <v>423</v>
      </c>
    </row>
    <row r="72" spans="1:5">
      <c r="A72" s="68">
        <v>0.32638699999999998</v>
      </c>
      <c r="B72" s="68">
        <v>0.34775800000000001</v>
      </c>
      <c r="C72" s="68">
        <v>28.4376</v>
      </c>
      <c r="D72" s="68">
        <v>1</v>
      </c>
      <c r="E72" s="68" t="s">
        <v>424</v>
      </c>
    </row>
    <row r="73" spans="1:5">
      <c r="A73" s="68">
        <v>0.32600899999999999</v>
      </c>
      <c r="B73" s="68">
        <v>0.35041800000000001</v>
      </c>
      <c r="C73" s="68">
        <v>28.84</v>
      </c>
      <c r="D73" s="68">
        <v>1</v>
      </c>
      <c r="E73" s="68" t="s">
        <v>425</v>
      </c>
    </row>
    <row r="74" spans="1:5">
      <c r="A74" s="68">
        <v>0.32553199999999999</v>
      </c>
      <c r="B74" s="68">
        <v>0.356188</v>
      </c>
      <c r="C74" s="68">
        <v>29.247499999999999</v>
      </c>
      <c r="D74" s="68">
        <v>1</v>
      </c>
      <c r="E74" s="68" t="s">
        <v>426</v>
      </c>
    </row>
    <row r="75" spans="1:5">
      <c r="A75" s="68">
        <v>0.32515699999999997</v>
      </c>
      <c r="B75" s="68">
        <v>0.35961500000000002</v>
      </c>
      <c r="C75" s="68">
        <v>29.654399999999999</v>
      </c>
      <c r="D75" s="68">
        <v>1</v>
      </c>
      <c r="E75" s="68" t="s">
        <v>427</v>
      </c>
    </row>
    <row r="76" spans="1:5">
      <c r="A76" s="68">
        <v>0.32519100000000001</v>
      </c>
      <c r="B76" s="68">
        <v>0.36591200000000002</v>
      </c>
      <c r="C76" s="68">
        <v>30.061599999999999</v>
      </c>
      <c r="D76" s="68">
        <v>2</v>
      </c>
      <c r="E76" s="68" t="s">
        <v>428</v>
      </c>
    </row>
    <row r="77" spans="1:5">
      <c r="A77" s="68">
        <v>0.32526699999999997</v>
      </c>
      <c r="B77" s="68">
        <v>0.37155500000000002</v>
      </c>
      <c r="C77" s="68">
        <v>30.5273</v>
      </c>
      <c r="D77" s="68">
        <v>2</v>
      </c>
      <c r="E77" s="68" t="s">
        <v>429</v>
      </c>
    </row>
    <row r="78" spans="1:5">
      <c r="A78" s="68">
        <v>0.32538299999999998</v>
      </c>
      <c r="B78" s="68">
        <v>0.37737399999999999</v>
      </c>
      <c r="C78" s="68">
        <v>30.935099999999998</v>
      </c>
      <c r="D78" s="68">
        <v>2</v>
      </c>
      <c r="E78" s="68" t="s">
        <v>430</v>
      </c>
    </row>
    <row r="79" spans="1:5">
      <c r="A79" s="68">
        <v>0.32570399999999999</v>
      </c>
      <c r="B79" s="68">
        <v>0.38303100000000001</v>
      </c>
      <c r="C79" s="68">
        <v>31.339500000000001</v>
      </c>
      <c r="D79" s="68">
        <v>2</v>
      </c>
      <c r="E79" s="68" t="s">
        <v>431</v>
      </c>
    </row>
    <row r="80" spans="1:5">
      <c r="A80" s="68">
        <v>0.32627899999999999</v>
      </c>
      <c r="B80" s="68">
        <v>0.387712</v>
      </c>
      <c r="C80" s="68">
        <v>31.7331</v>
      </c>
      <c r="D80" s="68">
        <v>2</v>
      </c>
      <c r="E80" s="68" t="s">
        <v>432</v>
      </c>
    </row>
    <row r="81" spans="1:5">
      <c r="A81" s="68">
        <v>0.32713900000000001</v>
      </c>
      <c r="B81" s="68">
        <v>0.391598</v>
      </c>
      <c r="C81" s="68">
        <v>32.1372</v>
      </c>
      <c r="D81" s="68">
        <v>2</v>
      </c>
      <c r="E81" s="68" t="s">
        <v>433</v>
      </c>
    </row>
    <row r="82" spans="1:5">
      <c r="A82" s="68">
        <v>0.328046</v>
      </c>
      <c r="B82" s="68">
        <v>0.39528400000000002</v>
      </c>
      <c r="C82" s="68">
        <v>32.541600000000003</v>
      </c>
      <c r="D82" s="68">
        <v>2</v>
      </c>
      <c r="E82" s="68" t="s">
        <v>434</v>
      </c>
    </row>
    <row r="83" spans="1:5">
      <c r="A83" s="68">
        <v>0.32898500000000003</v>
      </c>
      <c r="B83" s="68">
        <v>0.39884500000000001</v>
      </c>
      <c r="C83" s="68">
        <v>32.950299999999999</v>
      </c>
      <c r="D83" s="68">
        <v>2</v>
      </c>
      <c r="E83" s="68" t="s">
        <v>435</v>
      </c>
    </row>
    <row r="84" spans="1:5">
      <c r="A84" s="68">
        <v>0.330127</v>
      </c>
      <c r="B84" s="68">
        <v>0.40186899999999998</v>
      </c>
      <c r="C84" s="68">
        <v>33.356699999999996</v>
      </c>
      <c r="D84" s="68">
        <v>2</v>
      </c>
      <c r="E84" s="68" t="s">
        <v>436</v>
      </c>
    </row>
    <row r="85" spans="1:5">
      <c r="A85" s="68">
        <v>0.33120300000000003</v>
      </c>
      <c r="B85" s="68">
        <v>0.40494400000000003</v>
      </c>
      <c r="C85" s="68">
        <v>33.7622</v>
      </c>
      <c r="D85" s="68">
        <v>2</v>
      </c>
      <c r="E85" s="68" t="s">
        <v>437</v>
      </c>
    </row>
    <row r="86" spans="1:5">
      <c r="A86" s="68">
        <v>0.33204400000000001</v>
      </c>
      <c r="B86" s="68">
        <v>0.40758499999999998</v>
      </c>
      <c r="C86" s="68">
        <v>34.170999999999999</v>
      </c>
      <c r="D86" s="68">
        <v>2</v>
      </c>
      <c r="E86" s="68" t="s">
        <v>438</v>
      </c>
    </row>
    <row r="87" spans="1:5">
      <c r="A87" s="68">
        <v>0.33279399999999998</v>
      </c>
      <c r="B87" s="68">
        <v>0.40920400000000001</v>
      </c>
      <c r="C87" s="68">
        <v>34.574800000000003</v>
      </c>
      <c r="D87" s="68">
        <v>2</v>
      </c>
      <c r="E87" s="68" t="s">
        <v>439</v>
      </c>
    </row>
    <row r="88" spans="1:5">
      <c r="A88" s="68">
        <v>0.33344099999999999</v>
      </c>
      <c r="B88" s="68">
        <v>0.40957700000000002</v>
      </c>
      <c r="C88" s="68">
        <v>34.982100000000003</v>
      </c>
      <c r="D88" s="68">
        <v>2</v>
      </c>
      <c r="E88" s="68" t="s">
        <v>440</v>
      </c>
    </row>
    <row r="89" spans="1:5">
      <c r="A89" s="68">
        <v>0.334254</v>
      </c>
      <c r="B89" s="68">
        <v>0.40791100000000002</v>
      </c>
      <c r="C89" s="68">
        <v>35.387799999999999</v>
      </c>
      <c r="D89" s="68">
        <v>2</v>
      </c>
      <c r="E89" s="68" t="s">
        <v>441</v>
      </c>
    </row>
    <row r="90" spans="1:5">
      <c r="A90" s="68">
        <v>0.33513900000000002</v>
      </c>
      <c r="B90" s="68">
        <v>0.40475100000000003</v>
      </c>
      <c r="C90" s="68">
        <v>35.798099999999998</v>
      </c>
      <c r="D90" s="68">
        <v>2</v>
      </c>
      <c r="E90" s="68" t="s">
        <v>442</v>
      </c>
    </row>
    <row r="91" spans="1:5">
      <c r="A91" s="68">
        <v>0.33613599999999999</v>
      </c>
      <c r="B91" s="68">
        <v>0.40176899999999999</v>
      </c>
      <c r="C91" s="68">
        <v>36.2029</v>
      </c>
      <c r="D91" s="68">
        <v>2</v>
      </c>
      <c r="E91" s="68" t="s">
        <v>443</v>
      </c>
    </row>
    <row r="92" spans="1:5">
      <c r="A92" s="68">
        <v>0.33729100000000001</v>
      </c>
      <c r="B92" s="68">
        <v>0.39801199999999998</v>
      </c>
      <c r="C92" s="68">
        <v>36.607100000000003</v>
      </c>
      <c r="D92" s="68">
        <v>2</v>
      </c>
      <c r="E92" s="68" t="s">
        <v>444</v>
      </c>
    </row>
    <row r="93" spans="1:5">
      <c r="A93" s="68">
        <v>0.33864499999999997</v>
      </c>
      <c r="B93" s="68">
        <v>0.39357799999999998</v>
      </c>
      <c r="C93" s="68">
        <v>37.011800000000001</v>
      </c>
      <c r="D93" s="68">
        <v>2</v>
      </c>
      <c r="E93" s="68" t="s">
        <v>445</v>
      </c>
    </row>
    <row r="94" spans="1:5">
      <c r="A94" s="68">
        <v>0.34022799999999997</v>
      </c>
      <c r="B94" s="68">
        <v>0.38878099999999999</v>
      </c>
      <c r="C94" s="68">
        <v>37.418500000000002</v>
      </c>
      <c r="D94" s="68">
        <v>2</v>
      </c>
      <c r="E94" s="68" t="s">
        <v>446</v>
      </c>
    </row>
    <row r="95" spans="1:5">
      <c r="A95" s="68">
        <v>0.34203299999999998</v>
      </c>
      <c r="B95" s="68">
        <v>0.38350200000000001</v>
      </c>
      <c r="C95" s="68">
        <v>37.824100000000001</v>
      </c>
      <c r="D95" s="68">
        <v>2</v>
      </c>
      <c r="E95" s="68" t="s">
        <v>447</v>
      </c>
    </row>
    <row r="96" spans="1:5">
      <c r="A96" s="68">
        <v>0.343752</v>
      </c>
      <c r="B96" s="68">
        <v>0.378803</v>
      </c>
      <c r="C96" s="68">
        <v>38.2318</v>
      </c>
      <c r="D96" s="68">
        <v>2</v>
      </c>
      <c r="E96" s="68" t="s">
        <v>448</v>
      </c>
    </row>
    <row r="97" spans="1:5">
      <c r="A97" s="68">
        <v>0.34554600000000002</v>
      </c>
      <c r="B97" s="68">
        <v>0.37433</v>
      </c>
      <c r="C97" s="68">
        <v>38.64</v>
      </c>
      <c r="D97" s="68">
        <v>2</v>
      </c>
      <c r="E97" s="68" t="s">
        <v>449</v>
      </c>
    </row>
    <row r="98" spans="1:5">
      <c r="A98" s="68">
        <v>0.34725499999999998</v>
      </c>
      <c r="B98" s="68">
        <v>0.36981000000000003</v>
      </c>
      <c r="C98" s="68">
        <v>39.045200000000001</v>
      </c>
      <c r="D98" s="68">
        <v>2</v>
      </c>
      <c r="E98" s="68" t="s">
        <v>450</v>
      </c>
    </row>
    <row r="99" spans="1:5">
      <c r="A99" s="68">
        <v>0.34886200000000001</v>
      </c>
      <c r="B99" s="68">
        <v>0.36623099999999997</v>
      </c>
      <c r="C99" s="68">
        <v>39.450499999999998</v>
      </c>
      <c r="D99" s="68">
        <v>2</v>
      </c>
      <c r="E99" s="68" t="s">
        <v>451</v>
      </c>
    </row>
    <row r="100" spans="1:5">
      <c r="A100" s="68">
        <v>0.35036699999999998</v>
      </c>
      <c r="B100" s="68">
        <v>0.36287900000000001</v>
      </c>
      <c r="C100" s="68">
        <v>39.8566</v>
      </c>
      <c r="D100" s="68">
        <v>2</v>
      </c>
      <c r="E100" s="68" t="s">
        <v>452</v>
      </c>
    </row>
    <row r="101" spans="1:5">
      <c r="A101" s="68">
        <v>0.35182600000000003</v>
      </c>
      <c r="B101" s="68">
        <v>0.35947200000000001</v>
      </c>
      <c r="C101" s="68">
        <v>40.263599999999997</v>
      </c>
      <c r="D101" s="68">
        <v>2</v>
      </c>
      <c r="E101" s="68" t="s">
        <v>453</v>
      </c>
    </row>
    <row r="102" spans="1:5">
      <c r="A102" s="68">
        <v>0.35324299999999997</v>
      </c>
      <c r="B102" s="68">
        <v>0.356101</v>
      </c>
      <c r="C102" s="68">
        <v>40.669899999999998</v>
      </c>
      <c r="D102" s="68">
        <v>2</v>
      </c>
      <c r="E102" s="68" t="s">
        <v>454</v>
      </c>
    </row>
    <row r="103" spans="1:5">
      <c r="A103" s="68">
        <v>0.35481299999999999</v>
      </c>
      <c r="B103" s="68">
        <v>0.35299000000000003</v>
      </c>
      <c r="C103" s="68">
        <v>41.077100000000002</v>
      </c>
      <c r="D103" s="68">
        <v>2</v>
      </c>
      <c r="E103" s="68" t="s">
        <v>455</v>
      </c>
    </row>
    <row r="104" spans="1:5">
      <c r="A104" s="68">
        <v>0.35675099999999998</v>
      </c>
      <c r="B104" s="68">
        <v>0.34951599999999999</v>
      </c>
      <c r="C104" s="68">
        <v>41.484699999999997</v>
      </c>
      <c r="D104" s="68">
        <v>2</v>
      </c>
      <c r="E104" s="68" t="s">
        <v>456</v>
      </c>
    </row>
    <row r="105" spans="1:5">
      <c r="A105" s="68">
        <v>0.35883100000000001</v>
      </c>
      <c r="B105" s="68">
        <v>0.34595700000000001</v>
      </c>
      <c r="C105" s="68">
        <v>41.888199999999998</v>
      </c>
      <c r="D105" s="68">
        <v>2</v>
      </c>
      <c r="E105" s="68" t="s">
        <v>457</v>
      </c>
    </row>
    <row r="106" spans="1:5">
      <c r="A106" s="68">
        <v>0.36076000000000003</v>
      </c>
      <c r="B106" s="68">
        <v>0.34229900000000002</v>
      </c>
      <c r="C106" s="68">
        <v>42.294699999999999</v>
      </c>
      <c r="D106" s="68">
        <v>2</v>
      </c>
      <c r="E106" s="68" t="s">
        <v>458</v>
      </c>
    </row>
    <row r="107" spans="1:5">
      <c r="A107" s="68">
        <v>0.36260900000000001</v>
      </c>
      <c r="B107" s="68">
        <v>0.33883400000000002</v>
      </c>
      <c r="C107" s="68">
        <v>42.702399999999997</v>
      </c>
      <c r="D107" s="68">
        <v>2</v>
      </c>
      <c r="E107" s="68" t="s">
        <v>459</v>
      </c>
    </row>
    <row r="108" spans="1:5">
      <c r="A108" s="68">
        <v>0.36432500000000001</v>
      </c>
      <c r="B108" s="68">
        <v>0.33549099999999998</v>
      </c>
      <c r="C108" s="68">
        <v>43.108199999999997</v>
      </c>
      <c r="D108" s="68">
        <v>2</v>
      </c>
      <c r="E108" s="68" t="s">
        <v>460</v>
      </c>
    </row>
    <row r="109" spans="1:5">
      <c r="A109" s="68">
        <v>0.36587500000000001</v>
      </c>
      <c r="B109" s="68">
        <v>0.33262900000000001</v>
      </c>
      <c r="C109" s="68">
        <v>43.5107</v>
      </c>
      <c r="D109" s="68">
        <v>2</v>
      </c>
      <c r="E109" s="68" t="s">
        <v>461</v>
      </c>
    </row>
    <row r="110" spans="1:5">
      <c r="A110" s="68">
        <v>0.36705399999999999</v>
      </c>
      <c r="B110" s="68">
        <v>0.33044499999999999</v>
      </c>
      <c r="C110" s="68">
        <v>43.916899999999998</v>
      </c>
      <c r="D110" s="68">
        <v>2</v>
      </c>
      <c r="E110" s="68" t="s">
        <v>462</v>
      </c>
    </row>
    <row r="111" spans="1:5">
      <c r="A111" s="68">
        <v>0.36786000000000002</v>
      </c>
      <c r="B111" s="68">
        <v>0.328683</v>
      </c>
      <c r="C111" s="68">
        <v>44.328299999999999</v>
      </c>
      <c r="D111" s="68">
        <v>2</v>
      </c>
      <c r="E111" s="68" t="s">
        <v>463</v>
      </c>
    </row>
    <row r="112" spans="1:5">
      <c r="A112" s="68">
        <v>0.36832300000000001</v>
      </c>
      <c r="B112" s="68">
        <v>0.32666299999999998</v>
      </c>
      <c r="C112" s="68">
        <v>44.733400000000003</v>
      </c>
      <c r="D112" s="68">
        <v>2</v>
      </c>
      <c r="E112" s="68" t="s">
        <v>464</v>
      </c>
    </row>
    <row r="113" spans="1:5">
      <c r="A113" s="68">
        <v>0.368786</v>
      </c>
      <c r="B113" s="68">
        <v>0.32406099999999999</v>
      </c>
      <c r="C113" s="68">
        <v>45.138100000000001</v>
      </c>
      <c r="D113" s="68">
        <v>2</v>
      </c>
      <c r="E113" s="68" t="s">
        <v>465</v>
      </c>
    </row>
    <row r="114" spans="1:5">
      <c r="A114" s="68">
        <v>0.36897099999999999</v>
      </c>
      <c r="B114" s="68">
        <v>0.32205400000000001</v>
      </c>
      <c r="C114" s="68">
        <v>45.542900000000003</v>
      </c>
      <c r="D114" s="68">
        <v>2</v>
      </c>
      <c r="E114" s="68" t="s">
        <v>466</v>
      </c>
    </row>
    <row r="115" spans="1:5">
      <c r="A115" s="68">
        <v>0.36880299999999999</v>
      </c>
      <c r="B115" s="68">
        <v>0.32026700000000002</v>
      </c>
      <c r="C115" s="68">
        <v>45.951300000000003</v>
      </c>
      <c r="D115" s="68">
        <v>2</v>
      </c>
      <c r="E115" s="68" t="s">
        <v>467</v>
      </c>
    </row>
    <row r="116" spans="1:5">
      <c r="A116" s="68">
        <v>0.36877100000000002</v>
      </c>
      <c r="B116" s="68">
        <v>0.31735000000000002</v>
      </c>
      <c r="C116" s="68">
        <v>46.355699999999999</v>
      </c>
      <c r="D116" s="68">
        <v>2</v>
      </c>
      <c r="E116" s="68" t="s">
        <v>468</v>
      </c>
    </row>
    <row r="117" spans="1:5">
      <c r="A117" s="68">
        <v>0.368811</v>
      </c>
      <c r="B117" s="68">
        <v>0.31449300000000002</v>
      </c>
      <c r="C117" s="68">
        <v>46.763399999999997</v>
      </c>
      <c r="D117" s="68">
        <v>2</v>
      </c>
      <c r="E117" s="68" t="s">
        <v>469</v>
      </c>
    </row>
    <row r="118" spans="1:5">
      <c r="A118" s="68">
        <v>0.36879000000000001</v>
      </c>
      <c r="B118" s="68">
        <v>0.31145200000000001</v>
      </c>
      <c r="C118" s="68">
        <v>47.1691</v>
      </c>
      <c r="D118" s="68">
        <v>2</v>
      </c>
      <c r="E118" s="68" t="s">
        <v>470</v>
      </c>
    </row>
    <row r="119" spans="1:5">
      <c r="A119" s="68">
        <v>0.36870900000000001</v>
      </c>
      <c r="B119" s="68">
        <v>0.30820500000000001</v>
      </c>
      <c r="C119" s="68">
        <v>47.574800000000003</v>
      </c>
      <c r="D119" s="68">
        <v>2</v>
      </c>
      <c r="E119" s="68" t="s">
        <v>471</v>
      </c>
    </row>
    <row r="120" spans="1:5">
      <c r="A120" s="68">
        <v>0.368255</v>
      </c>
      <c r="B120" s="68">
        <v>0.30492900000000001</v>
      </c>
      <c r="C120" s="68">
        <v>47.983499999999999</v>
      </c>
      <c r="D120" s="68">
        <v>2</v>
      </c>
      <c r="E120" s="68" t="s">
        <v>472</v>
      </c>
    </row>
    <row r="121" spans="1:5">
      <c r="A121" s="68">
        <v>0.36780099999999999</v>
      </c>
      <c r="B121" s="68">
        <v>0.30042799999999997</v>
      </c>
      <c r="C121" s="68">
        <v>48.391199999999998</v>
      </c>
      <c r="D121" s="68">
        <v>2</v>
      </c>
      <c r="E121" s="68" t="s">
        <v>473</v>
      </c>
    </row>
    <row r="122" spans="1:5">
      <c r="A122" s="68">
        <v>0.36727399999999999</v>
      </c>
      <c r="B122" s="68">
        <v>0.29543999999999998</v>
      </c>
      <c r="C122" s="68">
        <v>48.7956</v>
      </c>
      <c r="D122" s="68">
        <v>2</v>
      </c>
      <c r="E122" s="68" t="s">
        <v>474</v>
      </c>
    </row>
    <row r="123" spans="1:5">
      <c r="A123" s="68">
        <v>0.366755</v>
      </c>
      <c r="B123" s="68">
        <v>0.29056999999999999</v>
      </c>
      <c r="C123" s="68">
        <v>49.201700000000002</v>
      </c>
      <c r="D123" s="68">
        <v>2</v>
      </c>
      <c r="E123" s="68" t="s">
        <v>475</v>
      </c>
    </row>
    <row r="124" spans="1:5">
      <c r="A124" s="68">
        <v>0.36629400000000001</v>
      </c>
      <c r="B124" s="68">
        <v>0.28509299999999999</v>
      </c>
      <c r="C124" s="68">
        <v>49.607999999999997</v>
      </c>
      <c r="D124" s="68">
        <v>2</v>
      </c>
      <c r="E124" s="68" t="s">
        <v>476</v>
      </c>
    </row>
    <row r="125" spans="1:5">
      <c r="A125" s="68">
        <v>0.36572399999999999</v>
      </c>
      <c r="B125" s="68">
        <v>0.27949800000000002</v>
      </c>
      <c r="C125" s="68">
        <v>50.011200000000002</v>
      </c>
      <c r="D125" s="68">
        <v>2</v>
      </c>
      <c r="E125" s="68" t="s">
        <v>477</v>
      </c>
    </row>
    <row r="126" spans="1:5">
      <c r="A126" s="68">
        <v>0.36574099999999998</v>
      </c>
      <c r="B126" s="68">
        <v>0.27721800000000002</v>
      </c>
      <c r="C126" s="68">
        <v>50.421500000000002</v>
      </c>
      <c r="D126" s="68">
        <v>2</v>
      </c>
      <c r="E126" s="68" t="s">
        <v>478</v>
      </c>
    </row>
    <row r="127" spans="1:5">
      <c r="A127" s="68">
        <v>0.36584899999999998</v>
      </c>
      <c r="B127" s="68">
        <v>0.274588</v>
      </c>
      <c r="C127" s="68">
        <v>50.825800000000001</v>
      </c>
      <c r="D127" s="68">
        <v>2</v>
      </c>
      <c r="E127" s="68" t="s">
        <v>479</v>
      </c>
    </row>
    <row r="128" spans="1:5">
      <c r="A128" s="68">
        <v>0.365842</v>
      </c>
      <c r="B128" s="68">
        <v>0.27173999999999998</v>
      </c>
      <c r="C128" s="68">
        <v>51.232399999999998</v>
      </c>
      <c r="D128" s="68">
        <v>2</v>
      </c>
      <c r="E128" s="68" t="s">
        <v>480</v>
      </c>
    </row>
    <row r="129" spans="1:5">
      <c r="A129" s="68">
        <v>0.36541400000000002</v>
      </c>
      <c r="B129" s="68">
        <v>0.26894899999999999</v>
      </c>
      <c r="C129" s="68">
        <v>51.637500000000003</v>
      </c>
      <c r="D129" s="68">
        <v>2</v>
      </c>
      <c r="E129" s="68" t="s">
        <v>481</v>
      </c>
    </row>
    <row r="130" spans="1:5">
      <c r="A130" s="68">
        <v>0.36463499999999999</v>
      </c>
      <c r="B130" s="68">
        <v>0.266295</v>
      </c>
      <c r="C130" s="68">
        <v>52.041899999999998</v>
      </c>
      <c r="D130" s="68">
        <v>2</v>
      </c>
      <c r="E130" s="68" t="s">
        <v>482</v>
      </c>
    </row>
    <row r="131" spans="1:5">
      <c r="A131" s="68">
        <v>0.36369899999999999</v>
      </c>
      <c r="B131" s="68">
        <v>0.26356800000000002</v>
      </c>
      <c r="C131" s="68">
        <v>52.4497</v>
      </c>
      <c r="D131" s="68">
        <v>2</v>
      </c>
      <c r="E131" s="68" t="s">
        <v>483</v>
      </c>
    </row>
    <row r="132" spans="1:5">
      <c r="A132" s="68">
        <v>0.36254799999999998</v>
      </c>
      <c r="B132" s="68">
        <v>0.260604</v>
      </c>
      <c r="C132" s="68">
        <v>52.857900000000001</v>
      </c>
      <c r="D132" s="68">
        <v>2</v>
      </c>
      <c r="E132" s="68" t="s">
        <v>484</v>
      </c>
    </row>
    <row r="133" spans="1:5">
      <c r="A133" s="68">
        <v>0.361238</v>
      </c>
      <c r="B133" s="68">
        <v>0.25740600000000002</v>
      </c>
      <c r="C133" s="68">
        <v>53.265799999999999</v>
      </c>
      <c r="D133" s="68">
        <v>2</v>
      </c>
      <c r="E133" s="68" t="s">
        <v>485</v>
      </c>
    </row>
    <row r="134" spans="1:5">
      <c r="A134" s="68">
        <v>0.35981200000000002</v>
      </c>
      <c r="B134" s="68">
        <v>0.25363599999999997</v>
      </c>
      <c r="C134" s="68">
        <v>53.669499999999999</v>
      </c>
      <c r="D134" s="68">
        <v>2</v>
      </c>
      <c r="E134" s="68" t="s">
        <v>486</v>
      </c>
    </row>
    <row r="135" spans="1:5">
      <c r="A135" s="68">
        <v>0.35864699999999999</v>
      </c>
      <c r="B135" s="68">
        <v>0.248644</v>
      </c>
      <c r="C135" s="68">
        <v>54.071899999999999</v>
      </c>
      <c r="D135" s="68">
        <v>2</v>
      </c>
      <c r="E135" s="68" t="s">
        <v>487</v>
      </c>
    </row>
    <row r="136" spans="1:5">
      <c r="A136" s="68">
        <v>0.35789300000000002</v>
      </c>
      <c r="B136" s="68">
        <v>0.242868</v>
      </c>
      <c r="C136" s="68">
        <v>54.481699999999996</v>
      </c>
      <c r="D136" s="68">
        <v>2</v>
      </c>
      <c r="E136" s="68" t="s">
        <v>488</v>
      </c>
    </row>
    <row r="137" spans="1:5">
      <c r="A137" s="68">
        <v>0.35735899999999998</v>
      </c>
      <c r="B137" s="68">
        <v>0.23710500000000001</v>
      </c>
      <c r="C137" s="68">
        <v>54.889800000000001</v>
      </c>
      <c r="D137" s="68">
        <v>2</v>
      </c>
      <c r="E137" s="68" t="s">
        <v>489</v>
      </c>
    </row>
    <row r="138" spans="1:5">
      <c r="A138" s="68">
        <v>0.356404</v>
      </c>
      <c r="B138" s="68">
        <v>0.23227</v>
      </c>
      <c r="C138" s="68">
        <v>55.2926</v>
      </c>
      <c r="D138" s="68">
        <v>2</v>
      </c>
      <c r="E138" s="68" t="s">
        <v>490</v>
      </c>
    </row>
    <row r="139" spans="1:5">
      <c r="A139" s="68">
        <v>0.35564800000000002</v>
      </c>
      <c r="B139" s="68">
        <v>0.22647200000000001</v>
      </c>
      <c r="C139" s="68">
        <v>55.700200000000002</v>
      </c>
      <c r="D139" s="68">
        <v>2</v>
      </c>
      <c r="E139" s="68" t="s">
        <v>491</v>
      </c>
    </row>
    <row r="140" spans="1:5">
      <c r="A140" s="68">
        <v>0.35530299999999998</v>
      </c>
      <c r="B140" s="68">
        <v>0.219754</v>
      </c>
      <c r="C140" s="68">
        <v>56.105800000000002</v>
      </c>
      <c r="D140" s="68">
        <v>2</v>
      </c>
      <c r="E140" s="68" t="s">
        <v>492</v>
      </c>
    </row>
    <row r="141" spans="1:5">
      <c r="A141" s="68">
        <v>0.35466199999999998</v>
      </c>
      <c r="B141" s="68">
        <v>0.21435599999999999</v>
      </c>
      <c r="C141" s="68">
        <v>56.5122</v>
      </c>
      <c r="D141" s="68">
        <v>2</v>
      </c>
      <c r="E141" s="68" t="s">
        <v>493</v>
      </c>
    </row>
    <row r="142" spans="1:5">
      <c r="A142" s="68">
        <v>0.353908</v>
      </c>
      <c r="B142" s="68">
        <v>0.208785</v>
      </c>
      <c r="C142" s="68">
        <v>56.9221</v>
      </c>
      <c r="D142" s="68">
        <v>2</v>
      </c>
      <c r="E142" s="68" t="s">
        <v>494</v>
      </c>
    </row>
    <row r="143" spans="1:5">
      <c r="A143" s="68">
        <v>0.35301900000000003</v>
      </c>
      <c r="B143" s="68">
        <v>0.203262</v>
      </c>
      <c r="C143" s="68">
        <v>57.328299999999999</v>
      </c>
      <c r="D143" s="68">
        <v>2</v>
      </c>
      <c r="E143" s="68" t="s">
        <v>495</v>
      </c>
    </row>
    <row r="144" spans="1:5">
      <c r="A144" s="68">
        <v>0.35154999999999997</v>
      </c>
      <c r="B144" s="68">
        <v>0.197907</v>
      </c>
      <c r="C144" s="68">
        <v>57.734200000000001</v>
      </c>
      <c r="D144" s="68">
        <v>2</v>
      </c>
      <c r="E144" s="68" t="s">
        <v>496</v>
      </c>
    </row>
    <row r="145" spans="1:5">
      <c r="A145" s="68">
        <v>0.35056799999999999</v>
      </c>
      <c r="B145" s="68">
        <v>0.19248399999999999</v>
      </c>
      <c r="C145" s="68">
        <v>58.138300000000001</v>
      </c>
      <c r="D145" s="68">
        <v>2</v>
      </c>
      <c r="E145" s="68" t="s">
        <v>497</v>
      </c>
    </row>
    <row r="146" spans="1:5">
      <c r="A146" s="68">
        <v>0.34950500000000001</v>
      </c>
      <c r="B146" s="68">
        <v>0.19084200000000001</v>
      </c>
      <c r="C146" s="68">
        <v>58.543100000000003</v>
      </c>
      <c r="D146" s="68">
        <v>2</v>
      </c>
      <c r="E146" s="68" t="s">
        <v>498</v>
      </c>
    </row>
    <row r="147" spans="1:5">
      <c r="A147" s="68">
        <v>0.34835199999999999</v>
      </c>
      <c r="B147" s="68">
        <v>0.191997</v>
      </c>
      <c r="C147" s="68">
        <v>58.953499999999998</v>
      </c>
      <c r="D147" s="68">
        <v>2</v>
      </c>
      <c r="E147" s="68" t="s">
        <v>499</v>
      </c>
    </row>
    <row r="148" spans="1:5">
      <c r="A148" s="68">
        <v>0.347217</v>
      </c>
      <c r="B148" s="68">
        <v>0.191942</v>
      </c>
      <c r="C148" s="68">
        <v>59.356499999999997</v>
      </c>
      <c r="D148" s="68">
        <v>2</v>
      </c>
      <c r="E148" s="68" t="s">
        <v>500</v>
      </c>
    </row>
    <row r="149" spans="1:5">
      <c r="A149" s="68">
        <v>0.34578300000000001</v>
      </c>
      <c r="B149" s="68">
        <v>0.191858</v>
      </c>
      <c r="C149" s="68">
        <v>59.7637</v>
      </c>
      <c r="D149" s="68">
        <v>2</v>
      </c>
      <c r="E149" s="68" t="s">
        <v>501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502</v>
      </c>
      <c r="B1" s="66" t="s">
        <v>503</v>
      </c>
      <c r="C1" s="66" t="s">
        <v>505</v>
      </c>
      <c r="D1" s="66" t="s">
        <v>506</v>
      </c>
      <c r="E1" s="66" t="s">
        <v>507</v>
      </c>
      <c r="F1" s="66" t="s">
        <v>293</v>
      </c>
      <c r="G1" s="66" t="s">
        <v>294</v>
      </c>
      <c r="H1" s="66" t="s">
        <v>508</v>
      </c>
      <c r="I1" s="66" t="s">
        <v>509</v>
      </c>
      <c r="J1" s="66" t="s">
        <v>510</v>
      </c>
      <c r="K1" s="66" t="s">
        <v>511</v>
      </c>
      <c r="L1" s="66" t="s">
        <v>512</v>
      </c>
      <c r="M1" s="66" t="s">
        <v>513</v>
      </c>
      <c r="N1" s="66"/>
    </row>
    <row r="2" spans="1:14">
      <c r="A2" s="75">
        <v>43614.697488425925</v>
      </c>
      <c r="B2" s="66" t="s">
        <v>504</v>
      </c>
      <c r="C2" s="66"/>
      <c r="D2" s="66"/>
      <c r="E2" s="66">
        <v>4.9234099999999996</v>
      </c>
      <c r="F2" s="66">
        <v>1.70756</v>
      </c>
      <c r="G2" s="66">
        <v>0.66037100000000004</v>
      </c>
      <c r="H2" s="66">
        <v>0</v>
      </c>
      <c r="I2" s="66">
        <v>124517</v>
      </c>
      <c r="J2" s="66">
        <v>80</v>
      </c>
      <c r="K2" s="66">
        <v>80</v>
      </c>
      <c r="L2" s="66">
        <v>0</v>
      </c>
      <c r="M2" s="66" t="s">
        <v>514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2019-05-29T08:45:02Z</cp:lastPrinted>
  <dcterms:created xsi:type="dcterms:W3CDTF">2010-10-29T12:53:05Z</dcterms:created>
  <dcterms:modified xsi:type="dcterms:W3CDTF">2019-05-29T08:45:12Z</dcterms:modified>
</cp:coreProperties>
</file>