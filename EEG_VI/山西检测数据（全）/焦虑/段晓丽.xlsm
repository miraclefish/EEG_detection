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<sst xmlns="http://schemas.openxmlformats.org/spreadsheetml/2006/main" count="701" uniqueCount="515">
  <si>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</si>
  <si>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</si>
  <si>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</si>
  <si>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</si>
  <si>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</si>
  <si>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</si>
  <si>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</si>
  <si>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</si>
  <si>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</si>
  <si>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</si>
  <si>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</si>
  <si>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</si>
  <si>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</si>
  <si>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</si>
  <si>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</si>
  <si>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</si>
  <si>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</si>
  <si>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</si>
  <si>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</si>
  <si>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</si>
  <si>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</si>
  <si>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</si>
  <si>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</si>
  <si>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</si>
  <si>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</si>
  <si>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</si>
  <si>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</si>
  <si>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</si>
  <si>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</si>
  <si>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</si>
  <si>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</si>
  <si>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</si>
  <si>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</si>
  <si>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</si>
  <si>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</si>
  <si>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</si>
  <si>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</si>
  <si>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</si>
  <si>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</si>
  <si>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</si>
  <si>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</si>
  <si>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</si>
  <si>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</si>
  <si>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</si>
  <si>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</si>
  <si>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</si>
  <si>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</si>
  <si>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</si>
  <si>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</si>
  <si>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</si>
  <si>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</si>
  <si>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</si>
  <si>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</si>
  <si>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</si>
  <si>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</si>
  <si>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</si>
  <si>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</si>
  <si>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</si>
  <si>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</si>
  <si>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</si>
  <si>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</si>
  <si>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</si>
  <si>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</si>
  <si>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</si>
  <si>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</si>
  <si>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</si>
  <si>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</si>
  <si>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</si>
  <si>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</si>
  <si>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</si>
  <si>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</si>
  <si>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</si>
  <si>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</si>
  <si>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</si>
  <si>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</si>
  <si>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</si>
  <si>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</si>
  <si>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</si>
  <si>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</si>
  <si>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</si>
  <si>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</si>
  <si>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</si>
  <si>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</si>
  <si>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</si>
  <si>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</si>
  <si>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</si>
  <si>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</si>
  <si>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</si>
  <si>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</si>
  <si>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</si>
  <si>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</si>
  <si>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</si>
  <si>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</si>
  <si>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</si>
  <si>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</si>
  <si>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</si>
  <si>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</si>
  <si>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</si>
  <si>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</si>
  <si>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</si>
  <si>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</si>
  <si>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</si>
  <si>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</si>
  <si>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</si>
  <si>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</si>
  <si>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</si>
  <si>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</si>
  <si>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</si>
  <si>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</si>
  <si>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</si>
  <si>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</si>
  <si>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</si>
  <si>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</si>
  <si>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</si>
  <si>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</si>
  <si>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</si>
  <si>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</si>
  <si>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</si>
  <si>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</si>
  <si>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</si>
  <si>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</si>
  <si>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</si>
  <si>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</si>
  <si>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</si>
  <si>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</si>
  <si>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</si>
  <si>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</si>
  <si>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</si>
  <si>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</si>
  <si>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</si>
  <si>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</si>
  <si>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</si>
  <si>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</si>
  <si>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</si>
  <si>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</si>
  <si>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</si>
  <si>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</si>
  <si>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</si>
  <si>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</si>
  <si>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</si>
  <si>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</si>
  <si>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</si>
  <si>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</si>
  <si>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</si>
  <si>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</si>
  <si>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</si>
  <si>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</si>
  <si>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</si>
  <si>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</si>
  <si>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</si>
  <si>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</si>
  <si>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</si>
  <si>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</si>
  <si>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</si>
  <si>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</si>
  <si>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</si>
  <si>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</si>
  <si>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</si>
  <si>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</si>
  <si>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</si>
  <si>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</si>
  <si>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</si>
  <si>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</si>
  <si>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</si>
  <si>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</si>
  <si>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</si>
  <si>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</si>
  <si>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</si>
  <si>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</si>
  <si>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</si>
  <si>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</si>
  <si>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</si>
  <si>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</si>
  <si>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</si>
  <si>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</si>
  <si>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</si>
  <si>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</si>
  <si>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</si>
  <si>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</si>
  <si>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</si>
  <si>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</si>
  <si>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</si>
  <si>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</si>
  <si>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</si>
  <si>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</si>
  <si>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</si>
  <si>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</si>
  <si>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</si>
  <si>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</si>
  <si>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</si>
  <si>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</si>
  <si>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</si>
  <si>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</si>
  <si>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</si>
  <si>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</si>
  <si>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</si>
  <si>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</si>
  <si>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</si>
  <si>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</si>
  <si>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</si>
  <si>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</si>
  <si>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</si>
  <si>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</si>
  <si>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</si>
  <si>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</si>
  <si>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</si>
  <si>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</si>
  <si>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</si>
  <si>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</si>
  <si>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</si>
  <si>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</si>
  <si>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</si>
  <si>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</si>
  <si>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</si>
  <si>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</si>
  <si>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</si>
  <si>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</si>
  <si>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</si>
  <si>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</si>
  <si>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</si>
  <si>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</si>
  <si>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</si>
  <si>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</si>
  <si>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</si>
  <si>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</si>
  <si>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</si>
  <si>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</si>
  <si>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</si>
  <si>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</si>
  <si>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</si>
  <si>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</si>
  <si>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</si>
  <si>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</si>
  <si>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</si>
  <si>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</si>
  <si>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</si>
  <si>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</si>
  <si>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</si>
  <si>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</si>
  <si>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</si>
  <si>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</si>
  <si>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</si>
  <si>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</si>
  <si>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</si>
  <si>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</si>
  <si>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</si>
  <si>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</si>
  <si>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</si>
  <si>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</si>
  <si>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</si>
  <si>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</si>
  <si>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</si>
  <si>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</si>
  <si>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</si>
  <si>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</si>
  <si>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</si>
  <si>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</si>
  <si>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</si>
  <si>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</si>
  <si>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</si>
  <si>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</si>
  <si>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</si>
  <si>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</si>
  <si>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</si>
  <si>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</si>
  <si>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</si>
  <si>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</si>
  <si>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</si>
  <si>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</si>
  <si>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</si>
  <si>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</si>
  <si>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</si>
  <si>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</si>
  <si>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</si>
  <si>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</si>
  <si>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</si>
  <si>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</si>
  <si>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</si>
  <si>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</si>
  <si>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</si>
  <si>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</si>
  <si>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</si>
  <si>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</si>
  <si>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</si>
  <si>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</si>
  <si>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</si>
  <si>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</si>
  <si>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</si>
  <si>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</si>
  <si>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</si>
  <si>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</si>
  <si>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</si>
  <si>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</si>
  <si>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</si>
  <si>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</si>
  <si>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</si>
  <si>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</si>
  <si>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</si>
  <si>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</si>
  <si>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</si>
  <si>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</si>
  <si>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</si>
  <si>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</si>
  <si>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</si>
  <si>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</si>
  <si>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</si>
  <si>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</si>
  <si>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</si>
  <si>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</si>
  <si>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</si>
  <si>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</si>
  <si>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</si>
  <si>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</si>
  <si>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</si>
  <si>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</si>
  <si>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</si>
  <si>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</si>
  <si>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</si>
  <si>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</si>
  <si>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</si>
  <si>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</si>
  <si>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</si>
  <si>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</si>
  <si>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</si>
  <si>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</si>
  <si>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</si>
  <si>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</si>
  <si>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</si>
  <si>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</si>
  <si>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</si>
  <si>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</si>
  <si>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</si>
  <si>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</si>
  <si>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</si>
  <si>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</si>
  <si>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</si>
  <si>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</si>
  <si>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</si>
  <si>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</si>
  <si>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</si>
  <si>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</si>
  <si>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</si>
  <si>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</si>
  <si>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</si>
  <si>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</si>
  <si>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</si>
  <si>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</si>
  <si>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</si>
  <si>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</si>
  <si>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</si>
  <si>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</si>
  <si>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</si>
  <si>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</si>
  <si>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</si>
  <si>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[0.404025]</t>
  </si>
  <si>
    <t>1 [0.807801]</t>
  </si>
  <si>
    <t>1 [1.217787]</t>
  </si>
  <si>
    <t>1 [1.618671]</t>
  </si>
  <si>
    <t>1 [2.028643]</t>
  </si>
  <si>
    <t>1 [2.436764]</t>
  </si>
  <si>
    <t>1 [2.842342]</t>
  </si>
  <si>
    <t>1 [3.248249]</t>
  </si>
  <si>
    <t>1 [3.654471]</t>
  </si>
  <si>
    <t>1 [4.059351]</t>
  </si>
  <si>
    <t>1 [4.464105]</t>
  </si>
  <si>
    <t>1 [4.876974]</t>
  </si>
  <si>
    <t>1 [5.278851]</t>
  </si>
  <si>
    <t>1 [5.684746]</t>
  </si>
  <si>
    <t>1 [6.092176]</t>
  </si>
  <si>
    <t>1 [6.495866]</t>
  </si>
  <si>
    <t>1 [6.905679]</t>
  </si>
  <si>
    <t>1 [7.313339]</t>
  </si>
  <si>
    <t>1 [7.717285]</t>
  </si>
  <si>
    <t>1 [8.120494]</t>
  </si>
  <si>
    <t>1 [8.528238]</t>
  </si>
  <si>
    <t>1 [8.937195]</t>
  </si>
  <si>
    <t>1 [9.339105]</t>
  </si>
  <si>
    <t>1 [9.749867]</t>
  </si>
  <si>
    <t>1 [10.152883]</t>
  </si>
  <si>
    <t>1 [10.557945]</t>
  </si>
  <si>
    <t>1 [10.964672]</t>
  </si>
  <si>
    <t>1 [11.376513]</t>
  </si>
  <si>
    <t>1 [11.778468]</t>
  </si>
  <si>
    <t>1 [12.183349]</t>
  </si>
  <si>
    <t>1 [12.590608]</t>
  </si>
  <si>
    <t>1 [12.998139]</t>
  </si>
  <si>
    <t>1 [13.405150]</t>
  </si>
  <si>
    <t>1 [13.811982]</t>
  </si>
  <si>
    <t>1 [14.214867]</t>
  </si>
  <si>
    <t>1 [14.623185]</t>
  </si>
  <si>
    <t>1 [15.028735]</t>
  </si>
  <si>
    <t>1 [15.434613]</t>
  </si>
  <si>
    <t>1 [15.842557]</t>
  </si>
  <si>
    <t>1 [16.245593]</t>
  </si>
  <si>
    <t>1 [16.652453]</t>
  </si>
  <si>
    <t>1 [17.060291]</t>
  </si>
  <si>
    <t>1 [17.466214]</t>
  </si>
  <si>
    <t>1 [17.869161]</t>
  </si>
  <si>
    <t>1 [18.280007]</t>
  </si>
  <si>
    <t>1 [18.691957]</t>
  </si>
  <si>
    <t>1 [19.090868]</t>
  </si>
  <si>
    <t>1 [19.496852]</t>
  </si>
  <si>
    <t>1 [19.906219]</t>
  </si>
  <si>
    <t>1 [20.312601]</t>
  </si>
  <si>
    <t>1 [20.718559]</t>
  </si>
  <si>
    <t>1 [21.122417]</t>
  </si>
  <si>
    <t>1 [21.527351]</t>
  </si>
  <si>
    <t>1 [21.934706]</t>
  </si>
  <si>
    <t>1 [22.345226]</t>
  </si>
  <si>
    <t>1 [22.748107]</t>
  </si>
  <si>
    <t>1 [23.152008]</t>
  </si>
  <si>
    <t>1 [23.558925]</t>
  </si>
  <si>
    <t>1 [23.964935]</t>
  </si>
  <si>
    <t>1 [24.371012]</t>
  </si>
  <si>
    <t>1 [24.778706]</t>
  </si>
  <si>
    <t>1 [25.184589]</t>
  </si>
  <si>
    <t>1 [25.589518]</t>
  </si>
  <si>
    <t>1 [25.996456]</t>
  </si>
  <si>
    <t>1 [26.406384]</t>
  </si>
  <si>
    <t>1 [26.804635]</t>
  </si>
  <si>
    <t>1 [27.218116]</t>
  </si>
  <si>
    <t>1 [27.622307]</t>
  </si>
  <si>
    <t>1 [28.025994]</t>
  </si>
  <si>
    <t>1 [28.435990]</t>
  </si>
  <si>
    <t>1 [28.841824]</t>
  </si>
  <si>
    <t>1 [29.249743]</t>
  </si>
  <si>
    <t>1 [29.653925]</t>
  </si>
  <si>
    <t>2 [30.058589]</t>
  </si>
  <si>
    <t>2 [30.481421]</t>
  </si>
  <si>
    <t>2 [30.887450]</t>
  </si>
  <si>
    <t>2 [31.292549]</t>
  </si>
  <si>
    <t>2 [31.700207]</t>
  </si>
  <si>
    <t>2 [32.109128]</t>
  </si>
  <si>
    <t>2 [32.513006]</t>
  </si>
  <si>
    <t>2 [32.920294]</t>
  </si>
  <si>
    <t>2 [33.324000]</t>
  </si>
  <si>
    <t>2 [33.732724]</t>
  </si>
  <si>
    <t>2 [34.139668]</t>
  </si>
  <si>
    <t>2 [34.543711]</t>
  </si>
  <si>
    <t>2 [34.951507]</t>
  </si>
  <si>
    <t>2 [35.359423]</t>
  </si>
  <si>
    <t>2 [35.763287]</t>
  </si>
  <si>
    <t>2 [36.167283]</t>
  </si>
  <si>
    <t>2 [36.574647]</t>
  </si>
  <si>
    <t>2 [36.984049]</t>
  </si>
  <si>
    <t>2 [37.391976]</t>
  </si>
  <si>
    <t>2 [37.792883]</t>
  </si>
  <si>
    <t>2 [38.198778]</t>
  </si>
  <si>
    <t>2 [38.606041]</t>
  </si>
  <si>
    <t>2 [39.015736]</t>
  </si>
  <si>
    <t>2 [39.421575]</t>
  </si>
  <si>
    <t>2 [39.826467]</t>
  </si>
  <si>
    <t>2 [40.230361]</t>
  </si>
  <si>
    <t>2 [40.635705]</t>
  </si>
  <si>
    <t>2 [41.044166]</t>
  </si>
  <si>
    <t>2 [41.452145]</t>
  </si>
  <si>
    <t>2 [41.859050]</t>
  </si>
  <si>
    <t>2 [42.261957]</t>
  </si>
  <si>
    <t>2 [42.668980]</t>
  </si>
  <si>
    <t>2 [43.076863]</t>
  </si>
  <si>
    <t>2 [43.482706]</t>
  </si>
  <si>
    <t>2 [43.888635]</t>
  </si>
  <si>
    <t>2 [44.295667]</t>
  </si>
  <si>
    <t>2 [44.699838]</t>
  </si>
  <si>
    <t>2 [45.108326]</t>
  </si>
  <si>
    <t>2 [45.517255]</t>
  </si>
  <si>
    <t>2 [45.920527]</t>
  </si>
  <si>
    <t>2 [46.326255]</t>
  </si>
  <si>
    <t>2 [46.734603]</t>
  </si>
  <si>
    <t>2 [47.136076]</t>
  </si>
  <si>
    <t>2 [47.546843]</t>
  </si>
  <si>
    <t>2 [47.951712]</t>
  </si>
  <si>
    <t>2 [48.354691]</t>
  </si>
  <si>
    <t>2 [48.764117]</t>
  </si>
  <si>
    <t>2 [49.170660]</t>
  </si>
  <si>
    <t>2 [49.574473]</t>
  </si>
  <si>
    <t>2 [49.979490]</t>
  </si>
  <si>
    <t>2 [50.385407]</t>
  </si>
  <si>
    <t>2 [50.792137]</t>
  </si>
  <si>
    <t>2 [51.199040]</t>
  </si>
  <si>
    <t>2 [51.605037]</t>
  </si>
  <si>
    <t>2 [52.012388]</t>
  </si>
  <si>
    <t>2 [52.418787]</t>
  </si>
  <si>
    <t>2 [52.826705]</t>
  </si>
  <si>
    <t>2 [53.230619]</t>
  </si>
  <si>
    <t>2 [53.635640]</t>
  </si>
  <si>
    <t>2 [54.043850]</t>
  </si>
  <si>
    <t>2 [54.448432]</t>
  </si>
  <si>
    <t>2 [54.858286]</t>
  </si>
  <si>
    <t>2 [55.262249]</t>
  </si>
  <si>
    <t>2 [55.668169]</t>
  </si>
  <si>
    <t>2 [56.076256]</t>
  </si>
  <si>
    <t>2 [56.482965]</t>
  </si>
  <si>
    <t>2 [56.888864]</t>
  </si>
  <si>
    <t>2 [57.298799]</t>
  </si>
  <si>
    <t>2 [57.700691]</t>
  </si>
  <si>
    <t>2 [58.105709]</t>
  </si>
  <si>
    <t>2 [58.511638]</t>
  </si>
  <si>
    <t>2 [58.921506]</t>
  </si>
  <si>
    <t>2 [59.327331]</t>
  </si>
  <si>
    <t>2 [59.733413]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</si>
  <si>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</si>
  <si>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</si>
  <si>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</si>
  <si>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</si>
  <si>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</si>
  <si>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</si>
  <si>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</si>
  <si>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</si>
  <si>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</si>
  <si>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</si>
  <si>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</si>
  <si>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</si>
  <si>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</si>
  <si>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段晓丽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</si>
</sst>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34.506599999999999</c:v>
                </c:pt>
                <c:pt idx="1">
                  <c:v>42.826500000000003</c:v>
                </c:pt>
                <c:pt idx="2">
                  <c:v>30.900700000000001</c:v>
                </c:pt>
                <c:pt idx="3">
                  <c:v>35.743899999999996</c:v>
                </c:pt>
                <c:pt idx="4">
                  <c:v>57.6053</c:v>
                </c:pt>
                <c:pt idx="5">
                  <c:v>62.281300000000002</c:v>
                </c:pt>
                <c:pt idx="6">
                  <c:v>15.7113</c:v>
                </c:pt>
                <c:pt idx="7">
                  <c:v>59.351799999999997</c:v>
                </c:pt>
                <c:pt idx="8">
                  <c:v>21.7379</c:v>
                </c:pt>
                <c:pt idx="9">
                  <c:v>43.794899999999998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0.41479277350939264</c:v>
                </c:pt>
                <c:pt idx="1">
                  <c:v>0.30634009442693821</c:v>
                </c:pt>
                <c:pt idx="2">
                  <c:v>0.27886713206366898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11675</c:v>
                </c:pt>
                <c:pt idx="7">
                  <c:v>0</c:v>
                </c:pt>
                <c:pt idx="8">
                  <c:v>16237</c:v>
                </c:pt>
                <c:pt idx="9">
                  <c:v>0</c:v>
                </c:pt>
                <c:pt idx="10">
                  <c:v>0</c:v>
                </c:pt>
                <c:pt idx="11">
                  <c:v>27379</c:v>
                </c:pt>
                <c:pt idx="12">
                  <c:v>0</c:v>
                </c:pt>
                <c:pt idx="13">
                  <c:v>44354</c:v>
                </c:pt>
                <c:pt idx="14">
                  <c:v>0</c:v>
                </c:pt>
                <c:pt idx="15">
                  <c:v>0</c:v>
                </c:pt>
                <c:pt idx="16">
                  <c:v>36506</c:v>
                </c:pt>
                <c:pt idx="17">
                  <c:v>0</c:v>
                </c:pt>
                <c:pt idx="18">
                  <c:v>0</c:v>
                </c:pt>
                <c:pt idx="19">
                  <c:v>36499</c:v>
                </c:pt>
                <c:pt idx="20">
                  <c:v>0</c:v>
                </c:pt>
                <c:pt idx="21">
                  <c:v>47102</c:v>
                </c:pt>
                <c:pt idx="22">
                  <c:v>0</c:v>
                </c:pt>
                <c:pt idx="23">
                  <c:v>0</c:v>
                </c:pt>
                <c:pt idx="24">
                  <c:v>50556</c:v>
                </c:pt>
                <c:pt idx="25">
                  <c:v>0</c:v>
                </c:pt>
                <c:pt idx="26">
                  <c:v>52143</c:v>
                </c:pt>
                <c:pt idx="27">
                  <c:v>0</c:v>
                </c:pt>
                <c:pt idx="28">
                  <c:v>0</c:v>
                </c:pt>
                <c:pt idx="29">
                  <c:v>65648</c:v>
                </c:pt>
                <c:pt idx="30">
                  <c:v>0</c:v>
                </c:pt>
                <c:pt idx="31">
                  <c:v>78403</c:v>
                </c:pt>
                <c:pt idx="32">
                  <c:v>0</c:v>
                </c:pt>
                <c:pt idx="33">
                  <c:v>0</c:v>
                </c:pt>
                <c:pt idx="34">
                  <c:v>78345</c:v>
                </c:pt>
                <c:pt idx="35">
                  <c:v>0</c:v>
                </c:pt>
                <c:pt idx="36">
                  <c:v>0</c:v>
                </c:pt>
                <c:pt idx="37">
                  <c:v>88496</c:v>
                </c:pt>
                <c:pt idx="38">
                  <c:v>0</c:v>
                </c:pt>
                <c:pt idx="39">
                  <c:v>87739</c:v>
                </c:pt>
                <c:pt idx="40">
                  <c:v>0</c:v>
                </c:pt>
                <c:pt idx="41">
                  <c:v>0</c:v>
                </c:pt>
                <c:pt idx="42">
                  <c:v>101042</c:v>
                </c:pt>
                <c:pt idx="43">
                  <c:v>0</c:v>
                </c:pt>
                <c:pt idx="44">
                  <c:v>114388</c:v>
                </c:pt>
                <c:pt idx="45">
                  <c:v>0</c:v>
                </c:pt>
                <c:pt idx="46">
                  <c:v>0</c:v>
                </c:pt>
                <c:pt idx="47">
                  <c:v>107772</c:v>
                </c:pt>
                <c:pt idx="48">
                  <c:v>0</c:v>
                </c:pt>
                <c:pt idx="49">
                  <c:v>122789</c:v>
                </c:pt>
                <c:pt idx="50">
                  <c:v>0</c:v>
                </c:pt>
                <c:pt idx="51">
                  <c:v>0</c:v>
                </c:pt>
                <c:pt idx="52">
                  <c:v>133986</c:v>
                </c:pt>
                <c:pt idx="53">
                  <c:v>0</c:v>
                </c:pt>
                <c:pt idx="54">
                  <c:v>0</c:v>
                </c:pt>
                <c:pt idx="55">
                  <c:v>130302</c:v>
                </c:pt>
                <c:pt idx="56">
                  <c:v>0</c:v>
                </c:pt>
                <c:pt idx="57">
                  <c:v>142945</c:v>
                </c:pt>
                <c:pt idx="58">
                  <c:v>0</c:v>
                </c:pt>
                <c:pt idx="59">
                  <c:v>0</c:v>
                </c:pt>
                <c:pt idx="60">
                  <c:v>153957</c:v>
                </c:pt>
                <c:pt idx="61">
                  <c:v>0</c:v>
                </c:pt>
                <c:pt idx="62">
                  <c:v>145231</c:v>
                </c:pt>
                <c:pt idx="63">
                  <c:v>0</c:v>
                </c:pt>
                <c:pt idx="64">
                  <c:v>0</c:v>
                </c:pt>
                <c:pt idx="65">
                  <c:v>147080</c:v>
                </c:pt>
                <c:pt idx="66">
                  <c:v>0</c:v>
                </c:pt>
                <c:pt idx="67">
                  <c:v>152325</c:v>
                </c:pt>
                <c:pt idx="68">
                  <c:v>0</c:v>
                </c:pt>
                <c:pt idx="69">
                  <c:v>0</c:v>
                </c:pt>
                <c:pt idx="70">
                  <c:v>144232</c:v>
                </c:pt>
                <c:pt idx="71">
                  <c:v>0</c:v>
                </c:pt>
                <c:pt idx="72">
                  <c:v>0</c:v>
                </c:pt>
                <c:pt idx="73">
                  <c:v>140159</c:v>
                </c:pt>
                <c:pt idx="74">
                  <c:v>0</c:v>
                </c:pt>
                <c:pt idx="75">
                  <c:v>128134</c:v>
                </c:pt>
                <c:pt idx="76">
                  <c:v>0</c:v>
                </c:pt>
                <c:pt idx="77">
                  <c:v>0</c:v>
                </c:pt>
                <c:pt idx="78">
                  <c:v>127347</c:v>
                </c:pt>
                <c:pt idx="79">
                  <c:v>0</c:v>
                </c:pt>
                <c:pt idx="80">
                  <c:v>118773</c:v>
                </c:pt>
                <c:pt idx="81">
                  <c:v>0</c:v>
                </c:pt>
                <c:pt idx="82">
                  <c:v>0</c:v>
                </c:pt>
                <c:pt idx="83">
                  <c:v>119316</c:v>
                </c:pt>
                <c:pt idx="84">
                  <c:v>0</c:v>
                </c:pt>
                <c:pt idx="85">
                  <c:v>0</c:v>
                </c:pt>
                <c:pt idx="86">
                  <c:v>105414</c:v>
                </c:pt>
                <c:pt idx="87">
                  <c:v>0</c:v>
                </c:pt>
                <c:pt idx="88">
                  <c:v>95632</c:v>
                </c:pt>
                <c:pt idx="89">
                  <c:v>0</c:v>
                </c:pt>
                <c:pt idx="90">
                  <c:v>0</c:v>
                </c:pt>
                <c:pt idx="91">
                  <c:v>96247</c:v>
                </c:pt>
                <c:pt idx="92">
                  <c:v>0</c:v>
                </c:pt>
                <c:pt idx="93">
                  <c:v>74567</c:v>
                </c:pt>
                <c:pt idx="94">
                  <c:v>0</c:v>
                </c:pt>
                <c:pt idx="95">
                  <c:v>0</c:v>
                </c:pt>
                <c:pt idx="96">
                  <c:v>65152</c:v>
                </c:pt>
                <c:pt idx="97">
                  <c:v>0</c:v>
                </c:pt>
                <c:pt idx="98">
                  <c:v>55272</c:v>
                </c:pt>
                <c:pt idx="99">
                  <c:v>0</c:v>
                </c:pt>
                <c:pt idx="100">
                  <c:v>0</c:v>
                </c:pt>
                <c:pt idx="101">
                  <c:v>40024</c:v>
                </c:pt>
                <c:pt idx="102">
                  <c:v>0</c:v>
                </c:pt>
                <c:pt idx="103">
                  <c:v>0</c:v>
                </c:pt>
                <c:pt idx="104">
                  <c:v>36391</c:v>
                </c:pt>
                <c:pt idx="105">
                  <c:v>0</c:v>
                </c:pt>
                <c:pt idx="106">
                  <c:v>31131</c:v>
                </c:pt>
                <c:pt idx="107">
                  <c:v>0</c:v>
                </c:pt>
                <c:pt idx="108">
                  <c:v>0</c:v>
                </c:pt>
                <c:pt idx="109">
                  <c:v>27771</c:v>
                </c:pt>
                <c:pt idx="110">
                  <c:v>0</c:v>
                </c:pt>
                <c:pt idx="111">
                  <c:v>24047</c:v>
                </c:pt>
                <c:pt idx="112">
                  <c:v>0</c:v>
                </c:pt>
                <c:pt idx="113">
                  <c:v>0</c:v>
                </c:pt>
                <c:pt idx="114">
                  <c:v>28937</c:v>
                </c:pt>
                <c:pt idx="115">
                  <c:v>0</c:v>
                </c:pt>
                <c:pt idx="116">
                  <c:v>28131</c:v>
                </c:pt>
                <c:pt idx="117">
                  <c:v>0</c:v>
                </c:pt>
                <c:pt idx="118">
                  <c:v>0</c:v>
                </c:pt>
                <c:pt idx="119">
                  <c:v>23997</c:v>
                </c:pt>
                <c:pt idx="120">
                  <c:v>0</c:v>
                </c:pt>
                <c:pt idx="121">
                  <c:v>0</c:v>
                </c:pt>
                <c:pt idx="122">
                  <c:v>25728</c:v>
                </c:pt>
                <c:pt idx="123">
                  <c:v>0</c:v>
                </c:pt>
                <c:pt idx="124">
                  <c:v>22153</c:v>
                </c:pt>
                <c:pt idx="125">
                  <c:v>0</c:v>
                </c:pt>
                <c:pt idx="126">
                  <c:v>0</c:v>
                </c:pt>
                <c:pt idx="127">
                  <c:v>22505</c:v>
                </c:pt>
                <c:pt idx="128">
                  <c:v>0</c:v>
                </c:pt>
                <c:pt idx="129">
                  <c:v>23510</c:v>
                </c:pt>
                <c:pt idx="130">
                  <c:v>0</c:v>
                </c:pt>
                <c:pt idx="131">
                  <c:v>0</c:v>
                </c:pt>
                <c:pt idx="132">
                  <c:v>19434</c:v>
                </c:pt>
                <c:pt idx="133">
                  <c:v>0</c:v>
                </c:pt>
                <c:pt idx="134">
                  <c:v>16365</c:v>
                </c:pt>
                <c:pt idx="135">
                  <c:v>0</c:v>
                </c:pt>
                <c:pt idx="136">
                  <c:v>0</c:v>
                </c:pt>
                <c:pt idx="137">
                  <c:v>13200</c:v>
                </c:pt>
                <c:pt idx="138">
                  <c:v>0</c:v>
                </c:pt>
                <c:pt idx="139">
                  <c:v>0</c:v>
                </c:pt>
                <c:pt idx="140">
                  <c:v>11086</c:v>
                </c:pt>
                <c:pt idx="141">
                  <c:v>0</c:v>
                </c:pt>
                <c:pt idx="142">
                  <c:v>8750</c:v>
                </c:pt>
                <c:pt idx="143">
                  <c:v>0</c:v>
                </c:pt>
                <c:pt idx="144">
                  <c:v>0</c:v>
                </c:pt>
                <c:pt idx="145">
                  <c:v>7365</c:v>
                </c:pt>
                <c:pt idx="146">
                  <c:v>0</c:v>
                </c:pt>
                <c:pt idx="147">
                  <c:v>4390</c:v>
                </c:pt>
                <c:pt idx="148">
                  <c:v>0</c:v>
                </c:pt>
                <c:pt idx="149">
                  <c:v>0</c:v>
                </c:pt>
                <c:pt idx="150">
                  <c:v>3967</c:v>
                </c:pt>
                <c:pt idx="151">
                  <c:v>0</c:v>
                </c:pt>
                <c:pt idx="152">
                  <c:v>2717</c:v>
                </c:pt>
                <c:pt idx="153">
                  <c:v>0</c:v>
                </c:pt>
                <c:pt idx="154">
                  <c:v>0</c:v>
                </c:pt>
                <c:pt idx="155">
                  <c:v>2724</c:v>
                </c:pt>
                <c:pt idx="156">
                  <c:v>0</c:v>
                </c:pt>
                <c:pt idx="157">
                  <c:v>0</c:v>
                </c:pt>
                <c:pt idx="158">
                  <c:v>2207</c:v>
                </c:pt>
                <c:pt idx="159">
                  <c:v>0</c:v>
                </c:pt>
                <c:pt idx="160">
                  <c:v>1589</c:v>
                </c:pt>
                <c:pt idx="161">
                  <c:v>0</c:v>
                </c:pt>
                <c:pt idx="162">
                  <c:v>0</c:v>
                </c:pt>
                <c:pt idx="163">
                  <c:v>1092</c:v>
                </c:pt>
                <c:pt idx="164">
                  <c:v>0</c:v>
                </c:pt>
                <c:pt idx="165">
                  <c:v>242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2.0060700000000002</c:v>
                </c:pt>
                <c:pt idx="1">
                  <c:v>2.0580100000000003</c:v>
                </c:pt>
                <c:pt idx="2">
                  <c:v>2.10744</c:v>
                </c:pt>
                <c:pt idx="3">
                  <c:v>2.1545399999999999</c:v>
                </c:pt>
                <c:pt idx="4">
                  <c:v>2.2004199999999998</c:v>
                </c:pt>
                <c:pt idx="5">
                  <c:v>2.2451499999999998</c:v>
                </c:pt>
                <c:pt idx="6">
                  <c:v>2.2882500000000001</c:v>
                </c:pt>
                <c:pt idx="7">
                  <c:v>2.3325499999999999</c:v>
                </c:pt>
                <c:pt idx="8">
                  <c:v>2.3752999999999997</c:v>
                </c:pt>
                <c:pt idx="9">
                  <c:v>2.4167299999999998</c:v>
                </c:pt>
                <c:pt idx="10">
                  <c:v>2.4558800000000001</c:v>
                </c:pt>
                <c:pt idx="11">
                  <c:v>2.4920900000000001</c:v>
                </c:pt>
                <c:pt idx="12">
                  <c:v>2.52718</c:v>
                </c:pt>
                <c:pt idx="13">
                  <c:v>2.5619199999999998</c:v>
                </c:pt>
                <c:pt idx="14">
                  <c:v>2.59497</c:v>
                </c:pt>
                <c:pt idx="15">
                  <c:v>2.6278600000000001</c:v>
                </c:pt>
                <c:pt idx="16">
                  <c:v>2.6584099999999999</c:v>
                </c:pt>
                <c:pt idx="17">
                  <c:v>2.6867900000000002</c:v>
                </c:pt>
                <c:pt idx="18">
                  <c:v>2.7155200000000002</c:v>
                </c:pt>
                <c:pt idx="19">
                  <c:v>2.7388499999999998</c:v>
                </c:pt>
                <c:pt idx="20">
                  <c:v>2.7595799999999997</c:v>
                </c:pt>
                <c:pt idx="21">
                  <c:v>2.7774799999999997</c:v>
                </c:pt>
                <c:pt idx="22">
                  <c:v>2.7929599999999999</c:v>
                </c:pt>
                <c:pt idx="23">
                  <c:v>2.8045199999999997</c:v>
                </c:pt>
                <c:pt idx="24">
                  <c:v>2.8145100000000003</c:v>
                </c:pt>
                <c:pt idx="25">
                  <c:v>2.81907</c:v>
                </c:pt>
                <c:pt idx="26">
                  <c:v>2.82036</c:v>
                </c:pt>
                <c:pt idx="27">
                  <c:v>2.8218800000000002</c:v>
                </c:pt>
                <c:pt idx="28">
                  <c:v>2.8199400000000003</c:v>
                </c:pt>
                <c:pt idx="29">
                  <c:v>2.8131599999999999</c:v>
                </c:pt>
                <c:pt idx="30">
                  <c:v>2.8029700000000002</c:v>
                </c:pt>
                <c:pt idx="31">
                  <c:v>2.7915299999999998</c:v>
                </c:pt>
                <c:pt idx="32">
                  <c:v>2.77895</c:v>
                </c:pt>
                <c:pt idx="33">
                  <c:v>2.7657599999999998</c:v>
                </c:pt>
                <c:pt idx="34">
                  <c:v>2.75352</c:v>
                </c:pt>
                <c:pt idx="35">
                  <c:v>2.7402500000000001</c:v>
                </c:pt>
                <c:pt idx="36">
                  <c:v>2.7265299999999999</c:v>
                </c:pt>
                <c:pt idx="37">
                  <c:v>2.7134499999999999</c:v>
                </c:pt>
                <c:pt idx="38">
                  <c:v>2.7014800000000001</c:v>
                </c:pt>
                <c:pt idx="39">
                  <c:v>2.6889099999999999</c:v>
                </c:pt>
                <c:pt idx="40">
                  <c:v>2.6766899999999998</c:v>
                </c:pt>
                <c:pt idx="41">
                  <c:v>2.6630700000000003</c:v>
                </c:pt>
                <c:pt idx="42">
                  <c:v>2.6501200000000003</c:v>
                </c:pt>
                <c:pt idx="43">
                  <c:v>2.6358700000000002</c:v>
                </c:pt>
                <c:pt idx="44">
                  <c:v>2.6245600000000002</c:v>
                </c:pt>
                <c:pt idx="45">
                  <c:v>2.6167800000000003</c:v>
                </c:pt>
                <c:pt idx="46">
                  <c:v>2.6117699999999999</c:v>
                </c:pt>
                <c:pt idx="47">
                  <c:v>2.60968</c:v>
                </c:pt>
                <c:pt idx="48">
                  <c:v>2.61212</c:v>
                </c:pt>
                <c:pt idx="49">
                  <c:v>2.6177600000000001</c:v>
                </c:pt>
                <c:pt idx="50">
                  <c:v>2.6270199999999999</c:v>
                </c:pt>
                <c:pt idx="51">
                  <c:v>2.6407500000000002</c:v>
                </c:pt>
                <c:pt idx="52">
                  <c:v>2.6561600000000003</c:v>
                </c:pt>
                <c:pt idx="53">
                  <c:v>2.6760800000000002</c:v>
                </c:pt>
                <c:pt idx="54">
                  <c:v>2.69631</c:v>
                </c:pt>
                <c:pt idx="55">
                  <c:v>2.7153</c:v>
                </c:pt>
                <c:pt idx="56">
                  <c:v>2.7318199999999999</c:v>
                </c:pt>
                <c:pt idx="57">
                  <c:v>2.7479300000000002</c:v>
                </c:pt>
                <c:pt idx="58">
                  <c:v>2.7652399999999999</c:v>
                </c:pt>
                <c:pt idx="59">
                  <c:v>2.7822000000000005</c:v>
                </c:pt>
                <c:pt idx="60">
                  <c:v>2.8002599999999997</c:v>
                </c:pt>
                <c:pt idx="61">
                  <c:v>2.8171600000000003</c:v>
                </c:pt>
                <c:pt idx="62">
                  <c:v>2.8317399999999999</c:v>
                </c:pt>
                <c:pt idx="63">
                  <c:v>2.8447800000000001</c:v>
                </c:pt>
                <c:pt idx="64">
                  <c:v>2.85541</c:v>
                </c:pt>
                <c:pt idx="65">
                  <c:v>2.8623799999999999</c:v>
                </c:pt>
                <c:pt idx="66">
                  <c:v>2.8666700000000001</c:v>
                </c:pt>
                <c:pt idx="67">
                  <c:v>2.8684500000000002</c:v>
                </c:pt>
                <c:pt idx="68">
                  <c:v>2.86815</c:v>
                </c:pt>
                <c:pt idx="69">
                  <c:v>2.86557</c:v>
                </c:pt>
                <c:pt idx="70">
                  <c:v>2.8589700000000002</c:v>
                </c:pt>
                <c:pt idx="71">
                  <c:v>2.8506</c:v>
                </c:pt>
                <c:pt idx="72">
                  <c:v>2.8404199999999999</c:v>
                </c:pt>
                <c:pt idx="73">
                  <c:v>2.8258899999999998</c:v>
                </c:pt>
                <c:pt idx="74">
                  <c:v>2.8075200000000002</c:v>
                </c:pt>
                <c:pt idx="75">
                  <c:v>2.78877</c:v>
                </c:pt>
                <c:pt idx="76">
                  <c:v>2.7674700000000003</c:v>
                </c:pt>
                <c:pt idx="77">
                  <c:v>2.7423900000000003</c:v>
                </c:pt>
                <c:pt idx="78">
                  <c:v>2.71468</c:v>
                </c:pt>
                <c:pt idx="79">
                  <c:v>2.68668</c:v>
                </c:pt>
                <c:pt idx="80">
                  <c:v>2.6581399999999999</c:v>
                </c:pt>
                <c:pt idx="81">
                  <c:v>2.6322700000000001</c:v>
                </c:pt>
                <c:pt idx="82">
                  <c:v>2.60669</c:v>
                </c:pt>
                <c:pt idx="83">
                  <c:v>2.5802999999999998</c:v>
                </c:pt>
                <c:pt idx="84">
                  <c:v>2.5536599999999998</c:v>
                </c:pt>
                <c:pt idx="85">
                  <c:v>2.5276300000000003</c:v>
                </c:pt>
                <c:pt idx="86">
                  <c:v>2.50454</c:v>
                </c:pt>
                <c:pt idx="87">
                  <c:v>2.4834499999999999</c:v>
                </c:pt>
                <c:pt idx="88">
                  <c:v>2.4623900000000001</c:v>
                </c:pt>
                <c:pt idx="89">
                  <c:v>2.4446099999999999</c:v>
                </c:pt>
                <c:pt idx="90">
                  <c:v>2.4321599999999997</c:v>
                </c:pt>
                <c:pt idx="91">
                  <c:v>2.4243600000000001</c:v>
                </c:pt>
                <c:pt idx="92">
                  <c:v>2.4225699999999999</c:v>
                </c:pt>
                <c:pt idx="93">
                  <c:v>2.4248099999999999</c:v>
                </c:pt>
                <c:pt idx="94">
                  <c:v>2.42984</c:v>
                </c:pt>
                <c:pt idx="95">
                  <c:v>2.4379500000000003</c:v>
                </c:pt>
                <c:pt idx="96">
                  <c:v>2.4469599999999998</c:v>
                </c:pt>
                <c:pt idx="97">
                  <c:v>2.45675</c:v>
                </c:pt>
                <c:pt idx="98">
                  <c:v>2.4702600000000001</c:v>
                </c:pt>
                <c:pt idx="99">
                  <c:v>2.4864999999999999</c:v>
                </c:pt>
                <c:pt idx="100">
                  <c:v>2.5022899999999999</c:v>
                </c:pt>
                <c:pt idx="101">
                  <c:v>2.5186299999999999</c:v>
                </c:pt>
                <c:pt idx="102">
                  <c:v>2.5360399999999998</c:v>
                </c:pt>
                <c:pt idx="103">
                  <c:v>2.5530399999999998</c:v>
                </c:pt>
                <c:pt idx="104">
                  <c:v>2.5707400000000002</c:v>
                </c:pt>
                <c:pt idx="105">
                  <c:v>2.5901000000000001</c:v>
                </c:pt>
                <c:pt idx="106">
                  <c:v>2.6084899999999998</c:v>
                </c:pt>
                <c:pt idx="107">
                  <c:v>2.6249400000000001</c:v>
                </c:pt>
                <c:pt idx="108">
                  <c:v>2.6394899999999999</c:v>
                </c:pt>
                <c:pt idx="109">
                  <c:v>2.6518700000000002</c:v>
                </c:pt>
                <c:pt idx="110">
                  <c:v>2.6615699999999998</c:v>
                </c:pt>
                <c:pt idx="111">
                  <c:v>2.6688800000000001</c:v>
                </c:pt>
                <c:pt idx="112">
                  <c:v>2.6748599999999998</c:v>
                </c:pt>
                <c:pt idx="113">
                  <c:v>2.68072</c:v>
                </c:pt>
                <c:pt idx="114">
                  <c:v>2.6862699999999999</c:v>
                </c:pt>
                <c:pt idx="115">
                  <c:v>2.6879300000000002</c:v>
                </c:pt>
                <c:pt idx="116">
                  <c:v>2.6842100000000002</c:v>
                </c:pt>
                <c:pt idx="117">
                  <c:v>2.6771000000000003</c:v>
                </c:pt>
                <c:pt idx="118">
                  <c:v>2.6738099999999996</c:v>
                </c:pt>
                <c:pt idx="119">
                  <c:v>2.6768700000000001</c:v>
                </c:pt>
                <c:pt idx="120">
                  <c:v>2.6821099999999998</c:v>
                </c:pt>
                <c:pt idx="121">
                  <c:v>2.69102</c:v>
                </c:pt>
                <c:pt idx="122">
                  <c:v>2.7020100000000005</c:v>
                </c:pt>
                <c:pt idx="123">
                  <c:v>2.7147600000000001</c:v>
                </c:pt>
                <c:pt idx="124">
                  <c:v>2.7133500000000002</c:v>
                </c:pt>
                <c:pt idx="125">
                  <c:v>2.7119900000000001</c:v>
                </c:pt>
                <c:pt idx="126">
                  <c:v>2.7101500000000001</c:v>
                </c:pt>
                <c:pt idx="127">
                  <c:v>2.70817</c:v>
                </c:pt>
                <c:pt idx="128">
                  <c:v>2.7070699999999999</c:v>
                </c:pt>
                <c:pt idx="129">
                  <c:v>2.7066499999999998</c:v>
                </c:pt>
                <c:pt idx="130">
                  <c:v>2.7063999999999999</c:v>
                </c:pt>
                <c:pt idx="131">
                  <c:v>2.7067999999999999</c:v>
                </c:pt>
                <c:pt idx="132">
                  <c:v>2.7080799999999998</c:v>
                </c:pt>
                <c:pt idx="133">
                  <c:v>2.7109899999999998</c:v>
                </c:pt>
                <c:pt idx="134">
                  <c:v>2.7158300000000004</c:v>
                </c:pt>
                <c:pt idx="135">
                  <c:v>2.72262</c:v>
                </c:pt>
                <c:pt idx="136">
                  <c:v>2.7308500000000002</c:v>
                </c:pt>
                <c:pt idx="137">
                  <c:v>2.7404299999999999</c:v>
                </c:pt>
                <c:pt idx="138">
                  <c:v>2.7515800000000001</c:v>
                </c:pt>
                <c:pt idx="139">
                  <c:v>2.7645999999999997</c:v>
                </c:pt>
                <c:pt idx="140">
                  <c:v>2.7843099999999996</c:v>
                </c:pt>
                <c:pt idx="141">
                  <c:v>2.8184900000000002</c:v>
                </c:pt>
                <c:pt idx="142">
                  <c:v>2.8623099999999999</c:v>
                </c:pt>
                <c:pt idx="143">
                  <c:v>2.9047499999999999</c:v>
                </c:pt>
                <c:pt idx="144">
                  <c:v>2.93533</c:v>
                </c:pt>
                <c:pt idx="145">
                  <c:v>2.96957</c:v>
                </c:pt>
                <c:pt idx="146">
                  <c:v>2.9939500000000003</c:v>
                </c:pt>
                <c:pt idx="147">
                  <c:v>3.0165500000000001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58.658500000000004</c:v>
                </c:pt>
                <c:pt idx="1">
                  <c:v>58.703499999999998</c:v>
                </c:pt>
                <c:pt idx="2">
                  <c:v>58.820999999999998</c:v>
                </c:pt>
                <c:pt idx="3">
                  <c:v>58.913800000000002</c:v>
                </c:pt>
                <c:pt idx="4">
                  <c:v>58.805900000000001</c:v>
                </c:pt>
                <c:pt idx="5">
                  <c:v>58.656399999999998</c:v>
                </c:pt>
                <c:pt idx="6">
                  <c:v>58.457400000000007</c:v>
                </c:pt>
                <c:pt idx="7">
                  <c:v>58.191199999999995</c:v>
                </c:pt>
                <c:pt idx="8">
                  <c:v>57.909500000000001</c:v>
                </c:pt>
                <c:pt idx="9">
                  <c:v>57.615799999999993</c:v>
                </c:pt>
                <c:pt idx="10">
                  <c:v>57.244300000000003</c:v>
                </c:pt>
                <c:pt idx="11">
                  <c:v>56.792200000000001</c:v>
                </c:pt>
                <c:pt idx="12">
                  <c:v>56.319300000000005</c:v>
                </c:pt>
                <c:pt idx="13">
                  <c:v>55.863500000000002</c:v>
                </c:pt>
                <c:pt idx="14">
                  <c:v>55.356499999999997</c:v>
                </c:pt>
                <c:pt idx="15">
                  <c:v>54.800899999999999</c:v>
                </c:pt>
                <c:pt idx="16">
                  <c:v>54.145800000000001</c:v>
                </c:pt>
                <c:pt idx="17">
                  <c:v>53.509599999999999</c:v>
                </c:pt>
                <c:pt idx="18">
                  <c:v>52.889800000000001</c:v>
                </c:pt>
                <c:pt idx="19">
                  <c:v>52.325000000000003</c:v>
                </c:pt>
                <c:pt idx="20">
                  <c:v>51.806700000000006</c:v>
                </c:pt>
                <c:pt idx="21">
                  <c:v>51.292499999999997</c:v>
                </c:pt>
                <c:pt idx="22">
                  <c:v>50.795400000000001</c:v>
                </c:pt>
                <c:pt idx="23">
                  <c:v>50.328300000000006</c:v>
                </c:pt>
                <c:pt idx="24">
                  <c:v>49.847299999999997</c:v>
                </c:pt>
                <c:pt idx="25">
                  <c:v>49.384</c:v>
                </c:pt>
                <c:pt idx="26">
                  <c:v>48.936600000000006</c:v>
                </c:pt>
                <c:pt idx="27">
                  <c:v>48.469200000000001</c:v>
                </c:pt>
                <c:pt idx="28">
                  <c:v>48.007300000000001</c:v>
                </c:pt>
                <c:pt idx="29">
                  <c:v>47.589799999999997</c:v>
                </c:pt>
                <c:pt idx="30">
                  <c:v>47.255299999999998</c:v>
                </c:pt>
                <c:pt idx="31">
                  <c:v>46.9497</c:v>
                </c:pt>
                <c:pt idx="32">
                  <c:v>46.6464</c:v>
                </c:pt>
                <c:pt idx="33">
                  <c:v>46.314399999999999</c:v>
                </c:pt>
                <c:pt idx="34">
                  <c:v>46.000799999999998</c:v>
                </c:pt>
                <c:pt idx="35">
                  <c:v>45.7896</c:v>
                </c:pt>
                <c:pt idx="36">
                  <c:v>45.644400000000005</c:v>
                </c:pt>
                <c:pt idx="37">
                  <c:v>45.509599999999999</c:v>
                </c:pt>
                <c:pt idx="38">
                  <c:v>45.390799999999999</c:v>
                </c:pt>
                <c:pt idx="39">
                  <c:v>45.318100000000001</c:v>
                </c:pt>
                <c:pt idx="40">
                  <c:v>45.285599999999995</c:v>
                </c:pt>
                <c:pt idx="41">
                  <c:v>45.310699999999997</c:v>
                </c:pt>
                <c:pt idx="42">
                  <c:v>45.311500000000002</c:v>
                </c:pt>
                <c:pt idx="43">
                  <c:v>45.3795</c:v>
                </c:pt>
                <c:pt idx="44">
                  <c:v>45.3917</c:v>
                </c:pt>
                <c:pt idx="45">
                  <c:v>45.342300000000002</c:v>
                </c:pt>
                <c:pt idx="46">
                  <c:v>45.276899999999998</c:v>
                </c:pt>
                <c:pt idx="47">
                  <c:v>45.173999999999999</c:v>
                </c:pt>
                <c:pt idx="48">
                  <c:v>45.009900000000002</c:v>
                </c:pt>
                <c:pt idx="49">
                  <c:v>44.791799999999995</c:v>
                </c:pt>
                <c:pt idx="50">
                  <c:v>44.502399999999994</c:v>
                </c:pt>
                <c:pt idx="51">
                  <c:v>44.106200000000001</c:v>
                </c:pt>
                <c:pt idx="52">
                  <c:v>43.675899999999999</c:v>
                </c:pt>
                <c:pt idx="53">
                  <c:v>43.226199999999999</c:v>
                </c:pt>
                <c:pt idx="54">
                  <c:v>42.872500000000002</c:v>
                </c:pt>
                <c:pt idx="55">
                  <c:v>42.626899999999999</c:v>
                </c:pt>
                <c:pt idx="56">
                  <c:v>42.513500000000001</c:v>
                </c:pt>
                <c:pt idx="57">
                  <c:v>42.4392</c:v>
                </c:pt>
                <c:pt idx="58">
                  <c:v>42.339100000000002</c:v>
                </c:pt>
                <c:pt idx="59">
                  <c:v>42.197699999999998</c:v>
                </c:pt>
                <c:pt idx="60">
                  <c:v>41.936199999999999</c:v>
                </c:pt>
                <c:pt idx="61">
                  <c:v>41.616599999999998</c:v>
                </c:pt>
                <c:pt idx="62">
                  <c:v>41.305300000000003</c:v>
                </c:pt>
                <c:pt idx="63">
                  <c:v>40.993499999999997</c:v>
                </c:pt>
                <c:pt idx="64">
                  <c:v>40.746900000000004</c:v>
                </c:pt>
                <c:pt idx="65">
                  <c:v>40.527000000000001</c:v>
                </c:pt>
                <c:pt idx="66">
                  <c:v>40.279699999999998</c:v>
                </c:pt>
                <c:pt idx="67">
                  <c:v>40.049099999999996</c:v>
                </c:pt>
                <c:pt idx="68">
                  <c:v>39.805600000000005</c:v>
                </c:pt>
                <c:pt idx="69">
                  <c:v>39.630500000000005</c:v>
                </c:pt>
                <c:pt idx="70">
                  <c:v>39.409599999999998</c:v>
                </c:pt>
                <c:pt idx="71">
                  <c:v>39.151399999999995</c:v>
                </c:pt>
                <c:pt idx="72">
                  <c:v>38.8812</c:v>
                </c:pt>
                <c:pt idx="73">
                  <c:v>38.618200000000002</c:v>
                </c:pt>
                <c:pt idx="74">
                  <c:v>38.425799999999995</c:v>
                </c:pt>
                <c:pt idx="75">
                  <c:v>38.3033</c:v>
                </c:pt>
                <c:pt idx="76">
                  <c:v>38.300200000000004</c:v>
                </c:pt>
                <c:pt idx="77">
                  <c:v>38.398400000000002</c:v>
                </c:pt>
                <c:pt idx="78">
                  <c:v>38.563199999999995</c:v>
                </c:pt>
                <c:pt idx="79">
                  <c:v>38.667400000000001</c:v>
                </c:pt>
                <c:pt idx="80">
                  <c:v>38.628900000000002</c:v>
                </c:pt>
                <c:pt idx="81">
                  <c:v>38.479500000000002</c:v>
                </c:pt>
                <c:pt idx="82">
                  <c:v>38.414300000000004</c:v>
                </c:pt>
                <c:pt idx="83">
                  <c:v>38.4756</c:v>
                </c:pt>
                <c:pt idx="84">
                  <c:v>38.6447</c:v>
                </c:pt>
                <c:pt idx="85">
                  <c:v>38.914200000000001</c:v>
                </c:pt>
                <c:pt idx="86">
                  <c:v>39.168100000000003</c:v>
                </c:pt>
                <c:pt idx="87">
                  <c:v>39.470300000000002</c:v>
                </c:pt>
                <c:pt idx="88">
                  <c:v>39.8568</c:v>
                </c:pt>
                <c:pt idx="89">
                  <c:v>40.198399999999999</c:v>
                </c:pt>
                <c:pt idx="90">
                  <c:v>40.555600000000005</c:v>
                </c:pt>
                <c:pt idx="91">
                  <c:v>40.932000000000002</c:v>
                </c:pt>
                <c:pt idx="92">
                  <c:v>41.303100000000001</c:v>
                </c:pt>
                <c:pt idx="93">
                  <c:v>41.608800000000002</c:v>
                </c:pt>
                <c:pt idx="94">
                  <c:v>41.781800000000004</c:v>
                </c:pt>
                <c:pt idx="95">
                  <c:v>41.862500000000004</c:v>
                </c:pt>
                <c:pt idx="96">
                  <c:v>41.93</c:v>
                </c:pt>
                <c:pt idx="97">
                  <c:v>42.0139</c:v>
                </c:pt>
                <c:pt idx="98">
                  <c:v>42.039500000000004</c:v>
                </c:pt>
                <c:pt idx="99">
                  <c:v>41.982500000000002</c:v>
                </c:pt>
                <c:pt idx="100">
                  <c:v>41.923300000000005</c:v>
                </c:pt>
                <c:pt idx="101">
                  <c:v>41.794399999999996</c:v>
                </c:pt>
                <c:pt idx="102">
                  <c:v>41.642899999999997</c:v>
                </c:pt>
                <c:pt idx="103">
                  <c:v>41.546999999999997</c:v>
                </c:pt>
                <c:pt idx="104">
                  <c:v>41.571100000000001</c:v>
                </c:pt>
                <c:pt idx="105">
                  <c:v>41.720199999999998</c:v>
                </c:pt>
                <c:pt idx="106">
                  <c:v>41.926299999999998</c:v>
                </c:pt>
                <c:pt idx="107">
                  <c:v>42.117399999999996</c:v>
                </c:pt>
                <c:pt idx="108">
                  <c:v>42.369299999999996</c:v>
                </c:pt>
                <c:pt idx="109">
                  <c:v>42.668399999999998</c:v>
                </c:pt>
                <c:pt idx="110">
                  <c:v>42.9955</c:v>
                </c:pt>
                <c:pt idx="111">
                  <c:v>43.381399999999999</c:v>
                </c:pt>
                <c:pt idx="112">
                  <c:v>43.714700000000001</c:v>
                </c:pt>
                <c:pt idx="113">
                  <c:v>43.9938</c:v>
                </c:pt>
                <c:pt idx="114">
                  <c:v>44.2224</c:v>
                </c:pt>
                <c:pt idx="115">
                  <c:v>44.352999999999994</c:v>
                </c:pt>
                <c:pt idx="116">
                  <c:v>44.461600000000004</c:v>
                </c:pt>
                <c:pt idx="117">
                  <c:v>44.595100000000002</c:v>
                </c:pt>
                <c:pt idx="118">
                  <c:v>44.703700000000005</c:v>
                </c:pt>
                <c:pt idx="119">
                  <c:v>44.789000000000001</c:v>
                </c:pt>
                <c:pt idx="120">
                  <c:v>45.000399999999999</c:v>
                </c:pt>
                <c:pt idx="121">
                  <c:v>45.232700000000001</c:v>
                </c:pt>
                <c:pt idx="122">
                  <c:v>45.397199999999998</c:v>
                </c:pt>
                <c:pt idx="123">
                  <c:v>45.488599999999998</c:v>
                </c:pt>
                <c:pt idx="124">
                  <c:v>45.652000000000001</c:v>
                </c:pt>
                <c:pt idx="125">
                  <c:v>45.831600000000002</c:v>
                </c:pt>
                <c:pt idx="126">
                  <c:v>46.061999999999998</c:v>
                </c:pt>
                <c:pt idx="127">
                  <c:v>46.319099999999999</c:v>
                </c:pt>
                <c:pt idx="128">
                  <c:v>46.5396</c:v>
                </c:pt>
                <c:pt idx="129">
                  <c:v>46.726500000000001</c:v>
                </c:pt>
                <c:pt idx="130">
                  <c:v>46.918799999999997</c:v>
                </c:pt>
                <c:pt idx="131">
                  <c:v>47.103200000000001</c:v>
                </c:pt>
                <c:pt idx="132">
                  <c:v>47.256300000000003</c:v>
                </c:pt>
                <c:pt idx="133">
                  <c:v>47.339399999999998</c:v>
                </c:pt>
                <c:pt idx="134">
                  <c:v>47.352899999999998</c:v>
                </c:pt>
                <c:pt idx="135">
                  <c:v>47.331699999999998</c:v>
                </c:pt>
                <c:pt idx="136">
                  <c:v>47.316699999999997</c:v>
                </c:pt>
                <c:pt idx="137">
                  <c:v>47.313300000000005</c:v>
                </c:pt>
                <c:pt idx="138">
                  <c:v>47.327999999999996</c:v>
                </c:pt>
                <c:pt idx="139">
                  <c:v>47.3538</c:v>
                </c:pt>
                <c:pt idx="140">
                  <c:v>47.474299999999999</c:v>
                </c:pt>
                <c:pt idx="141">
                  <c:v>47.639800000000001</c:v>
                </c:pt>
                <c:pt idx="142">
                  <c:v>47.690599999999996</c:v>
                </c:pt>
                <c:pt idx="143">
                  <c:v>47.7637</c:v>
                </c:pt>
                <c:pt idx="144">
                  <c:v>47.897199999999998</c:v>
                </c:pt>
                <c:pt idx="145">
                  <c:v>47.830600000000004</c:v>
                </c:pt>
                <c:pt idx="146">
                  <c:v>47.267199999999995</c:v>
                </c:pt>
                <c:pt idx="147">
                  <c:v>46.6023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2.0060700000000002</c:v>
                </c:pt>
                <c:pt idx="1">
                  <c:v>2.0580100000000003</c:v>
                </c:pt>
                <c:pt idx="2">
                  <c:v>2.10744</c:v>
                </c:pt>
                <c:pt idx="3">
                  <c:v>2.1545399999999999</c:v>
                </c:pt>
                <c:pt idx="4">
                  <c:v>2.2004199999999998</c:v>
                </c:pt>
                <c:pt idx="5">
                  <c:v>2.2451499999999998</c:v>
                </c:pt>
                <c:pt idx="6">
                  <c:v>2.2882500000000001</c:v>
                </c:pt>
                <c:pt idx="7">
                  <c:v>2.3325499999999999</c:v>
                </c:pt>
                <c:pt idx="8">
                  <c:v>2.3752999999999997</c:v>
                </c:pt>
                <c:pt idx="9">
                  <c:v>2.4167299999999998</c:v>
                </c:pt>
                <c:pt idx="10">
                  <c:v>2.4558800000000001</c:v>
                </c:pt>
                <c:pt idx="11">
                  <c:v>2.4920900000000001</c:v>
                </c:pt>
                <c:pt idx="12">
                  <c:v>2.52718</c:v>
                </c:pt>
                <c:pt idx="13">
                  <c:v>2.5619199999999998</c:v>
                </c:pt>
                <c:pt idx="14">
                  <c:v>2.59497</c:v>
                </c:pt>
                <c:pt idx="15">
                  <c:v>2.6278600000000001</c:v>
                </c:pt>
                <c:pt idx="16">
                  <c:v>2.6584099999999999</c:v>
                </c:pt>
                <c:pt idx="17">
                  <c:v>2.6867900000000002</c:v>
                </c:pt>
                <c:pt idx="18">
                  <c:v>2.7155200000000002</c:v>
                </c:pt>
                <c:pt idx="19">
                  <c:v>2.7388499999999998</c:v>
                </c:pt>
                <c:pt idx="20">
                  <c:v>2.7595799999999997</c:v>
                </c:pt>
                <c:pt idx="21">
                  <c:v>2.7774799999999997</c:v>
                </c:pt>
                <c:pt idx="22">
                  <c:v>2.7929599999999999</c:v>
                </c:pt>
                <c:pt idx="23">
                  <c:v>2.8045199999999997</c:v>
                </c:pt>
                <c:pt idx="24">
                  <c:v>2.8145100000000003</c:v>
                </c:pt>
                <c:pt idx="25">
                  <c:v>2.81907</c:v>
                </c:pt>
                <c:pt idx="26">
                  <c:v>2.82036</c:v>
                </c:pt>
                <c:pt idx="27">
                  <c:v>2.8218800000000002</c:v>
                </c:pt>
                <c:pt idx="28">
                  <c:v>2.8199400000000003</c:v>
                </c:pt>
                <c:pt idx="29">
                  <c:v>2.8131599999999999</c:v>
                </c:pt>
                <c:pt idx="30">
                  <c:v>2.8029700000000002</c:v>
                </c:pt>
                <c:pt idx="31">
                  <c:v>2.7915299999999998</c:v>
                </c:pt>
                <c:pt idx="32">
                  <c:v>2.77895</c:v>
                </c:pt>
                <c:pt idx="33">
                  <c:v>2.7657599999999998</c:v>
                </c:pt>
                <c:pt idx="34">
                  <c:v>2.75352</c:v>
                </c:pt>
                <c:pt idx="35">
                  <c:v>2.7402500000000001</c:v>
                </c:pt>
                <c:pt idx="36">
                  <c:v>2.7265299999999999</c:v>
                </c:pt>
                <c:pt idx="37">
                  <c:v>2.7134499999999999</c:v>
                </c:pt>
                <c:pt idx="38">
                  <c:v>2.7014800000000001</c:v>
                </c:pt>
                <c:pt idx="39">
                  <c:v>2.6889099999999999</c:v>
                </c:pt>
                <c:pt idx="40">
                  <c:v>2.6766899999999998</c:v>
                </c:pt>
                <c:pt idx="41">
                  <c:v>2.6630700000000003</c:v>
                </c:pt>
                <c:pt idx="42">
                  <c:v>2.6501200000000003</c:v>
                </c:pt>
                <c:pt idx="43">
                  <c:v>2.6358700000000002</c:v>
                </c:pt>
                <c:pt idx="44">
                  <c:v>2.6245600000000002</c:v>
                </c:pt>
                <c:pt idx="45">
                  <c:v>2.6167800000000003</c:v>
                </c:pt>
                <c:pt idx="46">
                  <c:v>2.6117699999999999</c:v>
                </c:pt>
                <c:pt idx="47">
                  <c:v>2.60968</c:v>
                </c:pt>
                <c:pt idx="48">
                  <c:v>2.61212</c:v>
                </c:pt>
                <c:pt idx="49">
                  <c:v>2.6177600000000001</c:v>
                </c:pt>
                <c:pt idx="50">
                  <c:v>2.6270199999999999</c:v>
                </c:pt>
                <c:pt idx="51">
                  <c:v>2.6407500000000002</c:v>
                </c:pt>
                <c:pt idx="52">
                  <c:v>2.6561600000000003</c:v>
                </c:pt>
                <c:pt idx="53">
                  <c:v>2.6760800000000002</c:v>
                </c:pt>
                <c:pt idx="54">
                  <c:v>2.69631</c:v>
                </c:pt>
                <c:pt idx="55">
                  <c:v>2.7153</c:v>
                </c:pt>
                <c:pt idx="56">
                  <c:v>2.7318199999999999</c:v>
                </c:pt>
                <c:pt idx="57">
                  <c:v>2.7479300000000002</c:v>
                </c:pt>
                <c:pt idx="58">
                  <c:v>2.7652399999999999</c:v>
                </c:pt>
                <c:pt idx="59">
                  <c:v>2.7822000000000005</c:v>
                </c:pt>
                <c:pt idx="60">
                  <c:v>2.8002599999999997</c:v>
                </c:pt>
                <c:pt idx="61">
                  <c:v>2.8171600000000003</c:v>
                </c:pt>
                <c:pt idx="62">
                  <c:v>2.8317399999999999</c:v>
                </c:pt>
                <c:pt idx="63">
                  <c:v>2.8447800000000001</c:v>
                </c:pt>
                <c:pt idx="64">
                  <c:v>2.85541</c:v>
                </c:pt>
                <c:pt idx="65">
                  <c:v>2.8623799999999999</c:v>
                </c:pt>
                <c:pt idx="66">
                  <c:v>2.8666700000000001</c:v>
                </c:pt>
                <c:pt idx="67">
                  <c:v>2.8684500000000002</c:v>
                </c:pt>
                <c:pt idx="68">
                  <c:v>2.86815</c:v>
                </c:pt>
                <c:pt idx="69">
                  <c:v>2.86557</c:v>
                </c:pt>
                <c:pt idx="70">
                  <c:v>2.8589700000000002</c:v>
                </c:pt>
                <c:pt idx="71">
                  <c:v>2.8506</c:v>
                </c:pt>
                <c:pt idx="72">
                  <c:v>2.8404199999999999</c:v>
                </c:pt>
                <c:pt idx="73">
                  <c:v>2.8258899999999998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58.658500000000004</c:v>
                </c:pt>
                <c:pt idx="1">
                  <c:v>58.703499999999998</c:v>
                </c:pt>
                <c:pt idx="2">
                  <c:v>58.820999999999998</c:v>
                </c:pt>
                <c:pt idx="3">
                  <c:v>58.913800000000002</c:v>
                </c:pt>
                <c:pt idx="4">
                  <c:v>58.805900000000001</c:v>
                </c:pt>
                <c:pt idx="5">
                  <c:v>58.656399999999998</c:v>
                </c:pt>
                <c:pt idx="6">
                  <c:v>58.457400000000007</c:v>
                </c:pt>
                <c:pt idx="7">
                  <c:v>58.191199999999995</c:v>
                </c:pt>
                <c:pt idx="8">
                  <c:v>57.909500000000001</c:v>
                </c:pt>
                <c:pt idx="9">
                  <c:v>57.615799999999993</c:v>
                </c:pt>
                <c:pt idx="10">
                  <c:v>57.244300000000003</c:v>
                </c:pt>
                <c:pt idx="11">
                  <c:v>56.792200000000001</c:v>
                </c:pt>
                <c:pt idx="12">
                  <c:v>56.319300000000005</c:v>
                </c:pt>
                <c:pt idx="13">
                  <c:v>55.863500000000002</c:v>
                </c:pt>
                <c:pt idx="14">
                  <c:v>55.356499999999997</c:v>
                </c:pt>
                <c:pt idx="15">
                  <c:v>54.800899999999999</c:v>
                </c:pt>
                <c:pt idx="16">
                  <c:v>54.145800000000001</c:v>
                </c:pt>
                <c:pt idx="17">
                  <c:v>53.509599999999999</c:v>
                </c:pt>
                <c:pt idx="18">
                  <c:v>52.889800000000001</c:v>
                </c:pt>
                <c:pt idx="19">
                  <c:v>52.325000000000003</c:v>
                </c:pt>
                <c:pt idx="20">
                  <c:v>51.806700000000006</c:v>
                </c:pt>
                <c:pt idx="21">
                  <c:v>51.292499999999997</c:v>
                </c:pt>
                <c:pt idx="22">
                  <c:v>50.795400000000001</c:v>
                </c:pt>
                <c:pt idx="23">
                  <c:v>50.328300000000006</c:v>
                </c:pt>
                <c:pt idx="24">
                  <c:v>49.847299999999997</c:v>
                </c:pt>
                <c:pt idx="25">
                  <c:v>49.384</c:v>
                </c:pt>
                <c:pt idx="26">
                  <c:v>48.936600000000006</c:v>
                </c:pt>
                <c:pt idx="27">
                  <c:v>48.469200000000001</c:v>
                </c:pt>
                <c:pt idx="28">
                  <c:v>48.007300000000001</c:v>
                </c:pt>
                <c:pt idx="29">
                  <c:v>47.589799999999997</c:v>
                </c:pt>
                <c:pt idx="30">
                  <c:v>47.255299999999998</c:v>
                </c:pt>
                <c:pt idx="31">
                  <c:v>46.9497</c:v>
                </c:pt>
                <c:pt idx="32">
                  <c:v>46.6464</c:v>
                </c:pt>
                <c:pt idx="33">
                  <c:v>46.314399999999999</c:v>
                </c:pt>
                <c:pt idx="34">
                  <c:v>46.000799999999998</c:v>
                </c:pt>
                <c:pt idx="35">
                  <c:v>45.7896</c:v>
                </c:pt>
                <c:pt idx="36">
                  <c:v>45.644400000000005</c:v>
                </c:pt>
                <c:pt idx="37">
                  <c:v>45.509599999999999</c:v>
                </c:pt>
                <c:pt idx="38">
                  <c:v>45.390799999999999</c:v>
                </c:pt>
                <c:pt idx="39">
                  <c:v>45.318100000000001</c:v>
                </c:pt>
                <c:pt idx="40">
                  <c:v>45.285599999999995</c:v>
                </c:pt>
                <c:pt idx="41">
                  <c:v>45.310699999999997</c:v>
                </c:pt>
                <c:pt idx="42">
                  <c:v>45.311500000000002</c:v>
                </c:pt>
                <c:pt idx="43">
                  <c:v>45.3795</c:v>
                </c:pt>
                <c:pt idx="44">
                  <c:v>45.3917</c:v>
                </c:pt>
                <c:pt idx="45">
                  <c:v>45.342300000000002</c:v>
                </c:pt>
                <c:pt idx="46">
                  <c:v>45.276899999999998</c:v>
                </c:pt>
                <c:pt idx="47">
                  <c:v>45.173999999999999</c:v>
                </c:pt>
                <c:pt idx="48">
                  <c:v>45.009900000000002</c:v>
                </c:pt>
                <c:pt idx="49">
                  <c:v>44.791799999999995</c:v>
                </c:pt>
                <c:pt idx="50">
                  <c:v>44.502399999999994</c:v>
                </c:pt>
                <c:pt idx="51">
                  <c:v>44.106200000000001</c:v>
                </c:pt>
                <c:pt idx="52">
                  <c:v>43.675899999999999</c:v>
                </c:pt>
                <c:pt idx="53">
                  <c:v>43.226199999999999</c:v>
                </c:pt>
                <c:pt idx="54">
                  <c:v>42.872500000000002</c:v>
                </c:pt>
                <c:pt idx="55">
                  <c:v>42.626899999999999</c:v>
                </c:pt>
                <c:pt idx="56">
                  <c:v>42.513500000000001</c:v>
                </c:pt>
                <c:pt idx="57">
                  <c:v>42.4392</c:v>
                </c:pt>
                <c:pt idx="58">
                  <c:v>42.339100000000002</c:v>
                </c:pt>
                <c:pt idx="59">
                  <c:v>42.197699999999998</c:v>
                </c:pt>
                <c:pt idx="60">
                  <c:v>41.936199999999999</c:v>
                </c:pt>
                <c:pt idx="61">
                  <c:v>41.616599999999998</c:v>
                </c:pt>
                <c:pt idx="62">
                  <c:v>41.305300000000003</c:v>
                </c:pt>
                <c:pt idx="63">
                  <c:v>40.993499999999997</c:v>
                </c:pt>
                <c:pt idx="64">
                  <c:v>40.746900000000004</c:v>
                </c:pt>
                <c:pt idx="65">
                  <c:v>40.527000000000001</c:v>
                </c:pt>
                <c:pt idx="66">
                  <c:v>40.279699999999998</c:v>
                </c:pt>
                <c:pt idx="67">
                  <c:v>40.049099999999996</c:v>
                </c:pt>
                <c:pt idx="68">
                  <c:v>39.805600000000005</c:v>
                </c:pt>
                <c:pt idx="69">
                  <c:v>39.630500000000005</c:v>
                </c:pt>
                <c:pt idx="70">
                  <c:v>39.409599999999998</c:v>
                </c:pt>
                <c:pt idx="71">
                  <c:v>39.151399999999995</c:v>
                </c:pt>
                <c:pt idx="72">
                  <c:v>38.8812</c:v>
                </c:pt>
                <c:pt idx="73">
                  <c:v>38.618200000000002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2.8258899999999998</c:v>
                </c:pt>
                <c:pt idx="1">
                  <c:v>2.8075200000000002</c:v>
                </c:pt>
                <c:pt idx="2">
                  <c:v>2.78877</c:v>
                </c:pt>
                <c:pt idx="3">
                  <c:v>2.7674700000000003</c:v>
                </c:pt>
                <c:pt idx="4">
                  <c:v>2.7423900000000003</c:v>
                </c:pt>
                <c:pt idx="5">
                  <c:v>2.71468</c:v>
                </c:pt>
                <c:pt idx="6">
                  <c:v>2.68668</c:v>
                </c:pt>
                <c:pt idx="7">
                  <c:v>2.6581399999999999</c:v>
                </c:pt>
                <c:pt idx="8">
                  <c:v>2.6322700000000001</c:v>
                </c:pt>
                <c:pt idx="9">
                  <c:v>2.60669</c:v>
                </c:pt>
                <c:pt idx="10">
                  <c:v>2.5802999999999998</c:v>
                </c:pt>
                <c:pt idx="11">
                  <c:v>2.5536599999999998</c:v>
                </c:pt>
                <c:pt idx="12">
                  <c:v>2.5276300000000003</c:v>
                </c:pt>
                <c:pt idx="13">
                  <c:v>2.50454</c:v>
                </c:pt>
                <c:pt idx="14">
                  <c:v>2.4834499999999999</c:v>
                </c:pt>
                <c:pt idx="15">
                  <c:v>2.4623900000000001</c:v>
                </c:pt>
                <c:pt idx="16">
                  <c:v>2.4446099999999999</c:v>
                </c:pt>
                <c:pt idx="17">
                  <c:v>2.4321599999999997</c:v>
                </c:pt>
                <c:pt idx="18">
                  <c:v>2.4243600000000001</c:v>
                </c:pt>
                <c:pt idx="19">
                  <c:v>2.4225699999999999</c:v>
                </c:pt>
                <c:pt idx="20">
                  <c:v>2.4248099999999999</c:v>
                </c:pt>
                <c:pt idx="21">
                  <c:v>2.42984</c:v>
                </c:pt>
                <c:pt idx="22">
                  <c:v>2.4379500000000003</c:v>
                </c:pt>
                <c:pt idx="23">
                  <c:v>2.4469599999999998</c:v>
                </c:pt>
                <c:pt idx="24">
                  <c:v>2.45675</c:v>
                </c:pt>
                <c:pt idx="25">
                  <c:v>2.4702600000000001</c:v>
                </c:pt>
                <c:pt idx="26">
                  <c:v>2.4864999999999999</c:v>
                </c:pt>
                <c:pt idx="27">
                  <c:v>2.5022899999999999</c:v>
                </c:pt>
                <c:pt idx="28">
                  <c:v>2.5186299999999999</c:v>
                </c:pt>
                <c:pt idx="29">
                  <c:v>2.5360399999999998</c:v>
                </c:pt>
                <c:pt idx="30">
                  <c:v>2.5530399999999998</c:v>
                </c:pt>
                <c:pt idx="31">
                  <c:v>2.5707400000000002</c:v>
                </c:pt>
                <c:pt idx="32">
                  <c:v>2.5901000000000001</c:v>
                </c:pt>
                <c:pt idx="33">
                  <c:v>2.6084899999999998</c:v>
                </c:pt>
                <c:pt idx="34">
                  <c:v>2.6249400000000001</c:v>
                </c:pt>
                <c:pt idx="35">
                  <c:v>2.6394899999999999</c:v>
                </c:pt>
                <c:pt idx="36">
                  <c:v>2.6518700000000002</c:v>
                </c:pt>
                <c:pt idx="37">
                  <c:v>2.6615699999999998</c:v>
                </c:pt>
                <c:pt idx="38">
                  <c:v>2.6688800000000001</c:v>
                </c:pt>
                <c:pt idx="39">
                  <c:v>2.6748599999999998</c:v>
                </c:pt>
                <c:pt idx="40">
                  <c:v>2.68072</c:v>
                </c:pt>
                <c:pt idx="41">
                  <c:v>2.6862699999999999</c:v>
                </c:pt>
                <c:pt idx="42">
                  <c:v>2.6879300000000002</c:v>
                </c:pt>
                <c:pt idx="43">
                  <c:v>2.6842100000000002</c:v>
                </c:pt>
                <c:pt idx="44">
                  <c:v>2.6771000000000003</c:v>
                </c:pt>
                <c:pt idx="45">
                  <c:v>2.6738099999999996</c:v>
                </c:pt>
                <c:pt idx="46">
                  <c:v>2.6768700000000001</c:v>
                </c:pt>
                <c:pt idx="47">
                  <c:v>2.6821099999999998</c:v>
                </c:pt>
                <c:pt idx="48">
                  <c:v>2.69102</c:v>
                </c:pt>
                <c:pt idx="49">
                  <c:v>2.7020100000000005</c:v>
                </c:pt>
                <c:pt idx="50">
                  <c:v>2.7147600000000001</c:v>
                </c:pt>
                <c:pt idx="51">
                  <c:v>2.7133500000000002</c:v>
                </c:pt>
                <c:pt idx="52">
                  <c:v>2.7119900000000001</c:v>
                </c:pt>
                <c:pt idx="53">
                  <c:v>2.7101500000000001</c:v>
                </c:pt>
                <c:pt idx="54">
                  <c:v>2.70817</c:v>
                </c:pt>
                <c:pt idx="55">
                  <c:v>2.7070699999999999</c:v>
                </c:pt>
                <c:pt idx="56">
                  <c:v>2.7066499999999998</c:v>
                </c:pt>
                <c:pt idx="57">
                  <c:v>2.7063999999999999</c:v>
                </c:pt>
                <c:pt idx="58">
                  <c:v>2.7067999999999999</c:v>
                </c:pt>
                <c:pt idx="59">
                  <c:v>2.7080799999999998</c:v>
                </c:pt>
                <c:pt idx="60">
                  <c:v>2.7109899999999998</c:v>
                </c:pt>
                <c:pt idx="61">
                  <c:v>2.7158300000000004</c:v>
                </c:pt>
                <c:pt idx="62">
                  <c:v>2.72262</c:v>
                </c:pt>
                <c:pt idx="63">
                  <c:v>2.7308500000000002</c:v>
                </c:pt>
                <c:pt idx="64">
                  <c:v>2.7404299999999999</c:v>
                </c:pt>
                <c:pt idx="65">
                  <c:v>2.7515800000000001</c:v>
                </c:pt>
                <c:pt idx="66">
                  <c:v>2.7645999999999997</c:v>
                </c:pt>
                <c:pt idx="67">
                  <c:v>2.7843099999999996</c:v>
                </c:pt>
                <c:pt idx="68">
                  <c:v>2.8184900000000002</c:v>
                </c:pt>
                <c:pt idx="69">
                  <c:v>2.8623099999999999</c:v>
                </c:pt>
                <c:pt idx="70">
                  <c:v>2.9047499999999999</c:v>
                </c:pt>
                <c:pt idx="71">
                  <c:v>2.93533</c:v>
                </c:pt>
                <c:pt idx="72">
                  <c:v>2.96957</c:v>
                </c:pt>
                <c:pt idx="73">
                  <c:v>2.9939500000000003</c:v>
                </c:pt>
                <c:pt idx="74">
                  <c:v>3.0165500000000001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38.618200000000002</c:v>
                </c:pt>
                <c:pt idx="1">
                  <c:v>38.425799999999995</c:v>
                </c:pt>
                <c:pt idx="2">
                  <c:v>38.3033</c:v>
                </c:pt>
                <c:pt idx="3">
                  <c:v>38.300200000000004</c:v>
                </c:pt>
                <c:pt idx="4">
                  <c:v>38.398400000000002</c:v>
                </c:pt>
                <c:pt idx="5">
                  <c:v>38.563199999999995</c:v>
                </c:pt>
                <c:pt idx="6">
                  <c:v>38.667400000000001</c:v>
                </c:pt>
                <c:pt idx="7">
                  <c:v>38.628900000000002</c:v>
                </c:pt>
                <c:pt idx="8">
                  <c:v>38.479500000000002</c:v>
                </c:pt>
                <c:pt idx="9">
                  <c:v>38.414300000000004</c:v>
                </c:pt>
                <c:pt idx="10">
                  <c:v>38.4756</c:v>
                </c:pt>
                <c:pt idx="11">
                  <c:v>38.6447</c:v>
                </c:pt>
                <c:pt idx="12">
                  <c:v>38.914200000000001</c:v>
                </c:pt>
                <c:pt idx="13">
                  <c:v>39.168100000000003</c:v>
                </c:pt>
                <c:pt idx="14">
                  <c:v>39.470300000000002</c:v>
                </c:pt>
                <c:pt idx="15">
                  <c:v>39.8568</c:v>
                </c:pt>
                <c:pt idx="16">
                  <c:v>40.198399999999999</c:v>
                </c:pt>
                <c:pt idx="17">
                  <c:v>40.555600000000005</c:v>
                </c:pt>
                <c:pt idx="18">
                  <c:v>40.932000000000002</c:v>
                </c:pt>
                <c:pt idx="19">
                  <c:v>41.303100000000001</c:v>
                </c:pt>
                <c:pt idx="20">
                  <c:v>41.608800000000002</c:v>
                </c:pt>
                <c:pt idx="21">
                  <c:v>41.781800000000004</c:v>
                </c:pt>
                <c:pt idx="22">
                  <c:v>41.862500000000004</c:v>
                </c:pt>
                <c:pt idx="23">
                  <c:v>41.93</c:v>
                </c:pt>
                <c:pt idx="24">
                  <c:v>42.0139</c:v>
                </c:pt>
                <c:pt idx="25">
                  <c:v>42.039500000000004</c:v>
                </c:pt>
                <c:pt idx="26">
                  <c:v>41.982500000000002</c:v>
                </c:pt>
                <c:pt idx="27">
                  <c:v>41.923300000000005</c:v>
                </c:pt>
                <c:pt idx="28">
                  <c:v>41.794399999999996</c:v>
                </c:pt>
                <c:pt idx="29">
                  <c:v>41.642899999999997</c:v>
                </c:pt>
                <c:pt idx="30">
                  <c:v>41.546999999999997</c:v>
                </c:pt>
                <c:pt idx="31">
                  <c:v>41.571100000000001</c:v>
                </c:pt>
                <c:pt idx="32">
                  <c:v>41.720199999999998</c:v>
                </c:pt>
                <c:pt idx="33">
                  <c:v>41.926299999999998</c:v>
                </c:pt>
                <c:pt idx="34">
                  <c:v>42.117399999999996</c:v>
                </c:pt>
                <c:pt idx="35">
                  <c:v>42.369299999999996</c:v>
                </c:pt>
                <c:pt idx="36">
                  <c:v>42.668399999999998</c:v>
                </c:pt>
                <c:pt idx="37">
                  <c:v>42.9955</c:v>
                </c:pt>
                <c:pt idx="38">
                  <c:v>43.381399999999999</c:v>
                </c:pt>
                <c:pt idx="39">
                  <c:v>43.714700000000001</c:v>
                </c:pt>
                <c:pt idx="40">
                  <c:v>43.9938</c:v>
                </c:pt>
                <c:pt idx="41">
                  <c:v>44.2224</c:v>
                </c:pt>
                <c:pt idx="42">
                  <c:v>44.352999999999994</c:v>
                </c:pt>
                <c:pt idx="43">
                  <c:v>44.461600000000004</c:v>
                </c:pt>
                <c:pt idx="44">
                  <c:v>44.595100000000002</c:v>
                </c:pt>
                <c:pt idx="45">
                  <c:v>44.703700000000005</c:v>
                </c:pt>
                <c:pt idx="46">
                  <c:v>44.789000000000001</c:v>
                </c:pt>
                <c:pt idx="47">
                  <c:v>45.000399999999999</c:v>
                </c:pt>
                <c:pt idx="48">
                  <c:v>45.232700000000001</c:v>
                </c:pt>
                <c:pt idx="49">
                  <c:v>45.397199999999998</c:v>
                </c:pt>
                <c:pt idx="50">
                  <c:v>45.488599999999998</c:v>
                </c:pt>
                <c:pt idx="51">
                  <c:v>45.652000000000001</c:v>
                </c:pt>
                <c:pt idx="52">
                  <c:v>45.831600000000002</c:v>
                </c:pt>
                <c:pt idx="53">
                  <c:v>46.061999999999998</c:v>
                </c:pt>
                <c:pt idx="54">
                  <c:v>46.319099999999999</c:v>
                </c:pt>
                <c:pt idx="55">
                  <c:v>46.5396</c:v>
                </c:pt>
                <c:pt idx="56">
                  <c:v>46.726500000000001</c:v>
                </c:pt>
                <c:pt idx="57">
                  <c:v>46.918799999999997</c:v>
                </c:pt>
                <c:pt idx="58">
                  <c:v>47.103200000000001</c:v>
                </c:pt>
                <c:pt idx="59">
                  <c:v>47.256300000000003</c:v>
                </c:pt>
                <c:pt idx="60">
                  <c:v>47.339399999999998</c:v>
                </c:pt>
                <c:pt idx="61">
                  <c:v>47.352899999999998</c:v>
                </c:pt>
                <c:pt idx="62">
                  <c:v>47.331699999999998</c:v>
                </c:pt>
                <c:pt idx="63">
                  <c:v>47.316699999999997</c:v>
                </c:pt>
                <c:pt idx="64">
                  <c:v>47.313300000000005</c:v>
                </c:pt>
                <c:pt idx="65">
                  <c:v>47.327999999999996</c:v>
                </c:pt>
                <c:pt idx="66">
                  <c:v>47.3538</c:v>
                </c:pt>
                <c:pt idx="67">
                  <c:v>47.474299999999999</c:v>
                </c:pt>
                <c:pt idx="68">
                  <c:v>47.639800000000001</c:v>
                </c:pt>
                <c:pt idx="69">
                  <c:v>47.690599999999996</c:v>
                </c:pt>
                <c:pt idx="70">
                  <c:v>47.7637</c:v>
                </c:pt>
                <c:pt idx="71">
                  <c:v>47.897199999999998</c:v>
                </c:pt>
                <c:pt idx="72">
                  <c:v>47.830600000000004</c:v>
                </c:pt>
                <c:pt idx="73">
                  <c:v>47.267199999999995</c:v>
                </c:pt>
                <c:pt idx="74">
                  <c:v>46.6023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2.6616813513513509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47.797032432432438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2.6561070270270277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43.357281081081091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2.6561070270270277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43.357281081081091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0.22222629849169273</c:v>
                </c:pt>
                <c:pt idx="1">
                  <c:v>0.24355648368192542</c:v>
                </c:pt>
                <c:pt idx="2">
                  <c:v>0.53421721782638176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0.40402500000000002</c:v>
                </c:pt>
                <c:pt idx="2">
                  <c:v>0.80780099999999999</c:v>
                </c:pt>
                <c:pt idx="3">
                  <c:v>1.2177899999999999</c:v>
                </c:pt>
                <c:pt idx="4">
                  <c:v>1.6186700000000001</c:v>
                </c:pt>
                <c:pt idx="5">
                  <c:v>2.0286400000000002</c:v>
                </c:pt>
                <c:pt idx="6">
                  <c:v>2.43676</c:v>
                </c:pt>
                <c:pt idx="7">
                  <c:v>2.8423400000000001</c:v>
                </c:pt>
                <c:pt idx="8">
                  <c:v>3.2482500000000001</c:v>
                </c:pt>
                <c:pt idx="9">
                  <c:v>3.6544699999999999</c:v>
                </c:pt>
                <c:pt idx="10">
                  <c:v>4.0593500000000002</c:v>
                </c:pt>
                <c:pt idx="11">
                  <c:v>4.4641000000000002</c:v>
                </c:pt>
                <c:pt idx="12">
                  <c:v>4.87697</c:v>
                </c:pt>
                <c:pt idx="13">
                  <c:v>5.2788500000000003</c:v>
                </c:pt>
                <c:pt idx="14">
                  <c:v>5.6847500000000002</c:v>
                </c:pt>
                <c:pt idx="15">
                  <c:v>6.0921799999999999</c:v>
                </c:pt>
                <c:pt idx="16">
                  <c:v>6.49587</c:v>
                </c:pt>
                <c:pt idx="17">
                  <c:v>6.9056800000000003</c:v>
                </c:pt>
                <c:pt idx="18">
                  <c:v>7.3133400000000002</c:v>
                </c:pt>
                <c:pt idx="19">
                  <c:v>7.7172799999999997</c:v>
                </c:pt>
                <c:pt idx="20">
                  <c:v>8.1204900000000002</c:v>
                </c:pt>
                <c:pt idx="21">
                  <c:v>8.5282400000000003</c:v>
                </c:pt>
                <c:pt idx="22">
                  <c:v>8.9371899999999993</c:v>
                </c:pt>
                <c:pt idx="23">
                  <c:v>9.3391000000000002</c:v>
                </c:pt>
                <c:pt idx="24">
                  <c:v>9.7498699999999996</c:v>
                </c:pt>
                <c:pt idx="25">
                  <c:v>10.152900000000001</c:v>
                </c:pt>
                <c:pt idx="26">
                  <c:v>10.5579</c:v>
                </c:pt>
                <c:pt idx="27">
                  <c:v>10.964700000000001</c:v>
                </c:pt>
                <c:pt idx="28">
                  <c:v>11.3765</c:v>
                </c:pt>
                <c:pt idx="29">
                  <c:v>11.778499999999999</c:v>
                </c:pt>
                <c:pt idx="30">
                  <c:v>12.183299999999999</c:v>
                </c:pt>
                <c:pt idx="31">
                  <c:v>12.5906</c:v>
                </c:pt>
                <c:pt idx="32">
                  <c:v>12.998100000000001</c:v>
                </c:pt>
                <c:pt idx="33">
                  <c:v>13.405099999999999</c:v>
                </c:pt>
                <c:pt idx="34">
                  <c:v>13.811999999999999</c:v>
                </c:pt>
                <c:pt idx="35">
                  <c:v>14.2149</c:v>
                </c:pt>
                <c:pt idx="36">
                  <c:v>14.623200000000001</c:v>
                </c:pt>
                <c:pt idx="37">
                  <c:v>15.028700000000001</c:v>
                </c:pt>
                <c:pt idx="38">
                  <c:v>15.4346</c:v>
                </c:pt>
                <c:pt idx="39">
                  <c:v>15.842599999999999</c:v>
                </c:pt>
                <c:pt idx="40">
                  <c:v>16.2456</c:v>
                </c:pt>
                <c:pt idx="41">
                  <c:v>16.6525</c:v>
                </c:pt>
                <c:pt idx="42">
                  <c:v>17.060300000000002</c:v>
                </c:pt>
                <c:pt idx="43">
                  <c:v>17.466200000000001</c:v>
                </c:pt>
                <c:pt idx="44">
                  <c:v>17.869199999999999</c:v>
                </c:pt>
                <c:pt idx="45">
                  <c:v>18.28</c:v>
                </c:pt>
                <c:pt idx="46">
                  <c:v>18.692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19.906199999999998</c:v>
                </c:pt>
                <c:pt idx="50">
                  <c:v>20.3126</c:v>
                </c:pt>
                <c:pt idx="51">
                  <c:v>20.718599999999999</c:v>
                </c:pt>
                <c:pt idx="52">
                  <c:v>21.122399999999999</c:v>
                </c:pt>
                <c:pt idx="53">
                  <c:v>21.5274</c:v>
                </c:pt>
                <c:pt idx="54">
                  <c:v>21.934699999999999</c:v>
                </c:pt>
                <c:pt idx="55">
                  <c:v>22.345199999999998</c:v>
                </c:pt>
                <c:pt idx="56">
                  <c:v>22.748100000000001</c:v>
                </c:pt>
                <c:pt idx="57">
                  <c:v>23.152000000000001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24.370999999999999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25.589500000000001</c:v>
                </c:pt>
                <c:pt idx="64">
                  <c:v>25.996500000000001</c:v>
                </c:pt>
                <c:pt idx="65">
                  <c:v>26.406400000000001</c:v>
                </c:pt>
                <c:pt idx="66">
                  <c:v>26.804600000000001</c:v>
                </c:pt>
                <c:pt idx="67">
                  <c:v>27.2181</c:v>
                </c:pt>
                <c:pt idx="68">
                  <c:v>27.622299999999999</c:v>
                </c:pt>
                <c:pt idx="69">
                  <c:v>28.026</c:v>
                </c:pt>
                <c:pt idx="70">
                  <c:v>28.436</c:v>
                </c:pt>
                <c:pt idx="71">
                  <c:v>28.841799999999999</c:v>
                </c:pt>
                <c:pt idx="72">
                  <c:v>29.249700000000001</c:v>
                </c:pt>
                <c:pt idx="73">
                  <c:v>29.6539</c:v>
                </c:pt>
                <c:pt idx="74">
                  <c:v>30.058599999999998</c:v>
                </c:pt>
                <c:pt idx="75">
                  <c:v>30.481400000000001</c:v>
                </c:pt>
                <c:pt idx="76">
                  <c:v>30.887499999999999</c:v>
                </c:pt>
                <c:pt idx="77">
                  <c:v>31.2925</c:v>
                </c:pt>
                <c:pt idx="78">
                  <c:v>31.700199999999999</c:v>
                </c:pt>
                <c:pt idx="79">
                  <c:v>32.109099999999998</c:v>
                </c:pt>
                <c:pt idx="80">
                  <c:v>32.512999999999998</c:v>
                </c:pt>
                <c:pt idx="81">
                  <c:v>32.920299999999997</c:v>
                </c:pt>
                <c:pt idx="82">
                  <c:v>33.323999999999998</c:v>
                </c:pt>
                <c:pt idx="83">
                  <c:v>33.732700000000001</c:v>
                </c:pt>
                <c:pt idx="84">
                  <c:v>34.139699999999998</c:v>
                </c:pt>
                <c:pt idx="85">
                  <c:v>34.543700000000001</c:v>
                </c:pt>
                <c:pt idx="86">
                  <c:v>34.951500000000003</c:v>
                </c:pt>
                <c:pt idx="87">
                  <c:v>35.359400000000001</c:v>
                </c:pt>
                <c:pt idx="88">
                  <c:v>35.763300000000001</c:v>
                </c:pt>
                <c:pt idx="89">
                  <c:v>36.167299999999997</c:v>
                </c:pt>
                <c:pt idx="90">
                  <c:v>36.574599999999997</c:v>
                </c:pt>
                <c:pt idx="91">
                  <c:v>36.984000000000002</c:v>
                </c:pt>
                <c:pt idx="92">
                  <c:v>37.392000000000003</c:v>
                </c:pt>
                <c:pt idx="93">
                  <c:v>37.792900000000003</c:v>
                </c:pt>
                <c:pt idx="94">
                  <c:v>38.198799999999999</c:v>
                </c:pt>
                <c:pt idx="95">
                  <c:v>38.606000000000002</c:v>
                </c:pt>
                <c:pt idx="96">
                  <c:v>39.015700000000002</c:v>
                </c:pt>
                <c:pt idx="97">
                  <c:v>39.421599999999998</c:v>
                </c:pt>
                <c:pt idx="98">
                  <c:v>39.826500000000003</c:v>
                </c:pt>
                <c:pt idx="99">
                  <c:v>40.230400000000003</c:v>
                </c:pt>
                <c:pt idx="100">
                  <c:v>40.6357</c:v>
                </c:pt>
                <c:pt idx="101">
                  <c:v>41.044199999999996</c:v>
                </c:pt>
                <c:pt idx="102">
                  <c:v>41.452100000000002</c:v>
                </c:pt>
                <c:pt idx="103">
                  <c:v>41.859099999999998</c:v>
                </c:pt>
                <c:pt idx="104">
                  <c:v>42.262</c:v>
                </c:pt>
                <c:pt idx="105">
                  <c:v>42.668999999999997</c:v>
                </c:pt>
                <c:pt idx="106">
                  <c:v>43.076900000000002</c:v>
                </c:pt>
                <c:pt idx="107">
                  <c:v>43.482700000000001</c:v>
                </c:pt>
                <c:pt idx="108">
                  <c:v>43.888599999999997</c:v>
                </c:pt>
                <c:pt idx="109">
                  <c:v>44.295699999999997</c:v>
                </c:pt>
                <c:pt idx="110">
                  <c:v>44.699800000000003</c:v>
                </c:pt>
                <c:pt idx="111">
                  <c:v>45.1083</c:v>
                </c:pt>
                <c:pt idx="112">
                  <c:v>45.517299999999999</c:v>
                </c:pt>
                <c:pt idx="113">
                  <c:v>45.920499999999997</c:v>
                </c:pt>
                <c:pt idx="114">
                  <c:v>46.326300000000003</c:v>
                </c:pt>
                <c:pt idx="115">
                  <c:v>46.7346</c:v>
                </c:pt>
                <c:pt idx="116">
                  <c:v>47.136099999999999</c:v>
                </c:pt>
                <c:pt idx="117">
                  <c:v>47.546799999999998</c:v>
                </c:pt>
                <c:pt idx="118">
                  <c:v>47.951700000000002</c:v>
                </c:pt>
                <c:pt idx="119">
                  <c:v>48.354700000000001</c:v>
                </c:pt>
                <c:pt idx="120">
                  <c:v>48.764099999999999</c:v>
                </c:pt>
                <c:pt idx="121">
                  <c:v>49.170699999999997</c:v>
                </c:pt>
                <c:pt idx="122">
                  <c:v>49.5745</c:v>
                </c:pt>
                <c:pt idx="123">
                  <c:v>49.979500000000002</c:v>
                </c:pt>
                <c:pt idx="124">
                  <c:v>50.385399999999997</c:v>
                </c:pt>
                <c:pt idx="125">
                  <c:v>50.792099999999998</c:v>
                </c:pt>
                <c:pt idx="126">
                  <c:v>51.198999999999998</c:v>
                </c:pt>
                <c:pt idx="127">
                  <c:v>51.604999999999997</c:v>
                </c:pt>
                <c:pt idx="128">
                  <c:v>52.0124</c:v>
                </c:pt>
                <c:pt idx="129">
                  <c:v>52.418799999999997</c:v>
                </c:pt>
                <c:pt idx="130">
                  <c:v>52.826700000000002</c:v>
                </c:pt>
                <c:pt idx="131">
                  <c:v>53.230600000000003</c:v>
                </c:pt>
                <c:pt idx="132">
                  <c:v>53.635599999999997</c:v>
                </c:pt>
                <c:pt idx="133">
                  <c:v>54.043900000000001</c:v>
                </c:pt>
                <c:pt idx="134">
                  <c:v>54.448399999999999</c:v>
                </c:pt>
                <c:pt idx="135">
                  <c:v>54.8583</c:v>
                </c:pt>
                <c:pt idx="136">
                  <c:v>55.2622</c:v>
                </c:pt>
                <c:pt idx="137">
                  <c:v>55.668199999999999</c:v>
                </c:pt>
                <c:pt idx="138">
                  <c:v>56.076300000000003</c:v>
                </c:pt>
                <c:pt idx="139">
                  <c:v>56.482999999999997</c:v>
                </c:pt>
                <c:pt idx="140">
                  <c:v>56.8889</c:v>
                </c:pt>
                <c:pt idx="141">
                  <c:v>57.2988</c:v>
                </c:pt>
                <c:pt idx="142">
                  <c:v>57.700699999999998</c:v>
                </c:pt>
                <c:pt idx="143">
                  <c:v>58.105699999999999</c:v>
                </c:pt>
                <c:pt idx="144">
                  <c:v>58.511600000000001</c:v>
                </c:pt>
                <c:pt idx="145">
                  <c:v>58.921500000000002</c:v>
                </c:pt>
                <c:pt idx="146">
                  <c:v>59.327300000000001</c:v>
                </c:pt>
                <c:pt idx="147">
                  <c:v>59.733400000000003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2.0060700000000002</c:v>
                </c:pt>
                <c:pt idx="1">
                  <c:v>2.0580100000000003</c:v>
                </c:pt>
                <c:pt idx="2">
                  <c:v>2.10744</c:v>
                </c:pt>
                <c:pt idx="3">
                  <c:v>2.1545399999999999</c:v>
                </c:pt>
                <c:pt idx="4">
                  <c:v>2.2004199999999998</c:v>
                </c:pt>
                <c:pt idx="5">
                  <c:v>2.2451499999999998</c:v>
                </c:pt>
                <c:pt idx="6">
                  <c:v>2.2882500000000001</c:v>
                </c:pt>
                <c:pt idx="7">
                  <c:v>2.3325499999999999</c:v>
                </c:pt>
                <c:pt idx="8">
                  <c:v>2.3752999999999997</c:v>
                </c:pt>
                <c:pt idx="9">
                  <c:v>2.4167299999999998</c:v>
                </c:pt>
                <c:pt idx="10">
                  <c:v>2.4558800000000001</c:v>
                </c:pt>
                <c:pt idx="11">
                  <c:v>2.4920900000000001</c:v>
                </c:pt>
                <c:pt idx="12">
                  <c:v>2.52718</c:v>
                </c:pt>
                <c:pt idx="13">
                  <c:v>2.5619199999999998</c:v>
                </c:pt>
                <c:pt idx="14">
                  <c:v>2.59497</c:v>
                </c:pt>
                <c:pt idx="15">
                  <c:v>2.6278600000000001</c:v>
                </c:pt>
                <c:pt idx="16">
                  <c:v>2.6584099999999999</c:v>
                </c:pt>
                <c:pt idx="17">
                  <c:v>2.6867900000000002</c:v>
                </c:pt>
                <c:pt idx="18">
                  <c:v>2.7155200000000002</c:v>
                </c:pt>
                <c:pt idx="19">
                  <c:v>2.7388499999999998</c:v>
                </c:pt>
                <c:pt idx="20">
                  <c:v>2.7595799999999997</c:v>
                </c:pt>
                <c:pt idx="21">
                  <c:v>2.7774799999999997</c:v>
                </c:pt>
                <c:pt idx="22">
                  <c:v>2.7929599999999999</c:v>
                </c:pt>
                <c:pt idx="23">
                  <c:v>2.8045199999999997</c:v>
                </c:pt>
                <c:pt idx="24">
                  <c:v>2.8145100000000003</c:v>
                </c:pt>
                <c:pt idx="25">
                  <c:v>2.81907</c:v>
                </c:pt>
                <c:pt idx="26">
                  <c:v>2.82036</c:v>
                </c:pt>
                <c:pt idx="27">
                  <c:v>2.8218800000000002</c:v>
                </c:pt>
                <c:pt idx="28">
                  <c:v>2.8199400000000003</c:v>
                </c:pt>
                <c:pt idx="29">
                  <c:v>2.8131599999999999</c:v>
                </c:pt>
                <c:pt idx="30">
                  <c:v>2.8029700000000002</c:v>
                </c:pt>
                <c:pt idx="31">
                  <c:v>2.7915299999999998</c:v>
                </c:pt>
                <c:pt idx="32">
                  <c:v>2.77895</c:v>
                </c:pt>
                <c:pt idx="33">
                  <c:v>2.7657599999999998</c:v>
                </c:pt>
                <c:pt idx="34">
                  <c:v>2.75352</c:v>
                </c:pt>
                <c:pt idx="35">
                  <c:v>2.7402500000000001</c:v>
                </c:pt>
                <c:pt idx="36">
                  <c:v>2.7265299999999999</c:v>
                </c:pt>
                <c:pt idx="37">
                  <c:v>2.7134499999999999</c:v>
                </c:pt>
                <c:pt idx="38">
                  <c:v>2.7014800000000001</c:v>
                </c:pt>
                <c:pt idx="39">
                  <c:v>2.6889099999999999</c:v>
                </c:pt>
                <c:pt idx="40">
                  <c:v>2.6766899999999998</c:v>
                </c:pt>
                <c:pt idx="41">
                  <c:v>2.6630700000000003</c:v>
                </c:pt>
                <c:pt idx="42">
                  <c:v>2.6501200000000003</c:v>
                </c:pt>
                <c:pt idx="43">
                  <c:v>2.6358700000000002</c:v>
                </c:pt>
                <c:pt idx="44">
                  <c:v>2.6245600000000002</c:v>
                </c:pt>
                <c:pt idx="45">
                  <c:v>2.6167800000000003</c:v>
                </c:pt>
                <c:pt idx="46">
                  <c:v>2.6117699999999999</c:v>
                </c:pt>
                <c:pt idx="47">
                  <c:v>2.60968</c:v>
                </c:pt>
                <c:pt idx="48">
                  <c:v>2.61212</c:v>
                </c:pt>
                <c:pt idx="49">
                  <c:v>2.6177600000000001</c:v>
                </c:pt>
                <c:pt idx="50">
                  <c:v>2.6270199999999999</c:v>
                </c:pt>
                <c:pt idx="51">
                  <c:v>2.6407500000000002</c:v>
                </c:pt>
                <c:pt idx="52">
                  <c:v>2.6561600000000003</c:v>
                </c:pt>
                <c:pt idx="53">
                  <c:v>2.6760800000000002</c:v>
                </c:pt>
                <c:pt idx="54">
                  <c:v>2.69631</c:v>
                </c:pt>
                <c:pt idx="55">
                  <c:v>2.7153</c:v>
                </c:pt>
                <c:pt idx="56">
                  <c:v>2.7318199999999999</c:v>
                </c:pt>
                <c:pt idx="57">
                  <c:v>2.7479300000000002</c:v>
                </c:pt>
                <c:pt idx="58">
                  <c:v>2.7652399999999999</c:v>
                </c:pt>
                <c:pt idx="59">
                  <c:v>2.7822000000000005</c:v>
                </c:pt>
                <c:pt idx="60">
                  <c:v>2.8002599999999997</c:v>
                </c:pt>
                <c:pt idx="61">
                  <c:v>2.8171600000000003</c:v>
                </c:pt>
                <c:pt idx="62">
                  <c:v>2.8317399999999999</c:v>
                </c:pt>
                <c:pt idx="63">
                  <c:v>2.8447800000000001</c:v>
                </c:pt>
                <c:pt idx="64">
                  <c:v>2.85541</c:v>
                </c:pt>
                <c:pt idx="65">
                  <c:v>2.8623799999999999</c:v>
                </c:pt>
                <c:pt idx="66">
                  <c:v>2.8666700000000001</c:v>
                </c:pt>
                <c:pt idx="67">
                  <c:v>2.8684500000000002</c:v>
                </c:pt>
                <c:pt idx="68">
                  <c:v>2.86815</c:v>
                </c:pt>
                <c:pt idx="69">
                  <c:v>2.86557</c:v>
                </c:pt>
                <c:pt idx="70">
                  <c:v>2.8589700000000002</c:v>
                </c:pt>
                <c:pt idx="71">
                  <c:v>2.8506</c:v>
                </c:pt>
                <c:pt idx="72">
                  <c:v>2.8404199999999999</c:v>
                </c:pt>
                <c:pt idx="73">
                  <c:v>2.8258899999999998</c:v>
                </c:pt>
                <c:pt idx="74">
                  <c:v>2.8075200000000002</c:v>
                </c:pt>
                <c:pt idx="75">
                  <c:v>2.78877</c:v>
                </c:pt>
                <c:pt idx="76">
                  <c:v>2.7674700000000003</c:v>
                </c:pt>
                <c:pt idx="77">
                  <c:v>2.7423900000000003</c:v>
                </c:pt>
                <c:pt idx="78">
                  <c:v>2.71468</c:v>
                </c:pt>
                <c:pt idx="79">
                  <c:v>2.68668</c:v>
                </c:pt>
                <c:pt idx="80">
                  <c:v>2.6581399999999999</c:v>
                </c:pt>
                <c:pt idx="81">
                  <c:v>2.6322700000000001</c:v>
                </c:pt>
                <c:pt idx="82">
                  <c:v>2.60669</c:v>
                </c:pt>
                <c:pt idx="83">
                  <c:v>2.5802999999999998</c:v>
                </c:pt>
                <c:pt idx="84">
                  <c:v>2.5536599999999998</c:v>
                </c:pt>
                <c:pt idx="85">
                  <c:v>2.5276300000000003</c:v>
                </c:pt>
                <c:pt idx="86">
                  <c:v>2.50454</c:v>
                </c:pt>
                <c:pt idx="87">
                  <c:v>2.4834499999999999</c:v>
                </c:pt>
                <c:pt idx="88">
                  <c:v>2.4623900000000001</c:v>
                </c:pt>
                <c:pt idx="89">
                  <c:v>2.4446099999999999</c:v>
                </c:pt>
                <c:pt idx="90">
                  <c:v>2.4321599999999997</c:v>
                </c:pt>
                <c:pt idx="91">
                  <c:v>2.4243600000000001</c:v>
                </c:pt>
                <c:pt idx="92">
                  <c:v>2.4225699999999999</c:v>
                </c:pt>
                <c:pt idx="93">
                  <c:v>2.4248099999999999</c:v>
                </c:pt>
                <c:pt idx="94">
                  <c:v>2.42984</c:v>
                </c:pt>
                <c:pt idx="95">
                  <c:v>2.4379500000000003</c:v>
                </c:pt>
                <c:pt idx="96">
                  <c:v>2.4469599999999998</c:v>
                </c:pt>
                <c:pt idx="97">
                  <c:v>2.45675</c:v>
                </c:pt>
                <c:pt idx="98">
                  <c:v>2.4702600000000001</c:v>
                </c:pt>
                <c:pt idx="99">
                  <c:v>2.4864999999999999</c:v>
                </c:pt>
                <c:pt idx="100">
                  <c:v>2.5022899999999999</c:v>
                </c:pt>
                <c:pt idx="101">
                  <c:v>2.5186299999999999</c:v>
                </c:pt>
                <c:pt idx="102">
                  <c:v>2.5360399999999998</c:v>
                </c:pt>
                <c:pt idx="103">
                  <c:v>2.5530399999999998</c:v>
                </c:pt>
                <c:pt idx="104">
                  <c:v>2.5707400000000002</c:v>
                </c:pt>
                <c:pt idx="105">
                  <c:v>2.5901000000000001</c:v>
                </c:pt>
                <c:pt idx="106">
                  <c:v>2.6084899999999998</c:v>
                </c:pt>
                <c:pt idx="107">
                  <c:v>2.6249400000000001</c:v>
                </c:pt>
                <c:pt idx="108">
                  <c:v>2.6394899999999999</c:v>
                </c:pt>
                <c:pt idx="109">
                  <c:v>2.6518700000000002</c:v>
                </c:pt>
                <c:pt idx="110">
                  <c:v>2.6615699999999998</c:v>
                </c:pt>
                <c:pt idx="111">
                  <c:v>2.6688800000000001</c:v>
                </c:pt>
                <c:pt idx="112">
                  <c:v>2.6748599999999998</c:v>
                </c:pt>
                <c:pt idx="113">
                  <c:v>2.68072</c:v>
                </c:pt>
                <c:pt idx="114">
                  <c:v>2.6862699999999999</c:v>
                </c:pt>
                <c:pt idx="115">
                  <c:v>2.6879300000000002</c:v>
                </c:pt>
                <c:pt idx="116">
                  <c:v>2.6842100000000002</c:v>
                </c:pt>
                <c:pt idx="117">
                  <c:v>2.6771000000000003</c:v>
                </c:pt>
                <c:pt idx="118">
                  <c:v>2.6738099999999996</c:v>
                </c:pt>
                <c:pt idx="119">
                  <c:v>2.6768700000000001</c:v>
                </c:pt>
                <c:pt idx="120">
                  <c:v>2.6821099999999998</c:v>
                </c:pt>
                <c:pt idx="121">
                  <c:v>2.69102</c:v>
                </c:pt>
                <c:pt idx="122">
                  <c:v>2.7020100000000005</c:v>
                </c:pt>
                <c:pt idx="123">
                  <c:v>2.7147600000000001</c:v>
                </c:pt>
                <c:pt idx="124">
                  <c:v>2.7133500000000002</c:v>
                </c:pt>
                <c:pt idx="125">
                  <c:v>2.7119900000000001</c:v>
                </c:pt>
                <c:pt idx="126">
                  <c:v>2.7101500000000001</c:v>
                </c:pt>
                <c:pt idx="127">
                  <c:v>2.70817</c:v>
                </c:pt>
                <c:pt idx="128">
                  <c:v>2.7070699999999999</c:v>
                </c:pt>
                <c:pt idx="129">
                  <c:v>2.7066499999999998</c:v>
                </c:pt>
                <c:pt idx="130">
                  <c:v>2.7063999999999999</c:v>
                </c:pt>
                <c:pt idx="131">
                  <c:v>2.7067999999999999</c:v>
                </c:pt>
                <c:pt idx="132">
                  <c:v>2.7080799999999998</c:v>
                </c:pt>
                <c:pt idx="133">
                  <c:v>2.7109899999999998</c:v>
                </c:pt>
                <c:pt idx="134">
                  <c:v>2.7158300000000004</c:v>
                </c:pt>
                <c:pt idx="135">
                  <c:v>2.72262</c:v>
                </c:pt>
                <c:pt idx="136">
                  <c:v>2.7308500000000002</c:v>
                </c:pt>
                <c:pt idx="137">
                  <c:v>2.7404299999999999</c:v>
                </c:pt>
                <c:pt idx="138">
                  <c:v>2.7515800000000001</c:v>
                </c:pt>
                <c:pt idx="139">
                  <c:v>2.7645999999999997</c:v>
                </c:pt>
                <c:pt idx="140">
                  <c:v>2.7843099999999996</c:v>
                </c:pt>
                <c:pt idx="141">
                  <c:v>2.8184900000000002</c:v>
                </c:pt>
                <c:pt idx="142">
                  <c:v>2.8623099999999999</c:v>
                </c:pt>
                <c:pt idx="143">
                  <c:v>2.9047499999999999</c:v>
                </c:pt>
                <c:pt idx="144">
                  <c:v>2.93533</c:v>
                </c:pt>
                <c:pt idx="145">
                  <c:v>2.96957</c:v>
                </c:pt>
                <c:pt idx="146">
                  <c:v>2.9939500000000003</c:v>
                </c:pt>
                <c:pt idx="147">
                  <c:v>3.0165500000000001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0.40402500000000002</c:v>
                </c:pt>
                <c:pt idx="2">
                  <c:v>0.80780099999999999</c:v>
                </c:pt>
                <c:pt idx="3">
                  <c:v>1.2177899999999999</c:v>
                </c:pt>
                <c:pt idx="4">
                  <c:v>1.6186700000000001</c:v>
                </c:pt>
                <c:pt idx="5">
                  <c:v>2.0286400000000002</c:v>
                </c:pt>
                <c:pt idx="6">
                  <c:v>2.43676</c:v>
                </c:pt>
                <c:pt idx="7">
                  <c:v>2.8423400000000001</c:v>
                </c:pt>
                <c:pt idx="8">
                  <c:v>3.2482500000000001</c:v>
                </c:pt>
                <c:pt idx="9">
                  <c:v>3.6544699999999999</c:v>
                </c:pt>
                <c:pt idx="10">
                  <c:v>4.0593500000000002</c:v>
                </c:pt>
                <c:pt idx="11">
                  <c:v>4.4641000000000002</c:v>
                </c:pt>
                <c:pt idx="12">
                  <c:v>4.87697</c:v>
                </c:pt>
                <c:pt idx="13">
                  <c:v>5.2788500000000003</c:v>
                </c:pt>
                <c:pt idx="14">
                  <c:v>5.6847500000000002</c:v>
                </c:pt>
                <c:pt idx="15">
                  <c:v>6.0921799999999999</c:v>
                </c:pt>
                <c:pt idx="16">
                  <c:v>6.49587</c:v>
                </c:pt>
                <c:pt idx="17">
                  <c:v>6.9056800000000003</c:v>
                </c:pt>
                <c:pt idx="18">
                  <c:v>7.3133400000000002</c:v>
                </c:pt>
                <c:pt idx="19">
                  <c:v>7.7172799999999997</c:v>
                </c:pt>
                <c:pt idx="20">
                  <c:v>8.1204900000000002</c:v>
                </c:pt>
                <c:pt idx="21">
                  <c:v>8.5282400000000003</c:v>
                </c:pt>
                <c:pt idx="22">
                  <c:v>8.9371899999999993</c:v>
                </c:pt>
                <c:pt idx="23">
                  <c:v>9.3391000000000002</c:v>
                </c:pt>
                <c:pt idx="24">
                  <c:v>9.7498699999999996</c:v>
                </c:pt>
                <c:pt idx="25">
                  <c:v>10.152900000000001</c:v>
                </c:pt>
                <c:pt idx="26">
                  <c:v>10.5579</c:v>
                </c:pt>
                <c:pt idx="27">
                  <c:v>10.964700000000001</c:v>
                </c:pt>
                <c:pt idx="28">
                  <c:v>11.3765</c:v>
                </c:pt>
                <c:pt idx="29">
                  <c:v>11.778499999999999</c:v>
                </c:pt>
                <c:pt idx="30">
                  <c:v>12.183299999999999</c:v>
                </c:pt>
                <c:pt idx="31">
                  <c:v>12.5906</c:v>
                </c:pt>
                <c:pt idx="32">
                  <c:v>12.998100000000001</c:v>
                </c:pt>
                <c:pt idx="33">
                  <c:v>13.405099999999999</c:v>
                </c:pt>
                <c:pt idx="34">
                  <c:v>13.811999999999999</c:v>
                </c:pt>
                <c:pt idx="35">
                  <c:v>14.2149</c:v>
                </c:pt>
                <c:pt idx="36">
                  <c:v>14.623200000000001</c:v>
                </c:pt>
                <c:pt idx="37">
                  <c:v>15.028700000000001</c:v>
                </c:pt>
                <c:pt idx="38">
                  <c:v>15.4346</c:v>
                </c:pt>
                <c:pt idx="39">
                  <c:v>15.842599999999999</c:v>
                </c:pt>
                <c:pt idx="40">
                  <c:v>16.2456</c:v>
                </c:pt>
                <c:pt idx="41">
                  <c:v>16.6525</c:v>
                </c:pt>
                <c:pt idx="42">
                  <c:v>17.060300000000002</c:v>
                </c:pt>
                <c:pt idx="43">
                  <c:v>17.466200000000001</c:v>
                </c:pt>
                <c:pt idx="44">
                  <c:v>17.869199999999999</c:v>
                </c:pt>
                <c:pt idx="45">
                  <c:v>18.28</c:v>
                </c:pt>
                <c:pt idx="46">
                  <c:v>18.692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19.906199999999998</c:v>
                </c:pt>
                <c:pt idx="50">
                  <c:v>20.3126</c:v>
                </c:pt>
                <c:pt idx="51">
                  <c:v>20.718599999999999</c:v>
                </c:pt>
                <c:pt idx="52">
                  <c:v>21.122399999999999</c:v>
                </c:pt>
                <c:pt idx="53">
                  <c:v>21.5274</c:v>
                </c:pt>
                <c:pt idx="54">
                  <c:v>21.934699999999999</c:v>
                </c:pt>
                <c:pt idx="55">
                  <c:v>22.345199999999998</c:v>
                </c:pt>
                <c:pt idx="56">
                  <c:v>22.748100000000001</c:v>
                </c:pt>
                <c:pt idx="57">
                  <c:v>23.152000000000001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24.370999999999999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25.589500000000001</c:v>
                </c:pt>
                <c:pt idx="64">
                  <c:v>25.996500000000001</c:v>
                </c:pt>
                <c:pt idx="65">
                  <c:v>26.406400000000001</c:v>
                </c:pt>
                <c:pt idx="66">
                  <c:v>26.804600000000001</c:v>
                </c:pt>
                <c:pt idx="67">
                  <c:v>27.2181</c:v>
                </c:pt>
                <c:pt idx="68">
                  <c:v>27.622299999999999</c:v>
                </c:pt>
                <c:pt idx="69">
                  <c:v>28.026</c:v>
                </c:pt>
                <c:pt idx="70">
                  <c:v>28.436</c:v>
                </c:pt>
                <c:pt idx="71">
                  <c:v>28.841799999999999</c:v>
                </c:pt>
                <c:pt idx="72">
                  <c:v>29.249700000000001</c:v>
                </c:pt>
                <c:pt idx="73">
                  <c:v>29.6539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2.0060700000000002</c:v>
                </c:pt>
                <c:pt idx="1">
                  <c:v>2.0580100000000003</c:v>
                </c:pt>
                <c:pt idx="2">
                  <c:v>2.10744</c:v>
                </c:pt>
                <c:pt idx="3">
                  <c:v>2.1545399999999999</c:v>
                </c:pt>
                <c:pt idx="4">
                  <c:v>2.2004199999999998</c:v>
                </c:pt>
                <c:pt idx="5">
                  <c:v>2.2451499999999998</c:v>
                </c:pt>
                <c:pt idx="6">
                  <c:v>2.2882500000000001</c:v>
                </c:pt>
                <c:pt idx="7">
                  <c:v>2.3325499999999999</c:v>
                </c:pt>
                <c:pt idx="8">
                  <c:v>2.3752999999999997</c:v>
                </c:pt>
                <c:pt idx="9">
                  <c:v>2.4167299999999998</c:v>
                </c:pt>
                <c:pt idx="10">
                  <c:v>2.4558800000000001</c:v>
                </c:pt>
                <c:pt idx="11">
                  <c:v>2.4920900000000001</c:v>
                </c:pt>
                <c:pt idx="12">
                  <c:v>2.52718</c:v>
                </c:pt>
                <c:pt idx="13">
                  <c:v>2.5619199999999998</c:v>
                </c:pt>
                <c:pt idx="14">
                  <c:v>2.59497</c:v>
                </c:pt>
                <c:pt idx="15">
                  <c:v>2.6278600000000001</c:v>
                </c:pt>
                <c:pt idx="16">
                  <c:v>2.6584099999999999</c:v>
                </c:pt>
                <c:pt idx="17">
                  <c:v>2.6867900000000002</c:v>
                </c:pt>
                <c:pt idx="18">
                  <c:v>2.7155200000000002</c:v>
                </c:pt>
                <c:pt idx="19">
                  <c:v>2.7388499999999998</c:v>
                </c:pt>
                <c:pt idx="20">
                  <c:v>2.7595799999999997</c:v>
                </c:pt>
                <c:pt idx="21">
                  <c:v>2.7774799999999997</c:v>
                </c:pt>
                <c:pt idx="22">
                  <c:v>2.7929599999999999</c:v>
                </c:pt>
                <c:pt idx="23">
                  <c:v>2.8045199999999997</c:v>
                </c:pt>
                <c:pt idx="24">
                  <c:v>2.8145100000000003</c:v>
                </c:pt>
                <c:pt idx="25">
                  <c:v>2.81907</c:v>
                </c:pt>
                <c:pt idx="26">
                  <c:v>2.82036</c:v>
                </c:pt>
                <c:pt idx="27">
                  <c:v>2.8218800000000002</c:v>
                </c:pt>
                <c:pt idx="28">
                  <c:v>2.8199400000000003</c:v>
                </c:pt>
                <c:pt idx="29">
                  <c:v>2.8131599999999999</c:v>
                </c:pt>
                <c:pt idx="30">
                  <c:v>2.8029700000000002</c:v>
                </c:pt>
                <c:pt idx="31">
                  <c:v>2.7915299999999998</c:v>
                </c:pt>
                <c:pt idx="32">
                  <c:v>2.77895</c:v>
                </c:pt>
                <c:pt idx="33">
                  <c:v>2.7657599999999998</c:v>
                </c:pt>
                <c:pt idx="34">
                  <c:v>2.75352</c:v>
                </c:pt>
                <c:pt idx="35">
                  <c:v>2.7402500000000001</c:v>
                </c:pt>
                <c:pt idx="36">
                  <c:v>2.7265299999999999</c:v>
                </c:pt>
                <c:pt idx="37">
                  <c:v>2.7134499999999999</c:v>
                </c:pt>
                <c:pt idx="38">
                  <c:v>2.7014800000000001</c:v>
                </c:pt>
                <c:pt idx="39">
                  <c:v>2.6889099999999999</c:v>
                </c:pt>
                <c:pt idx="40">
                  <c:v>2.6766899999999998</c:v>
                </c:pt>
                <c:pt idx="41">
                  <c:v>2.6630700000000003</c:v>
                </c:pt>
                <c:pt idx="42">
                  <c:v>2.6501200000000003</c:v>
                </c:pt>
                <c:pt idx="43">
                  <c:v>2.6358700000000002</c:v>
                </c:pt>
                <c:pt idx="44">
                  <c:v>2.6245600000000002</c:v>
                </c:pt>
                <c:pt idx="45">
                  <c:v>2.6167800000000003</c:v>
                </c:pt>
                <c:pt idx="46">
                  <c:v>2.6117699999999999</c:v>
                </c:pt>
                <c:pt idx="47">
                  <c:v>2.60968</c:v>
                </c:pt>
                <c:pt idx="48">
                  <c:v>2.61212</c:v>
                </c:pt>
                <c:pt idx="49">
                  <c:v>2.6177600000000001</c:v>
                </c:pt>
                <c:pt idx="50">
                  <c:v>2.6270199999999999</c:v>
                </c:pt>
                <c:pt idx="51">
                  <c:v>2.6407500000000002</c:v>
                </c:pt>
                <c:pt idx="52">
                  <c:v>2.6561600000000003</c:v>
                </c:pt>
                <c:pt idx="53">
                  <c:v>2.6760800000000002</c:v>
                </c:pt>
                <c:pt idx="54">
                  <c:v>2.69631</c:v>
                </c:pt>
                <c:pt idx="55">
                  <c:v>2.7153</c:v>
                </c:pt>
                <c:pt idx="56">
                  <c:v>2.7318199999999999</c:v>
                </c:pt>
                <c:pt idx="57">
                  <c:v>2.7479300000000002</c:v>
                </c:pt>
                <c:pt idx="58">
                  <c:v>2.7652399999999999</c:v>
                </c:pt>
                <c:pt idx="59">
                  <c:v>2.7822000000000005</c:v>
                </c:pt>
                <c:pt idx="60">
                  <c:v>2.8002599999999997</c:v>
                </c:pt>
                <c:pt idx="61">
                  <c:v>2.8171600000000003</c:v>
                </c:pt>
                <c:pt idx="62">
                  <c:v>2.8317399999999999</c:v>
                </c:pt>
                <c:pt idx="63">
                  <c:v>2.8447800000000001</c:v>
                </c:pt>
                <c:pt idx="64">
                  <c:v>2.85541</c:v>
                </c:pt>
                <c:pt idx="65">
                  <c:v>2.8623799999999999</c:v>
                </c:pt>
                <c:pt idx="66">
                  <c:v>2.8666700000000001</c:v>
                </c:pt>
                <c:pt idx="67">
                  <c:v>2.8684500000000002</c:v>
                </c:pt>
                <c:pt idx="68">
                  <c:v>2.86815</c:v>
                </c:pt>
                <c:pt idx="69">
                  <c:v>2.86557</c:v>
                </c:pt>
                <c:pt idx="70">
                  <c:v>2.8589700000000002</c:v>
                </c:pt>
                <c:pt idx="71">
                  <c:v>2.8506</c:v>
                </c:pt>
                <c:pt idx="72">
                  <c:v>2.8404199999999999</c:v>
                </c:pt>
                <c:pt idx="73">
                  <c:v>2.8258899999999998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29.6539</c:v>
                </c:pt>
                <c:pt idx="1">
                  <c:v>30.058599999999998</c:v>
                </c:pt>
                <c:pt idx="2">
                  <c:v>30.481400000000001</c:v>
                </c:pt>
                <c:pt idx="3">
                  <c:v>30.887499999999999</c:v>
                </c:pt>
                <c:pt idx="4">
                  <c:v>31.2925</c:v>
                </c:pt>
                <c:pt idx="5">
                  <c:v>31.700199999999999</c:v>
                </c:pt>
                <c:pt idx="6">
                  <c:v>32.109099999999998</c:v>
                </c:pt>
                <c:pt idx="7">
                  <c:v>32.512999999999998</c:v>
                </c:pt>
                <c:pt idx="8">
                  <c:v>32.920299999999997</c:v>
                </c:pt>
                <c:pt idx="9">
                  <c:v>33.323999999999998</c:v>
                </c:pt>
                <c:pt idx="10">
                  <c:v>33.732700000000001</c:v>
                </c:pt>
                <c:pt idx="11">
                  <c:v>34.139699999999998</c:v>
                </c:pt>
                <c:pt idx="12">
                  <c:v>34.543700000000001</c:v>
                </c:pt>
                <c:pt idx="13">
                  <c:v>34.951500000000003</c:v>
                </c:pt>
                <c:pt idx="14">
                  <c:v>35.359400000000001</c:v>
                </c:pt>
                <c:pt idx="15">
                  <c:v>35.763300000000001</c:v>
                </c:pt>
                <c:pt idx="16">
                  <c:v>36.167299999999997</c:v>
                </c:pt>
                <c:pt idx="17">
                  <c:v>36.574599999999997</c:v>
                </c:pt>
                <c:pt idx="18">
                  <c:v>36.984000000000002</c:v>
                </c:pt>
                <c:pt idx="19">
                  <c:v>37.392000000000003</c:v>
                </c:pt>
                <c:pt idx="20">
                  <c:v>37.792900000000003</c:v>
                </c:pt>
                <c:pt idx="21">
                  <c:v>38.198799999999999</c:v>
                </c:pt>
                <c:pt idx="22">
                  <c:v>38.606000000000002</c:v>
                </c:pt>
                <c:pt idx="23">
                  <c:v>39.015700000000002</c:v>
                </c:pt>
                <c:pt idx="24">
                  <c:v>39.421599999999998</c:v>
                </c:pt>
                <c:pt idx="25">
                  <c:v>39.826500000000003</c:v>
                </c:pt>
                <c:pt idx="26">
                  <c:v>40.230400000000003</c:v>
                </c:pt>
                <c:pt idx="27">
                  <c:v>40.6357</c:v>
                </c:pt>
                <c:pt idx="28">
                  <c:v>41.044199999999996</c:v>
                </c:pt>
                <c:pt idx="29">
                  <c:v>41.452100000000002</c:v>
                </c:pt>
                <c:pt idx="30">
                  <c:v>41.859099999999998</c:v>
                </c:pt>
                <c:pt idx="31">
                  <c:v>42.262</c:v>
                </c:pt>
                <c:pt idx="32">
                  <c:v>42.668999999999997</c:v>
                </c:pt>
                <c:pt idx="33">
                  <c:v>43.076900000000002</c:v>
                </c:pt>
                <c:pt idx="34">
                  <c:v>43.482700000000001</c:v>
                </c:pt>
                <c:pt idx="35">
                  <c:v>43.888599999999997</c:v>
                </c:pt>
                <c:pt idx="36">
                  <c:v>44.295699999999997</c:v>
                </c:pt>
                <c:pt idx="37">
                  <c:v>44.699800000000003</c:v>
                </c:pt>
                <c:pt idx="38">
                  <c:v>45.1083</c:v>
                </c:pt>
                <c:pt idx="39">
                  <c:v>45.517299999999999</c:v>
                </c:pt>
                <c:pt idx="40">
                  <c:v>45.920499999999997</c:v>
                </c:pt>
                <c:pt idx="41">
                  <c:v>46.326300000000003</c:v>
                </c:pt>
                <c:pt idx="42">
                  <c:v>46.7346</c:v>
                </c:pt>
                <c:pt idx="43">
                  <c:v>47.136099999999999</c:v>
                </c:pt>
                <c:pt idx="44">
                  <c:v>47.546799999999998</c:v>
                </c:pt>
                <c:pt idx="45">
                  <c:v>47.951700000000002</c:v>
                </c:pt>
                <c:pt idx="46">
                  <c:v>48.354700000000001</c:v>
                </c:pt>
                <c:pt idx="47">
                  <c:v>48.764099999999999</c:v>
                </c:pt>
                <c:pt idx="48">
                  <c:v>49.170699999999997</c:v>
                </c:pt>
                <c:pt idx="49">
                  <c:v>49.5745</c:v>
                </c:pt>
                <c:pt idx="50">
                  <c:v>49.979500000000002</c:v>
                </c:pt>
                <c:pt idx="51">
                  <c:v>50.385399999999997</c:v>
                </c:pt>
                <c:pt idx="52">
                  <c:v>50.792099999999998</c:v>
                </c:pt>
                <c:pt idx="53">
                  <c:v>51.198999999999998</c:v>
                </c:pt>
                <c:pt idx="54">
                  <c:v>51.604999999999997</c:v>
                </c:pt>
                <c:pt idx="55">
                  <c:v>52.0124</c:v>
                </c:pt>
                <c:pt idx="56">
                  <c:v>52.418799999999997</c:v>
                </c:pt>
                <c:pt idx="57">
                  <c:v>52.826700000000002</c:v>
                </c:pt>
                <c:pt idx="58">
                  <c:v>53.230600000000003</c:v>
                </c:pt>
                <c:pt idx="59">
                  <c:v>53.635599999999997</c:v>
                </c:pt>
                <c:pt idx="60">
                  <c:v>54.043900000000001</c:v>
                </c:pt>
                <c:pt idx="61">
                  <c:v>54.448399999999999</c:v>
                </c:pt>
                <c:pt idx="62">
                  <c:v>54.8583</c:v>
                </c:pt>
                <c:pt idx="63">
                  <c:v>55.2622</c:v>
                </c:pt>
                <c:pt idx="64">
                  <c:v>55.668199999999999</c:v>
                </c:pt>
                <c:pt idx="65">
                  <c:v>56.076300000000003</c:v>
                </c:pt>
                <c:pt idx="66">
                  <c:v>56.482999999999997</c:v>
                </c:pt>
                <c:pt idx="67">
                  <c:v>56.8889</c:v>
                </c:pt>
                <c:pt idx="68">
                  <c:v>57.2988</c:v>
                </c:pt>
                <c:pt idx="69">
                  <c:v>57.700699999999998</c:v>
                </c:pt>
                <c:pt idx="70">
                  <c:v>58.105699999999999</c:v>
                </c:pt>
                <c:pt idx="71">
                  <c:v>58.511600000000001</c:v>
                </c:pt>
                <c:pt idx="72">
                  <c:v>58.921500000000002</c:v>
                </c:pt>
                <c:pt idx="73">
                  <c:v>59.327300000000001</c:v>
                </c:pt>
                <c:pt idx="74">
                  <c:v>59.733400000000003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2.8258899999999998</c:v>
                </c:pt>
                <c:pt idx="1">
                  <c:v>2.8075200000000002</c:v>
                </c:pt>
                <c:pt idx="2">
                  <c:v>2.78877</c:v>
                </c:pt>
                <c:pt idx="3">
                  <c:v>2.7674700000000003</c:v>
                </c:pt>
                <c:pt idx="4">
                  <c:v>2.7423900000000003</c:v>
                </c:pt>
                <c:pt idx="5">
                  <c:v>2.71468</c:v>
                </c:pt>
                <c:pt idx="6">
                  <c:v>2.68668</c:v>
                </c:pt>
                <c:pt idx="7">
                  <c:v>2.6581399999999999</c:v>
                </c:pt>
                <c:pt idx="8">
                  <c:v>2.6322700000000001</c:v>
                </c:pt>
                <c:pt idx="9">
                  <c:v>2.60669</c:v>
                </c:pt>
                <c:pt idx="10">
                  <c:v>2.5802999999999998</c:v>
                </c:pt>
                <c:pt idx="11">
                  <c:v>2.5536599999999998</c:v>
                </c:pt>
                <c:pt idx="12">
                  <c:v>2.5276300000000003</c:v>
                </c:pt>
                <c:pt idx="13">
                  <c:v>2.50454</c:v>
                </c:pt>
                <c:pt idx="14">
                  <c:v>2.4834499999999999</c:v>
                </c:pt>
                <c:pt idx="15">
                  <c:v>2.4623900000000001</c:v>
                </c:pt>
                <c:pt idx="16">
                  <c:v>2.4446099999999999</c:v>
                </c:pt>
                <c:pt idx="17">
                  <c:v>2.4321599999999997</c:v>
                </c:pt>
                <c:pt idx="18">
                  <c:v>2.4243600000000001</c:v>
                </c:pt>
                <c:pt idx="19">
                  <c:v>2.4225699999999999</c:v>
                </c:pt>
                <c:pt idx="20">
                  <c:v>2.4248099999999999</c:v>
                </c:pt>
                <c:pt idx="21">
                  <c:v>2.42984</c:v>
                </c:pt>
                <c:pt idx="22">
                  <c:v>2.4379500000000003</c:v>
                </c:pt>
                <c:pt idx="23">
                  <c:v>2.4469599999999998</c:v>
                </c:pt>
                <c:pt idx="24">
                  <c:v>2.45675</c:v>
                </c:pt>
                <c:pt idx="25">
                  <c:v>2.4702600000000001</c:v>
                </c:pt>
                <c:pt idx="26">
                  <c:v>2.4864999999999999</c:v>
                </c:pt>
                <c:pt idx="27">
                  <c:v>2.5022899999999999</c:v>
                </c:pt>
                <c:pt idx="28">
                  <c:v>2.5186299999999999</c:v>
                </c:pt>
                <c:pt idx="29">
                  <c:v>2.5360399999999998</c:v>
                </c:pt>
                <c:pt idx="30">
                  <c:v>2.5530399999999998</c:v>
                </c:pt>
                <c:pt idx="31">
                  <c:v>2.5707400000000002</c:v>
                </c:pt>
                <c:pt idx="32">
                  <c:v>2.5901000000000001</c:v>
                </c:pt>
                <c:pt idx="33">
                  <c:v>2.6084899999999998</c:v>
                </c:pt>
                <c:pt idx="34">
                  <c:v>2.6249400000000001</c:v>
                </c:pt>
                <c:pt idx="35">
                  <c:v>2.6394899999999999</c:v>
                </c:pt>
                <c:pt idx="36">
                  <c:v>2.6518700000000002</c:v>
                </c:pt>
                <c:pt idx="37">
                  <c:v>2.6615699999999998</c:v>
                </c:pt>
                <c:pt idx="38">
                  <c:v>2.6688800000000001</c:v>
                </c:pt>
                <c:pt idx="39">
                  <c:v>2.6748599999999998</c:v>
                </c:pt>
                <c:pt idx="40">
                  <c:v>2.68072</c:v>
                </c:pt>
                <c:pt idx="41">
                  <c:v>2.6862699999999999</c:v>
                </c:pt>
                <c:pt idx="42">
                  <c:v>2.6879300000000002</c:v>
                </c:pt>
                <c:pt idx="43">
                  <c:v>2.6842100000000002</c:v>
                </c:pt>
                <c:pt idx="44">
                  <c:v>2.6771000000000003</c:v>
                </c:pt>
                <c:pt idx="45">
                  <c:v>2.6738099999999996</c:v>
                </c:pt>
                <c:pt idx="46">
                  <c:v>2.6768700000000001</c:v>
                </c:pt>
                <c:pt idx="47">
                  <c:v>2.6821099999999998</c:v>
                </c:pt>
                <c:pt idx="48">
                  <c:v>2.69102</c:v>
                </c:pt>
                <c:pt idx="49">
                  <c:v>2.7020100000000005</c:v>
                </c:pt>
                <c:pt idx="50">
                  <c:v>2.7147600000000001</c:v>
                </c:pt>
                <c:pt idx="51">
                  <c:v>2.7133500000000002</c:v>
                </c:pt>
                <c:pt idx="52">
                  <c:v>2.7119900000000001</c:v>
                </c:pt>
                <c:pt idx="53">
                  <c:v>2.7101500000000001</c:v>
                </c:pt>
                <c:pt idx="54">
                  <c:v>2.70817</c:v>
                </c:pt>
                <c:pt idx="55">
                  <c:v>2.7070699999999999</c:v>
                </c:pt>
                <c:pt idx="56">
                  <c:v>2.7066499999999998</c:v>
                </c:pt>
                <c:pt idx="57">
                  <c:v>2.7063999999999999</c:v>
                </c:pt>
                <c:pt idx="58">
                  <c:v>2.7067999999999999</c:v>
                </c:pt>
                <c:pt idx="59">
                  <c:v>2.7080799999999998</c:v>
                </c:pt>
                <c:pt idx="60">
                  <c:v>2.7109899999999998</c:v>
                </c:pt>
                <c:pt idx="61">
                  <c:v>2.7158300000000004</c:v>
                </c:pt>
                <c:pt idx="62">
                  <c:v>2.72262</c:v>
                </c:pt>
                <c:pt idx="63">
                  <c:v>2.7308500000000002</c:v>
                </c:pt>
                <c:pt idx="64">
                  <c:v>2.7404299999999999</c:v>
                </c:pt>
                <c:pt idx="65">
                  <c:v>2.7515800000000001</c:v>
                </c:pt>
                <c:pt idx="66">
                  <c:v>2.7645999999999997</c:v>
                </c:pt>
                <c:pt idx="67">
                  <c:v>2.7843099999999996</c:v>
                </c:pt>
                <c:pt idx="68">
                  <c:v>2.8184900000000002</c:v>
                </c:pt>
                <c:pt idx="69">
                  <c:v>2.8623099999999999</c:v>
                </c:pt>
                <c:pt idx="70">
                  <c:v>2.9047499999999999</c:v>
                </c:pt>
                <c:pt idx="71">
                  <c:v>2.93533</c:v>
                </c:pt>
                <c:pt idx="72">
                  <c:v>2.96957</c:v>
                </c:pt>
                <c:pt idx="73">
                  <c:v>2.9939500000000003</c:v>
                </c:pt>
                <c:pt idx="74">
                  <c:v>3.0165500000000001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14.933350000000001</c:v>
                </c:pt>
                <c:pt idx="1">
                  <c:v>44.800049999999999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2.6616813513513509</c:v>
                </c:pt>
                <c:pt idx="1">
                  <c:v>2.6561070270270277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0.40402500000000002</c:v>
                </c:pt>
                <c:pt idx="2">
                  <c:v>0.80780099999999999</c:v>
                </c:pt>
                <c:pt idx="3">
                  <c:v>1.2177899999999999</c:v>
                </c:pt>
                <c:pt idx="4">
                  <c:v>1.6186700000000001</c:v>
                </c:pt>
                <c:pt idx="5">
                  <c:v>2.0286400000000002</c:v>
                </c:pt>
                <c:pt idx="6">
                  <c:v>2.43676</c:v>
                </c:pt>
                <c:pt idx="7">
                  <c:v>2.8423400000000001</c:v>
                </c:pt>
                <c:pt idx="8">
                  <c:v>3.2482500000000001</c:v>
                </c:pt>
                <c:pt idx="9">
                  <c:v>3.6544699999999999</c:v>
                </c:pt>
                <c:pt idx="10">
                  <c:v>4.0593500000000002</c:v>
                </c:pt>
                <c:pt idx="11">
                  <c:v>4.4641000000000002</c:v>
                </c:pt>
                <c:pt idx="12">
                  <c:v>4.87697</c:v>
                </c:pt>
                <c:pt idx="13">
                  <c:v>5.2788500000000003</c:v>
                </c:pt>
                <c:pt idx="14">
                  <c:v>5.6847500000000002</c:v>
                </c:pt>
                <c:pt idx="15">
                  <c:v>6.0921799999999999</c:v>
                </c:pt>
                <c:pt idx="16">
                  <c:v>6.49587</c:v>
                </c:pt>
                <c:pt idx="17">
                  <c:v>6.9056800000000003</c:v>
                </c:pt>
                <c:pt idx="18">
                  <c:v>7.3133400000000002</c:v>
                </c:pt>
                <c:pt idx="19">
                  <c:v>7.7172799999999997</c:v>
                </c:pt>
                <c:pt idx="20">
                  <c:v>8.1204900000000002</c:v>
                </c:pt>
                <c:pt idx="21">
                  <c:v>8.5282400000000003</c:v>
                </c:pt>
                <c:pt idx="22">
                  <c:v>8.9371899999999993</c:v>
                </c:pt>
                <c:pt idx="23">
                  <c:v>9.3391000000000002</c:v>
                </c:pt>
                <c:pt idx="24">
                  <c:v>9.7498699999999996</c:v>
                </c:pt>
                <c:pt idx="25">
                  <c:v>10.152900000000001</c:v>
                </c:pt>
                <c:pt idx="26">
                  <c:v>10.5579</c:v>
                </c:pt>
                <c:pt idx="27">
                  <c:v>10.964700000000001</c:v>
                </c:pt>
                <c:pt idx="28">
                  <c:v>11.3765</c:v>
                </c:pt>
                <c:pt idx="29">
                  <c:v>11.778499999999999</c:v>
                </c:pt>
                <c:pt idx="30">
                  <c:v>12.183299999999999</c:v>
                </c:pt>
                <c:pt idx="31">
                  <c:v>12.5906</c:v>
                </c:pt>
                <c:pt idx="32">
                  <c:v>12.998100000000001</c:v>
                </c:pt>
                <c:pt idx="33">
                  <c:v>13.405099999999999</c:v>
                </c:pt>
                <c:pt idx="34">
                  <c:v>13.811999999999999</c:v>
                </c:pt>
                <c:pt idx="35">
                  <c:v>14.2149</c:v>
                </c:pt>
                <c:pt idx="36">
                  <c:v>14.623200000000001</c:v>
                </c:pt>
                <c:pt idx="37">
                  <c:v>15.028700000000001</c:v>
                </c:pt>
                <c:pt idx="38">
                  <c:v>15.4346</c:v>
                </c:pt>
                <c:pt idx="39">
                  <c:v>15.842599999999999</c:v>
                </c:pt>
                <c:pt idx="40">
                  <c:v>16.2456</c:v>
                </c:pt>
                <c:pt idx="41">
                  <c:v>16.6525</c:v>
                </c:pt>
                <c:pt idx="42">
                  <c:v>17.060300000000002</c:v>
                </c:pt>
                <c:pt idx="43">
                  <c:v>17.466200000000001</c:v>
                </c:pt>
                <c:pt idx="44">
                  <c:v>17.869199999999999</c:v>
                </c:pt>
                <c:pt idx="45">
                  <c:v>18.28</c:v>
                </c:pt>
                <c:pt idx="46">
                  <c:v>18.692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19.906199999999998</c:v>
                </c:pt>
                <c:pt idx="50">
                  <c:v>20.3126</c:v>
                </c:pt>
                <c:pt idx="51">
                  <c:v>20.718599999999999</c:v>
                </c:pt>
                <c:pt idx="52">
                  <c:v>21.122399999999999</c:v>
                </c:pt>
                <c:pt idx="53">
                  <c:v>21.5274</c:v>
                </c:pt>
                <c:pt idx="54">
                  <c:v>21.934699999999999</c:v>
                </c:pt>
                <c:pt idx="55">
                  <c:v>22.345199999999998</c:v>
                </c:pt>
                <c:pt idx="56">
                  <c:v>22.748100000000001</c:v>
                </c:pt>
                <c:pt idx="57">
                  <c:v>23.152000000000001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24.370999999999999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25.589500000000001</c:v>
                </c:pt>
                <c:pt idx="64">
                  <c:v>25.996500000000001</c:v>
                </c:pt>
                <c:pt idx="65">
                  <c:v>26.406400000000001</c:v>
                </c:pt>
                <c:pt idx="66">
                  <c:v>26.804600000000001</c:v>
                </c:pt>
                <c:pt idx="67">
                  <c:v>27.2181</c:v>
                </c:pt>
                <c:pt idx="68">
                  <c:v>27.622299999999999</c:v>
                </c:pt>
                <c:pt idx="69">
                  <c:v>28.026</c:v>
                </c:pt>
                <c:pt idx="70">
                  <c:v>28.436</c:v>
                </c:pt>
                <c:pt idx="71">
                  <c:v>28.841799999999999</c:v>
                </c:pt>
                <c:pt idx="72">
                  <c:v>29.249700000000001</c:v>
                </c:pt>
                <c:pt idx="73">
                  <c:v>29.6539</c:v>
                </c:pt>
                <c:pt idx="74">
                  <c:v>30.058599999999998</c:v>
                </c:pt>
                <c:pt idx="75">
                  <c:v>30.481400000000001</c:v>
                </c:pt>
                <c:pt idx="76">
                  <c:v>30.887499999999999</c:v>
                </c:pt>
                <c:pt idx="77">
                  <c:v>31.2925</c:v>
                </c:pt>
                <c:pt idx="78">
                  <c:v>31.700199999999999</c:v>
                </c:pt>
                <c:pt idx="79">
                  <c:v>32.109099999999998</c:v>
                </c:pt>
                <c:pt idx="80">
                  <c:v>32.512999999999998</c:v>
                </c:pt>
                <c:pt idx="81">
                  <c:v>32.920299999999997</c:v>
                </c:pt>
                <c:pt idx="82">
                  <c:v>33.323999999999998</c:v>
                </c:pt>
                <c:pt idx="83">
                  <c:v>33.732700000000001</c:v>
                </c:pt>
                <c:pt idx="84">
                  <c:v>34.139699999999998</c:v>
                </c:pt>
                <c:pt idx="85">
                  <c:v>34.543700000000001</c:v>
                </c:pt>
                <c:pt idx="86">
                  <c:v>34.951500000000003</c:v>
                </c:pt>
                <c:pt idx="87">
                  <c:v>35.359400000000001</c:v>
                </c:pt>
                <c:pt idx="88">
                  <c:v>35.763300000000001</c:v>
                </c:pt>
                <c:pt idx="89">
                  <c:v>36.167299999999997</c:v>
                </c:pt>
                <c:pt idx="90">
                  <c:v>36.574599999999997</c:v>
                </c:pt>
                <c:pt idx="91">
                  <c:v>36.984000000000002</c:v>
                </c:pt>
                <c:pt idx="92">
                  <c:v>37.392000000000003</c:v>
                </c:pt>
                <c:pt idx="93">
                  <c:v>37.792900000000003</c:v>
                </c:pt>
                <c:pt idx="94">
                  <c:v>38.198799999999999</c:v>
                </c:pt>
                <c:pt idx="95">
                  <c:v>38.606000000000002</c:v>
                </c:pt>
                <c:pt idx="96">
                  <c:v>39.015700000000002</c:v>
                </c:pt>
                <c:pt idx="97">
                  <c:v>39.421599999999998</c:v>
                </c:pt>
                <c:pt idx="98">
                  <c:v>39.826500000000003</c:v>
                </c:pt>
                <c:pt idx="99">
                  <c:v>40.230400000000003</c:v>
                </c:pt>
                <c:pt idx="100">
                  <c:v>40.6357</c:v>
                </c:pt>
                <c:pt idx="101">
                  <c:v>41.044199999999996</c:v>
                </c:pt>
                <c:pt idx="102">
                  <c:v>41.452100000000002</c:v>
                </c:pt>
                <c:pt idx="103">
                  <c:v>41.859099999999998</c:v>
                </c:pt>
                <c:pt idx="104">
                  <c:v>42.262</c:v>
                </c:pt>
                <c:pt idx="105">
                  <c:v>42.668999999999997</c:v>
                </c:pt>
                <c:pt idx="106">
                  <c:v>43.076900000000002</c:v>
                </c:pt>
                <c:pt idx="107">
                  <c:v>43.482700000000001</c:v>
                </c:pt>
                <c:pt idx="108">
                  <c:v>43.888599999999997</c:v>
                </c:pt>
                <c:pt idx="109">
                  <c:v>44.295699999999997</c:v>
                </c:pt>
                <c:pt idx="110">
                  <c:v>44.699800000000003</c:v>
                </c:pt>
                <c:pt idx="111">
                  <c:v>45.1083</c:v>
                </c:pt>
                <c:pt idx="112">
                  <c:v>45.517299999999999</c:v>
                </c:pt>
                <c:pt idx="113">
                  <c:v>45.920499999999997</c:v>
                </c:pt>
                <c:pt idx="114">
                  <c:v>46.326300000000003</c:v>
                </c:pt>
                <c:pt idx="115">
                  <c:v>46.7346</c:v>
                </c:pt>
                <c:pt idx="116">
                  <c:v>47.136099999999999</c:v>
                </c:pt>
                <c:pt idx="117">
                  <c:v>47.546799999999998</c:v>
                </c:pt>
                <c:pt idx="118">
                  <c:v>47.951700000000002</c:v>
                </c:pt>
                <c:pt idx="119">
                  <c:v>48.354700000000001</c:v>
                </c:pt>
                <c:pt idx="120">
                  <c:v>48.764099999999999</c:v>
                </c:pt>
                <c:pt idx="121">
                  <c:v>49.170699999999997</c:v>
                </c:pt>
                <c:pt idx="122">
                  <c:v>49.5745</c:v>
                </c:pt>
                <c:pt idx="123">
                  <c:v>49.979500000000002</c:v>
                </c:pt>
                <c:pt idx="124">
                  <c:v>50.385399999999997</c:v>
                </c:pt>
                <c:pt idx="125">
                  <c:v>50.792099999999998</c:v>
                </c:pt>
                <c:pt idx="126">
                  <c:v>51.198999999999998</c:v>
                </c:pt>
                <c:pt idx="127">
                  <c:v>51.604999999999997</c:v>
                </c:pt>
                <c:pt idx="128">
                  <c:v>52.0124</c:v>
                </c:pt>
                <c:pt idx="129">
                  <c:v>52.418799999999997</c:v>
                </c:pt>
                <c:pt idx="130">
                  <c:v>52.826700000000002</c:v>
                </c:pt>
                <c:pt idx="131">
                  <c:v>53.230600000000003</c:v>
                </c:pt>
                <c:pt idx="132">
                  <c:v>53.635599999999997</c:v>
                </c:pt>
                <c:pt idx="133">
                  <c:v>54.043900000000001</c:v>
                </c:pt>
                <c:pt idx="134">
                  <c:v>54.448399999999999</c:v>
                </c:pt>
                <c:pt idx="135">
                  <c:v>54.8583</c:v>
                </c:pt>
                <c:pt idx="136">
                  <c:v>55.2622</c:v>
                </c:pt>
                <c:pt idx="137">
                  <c:v>55.668199999999999</c:v>
                </c:pt>
                <c:pt idx="138">
                  <c:v>56.076300000000003</c:v>
                </c:pt>
                <c:pt idx="139">
                  <c:v>56.482999999999997</c:v>
                </c:pt>
                <c:pt idx="140">
                  <c:v>56.8889</c:v>
                </c:pt>
                <c:pt idx="141">
                  <c:v>57.2988</c:v>
                </c:pt>
                <c:pt idx="142">
                  <c:v>57.700699999999998</c:v>
                </c:pt>
                <c:pt idx="143">
                  <c:v>58.105699999999999</c:v>
                </c:pt>
                <c:pt idx="144">
                  <c:v>58.511600000000001</c:v>
                </c:pt>
                <c:pt idx="145">
                  <c:v>58.921500000000002</c:v>
                </c:pt>
                <c:pt idx="146">
                  <c:v>59.327300000000001</c:v>
                </c:pt>
                <c:pt idx="147">
                  <c:v>59.733400000000003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58.658500000000004</c:v>
                </c:pt>
                <c:pt idx="1">
                  <c:v>58.703499999999998</c:v>
                </c:pt>
                <c:pt idx="2">
                  <c:v>58.820999999999998</c:v>
                </c:pt>
                <c:pt idx="3">
                  <c:v>58.913800000000002</c:v>
                </c:pt>
                <c:pt idx="4">
                  <c:v>58.805900000000001</c:v>
                </c:pt>
                <c:pt idx="5">
                  <c:v>58.656399999999998</c:v>
                </c:pt>
                <c:pt idx="6">
                  <c:v>58.457400000000007</c:v>
                </c:pt>
                <c:pt idx="7">
                  <c:v>58.191199999999995</c:v>
                </c:pt>
                <c:pt idx="8">
                  <c:v>57.909500000000001</c:v>
                </c:pt>
                <c:pt idx="9">
                  <c:v>57.615799999999993</c:v>
                </c:pt>
                <c:pt idx="10">
                  <c:v>57.244300000000003</c:v>
                </c:pt>
                <c:pt idx="11">
                  <c:v>56.792200000000001</c:v>
                </c:pt>
                <c:pt idx="12">
                  <c:v>56.319300000000005</c:v>
                </c:pt>
                <c:pt idx="13">
                  <c:v>55.863500000000002</c:v>
                </c:pt>
                <c:pt idx="14">
                  <c:v>55.356499999999997</c:v>
                </c:pt>
                <c:pt idx="15">
                  <c:v>54.800899999999999</c:v>
                </c:pt>
                <c:pt idx="16">
                  <c:v>54.145800000000001</c:v>
                </c:pt>
                <c:pt idx="17">
                  <c:v>53.509599999999999</c:v>
                </c:pt>
                <c:pt idx="18">
                  <c:v>52.889800000000001</c:v>
                </c:pt>
                <c:pt idx="19">
                  <c:v>52.325000000000003</c:v>
                </c:pt>
                <c:pt idx="20">
                  <c:v>51.806700000000006</c:v>
                </c:pt>
                <c:pt idx="21">
                  <c:v>51.292499999999997</c:v>
                </c:pt>
                <c:pt idx="22">
                  <c:v>50.795400000000001</c:v>
                </c:pt>
                <c:pt idx="23">
                  <c:v>50.328300000000006</c:v>
                </c:pt>
                <c:pt idx="24">
                  <c:v>49.847299999999997</c:v>
                </c:pt>
                <c:pt idx="25">
                  <c:v>49.384</c:v>
                </c:pt>
                <c:pt idx="26">
                  <c:v>48.936600000000006</c:v>
                </c:pt>
                <c:pt idx="27">
                  <c:v>48.469200000000001</c:v>
                </c:pt>
                <c:pt idx="28">
                  <c:v>48.007300000000001</c:v>
                </c:pt>
                <c:pt idx="29">
                  <c:v>47.589799999999997</c:v>
                </c:pt>
                <c:pt idx="30">
                  <c:v>47.255299999999998</c:v>
                </c:pt>
                <c:pt idx="31">
                  <c:v>46.9497</c:v>
                </c:pt>
                <c:pt idx="32">
                  <c:v>46.6464</c:v>
                </c:pt>
                <c:pt idx="33">
                  <c:v>46.314399999999999</c:v>
                </c:pt>
                <c:pt idx="34">
                  <c:v>46.000799999999998</c:v>
                </c:pt>
                <c:pt idx="35">
                  <c:v>45.7896</c:v>
                </c:pt>
                <c:pt idx="36">
                  <c:v>45.644400000000005</c:v>
                </c:pt>
                <c:pt idx="37">
                  <c:v>45.509599999999999</c:v>
                </c:pt>
                <c:pt idx="38">
                  <c:v>45.390799999999999</c:v>
                </c:pt>
                <c:pt idx="39">
                  <c:v>45.318100000000001</c:v>
                </c:pt>
                <c:pt idx="40">
                  <c:v>45.285599999999995</c:v>
                </c:pt>
                <c:pt idx="41">
                  <c:v>45.310699999999997</c:v>
                </c:pt>
                <c:pt idx="42">
                  <c:v>45.311500000000002</c:v>
                </c:pt>
                <c:pt idx="43">
                  <c:v>45.3795</c:v>
                </c:pt>
                <c:pt idx="44">
                  <c:v>45.3917</c:v>
                </c:pt>
                <c:pt idx="45">
                  <c:v>45.342300000000002</c:v>
                </c:pt>
                <c:pt idx="46">
                  <c:v>45.276899999999998</c:v>
                </c:pt>
                <c:pt idx="47">
                  <c:v>45.173999999999999</c:v>
                </c:pt>
                <c:pt idx="48">
                  <c:v>45.009900000000002</c:v>
                </c:pt>
                <c:pt idx="49">
                  <c:v>44.791799999999995</c:v>
                </c:pt>
                <c:pt idx="50">
                  <c:v>44.502399999999994</c:v>
                </c:pt>
                <c:pt idx="51">
                  <c:v>44.106200000000001</c:v>
                </c:pt>
                <c:pt idx="52">
                  <c:v>43.675899999999999</c:v>
                </c:pt>
                <c:pt idx="53">
                  <c:v>43.226199999999999</c:v>
                </c:pt>
                <c:pt idx="54">
                  <c:v>42.872500000000002</c:v>
                </c:pt>
                <c:pt idx="55">
                  <c:v>42.626899999999999</c:v>
                </c:pt>
                <c:pt idx="56">
                  <c:v>42.513500000000001</c:v>
                </c:pt>
                <c:pt idx="57">
                  <c:v>42.4392</c:v>
                </c:pt>
                <c:pt idx="58">
                  <c:v>42.339100000000002</c:v>
                </c:pt>
                <c:pt idx="59">
                  <c:v>42.197699999999998</c:v>
                </c:pt>
                <c:pt idx="60">
                  <c:v>41.936199999999999</c:v>
                </c:pt>
                <c:pt idx="61">
                  <c:v>41.616599999999998</c:v>
                </c:pt>
                <c:pt idx="62">
                  <c:v>41.305300000000003</c:v>
                </c:pt>
                <c:pt idx="63">
                  <c:v>40.993499999999997</c:v>
                </c:pt>
                <c:pt idx="64">
                  <c:v>40.746900000000004</c:v>
                </c:pt>
                <c:pt idx="65">
                  <c:v>40.527000000000001</c:v>
                </c:pt>
                <c:pt idx="66">
                  <c:v>40.279699999999998</c:v>
                </c:pt>
                <c:pt idx="67">
                  <c:v>40.049099999999996</c:v>
                </c:pt>
                <c:pt idx="68">
                  <c:v>39.805600000000005</c:v>
                </c:pt>
                <c:pt idx="69">
                  <c:v>39.630500000000005</c:v>
                </c:pt>
                <c:pt idx="70">
                  <c:v>39.409599999999998</c:v>
                </c:pt>
                <c:pt idx="71">
                  <c:v>39.151399999999995</c:v>
                </c:pt>
                <c:pt idx="72">
                  <c:v>38.8812</c:v>
                </c:pt>
                <c:pt idx="73">
                  <c:v>38.618200000000002</c:v>
                </c:pt>
                <c:pt idx="74">
                  <c:v>38.425799999999995</c:v>
                </c:pt>
                <c:pt idx="75">
                  <c:v>38.3033</c:v>
                </c:pt>
                <c:pt idx="76">
                  <c:v>38.300200000000004</c:v>
                </c:pt>
                <c:pt idx="77">
                  <c:v>38.398400000000002</c:v>
                </c:pt>
                <c:pt idx="78">
                  <c:v>38.563199999999995</c:v>
                </c:pt>
                <c:pt idx="79">
                  <c:v>38.667400000000001</c:v>
                </c:pt>
                <c:pt idx="80">
                  <c:v>38.628900000000002</c:v>
                </c:pt>
                <c:pt idx="81">
                  <c:v>38.479500000000002</c:v>
                </c:pt>
                <c:pt idx="82">
                  <c:v>38.414300000000004</c:v>
                </c:pt>
                <c:pt idx="83">
                  <c:v>38.4756</c:v>
                </c:pt>
                <c:pt idx="84">
                  <c:v>38.6447</c:v>
                </c:pt>
                <c:pt idx="85">
                  <c:v>38.914200000000001</c:v>
                </c:pt>
                <c:pt idx="86">
                  <c:v>39.168100000000003</c:v>
                </c:pt>
                <c:pt idx="87">
                  <c:v>39.470300000000002</c:v>
                </c:pt>
                <c:pt idx="88">
                  <c:v>39.8568</c:v>
                </c:pt>
                <c:pt idx="89">
                  <c:v>40.198399999999999</c:v>
                </c:pt>
                <c:pt idx="90">
                  <c:v>40.555600000000005</c:v>
                </c:pt>
                <c:pt idx="91">
                  <c:v>40.932000000000002</c:v>
                </c:pt>
                <c:pt idx="92">
                  <c:v>41.303100000000001</c:v>
                </c:pt>
                <c:pt idx="93">
                  <c:v>41.608800000000002</c:v>
                </c:pt>
                <c:pt idx="94">
                  <c:v>41.781800000000004</c:v>
                </c:pt>
                <c:pt idx="95">
                  <c:v>41.862500000000004</c:v>
                </c:pt>
                <c:pt idx="96">
                  <c:v>41.93</c:v>
                </c:pt>
                <c:pt idx="97">
                  <c:v>42.0139</c:v>
                </c:pt>
                <c:pt idx="98">
                  <c:v>42.039500000000004</c:v>
                </c:pt>
                <c:pt idx="99">
                  <c:v>41.982500000000002</c:v>
                </c:pt>
                <c:pt idx="100">
                  <c:v>41.923300000000005</c:v>
                </c:pt>
                <c:pt idx="101">
                  <c:v>41.794399999999996</c:v>
                </c:pt>
                <c:pt idx="102">
                  <c:v>41.642899999999997</c:v>
                </c:pt>
                <c:pt idx="103">
                  <c:v>41.546999999999997</c:v>
                </c:pt>
                <c:pt idx="104">
                  <c:v>41.571100000000001</c:v>
                </c:pt>
                <c:pt idx="105">
                  <c:v>41.720199999999998</c:v>
                </c:pt>
                <c:pt idx="106">
                  <c:v>41.926299999999998</c:v>
                </c:pt>
                <c:pt idx="107">
                  <c:v>42.117399999999996</c:v>
                </c:pt>
                <c:pt idx="108">
                  <c:v>42.369299999999996</c:v>
                </c:pt>
                <c:pt idx="109">
                  <c:v>42.668399999999998</c:v>
                </c:pt>
                <c:pt idx="110">
                  <c:v>42.9955</c:v>
                </c:pt>
                <c:pt idx="111">
                  <c:v>43.381399999999999</c:v>
                </c:pt>
                <c:pt idx="112">
                  <c:v>43.714700000000001</c:v>
                </c:pt>
                <c:pt idx="113">
                  <c:v>43.9938</c:v>
                </c:pt>
                <c:pt idx="114">
                  <c:v>44.2224</c:v>
                </c:pt>
                <c:pt idx="115">
                  <c:v>44.352999999999994</c:v>
                </c:pt>
                <c:pt idx="116">
                  <c:v>44.461600000000004</c:v>
                </c:pt>
                <c:pt idx="117">
                  <c:v>44.595100000000002</c:v>
                </c:pt>
                <c:pt idx="118">
                  <c:v>44.703700000000005</c:v>
                </c:pt>
                <c:pt idx="119">
                  <c:v>44.789000000000001</c:v>
                </c:pt>
                <c:pt idx="120">
                  <c:v>45.000399999999999</c:v>
                </c:pt>
                <c:pt idx="121">
                  <c:v>45.232700000000001</c:v>
                </c:pt>
                <c:pt idx="122">
                  <c:v>45.397199999999998</c:v>
                </c:pt>
                <c:pt idx="123">
                  <c:v>45.488599999999998</c:v>
                </c:pt>
                <c:pt idx="124">
                  <c:v>45.652000000000001</c:v>
                </c:pt>
                <c:pt idx="125">
                  <c:v>45.831600000000002</c:v>
                </c:pt>
                <c:pt idx="126">
                  <c:v>46.061999999999998</c:v>
                </c:pt>
                <c:pt idx="127">
                  <c:v>46.319099999999999</c:v>
                </c:pt>
                <c:pt idx="128">
                  <c:v>46.5396</c:v>
                </c:pt>
                <c:pt idx="129">
                  <c:v>46.726500000000001</c:v>
                </c:pt>
                <c:pt idx="130">
                  <c:v>46.918799999999997</c:v>
                </c:pt>
                <c:pt idx="131">
                  <c:v>47.103200000000001</c:v>
                </c:pt>
                <c:pt idx="132">
                  <c:v>47.256300000000003</c:v>
                </c:pt>
                <c:pt idx="133">
                  <c:v>47.339399999999998</c:v>
                </c:pt>
                <c:pt idx="134">
                  <c:v>47.352899999999998</c:v>
                </c:pt>
                <c:pt idx="135">
                  <c:v>47.331699999999998</c:v>
                </c:pt>
                <c:pt idx="136">
                  <c:v>47.316699999999997</c:v>
                </c:pt>
                <c:pt idx="137">
                  <c:v>47.313300000000005</c:v>
                </c:pt>
                <c:pt idx="138">
                  <c:v>47.327999999999996</c:v>
                </c:pt>
                <c:pt idx="139">
                  <c:v>47.3538</c:v>
                </c:pt>
                <c:pt idx="140">
                  <c:v>47.474299999999999</c:v>
                </c:pt>
                <c:pt idx="141">
                  <c:v>47.639800000000001</c:v>
                </c:pt>
                <c:pt idx="142">
                  <c:v>47.690599999999996</c:v>
                </c:pt>
                <c:pt idx="143">
                  <c:v>47.7637</c:v>
                </c:pt>
                <c:pt idx="144">
                  <c:v>47.897199999999998</c:v>
                </c:pt>
                <c:pt idx="145">
                  <c:v>47.830600000000004</c:v>
                </c:pt>
                <c:pt idx="146">
                  <c:v>47.267199999999995</c:v>
                </c:pt>
                <c:pt idx="147">
                  <c:v>46.6023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0.40402500000000002</c:v>
                </c:pt>
                <c:pt idx="2">
                  <c:v>0.80780099999999999</c:v>
                </c:pt>
                <c:pt idx="3">
                  <c:v>1.2177899999999999</c:v>
                </c:pt>
                <c:pt idx="4">
                  <c:v>1.6186700000000001</c:v>
                </c:pt>
                <c:pt idx="5">
                  <c:v>2.0286400000000002</c:v>
                </c:pt>
                <c:pt idx="6">
                  <c:v>2.43676</c:v>
                </c:pt>
                <c:pt idx="7">
                  <c:v>2.8423400000000001</c:v>
                </c:pt>
                <c:pt idx="8">
                  <c:v>3.2482500000000001</c:v>
                </c:pt>
                <c:pt idx="9">
                  <c:v>3.6544699999999999</c:v>
                </c:pt>
                <c:pt idx="10">
                  <c:v>4.0593500000000002</c:v>
                </c:pt>
                <c:pt idx="11">
                  <c:v>4.4641000000000002</c:v>
                </c:pt>
                <c:pt idx="12">
                  <c:v>4.87697</c:v>
                </c:pt>
                <c:pt idx="13">
                  <c:v>5.2788500000000003</c:v>
                </c:pt>
                <c:pt idx="14">
                  <c:v>5.6847500000000002</c:v>
                </c:pt>
                <c:pt idx="15">
                  <c:v>6.0921799999999999</c:v>
                </c:pt>
                <c:pt idx="16">
                  <c:v>6.49587</c:v>
                </c:pt>
                <c:pt idx="17">
                  <c:v>6.9056800000000003</c:v>
                </c:pt>
                <c:pt idx="18">
                  <c:v>7.3133400000000002</c:v>
                </c:pt>
                <c:pt idx="19">
                  <c:v>7.7172799999999997</c:v>
                </c:pt>
                <c:pt idx="20">
                  <c:v>8.1204900000000002</c:v>
                </c:pt>
                <c:pt idx="21">
                  <c:v>8.5282400000000003</c:v>
                </c:pt>
                <c:pt idx="22">
                  <c:v>8.9371899999999993</c:v>
                </c:pt>
                <c:pt idx="23">
                  <c:v>9.3391000000000002</c:v>
                </c:pt>
                <c:pt idx="24">
                  <c:v>9.7498699999999996</c:v>
                </c:pt>
                <c:pt idx="25">
                  <c:v>10.152900000000001</c:v>
                </c:pt>
                <c:pt idx="26">
                  <c:v>10.5579</c:v>
                </c:pt>
                <c:pt idx="27">
                  <c:v>10.964700000000001</c:v>
                </c:pt>
                <c:pt idx="28">
                  <c:v>11.3765</c:v>
                </c:pt>
                <c:pt idx="29">
                  <c:v>11.778499999999999</c:v>
                </c:pt>
                <c:pt idx="30">
                  <c:v>12.183299999999999</c:v>
                </c:pt>
                <c:pt idx="31">
                  <c:v>12.5906</c:v>
                </c:pt>
                <c:pt idx="32">
                  <c:v>12.998100000000001</c:v>
                </c:pt>
                <c:pt idx="33">
                  <c:v>13.405099999999999</c:v>
                </c:pt>
                <c:pt idx="34">
                  <c:v>13.811999999999999</c:v>
                </c:pt>
                <c:pt idx="35">
                  <c:v>14.2149</c:v>
                </c:pt>
                <c:pt idx="36">
                  <c:v>14.623200000000001</c:v>
                </c:pt>
                <c:pt idx="37">
                  <c:v>15.028700000000001</c:v>
                </c:pt>
                <c:pt idx="38">
                  <c:v>15.4346</c:v>
                </c:pt>
                <c:pt idx="39">
                  <c:v>15.842599999999999</c:v>
                </c:pt>
                <c:pt idx="40">
                  <c:v>16.2456</c:v>
                </c:pt>
                <c:pt idx="41">
                  <c:v>16.6525</c:v>
                </c:pt>
                <c:pt idx="42">
                  <c:v>17.060300000000002</c:v>
                </c:pt>
                <c:pt idx="43">
                  <c:v>17.466200000000001</c:v>
                </c:pt>
                <c:pt idx="44">
                  <c:v>17.869199999999999</c:v>
                </c:pt>
                <c:pt idx="45">
                  <c:v>18.28</c:v>
                </c:pt>
                <c:pt idx="46">
                  <c:v>18.692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19.906199999999998</c:v>
                </c:pt>
                <c:pt idx="50">
                  <c:v>20.3126</c:v>
                </c:pt>
                <c:pt idx="51">
                  <c:v>20.718599999999999</c:v>
                </c:pt>
                <c:pt idx="52">
                  <c:v>21.122399999999999</c:v>
                </c:pt>
                <c:pt idx="53">
                  <c:v>21.5274</c:v>
                </c:pt>
                <c:pt idx="54">
                  <c:v>21.934699999999999</c:v>
                </c:pt>
                <c:pt idx="55">
                  <c:v>22.345199999999998</c:v>
                </c:pt>
                <c:pt idx="56">
                  <c:v>22.748100000000001</c:v>
                </c:pt>
                <c:pt idx="57">
                  <c:v>23.152000000000001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24.370999999999999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25.589500000000001</c:v>
                </c:pt>
                <c:pt idx="64">
                  <c:v>25.996500000000001</c:v>
                </c:pt>
                <c:pt idx="65">
                  <c:v>26.406400000000001</c:v>
                </c:pt>
                <c:pt idx="66">
                  <c:v>26.804600000000001</c:v>
                </c:pt>
                <c:pt idx="67">
                  <c:v>27.2181</c:v>
                </c:pt>
                <c:pt idx="68">
                  <c:v>27.622299999999999</c:v>
                </c:pt>
                <c:pt idx="69">
                  <c:v>28.026</c:v>
                </c:pt>
                <c:pt idx="70">
                  <c:v>28.436</c:v>
                </c:pt>
                <c:pt idx="71">
                  <c:v>28.841799999999999</c:v>
                </c:pt>
                <c:pt idx="72">
                  <c:v>29.249700000000001</c:v>
                </c:pt>
                <c:pt idx="73">
                  <c:v>29.6539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58.658500000000004</c:v>
                </c:pt>
                <c:pt idx="1">
                  <c:v>58.703499999999998</c:v>
                </c:pt>
                <c:pt idx="2">
                  <c:v>58.820999999999998</c:v>
                </c:pt>
                <c:pt idx="3">
                  <c:v>58.913800000000002</c:v>
                </c:pt>
                <c:pt idx="4">
                  <c:v>58.805900000000001</c:v>
                </c:pt>
                <c:pt idx="5">
                  <c:v>58.656399999999998</c:v>
                </c:pt>
                <c:pt idx="6">
                  <c:v>58.457400000000007</c:v>
                </c:pt>
                <c:pt idx="7">
                  <c:v>58.191199999999995</c:v>
                </c:pt>
                <c:pt idx="8">
                  <c:v>57.909500000000001</c:v>
                </c:pt>
                <c:pt idx="9">
                  <c:v>57.615799999999993</c:v>
                </c:pt>
                <c:pt idx="10">
                  <c:v>57.244300000000003</c:v>
                </c:pt>
                <c:pt idx="11">
                  <c:v>56.792200000000001</c:v>
                </c:pt>
                <c:pt idx="12">
                  <c:v>56.319300000000005</c:v>
                </c:pt>
                <c:pt idx="13">
                  <c:v>55.863500000000002</c:v>
                </c:pt>
                <c:pt idx="14">
                  <c:v>55.356499999999997</c:v>
                </c:pt>
                <c:pt idx="15">
                  <c:v>54.800899999999999</c:v>
                </c:pt>
                <c:pt idx="16">
                  <c:v>54.145800000000001</c:v>
                </c:pt>
                <c:pt idx="17">
                  <c:v>53.509599999999999</c:v>
                </c:pt>
                <c:pt idx="18">
                  <c:v>52.889800000000001</c:v>
                </c:pt>
                <c:pt idx="19">
                  <c:v>52.325000000000003</c:v>
                </c:pt>
                <c:pt idx="20">
                  <c:v>51.806700000000006</c:v>
                </c:pt>
                <c:pt idx="21">
                  <c:v>51.292499999999997</c:v>
                </c:pt>
                <c:pt idx="22">
                  <c:v>50.795400000000001</c:v>
                </c:pt>
                <c:pt idx="23">
                  <c:v>50.328300000000006</c:v>
                </c:pt>
                <c:pt idx="24">
                  <c:v>49.847299999999997</c:v>
                </c:pt>
                <c:pt idx="25">
                  <c:v>49.384</c:v>
                </c:pt>
                <c:pt idx="26">
                  <c:v>48.936600000000006</c:v>
                </c:pt>
                <c:pt idx="27">
                  <c:v>48.469200000000001</c:v>
                </c:pt>
                <c:pt idx="28">
                  <c:v>48.007300000000001</c:v>
                </c:pt>
                <c:pt idx="29">
                  <c:v>47.589799999999997</c:v>
                </c:pt>
                <c:pt idx="30">
                  <c:v>47.255299999999998</c:v>
                </c:pt>
                <c:pt idx="31">
                  <c:v>46.9497</c:v>
                </c:pt>
                <c:pt idx="32">
                  <c:v>46.6464</c:v>
                </c:pt>
                <c:pt idx="33">
                  <c:v>46.314399999999999</c:v>
                </c:pt>
                <c:pt idx="34">
                  <c:v>46.000799999999998</c:v>
                </c:pt>
                <c:pt idx="35">
                  <c:v>45.7896</c:v>
                </c:pt>
                <c:pt idx="36">
                  <c:v>45.644400000000005</c:v>
                </c:pt>
                <c:pt idx="37">
                  <c:v>45.509599999999999</c:v>
                </c:pt>
                <c:pt idx="38">
                  <c:v>45.390799999999999</c:v>
                </c:pt>
                <c:pt idx="39">
                  <c:v>45.318100000000001</c:v>
                </c:pt>
                <c:pt idx="40">
                  <c:v>45.285599999999995</c:v>
                </c:pt>
                <c:pt idx="41">
                  <c:v>45.310699999999997</c:v>
                </c:pt>
                <c:pt idx="42">
                  <c:v>45.311500000000002</c:v>
                </c:pt>
                <c:pt idx="43">
                  <c:v>45.3795</c:v>
                </c:pt>
                <c:pt idx="44">
                  <c:v>45.3917</c:v>
                </c:pt>
                <c:pt idx="45">
                  <c:v>45.342300000000002</c:v>
                </c:pt>
                <c:pt idx="46">
                  <c:v>45.276899999999998</c:v>
                </c:pt>
                <c:pt idx="47">
                  <c:v>45.173999999999999</c:v>
                </c:pt>
                <c:pt idx="48">
                  <c:v>45.009900000000002</c:v>
                </c:pt>
                <c:pt idx="49">
                  <c:v>44.791799999999995</c:v>
                </c:pt>
                <c:pt idx="50">
                  <c:v>44.502399999999994</c:v>
                </c:pt>
                <c:pt idx="51">
                  <c:v>44.106200000000001</c:v>
                </c:pt>
                <c:pt idx="52">
                  <c:v>43.675899999999999</c:v>
                </c:pt>
                <c:pt idx="53">
                  <c:v>43.226199999999999</c:v>
                </c:pt>
                <c:pt idx="54">
                  <c:v>42.872500000000002</c:v>
                </c:pt>
                <c:pt idx="55">
                  <c:v>42.626899999999999</c:v>
                </c:pt>
                <c:pt idx="56">
                  <c:v>42.513500000000001</c:v>
                </c:pt>
                <c:pt idx="57">
                  <c:v>42.4392</c:v>
                </c:pt>
                <c:pt idx="58">
                  <c:v>42.339100000000002</c:v>
                </c:pt>
                <c:pt idx="59">
                  <c:v>42.197699999999998</c:v>
                </c:pt>
                <c:pt idx="60">
                  <c:v>41.936199999999999</c:v>
                </c:pt>
                <c:pt idx="61">
                  <c:v>41.616599999999998</c:v>
                </c:pt>
                <c:pt idx="62">
                  <c:v>41.305300000000003</c:v>
                </c:pt>
                <c:pt idx="63">
                  <c:v>40.993499999999997</c:v>
                </c:pt>
                <c:pt idx="64">
                  <c:v>40.746900000000004</c:v>
                </c:pt>
                <c:pt idx="65">
                  <c:v>40.527000000000001</c:v>
                </c:pt>
                <c:pt idx="66">
                  <c:v>40.279699999999998</c:v>
                </c:pt>
                <c:pt idx="67">
                  <c:v>40.049099999999996</c:v>
                </c:pt>
                <c:pt idx="68">
                  <c:v>39.805600000000005</c:v>
                </c:pt>
                <c:pt idx="69">
                  <c:v>39.630500000000005</c:v>
                </c:pt>
                <c:pt idx="70">
                  <c:v>39.409599999999998</c:v>
                </c:pt>
                <c:pt idx="71">
                  <c:v>39.151399999999995</c:v>
                </c:pt>
                <c:pt idx="72">
                  <c:v>38.8812</c:v>
                </c:pt>
                <c:pt idx="73">
                  <c:v>38.618200000000002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29.6539</c:v>
                </c:pt>
                <c:pt idx="1">
                  <c:v>30.058599999999998</c:v>
                </c:pt>
                <c:pt idx="2">
                  <c:v>30.481400000000001</c:v>
                </c:pt>
                <c:pt idx="3">
                  <c:v>30.887499999999999</c:v>
                </c:pt>
                <c:pt idx="4">
                  <c:v>31.2925</c:v>
                </c:pt>
                <c:pt idx="5">
                  <c:v>31.700199999999999</c:v>
                </c:pt>
                <c:pt idx="6">
                  <c:v>32.109099999999998</c:v>
                </c:pt>
                <c:pt idx="7">
                  <c:v>32.512999999999998</c:v>
                </c:pt>
                <c:pt idx="8">
                  <c:v>32.920299999999997</c:v>
                </c:pt>
                <c:pt idx="9">
                  <c:v>33.323999999999998</c:v>
                </c:pt>
                <c:pt idx="10">
                  <c:v>33.732700000000001</c:v>
                </c:pt>
                <c:pt idx="11">
                  <c:v>34.139699999999998</c:v>
                </c:pt>
                <c:pt idx="12">
                  <c:v>34.543700000000001</c:v>
                </c:pt>
                <c:pt idx="13">
                  <c:v>34.951500000000003</c:v>
                </c:pt>
                <c:pt idx="14">
                  <c:v>35.359400000000001</c:v>
                </c:pt>
                <c:pt idx="15">
                  <c:v>35.763300000000001</c:v>
                </c:pt>
                <c:pt idx="16">
                  <c:v>36.167299999999997</c:v>
                </c:pt>
                <c:pt idx="17">
                  <c:v>36.574599999999997</c:v>
                </c:pt>
                <c:pt idx="18">
                  <c:v>36.984000000000002</c:v>
                </c:pt>
                <c:pt idx="19">
                  <c:v>37.392000000000003</c:v>
                </c:pt>
                <c:pt idx="20">
                  <c:v>37.792900000000003</c:v>
                </c:pt>
                <c:pt idx="21">
                  <c:v>38.198799999999999</c:v>
                </c:pt>
                <c:pt idx="22">
                  <c:v>38.606000000000002</c:v>
                </c:pt>
                <c:pt idx="23">
                  <c:v>39.015700000000002</c:v>
                </c:pt>
                <c:pt idx="24">
                  <c:v>39.421599999999998</c:v>
                </c:pt>
                <c:pt idx="25">
                  <c:v>39.826500000000003</c:v>
                </c:pt>
                <c:pt idx="26">
                  <c:v>40.230400000000003</c:v>
                </c:pt>
                <c:pt idx="27">
                  <c:v>40.6357</c:v>
                </c:pt>
                <c:pt idx="28">
                  <c:v>41.044199999999996</c:v>
                </c:pt>
                <c:pt idx="29">
                  <c:v>41.452100000000002</c:v>
                </c:pt>
                <c:pt idx="30">
                  <c:v>41.859099999999998</c:v>
                </c:pt>
                <c:pt idx="31">
                  <c:v>42.262</c:v>
                </c:pt>
                <c:pt idx="32">
                  <c:v>42.668999999999997</c:v>
                </c:pt>
                <c:pt idx="33">
                  <c:v>43.076900000000002</c:v>
                </c:pt>
                <c:pt idx="34">
                  <c:v>43.482700000000001</c:v>
                </c:pt>
                <c:pt idx="35">
                  <c:v>43.888599999999997</c:v>
                </c:pt>
                <c:pt idx="36">
                  <c:v>44.295699999999997</c:v>
                </c:pt>
                <c:pt idx="37">
                  <c:v>44.699800000000003</c:v>
                </c:pt>
                <c:pt idx="38">
                  <c:v>45.1083</c:v>
                </c:pt>
                <c:pt idx="39">
                  <c:v>45.517299999999999</c:v>
                </c:pt>
                <c:pt idx="40">
                  <c:v>45.920499999999997</c:v>
                </c:pt>
                <c:pt idx="41">
                  <c:v>46.326300000000003</c:v>
                </c:pt>
                <c:pt idx="42">
                  <c:v>46.7346</c:v>
                </c:pt>
                <c:pt idx="43">
                  <c:v>47.136099999999999</c:v>
                </c:pt>
                <c:pt idx="44">
                  <c:v>47.546799999999998</c:v>
                </c:pt>
                <c:pt idx="45">
                  <c:v>47.951700000000002</c:v>
                </c:pt>
                <c:pt idx="46">
                  <c:v>48.354700000000001</c:v>
                </c:pt>
                <c:pt idx="47">
                  <c:v>48.764099999999999</c:v>
                </c:pt>
                <c:pt idx="48">
                  <c:v>49.170699999999997</c:v>
                </c:pt>
                <c:pt idx="49">
                  <c:v>49.5745</c:v>
                </c:pt>
                <c:pt idx="50">
                  <c:v>49.979500000000002</c:v>
                </c:pt>
                <c:pt idx="51">
                  <c:v>50.385399999999997</c:v>
                </c:pt>
                <c:pt idx="52">
                  <c:v>50.792099999999998</c:v>
                </c:pt>
                <c:pt idx="53">
                  <c:v>51.198999999999998</c:v>
                </c:pt>
                <c:pt idx="54">
                  <c:v>51.604999999999997</c:v>
                </c:pt>
                <c:pt idx="55">
                  <c:v>52.0124</c:v>
                </c:pt>
                <c:pt idx="56">
                  <c:v>52.418799999999997</c:v>
                </c:pt>
                <c:pt idx="57">
                  <c:v>52.826700000000002</c:v>
                </c:pt>
                <c:pt idx="58">
                  <c:v>53.230600000000003</c:v>
                </c:pt>
                <c:pt idx="59">
                  <c:v>53.635599999999997</c:v>
                </c:pt>
                <c:pt idx="60">
                  <c:v>54.043900000000001</c:v>
                </c:pt>
                <c:pt idx="61">
                  <c:v>54.448399999999999</c:v>
                </c:pt>
                <c:pt idx="62">
                  <c:v>54.8583</c:v>
                </c:pt>
                <c:pt idx="63">
                  <c:v>55.2622</c:v>
                </c:pt>
                <c:pt idx="64">
                  <c:v>55.668199999999999</c:v>
                </c:pt>
                <c:pt idx="65">
                  <c:v>56.076300000000003</c:v>
                </c:pt>
                <c:pt idx="66">
                  <c:v>56.482999999999997</c:v>
                </c:pt>
                <c:pt idx="67">
                  <c:v>56.8889</c:v>
                </c:pt>
                <c:pt idx="68">
                  <c:v>57.2988</c:v>
                </c:pt>
                <c:pt idx="69">
                  <c:v>57.700699999999998</c:v>
                </c:pt>
                <c:pt idx="70">
                  <c:v>58.105699999999999</c:v>
                </c:pt>
                <c:pt idx="71">
                  <c:v>58.511600000000001</c:v>
                </c:pt>
                <c:pt idx="72">
                  <c:v>58.921500000000002</c:v>
                </c:pt>
                <c:pt idx="73">
                  <c:v>59.327300000000001</c:v>
                </c:pt>
                <c:pt idx="74">
                  <c:v>59.733400000000003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38.618200000000002</c:v>
                </c:pt>
                <c:pt idx="1">
                  <c:v>38.425799999999995</c:v>
                </c:pt>
                <c:pt idx="2">
                  <c:v>38.3033</c:v>
                </c:pt>
                <c:pt idx="3">
                  <c:v>38.300200000000004</c:v>
                </c:pt>
                <c:pt idx="4">
                  <c:v>38.398400000000002</c:v>
                </c:pt>
                <c:pt idx="5">
                  <c:v>38.563199999999995</c:v>
                </c:pt>
                <c:pt idx="6">
                  <c:v>38.667400000000001</c:v>
                </c:pt>
                <c:pt idx="7">
                  <c:v>38.628900000000002</c:v>
                </c:pt>
                <c:pt idx="8">
                  <c:v>38.479500000000002</c:v>
                </c:pt>
                <c:pt idx="9">
                  <c:v>38.414300000000004</c:v>
                </c:pt>
                <c:pt idx="10">
                  <c:v>38.4756</c:v>
                </c:pt>
                <c:pt idx="11">
                  <c:v>38.6447</c:v>
                </c:pt>
                <c:pt idx="12">
                  <c:v>38.914200000000001</c:v>
                </c:pt>
                <c:pt idx="13">
                  <c:v>39.168100000000003</c:v>
                </c:pt>
                <c:pt idx="14">
                  <c:v>39.470300000000002</c:v>
                </c:pt>
                <c:pt idx="15">
                  <c:v>39.8568</c:v>
                </c:pt>
                <c:pt idx="16">
                  <c:v>40.198399999999999</c:v>
                </c:pt>
                <c:pt idx="17">
                  <c:v>40.555600000000005</c:v>
                </c:pt>
                <c:pt idx="18">
                  <c:v>40.932000000000002</c:v>
                </c:pt>
                <c:pt idx="19">
                  <c:v>41.303100000000001</c:v>
                </c:pt>
                <c:pt idx="20">
                  <c:v>41.608800000000002</c:v>
                </c:pt>
                <c:pt idx="21">
                  <c:v>41.781800000000004</c:v>
                </c:pt>
                <c:pt idx="22">
                  <c:v>41.862500000000004</c:v>
                </c:pt>
                <c:pt idx="23">
                  <c:v>41.93</c:v>
                </c:pt>
                <c:pt idx="24">
                  <c:v>42.0139</c:v>
                </c:pt>
                <c:pt idx="25">
                  <c:v>42.039500000000004</c:v>
                </c:pt>
                <c:pt idx="26">
                  <c:v>41.982500000000002</c:v>
                </c:pt>
                <c:pt idx="27">
                  <c:v>41.923300000000005</c:v>
                </c:pt>
                <c:pt idx="28">
                  <c:v>41.794399999999996</c:v>
                </c:pt>
                <c:pt idx="29">
                  <c:v>41.642899999999997</c:v>
                </c:pt>
                <c:pt idx="30">
                  <c:v>41.546999999999997</c:v>
                </c:pt>
                <c:pt idx="31">
                  <c:v>41.571100000000001</c:v>
                </c:pt>
                <c:pt idx="32">
                  <c:v>41.720199999999998</c:v>
                </c:pt>
                <c:pt idx="33">
                  <c:v>41.926299999999998</c:v>
                </c:pt>
                <c:pt idx="34">
                  <c:v>42.117399999999996</c:v>
                </c:pt>
                <c:pt idx="35">
                  <c:v>42.369299999999996</c:v>
                </c:pt>
                <c:pt idx="36">
                  <c:v>42.668399999999998</c:v>
                </c:pt>
                <c:pt idx="37">
                  <c:v>42.9955</c:v>
                </c:pt>
                <c:pt idx="38">
                  <c:v>43.381399999999999</c:v>
                </c:pt>
                <c:pt idx="39">
                  <c:v>43.714700000000001</c:v>
                </c:pt>
                <c:pt idx="40">
                  <c:v>43.9938</c:v>
                </c:pt>
                <c:pt idx="41">
                  <c:v>44.2224</c:v>
                </c:pt>
                <c:pt idx="42">
                  <c:v>44.352999999999994</c:v>
                </c:pt>
                <c:pt idx="43">
                  <c:v>44.461600000000004</c:v>
                </c:pt>
                <c:pt idx="44">
                  <c:v>44.595100000000002</c:v>
                </c:pt>
                <c:pt idx="45">
                  <c:v>44.703700000000005</c:v>
                </c:pt>
                <c:pt idx="46">
                  <c:v>44.789000000000001</c:v>
                </c:pt>
                <c:pt idx="47">
                  <c:v>45.000399999999999</c:v>
                </c:pt>
                <c:pt idx="48">
                  <c:v>45.232700000000001</c:v>
                </c:pt>
                <c:pt idx="49">
                  <c:v>45.397199999999998</c:v>
                </c:pt>
                <c:pt idx="50">
                  <c:v>45.488599999999998</c:v>
                </c:pt>
                <c:pt idx="51">
                  <c:v>45.652000000000001</c:v>
                </c:pt>
                <c:pt idx="52">
                  <c:v>45.831600000000002</c:v>
                </c:pt>
                <c:pt idx="53">
                  <c:v>46.061999999999998</c:v>
                </c:pt>
                <c:pt idx="54">
                  <c:v>46.319099999999999</c:v>
                </c:pt>
                <c:pt idx="55">
                  <c:v>46.5396</c:v>
                </c:pt>
                <c:pt idx="56">
                  <c:v>46.726500000000001</c:v>
                </c:pt>
                <c:pt idx="57">
                  <c:v>46.918799999999997</c:v>
                </c:pt>
                <c:pt idx="58">
                  <c:v>47.103200000000001</c:v>
                </c:pt>
                <c:pt idx="59">
                  <c:v>47.256300000000003</c:v>
                </c:pt>
                <c:pt idx="60">
                  <c:v>47.339399999999998</c:v>
                </c:pt>
                <c:pt idx="61">
                  <c:v>47.352899999999998</c:v>
                </c:pt>
                <c:pt idx="62">
                  <c:v>47.331699999999998</c:v>
                </c:pt>
                <c:pt idx="63">
                  <c:v>47.316699999999997</c:v>
                </c:pt>
                <c:pt idx="64">
                  <c:v>47.313300000000005</c:v>
                </c:pt>
                <c:pt idx="65">
                  <c:v>47.327999999999996</c:v>
                </c:pt>
                <c:pt idx="66">
                  <c:v>47.3538</c:v>
                </c:pt>
                <c:pt idx="67">
                  <c:v>47.474299999999999</c:v>
                </c:pt>
                <c:pt idx="68">
                  <c:v>47.639800000000001</c:v>
                </c:pt>
                <c:pt idx="69">
                  <c:v>47.690599999999996</c:v>
                </c:pt>
                <c:pt idx="70">
                  <c:v>47.7637</c:v>
                </c:pt>
                <c:pt idx="71">
                  <c:v>47.897199999999998</c:v>
                </c:pt>
                <c:pt idx="72">
                  <c:v>47.830600000000004</c:v>
                </c:pt>
                <c:pt idx="73">
                  <c:v>47.267199999999995</c:v>
                </c:pt>
                <c:pt idx="74">
                  <c:v>46.6023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14.933350000000001</c:v>
                </c:pt>
                <c:pt idx="1">
                  <c:v>44.800049999999999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47.797032432432438</c:v>
                </c:pt>
                <c:pt idx="1">
                  <c:v>43.357281081081091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34.028599999999997</c:v>
                </c:pt>
                <c:pt idx="1">
                  <c:v>39.845199999999998</c:v>
                </c:pt>
                <c:pt idx="2">
                  <c:v>29.197800000000001</c:v>
                </c:pt>
                <c:pt idx="3">
                  <c:v>34.214599999999997</c:v>
                </c:pt>
                <c:pt idx="4">
                  <c:v>58.357300000000002</c:v>
                </c:pt>
                <c:pt idx="5">
                  <c:v>72.089299999999994</c:v>
                </c:pt>
                <c:pt idx="6">
                  <c:v>15.9556</c:v>
                </c:pt>
                <c:pt idx="7">
                  <c:v>61.359499999999997</c:v>
                </c:pt>
                <c:pt idx="8">
                  <c:v>24.250499999999999</c:v>
                </c:pt>
                <c:pt idx="9">
                  <c:v>52.499099999999999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34.860900000000001</c:v>
                </c:pt>
                <c:pt idx="1">
                  <c:v>44.502400000000002</c:v>
                </c:pt>
                <c:pt idx="2">
                  <c:v>32.985799999999998</c:v>
                </c:pt>
                <c:pt idx="3">
                  <c:v>37.593899999999998</c:v>
                </c:pt>
                <c:pt idx="4">
                  <c:v>57.062800000000003</c:v>
                </c:pt>
                <c:pt idx="5">
                  <c:v>56.7898</c:v>
                </c:pt>
                <c:pt idx="6">
                  <c:v>15.660299999999999</c:v>
                </c:pt>
                <c:pt idx="7">
                  <c:v>57.620899999999999</c:v>
                </c:pt>
                <c:pt idx="8">
                  <c:v>20.979700000000001</c:v>
                </c:pt>
                <c:pt idx="9">
                  <c:v>21.546800000000001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0.41673434666453779</c:v>
                </c:pt>
                <c:pt idx="1">
                  <c:v>0.27537257763609491</c:v>
                </c:pt>
                <c:pt idx="2">
                  <c:v>0.30789307569936725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4937</c:v>
                </c:pt>
                <c:pt idx="7">
                  <c:v>0</c:v>
                </c:pt>
                <c:pt idx="8">
                  <c:v>6968</c:v>
                </c:pt>
                <c:pt idx="9">
                  <c:v>0</c:v>
                </c:pt>
                <c:pt idx="10">
                  <c:v>0</c:v>
                </c:pt>
                <c:pt idx="11">
                  <c:v>12980</c:v>
                </c:pt>
                <c:pt idx="12">
                  <c:v>0</c:v>
                </c:pt>
                <c:pt idx="13">
                  <c:v>24160</c:v>
                </c:pt>
                <c:pt idx="14">
                  <c:v>0</c:v>
                </c:pt>
                <c:pt idx="15">
                  <c:v>0</c:v>
                </c:pt>
                <c:pt idx="16">
                  <c:v>21881</c:v>
                </c:pt>
                <c:pt idx="17">
                  <c:v>0</c:v>
                </c:pt>
                <c:pt idx="18">
                  <c:v>0</c:v>
                </c:pt>
                <c:pt idx="19">
                  <c:v>20697</c:v>
                </c:pt>
                <c:pt idx="20">
                  <c:v>0</c:v>
                </c:pt>
                <c:pt idx="21">
                  <c:v>24598</c:v>
                </c:pt>
                <c:pt idx="22">
                  <c:v>0</c:v>
                </c:pt>
                <c:pt idx="23">
                  <c:v>0</c:v>
                </c:pt>
                <c:pt idx="24">
                  <c:v>28035</c:v>
                </c:pt>
                <c:pt idx="25">
                  <c:v>0</c:v>
                </c:pt>
                <c:pt idx="26">
                  <c:v>31233</c:v>
                </c:pt>
                <c:pt idx="27">
                  <c:v>0</c:v>
                </c:pt>
                <c:pt idx="28">
                  <c:v>0</c:v>
                </c:pt>
                <c:pt idx="29">
                  <c:v>41407</c:v>
                </c:pt>
                <c:pt idx="30">
                  <c:v>0</c:v>
                </c:pt>
                <c:pt idx="31">
                  <c:v>49226</c:v>
                </c:pt>
                <c:pt idx="32">
                  <c:v>0</c:v>
                </c:pt>
                <c:pt idx="33">
                  <c:v>0</c:v>
                </c:pt>
                <c:pt idx="34">
                  <c:v>44456</c:v>
                </c:pt>
                <c:pt idx="35">
                  <c:v>0</c:v>
                </c:pt>
                <c:pt idx="36">
                  <c:v>0</c:v>
                </c:pt>
                <c:pt idx="37">
                  <c:v>47109</c:v>
                </c:pt>
                <c:pt idx="38">
                  <c:v>0</c:v>
                </c:pt>
                <c:pt idx="39">
                  <c:v>48822</c:v>
                </c:pt>
                <c:pt idx="40">
                  <c:v>0</c:v>
                </c:pt>
                <c:pt idx="41">
                  <c:v>0</c:v>
                </c:pt>
                <c:pt idx="42">
                  <c:v>49968</c:v>
                </c:pt>
                <c:pt idx="43">
                  <c:v>0</c:v>
                </c:pt>
                <c:pt idx="44">
                  <c:v>56568</c:v>
                </c:pt>
                <c:pt idx="45">
                  <c:v>0</c:v>
                </c:pt>
                <c:pt idx="46">
                  <c:v>0</c:v>
                </c:pt>
                <c:pt idx="47">
                  <c:v>51830</c:v>
                </c:pt>
                <c:pt idx="48">
                  <c:v>0</c:v>
                </c:pt>
                <c:pt idx="49">
                  <c:v>56608</c:v>
                </c:pt>
                <c:pt idx="50">
                  <c:v>0</c:v>
                </c:pt>
                <c:pt idx="51">
                  <c:v>0</c:v>
                </c:pt>
                <c:pt idx="52">
                  <c:v>60913</c:v>
                </c:pt>
                <c:pt idx="53">
                  <c:v>0</c:v>
                </c:pt>
                <c:pt idx="54">
                  <c:v>0</c:v>
                </c:pt>
                <c:pt idx="55">
                  <c:v>57301</c:v>
                </c:pt>
                <c:pt idx="56">
                  <c:v>0</c:v>
                </c:pt>
                <c:pt idx="57">
                  <c:v>60276</c:v>
                </c:pt>
                <c:pt idx="58">
                  <c:v>0</c:v>
                </c:pt>
                <c:pt idx="59">
                  <c:v>0</c:v>
                </c:pt>
                <c:pt idx="60">
                  <c:v>64453</c:v>
                </c:pt>
                <c:pt idx="61">
                  <c:v>0</c:v>
                </c:pt>
                <c:pt idx="62">
                  <c:v>66438</c:v>
                </c:pt>
                <c:pt idx="63">
                  <c:v>0</c:v>
                </c:pt>
                <c:pt idx="64">
                  <c:v>0</c:v>
                </c:pt>
                <c:pt idx="65">
                  <c:v>70712</c:v>
                </c:pt>
                <c:pt idx="66">
                  <c:v>0</c:v>
                </c:pt>
                <c:pt idx="67">
                  <c:v>84847</c:v>
                </c:pt>
                <c:pt idx="68">
                  <c:v>0</c:v>
                </c:pt>
                <c:pt idx="69">
                  <c:v>0</c:v>
                </c:pt>
                <c:pt idx="70">
                  <c:v>81581</c:v>
                </c:pt>
                <c:pt idx="71">
                  <c:v>0</c:v>
                </c:pt>
                <c:pt idx="72">
                  <c:v>0</c:v>
                </c:pt>
                <c:pt idx="73">
                  <c:v>77511</c:v>
                </c:pt>
                <c:pt idx="74">
                  <c:v>0</c:v>
                </c:pt>
                <c:pt idx="75">
                  <c:v>69478</c:v>
                </c:pt>
                <c:pt idx="76">
                  <c:v>0</c:v>
                </c:pt>
                <c:pt idx="77">
                  <c:v>0</c:v>
                </c:pt>
                <c:pt idx="78">
                  <c:v>68429</c:v>
                </c:pt>
                <c:pt idx="79">
                  <c:v>0</c:v>
                </c:pt>
                <c:pt idx="80">
                  <c:v>62686</c:v>
                </c:pt>
                <c:pt idx="81">
                  <c:v>0</c:v>
                </c:pt>
                <c:pt idx="82">
                  <c:v>0</c:v>
                </c:pt>
                <c:pt idx="83">
                  <c:v>69289</c:v>
                </c:pt>
                <c:pt idx="84">
                  <c:v>0</c:v>
                </c:pt>
                <c:pt idx="85">
                  <c:v>0</c:v>
                </c:pt>
                <c:pt idx="86">
                  <c:v>56768</c:v>
                </c:pt>
                <c:pt idx="87">
                  <c:v>0</c:v>
                </c:pt>
                <c:pt idx="88">
                  <c:v>50778</c:v>
                </c:pt>
                <c:pt idx="89">
                  <c:v>0</c:v>
                </c:pt>
                <c:pt idx="90">
                  <c:v>0</c:v>
                </c:pt>
                <c:pt idx="91">
                  <c:v>44588</c:v>
                </c:pt>
                <c:pt idx="92">
                  <c:v>0</c:v>
                </c:pt>
                <c:pt idx="93">
                  <c:v>29482</c:v>
                </c:pt>
                <c:pt idx="94">
                  <c:v>0</c:v>
                </c:pt>
                <c:pt idx="95">
                  <c:v>0</c:v>
                </c:pt>
                <c:pt idx="96">
                  <c:v>33838</c:v>
                </c:pt>
                <c:pt idx="97">
                  <c:v>0</c:v>
                </c:pt>
                <c:pt idx="98">
                  <c:v>23339</c:v>
                </c:pt>
                <c:pt idx="99">
                  <c:v>0</c:v>
                </c:pt>
                <c:pt idx="100">
                  <c:v>0</c:v>
                </c:pt>
                <c:pt idx="101">
                  <c:v>17606</c:v>
                </c:pt>
                <c:pt idx="102">
                  <c:v>0</c:v>
                </c:pt>
                <c:pt idx="103">
                  <c:v>0</c:v>
                </c:pt>
                <c:pt idx="104">
                  <c:v>16806</c:v>
                </c:pt>
                <c:pt idx="105">
                  <c:v>0</c:v>
                </c:pt>
                <c:pt idx="106">
                  <c:v>15931</c:v>
                </c:pt>
                <c:pt idx="107">
                  <c:v>0</c:v>
                </c:pt>
                <c:pt idx="108">
                  <c:v>0</c:v>
                </c:pt>
                <c:pt idx="109">
                  <c:v>14308</c:v>
                </c:pt>
                <c:pt idx="110">
                  <c:v>0</c:v>
                </c:pt>
                <c:pt idx="111">
                  <c:v>10195</c:v>
                </c:pt>
                <c:pt idx="112">
                  <c:v>0</c:v>
                </c:pt>
                <c:pt idx="113">
                  <c:v>0</c:v>
                </c:pt>
                <c:pt idx="114">
                  <c:v>10340</c:v>
                </c:pt>
                <c:pt idx="115">
                  <c:v>0</c:v>
                </c:pt>
                <c:pt idx="116">
                  <c:v>10183</c:v>
                </c:pt>
                <c:pt idx="117">
                  <c:v>0</c:v>
                </c:pt>
                <c:pt idx="118">
                  <c:v>0</c:v>
                </c:pt>
                <c:pt idx="119">
                  <c:v>9015</c:v>
                </c:pt>
                <c:pt idx="120">
                  <c:v>0</c:v>
                </c:pt>
                <c:pt idx="121">
                  <c:v>0</c:v>
                </c:pt>
                <c:pt idx="122">
                  <c:v>9403</c:v>
                </c:pt>
                <c:pt idx="123">
                  <c:v>0</c:v>
                </c:pt>
                <c:pt idx="124">
                  <c:v>7303</c:v>
                </c:pt>
                <c:pt idx="125">
                  <c:v>0</c:v>
                </c:pt>
                <c:pt idx="126">
                  <c:v>0</c:v>
                </c:pt>
                <c:pt idx="127">
                  <c:v>8500</c:v>
                </c:pt>
                <c:pt idx="128">
                  <c:v>0</c:v>
                </c:pt>
                <c:pt idx="129">
                  <c:v>9831</c:v>
                </c:pt>
                <c:pt idx="130">
                  <c:v>0</c:v>
                </c:pt>
                <c:pt idx="131">
                  <c:v>0</c:v>
                </c:pt>
                <c:pt idx="132">
                  <c:v>7854</c:v>
                </c:pt>
                <c:pt idx="133">
                  <c:v>0</c:v>
                </c:pt>
                <c:pt idx="134">
                  <c:v>5464</c:v>
                </c:pt>
                <c:pt idx="135">
                  <c:v>0</c:v>
                </c:pt>
                <c:pt idx="136">
                  <c:v>0</c:v>
                </c:pt>
                <c:pt idx="137">
                  <c:v>2954</c:v>
                </c:pt>
                <c:pt idx="138">
                  <c:v>0</c:v>
                </c:pt>
                <c:pt idx="139">
                  <c:v>0</c:v>
                </c:pt>
                <c:pt idx="140">
                  <c:v>2300</c:v>
                </c:pt>
                <c:pt idx="141">
                  <c:v>0</c:v>
                </c:pt>
                <c:pt idx="142">
                  <c:v>1280</c:v>
                </c:pt>
                <c:pt idx="143">
                  <c:v>0</c:v>
                </c:pt>
                <c:pt idx="144">
                  <c:v>0</c:v>
                </c:pt>
                <c:pt idx="145">
                  <c:v>1078</c:v>
                </c:pt>
                <c:pt idx="146">
                  <c:v>0</c:v>
                </c:pt>
                <c:pt idx="147">
                  <c:v>686</c:v>
                </c:pt>
                <c:pt idx="148">
                  <c:v>0</c:v>
                </c:pt>
                <c:pt idx="149">
                  <c:v>0</c:v>
                </c:pt>
                <c:pt idx="150">
                  <c:v>334</c:v>
                </c:pt>
                <c:pt idx="151">
                  <c:v>0</c:v>
                </c:pt>
                <c:pt idx="152">
                  <c:v>132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6738</c:v>
                </c:pt>
                <c:pt idx="7">
                  <c:v>0</c:v>
                </c:pt>
                <c:pt idx="8">
                  <c:v>9279</c:v>
                </c:pt>
                <c:pt idx="9">
                  <c:v>0</c:v>
                </c:pt>
                <c:pt idx="10">
                  <c:v>0</c:v>
                </c:pt>
                <c:pt idx="11">
                  <c:v>14512</c:v>
                </c:pt>
                <c:pt idx="12">
                  <c:v>0</c:v>
                </c:pt>
                <c:pt idx="13">
                  <c:v>20558</c:v>
                </c:pt>
                <c:pt idx="14">
                  <c:v>0</c:v>
                </c:pt>
                <c:pt idx="15">
                  <c:v>0</c:v>
                </c:pt>
                <c:pt idx="16">
                  <c:v>15084</c:v>
                </c:pt>
                <c:pt idx="17">
                  <c:v>0</c:v>
                </c:pt>
                <c:pt idx="18">
                  <c:v>0</c:v>
                </c:pt>
                <c:pt idx="19">
                  <c:v>16230</c:v>
                </c:pt>
                <c:pt idx="20">
                  <c:v>0</c:v>
                </c:pt>
                <c:pt idx="21">
                  <c:v>22978</c:v>
                </c:pt>
                <c:pt idx="22">
                  <c:v>0</c:v>
                </c:pt>
                <c:pt idx="23">
                  <c:v>0</c:v>
                </c:pt>
                <c:pt idx="24">
                  <c:v>22992</c:v>
                </c:pt>
                <c:pt idx="25">
                  <c:v>0</c:v>
                </c:pt>
                <c:pt idx="26">
                  <c:v>21251</c:v>
                </c:pt>
                <c:pt idx="27">
                  <c:v>0</c:v>
                </c:pt>
                <c:pt idx="28">
                  <c:v>0</c:v>
                </c:pt>
                <c:pt idx="29">
                  <c:v>24798</c:v>
                </c:pt>
                <c:pt idx="30">
                  <c:v>0</c:v>
                </c:pt>
                <c:pt idx="31">
                  <c:v>29766</c:v>
                </c:pt>
                <c:pt idx="32">
                  <c:v>0</c:v>
                </c:pt>
                <c:pt idx="33">
                  <c:v>0</c:v>
                </c:pt>
                <c:pt idx="34">
                  <c:v>34524</c:v>
                </c:pt>
                <c:pt idx="35">
                  <c:v>0</c:v>
                </c:pt>
                <c:pt idx="36">
                  <c:v>0</c:v>
                </c:pt>
                <c:pt idx="37">
                  <c:v>41930</c:v>
                </c:pt>
                <c:pt idx="38">
                  <c:v>0</c:v>
                </c:pt>
                <c:pt idx="39">
                  <c:v>39708</c:v>
                </c:pt>
                <c:pt idx="40">
                  <c:v>0</c:v>
                </c:pt>
                <c:pt idx="41">
                  <c:v>0</c:v>
                </c:pt>
                <c:pt idx="42">
                  <c:v>51906</c:v>
                </c:pt>
                <c:pt idx="43">
                  <c:v>0</c:v>
                </c:pt>
                <c:pt idx="44">
                  <c:v>58664</c:v>
                </c:pt>
                <c:pt idx="45">
                  <c:v>0</c:v>
                </c:pt>
                <c:pt idx="46">
                  <c:v>0</c:v>
                </c:pt>
                <c:pt idx="47">
                  <c:v>56611</c:v>
                </c:pt>
                <c:pt idx="48">
                  <c:v>0</c:v>
                </c:pt>
                <c:pt idx="49">
                  <c:v>67378</c:v>
                </c:pt>
                <c:pt idx="50">
                  <c:v>0</c:v>
                </c:pt>
                <c:pt idx="51">
                  <c:v>0</c:v>
                </c:pt>
                <c:pt idx="52">
                  <c:v>74144</c:v>
                </c:pt>
                <c:pt idx="53">
                  <c:v>0</c:v>
                </c:pt>
                <c:pt idx="54">
                  <c:v>0</c:v>
                </c:pt>
                <c:pt idx="55">
                  <c:v>74103</c:v>
                </c:pt>
                <c:pt idx="56">
                  <c:v>0</c:v>
                </c:pt>
                <c:pt idx="57">
                  <c:v>83603</c:v>
                </c:pt>
                <c:pt idx="58">
                  <c:v>0</c:v>
                </c:pt>
                <c:pt idx="59">
                  <c:v>0</c:v>
                </c:pt>
                <c:pt idx="60">
                  <c:v>90877</c:v>
                </c:pt>
                <c:pt idx="61">
                  <c:v>0</c:v>
                </c:pt>
                <c:pt idx="62">
                  <c:v>79963</c:v>
                </c:pt>
                <c:pt idx="63">
                  <c:v>0</c:v>
                </c:pt>
                <c:pt idx="64">
                  <c:v>0</c:v>
                </c:pt>
                <c:pt idx="65">
                  <c:v>77702</c:v>
                </c:pt>
                <c:pt idx="66">
                  <c:v>0</c:v>
                </c:pt>
                <c:pt idx="67">
                  <c:v>69881</c:v>
                </c:pt>
                <c:pt idx="68">
                  <c:v>0</c:v>
                </c:pt>
                <c:pt idx="69">
                  <c:v>0</c:v>
                </c:pt>
                <c:pt idx="70">
                  <c:v>65338</c:v>
                </c:pt>
                <c:pt idx="71">
                  <c:v>0</c:v>
                </c:pt>
                <c:pt idx="72">
                  <c:v>0</c:v>
                </c:pt>
                <c:pt idx="73">
                  <c:v>64978</c:v>
                </c:pt>
                <c:pt idx="74">
                  <c:v>0</c:v>
                </c:pt>
                <c:pt idx="75">
                  <c:v>60964</c:v>
                </c:pt>
                <c:pt idx="76">
                  <c:v>0</c:v>
                </c:pt>
                <c:pt idx="77">
                  <c:v>0</c:v>
                </c:pt>
                <c:pt idx="78">
                  <c:v>60285</c:v>
                </c:pt>
                <c:pt idx="79">
                  <c:v>0</c:v>
                </c:pt>
                <c:pt idx="80">
                  <c:v>57381</c:v>
                </c:pt>
                <c:pt idx="81">
                  <c:v>0</c:v>
                </c:pt>
                <c:pt idx="82">
                  <c:v>0</c:v>
                </c:pt>
                <c:pt idx="83">
                  <c:v>51603</c:v>
                </c:pt>
                <c:pt idx="84">
                  <c:v>0</c:v>
                </c:pt>
                <c:pt idx="85">
                  <c:v>0</c:v>
                </c:pt>
                <c:pt idx="86">
                  <c:v>50072</c:v>
                </c:pt>
                <c:pt idx="87">
                  <c:v>0</c:v>
                </c:pt>
                <c:pt idx="88">
                  <c:v>45314</c:v>
                </c:pt>
                <c:pt idx="89">
                  <c:v>0</c:v>
                </c:pt>
                <c:pt idx="90">
                  <c:v>0</c:v>
                </c:pt>
                <c:pt idx="91">
                  <c:v>52050</c:v>
                </c:pt>
                <c:pt idx="92">
                  <c:v>0</c:v>
                </c:pt>
                <c:pt idx="93">
                  <c:v>46088</c:v>
                </c:pt>
                <c:pt idx="94">
                  <c:v>0</c:v>
                </c:pt>
                <c:pt idx="95">
                  <c:v>0</c:v>
                </c:pt>
                <c:pt idx="96">
                  <c:v>32329</c:v>
                </c:pt>
                <c:pt idx="97">
                  <c:v>0</c:v>
                </c:pt>
                <c:pt idx="98">
                  <c:v>32588</c:v>
                </c:pt>
                <c:pt idx="99">
                  <c:v>0</c:v>
                </c:pt>
                <c:pt idx="100">
                  <c:v>0</c:v>
                </c:pt>
                <c:pt idx="101">
                  <c:v>22965</c:v>
                </c:pt>
                <c:pt idx="102">
                  <c:v>0</c:v>
                </c:pt>
                <c:pt idx="103">
                  <c:v>0</c:v>
                </c:pt>
                <c:pt idx="104">
                  <c:v>20128</c:v>
                </c:pt>
                <c:pt idx="105">
                  <c:v>0</c:v>
                </c:pt>
                <c:pt idx="106">
                  <c:v>15668</c:v>
                </c:pt>
                <c:pt idx="107">
                  <c:v>0</c:v>
                </c:pt>
                <c:pt idx="108">
                  <c:v>0</c:v>
                </c:pt>
                <c:pt idx="109">
                  <c:v>14011</c:v>
                </c:pt>
                <c:pt idx="110">
                  <c:v>0</c:v>
                </c:pt>
                <c:pt idx="111">
                  <c:v>14094</c:v>
                </c:pt>
                <c:pt idx="112">
                  <c:v>0</c:v>
                </c:pt>
                <c:pt idx="113">
                  <c:v>0</c:v>
                </c:pt>
                <c:pt idx="114">
                  <c:v>19366</c:v>
                </c:pt>
                <c:pt idx="115">
                  <c:v>0</c:v>
                </c:pt>
                <c:pt idx="116">
                  <c:v>18107</c:v>
                </c:pt>
                <c:pt idx="117">
                  <c:v>0</c:v>
                </c:pt>
                <c:pt idx="118">
                  <c:v>0</c:v>
                </c:pt>
                <c:pt idx="119">
                  <c:v>15330</c:v>
                </c:pt>
                <c:pt idx="120">
                  <c:v>0</c:v>
                </c:pt>
                <c:pt idx="121">
                  <c:v>0</c:v>
                </c:pt>
                <c:pt idx="122">
                  <c:v>16667</c:v>
                </c:pt>
                <c:pt idx="123">
                  <c:v>0</c:v>
                </c:pt>
                <c:pt idx="124">
                  <c:v>15051</c:v>
                </c:pt>
                <c:pt idx="125">
                  <c:v>0</c:v>
                </c:pt>
                <c:pt idx="126">
                  <c:v>0</c:v>
                </c:pt>
                <c:pt idx="127">
                  <c:v>14145</c:v>
                </c:pt>
                <c:pt idx="128">
                  <c:v>0</c:v>
                </c:pt>
                <c:pt idx="129">
                  <c:v>14282</c:v>
                </c:pt>
                <c:pt idx="130">
                  <c:v>0</c:v>
                </c:pt>
                <c:pt idx="131">
                  <c:v>0</c:v>
                </c:pt>
                <c:pt idx="132">
                  <c:v>11742</c:v>
                </c:pt>
                <c:pt idx="133">
                  <c:v>0</c:v>
                </c:pt>
                <c:pt idx="134">
                  <c:v>11195</c:v>
                </c:pt>
                <c:pt idx="135">
                  <c:v>0</c:v>
                </c:pt>
                <c:pt idx="136">
                  <c:v>0</c:v>
                </c:pt>
                <c:pt idx="137">
                  <c:v>10301</c:v>
                </c:pt>
                <c:pt idx="138">
                  <c:v>0</c:v>
                </c:pt>
                <c:pt idx="139">
                  <c:v>0</c:v>
                </c:pt>
                <c:pt idx="140">
                  <c:v>9310</c:v>
                </c:pt>
                <c:pt idx="141">
                  <c:v>0</c:v>
                </c:pt>
                <c:pt idx="142">
                  <c:v>7974</c:v>
                </c:pt>
                <c:pt idx="143">
                  <c:v>0</c:v>
                </c:pt>
                <c:pt idx="144">
                  <c:v>0</c:v>
                </c:pt>
                <c:pt idx="145">
                  <c:v>6386</c:v>
                </c:pt>
                <c:pt idx="146">
                  <c:v>0</c:v>
                </c:pt>
                <c:pt idx="147">
                  <c:v>3976</c:v>
                </c:pt>
                <c:pt idx="148">
                  <c:v>0</c:v>
                </c:pt>
                <c:pt idx="149">
                  <c:v>0</c:v>
                </c:pt>
                <c:pt idx="150">
                  <c:v>3766</c:v>
                </c:pt>
                <c:pt idx="151">
                  <c:v>0</c:v>
                </c:pt>
                <c:pt idx="152">
                  <c:v>2717</c:v>
                </c:pt>
                <c:pt idx="153">
                  <c:v>0</c:v>
                </c:pt>
                <c:pt idx="154">
                  <c:v>0</c:v>
                </c:pt>
                <c:pt idx="155">
                  <c:v>2724</c:v>
                </c:pt>
                <c:pt idx="156">
                  <c:v>0</c:v>
                </c:pt>
                <c:pt idx="157">
                  <c:v>0</c:v>
                </c:pt>
                <c:pt idx="158">
                  <c:v>2207</c:v>
                </c:pt>
                <c:pt idx="159">
                  <c:v>0</c:v>
                </c:pt>
                <c:pt idx="160">
                  <c:v>1589</c:v>
                </c:pt>
                <c:pt idx="161">
                  <c:v>0</c:v>
                </c:pt>
                <c:pt idx="162">
                  <c:v>0</c:v>
                </c:pt>
                <c:pt idx="163">
                  <c:v>1092</c:v>
                </c:pt>
                <c:pt idx="164">
                  <c:v>0</c:v>
                </c:pt>
                <c:pt idx="165">
                  <c:v>242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0.20406657040480777</c:v>
                </c:pt>
                <c:pt idx="1">
                  <c:v>0.30389374822539106</c:v>
                </c:pt>
                <c:pt idx="2">
                  <c:v>0.4920396813698012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0.44330866951350034</c:v>
                </c:pt>
                <c:pt idx="1">
                  <c:v>0.35520591059906215</c:v>
                </c:pt>
                <c:pt idx="2">
                  <c:v>0.20148541988743743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11.6675725</c:v>
                </c:pt>
                <c:pt idx="1">
                  <c:v>6.7841575000000001</c:v>
                </c:pt>
                <c:pt idx="2">
                  <c:v>47.961850000000005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0.40402500000000002</c:v>
                </c:pt>
                <c:pt idx="2">
                  <c:v>0.80780099999999999</c:v>
                </c:pt>
                <c:pt idx="3">
                  <c:v>1.2177899999999999</c:v>
                </c:pt>
                <c:pt idx="4">
                  <c:v>1.6186700000000001</c:v>
                </c:pt>
                <c:pt idx="5">
                  <c:v>2.0286400000000002</c:v>
                </c:pt>
                <c:pt idx="6">
                  <c:v>2.43676</c:v>
                </c:pt>
                <c:pt idx="7">
                  <c:v>2.8423400000000001</c:v>
                </c:pt>
                <c:pt idx="8">
                  <c:v>3.2482500000000001</c:v>
                </c:pt>
                <c:pt idx="9">
                  <c:v>3.6544699999999999</c:v>
                </c:pt>
                <c:pt idx="10">
                  <c:v>4.0593500000000002</c:v>
                </c:pt>
                <c:pt idx="11">
                  <c:v>4.4641000000000002</c:v>
                </c:pt>
                <c:pt idx="12">
                  <c:v>4.87697</c:v>
                </c:pt>
                <c:pt idx="13">
                  <c:v>5.2788500000000003</c:v>
                </c:pt>
                <c:pt idx="14">
                  <c:v>5.6847500000000002</c:v>
                </c:pt>
                <c:pt idx="15">
                  <c:v>6.0921799999999999</c:v>
                </c:pt>
                <c:pt idx="16">
                  <c:v>6.49587</c:v>
                </c:pt>
                <c:pt idx="17">
                  <c:v>6.9056800000000003</c:v>
                </c:pt>
                <c:pt idx="18">
                  <c:v>7.3133400000000002</c:v>
                </c:pt>
                <c:pt idx="19">
                  <c:v>7.7172799999999997</c:v>
                </c:pt>
                <c:pt idx="20">
                  <c:v>8.1204900000000002</c:v>
                </c:pt>
                <c:pt idx="21">
                  <c:v>8.5282400000000003</c:v>
                </c:pt>
                <c:pt idx="22">
                  <c:v>8.9371899999999993</c:v>
                </c:pt>
                <c:pt idx="23">
                  <c:v>9.3391000000000002</c:v>
                </c:pt>
                <c:pt idx="24">
                  <c:v>9.7498699999999996</c:v>
                </c:pt>
                <c:pt idx="25">
                  <c:v>10.152900000000001</c:v>
                </c:pt>
                <c:pt idx="26">
                  <c:v>10.5579</c:v>
                </c:pt>
                <c:pt idx="27">
                  <c:v>10.964700000000001</c:v>
                </c:pt>
                <c:pt idx="28">
                  <c:v>11.3765</c:v>
                </c:pt>
                <c:pt idx="29">
                  <c:v>11.778499999999999</c:v>
                </c:pt>
                <c:pt idx="30">
                  <c:v>12.183299999999999</c:v>
                </c:pt>
                <c:pt idx="31">
                  <c:v>12.5906</c:v>
                </c:pt>
                <c:pt idx="32">
                  <c:v>12.998100000000001</c:v>
                </c:pt>
                <c:pt idx="33">
                  <c:v>13.405099999999999</c:v>
                </c:pt>
                <c:pt idx="34">
                  <c:v>13.811999999999999</c:v>
                </c:pt>
                <c:pt idx="35">
                  <c:v>14.2149</c:v>
                </c:pt>
                <c:pt idx="36">
                  <c:v>14.623200000000001</c:v>
                </c:pt>
                <c:pt idx="37">
                  <c:v>15.028700000000001</c:v>
                </c:pt>
                <c:pt idx="38">
                  <c:v>15.4346</c:v>
                </c:pt>
                <c:pt idx="39">
                  <c:v>15.842599999999999</c:v>
                </c:pt>
                <c:pt idx="40">
                  <c:v>16.2456</c:v>
                </c:pt>
                <c:pt idx="41">
                  <c:v>16.6525</c:v>
                </c:pt>
                <c:pt idx="42">
                  <c:v>17.060300000000002</c:v>
                </c:pt>
                <c:pt idx="43">
                  <c:v>17.466200000000001</c:v>
                </c:pt>
                <c:pt idx="44">
                  <c:v>17.869199999999999</c:v>
                </c:pt>
                <c:pt idx="45">
                  <c:v>18.28</c:v>
                </c:pt>
                <c:pt idx="46">
                  <c:v>18.692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19.906199999999998</c:v>
                </c:pt>
                <c:pt idx="50">
                  <c:v>20.3126</c:v>
                </c:pt>
                <c:pt idx="51">
                  <c:v>20.718599999999999</c:v>
                </c:pt>
                <c:pt idx="52">
                  <c:v>21.122399999999999</c:v>
                </c:pt>
                <c:pt idx="53">
                  <c:v>21.5274</c:v>
                </c:pt>
                <c:pt idx="54">
                  <c:v>21.934699999999999</c:v>
                </c:pt>
                <c:pt idx="55">
                  <c:v>22.345199999999998</c:v>
                </c:pt>
                <c:pt idx="56">
                  <c:v>22.748100000000001</c:v>
                </c:pt>
                <c:pt idx="57">
                  <c:v>23.152000000000001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24.370999999999999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25.589500000000001</c:v>
                </c:pt>
                <c:pt idx="64">
                  <c:v>25.996500000000001</c:v>
                </c:pt>
                <c:pt idx="65">
                  <c:v>26.406400000000001</c:v>
                </c:pt>
                <c:pt idx="66">
                  <c:v>26.804600000000001</c:v>
                </c:pt>
                <c:pt idx="67">
                  <c:v>27.2181</c:v>
                </c:pt>
                <c:pt idx="68">
                  <c:v>27.622299999999999</c:v>
                </c:pt>
                <c:pt idx="69">
                  <c:v>28.026</c:v>
                </c:pt>
                <c:pt idx="70">
                  <c:v>28.436</c:v>
                </c:pt>
                <c:pt idx="71">
                  <c:v>28.841799999999999</c:v>
                </c:pt>
                <c:pt idx="72">
                  <c:v>29.249700000000001</c:v>
                </c:pt>
                <c:pt idx="73">
                  <c:v>29.6539</c:v>
                </c:pt>
                <c:pt idx="74">
                  <c:v>30.058599999999998</c:v>
                </c:pt>
                <c:pt idx="75">
                  <c:v>30.481400000000001</c:v>
                </c:pt>
                <c:pt idx="76">
                  <c:v>30.887499999999999</c:v>
                </c:pt>
                <c:pt idx="77">
                  <c:v>31.2925</c:v>
                </c:pt>
                <c:pt idx="78">
                  <c:v>31.700199999999999</c:v>
                </c:pt>
                <c:pt idx="79">
                  <c:v>32.109099999999998</c:v>
                </c:pt>
                <c:pt idx="80">
                  <c:v>32.512999999999998</c:v>
                </c:pt>
                <c:pt idx="81">
                  <c:v>32.920299999999997</c:v>
                </c:pt>
                <c:pt idx="82">
                  <c:v>33.323999999999998</c:v>
                </c:pt>
                <c:pt idx="83">
                  <c:v>33.732700000000001</c:v>
                </c:pt>
                <c:pt idx="84">
                  <c:v>34.139699999999998</c:v>
                </c:pt>
                <c:pt idx="85">
                  <c:v>34.543700000000001</c:v>
                </c:pt>
                <c:pt idx="86">
                  <c:v>34.951500000000003</c:v>
                </c:pt>
                <c:pt idx="87">
                  <c:v>35.359400000000001</c:v>
                </c:pt>
                <c:pt idx="88">
                  <c:v>35.763300000000001</c:v>
                </c:pt>
                <c:pt idx="89">
                  <c:v>36.167299999999997</c:v>
                </c:pt>
                <c:pt idx="90">
                  <c:v>36.574599999999997</c:v>
                </c:pt>
                <c:pt idx="91">
                  <c:v>36.984000000000002</c:v>
                </c:pt>
                <c:pt idx="92">
                  <c:v>37.392000000000003</c:v>
                </c:pt>
                <c:pt idx="93">
                  <c:v>37.792900000000003</c:v>
                </c:pt>
                <c:pt idx="94">
                  <c:v>38.198799999999999</c:v>
                </c:pt>
                <c:pt idx="95">
                  <c:v>38.606000000000002</c:v>
                </c:pt>
                <c:pt idx="96">
                  <c:v>39.015700000000002</c:v>
                </c:pt>
                <c:pt idx="97">
                  <c:v>39.421599999999998</c:v>
                </c:pt>
                <c:pt idx="98">
                  <c:v>39.826500000000003</c:v>
                </c:pt>
                <c:pt idx="99">
                  <c:v>40.230400000000003</c:v>
                </c:pt>
                <c:pt idx="100">
                  <c:v>40.6357</c:v>
                </c:pt>
                <c:pt idx="101">
                  <c:v>41.044199999999996</c:v>
                </c:pt>
                <c:pt idx="102">
                  <c:v>41.452100000000002</c:v>
                </c:pt>
                <c:pt idx="103">
                  <c:v>41.859099999999998</c:v>
                </c:pt>
                <c:pt idx="104">
                  <c:v>42.262</c:v>
                </c:pt>
                <c:pt idx="105">
                  <c:v>42.668999999999997</c:v>
                </c:pt>
                <c:pt idx="106">
                  <c:v>43.076900000000002</c:v>
                </c:pt>
                <c:pt idx="107">
                  <c:v>43.482700000000001</c:v>
                </c:pt>
                <c:pt idx="108">
                  <c:v>43.888599999999997</c:v>
                </c:pt>
                <c:pt idx="109">
                  <c:v>44.295699999999997</c:v>
                </c:pt>
                <c:pt idx="110">
                  <c:v>44.699800000000003</c:v>
                </c:pt>
                <c:pt idx="111">
                  <c:v>45.1083</c:v>
                </c:pt>
                <c:pt idx="112">
                  <c:v>45.517299999999999</c:v>
                </c:pt>
                <c:pt idx="113">
                  <c:v>45.920499999999997</c:v>
                </c:pt>
                <c:pt idx="114">
                  <c:v>46.326300000000003</c:v>
                </c:pt>
                <c:pt idx="115">
                  <c:v>46.7346</c:v>
                </c:pt>
                <c:pt idx="116">
                  <c:v>47.136099999999999</c:v>
                </c:pt>
                <c:pt idx="117">
                  <c:v>47.546799999999998</c:v>
                </c:pt>
                <c:pt idx="118">
                  <c:v>47.951700000000002</c:v>
                </c:pt>
                <c:pt idx="119">
                  <c:v>48.354700000000001</c:v>
                </c:pt>
                <c:pt idx="120">
                  <c:v>48.764099999999999</c:v>
                </c:pt>
                <c:pt idx="121">
                  <c:v>49.170699999999997</c:v>
                </c:pt>
                <c:pt idx="122">
                  <c:v>49.5745</c:v>
                </c:pt>
                <c:pt idx="123">
                  <c:v>49.979500000000002</c:v>
                </c:pt>
                <c:pt idx="124">
                  <c:v>50.385399999999997</c:v>
                </c:pt>
                <c:pt idx="125">
                  <c:v>50.792099999999998</c:v>
                </c:pt>
                <c:pt idx="126">
                  <c:v>51.198999999999998</c:v>
                </c:pt>
                <c:pt idx="127">
                  <c:v>51.604999999999997</c:v>
                </c:pt>
                <c:pt idx="128">
                  <c:v>52.0124</c:v>
                </c:pt>
                <c:pt idx="129">
                  <c:v>52.418799999999997</c:v>
                </c:pt>
                <c:pt idx="130">
                  <c:v>52.826700000000002</c:v>
                </c:pt>
                <c:pt idx="131">
                  <c:v>53.230600000000003</c:v>
                </c:pt>
                <c:pt idx="132">
                  <c:v>53.635599999999997</c:v>
                </c:pt>
                <c:pt idx="133">
                  <c:v>54.043900000000001</c:v>
                </c:pt>
                <c:pt idx="134">
                  <c:v>54.448399999999999</c:v>
                </c:pt>
                <c:pt idx="135">
                  <c:v>54.8583</c:v>
                </c:pt>
                <c:pt idx="136">
                  <c:v>55.2622</c:v>
                </c:pt>
                <c:pt idx="137">
                  <c:v>55.668199999999999</c:v>
                </c:pt>
                <c:pt idx="138">
                  <c:v>56.076300000000003</c:v>
                </c:pt>
                <c:pt idx="139">
                  <c:v>56.482999999999997</c:v>
                </c:pt>
                <c:pt idx="140">
                  <c:v>56.8889</c:v>
                </c:pt>
                <c:pt idx="141">
                  <c:v>57.2988</c:v>
                </c:pt>
                <c:pt idx="142">
                  <c:v>57.700699999999998</c:v>
                </c:pt>
                <c:pt idx="143">
                  <c:v>58.105699999999999</c:v>
                </c:pt>
                <c:pt idx="144">
                  <c:v>58.511600000000001</c:v>
                </c:pt>
                <c:pt idx="145">
                  <c:v>58.921500000000002</c:v>
                </c:pt>
                <c:pt idx="146">
                  <c:v>59.327300000000001</c:v>
                </c:pt>
                <c:pt idx="147">
                  <c:v>59.733400000000003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2.0060700000000002</c:v>
                </c:pt>
                <c:pt idx="1">
                  <c:v>2.0580100000000003</c:v>
                </c:pt>
                <c:pt idx="2">
                  <c:v>2.10744</c:v>
                </c:pt>
                <c:pt idx="3">
                  <c:v>2.1545399999999999</c:v>
                </c:pt>
                <c:pt idx="4">
                  <c:v>2.2004199999999998</c:v>
                </c:pt>
                <c:pt idx="5">
                  <c:v>2.2451499999999998</c:v>
                </c:pt>
                <c:pt idx="6">
                  <c:v>2.2882500000000001</c:v>
                </c:pt>
                <c:pt idx="7">
                  <c:v>2.3325499999999999</c:v>
                </c:pt>
                <c:pt idx="8">
                  <c:v>2.3752999999999997</c:v>
                </c:pt>
                <c:pt idx="9">
                  <c:v>2.4167299999999998</c:v>
                </c:pt>
                <c:pt idx="10">
                  <c:v>2.4558800000000001</c:v>
                </c:pt>
                <c:pt idx="11">
                  <c:v>2.4920900000000001</c:v>
                </c:pt>
                <c:pt idx="12">
                  <c:v>2.52718</c:v>
                </c:pt>
                <c:pt idx="13">
                  <c:v>2.5619199999999998</c:v>
                </c:pt>
                <c:pt idx="14">
                  <c:v>2.59497</c:v>
                </c:pt>
                <c:pt idx="15">
                  <c:v>2.6278600000000001</c:v>
                </c:pt>
                <c:pt idx="16">
                  <c:v>2.6584099999999999</c:v>
                </c:pt>
                <c:pt idx="17">
                  <c:v>2.6867900000000002</c:v>
                </c:pt>
                <c:pt idx="18">
                  <c:v>2.7155200000000002</c:v>
                </c:pt>
                <c:pt idx="19">
                  <c:v>2.7388499999999998</c:v>
                </c:pt>
                <c:pt idx="20">
                  <c:v>2.7595799999999997</c:v>
                </c:pt>
                <c:pt idx="21">
                  <c:v>2.7774799999999997</c:v>
                </c:pt>
                <c:pt idx="22">
                  <c:v>2.7929599999999999</c:v>
                </c:pt>
                <c:pt idx="23">
                  <c:v>2.8045199999999997</c:v>
                </c:pt>
                <c:pt idx="24">
                  <c:v>2.8145100000000003</c:v>
                </c:pt>
                <c:pt idx="25">
                  <c:v>2.81907</c:v>
                </c:pt>
                <c:pt idx="26">
                  <c:v>2.82036</c:v>
                </c:pt>
                <c:pt idx="27">
                  <c:v>2.8218800000000002</c:v>
                </c:pt>
                <c:pt idx="28">
                  <c:v>2.8199400000000003</c:v>
                </c:pt>
                <c:pt idx="29">
                  <c:v>2.8131599999999999</c:v>
                </c:pt>
                <c:pt idx="30">
                  <c:v>2.8029700000000002</c:v>
                </c:pt>
                <c:pt idx="31">
                  <c:v>2.7915299999999998</c:v>
                </c:pt>
                <c:pt idx="32">
                  <c:v>2.77895</c:v>
                </c:pt>
                <c:pt idx="33">
                  <c:v>2.7657599999999998</c:v>
                </c:pt>
                <c:pt idx="34">
                  <c:v>2.75352</c:v>
                </c:pt>
                <c:pt idx="35">
                  <c:v>2.7402500000000001</c:v>
                </c:pt>
                <c:pt idx="36">
                  <c:v>2.7265299999999999</c:v>
                </c:pt>
                <c:pt idx="37">
                  <c:v>2.7134499999999999</c:v>
                </c:pt>
                <c:pt idx="38">
                  <c:v>2.7014800000000001</c:v>
                </c:pt>
                <c:pt idx="39">
                  <c:v>2.6889099999999999</c:v>
                </c:pt>
                <c:pt idx="40">
                  <c:v>2.6766899999999998</c:v>
                </c:pt>
                <c:pt idx="41">
                  <c:v>2.6630700000000003</c:v>
                </c:pt>
                <c:pt idx="42">
                  <c:v>2.6501200000000003</c:v>
                </c:pt>
                <c:pt idx="43">
                  <c:v>2.6358700000000002</c:v>
                </c:pt>
                <c:pt idx="44">
                  <c:v>2.6245600000000002</c:v>
                </c:pt>
                <c:pt idx="45">
                  <c:v>2.6167800000000003</c:v>
                </c:pt>
                <c:pt idx="46">
                  <c:v>2.6117699999999999</c:v>
                </c:pt>
                <c:pt idx="47">
                  <c:v>2.60968</c:v>
                </c:pt>
                <c:pt idx="48">
                  <c:v>2.61212</c:v>
                </c:pt>
                <c:pt idx="49">
                  <c:v>2.6177600000000001</c:v>
                </c:pt>
                <c:pt idx="50">
                  <c:v>2.6270199999999999</c:v>
                </c:pt>
                <c:pt idx="51">
                  <c:v>2.6407500000000002</c:v>
                </c:pt>
                <c:pt idx="52">
                  <c:v>2.6561600000000003</c:v>
                </c:pt>
                <c:pt idx="53">
                  <c:v>2.6760800000000002</c:v>
                </c:pt>
                <c:pt idx="54">
                  <c:v>2.69631</c:v>
                </c:pt>
                <c:pt idx="55">
                  <c:v>2.7153</c:v>
                </c:pt>
                <c:pt idx="56">
                  <c:v>2.7318199999999999</c:v>
                </c:pt>
                <c:pt idx="57">
                  <c:v>2.7479300000000002</c:v>
                </c:pt>
                <c:pt idx="58">
                  <c:v>2.7652399999999999</c:v>
                </c:pt>
                <c:pt idx="59">
                  <c:v>2.7822000000000005</c:v>
                </c:pt>
                <c:pt idx="60">
                  <c:v>2.8002599999999997</c:v>
                </c:pt>
                <c:pt idx="61">
                  <c:v>2.8171600000000003</c:v>
                </c:pt>
                <c:pt idx="62">
                  <c:v>2.8317399999999999</c:v>
                </c:pt>
                <c:pt idx="63">
                  <c:v>2.8447800000000001</c:v>
                </c:pt>
                <c:pt idx="64">
                  <c:v>2.85541</c:v>
                </c:pt>
                <c:pt idx="65">
                  <c:v>2.8623799999999999</c:v>
                </c:pt>
                <c:pt idx="66">
                  <c:v>2.8666700000000001</c:v>
                </c:pt>
                <c:pt idx="67">
                  <c:v>2.8684500000000002</c:v>
                </c:pt>
                <c:pt idx="68">
                  <c:v>2.86815</c:v>
                </c:pt>
                <c:pt idx="69">
                  <c:v>2.86557</c:v>
                </c:pt>
                <c:pt idx="70">
                  <c:v>2.8589700000000002</c:v>
                </c:pt>
                <c:pt idx="71">
                  <c:v>2.8506</c:v>
                </c:pt>
                <c:pt idx="72">
                  <c:v>2.8404199999999999</c:v>
                </c:pt>
                <c:pt idx="73">
                  <c:v>2.8258899999999998</c:v>
                </c:pt>
                <c:pt idx="74">
                  <c:v>2.8075200000000002</c:v>
                </c:pt>
                <c:pt idx="75">
                  <c:v>2.78877</c:v>
                </c:pt>
                <c:pt idx="76">
                  <c:v>2.7674700000000003</c:v>
                </c:pt>
                <c:pt idx="77">
                  <c:v>2.7423900000000003</c:v>
                </c:pt>
                <c:pt idx="78">
                  <c:v>2.71468</c:v>
                </c:pt>
                <c:pt idx="79">
                  <c:v>2.68668</c:v>
                </c:pt>
                <c:pt idx="80">
                  <c:v>2.6581399999999999</c:v>
                </c:pt>
                <c:pt idx="81">
                  <c:v>2.6322700000000001</c:v>
                </c:pt>
                <c:pt idx="82">
                  <c:v>2.60669</c:v>
                </c:pt>
                <c:pt idx="83">
                  <c:v>2.5802999999999998</c:v>
                </c:pt>
                <c:pt idx="84">
                  <c:v>2.5536599999999998</c:v>
                </c:pt>
                <c:pt idx="85">
                  <c:v>2.5276300000000003</c:v>
                </c:pt>
                <c:pt idx="86">
                  <c:v>2.50454</c:v>
                </c:pt>
                <c:pt idx="87">
                  <c:v>2.4834499999999999</c:v>
                </c:pt>
                <c:pt idx="88">
                  <c:v>2.4623900000000001</c:v>
                </c:pt>
                <c:pt idx="89">
                  <c:v>2.4446099999999999</c:v>
                </c:pt>
                <c:pt idx="90">
                  <c:v>2.4321599999999997</c:v>
                </c:pt>
                <c:pt idx="91">
                  <c:v>2.4243600000000001</c:v>
                </c:pt>
                <c:pt idx="92">
                  <c:v>2.4225699999999999</c:v>
                </c:pt>
                <c:pt idx="93">
                  <c:v>2.4248099999999999</c:v>
                </c:pt>
                <c:pt idx="94">
                  <c:v>2.42984</c:v>
                </c:pt>
                <c:pt idx="95">
                  <c:v>2.4379500000000003</c:v>
                </c:pt>
                <c:pt idx="96">
                  <c:v>2.4469599999999998</c:v>
                </c:pt>
                <c:pt idx="97">
                  <c:v>2.45675</c:v>
                </c:pt>
                <c:pt idx="98">
                  <c:v>2.4702600000000001</c:v>
                </c:pt>
                <c:pt idx="99">
                  <c:v>2.4864999999999999</c:v>
                </c:pt>
                <c:pt idx="100">
                  <c:v>2.5022899999999999</c:v>
                </c:pt>
                <c:pt idx="101">
                  <c:v>2.5186299999999999</c:v>
                </c:pt>
                <c:pt idx="102">
                  <c:v>2.5360399999999998</c:v>
                </c:pt>
                <c:pt idx="103">
                  <c:v>2.5530399999999998</c:v>
                </c:pt>
                <c:pt idx="104">
                  <c:v>2.5707400000000002</c:v>
                </c:pt>
                <c:pt idx="105">
                  <c:v>2.5901000000000001</c:v>
                </c:pt>
                <c:pt idx="106">
                  <c:v>2.6084899999999998</c:v>
                </c:pt>
                <c:pt idx="107">
                  <c:v>2.6249400000000001</c:v>
                </c:pt>
                <c:pt idx="108">
                  <c:v>2.6394899999999999</c:v>
                </c:pt>
                <c:pt idx="109">
                  <c:v>2.6518700000000002</c:v>
                </c:pt>
                <c:pt idx="110">
                  <c:v>2.6615699999999998</c:v>
                </c:pt>
                <c:pt idx="111">
                  <c:v>2.6688800000000001</c:v>
                </c:pt>
                <c:pt idx="112">
                  <c:v>2.6748599999999998</c:v>
                </c:pt>
                <c:pt idx="113">
                  <c:v>2.68072</c:v>
                </c:pt>
                <c:pt idx="114">
                  <c:v>2.6862699999999999</c:v>
                </c:pt>
                <c:pt idx="115">
                  <c:v>2.6879300000000002</c:v>
                </c:pt>
                <c:pt idx="116">
                  <c:v>2.6842100000000002</c:v>
                </c:pt>
                <c:pt idx="117">
                  <c:v>2.6771000000000003</c:v>
                </c:pt>
                <c:pt idx="118">
                  <c:v>2.6738099999999996</c:v>
                </c:pt>
                <c:pt idx="119">
                  <c:v>2.6768700000000001</c:v>
                </c:pt>
                <c:pt idx="120">
                  <c:v>2.6821099999999998</c:v>
                </c:pt>
                <c:pt idx="121">
                  <c:v>2.69102</c:v>
                </c:pt>
                <c:pt idx="122">
                  <c:v>2.7020100000000005</c:v>
                </c:pt>
                <c:pt idx="123">
                  <c:v>2.7147600000000001</c:v>
                </c:pt>
                <c:pt idx="124">
                  <c:v>2.7133500000000002</c:v>
                </c:pt>
                <c:pt idx="125">
                  <c:v>2.7119900000000001</c:v>
                </c:pt>
                <c:pt idx="126">
                  <c:v>2.7101500000000001</c:v>
                </c:pt>
                <c:pt idx="127">
                  <c:v>2.70817</c:v>
                </c:pt>
                <c:pt idx="128">
                  <c:v>2.7070699999999999</c:v>
                </c:pt>
                <c:pt idx="129">
                  <c:v>2.7066499999999998</c:v>
                </c:pt>
                <c:pt idx="130">
                  <c:v>2.7063999999999999</c:v>
                </c:pt>
                <c:pt idx="131">
                  <c:v>2.7067999999999999</c:v>
                </c:pt>
                <c:pt idx="132">
                  <c:v>2.7080799999999998</c:v>
                </c:pt>
                <c:pt idx="133">
                  <c:v>2.7109899999999998</c:v>
                </c:pt>
                <c:pt idx="134">
                  <c:v>2.7158300000000004</c:v>
                </c:pt>
                <c:pt idx="135">
                  <c:v>2.72262</c:v>
                </c:pt>
                <c:pt idx="136">
                  <c:v>2.7308500000000002</c:v>
                </c:pt>
                <c:pt idx="137">
                  <c:v>2.7404299999999999</c:v>
                </c:pt>
                <c:pt idx="138">
                  <c:v>2.7515800000000001</c:v>
                </c:pt>
                <c:pt idx="139">
                  <c:v>2.7645999999999997</c:v>
                </c:pt>
                <c:pt idx="140">
                  <c:v>2.7843099999999996</c:v>
                </c:pt>
                <c:pt idx="141">
                  <c:v>2.8184900000000002</c:v>
                </c:pt>
                <c:pt idx="142">
                  <c:v>2.8623099999999999</c:v>
                </c:pt>
                <c:pt idx="143">
                  <c:v>2.9047499999999999</c:v>
                </c:pt>
                <c:pt idx="144">
                  <c:v>2.93533</c:v>
                </c:pt>
                <c:pt idx="145">
                  <c:v>2.96957</c:v>
                </c:pt>
                <c:pt idx="146">
                  <c:v>2.9939500000000003</c:v>
                </c:pt>
                <c:pt idx="147">
                  <c:v>3.0165500000000001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0.40402500000000002</c:v>
                </c:pt>
                <c:pt idx="2">
                  <c:v>0.80780099999999999</c:v>
                </c:pt>
                <c:pt idx="3">
                  <c:v>1.2177899999999999</c:v>
                </c:pt>
                <c:pt idx="4">
                  <c:v>1.6186700000000001</c:v>
                </c:pt>
                <c:pt idx="5">
                  <c:v>2.0286400000000002</c:v>
                </c:pt>
                <c:pt idx="6">
                  <c:v>2.43676</c:v>
                </c:pt>
                <c:pt idx="7">
                  <c:v>2.8423400000000001</c:v>
                </c:pt>
                <c:pt idx="8">
                  <c:v>3.2482500000000001</c:v>
                </c:pt>
                <c:pt idx="9">
                  <c:v>3.6544699999999999</c:v>
                </c:pt>
                <c:pt idx="10">
                  <c:v>4.0593500000000002</c:v>
                </c:pt>
                <c:pt idx="11">
                  <c:v>4.4641000000000002</c:v>
                </c:pt>
                <c:pt idx="12">
                  <c:v>4.87697</c:v>
                </c:pt>
                <c:pt idx="13">
                  <c:v>5.2788500000000003</c:v>
                </c:pt>
                <c:pt idx="14">
                  <c:v>5.6847500000000002</c:v>
                </c:pt>
                <c:pt idx="15">
                  <c:v>6.0921799999999999</c:v>
                </c:pt>
                <c:pt idx="16">
                  <c:v>6.49587</c:v>
                </c:pt>
                <c:pt idx="17">
                  <c:v>6.9056800000000003</c:v>
                </c:pt>
                <c:pt idx="18">
                  <c:v>7.3133400000000002</c:v>
                </c:pt>
                <c:pt idx="19">
                  <c:v>7.7172799999999997</c:v>
                </c:pt>
                <c:pt idx="20">
                  <c:v>8.1204900000000002</c:v>
                </c:pt>
                <c:pt idx="21">
                  <c:v>8.5282400000000003</c:v>
                </c:pt>
                <c:pt idx="22">
                  <c:v>8.9371899999999993</c:v>
                </c:pt>
                <c:pt idx="23">
                  <c:v>9.3391000000000002</c:v>
                </c:pt>
                <c:pt idx="24">
                  <c:v>9.7498699999999996</c:v>
                </c:pt>
                <c:pt idx="25">
                  <c:v>10.152900000000001</c:v>
                </c:pt>
                <c:pt idx="26">
                  <c:v>10.5579</c:v>
                </c:pt>
                <c:pt idx="27">
                  <c:v>10.964700000000001</c:v>
                </c:pt>
                <c:pt idx="28">
                  <c:v>11.3765</c:v>
                </c:pt>
                <c:pt idx="29">
                  <c:v>11.778499999999999</c:v>
                </c:pt>
                <c:pt idx="30">
                  <c:v>12.183299999999999</c:v>
                </c:pt>
                <c:pt idx="31">
                  <c:v>12.5906</c:v>
                </c:pt>
                <c:pt idx="32">
                  <c:v>12.998100000000001</c:v>
                </c:pt>
                <c:pt idx="33">
                  <c:v>13.405099999999999</c:v>
                </c:pt>
                <c:pt idx="34">
                  <c:v>13.811999999999999</c:v>
                </c:pt>
                <c:pt idx="35">
                  <c:v>14.2149</c:v>
                </c:pt>
                <c:pt idx="36">
                  <c:v>14.623200000000001</c:v>
                </c:pt>
                <c:pt idx="37">
                  <c:v>15.028700000000001</c:v>
                </c:pt>
                <c:pt idx="38">
                  <c:v>15.4346</c:v>
                </c:pt>
                <c:pt idx="39">
                  <c:v>15.842599999999999</c:v>
                </c:pt>
                <c:pt idx="40">
                  <c:v>16.2456</c:v>
                </c:pt>
                <c:pt idx="41">
                  <c:v>16.6525</c:v>
                </c:pt>
                <c:pt idx="42">
                  <c:v>17.060300000000002</c:v>
                </c:pt>
                <c:pt idx="43">
                  <c:v>17.466200000000001</c:v>
                </c:pt>
                <c:pt idx="44">
                  <c:v>17.869199999999999</c:v>
                </c:pt>
                <c:pt idx="45">
                  <c:v>18.28</c:v>
                </c:pt>
                <c:pt idx="46">
                  <c:v>18.692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19.906199999999998</c:v>
                </c:pt>
                <c:pt idx="50">
                  <c:v>20.3126</c:v>
                </c:pt>
                <c:pt idx="51">
                  <c:v>20.718599999999999</c:v>
                </c:pt>
                <c:pt idx="52">
                  <c:v>21.122399999999999</c:v>
                </c:pt>
                <c:pt idx="53">
                  <c:v>21.5274</c:v>
                </c:pt>
                <c:pt idx="54">
                  <c:v>21.934699999999999</c:v>
                </c:pt>
                <c:pt idx="55">
                  <c:v>22.345199999999998</c:v>
                </c:pt>
                <c:pt idx="56">
                  <c:v>22.748100000000001</c:v>
                </c:pt>
                <c:pt idx="57">
                  <c:v>23.152000000000001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24.370999999999999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25.589500000000001</c:v>
                </c:pt>
                <c:pt idx="64">
                  <c:v>25.996500000000001</c:v>
                </c:pt>
                <c:pt idx="65">
                  <c:v>26.406400000000001</c:v>
                </c:pt>
                <c:pt idx="66">
                  <c:v>26.804600000000001</c:v>
                </c:pt>
                <c:pt idx="67">
                  <c:v>27.2181</c:v>
                </c:pt>
                <c:pt idx="68">
                  <c:v>27.622299999999999</c:v>
                </c:pt>
                <c:pt idx="69">
                  <c:v>28.026</c:v>
                </c:pt>
                <c:pt idx="70">
                  <c:v>28.436</c:v>
                </c:pt>
                <c:pt idx="71">
                  <c:v>28.841799999999999</c:v>
                </c:pt>
                <c:pt idx="72">
                  <c:v>29.249700000000001</c:v>
                </c:pt>
                <c:pt idx="73">
                  <c:v>29.6539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2.0060700000000002</c:v>
                </c:pt>
                <c:pt idx="1">
                  <c:v>2.0580100000000003</c:v>
                </c:pt>
                <c:pt idx="2">
                  <c:v>2.10744</c:v>
                </c:pt>
                <c:pt idx="3">
                  <c:v>2.1545399999999999</c:v>
                </c:pt>
                <c:pt idx="4">
                  <c:v>2.2004199999999998</c:v>
                </c:pt>
                <c:pt idx="5">
                  <c:v>2.2451499999999998</c:v>
                </c:pt>
                <c:pt idx="6">
                  <c:v>2.2882500000000001</c:v>
                </c:pt>
                <c:pt idx="7">
                  <c:v>2.3325499999999999</c:v>
                </c:pt>
                <c:pt idx="8">
                  <c:v>2.3752999999999997</c:v>
                </c:pt>
                <c:pt idx="9">
                  <c:v>2.4167299999999998</c:v>
                </c:pt>
                <c:pt idx="10">
                  <c:v>2.4558800000000001</c:v>
                </c:pt>
                <c:pt idx="11">
                  <c:v>2.4920900000000001</c:v>
                </c:pt>
                <c:pt idx="12">
                  <c:v>2.52718</c:v>
                </c:pt>
                <c:pt idx="13">
                  <c:v>2.5619199999999998</c:v>
                </c:pt>
                <c:pt idx="14">
                  <c:v>2.59497</c:v>
                </c:pt>
                <c:pt idx="15">
                  <c:v>2.6278600000000001</c:v>
                </c:pt>
                <c:pt idx="16">
                  <c:v>2.6584099999999999</c:v>
                </c:pt>
                <c:pt idx="17">
                  <c:v>2.6867900000000002</c:v>
                </c:pt>
                <c:pt idx="18">
                  <c:v>2.7155200000000002</c:v>
                </c:pt>
                <c:pt idx="19">
                  <c:v>2.7388499999999998</c:v>
                </c:pt>
                <c:pt idx="20">
                  <c:v>2.7595799999999997</c:v>
                </c:pt>
                <c:pt idx="21">
                  <c:v>2.7774799999999997</c:v>
                </c:pt>
                <c:pt idx="22">
                  <c:v>2.7929599999999999</c:v>
                </c:pt>
                <c:pt idx="23">
                  <c:v>2.8045199999999997</c:v>
                </c:pt>
                <c:pt idx="24">
                  <c:v>2.8145100000000003</c:v>
                </c:pt>
                <c:pt idx="25">
                  <c:v>2.81907</c:v>
                </c:pt>
                <c:pt idx="26">
                  <c:v>2.82036</c:v>
                </c:pt>
                <c:pt idx="27">
                  <c:v>2.8218800000000002</c:v>
                </c:pt>
                <c:pt idx="28">
                  <c:v>2.8199400000000003</c:v>
                </c:pt>
                <c:pt idx="29">
                  <c:v>2.8131599999999999</c:v>
                </c:pt>
                <c:pt idx="30">
                  <c:v>2.8029700000000002</c:v>
                </c:pt>
                <c:pt idx="31">
                  <c:v>2.7915299999999998</c:v>
                </c:pt>
                <c:pt idx="32">
                  <c:v>2.77895</c:v>
                </c:pt>
                <c:pt idx="33">
                  <c:v>2.7657599999999998</c:v>
                </c:pt>
                <c:pt idx="34">
                  <c:v>2.75352</c:v>
                </c:pt>
                <c:pt idx="35">
                  <c:v>2.7402500000000001</c:v>
                </c:pt>
                <c:pt idx="36">
                  <c:v>2.7265299999999999</c:v>
                </c:pt>
                <c:pt idx="37">
                  <c:v>2.7134499999999999</c:v>
                </c:pt>
                <c:pt idx="38">
                  <c:v>2.7014800000000001</c:v>
                </c:pt>
                <c:pt idx="39">
                  <c:v>2.6889099999999999</c:v>
                </c:pt>
                <c:pt idx="40">
                  <c:v>2.6766899999999998</c:v>
                </c:pt>
                <c:pt idx="41">
                  <c:v>2.6630700000000003</c:v>
                </c:pt>
                <c:pt idx="42">
                  <c:v>2.6501200000000003</c:v>
                </c:pt>
                <c:pt idx="43">
                  <c:v>2.6358700000000002</c:v>
                </c:pt>
                <c:pt idx="44">
                  <c:v>2.6245600000000002</c:v>
                </c:pt>
                <c:pt idx="45">
                  <c:v>2.6167800000000003</c:v>
                </c:pt>
                <c:pt idx="46">
                  <c:v>2.6117699999999999</c:v>
                </c:pt>
                <c:pt idx="47">
                  <c:v>2.60968</c:v>
                </c:pt>
                <c:pt idx="48">
                  <c:v>2.61212</c:v>
                </c:pt>
                <c:pt idx="49">
                  <c:v>2.6177600000000001</c:v>
                </c:pt>
                <c:pt idx="50">
                  <c:v>2.6270199999999999</c:v>
                </c:pt>
                <c:pt idx="51">
                  <c:v>2.6407500000000002</c:v>
                </c:pt>
                <c:pt idx="52">
                  <c:v>2.6561600000000003</c:v>
                </c:pt>
                <c:pt idx="53">
                  <c:v>2.6760800000000002</c:v>
                </c:pt>
                <c:pt idx="54">
                  <c:v>2.69631</c:v>
                </c:pt>
                <c:pt idx="55">
                  <c:v>2.7153</c:v>
                </c:pt>
                <c:pt idx="56">
                  <c:v>2.7318199999999999</c:v>
                </c:pt>
                <c:pt idx="57">
                  <c:v>2.7479300000000002</c:v>
                </c:pt>
                <c:pt idx="58">
                  <c:v>2.7652399999999999</c:v>
                </c:pt>
                <c:pt idx="59">
                  <c:v>2.7822000000000005</c:v>
                </c:pt>
                <c:pt idx="60">
                  <c:v>2.8002599999999997</c:v>
                </c:pt>
                <c:pt idx="61">
                  <c:v>2.8171600000000003</c:v>
                </c:pt>
                <c:pt idx="62">
                  <c:v>2.8317399999999999</c:v>
                </c:pt>
                <c:pt idx="63">
                  <c:v>2.8447800000000001</c:v>
                </c:pt>
                <c:pt idx="64">
                  <c:v>2.85541</c:v>
                </c:pt>
                <c:pt idx="65">
                  <c:v>2.8623799999999999</c:v>
                </c:pt>
                <c:pt idx="66">
                  <c:v>2.8666700000000001</c:v>
                </c:pt>
                <c:pt idx="67">
                  <c:v>2.8684500000000002</c:v>
                </c:pt>
                <c:pt idx="68">
                  <c:v>2.86815</c:v>
                </c:pt>
                <c:pt idx="69">
                  <c:v>2.86557</c:v>
                </c:pt>
                <c:pt idx="70">
                  <c:v>2.8589700000000002</c:v>
                </c:pt>
                <c:pt idx="71">
                  <c:v>2.8506</c:v>
                </c:pt>
                <c:pt idx="72">
                  <c:v>2.8404199999999999</c:v>
                </c:pt>
                <c:pt idx="73">
                  <c:v>2.8258899999999998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29.6539</c:v>
                </c:pt>
                <c:pt idx="1">
                  <c:v>30.058599999999998</c:v>
                </c:pt>
                <c:pt idx="2">
                  <c:v>30.481400000000001</c:v>
                </c:pt>
                <c:pt idx="3">
                  <c:v>30.887499999999999</c:v>
                </c:pt>
                <c:pt idx="4">
                  <c:v>31.2925</c:v>
                </c:pt>
                <c:pt idx="5">
                  <c:v>31.700199999999999</c:v>
                </c:pt>
                <c:pt idx="6">
                  <c:v>32.109099999999998</c:v>
                </c:pt>
                <c:pt idx="7">
                  <c:v>32.512999999999998</c:v>
                </c:pt>
                <c:pt idx="8">
                  <c:v>32.920299999999997</c:v>
                </c:pt>
                <c:pt idx="9">
                  <c:v>33.323999999999998</c:v>
                </c:pt>
                <c:pt idx="10">
                  <c:v>33.732700000000001</c:v>
                </c:pt>
                <c:pt idx="11">
                  <c:v>34.139699999999998</c:v>
                </c:pt>
                <c:pt idx="12">
                  <c:v>34.543700000000001</c:v>
                </c:pt>
                <c:pt idx="13">
                  <c:v>34.951500000000003</c:v>
                </c:pt>
                <c:pt idx="14">
                  <c:v>35.359400000000001</c:v>
                </c:pt>
                <c:pt idx="15">
                  <c:v>35.763300000000001</c:v>
                </c:pt>
                <c:pt idx="16">
                  <c:v>36.167299999999997</c:v>
                </c:pt>
                <c:pt idx="17">
                  <c:v>36.574599999999997</c:v>
                </c:pt>
                <c:pt idx="18">
                  <c:v>36.984000000000002</c:v>
                </c:pt>
                <c:pt idx="19">
                  <c:v>37.392000000000003</c:v>
                </c:pt>
                <c:pt idx="20">
                  <c:v>37.792900000000003</c:v>
                </c:pt>
                <c:pt idx="21">
                  <c:v>38.198799999999999</c:v>
                </c:pt>
                <c:pt idx="22">
                  <c:v>38.606000000000002</c:v>
                </c:pt>
                <c:pt idx="23">
                  <c:v>39.015700000000002</c:v>
                </c:pt>
                <c:pt idx="24">
                  <c:v>39.421599999999998</c:v>
                </c:pt>
                <c:pt idx="25">
                  <c:v>39.826500000000003</c:v>
                </c:pt>
                <c:pt idx="26">
                  <c:v>40.230400000000003</c:v>
                </c:pt>
                <c:pt idx="27">
                  <c:v>40.6357</c:v>
                </c:pt>
                <c:pt idx="28">
                  <c:v>41.044199999999996</c:v>
                </c:pt>
                <c:pt idx="29">
                  <c:v>41.452100000000002</c:v>
                </c:pt>
                <c:pt idx="30">
                  <c:v>41.859099999999998</c:v>
                </c:pt>
                <c:pt idx="31">
                  <c:v>42.262</c:v>
                </c:pt>
                <c:pt idx="32">
                  <c:v>42.668999999999997</c:v>
                </c:pt>
                <c:pt idx="33">
                  <c:v>43.076900000000002</c:v>
                </c:pt>
                <c:pt idx="34">
                  <c:v>43.482700000000001</c:v>
                </c:pt>
                <c:pt idx="35">
                  <c:v>43.888599999999997</c:v>
                </c:pt>
                <c:pt idx="36">
                  <c:v>44.295699999999997</c:v>
                </c:pt>
                <c:pt idx="37">
                  <c:v>44.699800000000003</c:v>
                </c:pt>
                <c:pt idx="38">
                  <c:v>45.1083</c:v>
                </c:pt>
                <c:pt idx="39">
                  <c:v>45.517299999999999</c:v>
                </c:pt>
                <c:pt idx="40">
                  <c:v>45.920499999999997</c:v>
                </c:pt>
                <c:pt idx="41">
                  <c:v>46.326300000000003</c:v>
                </c:pt>
                <c:pt idx="42">
                  <c:v>46.7346</c:v>
                </c:pt>
                <c:pt idx="43">
                  <c:v>47.136099999999999</c:v>
                </c:pt>
                <c:pt idx="44">
                  <c:v>47.546799999999998</c:v>
                </c:pt>
                <c:pt idx="45">
                  <c:v>47.951700000000002</c:v>
                </c:pt>
                <c:pt idx="46">
                  <c:v>48.354700000000001</c:v>
                </c:pt>
                <c:pt idx="47">
                  <c:v>48.764099999999999</c:v>
                </c:pt>
                <c:pt idx="48">
                  <c:v>49.170699999999997</c:v>
                </c:pt>
                <c:pt idx="49">
                  <c:v>49.5745</c:v>
                </c:pt>
                <c:pt idx="50">
                  <c:v>49.979500000000002</c:v>
                </c:pt>
                <c:pt idx="51">
                  <c:v>50.385399999999997</c:v>
                </c:pt>
                <c:pt idx="52">
                  <c:v>50.792099999999998</c:v>
                </c:pt>
                <c:pt idx="53">
                  <c:v>51.198999999999998</c:v>
                </c:pt>
                <c:pt idx="54">
                  <c:v>51.604999999999997</c:v>
                </c:pt>
                <c:pt idx="55">
                  <c:v>52.0124</c:v>
                </c:pt>
                <c:pt idx="56">
                  <c:v>52.418799999999997</c:v>
                </c:pt>
                <c:pt idx="57">
                  <c:v>52.826700000000002</c:v>
                </c:pt>
                <c:pt idx="58">
                  <c:v>53.230600000000003</c:v>
                </c:pt>
                <c:pt idx="59">
                  <c:v>53.635599999999997</c:v>
                </c:pt>
                <c:pt idx="60">
                  <c:v>54.043900000000001</c:v>
                </c:pt>
                <c:pt idx="61">
                  <c:v>54.448399999999999</c:v>
                </c:pt>
                <c:pt idx="62">
                  <c:v>54.8583</c:v>
                </c:pt>
                <c:pt idx="63">
                  <c:v>55.2622</c:v>
                </c:pt>
                <c:pt idx="64">
                  <c:v>55.668199999999999</c:v>
                </c:pt>
                <c:pt idx="65">
                  <c:v>56.076300000000003</c:v>
                </c:pt>
                <c:pt idx="66">
                  <c:v>56.482999999999997</c:v>
                </c:pt>
                <c:pt idx="67">
                  <c:v>56.8889</c:v>
                </c:pt>
                <c:pt idx="68">
                  <c:v>57.2988</c:v>
                </c:pt>
                <c:pt idx="69">
                  <c:v>57.700699999999998</c:v>
                </c:pt>
                <c:pt idx="70">
                  <c:v>58.105699999999999</c:v>
                </c:pt>
                <c:pt idx="71">
                  <c:v>58.511600000000001</c:v>
                </c:pt>
                <c:pt idx="72">
                  <c:v>58.921500000000002</c:v>
                </c:pt>
                <c:pt idx="73">
                  <c:v>59.327300000000001</c:v>
                </c:pt>
                <c:pt idx="74">
                  <c:v>59.733400000000003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2.8258899999999998</c:v>
                </c:pt>
                <c:pt idx="1">
                  <c:v>2.8075200000000002</c:v>
                </c:pt>
                <c:pt idx="2">
                  <c:v>2.78877</c:v>
                </c:pt>
                <c:pt idx="3">
                  <c:v>2.7674700000000003</c:v>
                </c:pt>
                <c:pt idx="4">
                  <c:v>2.7423900000000003</c:v>
                </c:pt>
                <c:pt idx="5">
                  <c:v>2.71468</c:v>
                </c:pt>
                <c:pt idx="6">
                  <c:v>2.68668</c:v>
                </c:pt>
                <c:pt idx="7">
                  <c:v>2.6581399999999999</c:v>
                </c:pt>
                <c:pt idx="8">
                  <c:v>2.6322700000000001</c:v>
                </c:pt>
                <c:pt idx="9">
                  <c:v>2.60669</c:v>
                </c:pt>
                <c:pt idx="10">
                  <c:v>2.5802999999999998</c:v>
                </c:pt>
                <c:pt idx="11">
                  <c:v>2.5536599999999998</c:v>
                </c:pt>
                <c:pt idx="12">
                  <c:v>2.5276300000000003</c:v>
                </c:pt>
                <c:pt idx="13">
                  <c:v>2.50454</c:v>
                </c:pt>
                <c:pt idx="14">
                  <c:v>2.4834499999999999</c:v>
                </c:pt>
                <c:pt idx="15">
                  <c:v>2.4623900000000001</c:v>
                </c:pt>
                <c:pt idx="16">
                  <c:v>2.4446099999999999</c:v>
                </c:pt>
                <c:pt idx="17">
                  <c:v>2.4321599999999997</c:v>
                </c:pt>
                <c:pt idx="18">
                  <c:v>2.4243600000000001</c:v>
                </c:pt>
                <c:pt idx="19">
                  <c:v>2.4225699999999999</c:v>
                </c:pt>
                <c:pt idx="20">
                  <c:v>2.4248099999999999</c:v>
                </c:pt>
                <c:pt idx="21">
                  <c:v>2.42984</c:v>
                </c:pt>
                <c:pt idx="22">
                  <c:v>2.4379500000000003</c:v>
                </c:pt>
                <c:pt idx="23">
                  <c:v>2.4469599999999998</c:v>
                </c:pt>
                <c:pt idx="24">
                  <c:v>2.45675</c:v>
                </c:pt>
                <c:pt idx="25">
                  <c:v>2.4702600000000001</c:v>
                </c:pt>
                <c:pt idx="26">
                  <c:v>2.4864999999999999</c:v>
                </c:pt>
                <c:pt idx="27">
                  <c:v>2.5022899999999999</c:v>
                </c:pt>
                <c:pt idx="28">
                  <c:v>2.5186299999999999</c:v>
                </c:pt>
                <c:pt idx="29">
                  <c:v>2.5360399999999998</c:v>
                </c:pt>
                <c:pt idx="30">
                  <c:v>2.5530399999999998</c:v>
                </c:pt>
                <c:pt idx="31">
                  <c:v>2.5707400000000002</c:v>
                </c:pt>
                <c:pt idx="32">
                  <c:v>2.5901000000000001</c:v>
                </c:pt>
                <c:pt idx="33">
                  <c:v>2.6084899999999998</c:v>
                </c:pt>
                <c:pt idx="34">
                  <c:v>2.6249400000000001</c:v>
                </c:pt>
                <c:pt idx="35">
                  <c:v>2.6394899999999999</c:v>
                </c:pt>
                <c:pt idx="36">
                  <c:v>2.6518700000000002</c:v>
                </c:pt>
                <c:pt idx="37">
                  <c:v>2.6615699999999998</c:v>
                </c:pt>
                <c:pt idx="38">
                  <c:v>2.6688800000000001</c:v>
                </c:pt>
                <c:pt idx="39">
                  <c:v>2.6748599999999998</c:v>
                </c:pt>
                <c:pt idx="40">
                  <c:v>2.68072</c:v>
                </c:pt>
                <c:pt idx="41">
                  <c:v>2.6862699999999999</c:v>
                </c:pt>
                <c:pt idx="42">
                  <c:v>2.6879300000000002</c:v>
                </c:pt>
                <c:pt idx="43">
                  <c:v>2.6842100000000002</c:v>
                </c:pt>
                <c:pt idx="44">
                  <c:v>2.6771000000000003</c:v>
                </c:pt>
                <c:pt idx="45">
                  <c:v>2.6738099999999996</c:v>
                </c:pt>
                <c:pt idx="46">
                  <c:v>2.6768700000000001</c:v>
                </c:pt>
                <c:pt idx="47">
                  <c:v>2.6821099999999998</c:v>
                </c:pt>
                <c:pt idx="48">
                  <c:v>2.69102</c:v>
                </c:pt>
                <c:pt idx="49">
                  <c:v>2.7020100000000005</c:v>
                </c:pt>
                <c:pt idx="50">
                  <c:v>2.7147600000000001</c:v>
                </c:pt>
                <c:pt idx="51">
                  <c:v>2.7133500000000002</c:v>
                </c:pt>
                <c:pt idx="52">
                  <c:v>2.7119900000000001</c:v>
                </c:pt>
                <c:pt idx="53">
                  <c:v>2.7101500000000001</c:v>
                </c:pt>
                <c:pt idx="54">
                  <c:v>2.70817</c:v>
                </c:pt>
                <c:pt idx="55">
                  <c:v>2.7070699999999999</c:v>
                </c:pt>
                <c:pt idx="56">
                  <c:v>2.7066499999999998</c:v>
                </c:pt>
                <c:pt idx="57">
                  <c:v>2.7063999999999999</c:v>
                </c:pt>
                <c:pt idx="58">
                  <c:v>2.7067999999999999</c:v>
                </c:pt>
                <c:pt idx="59">
                  <c:v>2.7080799999999998</c:v>
                </c:pt>
                <c:pt idx="60">
                  <c:v>2.7109899999999998</c:v>
                </c:pt>
                <c:pt idx="61">
                  <c:v>2.7158300000000004</c:v>
                </c:pt>
                <c:pt idx="62">
                  <c:v>2.72262</c:v>
                </c:pt>
                <c:pt idx="63">
                  <c:v>2.7308500000000002</c:v>
                </c:pt>
                <c:pt idx="64">
                  <c:v>2.7404299999999999</c:v>
                </c:pt>
                <c:pt idx="65">
                  <c:v>2.7515800000000001</c:v>
                </c:pt>
                <c:pt idx="66">
                  <c:v>2.7645999999999997</c:v>
                </c:pt>
                <c:pt idx="67">
                  <c:v>2.7843099999999996</c:v>
                </c:pt>
                <c:pt idx="68">
                  <c:v>2.8184900000000002</c:v>
                </c:pt>
                <c:pt idx="69">
                  <c:v>2.8623099999999999</c:v>
                </c:pt>
                <c:pt idx="70">
                  <c:v>2.9047499999999999</c:v>
                </c:pt>
                <c:pt idx="71">
                  <c:v>2.93533</c:v>
                </c:pt>
                <c:pt idx="72">
                  <c:v>2.96957</c:v>
                </c:pt>
                <c:pt idx="73">
                  <c:v>2.9939500000000003</c:v>
                </c:pt>
                <c:pt idx="74">
                  <c:v>3.0165500000000001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14.933350000000001</c:v>
                </c:pt>
                <c:pt idx="1">
                  <c:v>44.800049999999999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2.6616813513513509</c:v>
                </c:pt>
                <c:pt idx="1">
                  <c:v>2.6561070270270277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0.40402500000000002</c:v>
                </c:pt>
                <c:pt idx="2">
                  <c:v>0.80780099999999999</c:v>
                </c:pt>
                <c:pt idx="3">
                  <c:v>1.2177899999999999</c:v>
                </c:pt>
                <c:pt idx="4">
                  <c:v>1.6186700000000001</c:v>
                </c:pt>
                <c:pt idx="5">
                  <c:v>2.0286400000000002</c:v>
                </c:pt>
                <c:pt idx="6">
                  <c:v>2.43676</c:v>
                </c:pt>
                <c:pt idx="7">
                  <c:v>2.8423400000000001</c:v>
                </c:pt>
                <c:pt idx="8">
                  <c:v>3.2482500000000001</c:v>
                </c:pt>
                <c:pt idx="9">
                  <c:v>3.6544699999999999</c:v>
                </c:pt>
                <c:pt idx="10">
                  <c:v>4.0593500000000002</c:v>
                </c:pt>
                <c:pt idx="11">
                  <c:v>4.4641000000000002</c:v>
                </c:pt>
                <c:pt idx="12">
                  <c:v>4.87697</c:v>
                </c:pt>
                <c:pt idx="13">
                  <c:v>5.2788500000000003</c:v>
                </c:pt>
                <c:pt idx="14">
                  <c:v>5.6847500000000002</c:v>
                </c:pt>
                <c:pt idx="15">
                  <c:v>6.0921799999999999</c:v>
                </c:pt>
                <c:pt idx="16">
                  <c:v>6.49587</c:v>
                </c:pt>
                <c:pt idx="17">
                  <c:v>6.9056800000000003</c:v>
                </c:pt>
                <c:pt idx="18">
                  <c:v>7.3133400000000002</c:v>
                </c:pt>
                <c:pt idx="19">
                  <c:v>7.7172799999999997</c:v>
                </c:pt>
                <c:pt idx="20">
                  <c:v>8.1204900000000002</c:v>
                </c:pt>
                <c:pt idx="21">
                  <c:v>8.5282400000000003</c:v>
                </c:pt>
                <c:pt idx="22">
                  <c:v>8.9371899999999993</c:v>
                </c:pt>
                <c:pt idx="23">
                  <c:v>9.3391000000000002</c:v>
                </c:pt>
                <c:pt idx="24">
                  <c:v>9.7498699999999996</c:v>
                </c:pt>
                <c:pt idx="25">
                  <c:v>10.152900000000001</c:v>
                </c:pt>
                <c:pt idx="26">
                  <c:v>10.5579</c:v>
                </c:pt>
                <c:pt idx="27">
                  <c:v>10.964700000000001</c:v>
                </c:pt>
                <c:pt idx="28">
                  <c:v>11.3765</c:v>
                </c:pt>
                <c:pt idx="29">
                  <c:v>11.778499999999999</c:v>
                </c:pt>
                <c:pt idx="30">
                  <c:v>12.183299999999999</c:v>
                </c:pt>
                <c:pt idx="31">
                  <c:v>12.5906</c:v>
                </c:pt>
                <c:pt idx="32">
                  <c:v>12.998100000000001</c:v>
                </c:pt>
                <c:pt idx="33">
                  <c:v>13.405099999999999</c:v>
                </c:pt>
                <c:pt idx="34">
                  <c:v>13.811999999999999</c:v>
                </c:pt>
                <c:pt idx="35">
                  <c:v>14.2149</c:v>
                </c:pt>
                <c:pt idx="36">
                  <c:v>14.623200000000001</c:v>
                </c:pt>
                <c:pt idx="37">
                  <c:v>15.028700000000001</c:v>
                </c:pt>
                <c:pt idx="38">
                  <c:v>15.4346</c:v>
                </c:pt>
                <c:pt idx="39">
                  <c:v>15.842599999999999</c:v>
                </c:pt>
                <c:pt idx="40">
                  <c:v>16.2456</c:v>
                </c:pt>
                <c:pt idx="41">
                  <c:v>16.6525</c:v>
                </c:pt>
                <c:pt idx="42">
                  <c:v>17.060300000000002</c:v>
                </c:pt>
                <c:pt idx="43">
                  <c:v>17.466200000000001</c:v>
                </c:pt>
                <c:pt idx="44">
                  <c:v>17.869199999999999</c:v>
                </c:pt>
                <c:pt idx="45">
                  <c:v>18.28</c:v>
                </c:pt>
                <c:pt idx="46">
                  <c:v>18.692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19.906199999999998</c:v>
                </c:pt>
                <c:pt idx="50">
                  <c:v>20.3126</c:v>
                </c:pt>
                <c:pt idx="51">
                  <c:v>20.718599999999999</c:v>
                </c:pt>
                <c:pt idx="52">
                  <c:v>21.122399999999999</c:v>
                </c:pt>
                <c:pt idx="53">
                  <c:v>21.5274</c:v>
                </c:pt>
                <c:pt idx="54">
                  <c:v>21.934699999999999</c:v>
                </c:pt>
                <c:pt idx="55">
                  <c:v>22.345199999999998</c:v>
                </c:pt>
                <c:pt idx="56">
                  <c:v>22.748100000000001</c:v>
                </c:pt>
                <c:pt idx="57">
                  <c:v>23.152000000000001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24.370999999999999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25.589500000000001</c:v>
                </c:pt>
                <c:pt idx="64">
                  <c:v>25.996500000000001</c:v>
                </c:pt>
                <c:pt idx="65">
                  <c:v>26.406400000000001</c:v>
                </c:pt>
                <c:pt idx="66">
                  <c:v>26.804600000000001</c:v>
                </c:pt>
                <c:pt idx="67">
                  <c:v>27.2181</c:v>
                </c:pt>
                <c:pt idx="68">
                  <c:v>27.622299999999999</c:v>
                </c:pt>
                <c:pt idx="69">
                  <c:v>28.026</c:v>
                </c:pt>
                <c:pt idx="70">
                  <c:v>28.436</c:v>
                </c:pt>
                <c:pt idx="71">
                  <c:v>28.841799999999999</c:v>
                </c:pt>
                <c:pt idx="72">
                  <c:v>29.249700000000001</c:v>
                </c:pt>
                <c:pt idx="73">
                  <c:v>29.6539</c:v>
                </c:pt>
                <c:pt idx="74">
                  <c:v>30.058599999999998</c:v>
                </c:pt>
                <c:pt idx="75">
                  <c:v>30.481400000000001</c:v>
                </c:pt>
                <c:pt idx="76">
                  <c:v>30.887499999999999</c:v>
                </c:pt>
                <c:pt idx="77">
                  <c:v>31.2925</c:v>
                </c:pt>
                <c:pt idx="78">
                  <c:v>31.700199999999999</c:v>
                </c:pt>
                <c:pt idx="79">
                  <c:v>32.109099999999998</c:v>
                </c:pt>
                <c:pt idx="80">
                  <c:v>32.512999999999998</c:v>
                </c:pt>
                <c:pt idx="81">
                  <c:v>32.920299999999997</c:v>
                </c:pt>
                <c:pt idx="82">
                  <c:v>33.323999999999998</c:v>
                </c:pt>
                <c:pt idx="83">
                  <c:v>33.732700000000001</c:v>
                </c:pt>
                <c:pt idx="84">
                  <c:v>34.139699999999998</c:v>
                </c:pt>
                <c:pt idx="85">
                  <c:v>34.543700000000001</c:v>
                </c:pt>
                <c:pt idx="86">
                  <c:v>34.951500000000003</c:v>
                </c:pt>
                <c:pt idx="87">
                  <c:v>35.359400000000001</c:v>
                </c:pt>
                <c:pt idx="88">
                  <c:v>35.763300000000001</c:v>
                </c:pt>
                <c:pt idx="89">
                  <c:v>36.167299999999997</c:v>
                </c:pt>
                <c:pt idx="90">
                  <c:v>36.574599999999997</c:v>
                </c:pt>
                <c:pt idx="91">
                  <c:v>36.984000000000002</c:v>
                </c:pt>
                <c:pt idx="92">
                  <c:v>37.392000000000003</c:v>
                </c:pt>
                <c:pt idx="93">
                  <c:v>37.792900000000003</c:v>
                </c:pt>
                <c:pt idx="94">
                  <c:v>38.198799999999999</c:v>
                </c:pt>
                <c:pt idx="95">
                  <c:v>38.606000000000002</c:v>
                </c:pt>
                <c:pt idx="96">
                  <c:v>39.015700000000002</c:v>
                </c:pt>
                <c:pt idx="97">
                  <c:v>39.421599999999998</c:v>
                </c:pt>
                <c:pt idx="98">
                  <c:v>39.826500000000003</c:v>
                </c:pt>
                <c:pt idx="99">
                  <c:v>40.230400000000003</c:v>
                </c:pt>
                <c:pt idx="100">
                  <c:v>40.6357</c:v>
                </c:pt>
                <c:pt idx="101">
                  <c:v>41.044199999999996</c:v>
                </c:pt>
                <c:pt idx="102">
                  <c:v>41.452100000000002</c:v>
                </c:pt>
                <c:pt idx="103">
                  <c:v>41.859099999999998</c:v>
                </c:pt>
                <c:pt idx="104">
                  <c:v>42.262</c:v>
                </c:pt>
                <c:pt idx="105">
                  <c:v>42.668999999999997</c:v>
                </c:pt>
                <c:pt idx="106">
                  <c:v>43.076900000000002</c:v>
                </c:pt>
                <c:pt idx="107">
                  <c:v>43.482700000000001</c:v>
                </c:pt>
                <c:pt idx="108">
                  <c:v>43.888599999999997</c:v>
                </c:pt>
                <c:pt idx="109">
                  <c:v>44.295699999999997</c:v>
                </c:pt>
                <c:pt idx="110">
                  <c:v>44.699800000000003</c:v>
                </c:pt>
                <c:pt idx="111">
                  <c:v>45.1083</c:v>
                </c:pt>
                <c:pt idx="112">
                  <c:v>45.517299999999999</c:v>
                </c:pt>
                <c:pt idx="113">
                  <c:v>45.920499999999997</c:v>
                </c:pt>
                <c:pt idx="114">
                  <c:v>46.326300000000003</c:v>
                </c:pt>
                <c:pt idx="115">
                  <c:v>46.7346</c:v>
                </c:pt>
                <c:pt idx="116">
                  <c:v>47.136099999999999</c:v>
                </c:pt>
                <c:pt idx="117">
                  <c:v>47.546799999999998</c:v>
                </c:pt>
                <c:pt idx="118">
                  <c:v>47.951700000000002</c:v>
                </c:pt>
                <c:pt idx="119">
                  <c:v>48.354700000000001</c:v>
                </c:pt>
                <c:pt idx="120">
                  <c:v>48.764099999999999</c:v>
                </c:pt>
                <c:pt idx="121">
                  <c:v>49.170699999999997</c:v>
                </c:pt>
                <c:pt idx="122">
                  <c:v>49.5745</c:v>
                </c:pt>
                <c:pt idx="123">
                  <c:v>49.979500000000002</c:v>
                </c:pt>
                <c:pt idx="124">
                  <c:v>50.385399999999997</c:v>
                </c:pt>
                <c:pt idx="125">
                  <c:v>50.792099999999998</c:v>
                </c:pt>
                <c:pt idx="126">
                  <c:v>51.198999999999998</c:v>
                </c:pt>
                <c:pt idx="127">
                  <c:v>51.604999999999997</c:v>
                </c:pt>
                <c:pt idx="128">
                  <c:v>52.0124</c:v>
                </c:pt>
                <c:pt idx="129">
                  <c:v>52.418799999999997</c:v>
                </c:pt>
                <c:pt idx="130">
                  <c:v>52.826700000000002</c:v>
                </c:pt>
                <c:pt idx="131">
                  <c:v>53.230600000000003</c:v>
                </c:pt>
                <c:pt idx="132">
                  <c:v>53.635599999999997</c:v>
                </c:pt>
                <c:pt idx="133">
                  <c:v>54.043900000000001</c:v>
                </c:pt>
                <c:pt idx="134">
                  <c:v>54.448399999999999</c:v>
                </c:pt>
                <c:pt idx="135">
                  <c:v>54.8583</c:v>
                </c:pt>
                <c:pt idx="136">
                  <c:v>55.2622</c:v>
                </c:pt>
                <c:pt idx="137">
                  <c:v>55.668199999999999</c:v>
                </c:pt>
                <c:pt idx="138">
                  <c:v>56.076300000000003</c:v>
                </c:pt>
                <c:pt idx="139">
                  <c:v>56.482999999999997</c:v>
                </c:pt>
                <c:pt idx="140">
                  <c:v>56.8889</c:v>
                </c:pt>
                <c:pt idx="141">
                  <c:v>57.2988</c:v>
                </c:pt>
                <c:pt idx="142">
                  <c:v>57.700699999999998</c:v>
                </c:pt>
                <c:pt idx="143">
                  <c:v>58.105699999999999</c:v>
                </c:pt>
                <c:pt idx="144">
                  <c:v>58.511600000000001</c:v>
                </c:pt>
                <c:pt idx="145">
                  <c:v>58.921500000000002</c:v>
                </c:pt>
                <c:pt idx="146">
                  <c:v>59.327300000000001</c:v>
                </c:pt>
                <c:pt idx="147">
                  <c:v>59.733400000000003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58.658500000000004</c:v>
                </c:pt>
                <c:pt idx="1">
                  <c:v>58.703499999999998</c:v>
                </c:pt>
                <c:pt idx="2">
                  <c:v>58.820999999999998</c:v>
                </c:pt>
                <c:pt idx="3">
                  <c:v>58.913800000000002</c:v>
                </c:pt>
                <c:pt idx="4">
                  <c:v>58.805900000000001</c:v>
                </c:pt>
                <c:pt idx="5">
                  <c:v>58.656399999999998</c:v>
                </c:pt>
                <c:pt idx="6">
                  <c:v>58.457400000000007</c:v>
                </c:pt>
                <c:pt idx="7">
                  <c:v>58.191199999999995</c:v>
                </c:pt>
                <c:pt idx="8">
                  <c:v>57.909500000000001</c:v>
                </c:pt>
                <c:pt idx="9">
                  <c:v>57.615799999999993</c:v>
                </c:pt>
                <c:pt idx="10">
                  <c:v>57.244300000000003</c:v>
                </c:pt>
                <c:pt idx="11">
                  <c:v>56.792200000000001</c:v>
                </c:pt>
                <c:pt idx="12">
                  <c:v>56.319300000000005</c:v>
                </c:pt>
                <c:pt idx="13">
                  <c:v>55.863500000000002</c:v>
                </c:pt>
                <c:pt idx="14">
                  <c:v>55.356499999999997</c:v>
                </c:pt>
                <c:pt idx="15">
                  <c:v>54.800899999999999</c:v>
                </c:pt>
                <c:pt idx="16">
                  <c:v>54.145800000000001</c:v>
                </c:pt>
                <c:pt idx="17">
                  <c:v>53.509599999999999</c:v>
                </c:pt>
                <c:pt idx="18">
                  <c:v>52.889800000000001</c:v>
                </c:pt>
                <c:pt idx="19">
                  <c:v>52.325000000000003</c:v>
                </c:pt>
                <c:pt idx="20">
                  <c:v>51.806700000000006</c:v>
                </c:pt>
                <c:pt idx="21">
                  <c:v>51.292499999999997</c:v>
                </c:pt>
                <c:pt idx="22">
                  <c:v>50.795400000000001</c:v>
                </c:pt>
                <c:pt idx="23">
                  <c:v>50.328300000000006</c:v>
                </c:pt>
                <c:pt idx="24">
                  <c:v>49.847299999999997</c:v>
                </c:pt>
                <c:pt idx="25">
                  <c:v>49.384</c:v>
                </c:pt>
                <c:pt idx="26">
                  <c:v>48.936600000000006</c:v>
                </c:pt>
                <c:pt idx="27">
                  <c:v>48.469200000000001</c:v>
                </c:pt>
                <c:pt idx="28">
                  <c:v>48.007300000000001</c:v>
                </c:pt>
                <c:pt idx="29">
                  <c:v>47.589799999999997</c:v>
                </c:pt>
                <c:pt idx="30">
                  <c:v>47.255299999999998</c:v>
                </c:pt>
                <c:pt idx="31">
                  <c:v>46.9497</c:v>
                </c:pt>
                <c:pt idx="32">
                  <c:v>46.6464</c:v>
                </c:pt>
                <c:pt idx="33">
                  <c:v>46.314399999999999</c:v>
                </c:pt>
                <c:pt idx="34">
                  <c:v>46.000799999999998</c:v>
                </c:pt>
                <c:pt idx="35">
                  <c:v>45.7896</c:v>
                </c:pt>
                <c:pt idx="36">
                  <c:v>45.644400000000005</c:v>
                </c:pt>
                <c:pt idx="37">
                  <c:v>45.509599999999999</c:v>
                </c:pt>
                <c:pt idx="38">
                  <c:v>45.390799999999999</c:v>
                </c:pt>
                <c:pt idx="39">
                  <c:v>45.318100000000001</c:v>
                </c:pt>
                <c:pt idx="40">
                  <c:v>45.285599999999995</c:v>
                </c:pt>
                <c:pt idx="41">
                  <c:v>45.310699999999997</c:v>
                </c:pt>
                <c:pt idx="42">
                  <c:v>45.311500000000002</c:v>
                </c:pt>
                <c:pt idx="43">
                  <c:v>45.3795</c:v>
                </c:pt>
                <c:pt idx="44">
                  <c:v>45.3917</c:v>
                </c:pt>
                <c:pt idx="45">
                  <c:v>45.342300000000002</c:v>
                </c:pt>
                <c:pt idx="46">
                  <c:v>45.276899999999998</c:v>
                </c:pt>
                <c:pt idx="47">
                  <c:v>45.173999999999999</c:v>
                </c:pt>
                <c:pt idx="48">
                  <c:v>45.009900000000002</c:v>
                </c:pt>
                <c:pt idx="49">
                  <c:v>44.791799999999995</c:v>
                </c:pt>
                <c:pt idx="50">
                  <c:v>44.502399999999994</c:v>
                </c:pt>
                <c:pt idx="51">
                  <c:v>44.106200000000001</c:v>
                </c:pt>
                <c:pt idx="52">
                  <c:v>43.675899999999999</c:v>
                </c:pt>
                <c:pt idx="53">
                  <c:v>43.226199999999999</c:v>
                </c:pt>
                <c:pt idx="54">
                  <c:v>42.872500000000002</c:v>
                </c:pt>
                <c:pt idx="55">
                  <c:v>42.626899999999999</c:v>
                </c:pt>
                <c:pt idx="56">
                  <c:v>42.513500000000001</c:v>
                </c:pt>
                <c:pt idx="57">
                  <c:v>42.4392</c:v>
                </c:pt>
                <c:pt idx="58">
                  <c:v>42.339100000000002</c:v>
                </c:pt>
                <c:pt idx="59">
                  <c:v>42.197699999999998</c:v>
                </c:pt>
                <c:pt idx="60">
                  <c:v>41.936199999999999</c:v>
                </c:pt>
                <c:pt idx="61">
                  <c:v>41.616599999999998</c:v>
                </c:pt>
                <c:pt idx="62">
                  <c:v>41.305300000000003</c:v>
                </c:pt>
                <c:pt idx="63">
                  <c:v>40.993499999999997</c:v>
                </c:pt>
                <c:pt idx="64">
                  <c:v>40.746900000000004</c:v>
                </c:pt>
                <c:pt idx="65">
                  <c:v>40.527000000000001</c:v>
                </c:pt>
                <c:pt idx="66">
                  <c:v>40.279699999999998</c:v>
                </c:pt>
                <c:pt idx="67">
                  <c:v>40.049099999999996</c:v>
                </c:pt>
                <c:pt idx="68">
                  <c:v>39.805600000000005</c:v>
                </c:pt>
                <c:pt idx="69">
                  <c:v>39.630500000000005</c:v>
                </c:pt>
                <c:pt idx="70">
                  <c:v>39.409599999999998</c:v>
                </c:pt>
                <c:pt idx="71">
                  <c:v>39.151399999999995</c:v>
                </c:pt>
                <c:pt idx="72">
                  <c:v>38.8812</c:v>
                </c:pt>
                <c:pt idx="73">
                  <c:v>38.618200000000002</c:v>
                </c:pt>
                <c:pt idx="74">
                  <c:v>38.425799999999995</c:v>
                </c:pt>
                <c:pt idx="75">
                  <c:v>38.3033</c:v>
                </c:pt>
                <c:pt idx="76">
                  <c:v>38.300200000000004</c:v>
                </c:pt>
                <c:pt idx="77">
                  <c:v>38.398400000000002</c:v>
                </c:pt>
                <c:pt idx="78">
                  <c:v>38.563199999999995</c:v>
                </c:pt>
                <c:pt idx="79">
                  <c:v>38.667400000000001</c:v>
                </c:pt>
                <c:pt idx="80">
                  <c:v>38.628900000000002</c:v>
                </c:pt>
                <c:pt idx="81">
                  <c:v>38.479500000000002</c:v>
                </c:pt>
                <c:pt idx="82">
                  <c:v>38.414300000000004</c:v>
                </c:pt>
                <c:pt idx="83">
                  <c:v>38.4756</c:v>
                </c:pt>
                <c:pt idx="84">
                  <c:v>38.6447</c:v>
                </c:pt>
                <c:pt idx="85">
                  <c:v>38.914200000000001</c:v>
                </c:pt>
                <c:pt idx="86">
                  <c:v>39.168100000000003</c:v>
                </c:pt>
                <c:pt idx="87">
                  <c:v>39.470300000000002</c:v>
                </c:pt>
                <c:pt idx="88">
                  <c:v>39.8568</c:v>
                </c:pt>
                <c:pt idx="89">
                  <c:v>40.198399999999999</c:v>
                </c:pt>
                <c:pt idx="90">
                  <c:v>40.555600000000005</c:v>
                </c:pt>
                <c:pt idx="91">
                  <c:v>40.932000000000002</c:v>
                </c:pt>
                <c:pt idx="92">
                  <c:v>41.303100000000001</c:v>
                </c:pt>
                <c:pt idx="93">
                  <c:v>41.608800000000002</c:v>
                </c:pt>
                <c:pt idx="94">
                  <c:v>41.781800000000004</c:v>
                </c:pt>
                <c:pt idx="95">
                  <c:v>41.862500000000004</c:v>
                </c:pt>
                <c:pt idx="96">
                  <c:v>41.93</c:v>
                </c:pt>
                <c:pt idx="97">
                  <c:v>42.0139</c:v>
                </c:pt>
                <c:pt idx="98">
                  <c:v>42.039500000000004</c:v>
                </c:pt>
                <c:pt idx="99">
                  <c:v>41.982500000000002</c:v>
                </c:pt>
                <c:pt idx="100">
                  <c:v>41.923300000000005</c:v>
                </c:pt>
                <c:pt idx="101">
                  <c:v>41.794399999999996</c:v>
                </c:pt>
                <c:pt idx="102">
                  <c:v>41.642899999999997</c:v>
                </c:pt>
                <c:pt idx="103">
                  <c:v>41.546999999999997</c:v>
                </c:pt>
                <c:pt idx="104">
                  <c:v>41.571100000000001</c:v>
                </c:pt>
                <c:pt idx="105">
                  <c:v>41.720199999999998</c:v>
                </c:pt>
                <c:pt idx="106">
                  <c:v>41.926299999999998</c:v>
                </c:pt>
                <c:pt idx="107">
                  <c:v>42.117399999999996</c:v>
                </c:pt>
                <c:pt idx="108">
                  <c:v>42.369299999999996</c:v>
                </c:pt>
                <c:pt idx="109">
                  <c:v>42.668399999999998</c:v>
                </c:pt>
                <c:pt idx="110">
                  <c:v>42.9955</c:v>
                </c:pt>
                <c:pt idx="111">
                  <c:v>43.381399999999999</c:v>
                </c:pt>
                <c:pt idx="112">
                  <c:v>43.714700000000001</c:v>
                </c:pt>
                <c:pt idx="113">
                  <c:v>43.9938</c:v>
                </c:pt>
                <c:pt idx="114">
                  <c:v>44.2224</c:v>
                </c:pt>
                <c:pt idx="115">
                  <c:v>44.352999999999994</c:v>
                </c:pt>
                <c:pt idx="116">
                  <c:v>44.461600000000004</c:v>
                </c:pt>
                <c:pt idx="117">
                  <c:v>44.595100000000002</c:v>
                </c:pt>
                <c:pt idx="118">
                  <c:v>44.703700000000005</c:v>
                </c:pt>
                <c:pt idx="119">
                  <c:v>44.789000000000001</c:v>
                </c:pt>
                <c:pt idx="120">
                  <c:v>45.000399999999999</c:v>
                </c:pt>
                <c:pt idx="121">
                  <c:v>45.232700000000001</c:v>
                </c:pt>
                <c:pt idx="122">
                  <c:v>45.397199999999998</c:v>
                </c:pt>
                <c:pt idx="123">
                  <c:v>45.488599999999998</c:v>
                </c:pt>
                <c:pt idx="124">
                  <c:v>45.652000000000001</c:v>
                </c:pt>
                <c:pt idx="125">
                  <c:v>45.831600000000002</c:v>
                </c:pt>
                <c:pt idx="126">
                  <c:v>46.061999999999998</c:v>
                </c:pt>
                <c:pt idx="127">
                  <c:v>46.319099999999999</c:v>
                </c:pt>
                <c:pt idx="128">
                  <c:v>46.5396</c:v>
                </c:pt>
                <c:pt idx="129">
                  <c:v>46.726500000000001</c:v>
                </c:pt>
                <c:pt idx="130">
                  <c:v>46.918799999999997</c:v>
                </c:pt>
                <c:pt idx="131">
                  <c:v>47.103200000000001</c:v>
                </c:pt>
                <c:pt idx="132">
                  <c:v>47.256300000000003</c:v>
                </c:pt>
                <c:pt idx="133">
                  <c:v>47.339399999999998</c:v>
                </c:pt>
                <c:pt idx="134">
                  <c:v>47.352899999999998</c:v>
                </c:pt>
                <c:pt idx="135">
                  <c:v>47.331699999999998</c:v>
                </c:pt>
                <c:pt idx="136">
                  <c:v>47.316699999999997</c:v>
                </c:pt>
                <c:pt idx="137">
                  <c:v>47.313300000000005</c:v>
                </c:pt>
                <c:pt idx="138">
                  <c:v>47.327999999999996</c:v>
                </c:pt>
                <c:pt idx="139">
                  <c:v>47.3538</c:v>
                </c:pt>
                <c:pt idx="140">
                  <c:v>47.474299999999999</c:v>
                </c:pt>
                <c:pt idx="141">
                  <c:v>47.639800000000001</c:v>
                </c:pt>
                <c:pt idx="142">
                  <c:v>47.690599999999996</c:v>
                </c:pt>
                <c:pt idx="143">
                  <c:v>47.7637</c:v>
                </c:pt>
                <c:pt idx="144">
                  <c:v>47.897199999999998</c:v>
                </c:pt>
                <c:pt idx="145">
                  <c:v>47.830600000000004</c:v>
                </c:pt>
                <c:pt idx="146">
                  <c:v>47.267199999999995</c:v>
                </c:pt>
                <c:pt idx="147">
                  <c:v>46.6023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0.40402500000000002</c:v>
                </c:pt>
                <c:pt idx="2">
                  <c:v>0.80780099999999999</c:v>
                </c:pt>
                <c:pt idx="3">
                  <c:v>1.2177899999999999</c:v>
                </c:pt>
                <c:pt idx="4">
                  <c:v>1.6186700000000001</c:v>
                </c:pt>
                <c:pt idx="5">
                  <c:v>2.0286400000000002</c:v>
                </c:pt>
                <c:pt idx="6">
                  <c:v>2.43676</c:v>
                </c:pt>
                <c:pt idx="7">
                  <c:v>2.8423400000000001</c:v>
                </c:pt>
                <c:pt idx="8">
                  <c:v>3.2482500000000001</c:v>
                </c:pt>
                <c:pt idx="9">
                  <c:v>3.6544699999999999</c:v>
                </c:pt>
                <c:pt idx="10">
                  <c:v>4.0593500000000002</c:v>
                </c:pt>
                <c:pt idx="11">
                  <c:v>4.4641000000000002</c:v>
                </c:pt>
                <c:pt idx="12">
                  <c:v>4.87697</c:v>
                </c:pt>
                <c:pt idx="13">
                  <c:v>5.2788500000000003</c:v>
                </c:pt>
                <c:pt idx="14">
                  <c:v>5.6847500000000002</c:v>
                </c:pt>
                <c:pt idx="15">
                  <c:v>6.0921799999999999</c:v>
                </c:pt>
                <c:pt idx="16">
                  <c:v>6.49587</c:v>
                </c:pt>
                <c:pt idx="17">
                  <c:v>6.9056800000000003</c:v>
                </c:pt>
                <c:pt idx="18">
                  <c:v>7.3133400000000002</c:v>
                </c:pt>
                <c:pt idx="19">
                  <c:v>7.7172799999999997</c:v>
                </c:pt>
                <c:pt idx="20">
                  <c:v>8.1204900000000002</c:v>
                </c:pt>
                <c:pt idx="21">
                  <c:v>8.5282400000000003</c:v>
                </c:pt>
                <c:pt idx="22">
                  <c:v>8.9371899999999993</c:v>
                </c:pt>
                <c:pt idx="23">
                  <c:v>9.3391000000000002</c:v>
                </c:pt>
                <c:pt idx="24">
                  <c:v>9.7498699999999996</c:v>
                </c:pt>
                <c:pt idx="25">
                  <c:v>10.152900000000001</c:v>
                </c:pt>
                <c:pt idx="26">
                  <c:v>10.5579</c:v>
                </c:pt>
                <c:pt idx="27">
                  <c:v>10.964700000000001</c:v>
                </c:pt>
                <c:pt idx="28">
                  <c:v>11.3765</c:v>
                </c:pt>
                <c:pt idx="29">
                  <c:v>11.778499999999999</c:v>
                </c:pt>
                <c:pt idx="30">
                  <c:v>12.183299999999999</c:v>
                </c:pt>
                <c:pt idx="31">
                  <c:v>12.5906</c:v>
                </c:pt>
                <c:pt idx="32">
                  <c:v>12.998100000000001</c:v>
                </c:pt>
                <c:pt idx="33">
                  <c:v>13.405099999999999</c:v>
                </c:pt>
                <c:pt idx="34">
                  <c:v>13.811999999999999</c:v>
                </c:pt>
                <c:pt idx="35">
                  <c:v>14.2149</c:v>
                </c:pt>
                <c:pt idx="36">
                  <c:v>14.623200000000001</c:v>
                </c:pt>
                <c:pt idx="37">
                  <c:v>15.028700000000001</c:v>
                </c:pt>
                <c:pt idx="38">
                  <c:v>15.4346</c:v>
                </c:pt>
                <c:pt idx="39">
                  <c:v>15.842599999999999</c:v>
                </c:pt>
                <c:pt idx="40">
                  <c:v>16.2456</c:v>
                </c:pt>
                <c:pt idx="41">
                  <c:v>16.6525</c:v>
                </c:pt>
                <c:pt idx="42">
                  <c:v>17.060300000000002</c:v>
                </c:pt>
                <c:pt idx="43">
                  <c:v>17.466200000000001</c:v>
                </c:pt>
                <c:pt idx="44">
                  <c:v>17.869199999999999</c:v>
                </c:pt>
                <c:pt idx="45">
                  <c:v>18.28</c:v>
                </c:pt>
                <c:pt idx="46">
                  <c:v>18.692</c:v>
                </c:pt>
                <c:pt idx="47">
                  <c:v>19.090900000000001</c:v>
                </c:pt>
                <c:pt idx="48">
                  <c:v>19.4969</c:v>
                </c:pt>
                <c:pt idx="49">
                  <c:v>19.906199999999998</c:v>
                </c:pt>
                <c:pt idx="50">
                  <c:v>20.3126</c:v>
                </c:pt>
                <c:pt idx="51">
                  <c:v>20.718599999999999</c:v>
                </c:pt>
                <c:pt idx="52">
                  <c:v>21.122399999999999</c:v>
                </c:pt>
                <c:pt idx="53">
                  <c:v>21.5274</c:v>
                </c:pt>
                <c:pt idx="54">
                  <c:v>21.934699999999999</c:v>
                </c:pt>
                <c:pt idx="55">
                  <c:v>22.345199999999998</c:v>
                </c:pt>
                <c:pt idx="56">
                  <c:v>22.748100000000001</c:v>
                </c:pt>
                <c:pt idx="57">
                  <c:v>23.152000000000001</c:v>
                </c:pt>
                <c:pt idx="58">
                  <c:v>23.558900000000001</c:v>
                </c:pt>
                <c:pt idx="59">
                  <c:v>23.9649</c:v>
                </c:pt>
                <c:pt idx="60">
                  <c:v>24.370999999999999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25.589500000000001</c:v>
                </c:pt>
                <c:pt idx="64">
                  <c:v>25.996500000000001</c:v>
                </c:pt>
                <c:pt idx="65">
                  <c:v>26.406400000000001</c:v>
                </c:pt>
                <c:pt idx="66">
                  <c:v>26.804600000000001</c:v>
                </c:pt>
                <c:pt idx="67">
                  <c:v>27.2181</c:v>
                </c:pt>
                <c:pt idx="68">
                  <c:v>27.622299999999999</c:v>
                </c:pt>
                <c:pt idx="69">
                  <c:v>28.026</c:v>
                </c:pt>
                <c:pt idx="70">
                  <c:v>28.436</c:v>
                </c:pt>
                <c:pt idx="71">
                  <c:v>28.841799999999999</c:v>
                </c:pt>
                <c:pt idx="72">
                  <c:v>29.249700000000001</c:v>
                </c:pt>
                <c:pt idx="73">
                  <c:v>29.6539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58.658500000000004</c:v>
                </c:pt>
                <c:pt idx="1">
                  <c:v>58.703499999999998</c:v>
                </c:pt>
                <c:pt idx="2">
                  <c:v>58.820999999999998</c:v>
                </c:pt>
                <c:pt idx="3">
                  <c:v>58.913800000000002</c:v>
                </c:pt>
                <c:pt idx="4">
                  <c:v>58.805900000000001</c:v>
                </c:pt>
                <c:pt idx="5">
                  <c:v>58.656399999999998</c:v>
                </c:pt>
                <c:pt idx="6">
                  <c:v>58.457400000000007</c:v>
                </c:pt>
                <c:pt idx="7">
                  <c:v>58.191199999999995</c:v>
                </c:pt>
                <c:pt idx="8">
                  <c:v>57.909500000000001</c:v>
                </c:pt>
                <c:pt idx="9">
                  <c:v>57.615799999999993</c:v>
                </c:pt>
                <c:pt idx="10">
                  <c:v>57.244300000000003</c:v>
                </c:pt>
                <c:pt idx="11">
                  <c:v>56.792200000000001</c:v>
                </c:pt>
                <c:pt idx="12">
                  <c:v>56.319300000000005</c:v>
                </c:pt>
                <c:pt idx="13">
                  <c:v>55.863500000000002</c:v>
                </c:pt>
                <c:pt idx="14">
                  <c:v>55.356499999999997</c:v>
                </c:pt>
                <c:pt idx="15">
                  <c:v>54.800899999999999</c:v>
                </c:pt>
                <c:pt idx="16">
                  <c:v>54.145800000000001</c:v>
                </c:pt>
                <c:pt idx="17">
                  <c:v>53.509599999999999</c:v>
                </c:pt>
                <c:pt idx="18">
                  <c:v>52.889800000000001</c:v>
                </c:pt>
                <c:pt idx="19">
                  <c:v>52.325000000000003</c:v>
                </c:pt>
                <c:pt idx="20">
                  <c:v>51.806700000000006</c:v>
                </c:pt>
                <c:pt idx="21">
                  <c:v>51.292499999999997</c:v>
                </c:pt>
                <c:pt idx="22">
                  <c:v>50.795400000000001</c:v>
                </c:pt>
                <c:pt idx="23">
                  <c:v>50.328300000000006</c:v>
                </c:pt>
                <c:pt idx="24">
                  <c:v>49.847299999999997</c:v>
                </c:pt>
                <c:pt idx="25">
                  <c:v>49.384</c:v>
                </c:pt>
                <c:pt idx="26">
                  <c:v>48.936600000000006</c:v>
                </c:pt>
                <c:pt idx="27">
                  <c:v>48.469200000000001</c:v>
                </c:pt>
                <c:pt idx="28">
                  <c:v>48.007300000000001</c:v>
                </c:pt>
                <c:pt idx="29">
                  <c:v>47.589799999999997</c:v>
                </c:pt>
                <c:pt idx="30">
                  <c:v>47.255299999999998</c:v>
                </c:pt>
                <c:pt idx="31">
                  <c:v>46.9497</c:v>
                </c:pt>
                <c:pt idx="32">
                  <c:v>46.6464</c:v>
                </c:pt>
                <c:pt idx="33">
                  <c:v>46.314399999999999</c:v>
                </c:pt>
                <c:pt idx="34">
                  <c:v>46.000799999999998</c:v>
                </c:pt>
                <c:pt idx="35">
                  <c:v>45.7896</c:v>
                </c:pt>
                <c:pt idx="36">
                  <c:v>45.644400000000005</c:v>
                </c:pt>
                <c:pt idx="37">
                  <c:v>45.509599999999999</c:v>
                </c:pt>
                <c:pt idx="38">
                  <c:v>45.390799999999999</c:v>
                </c:pt>
                <c:pt idx="39">
                  <c:v>45.318100000000001</c:v>
                </c:pt>
                <c:pt idx="40">
                  <c:v>45.285599999999995</c:v>
                </c:pt>
                <c:pt idx="41">
                  <c:v>45.310699999999997</c:v>
                </c:pt>
                <c:pt idx="42">
                  <c:v>45.311500000000002</c:v>
                </c:pt>
                <c:pt idx="43">
                  <c:v>45.3795</c:v>
                </c:pt>
                <c:pt idx="44">
                  <c:v>45.3917</c:v>
                </c:pt>
                <c:pt idx="45">
                  <c:v>45.342300000000002</c:v>
                </c:pt>
                <c:pt idx="46">
                  <c:v>45.276899999999998</c:v>
                </c:pt>
                <c:pt idx="47">
                  <c:v>45.173999999999999</c:v>
                </c:pt>
                <c:pt idx="48">
                  <c:v>45.009900000000002</c:v>
                </c:pt>
                <c:pt idx="49">
                  <c:v>44.791799999999995</c:v>
                </c:pt>
                <c:pt idx="50">
                  <c:v>44.502399999999994</c:v>
                </c:pt>
                <c:pt idx="51">
                  <c:v>44.106200000000001</c:v>
                </c:pt>
                <c:pt idx="52">
                  <c:v>43.675899999999999</c:v>
                </c:pt>
                <c:pt idx="53">
                  <c:v>43.226199999999999</c:v>
                </c:pt>
                <c:pt idx="54">
                  <c:v>42.872500000000002</c:v>
                </c:pt>
                <c:pt idx="55">
                  <c:v>42.626899999999999</c:v>
                </c:pt>
                <c:pt idx="56">
                  <c:v>42.513500000000001</c:v>
                </c:pt>
                <c:pt idx="57">
                  <c:v>42.4392</c:v>
                </c:pt>
                <c:pt idx="58">
                  <c:v>42.339100000000002</c:v>
                </c:pt>
                <c:pt idx="59">
                  <c:v>42.197699999999998</c:v>
                </c:pt>
                <c:pt idx="60">
                  <c:v>41.936199999999999</c:v>
                </c:pt>
                <c:pt idx="61">
                  <c:v>41.616599999999998</c:v>
                </c:pt>
                <c:pt idx="62">
                  <c:v>41.305300000000003</c:v>
                </c:pt>
                <c:pt idx="63">
                  <c:v>40.993499999999997</c:v>
                </c:pt>
                <c:pt idx="64">
                  <c:v>40.746900000000004</c:v>
                </c:pt>
                <c:pt idx="65">
                  <c:v>40.527000000000001</c:v>
                </c:pt>
                <c:pt idx="66">
                  <c:v>40.279699999999998</c:v>
                </c:pt>
                <c:pt idx="67">
                  <c:v>40.049099999999996</c:v>
                </c:pt>
                <c:pt idx="68">
                  <c:v>39.805600000000005</c:v>
                </c:pt>
                <c:pt idx="69">
                  <c:v>39.630500000000005</c:v>
                </c:pt>
                <c:pt idx="70">
                  <c:v>39.409599999999998</c:v>
                </c:pt>
                <c:pt idx="71">
                  <c:v>39.151399999999995</c:v>
                </c:pt>
                <c:pt idx="72">
                  <c:v>38.8812</c:v>
                </c:pt>
                <c:pt idx="73">
                  <c:v>38.618200000000002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29.6539</c:v>
                </c:pt>
                <c:pt idx="1">
                  <c:v>30.058599999999998</c:v>
                </c:pt>
                <c:pt idx="2">
                  <c:v>30.481400000000001</c:v>
                </c:pt>
                <c:pt idx="3">
                  <c:v>30.887499999999999</c:v>
                </c:pt>
                <c:pt idx="4">
                  <c:v>31.2925</c:v>
                </c:pt>
                <c:pt idx="5">
                  <c:v>31.700199999999999</c:v>
                </c:pt>
                <c:pt idx="6">
                  <c:v>32.109099999999998</c:v>
                </c:pt>
                <c:pt idx="7">
                  <c:v>32.512999999999998</c:v>
                </c:pt>
                <c:pt idx="8">
                  <c:v>32.920299999999997</c:v>
                </c:pt>
                <c:pt idx="9">
                  <c:v>33.323999999999998</c:v>
                </c:pt>
                <c:pt idx="10">
                  <c:v>33.732700000000001</c:v>
                </c:pt>
                <c:pt idx="11">
                  <c:v>34.139699999999998</c:v>
                </c:pt>
                <c:pt idx="12">
                  <c:v>34.543700000000001</c:v>
                </c:pt>
                <c:pt idx="13">
                  <c:v>34.951500000000003</c:v>
                </c:pt>
                <c:pt idx="14">
                  <c:v>35.359400000000001</c:v>
                </c:pt>
                <c:pt idx="15">
                  <c:v>35.763300000000001</c:v>
                </c:pt>
                <c:pt idx="16">
                  <c:v>36.167299999999997</c:v>
                </c:pt>
                <c:pt idx="17">
                  <c:v>36.574599999999997</c:v>
                </c:pt>
                <c:pt idx="18">
                  <c:v>36.984000000000002</c:v>
                </c:pt>
                <c:pt idx="19">
                  <c:v>37.392000000000003</c:v>
                </c:pt>
                <c:pt idx="20">
                  <c:v>37.792900000000003</c:v>
                </c:pt>
                <c:pt idx="21">
                  <c:v>38.198799999999999</c:v>
                </c:pt>
                <c:pt idx="22">
                  <c:v>38.606000000000002</c:v>
                </c:pt>
                <c:pt idx="23">
                  <c:v>39.015700000000002</c:v>
                </c:pt>
                <c:pt idx="24">
                  <c:v>39.421599999999998</c:v>
                </c:pt>
                <c:pt idx="25">
                  <c:v>39.826500000000003</c:v>
                </c:pt>
                <c:pt idx="26">
                  <c:v>40.230400000000003</c:v>
                </c:pt>
                <c:pt idx="27">
                  <c:v>40.6357</c:v>
                </c:pt>
                <c:pt idx="28">
                  <c:v>41.044199999999996</c:v>
                </c:pt>
                <c:pt idx="29">
                  <c:v>41.452100000000002</c:v>
                </c:pt>
                <c:pt idx="30">
                  <c:v>41.859099999999998</c:v>
                </c:pt>
                <c:pt idx="31">
                  <c:v>42.262</c:v>
                </c:pt>
                <c:pt idx="32">
                  <c:v>42.668999999999997</c:v>
                </c:pt>
                <c:pt idx="33">
                  <c:v>43.076900000000002</c:v>
                </c:pt>
                <c:pt idx="34">
                  <c:v>43.482700000000001</c:v>
                </c:pt>
                <c:pt idx="35">
                  <c:v>43.888599999999997</c:v>
                </c:pt>
                <c:pt idx="36">
                  <c:v>44.295699999999997</c:v>
                </c:pt>
                <c:pt idx="37">
                  <c:v>44.699800000000003</c:v>
                </c:pt>
                <c:pt idx="38">
                  <c:v>45.1083</c:v>
                </c:pt>
                <c:pt idx="39">
                  <c:v>45.517299999999999</c:v>
                </c:pt>
                <c:pt idx="40">
                  <c:v>45.920499999999997</c:v>
                </c:pt>
                <c:pt idx="41">
                  <c:v>46.326300000000003</c:v>
                </c:pt>
                <c:pt idx="42">
                  <c:v>46.7346</c:v>
                </c:pt>
                <c:pt idx="43">
                  <c:v>47.136099999999999</c:v>
                </c:pt>
                <c:pt idx="44">
                  <c:v>47.546799999999998</c:v>
                </c:pt>
                <c:pt idx="45">
                  <c:v>47.951700000000002</c:v>
                </c:pt>
                <c:pt idx="46">
                  <c:v>48.354700000000001</c:v>
                </c:pt>
                <c:pt idx="47">
                  <c:v>48.764099999999999</c:v>
                </c:pt>
                <c:pt idx="48">
                  <c:v>49.170699999999997</c:v>
                </c:pt>
                <c:pt idx="49">
                  <c:v>49.5745</c:v>
                </c:pt>
                <c:pt idx="50">
                  <c:v>49.979500000000002</c:v>
                </c:pt>
                <c:pt idx="51">
                  <c:v>50.385399999999997</c:v>
                </c:pt>
                <c:pt idx="52">
                  <c:v>50.792099999999998</c:v>
                </c:pt>
                <c:pt idx="53">
                  <c:v>51.198999999999998</c:v>
                </c:pt>
                <c:pt idx="54">
                  <c:v>51.604999999999997</c:v>
                </c:pt>
                <c:pt idx="55">
                  <c:v>52.0124</c:v>
                </c:pt>
                <c:pt idx="56">
                  <c:v>52.418799999999997</c:v>
                </c:pt>
                <c:pt idx="57">
                  <c:v>52.826700000000002</c:v>
                </c:pt>
                <c:pt idx="58">
                  <c:v>53.230600000000003</c:v>
                </c:pt>
                <c:pt idx="59">
                  <c:v>53.635599999999997</c:v>
                </c:pt>
                <c:pt idx="60">
                  <c:v>54.043900000000001</c:v>
                </c:pt>
                <c:pt idx="61">
                  <c:v>54.448399999999999</c:v>
                </c:pt>
                <c:pt idx="62">
                  <c:v>54.8583</c:v>
                </c:pt>
                <c:pt idx="63">
                  <c:v>55.2622</c:v>
                </c:pt>
                <c:pt idx="64">
                  <c:v>55.668199999999999</c:v>
                </c:pt>
                <c:pt idx="65">
                  <c:v>56.076300000000003</c:v>
                </c:pt>
                <c:pt idx="66">
                  <c:v>56.482999999999997</c:v>
                </c:pt>
                <c:pt idx="67">
                  <c:v>56.8889</c:v>
                </c:pt>
                <c:pt idx="68">
                  <c:v>57.2988</c:v>
                </c:pt>
                <c:pt idx="69">
                  <c:v>57.700699999999998</c:v>
                </c:pt>
                <c:pt idx="70">
                  <c:v>58.105699999999999</c:v>
                </c:pt>
                <c:pt idx="71">
                  <c:v>58.511600000000001</c:v>
                </c:pt>
                <c:pt idx="72">
                  <c:v>58.921500000000002</c:v>
                </c:pt>
                <c:pt idx="73">
                  <c:v>59.327300000000001</c:v>
                </c:pt>
                <c:pt idx="74">
                  <c:v>59.733400000000003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38.618200000000002</c:v>
                </c:pt>
                <c:pt idx="1">
                  <c:v>38.425799999999995</c:v>
                </c:pt>
                <c:pt idx="2">
                  <c:v>38.3033</c:v>
                </c:pt>
                <c:pt idx="3">
                  <c:v>38.300200000000004</c:v>
                </c:pt>
                <c:pt idx="4">
                  <c:v>38.398400000000002</c:v>
                </c:pt>
                <c:pt idx="5">
                  <c:v>38.563199999999995</c:v>
                </c:pt>
                <c:pt idx="6">
                  <c:v>38.667400000000001</c:v>
                </c:pt>
                <c:pt idx="7">
                  <c:v>38.628900000000002</c:v>
                </c:pt>
                <c:pt idx="8">
                  <c:v>38.479500000000002</c:v>
                </c:pt>
                <c:pt idx="9">
                  <c:v>38.414300000000004</c:v>
                </c:pt>
                <c:pt idx="10">
                  <c:v>38.4756</c:v>
                </c:pt>
                <c:pt idx="11">
                  <c:v>38.6447</c:v>
                </c:pt>
                <c:pt idx="12">
                  <c:v>38.914200000000001</c:v>
                </c:pt>
                <c:pt idx="13">
                  <c:v>39.168100000000003</c:v>
                </c:pt>
                <c:pt idx="14">
                  <c:v>39.470300000000002</c:v>
                </c:pt>
                <c:pt idx="15">
                  <c:v>39.8568</c:v>
                </c:pt>
                <c:pt idx="16">
                  <c:v>40.198399999999999</c:v>
                </c:pt>
                <c:pt idx="17">
                  <c:v>40.555600000000005</c:v>
                </c:pt>
                <c:pt idx="18">
                  <c:v>40.932000000000002</c:v>
                </c:pt>
                <c:pt idx="19">
                  <c:v>41.303100000000001</c:v>
                </c:pt>
                <c:pt idx="20">
                  <c:v>41.608800000000002</c:v>
                </c:pt>
                <c:pt idx="21">
                  <c:v>41.781800000000004</c:v>
                </c:pt>
                <c:pt idx="22">
                  <c:v>41.862500000000004</c:v>
                </c:pt>
                <c:pt idx="23">
                  <c:v>41.93</c:v>
                </c:pt>
                <c:pt idx="24">
                  <c:v>42.0139</c:v>
                </c:pt>
                <c:pt idx="25">
                  <c:v>42.039500000000004</c:v>
                </c:pt>
                <c:pt idx="26">
                  <c:v>41.982500000000002</c:v>
                </c:pt>
                <c:pt idx="27">
                  <c:v>41.923300000000005</c:v>
                </c:pt>
                <c:pt idx="28">
                  <c:v>41.794399999999996</c:v>
                </c:pt>
                <c:pt idx="29">
                  <c:v>41.642899999999997</c:v>
                </c:pt>
                <c:pt idx="30">
                  <c:v>41.546999999999997</c:v>
                </c:pt>
                <c:pt idx="31">
                  <c:v>41.571100000000001</c:v>
                </c:pt>
                <c:pt idx="32">
                  <c:v>41.720199999999998</c:v>
                </c:pt>
                <c:pt idx="33">
                  <c:v>41.926299999999998</c:v>
                </c:pt>
                <c:pt idx="34">
                  <c:v>42.117399999999996</c:v>
                </c:pt>
                <c:pt idx="35">
                  <c:v>42.369299999999996</c:v>
                </c:pt>
                <c:pt idx="36">
                  <c:v>42.668399999999998</c:v>
                </c:pt>
                <c:pt idx="37">
                  <c:v>42.9955</c:v>
                </c:pt>
                <c:pt idx="38">
                  <c:v>43.381399999999999</c:v>
                </c:pt>
                <c:pt idx="39">
                  <c:v>43.714700000000001</c:v>
                </c:pt>
                <c:pt idx="40">
                  <c:v>43.9938</c:v>
                </c:pt>
                <c:pt idx="41">
                  <c:v>44.2224</c:v>
                </c:pt>
                <c:pt idx="42">
                  <c:v>44.352999999999994</c:v>
                </c:pt>
                <c:pt idx="43">
                  <c:v>44.461600000000004</c:v>
                </c:pt>
                <c:pt idx="44">
                  <c:v>44.595100000000002</c:v>
                </c:pt>
                <c:pt idx="45">
                  <c:v>44.703700000000005</c:v>
                </c:pt>
                <c:pt idx="46">
                  <c:v>44.789000000000001</c:v>
                </c:pt>
                <c:pt idx="47">
                  <c:v>45.000399999999999</c:v>
                </c:pt>
                <c:pt idx="48">
                  <c:v>45.232700000000001</c:v>
                </c:pt>
                <c:pt idx="49">
                  <c:v>45.397199999999998</c:v>
                </c:pt>
                <c:pt idx="50">
                  <c:v>45.488599999999998</c:v>
                </c:pt>
                <c:pt idx="51">
                  <c:v>45.652000000000001</c:v>
                </c:pt>
                <c:pt idx="52">
                  <c:v>45.831600000000002</c:v>
                </c:pt>
                <c:pt idx="53">
                  <c:v>46.061999999999998</c:v>
                </c:pt>
                <c:pt idx="54">
                  <c:v>46.319099999999999</c:v>
                </c:pt>
                <c:pt idx="55">
                  <c:v>46.5396</c:v>
                </c:pt>
                <c:pt idx="56">
                  <c:v>46.726500000000001</c:v>
                </c:pt>
                <c:pt idx="57">
                  <c:v>46.918799999999997</c:v>
                </c:pt>
                <c:pt idx="58">
                  <c:v>47.103200000000001</c:v>
                </c:pt>
                <c:pt idx="59">
                  <c:v>47.256300000000003</c:v>
                </c:pt>
                <c:pt idx="60">
                  <c:v>47.339399999999998</c:v>
                </c:pt>
                <c:pt idx="61">
                  <c:v>47.352899999999998</c:v>
                </c:pt>
                <c:pt idx="62">
                  <c:v>47.331699999999998</c:v>
                </c:pt>
                <c:pt idx="63">
                  <c:v>47.316699999999997</c:v>
                </c:pt>
                <c:pt idx="64">
                  <c:v>47.313300000000005</c:v>
                </c:pt>
                <c:pt idx="65">
                  <c:v>47.327999999999996</c:v>
                </c:pt>
                <c:pt idx="66">
                  <c:v>47.3538</c:v>
                </c:pt>
                <c:pt idx="67">
                  <c:v>47.474299999999999</c:v>
                </c:pt>
                <c:pt idx="68">
                  <c:v>47.639800000000001</c:v>
                </c:pt>
                <c:pt idx="69">
                  <c:v>47.690599999999996</c:v>
                </c:pt>
                <c:pt idx="70">
                  <c:v>47.7637</c:v>
                </c:pt>
                <c:pt idx="71">
                  <c:v>47.897199999999998</c:v>
                </c:pt>
                <c:pt idx="72">
                  <c:v>47.830600000000004</c:v>
                </c:pt>
                <c:pt idx="73">
                  <c:v>47.267199999999995</c:v>
                </c:pt>
                <c:pt idx="74">
                  <c:v>46.6023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14.933350000000001</c:v>
                </c:pt>
                <c:pt idx="1">
                  <c:v>44.800049999999999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47.797032432432438</c:v>
                </c:pt>
                <c:pt idx="1">
                  <c:v>43.357281081081091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2.0060700000000002</c:v>
                </c:pt>
                <c:pt idx="1">
                  <c:v>2.0580100000000003</c:v>
                </c:pt>
                <c:pt idx="2">
                  <c:v>2.10744</c:v>
                </c:pt>
                <c:pt idx="3">
                  <c:v>2.1545399999999999</c:v>
                </c:pt>
                <c:pt idx="4">
                  <c:v>2.2004199999999998</c:v>
                </c:pt>
                <c:pt idx="5">
                  <c:v>2.2451499999999998</c:v>
                </c:pt>
                <c:pt idx="6">
                  <c:v>2.2882500000000001</c:v>
                </c:pt>
                <c:pt idx="7">
                  <c:v>2.3325499999999999</c:v>
                </c:pt>
                <c:pt idx="8">
                  <c:v>2.3752999999999997</c:v>
                </c:pt>
                <c:pt idx="9">
                  <c:v>2.4167299999999998</c:v>
                </c:pt>
                <c:pt idx="10">
                  <c:v>2.4558800000000001</c:v>
                </c:pt>
                <c:pt idx="11">
                  <c:v>2.4920900000000001</c:v>
                </c:pt>
                <c:pt idx="12">
                  <c:v>2.52718</c:v>
                </c:pt>
                <c:pt idx="13">
                  <c:v>2.5619199999999998</c:v>
                </c:pt>
                <c:pt idx="14">
                  <c:v>2.59497</c:v>
                </c:pt>
                <c:pt idx="15">
                  <c:v>2.6278600000000001</c:v>
                </c:pt>
                <c:pt idx="16">
                  <c:v>2.6584099999999999</c:v>
                </c:pt>
                <c:pt idx="17">
                  <c:v>2.6867900000000002</c:v>
                </c:pt>
                <c:pt idx="18">
                  <c:v>2.7155200000000002</c:v>
                </c:pt>
                <c:pt idx="19">
                  <c:v>2.7388499999999998</c:v>
                </c:pt>
                <c:pt idx="20">
                  <c:v>2.7595799999999997</c:v>
                </c:pt>
                <c:pt idx="21">
                  <c:v>2.7774799999999997</c:v>
                </c:pt>
                <c:pt idx="22">
                  <c:v>2.7929599999999999</c:v>
                </c:pt>
                <c:pt idx="23">
                  <c:v>2.8045199999999997</c:v>
                </c:pt>
                <c:pt idx="24">
                  <c:v>2.8145100000000003</c:v>
                </c:pt>
                <c:pt idx="25">
                  <c:v>2.81907</c:v>
                </c:pt>
                <c:pt idx="26">
                  <c:v>2.82036</c:v>
                </c:pt>
                <c:pt idx="27">
                  <c:v>2.8218800000000002</c:v>
                </c:pt>
                <c:pt idx="28">
                  <c:v>2.8199400000000003</c:v>
                </c:pt>
                <c:pt idx="29">
                  <c:v>2.8131599999999999</c:v>
                </c:pt>
                <c:pt idx="30">
                  <c:v>2.8029700000000002</c:v>
                </c:pt>
                <c:pt idx="31">
                  <c:v>2.7915299999999998</c:v>
                </c:pt>
                <c:pt idx="32">
                  <c:v>2.77895</c:v>
                </c:pt>
                <c:pt idx="33">
                  <c:v>2.7657599999999998</c:v>
                </c:pt>
                <c:pt idx="34">
                  <c:v>2.75352</c:v>
                </c:pt>
                <c:pt idx="35">
                  <c:v>2.7402500000000001</c:v>
                </c:pt>
                <c:pt idx="36">
                  <c:v>2.7265299999999999</c:v>
                </c:pt>
                <c:pt idx="37">
                  <c:v>2.7134499999999999</c:v>
                </c:pt>
                <c:pt idx="38">
                  <c:v>2.7014800000000001</c:v>
                </c:pt>
                <c:pt idx="39">
                  <c:v>2.6889099999999999</c:v>
                </c:pt>
                <c:pt idx="40">
                  <c:v>2.6766899999999998</c:v>
                </c:pt>
                <c:pt idx="41">
                  <c:v>2.6630700000000003</c:v>
                </c:pt>
                <c:pt idx="42">
                  <c:v>2.6501200000000003</c:v>
                </c:pt>
                <c:pt idx="43">
                  <c:v>2.6358700000000002</c:v>
                </c:pt>
                <c:pt idx="44">
                  <c:v>2.6245600000000002</c:v>
                </c:pt>
                <c:pt idx="45">
                  <c:v>2.6167800000000003</c:v>
                </c:pt>
                <c:pt idx="46">
                  <c:v>2.6117699999999999</c:v>
                </c:pt>
                <c:pt idx="47">
                  <c:v>2.60968</c:v>
                </c:pt>
                <c:pt idx="48">
                  <c:v>2.61212</c:v>
                </c:pt>
                <c:pt idx="49">
                  <c:v>2.6177600000000001</c:v>
                </c:pt>
                <c:pt idx="50">
                  <c:v>2.6270199999999999</c:v>
                </c:pt>
                <c:pt idx="51">
                  <c:v>2.6407500000000002</c:v>
                </c:pt>
                <c:pt idx="52">
                  <c:v>2.6561600000000003</c:v>
                </c:pt>
                <c:pt idx="53">
                  <c:v>2.6760800000000002</c:v>
                </c:pt>
                <c:pt idx="54">
                  <c:v>2.69631</c:v>
                </c:pt>
                <c:pt idx="55">
                  <c:v>2.7153</c:v>
                </c:pt>
                <c:pt idx="56">
                  <c:v>2.7318199999999999</c:v>
                </c:pt>
                <c:pt idx="57">
                  <c:v>2.7479300000000002</c:v>
                </c:pt>
                <c:pt idx="58">
                  <c:v>2.7652399999999999</c:v>
                </c:pt>
                <c:pt idx="59">
                  <c:v>2.7822000000000005</c:v>
                </c:pt>
                <c:pt idx="60">
                  <c:v>2.8002599999999997</c:v>
                </c:pt>
                <c:pt idx="61">
                  <c:v>2.8171600000000003</c:v>
                </c:pt>
                <c:pt idx="62">
                  <c:v>2.8317399999999999</c:v>
                </c:pt>
                <c:pt idx="63">
                  <c:v>2.8447800000000001</c:v>
                </c:pt>
                <c:pt idx="64">
                  <c:v>2.85541</c:v>
                </c:pt>
                <c:pt idx="65">
                  <c:v>2.8623799999999999</c:v>
                </c:pt>
                <c:pt idx="66">
                  <c:v>2.8666700000000001</c:v>
                </c:pt>
                <c:pt idx="67">
                  <c:v>2.8684500000000002</c:v>
                </c:pt>
                <c:pt idx="68">
                  <c:v>2.86815</c:v>
                </c:pt>
                <c:pt idx="69">
                  <c:v>2.86557</c:v>
                </c:pt>
                <c:pt idx="70">
                  <c:v>2.8589700000000002</c:v>
                </c:pt>
                <c:pt idx="71">
                  <c:v>2.8506</c:v>
                </c:pt>
                <c:pt idx="72">
                  <c:v>2.8404199999999999</c:v>
                </c:pt>
                <c:pt idx="73">
                  <c:v>2.8258899999999998</c:v>
                </c:pt>
                <c:pt idx="74">
                  <c:v>2.8075200000000002</c:v>
                </c:pt>
                <c:pt idx="75">
                  <c:v>2.78877</c:v>
                </c:pt>
                <c:pt idx="76">
                  <c:v>2.7674700000000003</c:v>
                </c:pt>
                <c:pt idx="77">
                  <c:v>2.7423900000000003</c:v>
                </c:pt>
                <c:pt idx="78">
                  <c:v>2.71468</c:v>
                </c:pt>
                <c:pt idx="79">
                  <c:v>2.68668</c:v>
                </c:pt>
                <c:pt idx="80">
                  <c:v>2.6581399999999999</c:v>
                </c:pt>
                <c:pt idx="81">
                  <c:v>2.6322700000000001</c:v>
                </c:pt>
                <c:pt idx="82">
                  <c:v>2.60669</c:v>
                </c:pt>
                <c:pt idx="83">
                  <c:v>2.5802999999999998</c:v>
                </c:pt>
                <c:pt idx="84">
                  <c:v>2.5536599999999998</c:v>
                </c:pt>
                <c:pt idx="85">
                  <c:v>2.5276300000000003</c:v>
                </c:pt>
                <c:pt idx="86">
                  <c:v>2.50454</c:v>
                </c:pt>
                <c:pt idx="87">
                  <c:v>2.4834499999999999</c:v>
                </c:pt>
                <c:pt idx="88">
                  <c:v>2.4623900000000001</c:v>
                </c:pt>
                <c:pt idx="89">
                  <c:v>2.4446099999999999</c:v>
                </c:pt>
                <c:pt idx="90">
                  <c:v>2.4321599999999997</c:v>
                </c:pt>
                <c:pt idx="91">
                  <c:v>2.4243600000000001</c:v>
                </c:pt>
                <c:pt idx="92">
                  <c:v>2.4225699999999999</c:v>
                </c:pt>
                <c:pt idx="93">
                  <c:v>2.4248099999999999</c:v>
                </c:pt>
                <c:pt idx="94">
                  <c:v>2.42984</c:v>
                </c:pt>
                <c:pt idx="95">
                  <c:v>2.4379500000000003</c:v>
                </c:pt>
                <c:pt idx="96">
                  <c:v>2.4469599999999998</c:v>
                </c:pt>
                <c:pt idx="97">
                  <c:v>2.45675</c:v>
                </c:pt>
                <c:pt idx="98">
                  <c:v>2.4702600000000001</c:v>
                </c:pt>
                <c:pt idx="99">
                  <c:v>2.4864999999999999</c:v>
                </c:pt>
                <c:pt idx="100">
                  <c:v>2.5022899999999999</c:v>
                </c:pt>
                <c:pt idx="101">
                  <c:v>2.5186299999999999</c:v>
                </c:pt>
                <c:pt idx="102">
                  <c:v>2.5360399999999998</c:v>
                </c:pt>
                <c:pt idx="103">
                  <c:v>2.5530399999999998</c:v>
                </c:pt>
                <c:pt idx="104">
                  <c:v>2.5707400000000002</c:v>
                </c:pt>
                <c:pt idx="105">
                  <c:v>2.5901000000000001</c:v>
                </c:pt>
                <c:pt idx="106">
                  <c:v>2.6084899999999998</c:v>
                </c:pt>
                <c:pt idx="107">
                  <c:v>2.6249400000000001</c:v>
                </c:pt>
                <c:pt idx="108">
                  <c:v>2.6394899999999999</c:v>
                </c:pt>
                <c:pt idx="109">
                  <c:v>2.6518700000000002</c:v>
                </c:pt>
                <c:pt idx="110">
                  <c:v>2.6615699999999998</c:v>
                </c:pt>
                <c:pt idx="111">
                  <c:v>2.6688800000000001</c:v>
                </c:pt>
                <c:pt idx="112">
                  <c:v>2.6748599999999998</c:v>
                </c:pt>
                <c:pt idx="113">
                  <c:v>2.68072</c:v>
                </c:pt>
                <c:pt idx="114">
                  <c:v>2.6862699999999999</c:v>
                </c:pt>
                <c:pt idx="115">
                  <c:v>2.6879300000000002</c:v>
                </c:pt>
                <c:pt idx="116">
                  <c:v>2.6842100000000002</c:v>
                </c:pt>
                <c:pt idx="117">
                  <c:v>2.6771000000000003</c:v>
                </c:pt>
                <c:pt idx="118">
                  <c:v>2.6738099999999996</c:v>
                </c:pt>
                <c:pt idx="119">
                  <c:v>2.6768700000000001</c:v>
                </c:pt>
                <c:pt idx="120">
                  <c:v>2.6821099999999998</c:v>
                </c:pt>
                <c:pt idx="121">
                  <c:v>2.69102</c:v>
                </c:pt>
                <c:pt idx="122">
                  <c:v>2.7020100000000005</c:v>
                </c:pt>
                <c:pt idx="123">
                  <c:v>2.7147600000000001</c:v>
                </c:pt>
                <c:pt idx="124">
                  <c:v>2.7133500000000002</c:v>
                </c:pt>
                <c:pt idx="125">
                  <c:v>2.7119900000000001</c:v>
                </c:pt>
                <c:pt idx="126">
                  <c:v>2.7101500000000001</c:v>
                </c:pt>
                <c:pt idx="127">
                  <c:v>2.70817</c:v>
                </c:pt>
                <c:pt idx="128">
                  <c:v>2.7070699999999999</c:v>
                </c:pt>
                <c:pt idx="129">
                  <c:v>2.7066499999999998</c:v>
                </c:pt>
                <c:pt idx="130">
                  <c:v>2.7063999999999999</c:v>
                </c:pt>
                <c:pt idx="131">
                  <c:v>2.7067999999999999</c:v>
                </c:pt>
                <c:pt idx="132">
                  <c:v>2.7080799999999998</c:v>
                </c:pt>
                <c:pt idx="133">
                  <c:v>2.7109899999999998</c:v>
                </c:pt>
                <c:pt idx="134">
                  <c:v>2.7158300000000004</c:v>
                </c:pt>
                <c:pt idx="135">
                  <c:v>2.72262</c:v>
                </c:pt>
                <c:pt idx="136">
                  <c:v>2.7308500000000002</c:v>
                </c:pt>
                <c:pt idx="137">
                  <c:v>2.7404299999999999</c:v>
                </c:pt>
                <c:pt idx="138">
                  <c:v>2.7515800000000001</c:v>
                </c:pt>
                <c:pt idx="139">
                  <c:v>2.7645999999999997</c:v>
                </c:pt>
                <c:pt idx="140">
                  <c:v>2.7843099999999996</c:v>
                </c:pt>
                <c:pt idx="141">
                  <c:v>2.8184900000000002</c:v>
                </c:pt>
                <c:pt idx="142">
                  <c:v>2.8623099999999999</c:v>
                </c:pt>
                <c:pt idx="143">
                  <c:v>2.9047499999999999</c:v>
                </c:pt>
                <c:pt idx="144">
                  <c:v>2.93533</c:v>
                </c:pt>
                <c:pt idx="145">
                  <c:v>2.96957</c:v>
                </c:pt>
                <c:pt idx="146">
                  <c:v>2.9939500000000003</c:v>
                </c:pt>
                <c:pt idx="147">
                  <c:v>3.0165500000000001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58.658500000000004</c:v>
                </c:pt>
                <c:pt idx="1">
                  <c:v>58.703499999999998</c:v>
                </c:pt>
                <c:pt idx="2">
                  <c:v>58.820999999999998</c:v>
                </c:pt>
                <c:pt idx="3">
                  <c:v>58.913800000000002</c:v>
                </c:pt>
                <c:pt idx="4">
                  <c:v>58.805900000000001</c:v>
                </c:pt>
                <c:pt idx="5">
                  <c:v>58.656399999999998</c:v>
                </c:pt>
                <c:pt idx="6">
                  <c:v>58.457400000000007</c:v>
                </c:pt>
                <c:pt idx="7">
                  <c:v>58.191199999999995</c:v>
                </c:pt>
                <c:pt idx="8">
                  <c:v>57.909500000000001</c:v>
                </c:pt>
                <c:pt idx="9">
                  <c:v>57.615799999999993</c:v>
                </c:pt>
                <c:pt idx="10">
                  <c:v>57.244300000000003</c:v>
                </c:pt>
                <c:pt idx="11">
                  <c:v>56.792200000000001</c:v>
                </c:pt>
                <c:pt idx="12">
                  <c:v>56.319300000000005</c:v>
                </c:pt>
                <c:pt idx="13">
                  <c:v>55.863500000000002</c:v>
                </c:pt>
                <c:pt idx="14">
                  <c:v>55.356499999999997</c:v>
                </c:pt>
                <c:pt idx="15">
                  <c:v>54.800899999999999</c:v>
                </c:pt>
                <c:pt idx="16">
                  <c:v>54.145800000000001</c:v>
                </c:pt>
                <c:pt idx="17">
                  <c:v>53.509599999999999</c:v>
                </c:pt>
                <c:pt idx="18">
                  <c:v>52.889800000000001</c:v>
                </c:pt>
                <c:pt idx="19">
                  <c:v>52.325000000000003</c:v>
                </c:pt>
                <c:pt idx="20">
                  <c:v>51.806700000000006</c:v>
                </c:pt>
                <c:pt idx="21">
                  <c:v>51.292499999999997</c:v>
                </c:pt>
                <c:pt idx="22">
                  <c:v>50.795400000000001</c:v>
                </c:pt>
                <c:pt idx="23">
                  <c:v>50.328300000000006</c:v>
                </c:pt>
                <c:pt idx="24">
                  <c:v>49.847299999999997</c:v>
                </c:pt>
                <c:pt idx="25">
                  <c:v>49.384</c:v>
                </c:pt>
                <c:pt idx="26">
                  <c:v>48.936600000000006</c:v>
                </c:pt>
                <c:pt idx="27">
                  <c:v>48.469200000000001</c:v>
                </c:pt>
                <c:pt idx="28">
                  <c:v>48.007300000000001</c:v>
                </c:pt>
                <c:pt idx="29">
                  <c:v>47.589799999999997</c:v>
                </c:pt>
                <c:pt idx="30">
                  <c:v>47.255299999999998</c:v>
                </c:pt>
                <c:pt idx="31">
                  <c:v>46.9497</c:v>
                </c:pt>
                <c:pt idx="32">
                  <c:v>46.6464</c:v>
                </c:pt>
                <c:pt idx="33">
                  <c:v>46.314399999999999</c:v>
                </c:pt>
                <c:pt idx="34">
                  <c:v>46.000799999999998</c:v>
                </c:pt>
                <c:pt idx="35">
                  <c:v>45.7896</c:v>
                </c:pt>
                <c:pt idx="36">
                  <c:v>45.644400000000005</c:v>
                </c:pt>
                <c:pt idx="37">
                  <c:v>45.509599999999999</c:v>
                </c:pt>
                <c:pt idx="38">
                  <c:v>45.390799999999999</c:v>
                </c:pt>
                <c:pt idx="39">
                  <c:v>45.318100000000001</c:v>
                </c:pt>
                <c:pt idx="40">
                  <c:v>45.285599999999995</c:v>
                </c:pt>
                <c:pt idx="41">
                  <c:v>45.310699999999997</c:v>
                </c:pt>
                <c:pt idx="42">
                  <c:v>45.311500000000002</c:v>
                </c:pt>
                <c:pt idx="43">
                  <c:v>45.3795</c:v>
                </c:pt>
                <c:pt idx="44">
                  <c:v>45.3917</c:v>
                </c:pt>
                <c:pt idx="45">
                  <c:v>45.342300000000002</c:v>
                </c:pt>
                <c:pt idx="46">
                  <c:v>45.276899999999998</c:v>
                </c:pt>
                <c:pt idx="47">
                  <c:v>45.173999999999999</c:v>
                </c:pt>
                <c:pt idx="48">
                  <c:v>45.009900000000002</c:v>
                </c:pt>
                <c:pt idx="49">
                  <c:v>44.791799999999995</c:v>
                </c:pt>
                <c:pt idx="50">
                  <c:v>44.502399999999994</c:v>
                </c:pt>
                <c:pt idx="51">
                  <c:v>44.106200000000001</c:v>
                </c:pt>
                <c:pt idx="52">
                  <c:v>43.675899999999999</c:v>
                </c:pt>
                <c:pt idx="53">
                  <c:v>43.226199999999999</c:v>
                </c:pt>
                <c:pt idx="54">
                  <c:v>42.872500000000002</c:v>
                </c:pt>
                <c:pt idx="55">
                  <c:v>42.626899999999999</c:v>
                </c:pt>
                <c:pt idx="56">
                  <c:v>42.513500000000001</c:v>
                </c:pt>
                <c:pt idx="57">
                  <c:v>42.4392</c:v>
                </c:pt>
                <c:pt idx="58">
                  <c:v>42.339100000000002</c:v>
                </c:pt>
                <c:pt idx="59">
                  <c:v>42.197699999999998</c:v>
                </c:pt>
                <c:pt idx="60">
                  <c:v>41.936199999999999</c:v>
                </c:pt>
                <c:pt idx="61">
                  <c:v>41.616599999999998</c:v>
                </c:pt>
                <c:pt idx="62">
                  <c:v>41.305300000000003</c:v>
                </c:pt>
                <c:pt idx="63">
                  <c:v>40.993499999999997</c:v>
                </c:pt>
                <c:pt idx="64">
                  <c:v>40.746900000000004</c:v>
                </c:pt>
                <c:pt idx="65">
                  <c:v>40.527000000000001</c:v>
                </c:pt>
                <c:pt idx="66">
                  <c:v>40.279699999999998</c:v>
                </c:pt>
                <c:pt idx="67">
                  <c:v>40.049099999999996</c:v>
                </c:pt>
                <c:pt idx="68">
                  <c:v>39.805600000000005</c:v>
                </c:pt>
                <c:pt idx="69">
                  <c:v>39.630500000000005</c:v>
                </c:pt>
                <c:pt idx="70">
                  <c:v>39.409599999999998</c:v>
                </c:pt>
                <c:pt idx="71">
                  <c:v>39.151399999999995</c:v>
                </c:pt>
                <c:pt idx="72">
                  <c:v>38.8812</c:v>
                </c:pt>
                <c:pt idx="73">
                  <c:v>38.618200000000002</c:v>
                </c:pt>
                <c:pt idx="74">
                  <c:v>38.425799999999995</c:v>
                </c:pt>
                <c:pt idx="75">
                  <c:v>38.3033</c:v>
                </c:pt>
                <c:pt idx="76">
                  <c:v>38.300200000000004</c:v>
                </c:pt>
                <c:pt idx="77">
                  <c:v>38.398400000000002</c:v>
                </c:pt>
                <c:pt idx="78">
                  <c:v>38.563199999999995</c:v>
                </c:pt>
                <c:pt idx="79">
                  <c:v>38.667400000000001</c:v>
                </c:pt>
                <c:pt idx="80">
                  <c:v>38.628900000000002</c:v>
                </c:pt>
                <c:pt idx="81">
                  <c:v>38.479500000000002</c:v>
                </c:pt>
                <c:pt idx="82">
                  <c:v>38.414300000000004</c:v>
                </c:pt>
                <c:pt idx="83">
                  <c:v>38.4756</c:v>
                </c:pt>
                <c:pt idx="84">
                  <c:v>38.6447</c:v>
                </c:pt>
                <c:pt idx="85">
                  <c:v>38.914200000000001</c:v>
                </c:pt>
                <c:pt idx="86">
                  <c:v>39.168100000000003</c:v>
                </c:pt>
                <c:pt idx="87">
                  <c:v>39.470300000000002</c:v>
                </c:pt>
                <c:pt idx="88">
                  <c:v>39.8568</c:v>
                </c:pt>
                <c:pt idx="89">
                  <c:v>40.198399999999999</c:v>
                </c:pt>
                <c:pt idx="90">
                  <c:v>40.555600000000005</c:v>
                </c:pt>
                <c:pt idx="91">
                  <c:v>40.932000000000002</c:v>
                </c:pt>
                <c:pt idx="92">
                  <c:v>41.303100000000001</c:v>
                </c:pt>
                <c:pt idx="93">
                  <c:v>41.608800000000002</c:v>
                </c:pt>
                <c:pt idx="94">
                  <c:v>41.781800000000004</c:v>
                </c:pt>
                <c:pt idx="95">
                  <c:v>41.862500000000004</c:v>
                </c:pt>
                <c:pt idx="96">
                  <c:v>41.93</c:v>
                </c:pt>
                <c:pt idx="97">
                  <c:v>42.0139</c:v>
                </c:pt>
                <c:pt idx="98">
                  <c:v>42.039500000000004</c:v>
                </c:pt>
                <c:pt idx="99">
                  <c:v>41.982500000000002</c:v>
                </c:pt>
                <c:pt idx="100">
                  <c:v>41.923300000000005</c:v>
                </c:pt>
                <c:pt idx="101">
                  <c:v>41.794399999999996</c:v>
                </c:pt>
                <c:pt idx="102">
                  <c:v>41.642899999999997</c:v>
                </c:pt>
                <c:pt idx="103">
                  <c:v>41.546999999999997</c:v>
                </c:pt>
                <c:pt idx="104">
                  <c:v>41.571100000000001</c:v>
                </c:pt>
                <c:pt idx="105">
                  <c:v>41.720199999999998</c:v>
                </c:pt>
                <c:pt idx="106">
                  <c:v>41.926299999999998</c:v>
                </c:pt>
                <c:pt idx="107">
                  <c:v>42.117399999999996</c:v>
                </c:pt>
                <c:pt idx="108">
                  <c:v>42.369299999999996</c:v>
                </c:pt>
                <c:pt idx="109">
                  <c:v>42.668399999999998</c:v>
                </c:pt>
                <c:pt idx="110">
                  <c:v>42.9955</c:v>
                </c:pt>
                <c:pt idx="111">
                  <c:v>43.381399999999999</c:v>
                </c:pt>
                <c:pt idx="112">
                  <c:v>43.714700000000001</c:v>
                </c:pt>
                <c:pt idx="113">
                  <c:v>43.9938</c:v>
                </c:pt>
                <c:pt idx="114">
                  <c:v>44.2224</c:v>
                </c:pt>
                <c:pt idx="115">
                  <c:v>44.352999999999994</c:v>
                </c:pt>
                <c:pt idx="116">
                  <c:v>44.461600000000004</c:v>
                </c:pt>
                <c:pt idx="117">
                  <c:v>44.595100000000002</c:v>
                </c:pt>
                <c:pt idx="118">
                  <c:v>44.703700000000005</c:v>
                </c:pt>
                <c:pt idx="119">
                  <c:v>44.789000000000001</c:v>
                </c:pt>
                <c:pt idx="120">
                  <c:v>45.000399999999999</c:v>
                </c:pt>
                <c:pt idx="121">
                  <c:v>45.232700000000001</c:v>
                </c:pt>
                <c:pt idx="122">
                  <c:v>45.397199999999998</c:v>
                </c:pt>
                <c:pt idx="123">
                  <c:v>45.488599999999998</c:v>
                </c:pt>
                <c:pt idx="124">
                  <c:v>45.652000000000001</c:v>
                </c:pt>
                <c:pt idx="125">
                  <c:v>45.831600000000002</c:v>
                </c:pt>
                <c:pt idx="126">
                  <c:v>46.061999999999998</c:v>
                </c:pt>
                <c:pt idx="127">
                  <c:v>46.319099999999999</c:v>
                </c:pt>
                <c:pt idx="128">
                  <c:v>46.5396</c:v>
                </c:pt>
                <c:pt idx="129">
                  <c:v>46.726500000000001</c:v>
                </c:pt>
                <c:pt idx="130">
                  <c:v>46.918799999999997</c:v>
                </c:pt>
                <c:pt idx="131">
                  <c:v>47.103200000000001</c:v>
                </c:pt>
                <c:pt idx="132">
                  <c:v>47.256300000000003</c:v>
                </c:pt>
                <c:pt idx="133">
                  <c:v>47.339399999999998</c:v>
                </c:pt>
                <c:pt idx="134">
                  <c:v>47.352899999999998</c:v>
                </c:pt>
                <c:pt idx="135">
                  <c:v>47.331699999999998</c:v>
                </c:pt>
                <c:pt idx="136">
                  <c:v>47.316699999999997</c:v>
                </c:pt>
                <c:pt idx="137">
                  <c:v>47.313300000000005</c:v>
                </c:pt>
                <c:pt idx="138">
                  <c:v>47.327999999999996</c:v>
                </c:pt>
                <c:pt idx="139">
                  <c:v>47.3538</c:v>
                </c:pt>
                <c:pt idx="140">
                  <c:v>47.474299999999999</c:v>
                </c:pt>
                <c:pt idx="141">
                  <c:v>47.639800000000001</c:v>
                </c:pt>
                <c:pt idx="142">
                  <c:v>47.690599999999996</c:v>
                </c:pt>
                <c:pt idx="143">
                  <c:v>47.7637</c:v>
                </c:pt>
                <c:pt idx="144">
                  <c:v>47.897199999999998</c:v>
                </c:pt>
                <c:pt idx="145">
                  <c:v>47.830600000000004</c:v>
                </c:pt>
                <c:pt idx="146">
                  <c:v>47.267199999999995</c:v>
                </c:pt>
                <c:pt idx="147">
                  <c:v>46.6023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2.0060700000000002</c:v>
                </c:pt>
                <c:pt idx="1">
                  <c:v>2.0580100000000003</c:v>
                </c:pt>
                <c:pt idx="2">
                  <c:v>2.10744</c:v>
                </c:pt>
                <c:pt idx="3">
                  <c:v>2.1545399999999999</c:v>
                </c:pt>
                <c:pt idx="4">
                  <c:v>2.2004199999999998</c:v>
                </c:pt>
                <c:pt idx="5">
                  <c:v>2.2451499999999998</c:v>
                </c:pt>
                <c:pt idx="6">
                  <c:v>2.2882500000000001</c:v>
                </c:pt>
                <c:pt idx="7">
                  <c:v>2.3325499999999999</c:v>
                </c:pt>
                <c:pt idx="8">
                  <c:v>2.3752999999999997</c:v>
                </c:pt>
                <c:pt idx="9">
                  <c:v>2.4167299999999998</c:v>
                </c:pt>
                <c:pt idx="10">
                  <c:v>2.4558800000000001</c:v>
                </c:pt>
                <c:pt idx="11">
                  <c:v>2.4920900000000001</c:v>
                </c:pt>
                <c:pt idx="12">
                  <c:v>2.52718</c:v>
                </c:pt>
                <c:pt idx="13">
                  <c:v>2.5619199999999998</c:v>
                </c:pt>
                <c:pt idx="14">
                  <c:v>2.59497</c:v>
                </c:pt>
                <c:pt idx="15">
                  <c:v>2.6278600000000001</c:v>
                </c:pt>
                <c:pt idx="16">
                  <c:v>2.6584099999999999</c:v>
                </c:pt>
                <c:pt idx="17">
                  <c:v>2.6867900000000002</c:v>
                </c:pt>
                <c:pt idx="18">
                  <c:v>2.7155200000000002</c:v>
                </c:pt>
                <c:pt idx="19">
                  <c:v>2.7388499999999998</c:v>
                </c:pt>
                <c:pt idx="20">
                  <c:v>2.7595799999999997</c:v>
                </c:pt>
                <c:pt idx="21">
                  <c:v>2.7774799999999997</c:v>
                </c:pt>
                <c:pt idx="22">
                  <c:v>2.7929599999999999</c:v>
                </c:pt>
                <c:pt idx="23">
                  <c:v>2.8045199999999997</c:v>
                </c:pt>
                <c:pt idx="24">
                  <c:v>2.8145100000000003</c:v>
                </c:pt>
                <c:pt idx="25">
                  <c:v>2.81907</c:v>
                </c:pt>
                <c:pt idx="26">
                  <c:v>2.82036</c:v>
                </c:pt>
                <c:pt idx="27">
                  <c:v>2.8218800000000002</c:v>
                </c:pt>
                <c:pt idx="28">
                  <c:v>2.8199400000000003</c:v>
                </c:pt>
                <c:pt idx="29">
                  <c:v>2.8131599999999999</c:v>
                </c:pt>
                <c:pt idx="30">
                  <c:v>2.8029700000000002</c:v>
                </c:pt>
                <c:pt idx="31">
                  <c:v>2.7915299999999998</c:v>
                </c:pt>
                <c:pt idx="32">
                  <c:v>2.77895</c:v>
                </c:pt>
                <c:pt idx="33">
                  <c:v>2.7657599999999998</c:v>
                </c:pt>
                <c:pt idx="34">
                  <c:v>2.75352</c:v>
                </c:pt>
                <c:pt idx="35">
                  <c:v>2.7402500000000001</c:v>
                </c:pt>
                <c:pt idx="36">
                  <c:v>2.7265299999999999</c:v>
                </c:pt>
                <c:pt idx="37">
                  <c:v>2.7134499999999999</c:v>
                </c:pt>
                <c:pt idx="38">
                  <c:v>2.7014800000000001</c:v>
                </c:pt>
                <c:pt idx="39">
                  <c:v>2.6889099999999999</c:v>
                </c:pt>
                <c:pt idx="40">
                  <c:v>2.6766899999999998</c:v>
                </c:pt>
                <c:pt idx="41">
                  <c:v>2.6630700000000003</c:v>
                </c:pt>
                <c:pt idx="42">
                  <c:v>2.6501200000000003</c:v>
                </c:pt>
                <c:pt idx="43">
                  <c:v>2.6358700000000002</c:v>
                </c:pt>
                <c:pt idx="44">
                  <c:v>2.6245600000000002</c:v>
                </c:pt>
                <c:pt idx="45">
                  <c:v>2.6167800000000003</c:v>
                </c:pt>
                <c:pt idx="46">
                  <c:v>2.6117699999999999</c:v>
                </c:pt>
                <c:pt idx="47">
                  <c:v>2.60968</c:v>
                </c:pt>
                <c:pt idx="48">
                  <c:v>2.61212</c:v>
                </c:pt>
                <c:pt idx="49">
                  <c:v>2.6177600000000001</c:v>
                </c:pt>
                <c:pt idx="50">
                  <c:v>2.6270199999999999</c:v>
                </c:pt>
                <c:pt idx="51">
                  <c:v>2.6407500000000002</c:v>
                </c:pt>
                <c:pt idx="52">
                  <c:v>2.6561600000000003</c:v>
                </c:pt>
                <c:pt idx="53">
                  <c:v>2.6760800000000002</c:v>
                </c:pt>
                <c:pt idx="54">
                  <c:v>2.69631</c:v>
                </c:pt>
                <c:pt idx="55">
                  <c:v>2.7153</c:v>
                </c:pt>
                <c:pt idx="56">
                  <c:v>2.7318199999999999</c:v>
                </c:pt>
                <c:pt idx="57">
                  <c:v>2.7479300000000002</c:v>
                </c:pt>
                <c:pt idx="58">
                  <c:v>2.7652399999999999</c:v>
                </c:pt>
                <c:pt idx="59">
                  <c:v>2.7822000000000005</c:v>
                </c:pt>
                <c:pt idx="60">
                  <c:v>2.8002599999999997</c:v>
                </c:pt>
                <c:pt idx="61">
                  <c:v>2.8171600000000003</c:v>
                </c:pt>
                <c:pt idx="62">
                  <c:v>2.8317399999999999</c:v>
                </c:pt>
                <c:pt idx="63">
                  <c:v>2.8447800000000001</c:v>
                </c:pt>
                <c:pt idx="64">
                  <c:v>2.85541</c:v>
                </c:pt>
                <c:pt idx="65">
                  <c:v>2.8623799999999999</c:v>
                </c:pt>
                <c:pt idx="66">
                  <c:v>2.8666700000000001</c:v>
                </c:pt>
                <c:pt idx="67">
                  <c:v>2.8684500000000002</c:v>
                </c:pt>
                <c:pt idx="68">
                  <c:v>2.86815</c:v>
                </c:pt>
                <c:pt idx="69">
                  <c:v>2.86557</c:v>
                </c:pt>
                <c:pt idx="70">
                  <c:v>2.8589700000000002</c:v>
                </c:pt>
                <c:pt idx="71">
                  <c:v>2.8506</c:v>
                </c:pt>
                <c:pt idx="72">
                  <c:v>2.8404199999999999</c:v>
                </c:pt>
                <c:pt idx="73">
                  <c:v>2.8258899999999998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58.658500000000004</c:v>
                </c:pt>
                <c:pt idx="1">
                  <c:v>58.703499999999998</c:v>
                </c:pt>
                <c:pt idx="2">
                  <c:v>58.820999999999998</c:v>
                </c:pt>
                <c:pt idx="3">
                  <c:v>58.913800000000002</c:v>
                </c:pt>
                <c:pt idx="4">
                  <c:v>58.805900000000001</c:v>
                </c:pt>
                <c:pt idx="5">
                  <c:v>58.656399999999998</c:v>
                </c:pt>
                <c:pt idx="6">
                  <c:v>58.457400000000007</c:v>
                </c:pt>
                <c:pt idx="7">
                  <c:v>58.191199999999995</c:v>
                </c:pt>
                <c:pt idx="8">
                  <c:v>57.909500000000001</c:v>
                </c:pt>
                <c:pt idx="9">
                  <c:v>57.615799999999993</c:v>
                </c:pt>
                <c:pt idx="10">
                  <c:v>57.244300000000003</c:v>
                </c:pt>
                <c:pt idx="11">
                  <c:v>56.792200000000001</c:v>
                </c:pt>
                <c:pt idx="12">
                  <c:v>56.319300000000005</c:v>
                </c:pt>
                <c:pt idx="13">
                  <c:v>55.863500000000002</c:v>
                </c:pt>
                <c:pt idx="14">
                  <c:v>55.356499999999997</c:v>
                </c:pt>
                <c:pt idx="15">
                  <c:v>54.800899999999999</c:v>
                </c:pt>
                <c:pt idx="16">
                  <c:v>54.145800000000001</c:v>
                </c:pt>
                <c:pt idx="17">
                  <c:v>53.509599999999999</c:v>
                </c:pt>
                <c:pt idx="18">
                  <c:v>52.889800000000001</c:v>
                </c:pt>
                <c:pt idx="19">
                  <c:v>52.325000000000003</c:v>
                </c:pt>
                <c:pt idx="20">
                  <c:v>51.806700000000006</c:v>
                </c:pt>
                <c:pt idx="21">
                  <c:v>51.292499999999997</c:v>
                </c:pt>
                <c:pt idx="22">
                  <c:v>50.795400000000001</c:v>
                </c:pt>
                <c:pt idx="23">
                  <c:v>50.328300000000006</c:v>
                </c:pt>
                <c:pt idx="24">
                  <c:v>49.847299999999997</c:v>
                </c:pt>
                <c:pt idx="25">
                  <c:v>49.384</c:v>
                </c:pt>
                <c:pt idx="26">
                  <c:v>48.936600000000006</c:v>
                </c:pt>
                <c:pt idx="27">
                  <c:v>48.469200000000001</c:v>
                </c:pt>
                <c:pt idx="28">
                  <c:v>48.007300000000001</c:v>
                </c:pt>
                <c:pt idx="29">
                  <c:v>47.589799999999997</c:v>
                </c:pt>
                <c:pt idx="30">
                  <c:v>47.255299999999998</c:v>
                </c:pt>
                <c:pt idx="31">
                  <c:v>46.9497</c:v>
                </c:pt>
                <c:pt idx="32">
                  <c:v>46.6464</c:v>
                </c:pt>
                <c:pt idx="33">
                  <c:v>46.314399999999999</c:v>
                </c:pt>
                <c:pt idx="34">
                  <c:v>46.000799999999998</c:v>
                </c:pt>
                <c:pt idx="35">
                  <c:v>45.7896</c:v>
                </c:pt>
                <c:pt idx="36">
                  <c:v>45.644400000000005</c:v>
                </c:pt>
                <c:pt idx="37">
                  <c:v>45.509599999999999</c:v>
                </c:pt>
                <c:pt idx="38">
                  <c:v>45.390799999999999</c:v>
                </c:pt>
                <c:pt idx="39">
                  <c:v>45.318100000000001</c:v>
                </c:pt>
                <c:pt idx="40">
                  <c:v>45.285599999999995</c:v>
                </c:pt>
                <c:pt idx="41">
                  <c:v>45.310699999999997</c:v>
                </c:pt>
                <c:pt idx="42">
                  <c:v>45.311500000000002</c:v>
                </c:pt>
                <c:pt idx="43">
                  <c:v>45.3795</c:v>
                </c:pt>
                <c:pt idx="44">
                  <c:v>45.3917</c:v>
                </c:pt>
                <c:pt idx="45">
                  <c:v>45.342300000000002</c:v>
                </c:pt>
                <c:pt idx="46">
                  <c:v>45.276899999999998</c:v>
                </c:pt>
                <c:pt idx="47">
                  <c:v>45.173999999999999</c:v>
                </c:pt>
                <c:pt idx="48">
                  <c:v>45.009900000000002</c:v>
                </c:pt>
                <c:pt idx="49">
                  <c:v>44.791799999999995</c:v>
                </c:pt>
                <c:pt idx="50">
                  <c:v>44.502399999999994</c:v>
                </c:pt>
                <c:pt idx="51">
                  <c:v>44.106200000000001</c:v>
                </c:pt>
                <c:pt idx="52">
                  <c:v>43.675899999999999</c:v>
                </c:pt>
                <c:pt idx="53">
                  <c:v>43.226199999999999</c:v>
                </c:pt>
                <c:pt idx="54">
                  <c:v>42.872500000000002</c:v>
                </c:pt>
                <c:pt idx="55">
                  <c:v>42.626899999999999</c:v>
                </c:pt>
                <c:pt idx="56">
                  <c:v>42.513500000000001</c:v>
                </c:pt>
                <c:pt idx="57">
                  <c:v>42.4392</c:v>
                </c:pt>
                <c:pt idx="58">
                  <c:v>42.339100000000002</c:v>
                </c:pt>
                <c:pt idx="59">
                  <c:v>42.197699999999998</c:v>
                </c:pt>
                <c:pt idx="60">
                  <c:v>41.936199999999999</c:v>
                </c:pt>
                <c:pt idx="61">
                  <c:v>41.616599999999998</c:v>
                </c:pt>
                <c:pt idx="62">
                  <c:v>41.305300000000003</c:v>
                </c:pt>
                <c:pt idx="63">
                  <c:v>40.993499999999997</c:v>
                </c:pt>
                <c:pt idx="64">
                  <c:v>40.746900000000004</c:v>
                </c:pt>
                <c:pt idx="65">
                  <c:v>40.527000000000001</c:v>
                </c:pt>
                <c:pt idx="66">
                  <c:v>40.279699999999998</c:v>
                </c:pt>
                <c:pt idx="67">
                  <c:v>40.049099999999996</c:v>
                </c:pt>
                <c:pt idx="68">
                  <c:v>39.805600000000005</c:v>
                </c:pt>
                <c:pt idx="69">
                  <c:v>39.630500000000005</c:v>
                </c:pt>
                <c:pt idx="70">
                  <c:v>39.409599999999998</c:v>
                </c:pt>
                <c:pt idx="71">
                  <c:v>39.151399999999995</c:v>
                </c:pt>
                <c:pt idx="72">
                  <c:v>38.8812</c:v>
                </c:pt>
                <c:pt idx="73">
                  <c:v>38.618200000000002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2.8258899999999998</c:v>
                </c:pt>
                <c:pt idx="1">
                  <c:v>2.8075200000000002</c:v>
                </c:pt>
                <c:pt idx="2">
                  <c:v>2.78877</c:v>
                </c:pt>
                <c:pt idx="3">
                  <c:v>2.7674700000000003</c:v>
                </c:pt>
                <c:pt idx="4">
                  <c:v>2.7423900000000003</c:v>
                </c:pt>
                <c:pt idx="5">
                  <c:v>2.71468</c:v>
                </c:pt>
                <c:pt idx="6">
                  <c:v>2.68668</c:v>
                </c:pt>
                <c:pt idx="7">
                  <c:v>2.6581399999999999</c:v>
                </c:pt>
                <c:pt idx="8">
                  <c:v>2.6322700000000001</c:v>
                </c:pt>
                <c:pt idx="9">
                  <c:v>2.60669</c:v>
                </c:pt>
                <c:pt idx="10">
                  <c:v>2.5802999999999998</c:v>
                </c:pt>
                <c:pt idx="11">
                  <c:v>2.5536599999999998</c:v>
                </c:pt>
                <c:pt idx="12">
                  <c:v>2.5276300000000003</c:v>
                </c:pt>
                <c:pt idx="13">
                  <c:v>2.50454</c:v>
                </c:pt>
                <c:pt idx="14">
                  <c:v>2.4834499999999999</c:v>
                </c:pt>
                <c:pt idx="15">
                  <c:v>2.4623900000000001</c:v>
                </c:pt>
                <c:pt idx="16">
                  <c:v>2.4446099999999999</c:v>
                </c:pt>
                <c:pt idx="17">
                  <c:v>2.4321599999999997</c:v>
                </c:pt>
                <c:pt idx="18">
                  <c:v>2.4243600000000001</c:v>
                </c:pt>
                <c:pt idx="19">
                  <c:v>2.4225699999999999</c:v>
                </c:pt>
                <c:pt idx="20">
                  <c:v>2.4248099999999999</c:v>
                </c:pt>
                <c:pt idx="21">
                  <c:v>2.42984</c:v>
                </c:pt>
                <c:pt idx="22">
                  <c:v>2.4379500000000003</c:v>
                </c:pt>
                <c:pt idx="23">
                  <c:v>2.4469599999999998</c:v>
                </c:pt>
                <c:pt idx="24">
                  <c:v>2.45675</c:v>
                </c:pt>
                <c:pt idx="25">
                  <c:v>2.4702600000000001</c:v>
                </c:pt>
                <c:pt idx="26">
                  <c:v>2.4864999999999999</c:v>
                </c:pt>
                <c:pt idx="27">
                  <c:v>2.5022899999999999</c:v>
                </c:pt>
                <c:pt idx="28">
                  <c:v>2.5186299999999999</c:v>
                </c:pt>
                <c:pt idx="29">
                  <c:v>2.5360399999999998</c:v>
                </c:pt>
                <c:pt idx="30">
                  <c:v>2.5530399999999998</c:v>
                </c:pt>
                <c:pt idx="31">
                  <c:v>2.5707400000000002</c:v>
                </c:pt>
                <c:pt idx="32">
                  <c:v>2.5901000000000001</c:v>
                </c:pt>
                <c:pt idx="33">
                  <c:v>2.6084899999999998</c:v>
                </c:pt>
                <c:pt idx="34">
                  <c:v>2.6249400000000001</c:v>
                </c:pt>
                <c:pt idx="35">
                  <c:v>2.6394899999999999</c:v>
                </c:pt>
                <c:pt idx="36">
                  <c:v>2.6518700000000002</c:v>
                </c:pt>
                <c:pt idx="37">
                  <c:v>2.6615699999999998</c:v>
                </c:pt>
                <c:pt idx="38">
                  <c:v>2.6688800000000001</c:v>
                </c:pt>
                <c:pt idx="39">
                  <c:v>2.6748599999999998</c:v>
                </c:pt>
                <c:pt idx="40">
                  <c:v>2.68072</c:v>
                </c:pt>
                <c:pt idx="41">
                  <c:v>2.6862699999999999</c:v>
                </c:pt>
                <c:pt idx="42">
                  <c:v>2.6879300000000002</c:v>
                </c:pt>
                <c:pt idx="43">
                  <c:v>2.6842100000000002</c:v>
                </c:pt>
                <c:pt idx="44">
                  <c:v>2.6771000000000003</c:v>
                </c:pt>
                <c:pt idx="45">
                  <c:v>2.6738099999999996</c:v>
                </c:pt>
                <c:pt idx="46">
                  <c:v>2.6768700000000001</c:v>
                </c:pt>
                <c:pt idx="47">
                  <c:v>2.6821099999999998</c:v>
                </c:pt>
                <c:pt idx="48">
                  <c:v>2.69102</c:v>
                </c:pt>
                <c:pt idx="49">
                  <c:v>2.7020100000000005</c:v>
                </c:pt>
                <c:pt idx="50">
                  <c:v>2.7147600000000001</c:v>
                </c:pt>
                <c:pt idx="51">
                  <c:v>2.7133500000000002</c:v>
                </c:pt>
                <c:pt idx="52">
                  <c:v>2.7119900000000001</c:v>
                </c:pt>
                <c:pt idx="53">
                  <c:v>2.7101500000000001</c:v>
                </c:pt>
                <c:pt idx="54">
                  <c:v>2.70817</c:v>
                </c:pt>
                <c:pt idx="55">
                  <c:v>2.7070699999999999</c:v>
                </c:pt>
                <c:pt idx="56">
                  <c:v>2.7066499999999998</c:v>
                </c:pt>
                <c:pt idx="57">
                  <c:v>2.7063999999999999</c:v>
                </c:pt>
                <c:pt idx="58">
                  <c:v>2.7067999999999999</c:v>
                </c:pt>
                <c:pt idx="59">
                  <c:v>2.7080799999999998</c:v>
                </c:pt>
                <c:pt idx="60">
                  <c:v>2.7109899999999998</c:v>
                </c:pt>
                <c:pt idx="61">
                  <c:v>2.7158300000000004</c:v>
                </c:pt>
                <c:pt idx="62">
                  <c:v>2.72262</c:v>
                </c:pt>
                <c:pt idx="63">
                  <c:v>2.7308500000000002</c:v>
                </c:pt>
                <c:pt idx="64">
                  <c:v>2.7404299999999999</c:v>
                </c:pt>
                <c:pt idx="65">
                  <c:v>2.7515800000000001</c:v>
                </c:pt>
                <c:pt idx="66">
                  <c:v>2.7645999999999997</c:v>
                </c:pt>
                <c:pt idx="67">
                  <c:v>2.7843099999999996</c:v>
                </c:pt>
                <c:pt idx="68">
                  <c:v>2.8184900000000002</c:v>
                </c:pt>
                <c:pt idx="69">
                  <c:v>2.8623099999999999</c:v>
                </c:pt>
                <c:pt idx="70">
                  <c:v>2.9047499999999999</c:v>
                </c:pt>
                <c:pt idx="71">
                  <c:v>2.93533</c:v>
                </c:pt>
                <c:pt idx="72">
                  <c:v>2.96957</c:v>
                </c:pt>
                <c:pt idx="73">
                  <c:v>2.9939500000000003</c:v>
                </c:pt>
                <c:pt idx="74">
                  <c:v>3.0165500000000001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38.618200000000002</c:v>
                </c:pt>
                <c:pt idx="1">
                  <c:v>38.425799999999995</c:v>
                </c:pt>
                <c:pt idx="2">
                  <c:v>38.3033</c:v>
                </c:pt>
                <c:pt idx="3">
                  <c:v>38.300200000000004</c:v>
                </c:pt>
                <c:pt idx="4">
                  <c:v>38.398400000000002</c:v>
                </c:pt>
                <c:pt idx="5">
                  <c:v>38.563199999999995</c:v>
                </c:pt>
                <c:pt idx="6">
                  <c:v>38.667400000000001</c:v>
                </c:pt>
                <c:pt idx="7">
                  <c:v>38.628900000000002</c:v>
                </c:pt>
                <c:pt idx="8">
                  <c:v>38.479500000000002</c:v>
                </c:pt>
                <c:pt idx="9">
                  <c:v>38.414300000000004</c:v>
                </c:pt>
                <c:pt idx="10">
                  <c:v>38.4756</c:v>
                </c:pt>
                <c:pt idx="11">
                  <c:v>38.6447</c:v>
                </c:pt>
                <c:pt idx="12">
                  <c:v>38.914200000000001</c:v>
                </c:pt>
                <c:pt idx="13">
                  <c:v>39.168100000000003</c:v>
                </c:pt>
                <c:pt idx="14">
                  <c:v>39.470300000000002</c:v>
                </c:pt>
                <c:pt idx="15">
                  <c:v>39.8568</c:v>
                </c:pt>
                <c:pt idx="16">
                  <c:v>40.198399999999999</c:v>
                </c:pt>
                <c:pt idx="17">
                  <c:v>40.555600000000005</c:v>
                </c:pt>
                <c:pt idx="18">
                  <c:v>40.932000000000002</c:v>
                </c:pt>
                <c:pt idx="19">
                  <c:v>41.303100000000001</c:v>
                </c:pt>
                <c:pt idx="20">
                  <c:v>41.608800000000002</c:v>
                </c:pt>
                <c:pt idx="21">
                  <c:v>41.781800000000004</c:v>
                </c:pt>
                <c:pt idx="22">
                  <c:v>41.862500000000004</c:v>
                </c:pt>
                <c:pt idx="23">
                  <c:v>41.93</c:v>
                </c:pt>
                <c:pt idx="24">
                  <c:v>42.0139</c:v>
                </c:pt>
                <c:pt idx="25">
                  <c:v>42.039500000000004</c:v>
                </c:pt>
                <c:pt idx="26">
                  <c:v>41.982500000000002</c:v>
                </c:pt>
                <c:pt idx="27">
                  <c:v>41.923300000000005</c:v>
                </c:pt>
                <c:pt idx="28">
                  <c:v>41.794399999999996</c:v>
                </c:pt>
                <c:pt idx="29">
                  <c:v>41.642899999999997</c:v>
                </c:pt>
                <c:pt idx="30">
                  <c:v>41.546999999999997</c:v>
                </c:pt>
                <c:pt idx="31">
                  <c:v>41.571100000000001</c:v>
                </c:pt>
                <c:pt idx="32">
                  <c:v>41.720199999999998</c:v>
                </c:pt>
                <c:pt idx="33">
                  <c:v>41.926299999999998</c:v>
                </c:pt>
                <c:pt idx="34">
                  <c:v>42.117399999999996</c:v>
                </c:pt>
                <c:pt idx="35">
                  <c:v>42.369299999999996</c:v>
                </c:pt>
                <c:pt idx="36">
                  <c:v>42.668399999999998</c:v>
                </c:pt>
                <c:pt idx="37">
                  <c:v>42.9955</c:v>
                </c:pt>
                <c:pt idx="38">
                  <c:v>43.381399999999999</c:v>
                </c:pt>
                <c:pt idx="39">
                  <c:v>43.714700000000001</c:v>
                </c:pt>
                <c:pt idx="40">
                  <c:v>43.9938</c:v>
                </c:pt>
                <c:pt idx="41">
                  <c:v>44.2224</c:v>
                </c:pt>
                <c:pt idx="42">
                  <c:v>44.352999999999994</c:v>
                </c:pt>
                <c:pt idx="43">
                  <c:v>44.461600000000004</c:v>
                </c:pt>
                <c:pt idx="44">
                  <c:v>44.595100000000002</c:v>
                </c:pt>
                <c:pt idx="45">
                  <c:v>44.703700000000005</c:v>
                </c:pt>
                <c:pt idx="46">
                  <c:v>44.789000000000001</c:v>
                </c:pt>
                <c:pt idx="47">
                  <c:v>45.000399999999999</c:v>
                </c:pt>
                <c:pt idx="48">
                  <c:v>45.232700000000001</c:v>
                </c:pt>
                <c:pt idx="49">
                  <c:v>45.397199999999998</c:v>
                </c:pt>
                <c:pt idx="50">
                  <c:v>45.488599999999998</c:v>
                </c:pt>
                <c:pt idx="51">
                  <c:v>45.652000000000001</c:v>
                </c:pt>
                <c:pt idx="52">
                  <c:v>45.831600000000002</c:v>
                </c:pt>
                <c:pt idx="53">
                  <c:v>46.061999999999998</c:v>
                </c:pt>
                <c:pt idx="54">
                  <c:v>46.319099999999999</c:v>
                </c:pt>
                <c:pt idx="55">
                  <c:v>46.5396</c:v>
                </c:pt>
                <c:pt idx="56">
                  <c:v>46.726500000000001</c:v>
                </c:pt>
                <c:pt idx="57">
                  <c:v>46.918799999999997</c:v>
                </c:pt>
                <c:pt idx="58">
                  <c:v>47.103200000000001</c:v>
                </c:pt>
                <c:pt idx="59">
                  <c:v>47.256300000000003</c:v>
                </c:pt>
                <c:pt idx="60">
                  <c:v>47.339399999999998</c:v>
                </c:pt>
                <c:pt idx="61">
                  <c:v>47.352899999999998</c:v>
                </c:pt>
                <c:pt idx="62">
                  <c:v>47.331699999999998</c:v>
                </c:pt>
                <c:pt idx="63">
                  <c:v>47.316699999999997</c:v>
                </c:pt>
                <c:pt idx="64">
                  <c:v>47.313300000000005</c:v>
                </c:pt>
                <c:pt idx="65">
                  <c:v>47.327999999999996</c:v>
                </c:pt>
                <c:pt idx="66">
                  <c:v>47.3538</c:v>
                </c:pt>
                <c:pt idx="67">
                  <c:v>47.474299999999999</c:v>
                </c:pt>
                <c:pt idx="68">
                  <c:v>47.639800000000001</c:v>
                </c:pt>
                <c:pt idx="69">
                  <c:v>47.690599999999996</c:v>
                </c:pt>
                <c:pt idx="70">
                  <c:v>47.7637</c:v>
                </c:pt>
                <c:pt idx="71">
                  <c:v>47.897199999999998</c:v>
                </c:pt>
                <c:pt idx="72">
                  <c:v>47.830600000000004</c:v>
                </c:pt>
                <c:pt idx="73">
                  <c:v>47.267199999999995</c:v>
                </c:pt>
                <c:pt idx="74">
                  <c:v>46.6023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2.0060700000000002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58.658500000000004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2.6616813513513509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47.797032432432438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2.6561070270270277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43.357281081081091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2.6561070270270277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43.357281081081091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514</v>
      </c>
      <c r="D5" s="151"/>
      <c r="E5" s="151"/>
      <c r="F5" s="152"/>
      <c r="G5" s="48" t="str">
        <f>lang!B27</f>
        <v>编号</v>
      </c>
      <c r="H5" s="150">
        <v>40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513</v>
      </c>
      <c r="D6" s="188"/>
      <c r="E6" s="188"/>
      <c r="F6" s="189"/>
      <c r="G6" s="49" t="str">
        <f>lang!B28</f>
        <v xml:space="preserve"> 日期</v>
      </c>
      <c r="H6" s="172">
        <f>FH_info!A2</f>
        <v>43607.474803240744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45</v>
      </c>
      <c r="D7" s="191"/>
      <c r="E7" s="191"/>
      <c r="F7" s="192"/>
      <c r="G7" s="50" t="str">
        <f>lang!B29</f>
        <v>误差率（%）</v>
      </c>
      <c r="H7" s="175">
        <f>M!B17*1</f>
        <v>17.020499999999998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34.506599999999999</v>
      </c>
      <c r="O8" s="59">
        <f>M!C5*1</f>
        <v>5.9445499999999996</v>
      </c>
      <c r="P8" s="59">
        <f>M!D5*1</f>
        <v>17.2273</v>
      </c>
      <c r="Q8" s="59">
        <f>M!E5*1</f>
        <v>20</v>
      </c>
      <c r="R8" s="59">
        <f>M!F5*1</f>
        <v>10.4857</v>
      </c>
      <c r="S8" s="59">
        <f>M!G5*1</f>
        <v>50</v>
      </c>
      <c r="T8" s="59">
        <f>M!H5*1</f>
        <v>41.777500000000003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42.826500000000003</v>
      </c>
      <c r="O9" s="59">
        <f>M!C6*1</f>
        <v>2.9438399999999998</v>
      </c>
      <c r="P9" s="59">
        <f>M!D6*1</f>
        <v>6.8738799999999998</v>
      </c>
      <c r="Q9" s="59">
        <f>M!E6*1</f>
        <v>20</v>
      </c>
      <c r="R9" s="59">
        <f>M!F6*1</f>
        <v>34.434600000000003</v>
      </c>
      <c r="S9" s="59">
        <f>M!G6*1</f>
        <v>40</v>
      </c>
      <c r="T9" s="59">
        <f>M!H6*1</f>
        <v>48.668100000000003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10.4857</v>
      </c>
      <c r="D10" s="99">
        <f>N8</f>
        <v>34.506599999999999</v>
      </c>
      <c r="E10" s="100">
        <f>T8</f>
        <v>41.777500000000003</v>
      </c>
      <c r="F10" s="91">
        <f>P8</f>
        <v>17.2273</v>
      </c>
      <c r="G10" s="81" t="str">
        <f>CONCATENATE(M9,"
(20 ~ 40)")</f>
        <v>压力
(20 ~ 40)</v>
      </c>
      <c r="H10" s="98">
        <f>R9</f>
        <v>34.434600000000003</v>
      </c>
      <c r="I10" s="108">
        <f>N9</f>
        <v>42.826500000000003</v>
      </c>
      <c r="J10" s="98">
        <f>T9</f>
        <v>48.668100000000003</v>
      </c>
      <c r="K10" s="92">
        <f>P9</f>
        <v>6.8738799999999998</v>
      </c>
      <c r="L10" s="6"/>
      <c r="M10" s="27" t="str">
        <f>lang!B16</f>
        <v>焦虑</v>
      </c>
      <c r="N10" s="59">
        <f>M!B7*1</f>
        <v>30.900700000000001</v>
      </c>
      <c r="O10" s="59">
        <f>M!C7*1</f>
        <v>6.9589100000000004</v>
      </c>
      <c r="P10" s="59">
        <f>M!D7*1</f>
        <v>22.520199999999999</v>
      </c>
      <c r="Q10" s="59">
        <f>M!E7*1</f>
        <v>15</v>
      </c>
      <c r="R10" s="59">
        <f>M!F7*1</f>
        <v>11.9145</v>
      </c>
      <c r="S10" s="59">
        <f>M!G7*1</f>
        <v>40</v>
      </c>
      <c r="T10" s="59">
        <f>M!H7*1</f>
        <v>46.174900000000001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11.9145</v>
      </c>
      <c r="D11" s="102">
        <f>N10</f>
        <v>30.900700000000001</v>
      </c>
      <c r="E11" s="103">
        <f>T10</f>
        <v>46.174900000000001</v>
      </c>
      <c r="F11" s="94">
        <f>P10</f>
        <v>22.520199999999999</v>
      </c>
      <c r="G11" s="52" t="str">
        <f>CONCATENATE(M11,"
(20 ~ 50)")</f>
        <v>可疑
(20 ~ 50)</v>
      </c>
      <c r="H11" s="101">
        <f>R11</f>
        <v>21.429400000000001</v>
      </c>
      <c r="I11" s="104">
        <f>N11</f>
        <v>35.743899999999996</v>
      </c>
      <c r="J11" s="101">
        <f>T11</f>
        <v>40.0017</v>
      </c>
      <c r="K11" s="95">
        <f>P11</f>
        <v>9.9418100000000003</v>
      </c>
      <c r="L11" s="4"/>
      <c r="M11" s="27" t="str">
        <f>lang!B17</f>
        <v>可疑</v>
      </c>
      <c r="N11" s="59">
        <f>M!B8*1</f>
        <v>35.743899999999996</v>
      </c>
      <c r="O11" s="59">
        <f>M!C8*1</f>
        <v>3.5535899999999998</v>
      </c>
      <c r="P11" s="59">
        <f>M!D8*1</f>
        <v>9.9418100000000003</v>
      </c>
      <c r="Q11" s="59">
        <f>M!E8*1</f>
        <v>20</v>
      </c>
      <c r="R11" s="59">
        <f>M!F8*1</f>
        <v>21.429400000000001</v>
      </c>
      <c r="S11" s="59">
        <f>M!G8*1</f>
        <v>50</v>
      </c>
      <c r="T11" s="59">
        <f>M!H8*1</f>
        <v>40.0017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37.471499999999999</v>
      </c>
      <c r="D12" s="104">
        <f>N12</f>
        <v>57.6053</v>
      </c>
      <c r="E12" s="101">
        <f>T12</f>
        <v>70.139200000000002</v>
      </c>
      <c r="F12" s="93">
        <f>P12</f>
        <v>10.3813</v>
      </c>
      <c r="G12" s="52" t="str">
        <f>CONCATENATE(M13,"
(40 ~ 100)")</f>
        <v>自信
(40 ~ 100)</v>
      </c>
      <c r="H12" s="101">
        <f>R13</f>
        <v>42.146900000000002</v>
      </c>
      <c r="I12" s="104">
        <f>N13</f>
        <v>62.281300000000002</v>
      </c>
      <c r="J12" s="101">
        <f>T13</f>
        <v>74.942899999999995</v>
      </c>
      <c r="K12" s="95">
        <f>P13</f>
        <v>14.286199999999999</v>
      </c>
      <c r="L12" s="4"/>
      <c r="M12" s="27" t="str">
        <f>lang!B18</f>
        <v>平衡</v>
      </c>
      <c r="N12" s="59">
        <f>M!B9*1</f>
        <v>57.6053</v>
      </c>
      <c r="O12" s="59">
        <f>M!C9*1</f>
        <v>5.9801700000000002</v>
      </c>
      <c r="P12" s="59">
        <f>M!D9*1</f>
        <v>10.3813</v>
      </c>
      <c r="Q12" s="59">
        <f>M!E9*1</f>
        <v>50</v>
      </c>
      <c r="R12" s="59">
        <f>M!F9*1</f>
        <v>37.471499999999999</v>
      </c>
      <c r="S12" s="59">
        <f>M!G9*1</f>
        <v>100</v>
      </c>
      <c r="T12" s="59">
        <f>M!H9*1</f>
        <v>70.139200000000002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7.0598599999999996</v>
      </c>
      <c r="D13" s="102">
        <f>N14</f>
        <v>15.7113</v>
      </c>
      <c r="E13" s="103">
        <f>T14</f>
        <v>20.089500000000001</v>
      </c>
      <c r="F13" s="94">
        <f>P14</f>
        <v>16.883400000000002</v>
      </c>
      <c r="G13" s="52" t="str">
        <f>CONCATENATE(M15,"
(50 ~ 100)")</f>
        <v>自我调节
(50 ~ 100)</v>
      </c>
      <c r="H13" s="101">
        <f>R15</f>
        <v>42.192100000000003</v>
      </c>
      <c r="I13" s="104">
        <f>N15</f>
        <v>59.351799999999997</v>
      </c>
      <c r="J13" s="101">
        <f>T15</f>
        <v>71.569699999999997</v>
      </c>
      <c r="K13" s="95">
        <f>P15</f>
        <v>10.0586</v>
      </c>
      <c r="L13" s="4"/>
      <c r="M13" s="27" t="str">
        <f>lang!B19</f>
        <v>自信</v>
      </c>
      <c r="N13" s="59">
        <f>M!B10*1</f>
        <v>62.281300000000002</v>
      </c>
      <c r="O13" s="59">
        <f>M!C10*1</f>
        <v>8.8976199999999999</v>
      </c>
      <c r="P13" s="59">
        <f>M!D10*1</f>
        <v>14.286199999999999</v>
      </c>
      <c r="Q13" s="59">
        <f>M!E10*1</f>
        <v>40</v>
      </c>
      <c r="R13" s="59">
        <f>M!F10*1</f>
        <v>42.146900000000002</v>
      </c>
      <c r="S13" s="59">
        <f>M!G10*1</f>
        <v>100</v>
      </c>
      <c r="T13" s="59">
        <f>M!H10*1</f>
        <v>74.942899999999995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15.970499999999999</v>
      </c>
      <c r="D14" s="106">
        <f>N16</f>
        <v>21.7379</v>
      </c>
      <c r="E14" s="107">
        <f>T16</f>
        <v>39.134799999999998</v>
      </c>
      <c r="F14" s="96">
        <f>P16</f>
        <v>20.146799999999999</v>
      </c>
      <c r="G14" s="112" t="str">
        <f>CONCATENATE(M17,"
(10 ~ 50)")</f>
        <v>神经质
(10 ~ 50)</v>
      </c>
      <c r="H14" s="105">
        <f>R17</f>
        <v>3.0363699999999998</v>
      </c>
      <c r="I14" s="106">
        <f>N17</f>
        <v>43.794899999999998</v>
      </c>
      <c r="J14" s="107">
        <f>T17</f>
        <v>66.396500000000003</v>
      </c>
      <c r="K14" s="97">
        <f>P17</f>
        <v>41.886099999999999</v>
      </c>
      <c r="M14" s="27" t="str">
        <f>lang!B20</f>
        <v>活力</v>
      </c>
      <c r="N14" s="59">
        <f>M!B11*1</f>
        <v>15.7113</v>
      </c>
      <c r="O14" s="59">
        <f>M!C11*1</f>
        <v>2.65259</v>
      </c>
      <c r="P14" s="59">
        <f>M!D11*1</f>
        <v>16.883400000000002</v>
      </c>
      <c r="Q14" s="59">
        <f>M!E11*1</f>
        <v>10</v>
      </c>
      <c r="R14" s="59">
        <f>M!F11*1</f>
        <v>7.0598599999999996</v>
      </c>
      <c r="S14" s="59">
        <f>M!G11*1</f>
        <v>50</v>
      </c>
      <c r="T14" s="59">
        <f>M!H11*1</f>
        <v>20.089500000000001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59.351799999999997</v>
      </c>
      <c r="O15" s="59">
        <f>M!C12*1</f>
        <v>5.9699600000000004</v>
      </c>
      <c r="P15" s="59">
        <f>M!D12*1</f>
        <v>10.0586</v>
      </c>
      <c r="Q15" s="59">
        <f>M!E12*1</f>
        <v>50</v>
      </c>
      <c r="R15" s="59">
        <f>M!F12*1</f>
        <v>42.192100000000003</v>
      </c>
      <c r="S15" s="59">
        <f>M!G12*1</f>
        <v>100</v>
      </c>
      <c r="T15" s="59">
        <f>M!H12*1</f>
        <v>71.569699999999997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21.7379</v>
      </c>
      <c r="O16" s="59">
        <f>M!C13*1</f>
        <v>4.3794899999999997</v>
      </c>
      <c r="P16" s="59">
        <f>M!D13*1</f>
        <v>20.146799999999999</v>
      </c>
      <c r="Q16" s="59">
        <f>M!E13*1</f>
        <v>10</v>
      </c>
      <c r="R16" s="59">
        <f>M!F13*1</f>
        <v>15.970499999999999</v>
      </c>
      <c r="S16" s="59">
        <f>M!G13*1</f>
        <v>25</v>
      </c>
      <c r="T16" s="59">
        <f>M!H13*1</f>
        <v>39.134799999999998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43.794899999999998</v>
      </c>
      <c r="O17" s="59">
        <f>M!C14*1</f>
        <v>18.344000000000001</v>
      </c>
      <c r="P17" s="59">
        <f>M!D14*1</f>
        <v>41.886099999999999</v>
      </c>
      <c r="Q17" s="59">
        <f>M!E14*1</f>
        <v>10</v>
      </c>
      <c r="R17" s="59">
        <f>M!F14*1</f>
        <v>3.0363699999999998</v>
      </c>
      <c r="S17" s="59">
        <f>M!G14*1</f>
        <v>50</v>
      </c>
      <c r="T17" s="59">
        <f>M!H14*1</f>
        <v>66.396500000000003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48.737425000000002</v>
      </c>
      <c r="O18" s="22">
        <f>N18/(N18+N19+N20)</f>
        <v>0.41479277350939264</v>
      </c>
      <c r="P18" s="65">
        <f>SUM(P12:P15)/4</f>
        <v>12.902374999999999</v>
      </c>
      <c r="Q18" s="22">
        <f>P18/(P18+P19+P20)</f>
        <v>0.22222629849169273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35.994425</v>
      </c>
      <c r="O19" s="22">
        <f>N19/(N18+N19+N20)</f>
        <v>0.30634009442693821</v>
      </c>
      <c r="P19" s="18">
        <f>SUM(P8:P11)/4</f>
        <v>14.140797500000001</v>
      </c>
      <c r="Q19" s="22">
        <f>P19/(P18+P19+P20)</f>
        <v>0.24355648368192542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32.766399999999997</v>
      </c>
      <c r="O20" s="22">
        <f>N20/(N18+N19+N20)</f>
        <v>0.27886713206366898</v>
      </c>
      <c r="P20" s="18">
        <f>(P16+P17)/2</f>
        <v>31.016449999999999</v>
      </c>
      <c r="Q20" s="22">
        <f>P20/(P18+P19+P20)</f>
        <v>0.53421721782638176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-4.3840081081081117E-2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1.2749392742676962</v>
      </c>
      <c r="D25" s="44" t="str">
        <f>lang!B11</f>
        <v>频率方差</v>
      </c>
      <c r="E25" s="142">
        <f ca="1">FH!L3</f>
        <v>0.54873431187748645</v>
      </c>
      <c r="F25" s="143"/>
      <c r="G25" s="134" t="str">
        <f>lang!B12</f>
        <v>生理变化率</v>
      </c>
      <c r="H25" s="135"/>
      <c r="I25" s="62" t="str">
        <f ca="1">CONCATENATE(info!M7,"-",info!M8)</f>
        <v>38.3-58.9</v>
      </c>
      <c r="J25" s="42" t="str">
        <f>lang!B13</f>
        <v>千卡l/分钟</v>
      </c>
      <c r="K25" s="41" t="str">
        <f ca="1">CONCATENATE(info!M5,"-",info!M6)</f>
        <v>2-3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59.869900000000001</v>
      </c>
      <c r="F28" s="164"/>
      <c r="G28" s="178" t="str">
        <f>lang!B33</f>
        <v>稳定性</v>
      </c>
      <c r="H28" s="179"/>
      <c r="I28" s="180"/>
      <c r="J28" s="181">
        <f>M!B19*100</f>
        <v>67.075299999999999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43607.474803240744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0.83230000000000359</v>
      </c>
      <c r="O7" s="59">
        <f t="shared" ref="O7:T7" si="2">AG7-X7</f>
        <v>-4.6614399999999998</v>
      </c>
      <c r="P7" s="59">
        <f t="shared" si="2"/>
        <v>-13.881979999999999</v>
      </c>
      <c r="Q7" s="59">
        <f t="shared" si="2"/>
        <v>0</v>
      </c>
      <c r="R7" s="59">
        <f t="shared" si="2"/>
        <v>21.036200000000001</v>
      </c>
      <c r="S7" s="59">
        <f t="shared" si="2"/>
        <v>0</v>
      </c>
      <c r="T7" s="59">
        <f t="shared" si="2"/>
        <v>3.205600000000004</v>
      </c>
      <c r="U7" s="14"/>
      <c r="V7" s="27" t="str">
        <f>M7</f>
        <v>攻击性</v>
      </c>
      <c r="W7" s="59">
        <f>'M1'!B5*1</f>
        <v>34.028599999999997</v>
      </c>
      <c r="X7" s="59">
        <f>'M1'!C5*1</f>
        <v>7.2753199999999998</v>
      </c>
      <c r="Y7" s="59">
        <f>'M1'!D5*1</f>
        <v>21.38</v>
      </c>
      <c r="Z7" s="59">
        <f>'M1'!E5*1</f>
        <v>20</v>
      </c>
      <c r="AA7" s="59">
        <f>'M1'!F5*1</f>
        <v>10.4857</v>
      </c>
      <c r="AB7" s="59">
        <f>'M1'!G5*1</f>
        <v>50</v>
      </c>
      <c r="AC7" s="59">
        <f>'M1'!H5*1</f>
        <v>38.571899999999999</v>
      </c>
      <c r="AE7" s="27" t="str">
        <f>V7</f>
        <v>攻击性</v>
      </c>
      <c r="AF7" s="59">
        <f>'M2'!B5*1</f>
        <v>34.860900000000001</v>
      </c>
      <c r="AG7" s="59">
        <f>'M2'!C5*1</f>
        <v>2.61388</v>
      </c>
      <c r="AH7" s="59">
        <f>'M2'!D5*1</f>
        <v>7.4980200000000004</v>
      </c>
      <c r="AI7" s="59">
        <f>'M2'!E5*1</f>
        <v>20</v>
      </c>
      <c r="AJ7" s="59">
        <f>'M2'!F5*1</f>
        <v>31.521899999999999</v>
      </c>
      <c r="AK7" s="59">
        <f>'M2'!G5*1</f>
        <v>50</v>
      </c>
      <c r="AL7" s="59">
        <f>'M2'!H5*1</f>
        <v>41.777500000000003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4.6572000000000031</v>
      </c>
      <c r="O8" s="59">
        <f t="shared" ref="O8:O16" si="5">AG8-X8</f>
        <v>-0.12661999999999995</v>
      </c>
      <c r="P8" s="59">
        <f t="shared" ref="P8:P16" si="6">AH8-Y8</f>
        <v>-0.84874999999999989</v>
      </c>
      <c r="Q8" s="59">
        <f t="shared" ref="Q8:Q16" si="7">AI8-Z8</f>
        <v>0</v>
      </c>
      <c r="R8" s="59">
        <f t="shared" ref="R8:R16" si="8">AJ8-AA8</f>
        <v>3.8688000000000002</v>
      </c>
      <c r="S8" s="59">
        <f t="shared" ref="S8:S16" si="9">AK8-AB8</f>
        <v>0</v>
      </c>
      <c r="T8" s="59">
        <f t="shared" ref="T8:T16" si="10">AL8-AC8</f>
        <v>1.3237000000000023</v>
      </c>
      <c r="U8" s="15"/>
      <c r="V8" s="27" t="str">
        <f t="shared" ref="V8:V16" si="11">M8</f>
        <v>压力</v>
      </c>
      <c r="W8" s="59">
        <f>'M1'!B6*1</f>
        <v>39.845199999999998</v>
      </c>
      <c r="X8" s="59">
        <f>'M1'!C6*1</f>
        <v>2.1482999999999999</v>
      </c>
      <c r="Y8" s="59">
        <f>'M1'!D6*1</f>
        <v>5.39161</v>
      </c>
      <c r="Z8" s="59">
        <f>'M1'!E6*1</f>
        <v>20</v>
      </c>
      <c r="AA8" s="59">
        <f>'M1'!F6*1</f>
        <v>34.434600000000003</v>
      </c>
      <c r="AB8" s="59">
        <f>'M1'!G6*1</f>
        <v>40</v>
      </c>
      <c r="AC8" s="59">
        <f>'M1'!H6*1</f>
        <v>47.3444</v>
      </c>
      <c r="AE8" s="27" t="str">
        <f t="shared" ref="AE8:AE16" si="12">V8</f>
        <v>压力</v>
      </c>
      <c r="AF8" s="59">
        <f>'M2'!B6*1</f>
        <v>44.502400000000002</v>
      </c>
      <c r="AG8" s="59">
        <f>'M2'!C6*1</f>
        <v>2.0216799999999999</v>
      </c>
      <c r="AH8" s="59">
        <f>'M2'!D6*1</f>
        <v>4.5428600000000001</v>
      </c>
      <c r="AI8" s="59">
        <f>'M2'!E6*1</f>
        <v>20</v>
      </c>
      <c r="AJ8" s="59">
        <f>'M2'!F6*1</f>
        <v>38.303400000000003</v>
      </c>
      <c r="AK8" s="59">
        <f>'M2'!G6*1</f>
        <v>40</v>
      </c>
      <c r="AL8" s="59">
        <f>'M2'!H6*1</f>
        <v>48.668100000000003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21.036200000000001</v>
      </c>
      <c r="D9" s="78">
        <f>N7</f>
        <v>0.83230000000000359</v>
      </c>
      <c r="E9" s="79">
        <f>T7</f>
        <v>3.205600000000004</v>
      </c>
      <c r="F9" s="79">
        <f>P7</f>
        <v>-13.881979999999999</v>
      </c>
      <c r="G9" s="80" t="str">
        <f>CONCATENATE(M8,"
(20 ~ 40)")</f>
        <v>压力
(20 ~ 40)</v>
      </c>
      <c r="H9" s="77">
        <f>R8</f>
        <v>3.8688000000000002</v>
      </c>
      <c r="I9" s="81">
        <f>N8</f>
        <v>4.6572000000000031</v>
      </c>
      <c r="J9" s="77">
        <f>T8</f>
        <v>1.3237000000000023</v>
      </c>
      <c r="K9" s="82">
        <f>P8</f>
        <v>-0.84874999999999989</v>
      </c>
      <c r="L9" s="6"/>
      <c r="M9" s="27" t="str">
        <f>lang!B16</f>
        <v>焦虑</v>
      </c>
      <c r="N9" s="59">
        <f t="shared" si="4"/>
        <v>3.7879999999999967</v>
      </c>
      <c r="O9" s="59">
        <f t="shared" si="5"/>
        <v>-5.0311299999999992</v>
      </c>
      <c r="P9" s="59">
        <f t="shared" si="6"/>
        <v>-18.724799999999998</v>
      </c>
      <c r="Q9" s="59">
        <f t="shared" si="7"/>
        <v>0</v>
      </c>
      <c r="R9" s="59">
        <f t="shared" si="8"/>
        <v>10.507400000000001</v>
      </c>
      <c r="S9" s="59">
        <f t="shared" si="9"/>
        <v>0</v>
      </c>
      <c r="T9" s="59">
        <f t="shared" si="10"/>
        <v>-4.4551999999999978</v>
      </c>
      <c r="U9" s="14"/>
      <c r="V9" s="27" t="str">
        <f t="shared" si="11"/>
        <v>焦虑</v>
      </c>
      <c r="W9" s="59">
        <f>'M1'!B7*1</f>
        <v>29.197800000000001</v>
      </c>
      <c r="X9" s="59">
        <f>'M1'!C7*1</f>
        <v>8.8285099999999996</v>
      </c>
      <c r="Y9" s="59">
        <f>'M1'!D7*1</f>
        <v>30.236999999999998</v>
      </c>
      <c r="Z9" s="59">
        <f>'M1'!E7*1</f>
        <v>15</v>
      </c>
      <c r="AA9" s="59">
        <f>'M1'!F7*1</f>
        <v>11.9145</v>
      </c>
      <c r="AB9" s="59">
        <f>'M1'!G7*1</f>
        <v>40</v>
      </c>
      <c r="AC9" s="59">
        <f>'M1'!H7*1</f>
        <v>46.174900000000001</v>
      </c>
      <c r="AE9" s="27" t="str">
        <f t="shared" si="12"/>
        <v>焦虑</v>
      </c>
      <c r="AF9" s="59">
        <f>'M2'!B7*1</f>
        <v>32.985799999999998</v>
      </c>
      <c r="AG9" s="59">
        <f>'M2'!C7*1</f>
        <v>3.79738</v>
      </c>
      <c r="AH9" s="59">
        <f>'M2'!D7*1</f>
        <v>11.5122</v>
      </c>
      <c r="AI9" s="59">
        <f>'M2'!E7*1</f>
        <v>15</v>
      </c>
      <c r="AJ9" s="59">
        <f>'M2'!F7*1</f>
        <v>22.421900000000001</v>
      </c>
      <c r="AK9" s="59">
        <f>'M2'!G7*1</f>
        <v>40</v>
      </c>
      <c r="AL9" s="59">
        <f>'M2'!H7*1</f>
        <v>41.719700000000003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10.507400000000001</v>
      </c>
      <c r="D10" s="51">
        <f>N9</f>
        <v>3.7879999999999967</v>
      </c>
      <c r="E10" s="53">
        <f>T9</f>
        <v>-4.4551999999999978</v>
      </c>
      <c r="F10" s="53">
        <f>P9</f>
        <v>-18.724799999999998</v>
      </c>
      <c r="G10" s="73" t="str">
        <f>CONCATENATE(M10,"
(20 ~ 50)")</f>
        <v>可疑
(20 ~ 50)</v>
      </c>
      <c r="H10" s="24">
        <f>R10</f>
        <v>12.608800000000002</v>
      </c>
      <c r="I10" s="52">
        <f>N10</f>
        <v>3.3793000000000006</v>
      </c>
      <c r="J10" s="24">
        <f>T10</f>
        <v>1.771099999999997</v>
      </c>
      <c r="K10" s="25">
        <f>P10</f>
        <v>-7.6063499999999999</v>
      </c>
      <c r="L10" s="4"/>
      <c r="M10" s="27" t="str">
        <f>lang!B17</f>
        <v>可疑</v>
      </c>
      <c r="N10" s="59">
        <f t="shared" si="4"/>
        <v>3.3793000000000006</v>
      </c>
      <c r="O10" s="59">
        <f t="shared" si="5"/>
        <v>-2.4813700000000001</v>
      </c>
      <c r="P10" s="59">
        <f t="shared" si="6"/>
        <v>-7.6063499999999999</v>
      </c>
      <c r="Q10" s="59">
        <f t="shared" si="7"/>
        <v>0</v>
      </c>
      <c r="R10" s="59">
        <f t="shared" si="8"/>
        <v>12.608800000000002</v>
      </c>
      <c r="S10" s="59">
        <f t="shared" si="9"/>
        <v>0</v>
      </c>
      <c r="T10" s="59">
        <f t="shared" si="10"/>
        <v>1.771099999999997</v>
      </c>
      <c r="U10" s="14"/>
      <c r="V10" s="27" t="str">
        <f t="shared" si="11"/>
        <v>可疑</v>
      </c>
      <c r="W10" s="59">
        <f>'M1'!B8*1</f>
        <v>34.214599999999997</v>
      </c>
      <c r="X10" s="59">
        <f>'M1'!C8*1</f>
        <v>3.82857</v>
      </c>
      <c r="Y10" s="59">
        <f>'M1'!D8*1</f>
        <v>11.1899</v>
      </c>
      <c r="Z10" s="59">
        <f>'M1'!E8*1</f>
        <v>20</v>
      </c>
      <c r="AA10" s="59">
        <f>'M1'!F8*1</f>
        <v>21.429400000000001</v>
      </c>
      <c r="AB10" s="59">
        <f>'M1'!G8*1</f>
        <v>50</v>
      </c>
      <c r="AC10" s="59">
        <f>'M1'!H8*1</f>
        <v>38.230600000000003</v>
      </c>
      <c r="AE10" s="27" t="str">
        <f t="shared" si="12"/>
        <v>可疑</v>
      </c>
      <c r="AF10" s="59">
        <f>'M2'!B8*1</f>
        <v>37.593899999999998</v>
      </c>
      <c r="AG10" s="59">
        <f>'M2'!C8*1</f>
        <v>1.3472</v>
      </c>
      <c r="AH10" s="59">
        <f>'M2'!D8*1</f>
        <v>3.5835499999999998</v>
      </c>
      <c r="AI10" s="59">
        <f>'M2'!E8*1</f>
        <v>20</v>
      </c>
      <c r="AJ10" s="59">
        <f>'M2'!F8*1</f>
        <v>34.038200000000003</v>
      </c>
      <c r="AK10" s="59">
        <f>'M2'!G8*1</f>
        <v>50</v>
      </c>
      <c r="AL10" s="59">
        <f>'M2'!H8*1</f>
        <v>40.0017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-7.6533999999999978</v>
      </c>
      <c r="D11" s="52">
        <f>N11</f>
        <v>-1.2944999999999993</v>
      </c>
      <c r="E11" s="24">
        <f>T11</f>
        <v>-5.5773999999999972</v>
      </c>
      <c r="F11" s="24">
        <f>P11</f>
        <v>-0.63765999999999856</v>
      </c>
      <c r="G11" s="73" t="str">
        <f>CONCATENATE(M12,"
(40 ~ 100)")</f>
        <v>自信
(40 ~ 100)</v>
      </c>
      <c r="H11" s="24">
        <f>R12</f>
        <v>-15.328699999999998</v>
      </c>
      <c r="I11" s="52">
        <f>N12</f>
        <v>-15.299499999999995</v>
      </c>
      <c r="J11" s="24">
        <f>T12</f>
        <v>-1.8558999999999912</v>
      </c>
      <c r="K11" s="25">
        <f>P12</f>
        <v>4.1054300000000001</v>
      </c>
      <c r="L11" s="4"/>
      <c r="M11" s="27" t="str">
        <f>lang!B18</f>
        <v>平衡</v>
      </c>
      <c r="N11" s="59">
        <f t="shared" si="4"/>
        <v>-1.2944999999999993</v>
      </c>
      <c r="O11" s="59">
        <f t="shared" si="5"/>
        <v>-0.49971999999999994</v>
      </c>
      <c r="P11" s="59">
        <f t="shared" si="6"/>
        <v>-0.63765999999999856</v>
      </c>
      <c r="Q11" s="59">
        <f t="shared" si="7"/>
        <v>0</v>
      </c>
      <c r="R11" s="59">
        <f t="shared" si="8"/>
        <v>-7.6533999999999978</v>
      </c>
      <c r="S11" s="59">
        <f t="shared" si="9"/>
        <v>0</v>
      </c>
      <c r="T11" s="59">
        <f t="shared" si="10"/>
        <v>-5.5773999999999972</v>
      </c>
      <c r="U11" s="14"/>
      <c r="V11" s="27" t="str">
        <f t="shared" si="11"/>
        <v>平衡</v>
      </c>
      <c r="W11" s="59">
        <f>'M1'!B9*1</f>
        <v>58.357300000000002</v>
      </c>
      <c r="X11" s="59">
        <f>'M1'!C9*1</f>
        <v>6.1237399999999997</v>
      </c>
      <c r="Y11" s="59">
        <f>'M1'!D9*1</f>
        <v>10.493499999999999</v>
      </c>
      <c r="Z11" s="59">
        <f>'M1'!E9*1</f>
        <v>50</v>
      </c>
      <c r="AA11" s="59">
        <f>'M1'!F9*1</f>
        <v>45.124899999999997</v>
      </c>
      <c r="AB11" s="59">
        <f>'M1'!G9*1</f>
        <v>100</v>
      </c>
      <c r="AC11" s="59">
        <f>'M1'!H9*1</f>
        <v>70.139200000000002</v>
      </c>
      <c r="AE11" s="27" t="str">
        <f t="shared" si="12"/>
        <v>平衡</v>
      </c>
      <c r="AF11" s="59">
        <f>'M2'!B9*1</f>
        <v>57.062800000000003</v>
      </c>
      <c r="AG11" s="59">
        <f>'M2'!C9*1</f>
        <v>5.6240199999999998</v>
      </c>
      <c r="AH11" s="59">
        <f>'M2'!D9*1</f>
        <v>9.8558400000000006</v>
      </c>
      <c r="AI11" s="59">
        <f>'M2'!E9*1</f>
        <v>50</v>
      </c>
      <c r="AJ11" s="59">
        <f>'M2'!F9*1</f>
        <v>37.471499999999999</v>
      </c>
      <c r="AK11" s="59">
        <f>'M2'!G9*1</f>
        <v>100</v>
      </c>
      <c r="AL11" s="59">
        <f>'M2'!H9*1</f>
        <v>64.561800000000005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3.1128400000000012</v>
      </c>
      <c r="D12" s="51">
        <f>N13</f>
        <v>-0.29530000000000101</v>
      </c>
      <c r="E12" s="53">
        <f>T13</f>
        <v>-0.67470000000000141</v>
      </c>
      <c r="F12" s="53">
        <f>P13</f>
        <v>-4.4201999999999995</v>
      </c>
      <c r="G12" s="73" t="str">
        <f>CONCATENATE(M14,"
(50 ~ 100)")</f>
        <v>自我调节
(50 ~ 100)</v>
      </c>
      <c r="H12" s="24">
        <f>R14</f>
        <v>-14.1648</v>
      </c>
      <c r="I12" s="52">
        <f>N14</f>
        <v>-3.7385999999999981</v>
      </c>
      <c r="J12" s="24">
        <f>T14</f>
        <v>-3.5666999999999973</v>
      </c>
      <c r="K12" s="25">
        <f>P14</f>
        <v>1.8269900000000003</v>
      </c>
      <c r="L12" s="4"/>
      <c r="M12" s="27" t="str">
        <f>lang!B19</f>
        <v>自信</v>
      </c>
      <c r="N12" s="59">
        <f t="shared" si="4"/>
        <v>-15.299499999999995</v>
      </c>
      <c r="O12" s="59">
        <f t="shared" si="5"/>
        <v>0.94460000000000033</v>
      </c>
      <c r="P12" s="59">
        <f t="shared" si="6"/>
        <v>4.1054300000000001</v>
      </c>
      <c r="Q12" s="59">
        <f t="shared" si="7"/>
        <v>0</v>
      </c>
      <c r="R12" s="59">
        <f t="shared" si="8"/>
        <v>-15.328699999999998</v>
      </c>
      <c r="S12" s="59">
        <f t="shared" si="9"/>
        <v>0</v>
      </c>
      <c r="T12" s="59">
        <f t="shared" si="10"/>
        <v>-1.8558999999999912</v>
      </c>
      <c r="U12" s="15"/>
      <c r="V12" s="27" t="str">
        <f t="shared" si="11"/>
        <v>自信</v>
      </c>
      <c r="W12" s="59">
        <f>'M1'!B10*1</f>
        <v>72.089299999999994</v>
      </c>
      <c r="X12" s="59">
        <f>'M1'!C10*1</f>
        <v>6.5347299999999997</v>
      </c>
      <c r="Y12" s="59">
        <f>'M1'!D10*1</f>
        <v>9.0647699999999993</v>
      </c>
      <c r="Z12" s="59">
        <f>'M1'!E10*1</f>
        <v>40</v>
      </c>
      <c r="AA12" s="59">
        <f>'M1'!F10*1</f>
        <v>57.4756</v>
      </c>
      <c r="AB12" s="59">
        <f>'M1'!G10*1</f>
        <v>100</v>
      </c>
      <c r="AC12" s="59">
        <f>'M1'!H10*1</f>
        <v>74.942899999999995</v>
      </c>
      <c r="AE12" s="27" t="str">
        <f t="shared" si="12"/>
        <v>自信</v>
      </c>
      <c r="AF12" s="59">
        <f>'M2'!B10*1</f>
        <v>56.7898</v>
      </c>
      <c r="AG12" s="59">
        <f>'M2'!C10*1</f>
        <v>7.47933</v>
      </c>
      <c r="AH12" s="59">
        <f>'M2'!D10*1</f>
        <v>13.170199999999999</v>
      </c>
      <c r="AI12" s="59">
        <f>'M2'!E10*1</f>
        <v>40</v>
      </c>
      <c r="AJ12" s="59">
        <f>'M2'!F10*1</f>
        <v>42.146900000000002</v>
      </c>
      <c r="AK12" s="59">
        <f>'M2'!G10*1</f>
        <v>100</v>
      </c>
      <c r="AL12" s="59">
        <f>'M2'!H10*1</f>
        <v>73.087000000000003</v>
      </c>
    </row>
    <row r="13" spans="2:38" ht="25.5" customHeight="1" thickBot="1">
      <c r="B13" s="72" t="str">
        <f>CONCATENATE(M15,"
(10 ~ 25)")</f>
        <v>抑郁
(10 ~ 25)</v>
      </c>
      <c r="C13" s="54">
        <f>R15</f>
        <v>-0.29499999999999993</v>
      </c>
      <c r="D13" s="55">
        <f>N15</f>
        <v>-3.2707999999999977</v>
      </c>
      <c r="E13" s="56">
        <f>T15</f>
        <v>-12.741799999999998</v>
      </c>
      <c r="F13" s="56">
        <f>P15</f>
        <v>-11.378299999999998</v>
      </c>
      <c r="G13" s="74" t="str">
        <f>CONCATENATE(M16,"
(10 ~ 50)")</f>
        <v>神经质
(10 ~ 50)</v>
      </c>
      <c r="H13" s="54">
        <f>R16</f>
        <v>-0.53485000000000005</v>
      </c>
      <c r="I13" s="55">
        <f>N16</f>
        <v>-30.952299999999997</v>
      </c>
      <c r="J13" s="56">
        <f>T16</f>
        <v>-13.590700000000005</v>
      </c>
      <c r="K13" s="57">
        <f>P16</f>
        <v>52.091300000000004</v>
      </c>
      <c r="M13" s="27" t="str">
        <f>lang!B20</f>
        <v>活力</v>
      </c>
      <c r="N13" s="59">
        <f t="shared" si="4"/>
        <v>-0.29530000000000101</v>
      </c>
      <c r="O13" s="59">
        <f t="shared" si="5"/>
        <v>-0.74761999999999995</v>
      </c>
      <c r="P13" s="59">
        <f t="shared" si="6"/>
        <v>-4.4201999999999995</v>
      </c>
      <c r="Q13" s="59">
        <f t="shared" si="7"/>
        <v>0</v>
      </c>
      <c r="R13" s="59">
        <f t="shared" si="8"/>
        <v>3.1128400000000012</v>
      </c>
      <c r="S13" s="59">
        <f t="shared" si="9"/>
        <v>0</v>
      </c>
      <c r="T13" s="59">
        <f t="shared" si="10"/>
        <v>-0.67470000000000141</v>
      </c>
      <c r="U13" s="14"/>
      <c r="V13" s="27" t="str">
        <f t="shared" si="11"/>
        <v>活力</v>
      </c>
      <c r="W13" s="59">
        <f>'M1'!B11*1</f>
        <v>15.9556</v>
      </c>
      <c r="X13" s="59">
        <f>'M1'!C11*1</f>
        <v>2.9934699999999999</v>
      </c>
      <c r="Y13" s="59">
        <f>'M1'!D11*1</f>
        <v>18.761199999999999</v>
      </c>
      <c r="Z13" s="59">
        <f>'M1'!E11*1</f>
        <v>10</v>
      </c>
      <c r="AA13" s="59">
        <f>'M1'!F11*1</f>
        <v>7.0598599999999996</v>
      </c>
      <c r="AB13" s="59">
        <f>'M1'!G11*1</f>
        <v>50</v>
      </c>
      <c r="AC13" s="59">
        <f>'M1'!H11*1</f>
        <v>20.089500000000001</v>
      </c>
      <c r="AE13" s="27" t="str">
        <f t="shared" si="12"/>
        <v>活力</v>
      </c>
      <c r="AF13" s="59">
        <f>'M2'!B11*1</f>
        <v>15.660299999999999</v>
      </c>
      <c r="AG13" s="59">
        <f>'M2'!C11*1</f>
        <v>2.2458499999999999</v>
      </c>
      <c r="AH13" s="59">
        <f>'M2'!D11*1</f>
        <v>14.340999999999999</v>
      </c>
      <c r="AI13" s="59">
        <f>'M2'!E11*1</f>
        <v>10</v>
      </c>
      <c r="AJ13" s="59">
        <f>'M2'!F11*1</f>
        <v>10.172700000000001</v>
      </c>
      <c r="AK13" s="59">
        <f>'M2'!G11*1</f>
        <v>50</v>
      </c>
      <c r="AL13" s="59">
        <f>'M2'!H11*1</f>
        <v>19.4148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-3.7385999999999981</v>
      </c>
      <c r="O14" s="59">
        <f t="shared" si="5"/>
        <v>0.77322000000000024</v>
      </c>
      <c r="P14" s="59">
        <f t="shared" si="6"/>
        <v>1.8269900000000003</v>
      </c>
      <c r="Q14" s="59">
        <f t="shared" si="7"/>
        <v>0</v>
      </c>
      <c r="R14" s="59">
        <f t="shared" si="8"/>
        <v>-14.1648</v>
      </c>
      <c r="S14" s="59">
        <f t="shared" si="9"/>
        <v>0</v>
      </c>
      <c r="T14" s="59">
        <f t="shared" si="10"/>
        <v>-3.5666999999999973</v>
      </c>
      <c r="U14" s="14"/>
      <c r="V14" s="27" t="str">
        <f t="shared" si="11"/>
        <v>自我调节</v>
      </c>
      <c r="W14" s="59">
        <f>'M1'!B12*1</f>
        <v>61.359499999999997</v>
      </c>
      <c r="X14" s="59">
        <f>'M1'!C12*1</f>
        <v>4.5873999999999997</v>
      </c>
      <c r="Y14" s="59">
        <f>'M1'!D12*1</f>
        <v>7.4762599999999999</v>
      </c>
      <c r="Z14" s="59">
        <f>'M1'!E12*1</f>
        <v>50</v>
      </c>
      <c r="AA14" s="59">
        <f>'M1'!F12*1</f>
        <v>56.356900000000003</v>
      </c>
      <c r="AB14" s="59">
        <f>'M1'!G12*1</f>
        <v>100</v>
      </c>
      <c r="AC14" s="59">
        <f>'M1'!H12*1</f>
        <v>71.569699999999997</v>
      </c>
      <c r="AE14" s="27" t="str">
        <f t="shared" si="12"/>
        <v>自我调节</v>
      </c>
      <c r="AF14" s="59">
        <f>'M2'!B12*1</f>
        <v>57.620899999999999</v>
      </c>
      <c r="AG14" s="59">
        <f>'M2'!C12*1</f>
        <v>5.3606199999999999</v>
      </c>
      <c r="AH14" s="59">
        <f>'M2'!D12*1</f>
        <v>9.3032500000000002</v>
      </c>
      <c r="AI14" s="59">
        <f>'M2'!E12*1</f>
        <v>50</v>
      </c>
      <c r="AJ14" s="59">
        <f>'M2'!F12*1</f>
        <v>42.192100000000003</v>
      </c>
      <c r="AK14" s="59">
        <f>'M2'!G12*1</f>
        <v>100</v>
      </c>
      <c r="AL14" s="59">
        <f>'M2'!H12*1</f>
        <v>68.003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-3.2707999999999977</v>
      </c>
      <c r="O15" s="59">
        <f t="shared" si="5"/>
        <v>-3.0952299999999999</v>
      </c>
      <c r="P15" s="59">
        <f t="shared" si="6"/>
        <v>-11.378299999999998</v>
      </c>
      <c r="Q15" s="59">
        <f t="shared" si="7"/>
        <v>0</v>
      </c>
      <c r="R15" s="59">
        <f t="shared" si="8"/>
        <v>-0.29499999999999993</v>
      </c>
      <c r="S15" s="59">
        <f t="shared" si="9"/>
        <v>0</v>
      </c>
      <c r="T15" s="59">
        <f t="shared" si="10"/>
        <v>-12.741799999999998</v>
      </c>
      <c r="U15" s="14"/>
      <c r="V15" s="27" t="str">
        <f t="shared" si="11"/>
        <v>抑郁</v>
      </c>
      <c r="W15" s="59">
        <f>'M1'!B13*1</f>
        <v>24.250499999999999</v>
      </c>
      <c r="X15" s="59">
        <f>'M1'!C13*1</f>
        <v>5.2499099999999999</v>
      </c>
      <c r="Y15" s="59">
        <f>'M1'!D13*1</f>
        <v>21.648599999999998</v>
      </c>
      <c r="Z15" s="59">
        <f>'M1'!E13*1</f>
        <v>10</v>
      </c>
      <c r="AA15" s="59">
        <f>'M1'!F13*1</f>
        <v>16.265499999999999</v>
      </c>
      <c r="AB15" s="59">
        <f>'M1'!G13*1</f>
        <v>25</v>
      </c>
      <c r="AC15" s="59">
        <f>'M1'!H13*1</f>
        <v>39.134799999999998</v>
      </c>
      <c r="AE15" s="27" t="str">
        <f t="shared" si="12"/>
        <v>抑郁</v>
      </c>
      <c r="AF15" s="59">
        <f>'M2'!B13*1</f>
        <v>20.979700000000001</v>
      </c>
      <c r="AG15" s="59">
        <f>'M2'!C13*1</f>
        <v>2.1546799999999999</v>
      </c>
      <c r="AH15" s="59">
        <f>'M2'!D13*1</f>
        <v>10.270300000000001</v>
      </c>
      <c r="AI15" s="59">
        <f>'M2'!E13*1</f>
        <v>10</v>
      </c>
      <c r="AJ15" s="59">
        <f>'M2'!F13*1</f>
        <v>15.970499999999999</v>
      </c>
      <c r="AK15" s="59">
        <f>'M2'!G13*1</f>
        <v>25</v>
      </c>
      <c r="AL15" s="59">
        <f>'M2'!H13*1</f>
        <v>26.393000000000001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-30.952299999999997</v>
      </c>
      <c r="O16" s="59">
        <f t="shared" si="5"/>
        <v>0.83579999999999899</v>
      </c>
      <c r="P16" s="59">
        <f t="shared" si="6"/>
        <v>52.091300000000004</v>
      </c>
      <c r="Q16" s="59">
        <f t="shared" si="7"/>
        <v>0</v>
      </c>
      <c r="R16" s="59">
        <f t="shared" si="8"/>
        <v>-0.53485000000000005</v>
      </c>
      <c r="S16" s="59">
        <f t="shared" si="9"/>
        <v>0</v>
      </c>
      <c r="T16" s="59">
        <f t="shared" si="10"/>
        <v>-13.590700000000005</v>
      </c>
      <c r="U16" s="15"/>
      <c r="V16" s="27" t="str">
        <f t="shared" si="11"/>
        <v>神经质</v>
      </c>
      <c r="W16" s="59">
        <f>'M1'!B14*1</f>
        <v>52.499099999999999</v>
      </c>
      <c r="X16" s="59">
        <f>'M1'!C14*1</f>
        <v>17.619800000000001</v>
      </c>
      <c r="Y16" s="59">
        <f>'M1'!D14*1</f>
        <v>33.562100000000001</v>
      </c>
      <c r="Z16" s="59">
        <f>'M1'!E14*1</f>
        <v>10</v>
      </c>
      <c r="AA16" s="59">
        <f>'M1'!F14*1</f>
        <v>3.5712199999999998</v>
      </c>
      <c r="AB16" s="59">
        <f>'M1'!G14*1</f>
        <v>50</v>
      </c>
      <c r="AC16" s="59">
        <f>'M1'!H14*1</f>
        <v>66.396500000000003</v>
      </c>
      <c r="AE16" s="27" t="str">
        <f t="shared" si="12"/>
        <v>神经质</v>
      </c>
      <c r="AF16" s="59">
        <f>'M2'!B14*1</f>
        <v>21.546800000000001</v>
      </c>
      <c r="AG16" s="59">
        <f>'M2'!C14*1</f>
        <v>18.4556</v>
      </c>
      <c r="AH16" s="59">
        <f>'M2'!D14*1</f>
        <v>85.653400000000005</v>
      </c>
      <c r="AI16" s="59">
        <f>'M2'!E14*1</f>
        <v>10</v>
      </c>
      <c r="AJ16" s="59">
        <f>'M2'!F14*1</f>
        <v>3.0363699999999998</v>
      </c>
      <c r="AK16" s="59">
        <f>'M2'!G14*1</f>
        <v>50</v>
      </c>
      <c r="AL16" s="59">
        <f>'M2'!H14*1</f>
        <v>52.805799999999998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-5.1569749999999983</v>
      </c>
      <c r="O17" s="22">
        <f>N17/(N17+N18+N19)</f>
        <v>0.26993756649345108</v>
      </c>
      <c r="P17" s="65">
        <f>SUM(P11:P14)/4</f>
        <v>0.21864000000000061</v>
      </c>
      <c r="Q17" s="22">
        <f>P17/(P17+P18+P19)</f>
        <v>2.1207274335648035E-2</v>
      </c>
      <c r="R17" s="14"/>
      <c r="S17" s="14"/>
      <c r="T17" s="14"/>
      <c r="U17" s="14"/>
      <c r="V17" s="21" t="str">
        <f>M17</f>
        <v>Positive</v>
      </c>
      <c r="W17" s="65">
        <f>SUM(W11:W14)/4</f>
        <v>51.940424999999998</v>
      </c>
      <c r="X17" s="22">
        <f>W17/(W17+W18+W19)</f>
        <v>0.41673434666453779</v>
      </c>
      <c r="Y17" s="65">
        <f>SUM(Y11:Y14)/4</f>
        <v>11.448932499999998</v>
      </c>
      <c r="Z17" s="22">
        <f>Y17/(Y17+Y18+Y19)</f>
        <v>0.20406657040480777</v>
      </c>
      <c r="AA17" s="14"/>
      <c r="AB17" s="14"/>
      <c r="AC17" s="14"/>
      <c r="AE17" s="21" t="str">
        <f>V17</f>
        <v>Positive</v>
      </c>
      <c r="AF17" s="65">
        <f>SUM(AF11:AF14)/4</f>
        <v>46.783450000000002</v>
      </c>
      <c r="AG17" s="22">
        <f>AF17/(AF17+AF18+AF19)</f>
        <v>0.44330866951350034</v>
      </c>
      <c r="AH17" s="65">
        <f>SUM(AH11:AH14)/4</f>
        <v>11.6675725</v>
      </c>
      <c r="AI17" s="22">
        <f>AH17/(AH17+AH18+AH19)</f>
        <v>0.1756805234712539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3.164200000000001</v>
      </c>
      <c r="O18" s="22">
        <f>N18/(N17+N18+N19)</f>
        <v>-0.16562741682838841</v>
      </c>
      <c r="P18" s="18">
        <f>SUM(P7:P10)/4</f>
        <v>-10.265469999999999</v>
      </c>
      <c r="Q18" s="22">
        <f>P18/(P17+P18+P19)</f>
        <v>-0.99571276287213784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34.321549999999995</v>
      </c>
      <c r="X18" s="22">
        <f>W18/(W17+W18+W19)</f>
        <v>0.27537257763609491</v>
      </c>
      <c r="Y18" s="18">
        <f>SUM(Y7:Y10)/4</f>
        <v>17.0496275</v>
      </c>
      <c r="Z18" s="22">
        <f>Y18/(Y17+Y18+Y19)</f>
        <v>0.30389374822539106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37.485750000000003</v>
      </c>
      <c r="AG18" s="22">
        <f>AF18/(AF17+AF18+AF19)</f>
        <v>0.35520591059906215</v>
      </c>
      <c r="AH18" s="18">
        <f>SUM(AH7:AH10)/4</f>
        <v>6.7841575000000001</v>
      </c>
      <c r="AI18" s="22">
        <f>AH18/(AH17+AH18+AH19)</f>
        <v>0.10215015513393494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-17.111549999999998</v>
      </c>
      <c r="O19" s="22">
        <f>N19/(N17+N18+N19)</f>
        <v>0.89568985033493731</v>
      </c>
      <c r="P19" s="18">
        <f>(P15+P16)/2</f>
        <v>20.356500000000004</v>
      </c>
      <c r="Q19" s="22">
        <f>P19/(P17+P18+P19)</f>
        <v>1.9745054885364897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38.3748</v>
      </c>
      <c r="X19" s="22">
        <f>W19/(W17+W18+W19)</f>
        <v>0.30789307569936725</v>
      </c>
      <c r="Y19" s="18">
        <f>(Y15+Y16)/2</f>
        <v>27.605350000000001</v>
      </c>
      <c r="Z19" s="22">
        <f>Y19/(Y17+Y18+Y19)</f>
        <v>0.4920396813698012</v>
      </c>
      <c r="AA19" s="14"/>
      <c r="AB19" s="14"/>
      <c r="AC19" s="14"/>
      <c r="AE19" s="21" t="str">
        <f t="shared" si="14"/>
        <v>Physiological</v>
      </c>
      <c r="AF19" s="18">
        <f>(AF15+AF16)/2</f>
        <v>21.263249999999999</v>
      </c>
      <c r="AG19" s="22">
        <f>AF19/(AF17+AF18+AF19)</f>
        <v>0.20148541988743743</v>
      </c>
      <c r="AH19" s="18">
        <f>(AH15+AH16)/2</f>
        <v>47.961850000000005</v>
      </c>
      <c r="AI19" s="22">
        <f>AH19/(AH17+AH18+AH19)</f>
        <v>0.72216932139481105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1.23/1.32</v>
      </c>
      <c r="D24" s="44" t="str">
        <f>lang!B11</f>
        <v>频率方差</v>
      </c>
      <c r="E24" s="142" t="str">
        <f ca="1">CONCATENATE(ROUND('FH1'!L3,2),"/",ROUND('FH2'!L3,2))</f>
        <v>0.52/0.57</v>
      </c>
      <c r="F24" s="143"/>
      <c r="G24" s="134" t="str">
        <f>lang!B12</f>
        <v>生理变化率</v>
      </c>
      <c r="H24" s="135"/>
      <c r="I24" s="62" t="str">
        <f ca="1">CONCATENATE(info!M7,"-",info!M8)</f>
        <v>38.3-58.9</v>
      </c>
      <c r="J24" s="42" t="str">
        <f>lang!B13</f>
        <v>千卡l/分钟</v>
      </c>
      <c r="K24" s="41" t="str">
        <f ca="1">CONCATENATE(info!M5,"-",info!M6)</f>
        <v>2-3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5.7522999999999991</v>
      </c>
      <c r="F27" s="164"/>
      <c r="G27" s="178" t="str">
        <f>lang!B33</f>
        <v>稳定性</v>
      </c>
      <c r="H27" s="179"/>
      <c r="I27" s="180"/>
      <c r="J27" s="181">
        <f>dM!B19*100</f>
        <v>0.30490000000000794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-0.77865306255019251</v>
      </c>
      <c r="C2">
        <f t="array" aca="1" ref="C2" ca="1">CORREL(FT_E02,FT_PH02)</f>
        <v>0.54518252089480479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2.0060700000000002</v>
      </c>
      <c r="G2" s="61">
        <f>IF(FT!B2&lt;&gt;"",FT!B2*100,"")</f>
        <v>58.658500000000004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2.0580100000000003</v>
      </c>
      <c r="G3" s="61">
        <f>IF(FT!B3&lt;&gt;"",FT!B3*100,"")</f>
        <v>58.703499999999998</v>
      </c>
      <c r="H3" s="61">
        <f t="shared" ref="H3:H66" si="1">(IF(F3&lt;&gt;"",1,""))</f>
        <v>1</v>
      </c>
      <c r="I3" t="str">
        <f>IF(FT!B3&lt;&gt;"",FT!E3,"")</f>
        <v>1 [0.404025]</v>
      </c>
      <c r="J3">
        <f>IF(FT!B3&lt;&gt;"",FT!C3,"")</f>
        <v>0.40402500000000002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0.47797032432432435</v>
      </c>
      <c r="V3">
        <f ca="1">AVERAGE(OFFSET(FT!B2,info!$L$3/2,0,info!$L$3/2,1))</f>
        <v>0.43357281081081089</v>
      </c>
      <c r="W3">
        <f ca="1">AVERAGE(OFFSET(FT!A2,0,0,info!$L$3/2,1))</f>
        <v>0.2661681351351351</v>
      </c>
      <c r="X3">
        <f ca="1">AVERAGE(OFFSET(FT!A2,info!$L$3/2,0,info!$L$3/2,1))</f>
        <v>0.26561070270270276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2.10744</v>
      </c>
      <c r="G4" s="61">
        <f>IF(FT!B4&lt;&gt;"",FT!B4*100,"")</f>
        <v>58.820999999999998</v>
      </c>
      <c r="H4" s="61">
        <f t="shared" si="1"/>
        <v>1</v>
      </c>
      <c r="I4" t="str">
        <f>IF(FT!B4&lt;&gt;"",FT!E4,"")</f>
        <v>1 [0.807801]</v>
      </c>
      <c r="J4">
        <f>IF(FT!B4&lt;&gt;"",FT!C4,"")</f>
        <v>0.80780099999999999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14.933350000000001</v>
      </c>
      <c r="V4">
        <f>U4*3</f>
        <v>44.800049999999999</v>
      </c>
      <c r="W4">
        <f>U4</f>
        <v>14.933350000000001</v>
      </c>
      <c r="X4">
        <f>V4</f>
        <v>44.800049999999999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2.1545399999999999</v>
      </c>
      <c r="G5" s="61">
        <f>IF(FT!B5&lt;&gt;"",FT!B5*100,"")</f>
        <v>58.913800000000002</v>
      </c>
      <c r="H5" s="61">
        <f t="shared" si="1"/>
        <v>1</v>
      </c>
      <c r="I5" t="str">
        <f>IF(FT!B5&lt;&gt;"",FT!E5,"")</f>
        <v>1 [1.217787]</v>
      </c>
      <c r="J5">
        <f>IF(FT!B5&lt;&gt;"",FT!C5,"")</f>
        <v>1.2177899999999999</v>
      </c>
      <c r="K5" t="s">
        <v>53</v>
      </c>
      <c r="L5" s="63">
        <f ca="1">MIN(FT_E)</f>
        <v>2.0060700000000002</v>
      </c>
      <c r="M5" s="63">
        <f ca="1">ROUND(L5,1)</f>
        <v>2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47.797032432432438</v>
      </c>
      <c r="V5">
        <f ca="1">V3*100</f>
        <v>43.357281081081091</v>
      </c>
      <c r="W5">
        <f ca="1">W3*10</f>
        <v>2.6616813513513509</v>
      </c>
      <c r="X5">
        <f ca="1">X3*10</f>
        <v>2.6561070270270277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2.2004199999999998</v>
      </c>
      <c r="G6" s="61">
        <f>IF(FT!B6&lt;&gt;"",FT!B6*100,"")</f>
        <v>58.805900000000001</v>
      </c>
      <c r="H6" s="61">
        <f t="shared" si="1"/>
        <v>1</v>
      </c>
      <c r="I6" t="str">
        <f>IF(FT!B6&lt;&gt;"",FT!E6,"")</f>
        <v>1 [1.618671]</v>
      </c>
      <c r="J6">
        <f>IF(FT!B6&lt;&gt;"",FT!C6,"")</f>
        <v>1.6186700000000001</v>
      </c>
      <c r="K6" t="s">
        <v>54</v>
      </c>
      <c r="L6" s="63">
        <f ca="1">MAX(FT_E)</f>
        <v>3.0165500000000001</v>
      </c>
      <c r="M6" s="63">
        <f ca="1">ROUND(L6,1)</f>
        <v>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2.2451499999999998</v>
      </c>
      <c r="G7" s="61">
        <f>IF(FT!B7&lt;&gt;"",FT!B7*100,"")</f>
        <v>58.656399999999998</v>
      </c>
      <c r="H7" s="61">
        <f t="shared" si="1"/>
        <v>1</v>
      </c>
      <c r="I7" t="str">
        <f>IF(FT!B7&lt;&gt;"",FT!E7,"")</f>
        <v>1 [2.028643]</v>
      </c>
      <c r="J7">
        <f>IF(FT!B7&lt;&gt;"",FT!C7,"")</f>
        <v>2.0286400000000002</v>
      </c>
      <c r="K7" t="s">
        <v>55</v>
      </c>
      <c r="L7" s="63">
        <f ca="1">MIN(FT_PH)</f>
        <v>38.300200000000004</v>
      </c>
      <c r="M7" s="63">
        <f ca="1">ROUND(L7,1)</f>
        <v>38.299999999999997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11675</v>
      </c>
      <c r="D8" s="61">
        <f>FH!B8*1</f>
        <v>11675</v>
      </c>
      <c r="E8">
        <f t="shared" si="3"/>
        <v>6</v>
      </c>
      <c r="F8" s="61">
        <f>IF(FT!A8&lt;&gt;"",FT!A8*10,"")</f>
        <v>2.2882500000000001</v>
      </c>
      <c r="G8" s="61">
        <f>IF(FT!B8&lt;&gt;"",FT!B8*100,"")</f>
        <v>58.457400000000007</v>
      </c>
      <c r="H8" s="61">
        <f t="shared" si="1"/>
        <v>1</v>
      </c>
      <c r="I8" t="str">
        <f>IF(FT!B8&lt;&gt;"",FT!E8,"")</f>
        <v>1 [2.436764]</v>
      </c>
      <c r="J8">
        <f>IF(FT!B8&lt;&gt;"",FT!C8,"")</f>
        <v>2.43676</v>
      </c>
      <c r="K8" t="s">
        <v>56</v>
      </c>
      <c r="L8" s="63">
        <f ca="1">MAX(FT_PH)</f>
        <v>58.913800000000002</v>
      </c>
      <c r="M8" s="63">
        <f ca="1">ROUND(L8,1)</f>
        <v>58.9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2.3325499999999999</v>
      </c>
      <c r="G9" s="61">
        <f>IF(FT!B9&lt;&gt;"",FT!B9*100,"")</f>
        <v>58.191199999999995</v>
      </c>
      <c r="H9" s="61">
        <f t="shared" si="1"/>
        <v>1</v>
      </c>
      <c r="I9" t="str">
        <f>IF(FT!B9&lt;&gt;"",FT!E9,"")</f>
        <v>1 [2.842342]</v>
      </c>
      <c r="J9">
        <f>IF(FT!B9&lt;&gt;"",FT!C9,"")</f>
        <v>2.8423400000000001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16237</v>
      </c>
      <c r="D10" s="61">
        <f>FH!B10*1</f>
        <v>16237</v>
      </c>
      <c r="E10">
        <f t="shared" si="3"/>
        <v>8</v>
      </c>
      <c r="F10" s="61">
        <f>IF(FT!A10&lt;&gt;"",FT!A10*10,"")</f>
        <v>2.3752999999999997</v>
      </c>
      <c r="G10" s="61">
        <f>IF(FT!B10&lt;&gt;"",FT!B10*100,"")</f>
        <v>57.909500000000001</v>
      </c>
      <c r="H10" s="61">
        <f t="shared" si="1"/>
        <v>1</v>
      </c>
      <c r="I10" t="str">
        <f>IF(FT!B10&lt;&gt;"",FT!E10,"")</f>
        <v>1 [3.248249]</v>
      </c>
      <c r="J10">
        <f>IF(FT!B10&lt;&gt;"",FT!C10,"")</f>
        <v>3.2482500000000001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2.4167299999999998</v>
      </c>
      <c r="G11" s="61">
        <f>IF(FT!B11&lt;&gt;"",FT!B11*100,"")</f>
        <v>57.615799999999993</v>
      </c>
      <c r="H11" s="61">
        <f t="shared" si="1"/>
        <v>1</v>
      </c>
      <c r="I11" t="str">
        <f>IF(FT!B11&lt;&gt;"",FT!E11,"")</f>
        <v>1 [3.654471]</v>
      </c>
      <c r="J11">
        <f>IF(FT!B11&lt;&gt;"",FT!C11,"")</f>
        <v>3.6544699999999999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2.4558800000000001</v>
      </c>
      <c r="G12" s="61">
        <f>IF(FT!B12&lt;&gt;"",FT!B12*100,"")</f>
        <v>57.244300000000003</v>
      </c>
      <c r="H12" s="61">
        <f t="shared" si="1"/>
        <v>1</v>
      </c>
      <c r="I12" t="str">
        <f>IF(FT!B12&lt;&gt;"",FT!E12,"")</f>
        <v>1 [4.059351]</v>
      </c>
      <c r="J12">
        <f>IF(FT!B12&lt;&gt;"",FT!C12,"")</f>
        <v>4.0593500000000002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27379</v>
      </c>
      <c r="D13" s="61">
        <f>FH!B13*1</f>
        <v>27379</v>
      </c>
      <c r="E13">
        <f t="shared" si="3"/>
        <v>11</v>
      </c>
      <c r="F13" s="61">
        <f>IF(FT!A13&lt;&gt;"",FT!A13*10,"")</f>
        <v>2.4920900000000001</v>
      </c>
      <c r="G13" s="61">
        <f>IF(FT!B13&lt;&gt;"",FT!B13*100,"")</f>
        <v>56.792200000000001</v>
      </c>
      <c r="H13" s="61">
        <f t="shared" si="1"/>
        <v>1</v>
      </c>
      <c r="I13" t="str">
        <f>IF(FT!B13&lt;&gt;"",FT!E13,"")</f>
        <v>1 [4.464105]</v>
      </c>
      <c r="J13">
        <f>IF(FT!B13&lt;&gt;"",FT!C13,"")</f>
        <v>4.4641000000000002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2.52718</v>
      </c>
      <c r="G14" s="61">
        <f>IF(FT!B14&lt;&gt;"",FT!B14*100,"")</f>
        <v>56.319300000000005</v>
      </c>
      <c r="H14" s="61">
        <f t="shared" si="1"/>
        <v>1</v>
      </c>
      <c r="I14" t="str">
        <f>IF(FT!B14&lt;&gt;"",FT!E14,"")</f>
        <v>1 [4.876974]</v>
      </c>
      <c r="J14">
        <f>IF(FT!B14&lt;&gt;"",FT!C14,"")</f>
        <v>4.87697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44354</v>
      </c>
      <c r="D15" s="61">
        <f>FH!B15*1</f>
        <v>44354</v>
      </c>
      <c r="E15">
        <f t="shared" si="3"/>
        <v>13</v>
      </c>
      <c r="F15" s="61">
        <f>IF(FT!A15&lt;&gt;"",FT!A15*10,"")</f>
        <v>2.5619199999999998</v>
      </c>
      <c r="G15" s="61">
        <f>IF(FT!B15&lt;&gt;"",FT!B15*100,"")</f>
        <v>55.863500000000002</v>
      </c>
      <c r="H15" s="61">
        <f t="shared" si="1"/>
        <v>1</v>
      </c>
      <c r="I15" t="str">
        <f>IF(FT!B15&lt;&gt;"",FT!E15,"")</f>
        <v>1 [5.278851]</v>
      </c>
      <c r="J15">
        <f>IF(FT!B15&lt;&gt;"",FT!C15,"")</f>
        <v>5.2788500000000003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2.59497</v>
      </c>
      <c r="G16" s="61">
        <f>IF(FT!B16&lt;&gt;"",FT!B16*100,"")</f>
        <v>55.356499999999997</v>
      </c>
      <c r="H16" s="61">
        <f t="shared" si="1"/>
        <v>1</v>
      </c>
      <c r="I16" t="str">
        <f>IF(FT!B16&lt;&gt;"",FT!E16,"")</f>
        <v>1 [5.684746]</v>
      </c>
      <c r="J16">
        <f>IF(FT!B16&lt;&gt;"",FT!C16,"")</f>
        <v>5.6847500000000002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2.6278600000000001</v>
      </c>
      <c r="G17" s="61">
        <f>IF(FT!B17&lt;&gt;"",FT!B17*100,"")</f>
        <v>54.800899999999999</v>
      </c>
      <c r="H17" s="61">
        <f t="shared" si="1"/>
        <v>1</v>
      </c>
      <c r="I17" t="str">
        <f>IF(FT!B17&lt;&gt;"",FT!E17,"")</f>
        <v>1 [6.092176]</v>
      </c>
      <c r="J17">
        <f>IF(FT!B17&lt;&gt;"",FT!C17,"")</f>
        <v>6.0921799999999999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36506</v>
      </c>
      <c r="D18" s="61">
        <f>FH!B18*1</f>
        <v>36506</v>
      </c>
      <c r="E18">
        <f t="shared" si="3"/>
        <v>16</v>
      </c>
      <c r="F18" s="61">
        <f>IF(FT!A18&lt;&gt;"",FT!A18*10,"")</f>
        <v>2.6584099999999999</v>
      </c>
      <c r="G18" s="61">
        <f>IF(FT!B18&lt;&gt;"",FT!B18*100,"")</f>
        <v>54.145800000000001</v>
      </c>
      <c r="H18" s="61">
        <f t="shared" si="1"/>
        <v>1</v>
      </c>
      <c r="I18" t="str">
        <f>IF(FT!B18&lt;&gt;"",FT!E18,"")</f>
        <v>1 [6.495866]</v>
      </c>
      <c r="J18">
        <f>IF(FT!B18&lt;&gt;"",FT!C18,"")</f>
        <v>6.49587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2.6867900000000002</v>
      </c>
      <c r="G19" s="61">
        <f>IF(FT!B19&lt;&gt;"",FT!B19*100,"")</f>
        <v>53.509599999999999</v>
      </c>
      <c r="H19" s="61">
        <f t="shared" si="1"/>
        <v>1</v>
      </c>
      <c r="I19" t="str">
        <f>IF(FT!B19&lt;&gt;"",FT!E19,"")</f>
        <v>1 [6.905679]</v>
      </c>
      <c r="J19">
        <f>IF(FT!B19&lt;&gt;"",FT!C19,"")</f>
        <v>6.9056800000000003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2.7155200000000002</v>
      </c>
      <c r="G20" s="61">
        <f>IF(FT!B20&lt;&gt;"",FT!B20*100,"")</f>
        <v>52.889800000000001</v>
      </c>
      <c r="H20" s="61">
        <f t="shared" si="1"/>
        <v>1</v>
      </c>
      <c r="I20" t="str">
        <f>IF(FT!B20&lt;&gt;"",FT!E20,"")</f>
        <v>1 [7.313339]</v>
      </c>
      <c r="J20">
        <f>IF(FT!B20&lt;&gt;"",FT!C20,"")</f>
        <v>7.3133400000000002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36499</v>
      </c>
      <c r="D21" s="61">
        <f>FH!B21*1</f>
        <v>36499</v>
      </c>
      <c r="E21">
        <f t="shared" si="3"/>
        <v>19</v>
      </c>
      <c r="F21" s="61">
        <f>IF(FT!A21&lt;&gt;"",FT!A21*10,"")</f>
        <v>2.7388499999999998</v>
      </c>
      <c r="G21" s="61">
        <f>IF(FT!B21&lt;&gt;"",FT!B21*100,"")</f>
        <v>52.325000000000003</v>
      </c>
      <c r="H21" s="61">
        <f t="shared" si="1"/>
        <v>1</v>
      </c>
      <c r="I21" t="str">
        <f>IF(FT!B21&lt;&gt;"",FT!E21,"")</f>
        <v>1 [7.717285]</v>
      </c>
      <c r="J21">
        <f>IF(FT!B21&lt;&gt;"",FT!C21,"")</f>
        <v>7.7172799999999997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2.7595799999999997</v>
      </c>
      <c r="G22" s="61">
        <f>IF(FT!B22&lt;&gt;"",FT!B22*100,"")</f>
        <v>51.806700000000006</v>
      </c>
      <c r="H22" s="61">
        <f t="shared" si="1"/>
        <v>1</v>
      </c>
      <c r="I22" t="str">
        <f>IF(FT!B22&lt;&gt;"",FT!E22,"")</f>
        <v>1 [8.120494]</v>
      </c>
      <c r="J22">
        <f>IF(FT!B22&lt;&gt;"",FT!C22,"")</f>
        <v>8.1204900000000002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47102</v>
      </c>
      <c r="D23" s="61">
        <f>FH!B23*1</f>
        <v>47102</v>
      </c>
      <c r="E23">
        <f t="shared" si="3"/>
        <v>21</v>
      </c>
      <c r="F23" s="61">
        <f>IF(FT!A23&lt;&gt;"",FT!A23*10,"")</f>
        <v>2.7774799999999997</v>
      </c>
      <c r="G23" s="61">
        <f>IF(FT!B23&lt;&gt;"",FT!B23*100,"")</f>
        <v>51.292499999999997</v>
      </c>
      <c r="H23" s="61">
        <f t="shared" si="1"/>
        <v>1</v>
      </c>
      <c r="I23" t="str">
        <f>IF(FT!B23&lt;&gt;"",FT!E23,"")</f>
        <v>1 [8.528238]</v>
      </c>
      <c r="J23">
        <f>IF(FT!B23&lt;&gt;"",FT!C23,"")</f>
        <v>8.5282400000000003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2.7929599999999999</v>
      </c>
      <c r="G24" s="61">
        <f>IF(FT!B24&lt;&gt;"",FT!B24*100,"")</f>
        <v>50.795400000000001</v>
      </c>
      <c r="H24" s="61">
        <f t="shared" si="1"/>
        <v>1</v>
      </c>
      <c r="I24" t="str">
        <f>IF(FT!B24&lt;&gt;"",FT!E24,"")</f>
        <v>1 [8.937195]</v>
      </c>
      <c r="J24">
        <f>IF(FT!B24&lt;&gt;"",FT!C24,"")</f>
        <v>8.9371899999999993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2.8045199999999997</v>
      </c>
      <c r="G25" s="61">
        <f>IF(FT!B25&lt;&gt;"",FT!B25*100,"")</f>
        <v>50.328300000000006</v>
      </c>
      <c r="H25" s="61">
        <f t="shared" si="1"/>
        <v>1</v>
      </c>
      <c r="I25" t="str">
        <f>IF(FT!B25&lt;&gt;"",FT!E25,"")</f>
        <v>1 [9.339105]</v>
      </c>
      <c r="J25">
        <f>IF(FT!B25&lt;&gt;"",FT!C25,"")</f>
        <v>9.3391000000000002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50556</v>
      </c>
      <c r="D26" s="61">
        <f>FH!B26*1</f>
        <v>50556</v>
      </c>
      <c r="E26">
        <f t="shared" si="3"/>
        <v>24</v>
      </c>
      <c r="F26" s="61">
        <f>IF(FT!A26&lt;&gt;"",FT!A26*10,"")</f>
        <v>2.8145100000000003</v>
      </c>
      <c r="G26" s="61">
        <f>IF(FT!B26&lt;&gt;"",FT!B26*100,"")</f>
        <v>49.847299999999997</v>
      </c>
      <c r="H26" s="61">
        <f t="shared" si="1"/>
        <v>1</v>
      </c>
      <c r="I26" t="str">
        <f>IF(FT!B26&lt;&gt;"",FT!E26,"")</f>
        <v>1 [9.749867]</v>
      </c>
      <c r="J26">
        <f>IF(FT!B26&lt;&gt;"",FT!C26,"")</f>
        <v>9.7498699999999996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2.81907</v>
      </c>
      <c r="G27" s="61">
        <f>IF(FT!B27&lt;&gt;"",FT!B27*100,"")</f>
        <v>49.384</v>
      </c>
      <c r="H27" s="61">
        <f t="shared" si="1"/>
        <v>1</v>
      </c>
      <c r="I27" t="str">
        <f>IF(FT!B27&lt;&gt;"",FT!E27,"")</f>
        <v>1 [10.152883]</v>
      </c>
      <c r="J27">
        <f>IF(FT!B27&lt;&gt;"",FT!C27,"")</f>
        <v>10.152900000000001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52143</v>
      </c>
      <c r="D28" s="61">
        <f>FH!B28*1</f>
        <v>52143</v>
      </c>
      <c r="E28">
        <f t="shared" si="3"/>
        <v>26</v>
      </c>
      <c r="F28" s="61">
        <f>IF(FT!A28&lt;&gt;"",FT!A28*10,"")</f>
        <v>2.82036</v>
      </c>
      <c r="G28" s="61">
        <f>IF(FT!B28&lt;&gt;"",FT!B28*100,"")</f>
        <v>48.936600000000006</v>
      </c>
      <c r="H28" s="61">
        <f t="shared" si="1"/>
        <v>1</v>
      </c>
      <c r="I28" t="str">
        <f>IF(FT!B28&lt;&gt;"",FT!E28,"")</f>
        <v>1 [10.557945]</v>
      </c>
      <c r="J28">
        <f>IF(FT!B28&lt;&gt;"",FT!C28,"")</f>
        <v>10.5579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2.8218800000000002</v>
      </c>
      <c r="G29" s="61">
        <f>IF(FT!B29&lt;&gt;"",FT!B29*100,"")</f>
        <v>48.469200000000001</v>
      </c>
      <c r="H29" s="61">
        <f t="shared" si="1"/>
        <v>1</v>
      </c>
      <c r="I29" t="str">
        <f>IF(FT!B29&lt;&gt;"",FT!E29,"")</f>
        <v>1 [10.964672]</v>
      </c>
      <c r="J29">
        <f>IF(FT!B29&lt;&gt;"",FT!C29,"")</f>
        <v>10.964700000000001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2.8199400000000003</v>
      </c>
      <c r="G30" s="61">
        <f>IF(FT!B30&lt;&gt;"",FT!B30*100,"")</f>
        <v>48.007300000000001</v>
      </c>
      <c r="H30" s="61">
        <f t="shared" si="1"/>
        <v>1</v>
      </c>
      <c r="I30" t="str">
        <f>IF(FT!B30&lt;&gt;"",FT!E30,"")</f>
        <v>1 [11.376513]</v>
      </c>
      <c r="J30">
        <f>IF(FT!B30&lt;&gt;"",FT!C30,"")</f>
        <v>11.3765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65648</v>
      </c>
      <c r="D31" s="61">
        <f>FH!B31*1</f>
        <v>65648</v>
      </c>
      <c r="E31">
        <f t="shared" si="3"/>
        <v>29</v>
      </c>
      <c r="F31" s="61">
        <f>IF(FT!A31&lt;&gt;"",FT!A31*10,"")</f>
        <v>2.8131599999999999</v>
      </c>
      <c r="G31" s="61">
        <f>IF(FT!B31&lt;&gt;"",FT!B31*100,"")</f>
        <v>47.589799999999997</v>
      </c>
      <c r="H31" s="61">
        <f t="shared" si="1"/>
        <v>1</v>
      </c>
      <c r="I31" t="str">
        <f>IF(FT!B31&lt;&gt;"",FT!E31,"")</f>
        <v>1 [11.778468]</v>
      </c>
      <c r="J31">
        <f>IF(FT!B31&lt;&gt;"",FT!C31,"")</f>
        <v>11.778499999999999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2.8029700000000002</v>
      </c>
      <c r="G32" s="61">
        <f>IF(FT!B32&lt;&gt;"",FT!B32*100,"")</f>
        <v>47.255299999999998</v>
      </c>
      <c r="H32" s="61">
        <f t="shared" si="1"/>
        <v>1</v>
      </c>
      <c r="I32" t="str">
        <f>IF(FT!B32&lt;&gt;"",FT!E32,"")</f>
        <v>1 [12.183349]</v>
      </c>
      <c r="J32">
        <f>IF(FT!B32&lt;&gt;"",FT!C32,"")</f>
        <v>12.183299999999999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78403</v>
      </c>
      <c r="D33" s="61">
        <f>FH!B33*1</f>
        <v>78403</v>
      </c>
      <c r="E33">
        <f t="shared" si="3"/>
        <v>31</v>
      </c>
      <c r="F33" s="61">
        <f>IF(FT!A33&lt;&gt;"",FT!A33*10,"")</f>
        <v>2.7915299999999998</v>
      </c>
      <c r="G33" s="61">
        <f>IF(FT!B33&lt;&gt;"",FT!B33*100,"")</f>
        <v>46.9497</v>
      </c>
      <c r="H33" s="61">
        <f t="shared" si="1"/>
        <v>1</v>
      </c>
      <c r="I33" t="str">
        <f>IF(FT!B33&lt;&gt;"",FT!E33,"")</f>
        <v>1 [12.590608]</v>
      </c>
      <c r="J33">
        <f>IF(FT!B33&lt;&gt;"",FT!C33,"")</f>
        <v>12.5906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2.77895</v>
      </c>
      <c r="G34" s="61">
        <f>IF(FT!B34&lt;&gt;"",FT!B34*100,"")</f>
        <v>46.6464</v>
      </c>
      <c r="H34" s="61">
        <f t="shared" si="1"/>
        <v>1</v>
      </c>
      <c r="I34" t="str">
        <f>IF(FT!B34&lt;&gt;"",FT!E34,"")</f>
        <v>1 [12.998139]</v>
      </c>
      <c r="J34">
        <f>IF(FT!B34&lt;&gt;"",FT!C34,"")</f>
        <v>12.998100000000001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2.7657599999999998</v>
      </c>
      <c r="G35" s="61">
        <f>IF(FT!B35&lt;&gt;"",FT!B35*100,"")</f>
        <v>46.314399999999999</v>
      </c>
      <c r="H35" s="61">
        <f t="shared" si="1"/>
        <v>1</v>
      </c>
      <c r="I35" t="str">
        <f>IF(FT!B35&lt;&gt;"",FT!E35,"")</f>
        <v>1 [13.405150]</v>
      </c>
      <c r="J35">
        <f>IF(FT!B35&lt;&gt;"",FT!C35,"")</f>
        <v>13.405099999999999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78345</v>
      </c>
      <c r="D36" s="61">
        <f>FH!B36*1</f>
        <v>78345</v>
      </c>
      <c r="E36">
        <f t="shared" si="3"/>
        <v>34</v>
      </c>
      <c r="F36" s="61">
        <f>IF(FT!A36&lt;&gt;"",FT!A36*10,"")</f>
        <v>2.75352</v>
      </c>
      <c r="G36" s="61">
        <f>IF(FT!B36&lt;&gt;"",FT!B36*100,"")</f>
        <v>46.000799999999998</v>
      </c>
      <c r="H36" s="61">
        <f t="shared" si="1"/>
        <v>1</v>
      </c>
      <c r="I36" t="str">
        <f>IF(FT!B36&lt;&gt;"",FT!E36,"")</f>
        <v>1 [13.811982]</v>
      </c>
      <c r="J36">
        <f>IF(FT!B36&lt;&gt;"",FT!C36,"")</f>
        <v>13.811999999999999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2.7402500000000001</v>
      </c>
      <c r="G37" s="61">
        <f>IF(FT!B37&lt;&gt;"",FT!B37*100,"")</f>
        <v>45.7896</v>
      </c>
      <c r="H37" s="61">
        <f t="shared" si="1"/>
        <v>1</v>
      </c>
      <c r="I37" t="str">
        <f>IF(FT!B37&lt;&gt;"",FT!E37,"")</f>
        <v>1 [14.214867]</v>
      </c>
      <c r="J37">
        <f>IF(FT!B37&lt;&gt;"",FT!C37,"")</f>
        <v>14.2149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2.7265299999999999</v>
      </c>
      <c r="G38" s="61">
        <f>IF(FT!B38&lt;&gt;"",FT!B38*100,"")</f>
        <v>45.644400000000005</v>
      </c>
      <c r="H38" s="61">
        <f t="shared" si="1"/>
        <v>1</v>
      </c>
      <c r="I38" t="str">
        <f>IF(FT!B38&lt;&gt;"",FT!E38,"")</f>
        <v>1 [14.623185]</v>
      </c>
      <c r="J38">
        <f>IF(FT!B38&lt;&gt;"",FT!C38,"")</f>
        <v>14.623200000000001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88496</v>
      </c>
      <c r="D39" s="61">
        <f>FH!B39*1</f>
        <v>88496</v>
      </c>
      <c r="E39">
        <f t="shared" si="3"/>
        <v>37</v>
      </c>
      <c r="F39" s="61">
        <f>IF(FT!A39&lt;&gt;"",FT!A39*10,"")</f>
        <v>2.7134499999999999</v>
      </c>
      <c r="G39" s="61">
        <f>IF(FT!B39&lt;&gt;"",FT!B39*100,"")</f>
        <v>45.509599999999999</v>
      </c>
      <c r="H39" s="61">
        <f t="shared" si="1"/>
        <v>1</v>
      </c>
      <c r="I39" t="str">
        <f>IF(FT!B39&lt;&gt;"",FT!E39,"")</f>
        <v>1 [15.028735]</v>
      </c>
      <c r="J39">
        <f>IF(FT!B39&lt;&gt;"",FT!C39,"")</f>
        <v>15.028700000000001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2.7014800000000001</v>
      </c>
      <c r="G40" s="61">
        <f>IF(FT!B40&lt;&gt;"",FT!B40*100,"")</f>
        <v>45.390799999999999</v>
      </c>
      <c r="H40" s="61">
        <f t="shared" si="1"/>
        <v>1</v>
      </c>
      <c r="I40" t="str">
        <f>IF(FT!B40&lt;&gt;"",FT!E40,"")</f>
        <v>1 [15.434613]</v>
      </c>
      <c r="J40">
        <f>IF(FT!B40&lt;&gt;"",FT!C40,"")</f>
        <v>15.4346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87739</v>
      </c>
      <c r="D41" s="61">
        <f>FH!B41*1</f>
        <v>87739</v>
      </c>
      <c r="E41">
        <f t="shared" si="3"/>
        <v>39</v>
      </c>
      <c r="F41" s="61">
        <f>IF(FT!A41&lt;&gt;"",FT!A41*10,"")</f>
        <v>2.6889099999999999</v>
      </c>
      <c r="G41" s="61">
        <f>IF(FT!B41&lt;&gt;"",FT!B41*100,"")</f>
        <v>45.318100000000001</v>
      </c>
      <c r="H41" s="61">
        <f t="shared" si="1"/>
        <v>1</v>
      </c>
      <c r="I41" t="str">
        <f>IF(FT!B41&lt;&gt;"",FT!E41,"")</f>
        <v>1 [15.842557]</v>
      </c>
      <c r="J41">
        <f>IF(FT!B41&lt;&gt;"",FT!C41,"")</f>
        <v>15.842599999999999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2.6766899999999998</v>
      </c>
      <c r="G42" s="61">
        <f>IF(FT!B42&lt;&gt;"",FT!B42*100,"")</f>
        <v>45.285599999999995</v>
      </c>
      <c r="H42" s="61">
        <f t="shared" si="1"/>
        <v>1</v>
      </c>
      <c r="I42" t="str">
        <f>IF(FT!B42&lt;&gt;"",FT!E42,"")</f>
        <v>1 [16.245593]</v>
      </c>
      <c r="J42">
        <f>IF(FT!B42&lt;&gt;"",FT!C42,"")</f>
        <v>16.2456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2.6630700000000003</v>
      </c>
      <c r="G43" s="61">
        <f>IF(FT!B43&lt;&gt;"",FT!B43*100,"")</f>
        <v>45.310699999999997</v>
      </c>
      <c r="H43" s="61">
        <f t="shared" si="1"/>
        <v>1</v>
      </c>
      <c r="I43" t="str">
        <f>IF(FT!B43&lt;&gt;"",FT!E43,"")</f>
        <v>1 [16.652453]</v>
      </c>
      <c r="J43">
        <f>IF(FT!B43&lt;&gt;"",FT!C43,"")</f>
        <v>16.6525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101042</v>
      </c>
      <c r="D44" s="61">
        <f>FH!B44*1</f>
        <v>101042</v>
      </c>
      <c r="E44">
        <f t="shared" si="3"/>
        <v>42</v>
      </c>
      <c r="F44" s="61">
        <f>IF(FT!A44&lt;&gt;"",FT!A44*10,"")</f>
        <v>2.6501200000000003</v>
      </c>
      <c r="G44" s="61">
        <f>IF(FT!B44&lt;&gt;"",FT!B44*100,"")</f>
        <v>45.311500000000002</v>
      </c>
      <c r="H44" s="61">
        <f t="shared" si="1"/>
        <v>1</v>
      </c>
      <c r="I44" t="str">
        <f>IF(FT!B44&lt;&gt;"",FT!E44,"")</f>
        <v>1 [17.060291]</v>
      </c>
      <c r="J44">
        <f>IF(FT!B44&lt;&gt;"",FT!C44,"")</f>
        <v>17.060300000000002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2.6358700000000002</v>
      </c>
      <c r="G45" s="61">
        <f>IF(FT!B45&lt;&gt;"",FT!B45*100,"")</f>
        <v>45.3795</v>
      </c>
      <c r="H45" s="61">
        <f t="shared" si="1"/>
        <v>1</v>
      </c>
      <c r="I45" t="str">
        <f>IF(FT!B45&lt;&gt;"",FT!E45,"")</f>
        <v>1 [17.466214]</v>
      </c>
      <c r="J45">
        <f>IF(FT!B45&lt;&gt;"",FT!C45,"")</f>
        <v>17.466200000000001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114388</v>
      </c>
      <c r="D46" s="61">
        <f>FH!B46*1</f>
        <v>114388</v>
      </c>
      <c r="E46">
        <f t="shared" si="3"/>
        <v>44</v>
      </c>
      <c r="F46" s="61">
        <f>IF(FT!A46&lt;&gt;"",FT!A46*10,"")</f>
        <v>2.6245600000000002</v>
      </c>
      <c r="G46" s="61">
        <f>IF(FT!B46&lt;&gt;"",FT!B46*100,"")</f>
        <v>45.3917</v>
      </c>
      <c r="H46" s="61">
        <f t="shared" si="1"/>
        <v>1</v>
      </c>
      <c r="I46" t="str">
        <f>IF(FT!B46&lt;&gt;"",FT!E46,"")</f>
        <v>1 [17.869161]</v>
      </c>
      <c r="J46">
        <f>IF(FT!B46&lt;&gt;"",FT!C46,"")</f>
        <v>17.869199999999999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2.6167800000000003</v>
      </c>
      <c r="G47" s="61">
        <f>IF(FT!B47&lt;&gt;"",FT!B47*100,"")</f>
        <v>45.342300000000002</v>
      </c>
      <c r="H47" s="61">
        <f t="shared" si="1"/>
        <v>1</v>
      </c>
      <c r="I47" t="str">
        <f>IF(FT!B47&lt;&gt;"",FT!E47,"")</f>
        <v>1 [18.280007]</v>
      </c>
      <c r="J47">
        <f>IF(FT!B47&lt;&gt;"",FT!C47,"")</f>
        <v>18.28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2.6117699999999999</v>
      </c>
      <c r="G48" s="61">
        <f>IF(FT!B48&lt;&gt;"",FT!B48*100,"")</f>
        <v>45.276899999999998</v>
      </c>
      <c r="H48" s="61">
        <f t="shared" si="1"/>
        <v>1</v>
      </c>
      <c r="I48" t="str">
        <f>IF(FT!B48&lt;&gt;"",FT!E48,"")</f>
        <v>1 [18.691957]</v>
      </c>
      <c r="J48">
        <f>IF(FT!B48&lt;&gt;"",FT!C48,"")</f>
        <v>18.692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107772</v>
      </c>
      <c r="D49" s="61">
        <f>FH!B49*1</f>
        <v>107772</v>
      </c>
      <c r="E49">
        <f t="shared" si="3"/>
        <v>47</v>
      </c>
      <c r="F49" s="61">
        <f>IF(FT!A49&lt;&gt;"",FT!A49*10,"")</f>
        <v>2.60968</v>
      </c>
      <c r="G49" s="61">
        <f>IF(FT!B49&lt;&gt;"",FT!B49*100,"")</f>
        <v>45.173999999999999</v>
      </c>
      <c r="H49" s="61">
        <f t="shared" si="1"/>
        <v>1</v>
      </c>
      <c r="I49" t="str">
        <f>IF(FT!B49&lt;&gt;"",FT!E49,"")</f>
        <v>1 [19.090868]</v>
      </c>
      <c r="J49">
        <f>IF(FT!B49&lt;&gt;"",FT!C49,"")</f>
        <v>19.090900000000001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2.61212</v>
      </c>
      <c r="G50" s="61">
        <f>IF(FT!B50&lt;&gt;"",FT!B50*100,"")</f>
        <v>45.009900000000002</v>
      </c>
      <c r="H50" s="61">
        <f t="shared" si="1"/>
        <v>1</v>
      </c>
      <c r="I50" t="str">
        <f>IF(FT!B50&lt;&gt;"",FT!E50,"")</f>
        <v>1 [19.496852]</v>
      </c>
      <c r="J50">
        <f>IF(FT!B50&lt;&gt;"",FT!C50,"")</f>
        <v>19.4969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122789</v>
      </c>
      <c r="D51" s="61">
        <f>FH!B51*1</f>
        <v>122789</v>
      </c>
      <c r="E51">
        <f t="shared" si="3"/>
        <v>49</v>
      </c>
      <c r="F51" s="61">
        <f>IF(FT!A51&lt;&gt;"",FT!A51*10,"")</f>
        <v>2.6177600000000001</v>
      </c>
      <c r="G51" s="61">
        <f>IF(FT!B51&lt;&gt;"",FT!B51*100,"")</f>
        <v>44.791799999999995</v>
      </c>
      <c r="H51" s="61">
        <f t="shared" si="1"/>
        <v>1</v>
      </c>
      <c r="I51" t="str">
        <f>IF(FT!B51&lt;&gt;"",FT!E51,"")</f>
        <v>1 [19.906219]</v>
      </c>
      <c r="J51">
        <f>IF(FT!B51&lt;&gt;"",FT!C51,"")</f>
        <v>19.906199999999998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2.6270199999999999</v>
      </c>
      <c r="G52" s="61">
        <f>IF(FT!B52&lt;&gt;"",FT!B52*100,"")</f>
        <v>44.502399999999994</v>
      </c>
      <c r="H52" s="61">
        <f t="shared" si="1"/>
        <v>1</v>
      </c>
      <c r="I52" t="str">
        <f>IF(FT!B52&lt;&gt;"",FT!E52,"")</f>
        <v>1 [20.312601]</v>
      </c>
      <c r="J52">
        <f>IF(FT!B52&lt;&gt;"",FT!C52,"")</f>
        <v>20.3126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2.6407500000000002</v>
      </c>
      <c r="G53" s="61">
        <f>IF(FT!B53&lt;&gt;"",FT!B53*100,"")</f>
        <v>44.106200000000001</v>
      </c>
      <c r="H53" s="61">
        <f t="shared" si="1"/>
        <v>1</v>
      </c>
      <c r="I53" t="str">
        <f>IF(FT!B53&lt;&gt;"",FT!E53,"")</f>
        <v>1 [20.718559]</v>
      </c>
      <c r="J53">
        <f>IF(FT!B53&lt;&gt;"",FT!C53,"")</f>
        <v>20.718599999999999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133986</v>
      </c>
      <c r="D54" s="61">
        <f>FH!B54*1</f>
        <v>133986</v>
      </c>
      <c r="E54">
        <f t="shared" si="3"/>
        <v>52</v>
      </c>
      <c r="F54" s="61">
        <f>IF(FT!A54&lt;&gt;"",FT!A54*10,"")</f>
        <v>2.6561600000000003</v>
      </c>
      <c r="G54" s="61">
        <f>IF(FT!B54&lt;&gt;"",FT!B54*100,"")</f>
        <v>43.675899999999999</v>
      </c>
      <c r="H54" s="61">
        <f t="shared" si="1"/>
        <v>1</v>
      </c>
      <c r="I54" t="str">
        <f>IF(FT!B54&lt;&gt;"",FT!E54,"")</f>
        <v>1 [21.122417]</v>
      </c>
      <c r="J54">
        <f>IF(FT!B54&lt;&gt;"",FT!C54,"")</f>
        <v>21.122399999999999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2.6760800000000002</v>
      </c>
      <c r="G55" s="61">
        <f>IF(FT!B55&lt;&gt;"",FT!B55*100,"")</f>
        <v>43.226199999999999</v>
      </c>
      <c r="H55" s="61">
        <f t="shared" si="1"/>
        <v>1</v>
      </c>
      <c r="I55" t="str">
        <f>IF(FT!B55&lt;&gt;"",FT!E55,"")</f>
        <v>1 [21.527351]</v>
      </c>
      <c r="J55">
        <f>IF(FT!B55&lt;&gt;"",FT!C55,"")</f>
        <v>21.5274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2.69631</v>
      </c>
      <c r="G56" s="61">
        <f>IF(FT!B56&lt;&gt;"",FT!B56*100,"")</f>
        <v>42.872500000000002</v>
      </c>
      <c r="H56" s="61">
        <f t="shared" si="1"/>
        <v>1</v>
      </c>
      <c r="I56" t="str">
        <f>IF(FT!B56&lt;&gt;"",FT!E56,"")</f>
        <v>1 [21.934706]</v>
      </c>
      <c r="J56">
        <f>IF(FT!B56&lt;&gt;"",FT!C56,"")</f>
        <v>21.934699999999999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130302</v>
      </c>
      <c r="D57" s="61">
        <f>FH!B57*1</f>
        <v>130302</v>
      </c>
      <c r="E57">
        <f t="shared" si="3"/>
        <v>55</v>
      </c>
      <c r="F57" s="61">
        <f>IF(FT!A57&lt;&gt;"",FT!A57*10,"")</f>
        <v>2.7153</v>
      </c>
      <c r="G57" s="61">
        <f>IF(FT!B57&lt;&gt;"",FT!B57*100,"")</f>
        <v>42.626899999999999</v>
      </c>
      <c r="H57" s="61">
        <f t="shared" si="1"/>
        <v>1</v>
      </c>
      <c r="I57" t="str">
        <f>IF(FT!B57&lt;&gt;"",FT!E57,"")</f>
        <v>1 [22.345226]</v>
      </c>
      <c r="J57">
        <f>IF(FT!B57&lt;&gt;"",FT!C57,"")</f>
        <v>22.345199999999998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2.7318199999999999</v>
      </c>
      <c r="G58" s="61">
        <f>IF(FT!B58&lt;&gt;"",FT!B58*100,"")</f>
        <v>42.513500000000001</v>
      </c>
      <c r="H58" s="61">
        <f t="shared" si="1"/>
        <v>1</v>
      </c>
      <c r="I58" t="str">
        <f>IF(FT!B58&lt;&gt;"",FT!E58,"")</f>
        <v>1 [22.748107]</v>
      </c>
      <c r="J58">
        <f>IF(FT!B58&lt;&gt;"",FT!C58,"")</f>
        <v>22.748100000000001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142945</v>
      </c>
      <c r="D59" s="61">
        <f>FH!B59*1</f>
        <v>142945</v>
      </c>
      <c r="E59">
        <f t="shared" si="3"/>
        <v>57</v>
      </c>
      <c r="F59" s="61">
        <f>IF(FT!A59&lt;&gt;"",FT!A59*10,"")</f>
        <v>2.7479300000000002</v>
      </c>
      <c r="G59" s="61">
        <f>IF(FT!B59&lt;&gt;"",FT!B59*100,"")</f>
        <v>42.4392</v>
      </c>
      <c r="H59" s="61">
        <f t="shared" si="1"/>
        <v>1</v>
      </c>
      <c r="I59" t="str">
        <f>IF(FT!B59&lt;&gt;"",FT!E59,"")</f>
        <v>1 [23.152008]</v>
      </c>
      <c r="J59">
        <f>IF(FT!B59&lt;&gt;"",FT!C59,"")</f>
        <v>23.152000000000001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2.7652399999999999</v>
      </c>
      <c r="G60" s="61">
        <f>IF(FT!B60&lt;&gt;"",FT!B60*100,"")</f>
        <v>42.339100000000002</v>
      </c>
      <c r="H60" s="61">
        <f t="shared" si="1"/>
        <v>1</v>
      </c>
      <c r="I60" t="str">
        <f>IF(FT!B60&lt;&gt;"",FT!E60,"")</f>
        <v>1 [23.558925]</v>
      </c>
      <c r="J60">
        <f>IF(FT!B60&lt;&gt;"",FT!C60,"")</f>
        <v>23.558900000000001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2.7822000000000005</v>
      </c>
      <c r="G61" s="61">
        <f>IF(FT!B61&lt;&gt;"",FT!B61*100,"")</f>
        <v>42.197699999999998</v>
      </c>
      <c r="H61" s="61">
        <f t="shared" si="1"/>
        <v>1</v>
      </c>
      <c r="I61" t="str">
        <f>IF(FT!B61&lt;&gt;"",FT!E61,"")</f>
        <v>1 [23.964935]</v>
      </c>
      <c r="J61">
        <f>IF(FT!B61&lt;&gt;"",FT!C61,"")</f>
        <v>23.9649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153957</v>
      </c>
      <c r="D62" s="61">
        <f>FH!B62*1</f>
        <v>153957</v>
      </c>
      <c r="E62">
        <f t="shared" si="3"/>
        <v>60</v>
      </c>
      <c r="F62" s="61">
        <f>IF(FT!A62&lt;&gt;"",FT!A62*10,"")</f>
        <v>2.8002599999999997</v>
      </c>
      <c r="G62" s="61">
        <f>IF(FT!B62&lt;&gt;"",FT!B62*100,"")</f>
        <v>41.936199999999999</v>
      </c>
      <c r="H62" s="61">
        <f t="shared" si="1"/>
        <v>1</v>
      </c>
      <c r="I62" t="str">
        <f>IF(FT!B62&lt;&gt;"",FT!E62,"")</f>
        <v>1 [24.371012]</v>
      </c>
      <c r="J62">
        <f>IF(FT!B62&lt;&gt;"",FT!C62,"")</f>
        <v>24.370999999999999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2.8171600000000003</v>
      </c>
      <c r="G63" s="61">
        <f>IF(FT!B63&lt;&gt;"",FT!B63*100,"")</f>
        <v>41.616599999999998</v>
      </c>
      <c r="H63" s="61">
        <f t="shared" si="1"/>
        <v>1</v>
      </c>
      <c r="I63" t="str">
        <f>IF(FT!B63&lt;&gt;"",FT!E63,"")</f>
        <v>1 [24.778706]</v>
      </c>
      <c r="J63">
        <f>IF(FT!B63&lt;&gt;"",FT!C63,"")</f>
        <v>24.778700000000001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145231</v>
      </c>
      <c r="D64" s="61">
        <f>FH!B64*1</f>
        <v>145231</v>
      </c>
      <c r="E64">
        <f t="shared" si="3"/>
        <v>62</v>
      </c>
      <c r="F64" s="61">
        <f>IF(FT!A64&lt;&gt;"",FT!A64*10,"")</f>
        <v>2.8317399999999999</v>
      </c>
      <c r="G64" s="61">
        <f>IF(FT!B64&lt;&gt;"",FT!B64*100,"")</f>
        <v>41.305300000000003</v>
      </c>
      <c r="H64" s="61">
        <f t="shared" si="1"/>
        <v>1</v>
      </c>
      <c r="I64" t="str">
        <f>IF(FT!B64&lt;&gt;"",FT!E64,"")</f>
        <v>1 [25.184589]</v>
      </c>
      <c r="J64">
        <f>IF(FT!B64&lt;&gt;"",FT!C64,"")</f>
        <v>25.1846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2.8447800000000001</v>
      </c>
      <c r="G65" s="61">
        <f>IF(FT!B65&lt;&gt;"",FT!B65*100,"")</f>
        <v>40.993499999999997</v>
      </c>
      <c r="H65" s="61">
        <f t="shared" si="1"/>
        <v>1</v>
      </c>
      <c r="I65" t="str">
        <f>IF(FT!B65&lt;&gt;"",FT!E65,"")</f>
        <v>1 [25.589518]</v>
      </c>
      <c r="J65">
        <f>IF(FT!B65&lt;&gt;"",FT!C65,"")</f>
        <v>25.589500000000001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2.85541</v>
      </c>
      <c r="G66" s="61">
        <f>IF(FT!B66&lt;&gt;"",FT!B66*100,"")</f>
        <v>40.746900000000004</v>
      </c>
      <c r="H66" s="61">
        <f t="shared" si="1"/>
        <v>1</v>
      </c>
      <c r="I66" t="str">
        <f>IF(FT!B66&lt;&gt;"",FT!E66,"")</f>
        <v>1 [25.996456]</v>
      </c>
      <c r="J66">
        <f>IF(FT!B66&lt;&gt;"",FT!C66,"")</f>
        <v>25.996500000000001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147080</v>
      </c>
      <c r="D67" s="61">
        <f>FH!B67*1</f>
        <v>147080</v>
      </c>
      <c r="E67">
        <f t="shared" si="3"/>
        <v>65</v>
      </c>
      <c r="F67" s="61">
        <f>IF(FT!A67&lt;&gt;"",FT!A67*10,"")</f>
        <v>2.8623799999999999</v>
      </c>
      <c r="G67" s="61">
        <f>IF(FT!B67&lt;&gt;"",FT!B67*100,"")</f>
        <v>40.527000000000001</v>
      </c>
      <c r="H67" s="61">
        <f t="shared" ref="H67:H130" si="9">(IF(F67&lt;&gt;"",1,""))</f>
        <v>1</v>
      </c>
      <c r="I67" t="str">
        <f>IF(FT!B67&lt;&gt;"",FT!E67,"")</f>
        <v>1 [26.406384]</v>
      </c>
      <c r="J67">
        <f>IF(FT!B67&lt;&gt;"",FT!C67,"")</f>
        <v>26.406400000000001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2.8666700000000001</v>
      </c>
      <c r="G68" s="61">
        <f>IF(FT!B68&lt;&gt;"",FT!B68*100,"")</f>
        <v>40.279699999999998</v>
      </c>
      <c r="H68" s="61">
        <f t="shared" si="9"/>
        <v>1</v>
      </c>
      <c r="I68" t="str">
        <f>IF(FT!B68&lt;&gt;"",FT!E68,"")</f>
        <v>1 [26.804635]</v>
      </c>
      <c r="J68">
        <f>IF(FT!B68&lt;&gt;"",FT!C68,"")</f>
        <v>26.804600000000001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152325</v>
      </c>
      <c r="D69" s="61">
        <f>FH!B69*1</f>
        <v>152325</v>
      </c>
      <c r="E69">
        <f t="shared" si="11"/>
        <v>67</v>
      </c>
      <c r="F69" s="61">
        <f>IF(FT!A69&lt;&gt;"",FT!A69*10,"")</f>
        <v>2.8684500000000002</v>
      </c>
      <c r="G69" s="61">
        <f>IF(FT!B69&lt;&gt;"",FT!B69*100,"")</f>
        <v>40.049099999999996</v>
      </c>
      <c r="H69" s="61">
        <f t="shared" si="9"/>
        <v>1</v>
      </c>
      <c r="I69" t="str">
        <f>IF(FT!B69&lt;&gt;"",FT!E69,"")</f>
        <v>1 [27.218116]</v>
      </c>
      <c r="J69">
        <f>IF(FT!B69&lt;&gt;"",FT!C69,"")</f>
        <v>27.2181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2.86815</v>
      </c>
      <c r="G70" s="61">
        <f>IF(FT!B70&lt;&gt;"",FT!B70*100,"")</f>
        <v>39.805600000000005</v>
      </c>
      <c r="H70" s="61">
        <f t="shared" si="9"/>
        <v>1</v>
      </c>
      <c r="I70" t="str">
        <f>IF(FT!B70&lt;&gt;"",FT!E70,"")</f>
        <v>1 [27.622307]</v>
      </c>
      <c r="J70">
        <f>IF(FT!B70&lt;&gt;"",FT!C70,"")</f>
        <v>27.622299999999999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2.86557</v>
      </c>
      <c r="G71" s="61">
        <f>IF(FT!B71&lt;&gt;"",FT!B71*100,"")</f>
        <v>39.630500000000005</v>
      </c>
      <c r="H71" s="61">
        <f t="shared" si="9"/>
        <v>1</v>
      </c>
      <c r="I71" t="str">
        <f>IF(FT!B71&lt;&gt;"",FT!E71,"")</f>
        <v>1 [28.025994]</v>
      </c>
      <c r="J71">
        <f>IF(FT!B71&lt;&gt;"",FT!C71,"")</f>
        <v>28.026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144232</v>
      </c>
      <c r="D72" s="61">
        <f>FH!B72*1</f>
        <v>144232</v>
      </c>
      <c r="E72">
        <f t="shared" si="11"/>
        <v>70</v>
      </c>
      <c r="F72" s="61">
        <f>IF(FT!A72&lt;&gt;"",FT!A72*10,"")</f>
        <v>2.8589700000000002</v>
      </c>
      <c r="G72" s="61">
        <f>IF(FT!B72&lt;&gt;"",FT!B72*100,"")</f>
        <v>39.409599999999998</v>
      </c>
      <c r="H72" s="61">
        <f t="shared" si="9"/>
        <v>1</v>
      </c>
      <c r="I72" t="str">
        <f>IF(FT!B72&lt;&gt;"",FT!E72,"")</f>
        <v>1 [28.435990]</v>
      </c>
      <c r="J72">
        <f>IF(FT!B72&lt;&gt;"",FT!C72,"")</f>
        <v>28.436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2.8506</v>
      </c>
      <c r="G73" s="61">
        <f>IF(FT!B73&lt;&gt;"",FT!B73*100,"")</f>
        <v>39.151399999999995</v>
      </c>
      <c r="H73" s="61">
        <f t="shared" si="9"/>
        <v>1</v>
      </c>
      <c r="I73" t="str">
        <f>IF(FT!B73&lt;&gt;"",FT!E73,"")</f>
        <v>1 [28.841824]</v>
      </c>
      <c r="J73">
        <f>IF(FT!B73&lt;&gt;"",FT!C73,"")</f>
        <v>28.841799999999999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2.8404199999999999</v>
      </c>
      <c r="G74" s="61">
        <f>IF(FT!B74&lt;&gt;"",FT!B74*100,"")</f>
        <v>38.8812</v>
      </c>
      <c r="H74" s="61">
        <f t="shared" si="9"/>
        <v>1</v>
      </c>
      <c r="I74" t="str">
        <f>IF(FT!B74&lt;&gt;"",FT!E74,"")</f>
        <v>1 [29.249743]</v>
      </c>
      <c r="J74">
        <f>IF(FT!B74&lt;&gt;"",FT!C74,"")</f>
        <v>29.249700000000001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140159</v>
      </c>
      <c r="D75" s="61">
        <f>FH!B75*1</f>
        <v>140159</v>
      </c>
      <c r="E75">
        <f t="shared" si="11"/>
        <v>73</v>
      </c>
      <c r="F75" s="61">
        <f>IF(FT!A75&lt;&gt;"",FT!A75*10,"")</f>
        <v>2.8258899999999998</v>
      </c>
      <c r="G75" s="61">
        <f>IF(FT!B75&lt;&gt;"",FT!B75*100,"")</f>
        <v>38.618200000000002</v>
      </c>
      <c r="H75" s="61">
        <f t="shared" si="9"/>
        <v>1</v>
      </c>
      <c r="I75" t="str">
        <f>IF(FT!B75&lt;&gt;"",FT!E75,"")</f>
        <v>1 [29.653925]</v>
      </c>
      <c r="J75">
        <f>IF(FT!B75&lt;&gt;"",FT!C75,"")</f>
        <v>29.6539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2.8075200000000002</v>
      </c>
      <c r="G76" s="61">
        <f>IF(FT!B76&lt;&gt;"",FT!B76*100,"")</f>
        <v>38.425799999999995</v>
      </c>
      <c r="H76" s="61">
        <f t="shared" si="9"/>
        <v>1</v>
      </c>
      <c r="I76" t="str">
        <f>IF(FT!B76&lt;&gt;"",FT!E76,"")</f>
        <v>2 [30.058589]</v>
      </c>
      <c r="J76">
        <f>IF(FT!B76&lt;&gt;"",FT!C76,"")</f>
        <v>30.058599999999998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128134</v>
      </c>
      <c r="D77" s="61">
        <f>FH!B77*1</f>
        <v>128134</v>
      </c>
      <c r="E77">
        <f t="shared" si="11"/>
        <v>75</v>
      </c>
      <c r="F77" s="61">
        <f>IF(FT!A77&lt;&gt;"",FT!A77*10,"")</f>
        <v>2.78877</v>
      </c>
      <c r="G77" s="61">
        <f>IF(FT!B77&lt;&gt;"",FT!B77*100,"")</f>
        <v>38.3033</v>
      </c>
      <c r="H77" s="61">
        <f t="shared" si="9"/>
        <v>1</v>
      </c>
      <c r="I77" t="str">
        <f>IF(FT!B77&lt;&gt;"",FT!E77,"")</f>
        <v>2 [30.481421]</v>
      </c>
      <c r="J77">
        <f>IF(FT!B77&lt;&gt;"",FT!C77,"")</f>
        <v>30.481400000000001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2.7674700000000003</v>
      </c>
      <c r="G78" s="61">
        <f>IF(FT!B78&lt;&gt;"",FT!B78*100,"")</f>
        <v>38.300200000000004</v>
      </c>
      <c r="H78" s="61">
        <f t="shared" si="9"/>
        <v>1</v>
      </c>
      <c r="I78" t="str">
        <f>IF(FT!B78&lt;&gt;"",FT!E78,"")</f>
        <v>2 [30.887450]</v>
      </c>
      <c r="J78">
        <f>IF(FT!B78&lt;&gt;"",FT!C78,"")</f>
        <v>30.887499999999999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2.7423900000000003</v>
      </c>
      <c r="G79" s="61">
        <f>IF(FT!B79&lt;&gt;"",FT!B79*100,"")</f>
        <v>38.398400000000002</v>
      </c>
      <c r="H79" s="61">
        <f t="shared" si="9"/>
        <v>1</v>
      </c>
      <c r="I79" t="str">
        <f>IF(FT!B79&lt;&gt;"",FT!E79,"")</f>
        <v>2 [31.292549]</v>
      </c>
      <c r="J79">
        <f>IF(FT!B79&lt;&gt;"",FT!C79,"")</f>
        <v>31.2925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127347</v>
      </c>
      <c r="D80" s="61">
        <f>FH!B80*1</f>
        <v>127347</v>
      </c>
      <c r="E80">
        <f t="shared" si="11"/>
        <v>78</v>
      </c>
      <c r="F80" s="61">
        <f>IF(FT!A80&lt;&gt;"",FT!A80*10,"")</f>
        <v>2.71468</v>
      </c>
      <c r="G80" s="61">
        <f>IF(FT!B80&lt;&gt;"",FT!B80*100,"")</f>
        <v>38.563199999999995</v>
      </c>
      <c r="H80" s="61">
        <f t="shared" si="9"/>
        <v>1</v>
      </c>
      <c r="I80" t="str">
        <f>IF(FT!B80&lt;&gt;"",FT!E80,"")</f>
        <v>2 [31.700207]</v>
      </c>
      <c r="J80">
        <f>IF(FT!B80&lt;&gt;"",FT!C80,"")</f>
        <v>31.700199999999999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2.68668</v>
      </c>
      <c r="G81" s="61">
        <f>IF(FT!B81&lt;&gt;"",FT!B81*100,"")</f>
        <v>38.667400000000001</v>
      </c>
      <c r="H81" s="61">
        <f t="shared" si="9"/>
        <v>1</v>
      </c>
      <c r="I81" t="str">
        <f>IF(FT!B81&lt;&gt;"",FT!E81,"")</f>
        <v>2 [32.109128]</v>
      </c>
      <c r="J81">
        <f>IF(FT!B81&lt;&gt;"",FT!C81,"")</f>
        <v>32.109099999999998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118773</v>
      </c>
      <c r="D82" s="61">
        <f>FH!B82*1</f>
        <v>118773</v>
      </c>
      <c r="E82">
        <f t="shared" si="11"/>
        <v>80</v>
      </c>
      <c r="F82" s="61">
        <f>IF(FT!A82&lt;&gt;"",FT!A82*10,"")</f>
        <v>2.6581399999999999</v>
      </c>
      <c r="G82" s="61">
        <f>IF(FT!B82&lt;&gt;"",FT!B82*100,"")</f>
        <v>38.628900000000002</v>
      </c>
      <c r="H82" s="61">
        <f t="shared" si="9"/>
        <v>1</v>
      </c>
      <c r="I82" t="str">
        <f>IF(FT!B82&lt;&gt;"",FT!E82,"")</f>
        <v>2 [32.513006]</v>
      </c>
      <c r="J82">
        <f>IF(FT!B82&lt;&gt;"",FT!C82,"")</f>
        <v>32.512999999999998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2.6322700000000001</v>
      </c>
      <c r="G83" s="61">
        <f>IF(FT!B83&lt;&gt;"",FT!B83*100,"")</f>
        <v>38.479500000000002</v>
      </c>
      <c r="H83" s="61">
        <f t="shared" si="9"/>
        <v>1</v>
      </c>
      <c r="I83" t="str">
        <f>IF(FT!B83&lt;&gt;"",FT!E83,"")</f>
        <v>2 [32.920294]</v>
      </c>
      <c r="J83">
        <f>IF(FT!B83&lt;&gt;"",FT!C83,"")</f>
        <v>32.920299999999997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2.60669</v>
      </c>
      <c r="G84" s="61">
        <f>IF(FT!B84&lt;&gt;"",FT!B84*100,"")</f>
        <v>38.414300000000004</v>
      </c>
      <c r="H84" s="61">
        <f t="shared" si="9"/>
        <v>1</v>
      </c>
      <c r="I84" t="str">
        <f>IF(FT!B84&lt;&gt;"",FT!E84,"")</f>
        <v>2 [33.324000]</v>
      </c>
      <c r="J84">
        <f>IF(FT!B84&lt;&gt;"",FT!C84,"")</f>
        <v>33.323999999999998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119316</v>
      </c>
      <c r="D85" s="61">
        <f>FH!B85*1</f>
        <v>119316</v>
      </c>
      <c r="E85">
        <f t="shared" si="11"/>
        <v>83</v>
      </c>
      <c r="F85" s="61">
        <f>IF(FT!A85&lt;&gt;"",FT!A85*10,"")</f>
        <v>2.5802999999999998</v>
      </c>
      <c r="G85" s="61">
        <f>IF(FT!B85&lt;&gt;"",FT!B85*100,"")</f>
        <v>38.4756</v>
      </c>
      <c r="H85" s="61">
        <f t="shared" si="9"/>
        <v>1</v>
      </c>
      <c r="I85" t="str">
        <f>IF(FT!B85&lt;&gt;"",FT!E85,"")</f>
        <v>2 [33.732724]</v>
      </c>
      <c r="J85">
        <f>IF(FT!B85&lt;&gt;"",FT!C85,"")</f>
        <v>33.732700000000001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2.5536599999999998</v>
      </c>
      <c r="G86" s="61">
        <f>IF(FT!B86&lt;&gt;"",FT!B86*100,"")</f>
        <v>38.6447</v>
      </c>
      <c r="H86" s="61">
        <f t="shared" si="9"/>
        <v>1</v>
      </c>
      <c r="I86" t="str">
        <f>IF(FT!B86&lt;&gt;"",FT!E86,"")</f>
        <v>2 [34.139668]</v>
      </c>
      <c r="J86">
        <f>IF(FT!B86&lt;&gt;"",FT!C86,"")</f>
        <v>34.139699999999998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2.5276300000000003</v>
      </c>
      <c r="G87" s="61">
        <f>IF(FT!B87&lt;&gt;"",FT!B87*100,"")</f>
        <v>38.914200000000001</v>
      </c>
      <c r="H87" s="61">
        <f t="shared" si="9"/>
        <v>1</v>
      </c>
      <c r="I87" t="str">
        <f>IF(FT!B87&lt;&gt;"",FT!E87,"")</f>
        <v>2 [34.543711]</v>
      </c>
      <c r="J87">
        <f>IF(FT!B87&lt;&gt;"",FT!C87,"")</f>
        <v>34.543700000000001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105414</v>
      </c>
      <c r="D88" s="61">
        <f>FH!B88*1</f>
        <v>105414</v>
      </c>
      <c r="E88">
        <f t="shared" si="11"/>
        <v>86</v>
      </c>
      <c r="F88" s="61">
        <f>IF(FT!A88&lt;&gt;"",FT!A88*10,"")</f>
        <v>2.50454</v>
      </c>
      <c r="G88" s="61">
        <f>IF(FT!B88&lt;&gt;"",FT!B88*100,"")</f>
        <v>39.168100000000003</v>
      </c>
      <c r="H88" s="61">
        <f t="shared" si="9"/>
        <v>1</v>
      </c>
      <c r="I88" t="str">
        <f>IF(FT!B88&lt;&gt;"",FT!E88,"")</f>
        <v>2 [34.951507]</v>
      </c>
      <c r="J88">
        <f>IF(FT!B88&lt;&gt;"",FT!C88,"")</f>
        <v>34.951500000000003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2.4834499999999999</v>
      </c>
      <c r="G89" s="61">
        <f>IF(FT!B89&lt;&gt;"",FT!B89*100,"")</f>
        <v>39.470300000000002</v>
      </c>
      <c r="H89" s="61">
        <f t="shared" si="9"/>
        <v>1</v>
      </c>
      <c r="I89" t="str">
        <f>IF(FT!B89&lt;&gt;"",FT!E89,"")</f>
        <v>2 [35.359423]</v>
      </c>
      <c r="J89">
        <f>IF(FT!B89&lt;&gt;"",FT!C89,"")</f>
        <v>35.359400000000001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95632</v>
      </c>
      <c r="D90" s="61">
        <f>FH!B90*1</f>
        <v>95632</v>
      </c>
      <c r="E90">
        <f t="shared" si="11"/>
        <v>88</v>
      </c>
      <c r="F90" s="61">
        <f>IF(FT!A90&lt;&gt;"",FT!A90*10,"")</f>
        <v>2.4623900000000001</v>
      </c>
      <c r="G90" s="61">
        <f>IF(FT!B90&lt;&gt;"",FT!B90*100,"")</f>
        <v>39.8568</v>
      </c>
      <c r="H90" s="61">
        <f t="shared" si="9"/>
        <v>1</v>
      </c>
      <c r="I90" t="str">
        <f>IF(FT!B90&lt;&gt;"",FT!E90,"")</f>
        <v>2 [35.763287]</v>
      </c>
      <c r="J90">
        <f>IF(FT!B90&lt;&gt;"",FT!C90,"")</f>
        <v>35.763300000000001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2.4446099999999999</v>
      </c>
      <c r="G91" s="61">
        <f>IF(FT!B91&lt;&gt;"",FT!B91*100,"")</f>
        <v>40.198399999999999</v>
      </c>
      <c r="H91" s="61">
        <f t="shared" si="9"/>
        <v>1</v>
      </c>
      <c r="I91" t="str">
        <f>IF(FT!B91&lt;&gt;"",FT!E91,"")</f>
        <v>2 [36.167283]</v>
      </c>
      <c r="J91">
        <f>IF(FT!B91&lt;&gt;"",FT!C91,"")</f>
        <v>36.167299999999997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2.4321599999999997</v>
      </c>
      <c r="G92" s="61">
        <f>IF(FT!B92&lt;&gt;"",FT!B92*100,"")</f>
        <v>40.555600000000005</v>
      </c>
      <c r="H92" s="61">
        <f t="shared" si="9"/>
        <v>1</v>
      </c>
      <c r="I92" t="str">
        <f>IF(FT!B92&lt;&gt;"",FT!E92,"")</f>
        <v>2 [36.574647]</v>
      </c>
      <c r="J92">
        <f>IF(FT!B92&lt;&gt;"",FT!C92,"")</f>
        <v>36.574599999999997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96247</v>
      </c>
      <c r="D93" s="61">
        <f>FH!B93*1</f>
        <v>96247</v>
      </c>
      <c r="E93">
        <f t="shared" si="11"/>
        <v>91</v>
      </c>
      <c r="F93" s="61">
        <f>IF(FT!A93&lt;&gt;"",FT!A93*10,"")</f>
        <v>2.4243600000000001</v>
      </c>
      <c r="G93" s="61">
        <f>IF(FT!B93&lt;&gt;"",FT!B93*100,"")</f>
        <v>40.932000000000002</v>
      </c>
      <c r="H93" s="61">
        <f t="shared" si="9"/>
        <v>1</v>
      </c>
      <c r="I93" t="str">
        <f>IF(FT!B93&lt;&gt;"",FT!E93,"")</f>
        <v>2 [36.984049]</v>
      </c>
      <c r="J93">
        <f>IF(FT!B93&lt;&gt;"",FT!C93,"")</f>
        <v>36.984000000000002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2.4225699999999999</v>
      </c>
      <c r="G94" s="61">
        <f>IF(FT!B94&lt;&gt;"",FT!B94*100,"")</f>
        <v>41.303100000000001</v>
      </c>
      <c r="H94" s="61">
        <f t="shared" si="9"/>
        <v>1</v>
      </c>
      <c r="I94" t="str">
        <f>IF(FT!B94&lt;&gt;"",FT!E94,"")</f>
        <v>2 [37.391976]</v>
      </c>
      <c r="J94">
        <f>IF(FT!B94&lt;&gt;"",FT!C94,"")</f>
        <v>37.392000000000003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74567</v>
      </c>
      <c r="D95" s="61">
        <f>FH!B95*1</f>
        <v>74567</v>
      </c>
      <c r="E95">
        <f t="shared" si="11"/>
        <v>93</v>
      </c>
      <c r="F95" s="61">
        <f>IF(FT!A95&lt;&gt;"",FT!A95*10,"")</f>
        <v>2.4248099999999999</v>
      </c>
      <c r="G95" s="61">
        <f>IF(FT!B95&lt;&gt;"",FT!B95*100,"")</f>
        <v>41.608800000000002</v>
      </c>
      <c r="H95" s="61">
        <f t="shared" si="9"/>
        <v>1</v>
      </c>
      <c r="I95" t="str">
        <f>IF(FT!B95&lt;&gt;"",FT!E95,"")</f>
        <v>2 [37.792883]</v>
      </c>
      <c r="J95">
        <f>IF(FT!B95&lt;&gt;"",FT!C95,"")</f>
        <v>37.792900000000003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2.42984</v>
      </c>
      <c r="G96" s="61">
        <f>IF(FT!B96&lt;&gt;"",FT!B96*100,"")</f>
        <v>41.781800000000004</v>
      </c>
      <c r="H96" s="61">
        <f t="shared" si="9"/>
        <v>1</v>
      </c>
      <c r="I96" t="str">
        <f>IF(FT!B96&lt;&gt;"",FT!E96,"")</f>
        <v>2 [38.198778]</v>
      </c>
      <c r="J96">
        <f>IF(FT!B96&lt;&gt;"",FT!C96,"")</f>
        <v>38.198799999999999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2.4379500000000003</v>
      </c>
      <c r="G97" s="61">
        <f>IF(FT!B97&lt;&gt;"",FT!B97*100,"")</f>
        <v>41.862500000000004</v>
      </c>
      <c r="H97" s="61">
        <f t="shared" si="9"/>
        <v>1</v>
      </c>
      <c r="I97" t="str">
        <f>IF(FT!B97&lt;&gt;"",FT!E97,"")</f>
        <v>2 [38.606041]</v>
      </c>
      <c r="J97">
        <f>IF(FT!B97&lt;&gt;"",FT!C97,"")</f>
        <v>38.606000000000002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65152</v>
      </c>
      <c r="D98" s="61">
        <f>FH!B98*1</f>
        <v>65152</v>
      </c>
      <c r="E98">
        <f t="shared" si="11"/>
        <v>96</v>
      </c>
      <c r="F98" s="61">
        <f>IF(FT!A98&lt;&gt;"",FT!A98*10,"")</f>
        <v>2.4469599999999998</v>
      </c>
      <c r="G98" s="61">
        <f>IF(FT!B98&lt;&gt;"",FT!B98*100,"")</f>
        <v>41.93</v>
      </c>
      <c r="H98" s="61">
        <f t="shared" si="9"/>
        <v>1</v>
      </c>
      <c r="I98" t="str">
        <f>IF(FT!B98&lt;&gt;"",FT!E98,"")</f>
        <v>2 [39.015736]</v>
      </c>
      <c r="J98">
        <f>IF(FT!B98&lt;&gt;"",FT!C98,"")</f>
        <v>39.015700000000002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2.45675</v>
      </c>
      <c r="G99" s="61">
        <f>IF(FT!B99&lt;&gt;"",FT!B99*100,"")</f>
        <v>42.0139</v>
      </c>
      <c r="H99" s="61">
        <f t="shared" si="9"/>
        <v>1</v>
      </c>
      <c r="I99" t="str">
        <f>IF(FT!B99&lt;&gt;"",FT!E99,"")</f>
        <v>2 [39.421575]</v>
      </c>
      <c r="J99">
        <f>IF(FT!B99&lt;&gt;"",FT!C99,"")</f>
        <v>39.421599999999998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55272</v>
      </c>
      <c r="D100" s="61">
        <f>FH!B100*1</f>
        <v>55272</v>
      </c>
      <c r="E100">
        <f t="shared" si="11"/>
        <v>98</v>
      </c>
      <c r="F100" s="61">
        <f>IF(FT!A100&lt;&gt;"",FT!A100*10,"")</f>
        <v>2.4702600000000001</v>
      </c>
      <c r="G100" s="61">
        <f>IF(FT!B100&lt;&gt;"",FT!B100*100,"")</f>
        <v>42.039500000000004</v>
      </c>
      <c r="H100" s="61">
        <f t="shared" si="9"/>
        <v>1</v>
      </c>
      <c r="I100" t="str">
        <f>IF(FT!B100&lt;&gt;"",FT!E100,"")</f>
        <v>2 [39.826467]</v>
      </c>
      <c r="J100">
        <f>IF(FT!B100&lt;&gt;"",FT!C100,"")</f>
        <v>39.826500000000003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2.4864999999999999</v>
      </c>
      <c r="G101" s="61">
        <f>IF(FT!B101&lt;&gt;"",FT!B101*100,"")</f>
        <v>41.982500000000002</v>
      </c>
      <c r="H101" s="61">
        <f t="shared" si="9"/>
        <v>1</v>
      </c>
      <c r="I101" t="str">
        <f>IF(FT!B101&lt;&gt;"",FT!E101,"")</f>
        <v>2 [40.230361]</v>
      </c>
      <c r="J101">
        <f>IF(FT!B101&lt;&gt;"",FT!C101,"")</f>
        <v>40.230400000000003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2.5022899999999999</v>
      </c>
      <c r="G102" s="61">
        <f>IF(FT!B102&lt;&gt;"",FT!B102*100,"")</f>
        <v>41.923300000000005</v>
      </c>
      <c r="H102" s="61">
        <f t="shared" si="9"/>
        <v>1</v>
      </c>
      <c r="I102" t="str">
        <f>IF(FT!B102&lt;&gt;"",FT!E102,"")</f>
        <v>2 [40.635705]</v>
      </c>
      <c r="J102">
        <f>IF(FT!B102&lt;&gt;"",FT!C102,"")</f>
        <v>40.6357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40024</v>
      </c>
      <c r="D103" s="61">
        <f>FH!B103*1</f>
        <v>40024</v>
      </c>
      <c r="E103">
        <f t="shared" si="11"/>
        <v>101</v>
      </c>
      <c r="F103" s="61">
        <f>IF(FT!A103&lt;&gt;"",FT!A103*10,"")</f>
        <v>2.5186299999999999</v>
      </c>
      <c r="G103" s="61">
        <f>IF(FT!B103&lt;&gt;"",FT!B103*100,"")</f>
        <v>41.794399999999996</v>
      </c>
      <c r="H103" s="61">
        <f t="shared" si="9"/>
        <v>1</v>
      </c>
      <c r="I103" t="str">
        <f>IF(FT!B103&lt;&gt;"",FT!E103,"")</f>
        <v>2 [41.044166]</v>
      </c>
      <c r="J103">
        <f>IF(FT!B103&lt;&gt;"",FT!C103,"")</f>
        <v>41.044199999999996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2.5360399999999998</v>
      </c>
      <c r="G104" s="61">
        <f>IF(FT!B104&lt;&gt;"",FT!B104*100,"")</f>
        <v>41.642899999999997</v>
      </c>
      <c r="H104" s="61">
        <f t="shared" si="9"/>
        <v>1</v>
      </c>
      <c r="I104" t="str">
        <f>IF(FT!B104&lt;&gt;"",FT!E104,"")</f>
        <v>2 [41.452145]</v>
      </c>
      <c r="J104">
        <f>IF(FT!B104&lt;&gt;"",FT!C104,"")</f>
        <v>41.452100000000002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2.5530399999999998</v>
      </c>
      <c r="G105" s="61">
        <f>IF(FT!B105&lt;&gt;"",FT!B105*100,"")</f>
        <v>41.546999999999997</v>
      </c>
      <c r="H105" s="61">
        <f t="shared" si="9"/>
        <v>1</v>
      </c>
      <c r="I105" t="str">
        <f>IF(FT!B105&lt;&gt;"",FT!E105,"")</f>
        <v>2 [41.859050]</v>
      </c>
      <c r="J105">
        <f>IF(FT!B105&lt;&gt;"",FT!C105,"")</f>
        <v>41.859099999999998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36391</v>
      </c>
      <c r="D106" s="61">
        <f>FH!B106*1</f>
        <v>36391</v>
      </c>
      <c r="E106">
        <f t="shared" si="11"/>
        <v>104</v>
      </c>
      <c r="F106" s="61">
        <f>IF(FT!A106&lt;&gt;"",FT!A106*10,"")</f>
        <v>2.5707400000000002</v>
      </c>
      <c r="G106" s="61">
        <f>IF(FT!B106&lt;&gt;"",FT!B106*100,"")</f>
        <v>41.571100000000001</v>
      </c>
      <c r="H106" s="61">
        <f t="shared" si="9"/>
        <v>1</v>
      </c>
      <c r="I106" t="str">
        <f>IF(FT!B106&lt;&gt;"",FT!E106,"")</f>
        <v>2 [42.261957]</v>
      </c>
      <c r="J106">
        <f>IF(FT!B106&lt;&gt;"",FT!C106,"")</f>
        <v>42.262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2.5901000000000001</v>
      </c>
      <c r="G107" s="61">
        <f>IF(FT!B107&lt;&gt;"",FT!B107*100,"")</f>
        <v>41.720199999999998</v>
      </c>
      <c r="H107" s="61">
        <f t="shared" si="9"/>
        <v>1</v>
      </c>
      <c r="I107" t="str">
        <f>IF(FT!B107&lt;&gt;"",FT!E107,"")</f>
        <v>2 [42.668980]</v>
      </c>
      <c r="J107">
        <f>IF(FT!B107&lt;&gt;"",FT!C107,"")</f>
        <v>42.668999999999997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31131</v>
      </c>
      <c r="D108" s="61">
        <f>FH!B108*1</f>
        <v>31131</v>
      </c>
      <c r="E108">
        <f t="shared" si="11"/>
        <v>106</v>
      </c>
      <c r="F108" s="61">
        <f>IF(FT!A108&lt;&gt;"",FT!A108*10,"")</f>
        <v>2.6084899999999998</v>
      </c>
      <c r="G108" s="61">
        <f>IF(FT!B108&lt;&gt;"",FT!B108*100,"")</f>
        <v>41.926299999999998</v>
      </c>
      <c r="H108" s="61">
        <f t="shared" si="9"/>
        <v>1</v>
      </c>
      <c r="I108" t="str">
        <f>IF(FT!B108&lt;&gt;"",FT!E108,"")</f>
        <v>2 [43.076863]</v>
      </c>
      <c r="J108">
        <f>IF(FT!B108&lt;&gt;"",FT!C108,"")</f>
        <v>43.076900000000002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2.6249400000000001</v>
      </c>
      <c r="G109" s="61">
        <f>IF(FT!B109&lt;&gt;"",FT!B109*100,"")</f>
        <v>42.117399999999996</v>
      </c>
      <c r="H109" s="61">
        <f t="shared" si="9"/>
        <v>1</v>
      </c>
      <c r="I109" t="str">
        <f>IF(FT!B109&lt;&gt;"",FT!E109,"")</f>
        <v>2 [43.482706]</v>
      </c>
      <c r="J109">
        <f>IF(FT!B109&lt;&gt;"",FT!C109,"")</f>
        <v>43.482700000000001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2.6394899999999999</v>
      </c>
      <c r="G110" s="61">
        <f>IF(FT!B110&lt;&gt;"",FT!B110*100,"")</f>
        <v>42.369299999999996</v>
      </c>
      <c r="H110" s="61">
        <f t="shared" si="9"/>
        <v>1</v>
      </c>
      <c r="I110" t="str">
        <f>IF(FT!B110&lt;&gt;"",FT!E110,"")</f>
        <v>2 [43.888635]</v>
      </c>
      <c r="J110">
        <f>IF(FT!B110&lt;&gt;"",FT!C110,"")</f>
        <v>43.888599999999997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27771</v>
      </c>
      <c r="D111" s="61">
        <f>FH!B111*1</f>
        <v>27771</v>
      </c>
      <c r="E111">
        <f t="shared" si="11"/>
        <v>109</v>
      </c>
      <c r="F111" s="61">
        <f>IF(FT!A111&lt;&gt;"",FT!A111*10,"")</f>
        <v>2.6518700000000002</v>
      </c>
      <c r="G111" s="61">
        <f>IF(FT!B111&lt;&gt;"",FT!B111*100,"")</f>
        <v>42.668399999999998</v>
      </c>
      <c r="H111" s="61">
        <f t="shared" si="9"/>
        <v>1</v>
      </c>
      <c r="I111" t="str">
        <f>IF(FT!B111&lt;&gt;"",FT!E111,"")</f>
        <v>2 [44.295667]</v>
      </c>
      <c r="J111">
        <f>IF(FT!B111&lt;&gt;"",FT!C111,"")</f>
        <v>44.295699999999997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2.6615699999999998</v>
      </c>
      <c r="G112" s="61">
        <f>IF(FT!B112&lt;&gt;"",FT!B112*100,"")</f>
        <v>42.9955</v>
      </c>
      <c r="H112" s="61">
        <f t="shared" si="9"/>
        <v>1</v>
      </c>
      <c r="I112" t="str">
        <f>IF(FT!B112&lt;&gt;"",FT!E112,"")</f>
        <v>2 [44.699838]</v>
      </c>
      <c r="J112">
        <f>IF(FT!B112&lt;&gt;"",FT!C112,"")</f>
        <v>44.699800000000003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24047</v>
      </c>
      <c r="D113" s="61">
        <f>FH!B113*1</f>
        <v>24047</v>
      </c>
      <c r="E113">
        <f t="shared" si="11"/>
        <v>111</v>
      </c>
      <c r="F113" s="61">
        <f>IF(FT!A113&lt;&gt;"",FT!A113*10,"")</f>
        <v>2.6688800000000001</v>
      </c>
      <c r="G113" s="61">
        <f>IF(FT!B113&lt;&gt;"",FT!B113*100,"")</f>
        <v>43.381399999999999</v>
      </c>
      <c r="H113" s="61">
        <f t="shared" si="9"/>
        <v>1</v>
      </c>
      <c r="I113" t="str">
        <f>IF(FT!B113&lt;&gt;"",FT!E113,"")</f>
        <v>2 [45.108326]</v>
      </c>
      <c r="J113">
        <f>IF(FT!B113&lt;&gt;"",FT!C113,"")</f>
        <v>45.1083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2.6748599999999998</v>
      </c>
      <c r="G114" s="61">
        <f>IF(FT!B114&lt;&gt;"",FT!B114*100,"")</f>
        <v>43.714700000000001</v>
      </c>
      <c r="H114" s="61">
        <f t="shared" si="9"/>
        <v>1</v>
      </c>
      <c r="I114" t="str">
        <f>IF(FT!B114&lt;&gt;"",FT!E114,"")</f>
        <v>2 [45.517255]</v>
      </c>
      <c r="J114">
        <f>IF(FT!B114&lt;&gt;"",FT!C114,"")</f>
        <v>45.517299999999999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2.68072</v>
      </c>
      <c r="G115" s="61">
        <f>IF(FT!B115&lt;&gt;"",FT!B115*100,"")</f>
        <v>43.9938</v>
      </c>
      <c r="H115" s="61">
        <f t="shared" si="9"/>
        <v>1</v>
      </c>
      <c r="I115" t="str">
        <f>IF(FT!B115&lt;&gt;"",FT!E115,"")</f>
        <v>2 [45.920527]</v>
      </c>
      <c r="J115">
        <f>IF(FT!B115&lt;&gt;"",FT!C115,"")</f>
        <v>45.920499999999997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28937</v>
      </c>
      <c r="D116" s="61">
        <f>FH!B116*1</f>
        <v>28937</v>
      </c>
      <c r="E116">
        <f t="shared" si="11"/>
        <v>114</v>
      </c>
      <c r="F116" s="61">
        <f>IF(FT!A116&lt;&gt;"",FT!A116*10,"")</f>
        <v>2.6862699999999999</v>
      </c>
      <c r="G116" s="61">
        <f>IF(FT!B116&lt;&gt;"",FT!B116*100,"")</f>
        <v>44.2224</v>
      </c>
      <c r="H116" s="61">
        <f t="shared" si="9"/>
        <v>1</v>
      </c>
      <c r="I116" t="str">
        <f>IF(FT!B116&lt;&gt;"",FT!E116,"")</f>
        <v>2 [46.326255]</v>
      </c>
      <c r="J116">
        <f>IF(FT!B116&lt;&gt;"",FT!C116,"")</f>
        <v>46.326300000000003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2.6879300000000002</v>
      </c>
      <c r="G117" s="61">
        <f>IF(FT!B117&lt;&gt;"",FT!B117*100,"")</f>
        <v>44.352999999999994</v>
      </c>
      <c r="H117" s="61">
        <f t="shared" si="9"/>
        <v>1</v>
      </c>
      <c r="I117" t="str">
        <f>IF(FT!B117&lt;&gt;"",FT!E117,"")</f>
        <v>2 [46.734603]</v>
      </c>
      <c r="J117">
        <f>IF(FT!B117&lt;&gt;"",FT!C117,"")</f>
        <v>46.7346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28131</v>
      </c>
      <c r="D118" s="61">
        <f>FH!B118*1</f>
        <v>28131</v>
      </c>
      <c r="E118">
        <f t="shared" si="11"/>
        <v>116</v>
      </c>
      <c r="F118" s="61">
        <f>IF(FT!A118&lt;&gt;"",FT!A118*10,"")</f>
        <v>2.6842100000000002</v>
      </c>
      <c r="G118" s="61">
        <f>IF(FT!B118&lt;&gt;"",FT!B118*100,"")</f>
        <v>44.461600000000004</v>
      </c>
      <c r="H118" s="61">
        <f t="shared" si="9"/>
        <v>1</v>
      </c>
      <c r="I118" t="str">
        <f>IF(FT!B118&lt;&gt;"",FT!E118,"")</f>
        <v>2 [47.136076]</v>
      </c>
      <c r="J118">
        <f>IF(FT!B118&lt;&gt;"",FT!C118,"")</f>
        <v>47.136099999999999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2.6771000000000003</v>
      </c>
      <c r="G119" s="61">
        <f>IF(FT!B119&lt;&gt;"",FT!B119*100,"")</f>
        <v>44.595100000000002</v>
      </c>
      <c r="H119" s="61">
        <f t="shared" si="9"/>
        <v>1</v>
      </c>
      <c r="I119" t="str">
        <f>IF(FT!B119&lt;&gt;"",FT!E119,"")</f>
        <v>2 [47.546843]</v>
      </c>
      <c r="J119">
        <f>IF(FT!B119&lt;&gt;"",FT!C119,"")</f>
        <v>47.546799999999998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2.6738099999999996</v>
      </c>
      <c r="G120" s="61">
        <f>IF(FT!B120&lt;&gt;"",FT!B120*100,"")</f>
        <v>44.703700000000005</v>
      </c>
      <c r="H120" s="61">
        <f t="shared" si="9"/>
        <v>1</v>
      </c>
      <c r="I120" t="str">
        <f>IF(FT!B120&lt;&gt;"",FT!E120,"")</f>
        <v>2 [47.951712]</v>
      </c>
      <c r="J120">
        <f>IF(FT!B120&lt;&gt;"",FT!C120,"")</f>
        <v>47.951700000000002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23997</v>
      </c>
      <c r="D121" s="61">
        <f>FH!B121*1</f>
        <v>23997</v>
      </c>
      <c r="E121">
        <f t="shared" si="11"/>
        <v>119</v>
      </c>
      <c r="F121" s="61">
        <f>IF(FT!A121&lt;&gt;"",FT!A121*10,"")</f>
        <v>2.6768700000000001</v>
      </c>
      <c r="G121" s="61">
        <f>IF(FT!B121&lt;&gt;"",FT!B121*100,"")</f>
        <v>44.789000000000001</v>
      </c>
      <c r="H121" s="61">
        <f t="shared" si="9"/>
        <v>1</v>
      </c>
      <c r="I121" t="str">
        <f>IF(FT!B121&lt;&gt;"",FT!E121,"")</f>
        <v>2 [48.354691]</v>
      </c>
      <c r="J121">
        <f>IF(FT!B121&lt;&gt;"",FT!C121,"")</f>
        <v>48.354700000000001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2.6821099999999998</v>
      </c>
      <c r="G122" s="61">
        <f>IF(FT!B122&lt;&gt;"",FT!B122*100,"")</f>
        <v>45.000399999999999</v>
      </c>
      <c r="H122" s="61">
        <f t="shared" si="9"/>
        <v>1</v>
      </c>
      <c r="I122" t="str">
        <f>IF(FT!B122&lt;&gt;"",FT!E122,"")</f>
        <v>2 [48.764117]</v>
      </c>
      <c r="J122">
        <f>IF(FT!B122&lt;&gt;"",FT!C122,"")</f>
        <v>48.764099999999999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2.69102</v>
      </c>
      <c r="G123" s="61">
        <f>IF(FT!B123&lt;&gt;"",FT!B123*100,"")</f>
        <v>45.232700000000001</v>
      </c>
      <c r="H123" s="61">
        <f t="shared" si="9"/>
        <v>1</v>
      </c>
      <c r="I123" t="str">
        <f>IF(FT!B123&lt;&gt;"",FT!E123,"")</f>
        <v>2 [49.170660]</v>
      </c>
      <c r="J123">
        <f>IF(FT!B123&lt;&gt;"",FT!C123,"")</f>
        <v>49.170699999999997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25728</v>
      </c>
      <c r="D124" s="61">
        <f>FH!B124*1</f>
        <v>25728</v>
      </c>
      <c r="E124">
        <f t="shared" si="11"/>
        <v>122</v>
      </c>
      <c r="F124" s="61">
        <f>IF(FT!A124&lt;&gt;"",FT!A124*10,"")</f>
        <v>2.7020100000000005</v>
      </c>
      <c r="G124" s="61">
        <f>IF(FT!B124&lt;&gt;"",FT!B124*100,"")</f>
        <v>45.397199999999998</v>
      </c>
      <c r="H124" s="61">
        <f t="shared" si="9"/>
        <v>1</v>
      </c>
      <c r="I124" t="str">
        <f>IF(FT!B124&lt;&gt;"",FT!E124,"")</f>
        <v>2 [49.574473]</v>
      </c>
      <c r="J124">
        <f>IF(FT!B124&lt;&gt;"",FT!C124,"")</f>
        <v>49.5745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2.7147600000000001</v>
      </c>
      <c r="G125" s="61">
        <f>IF(FT!B125&lt;&gt;"",FT!B125*100,"")</f>
        <v>45.488599999999998</v>
      </c>
      <c r="H125" s="61">
        <f t="shared" si="9"/>
        <v>1</v>
      </c>
      <c r="I125" t="str">
        <f>IF(FT!B125&lt;&gt;"",FT!E125,"")</f>
        <v>2 [49.979490]</v>
      </c>
      <c r="J125">
        <f>IF(FT!B125&lt;&gt;"",FT!C125,"")</f>
        <v>49.979500000000002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22153</v>
      </c>
      <c r="D126" s="61">
        <f>FH!B126*1</f>
        <v>22153</v>
      </c>
      <c r="E126">
        <f t="shared" si="11"/>
        <v>124</v>
      </c>
      <c r="F126" s="61">
        <f>IF(FT!A126&lt;&gt;"",FT!A126*10,"")</f>
        <v>2.7133500000000002</v>
      </c>
      <c r="G126" s="61">
        <f>IF(FT!B126&lt;&gt;"",FT!B126*100,"")</f>
        <v>45.652000000000001</v>
      </c>
      <c r="H126" s="61">
        <f t="shared" si="9"/>
        <v>1</v>
      </c>
      <c r="I126" t="str">
        <f>IF(FT!B126&lt;&gt;"",FT!E126,"")</f>
        <v>2 [50.385407]</v>
      </c>
      <c r="J126">
        <f>IF(FT!B126&lt;&gt;"",FT!C126,"")</f>
        <v>50.385399999999997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2.7119900000000001</v>
      </c>
      <c r="G127" s="61">
        <f>IF(FT!B127&lt;&gt;"",FT!B127*100,"")</f>
        <v>45.831600000000002</v>
      </c>
      <c r="H127" s="61">
        <f t="shared" si="9"/>
        <v>1</v>
      </c>
      <c r="I127" t="str">
        <f>IF(FT!B127&lt;&gt;"",FT!E127,"")</f>
        <v>2 [50.792137]</v>
      </c>
      <c r="J127">
        <f>IF(FT!B127&lt;&gt;"",FT!C127,"")</f>
        <v>50.792099999999998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2.7101500000000001</v>
      </c>
      <c r="G128" s="61">
        <f>IF(FT!B128&lt;&gt;"",FT!B128*100,"")</f>
        <v>46.061999999999998</v>
      </c>
      <c r="H128" s="61">
        <f t="shared" si="9"/>
        <v>1</v>
      </c>
      <c r="I128" t="str">
        <f>IF(FT!B128&lt;&gt;"",FT!E128,"")</f>
        <v>2 [51.199040]</v>
      </c>
      <c r="J128">
        <f>IF(FT!B128&lt;&gt;"",FT!C128,"")</f>
        <v>51.198999999999998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22505</v>
      </c>
      <c r="D129" s="61">
        <f>FH!B129*1</f>
        <v>22505</v>
      </c>
      <c r="E129">
        <f t="shared" si="11"/>
        <v>127</v>
      </c>
      <c r="F129" s="61">
        <f>IF(FT!A129&lt;&gt;"",FT!A129*10,"")</f>
        <v>2.70817</v>
      </c>
      <c r="G129" s="61">
        <f>IF(FT!B129&lt;&gt;"",FT!B129*100,"")</f>
        <v>46.319099999999999</v>
      </c>
      <c r="H129" s="61">
        <f t="shared" si="9"/>
        <v>1</v>
      </c>
      <c r="I129" t="str">
        <f>IF(FT!B129&lt;&gt;"",FT!E129,"")</f>
        <v>2 [51.605037]</v>
      </c>
      <c r="J129">
        <f>IF(FT!B129&lt;&gt;"",FT!C129,"")</f>
        <v>51.604999999999997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2.7070699999999999</v>
      </c>
      <c r="G130" s="61">
        <f>IF(FT!B130&lt;&gt;"",FT!B130*100,"")</f>
        <v>46.5396</v>
      </c>
      <c r="H130" s="61">
        <f t="shared" si="9"/>
        <v>1</v>
      </c>
      <c r="I130" t="str">
        <f>IF(FT!B130&lt;&gt;"",FT!E130,"")</f>
        <v>2 [52.012388]</v>
      </c>
      <c r="J130">
        <f>IF(FT!B130&lt;&gt;"",FT!C130,"")</f>
        <v>52.0124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23510</v>
      </c>
      <c r="D131" s="61">
        <f>FH!B131*1</f>
        <v>23510</v>
      </c>
      <c r="E131">
        <f t="shared" si="11"/>
        <v>129</v>
      </c>
      <c r="F131" s="61">
        <f>IF(FT!A131&lt;&gt;"",FT!A131*10,"")</f>
        <v>2.7066499999999998</v>
      </c>
      <c r="G131" s="61">
        <f>IF(FT!B131&lt;&gt;"",FT!B131*100,"")</f>
        <v>46.726500000000001</v>
      </c>
      <c r="H131" s="61">
        <f t="shared" ref="H131:H194" si="13">(IF(F131&lt;&gt;"",1,""))</f>
        <v>1</v>
      </c>
      <c r="I131" t="str">
        <f>IF(FT!B131&lt;&gt;"",FT!E131,"")</f>
        <v>2 [52.418787]</v>
      </c>
      <c r="J131">
        <f>IF(FT!B131&lt;&gt;"",FT!C131,"")</f>
        <v>52.418799999999997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2.7063999999999999</v>
      </c>
      <c r="G132" s="61">
        <f>IF(FT!B132&lt;&gt;"",FT!B132*100,"")</f>
        <v>46.918799999999997</v>
      </c>
      <c r="H132" s="61">
        <f t="shared" si="13"/>
        <v>1</v>
      </c>
      <c r="I132" t="str">
        <f>IF(FT!B132&lt;&gt;"",FT!E132,"")</f>
        <v>2 [52.826705]</v>
      </c>
      <c r="J132">
        <f>IF(FT!B132&lt;&gt;"",FT!C132,"")</f>
        <v>52.826700000000002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2.7067999999999999</v>
      </c>
      <c r="G133" s="61">
        <f>IF(FT!B133&lt;&gt;"",FT!B133*100,"")</f>
        <v>47.103200000000001</v>
      </c>
      <c r="H133" s="61">
        <f t="shared" si="13"/>
        <v>1</v>
      </c>
      <c r="I133" t="str">
        <f>IF(FT!B133&lt;&gt;"",FT!E133,"")</f>
        <v>2 [53.230619]</v>
      </c>
      <c r="J133">
        <f>IF(FT!B133&lt;&gt;"",FT!C133,"")</f>
        <v>53.230600000000003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19434</v>
      </c>
      <c r="D134" s="61">
        <f>FH!B134*1</f>
        <v>19434</v>
      </c>
      <c r="E134">
        <f t="shared" si="15"/>
        <v>132</v>
      </c>
      <c r="F134" s="61">
        <f>IF(FT!A134&lt;&gt;"",FT!A134*10,"")</f>
        <v>2.7080799999999998</v>
      </c>
      <c r="G134" s="61">
        <f>IF(FT!B134&lt;&gt;"",FT!B134*100,"")</f>
        <v>47.256300000000003</v>
      </c>
      <c r="H134" s="61">
        <f t="shared" si="13"/>
        <v>1</v>
      </c>
      <c r="I134" t="str">
        <f>IF(FT!B134&lt;&gt;"",FT!E134,"")</f>
        <v>2 [53.635640]</v>
      </c>
      <c r="J134">
        <f>IF(FT!B134&lt;&gt;"",FT!C134,"")</f>
        <v>53.635599999999997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2.7109899999999998</v>
      </c>
      <c r="G135" s="61">
        <f>IF(FT!B135&lt;&gt;"",FT!B135*100,"")</f>
        <v>47.339399999999998</v>
      </c>
      <c r="H135" s="61">
        <f t="shared" si="13"/>
        <v>1</v>
      </c>
      <c r="I135" t="str">
        <f>IF(FT!B135&lt;&gt;"",FT!E135,"")</f>
        <v>2 [54.043850]</v>
      </c>
      <c r="J135">
        <f>IF(FT!B135&lt;&gt;"",FT!C135,"")</f>
        <v>54.043900000000001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16365</v>
      </c>
      <c r="D136" s="61">
        <f>FH!B136*1</f>
        <v>16365</v>
      </c>
      <c r="E136">
        <f t="shared" si="15"/>
        <v>134</v>
      </c>
      <c r="F136" s="61">
        <f>IF(FT!A136&lt;&gt;"",FT!A136*10,"")</f>
        <v>2.7158300000000004</v>
      </c>
      <c r="G136" s="61">
        <f>IF(FT!B136&lt;&gt;"",FT!B136*100,"")</f>
        <v>47.352899999999998</v>
      </c>
      <c r="H136" s="61">
        <f t="shared" si="13"/>
        <v>1</v>
      </c>
      <c r="I136" t="str">
        <f>IF(FT!B136&lt;&gt;"",FT!E136,"")</f>
        <v>2 [54.448432]</v>
      </c>
      <c r="J136">
        <f>IF(FT!B136&lt;&gt;"",FT!C136,"")</f>
        <v>54.448399999999999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2.72262</v>
      </c>
      <c r="G137" s="61">
        <f>IF(FT!B137&lt;&gt;"",FT!B137*100,"")</f>
        <v>47.331699999999998</v>
      </c>
      <c r="H137" s="61">
        <f t="shared" si="13"/>
        <v>1</v>
      </c>
      <c r="I137" t="str">
        <f>IF(FT!B137&lt;&gt;"",FT!E137,"")</f>
        <v>2 [54.858286]</v>
      </c>
      <c r="J137">
        <f>IF(FT!B137&lt;&gt;"",FT!C137,"")</f>
        <v>54.8583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2.7308500000000002</v>
      </c>
      <c r="G138" s="61">
        <f>IF(FT!B138&lt;&gt;"",FT!B138*100,"")</f>
        <v>47.316699999999997</v>
      </c>
      <c r="H138" s="61">
        <f t="shared" si="13"/>
        <v>1</v>
      </c>
      <c r="I138" t="str">
        <f>IF(FT!B138&lt;&gt;"",FT!E138,"")</f>
        <v>2 [55.262249]</v>
      </c>
      <c r="J138">
        <f>IF(FT!B138&lt;&gt;"",FT!C138,"")</f>
        <v>55.2622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13200</v>
      </c>
      <c r="D139" s="61">
        <f>FH!B139*1</f>
        <v>13200</v>
      </c>
      <c r="E139">
        <f t="shared" si="15"/>
        <v>137</v>
      </c>
      <c r="F139" s="61">
        <f>IF(FT!A139&lt;&gt;"",FT!A139*10,"")</f>
        <v>2.7404299999999999</v>
      </c>
      <c r="G139" s="61">
        <f>IF(FT!B139&lt;&gt;"",FT!B139*100,"")</f>
        <v>47.313300000000005</v>
      </c>
      <c r="H139" s="61">
        <f t="shared" si="13"/>
        <v>1</v>
      </c>
      <c r="I139" t="str">
        <f>IF(FT!B139&lt;&gt;"",FT!E139,"")</f>
        <v>2 [55.668169]</v>
      </c>
      <c r="J139">
        <f>IF(FT!B139&lt;&gt;"",FT!C139,"")</f>
        <v>55.668199999999999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2.7515800000000001</v>
      </c>
      <c r="G140" s="61">
        <f>IF(FT!B140&lt;&gt;"",FT!B140*100,"")</f>
        <v>47.327999999999996</v>
      </c>
      <c r="H140" s="61">
        <f t="shared" si="13"/>
        <v>1</v>
      </c>
      <c r="I140" t="str">
        <f>IF(FT!B140&lt;&gt;"",FT!E140,"")</f>
        <v>2 [56.076256]</v>
      </c>
      <c r="J140">
        <f>IF(FT!B140&lt;&gt;"",FT!C140,"")</f>
        <v>56.076300000000003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2.7645999999999997</v>
      </c>
      <c r="G141" s="61">
        <f>IF(FT!B141&lt;&gt;"",FT!B141*100,"")</f>
        <v>47.3538</v>
      </c>
      <c r="H141" s="61">
        <f t="shared" si="13"/>
        <v>1</v>
      </c>
      <c r="I141" t="str">
        <f>IF(FT!B141&lt;&gt;"",FT!E141,"")</f>
        <v>2 [56.482965]</v>
      </c>
      <c r="J141">
        <f>IF(FT!B141&lt;&gt;"",FT!C141,"")</f>
        <v>56.482999999999997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11086</v>
      </c>
      <c r="D142" s="61">
        <f>FH!B142*1</f>
        <v>11086</v>
      </c>
      <c r="E142">
        <f t="shared" si="15"/>
        <v>140</v>
      </c>
      <c r="F142" s="61">
        <f>IF(FT!A142&lt;&gt;"",FT!A142*10,"")</f>
        <v>2.7843099999999996</v>
      </c>
      <c r="G142" s="61">
        <f>IF(FT!B142&lt;&gt;"",FT!B142*100,"")</f>
        <v>47.474299999999999</v>
      </c>
      <c r="H142" s="61">
        <f t="shared" si="13"/>
        <v>1</v>
      </c>
      <c r="I142" t="str">
        <f>IF(FT!B142&lt;&gt;"",FT!E142,"")</f>
        <v>2 [56.888864]</v>
      </c>
      <c r="J142">
        <f>IF(FT!B142&lt;&gt;"",FT!C142,"")</f>
        <v>56.8889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2.8184900000000002</v>
      </c>
      <c r="G143" s="61">
        <f>IF(FT!B143&lt;&gt;"",FT!B143*100,"")</f>
        <v>47.639800000000001</v>
      </c>
      <c r="H143" s="61">
        <f t="shared" si="13"/>
        <v>1</v>
      </c>
      <c r="I143" t="str">
        <f>IF(FT!B143&lt;&gt;"",FT!E143,"")</f>
        <v>2 [57.298799]</v>
      </c>
      <c r="J143">
        <f>IF(FT!B143&lt;&gt;"",FT!C143,"")</f>
        <v>57.2988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8750</v>
      </c>
      <c r="D144" s="61">
        <f>FH!B144*1</f>
        <v>8750</v>
      </c>
      <c r="E144">
        <f t="shared" si="15"/>
        <v>142</v>
      </c>
      <c r="F144" s="61">
        <f>IF(FT!A144&lt;&gt;"",FT!A144*10,"")</f>
        <v>2.8623099999999999</v>
      </c>
      <c r="G144" s="61">
        <f>IF(FT!B144&lt;&gt;"",FT!B144*100,"")</f>
        <v>47.690599999999996</v>
      </c>
      <c r="H144" s="61">
        <f t="shared" si="13"/>
        <v>1</v>
      </c>
      <c r="I144" t="str">
        <f>IF(FT!B144&lt;&gt;"",FT!E144,"")</f>
        <v>2 [57.700691]</v>
      </c>
      <c r="J144">
        <f>IF(FT!B144&lt;&gt;"",FT!C144,"")</f>
        <v>57.700699999999998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2.9047499999999999</v>
      </c>
      <c r="G145" s="61">
        <f>IF(FT!B145&lt;&gt;"",FT!B145*100,"")</f>
        <v>47.7637</v>
      </c>
      <c r="H145" s="61">
        <f t="shared" si="13"/>
        <v>1</v>
      </c>
      <c r="I145" t="str">
        <f>IF(FT!B145&lt;&gt;"",FT!E145,"")</f>
        <v>2 [58.105709]</v>
      </c>
      <c r="J145">
        <f>IF(FT!B145&lt;&gt;"",FT!C145,"")</f>
        <v>58.105699999999999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2.93533</v>
      </c>
      <c r="G146" s="61">
        <f>IF(FT!B146&lt;&gt;"",FT!B146*100,"")</f>
        <v>47.897199999999998</v>
      </c>
      <c r="H146" s="61">
        <f t="shared" si="13"/>
        <v>1</v>
      </c>
      <c r="I146" t="str">
        <f>IF(FT!B146&lt;&gt;"",FT!E146,"")</f>
        <v>2 [58.511638]</v>
      </c>
      <c r="J146">
        <f>IF(FT!B146&lt;&gt;"",FT!C146,"")</f>
        <v>58.511600000000001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7365</v>
      </c>
      <c r="D147" s="61">
        <f>FH!B147*1</f>
        <v>7365</v>
      </c>
      <c r="E147">
        <f t="shared" si="15"/>
        <v>145</v>
      </c>
      <c r="F147" s="61">
        <f>IF(FT!A147&lt;&gt;"",FT!A147*10,"")</f>
        <v>2.96957</v>
      </c>
      <c r="G147" s="61">
        <f>IF(FT!B147&lt;&gt;"",FT!B147*100,"")</f>
        <v>47.830600000000004</v>
      </c>
      <c r="H147" s="61">
        <f t="shared" si="13"/>
        <v>1</v>
      </c>
      <c r="I147" t="str">
        <f>IF(FT!B147&lt;&gt;"",FT!E147,"")</f>
        <v>2 [58.921506]</v>
      </c>
      <c r="J147">
        <f>IF(FT!B147&lt;&gt;"",FT!C147,"")</f>
        <v>58.921500000000002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2.9939500000000003</v>
      </c>
      <c r="G148" s="61">
        <f>IF(FT!B148&lt;&gt;"",FT!B148*100,"")</f>
        <v>47.267199999999995</v>
      </c>
      <c r="H148" s="61">
        <f t="shared" si="13"/>
        <v>1</v>
      </c>
      <c r="I148" t="str">
        <f>IF(FT!B148&lt;&gt;"",FT!E148,"")</f>
        <v>2 [59.327331]</v>
      </c>
      <c r="J148">
        <f>IF(FT!B148&lt;&gt;"",FT!C148,"")</f>
        <v>59.327300000000001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4390</v>
      </c>
      <c r="D149" s="61">
        <f>FH!B149*1</f>
        <v>4390</v>
      </c>
      <c r="E149">
        <f t="shared" si="15"/>
        <v>147</v>
      </c>
      <c r="F149" s="61">
        <f>IF(FT!A149&lt;&gt;"",FT!A149*10,"")</f>
        <v>3.0165500000000001</v>
      </c>
      <c r="G149" s="61">
        <f>IF(FT!B149&lt;&gt;"",FT!B149*100,"")</f>
        <v>46.6023</v>
      </c>
      <c r="H149" s="61">
        <f t="shared" si="13"/>
        <v>1</v>
      </c>
      <c r="I149" t="str">
        <f>IF(FT!B149&lt;&gt;"",FT!E149,"")</f>
        <v>2 [59.733413]</v>
      </c>
      <c r="J149">
        <f>IF(FT!B149&lt;&gt;"",FT!C149,"")</f>
        <v>59.733400000000003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3967</v>
      </c>
      <c r="D152" s="61">
        <f>FH!B152*1</f>
        <v>3967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2717</v>
      </c>
      <c r="D154" s="61">
        <f>FH!B154*1</f>
        <v>2717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2724</v>
      </c>
      <c r="D157" s="61">
        <f>FH!B157*1</f>
        <v>2724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2207</v>
      </c>
      <c r="D160" s="61">
        <f>FH!B160*1</f>
        <v>2207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1589</v>
      </c>
      <c r="D162" s="61">
        <f>FH!B162*1</f>
        <v>1589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1092</v>
      </c>
      <c r="D165" s="61">
        <f>FH!B165*1</f>
        <v>1092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242</v>
      </c>
      <c r="D167" s="61">
        <f>FH!B167*1</f>
        <v>242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34.506599999999999</v>
      </c>
      <c r="C5" s="66">
        <v>5.9445499999999996</v>
      </c>
      <c r="D5" s="66">
        <v>17.2273</v>
      </c>
      <c r="E5" s="66">
        <v>20</v>
      </c>
      <c r="F5" s="66">
        <v>10.4857</v>
      </c>
      <c r="G5" s="66">
        <v>50</v>
      </c>
      <c r="H5" s="66">
        <v>41.777500000000003</v>
      </c>
    </row>
    <row r="6" spans="1:8">
      <c r="A6" s="58" t="s">
        <v>303</v>
      </c>
      <c r="B6" s="66">
        <v>42.826500000000003</v>
      </c>
      <c r="C6" s="66">
        <v>2.9438399999999998</v>
      </c>
      <c r="D6" s="66">
        <v>6.8738799999999998</v>
      </c>
      <c r="E6" s="66">
        <v>20</v>
      </c>
      <c r="F6" s="66">
        <v>34.434600000000003</v>
      </c>
      <c r="G6" s="66">
        <v>40</v>
      </c>
      <c r="H6" s="66">
        <v>48.668100000000003</v>
      </c>
    </row>
    <row r="7" spans="1:8">
      <c r="A7" s="58" t="s">
        <v>304</v>
      </c>
      <c r="B7" s="66">
        <v>30.900700000000001</v>
      </c>
      <c r="C7" s="66">
        <v>6.9589100000000004</v>
      </c>
      <c r="D7" s="66">
        <v>22.520199999999999</v>
      </c>
      <c r="E7" s="66">
        <v>15</v>
      </c>
      <c r="F7" s="66">
        <v>11.9145</v>
      </c>
      <c r="G7" s="66">
        <v>40</v>
      </c>
      <c r="H7" s="66">
        <v>46.174900000000001</v>
      </c>
    </row>
    <row r="8" spans="1:8">
      <c r="A8" s="58" t="s">
        <v>305</v>
      </c>
      <c r="B8" s="66">
        <v>35.743899999999996</v>
      </c>
      <c r="C8" s="66">
        <v>3.5535899999999998</v>
      </c>
      <c r="D8" s="66">
        <v>9.9418100000000003</v>
      </c>
      <c r="E8" s="66">
        <v>20</v>
      </c>
      <c r="F8" s="66">
        <v>21.429400000000001</v>
      </c>
      <c r="G8" s="66">
        <v>50</v>
      </c>
      <c r="H8" s="66">
        <v>40.0017</v>
      </c>
    </row>
    <row r="9" spans="1:8">
      <c r="A9" s="58" t="s">
        <v>306</v>
      </c>
      <c r="B9" s="66">
        <v>57.6053</v>
      </c>
      <c r="C9" s="66">
        <v>5.9801700000000002</v>
      </c>
      <c r="D9" s="66">
        <v>10.3813</v>
      </c>
      <c r="E9" s="66">
        <v>50</v>
      </c>
      <c r="F9" s="66">
        <v>37.471499999999999</v>
      </c>
      <c r="G9" s="66">
        <v>100</v>
      </c>
      <c r="H9" s="66">
        <v>70.139200000000002</v>
      </c>
    </row>
    <row r="10" spans="1:8">
      <c r="A10" s="58" t="s">
        <v>307</v>
      </c>
      <c r="B10" s="66">
        <v>62.281300000000002</v>
      </c>
      <c r="C10" s="66">
        <v>8.8976199999999999</v>
      </c>
      <c r="D10" s="66">
        <v>14.286199999999999</v>
      </c>
      <c r="E10" s="66">
        <v>40</v>
      </c>
      <c r="F10" s="66">
        <v>42.146900000000002</v>
      </c>
      <c r="G10" s="66">
        <v>100</v>
      </c>
      <c r="H10" s="66">
        <v>74.942899999999995</v>
      </c>
    </row>
    <row r="11" spans="1:8">
      <c r="A11" s="58" t="s">
        <v>308</v>
      </c>
      <c r="B11" s="66">
        <v>15.7113</v>
      </c>
      <c r="C11" s="66">
        <v>2.65259</v>
      </c>
      <c r="D11" s="66">
        <v>16.883400000000002</v>
      </c>
      <c r="E11" s="66">
        <v>10</v>
      </c>
      <c r="F11" s="66">
        <v>7.0598599999999996</v>
      </c>
      <c r="G11" s="66">
        <v>50</v>
      </c>
      <c r="H11" s="66">
        <v>20.089500000000001</v>
      </c>
    </row>
    <row r="12" spans="1:8">
      <c r="A12" s="58" t="s">
        <v>309</v>
      </c>
      <c r="B12" s="66">
        <v>59.351799999999997</v>
      </c>
      <c r="C12" s="66">
        <v>5.9699600000000004</v>
      </c>
      <c r="D12" s="66">
        <v>10.0586</v>
      </c>
      <c r="E12" s="66">
        <v>50</v>
      </c>
      <c r="F12" s="66">
        <v>42.192100000000003</v>
      </c>
      <c r="G12" s="66">
        <v>100</v>
      </c>
      <c r="H12" s="66">
        <v>71.569699999999997</v>
      </c>
    </row>
    <row r="13" spans="1:8">
      <c r="A13" s="58" t="s">
        <v>310</v>
      </c>
      <c r="B13" s="66">
        <v>21.7379</v>
      </c>
      <c r="C13" s="66">
        <v>4.3794899999999997</v>
      </c>
      <c r="D13" s="66">
        <v>20.146799999999999</v>
      </c>
      <c r="E13" s="66">
        <v>10</v>
      </c>
      <c r="F13" s="66">
        <v>15.970499999999999</v>
      </c>
      <c r="G13" s="66">
        <v>25</v>
      </c>
      <c r="H13" s="66">
        <v>39.134799999999998</v>
      </c>
    </row>
    <row r="14" spans="1:8">
      <c r="A14" s="58" t="s">
        <v>311</v>
      </c>
      <c r="B14" s="66">
        <v>43.794899999999998</v>
      </c>
      <c r="C14" s="66">
        <v>18.344000000000001</v>
      </c>
      <c r="D14" s="66">
        <v>41.886099999999999</v>
      </c>
      <c r="E14" s="66">
        <v>10</v>
      </c>
      <c r="F14" s="66">
        <v>3.0363699999999998</v>
      </c>
      <c r="G14" s="66">
        <v>50</v>
      </c>
      <c r="H14" s="66">
        <v>66.396500000000003</v>
      </c>
    </row>
    <row r="15" spans="1:8">
      <c r="A15" s="58" t="s">
        <v>312</v>
      </c>
      <c r="B15" s="66">
        <v>-2.3716399999999999E-2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3.4630500000000002E-2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17.020499999999998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0.59869899999999998</v>
      </c>
      <c r="C18" s="66">
        <v>6.4249299999999997E-3</v>
      </c>
      <c r="D18" s="66">
        <v>1.07315E-2</v>
      </c>
      <c r="E18" s="66">
        <v>0</v>
      </c>
      <c r="F18" s="66">
        <v>0.59227399999999997</v>
      </c>
      <c r="G18" s="66">
        <v>0</v>
      </c>
      <c r="H18" s="66">
        <v>0.605124</v>
      </c>
    </row>
    <row r="19" spans="1:8">
      <c r="A19" s="58" t="s">
        <v>316</v>
      </c>
      <c r="B19" s="66">
        <v>0.67075300000000004</v>
      </c>
      <c r="C19" s="66">
        <v>8.1613699999999998E-4</v>
      </c>
      <c r="D19" s="66">
        <v>1.2167499999999999E-3</v>
      </c>
      <c r="E19" s="66">
        <v>0</v>
      </c>
      <c r="F19" s="66">
        <v>0.66993599999999998</v>
      </c>
      <c r="G19" s="66">
        <v>0</v>
      </c>
      <c r="H19" s="66">
        <v>0.67156899999999997</v>
      </c>
    </row>
    <row r="20" spans="1:8">
      <c r="A20" s="58" t="s">
        <v>317</v>
      </c>
      <c r="B20" s="66">
        <v>1.3949599999999999E-4</v>
      </c>
      <c r="C20" s="66">
        <v>1.78268E-2</v>
      </c>
      <c r="D20" s="66">
        <v>127.794</v>
      </c>
      <c r="E20" s="66">
        <v>0</v>
      </c>
      <c r="F20" s="66">
        <v>0</v>
      </c>
      <c r="G20" s="66">
        <v>0</v>
      </c>
      <c r="H20" s="66">
        <v>0.14338999999999999</v>
      </c>
    </row>
    <row r="21" spans="1:8">
      <c r="A21" s="58" t="s">
        <v>318</v>
      </c>
      <c r="B21" s="66">
        <v>5.7816300000000001E-2</v>
      </c>
      <c r="C21" s="66">
        <v>0.29303699999999999</v>
      </c>
      <c r="D21" s="66">
        <v>5.0684100000000001</v>
      </c>
      <c r="E21" s="66">
        <v>0</v>
      </c>
      <c r="F21" s="196">
        <v>1.9646100000000002E-5</v>
      </c>
      <c r="G21" s="66">
        <v>0</v>
      </c>
      <c r="H21" s="66">
        <v>2.7672400000000001</v>
      </c>
    </row>
    <row r="22" spans="1:8">
      <c r="A22" s="58" t="s">
        <v>319</v>
      </c>
      <c r="B22" s="66">
        <v>42.2744</v>
      </c>
      <c r="C22" s="66">
        <v>17.565200000000001</v>
      </c>
      <c r="D22" s="66">
        <v>0.41550500000000001</v>
      </c>
      <c r="E22" s="66">
        <v>0</v>
      </c>
      <c r="F22" s="66">
        <v>20.357800000000001</v>
      </c>
      <c r="G22" s="66">
        <v>0</v>
      </c>
      <c r="H22" s="66">
        <v>152.03</v>
      </c>
    </row>
    <row r="23" spans="1:8">
      <c r="A23" s="58" t="s">
        <v>320</v>
      </c>
      <c r="B23" s="66">
        <v>15.0364</v>
      </c>
      <c r="C23" s="66">
        <v>1.7980499999999999</v>
      </c>
      <c r="D23" s="66">
        <v>0.11958000000000001</v>
      </c>
      <c r="E23" s="66">
        <v>0</v>
      </c>
      <c r="F23" s="66">
        <v>8.8668999999999993</v>
      </c>
      <c r="G23" s="66">
        <v>0</v>
      </c>
      <c r="H23" s="66">
        <v>17.6723</v>
      </c>
    </row>
    <row r="24" spans="1:8">
      <c r="A24" s="58" t="s">
        <v>321</v>
      </c>
      <c r="B24" s="66">
        <v>7.2559100000000004E-4</v>
      </c>
      <c r="C24" s="66">
        <v>1.3044200000000001E-2</v>
      </c>
      <c r="D24" s="66">
        <v>17.977399999999999</v>
      </c>
      <c r="E24" s="66">
        <v>0</v>
      </c>
      <c r="F24" s="196">
        <v>1.07295E-6</v>
      </c>
      <c r="G24" s="66">
        <v>0</v>
      </c>
      <c r="H24" s="66">
        <v>0.10644199999999999</v>
      </c>
    </row>
    <row r="25" spans="1:8">
      <c r="A25" s="58" t="s">
        <v>322</v>
      </c>
      <c r="B25" s="66">
        <v>7.75198E-2</v>
      </c>
      <c r="C25" s="66">
        <v>0.21096899999999999</v>
      </c>
      <c r="D25" s="66">
        <v>2.7214800000000001</v>
      </c>
      <c r="E25" s="66">
        <v>0</v>
      </c>
      <c r="F25" s="66">
        <v>1.05507E-2</v>
      </c>
      <c r="G25" s="66">
        <v>0</v>
      </c>
      <c r="H25" s="66">
        <v>1.3949199999999999</v>
      </c>
    </row>
    <row r="26" spans="1:8">
      <c r="A26" s="58" t="s">
        <v>323</v>
      </c>
      <c r="B26" s="196">
        <v>6.5651300000000006E-5</v>
      </c>
      <c r="C26" s="66">
        <v>1.9521199999999999E-3</v>
      </c>
      <c r="D26" s="66">
        <v>29.7346</v>
      </c>
      <c r="E26" s="66">
        <v>0</v>
      </c>
      <c r="F26" s="66">
        <v>0</v>
      </c>
      <c r="G26" s="66">
        <v>0</v>
      </c>
      <c r="H26" s="66">
        <v>1.59007E-2</v>
      </c>
    </row>
    <row r="27" spans="1:8">
      <c r="A27" s="58" t="s">
        <v>324</v>
      </c>
      <c r="B27" s="66">
        <v>0</v>
      </c>
      <c r="C27" s="66">
        <v>9.9275699999999993E-4</v>
      </c>
      <c r="D27" s="66">
        <v>0</v>
      </c>
      <c r="E27" s="66">
        <v>0</v>
      </c>
      <c r="F27" s="66">
        <v>-1.0871799999999999E-2</v>
      </c>
      <c r="G27" s="66">
        <v>0</v>
      </c>
      <c r="H27" s="66">
        <v>1.0438599999999999E-2</v>
      </c>
    </row>
    <row r="28" spans="1:8">
      <c r="A28" s="58" t="s">
        <v>325</v>
      </c>
      <c r="B28" s="66">
        <v>7.45117E-3</v>
      </c>
      <c r="C28" s="66">
        <v>1.9073E-2</v>
      </c>
      <c r="D28" s="66">
        <v>2.5597300000000001</v>
      </c>
      <c r="E28" s="66">
        <v>0</v>
      </c>
      <c r="F28" s="196">
        <v>6.5104200000000001E-6</v>
      </c>
      <c r="G28" s="66">
        <v>0</v>
      </c>
      <c r="H28" s="66">
        <v>0.154362</v>
      </c>
    </row>
    <row r="29" spans="1:8">
      <c r="A29" s="58" t="s">
        <v>326</v>
      </c>
      <c r="B29" s="66">
        <v>73.738799999999998</v>
      </c>
      <c r="C29" s="66">
        <v>11.445</v>
      </c>
      <c r="D29" s="66">
        <v>0.15521099999999999</v>
      </c>
      <c r="E29" s="66">
        <v>0</v>
      </c>
      <c r="F29" s="66">
        <v>49.9452</v>
      </c>
      <c r="G29" s="66">
        <v>0</v>
      </c>
      <c r="H29" s="66">
        <v>128.84200000000001</v>
      </c>
    </row>
    <row r="30" spans="1:8">
      <c r="A30" s="58" t="s">
        <v>327</v>
      </c>
      <c r="B30" s="66">
        <v>18.906400000000001</v>
      </c>
      <c r="C30" s="66">
        <v>2.9034200000000001</v>
      </c>
      <c r="D30" s="66">
        <v>0.15356800000000001</v>
      </c>
      <c r="E30" s="66">
        <v>0</v>
      </c>
      <c r="F30" s="66">
        <v>10.723800000000001</v>
      </c>
      <c r="G30" s="66">
        <v>0</v>
      </c>
      <c r="H30" s="66">
        <v>24.708400000000001</v>
      </c>
    </row>
    <row r="31" spans="1:8">
      <c r="A31" s="58" t="s">
        <v>328</v>
      </c>
      <c r="B31" s="66">
        <v>156.57400000000001</v>
      </c>
      <c r="C31" s="66">
        <v>38.940399999999997</v>
      </c>
      <c r="D31" s="66">
        <v>0.24870300000000001</v>
      </c>
      <c r="E31" s="66">
        <v>0</v>
      </c>
      <c r="F31" s="66">
        <v>41.282400000000003</v>
      </c>
      <c r="G31" s="66">
        <v>0</v>
      </c>
      <c r="H31" s="66">
        <v>199.13499999999999</v>
      </c>
    </row>
    <row r="32" spans="1:8">
      <c r="A32" s="58" t="s">
        <v>329</v>
      </c>
      <c r="B32" s="66">
        <v>0.30900699999999998</v>
      </c>
      <c r="C32" s="66">
        <v>6.9589100000000001E-2</v>
      </c>
      <c r="D32" s="66">
        <v>0.22520200000000001</v>
      </c>
      <c r="E32" s="66">
        <v>0.15</v>
      </c>
      <c r="F32" s="66">
        <v>0.119145</v>
      </c>
      <c r="G32" s="66">
        <v>0.4</v>
      </c>
      <c r="H32" s="66">
        <v>0.46174900000000002</v>
      </c>
    </row>
    <row r="33" spans="1:8">
      <c r="A33" s="58" t="s">
        <v>330</v>
      </c>
      <c r="B33" s="66">
        <v>0.32603399999999999</v>
      </c>
      <c r="C33" s="66">
        <v>7.4364700000000006E-2</v>
      </c>
      <c r="D33" s="66">
        <v>0.22808899999999999</v>
      </c>
      <c r="E33" s="66">
        <v>0</v>
      </c>
      <c r="F33" s="66">
        <v>0.19731199999999999</v>
      </c>
      <c r="G33" s="66">
        <v>0</v>
      </c>
      <c r="H33" s="66">
        <v>0.43418400000000001</v>
      </c>
    </row>
    <row r="34" spans="1:8">
      <c r="A34" s="58" t="s">
        <v>331</v>
      </c>
      <c r="B34" s="66">
        <v>0.21737899999999999</v>
      </c>
      <c r="C34" s="66">
        <v>4.3794899999999998E-2</v>
      </c>
      <c r="D34" s="66">
        <v>0.20146800000000001</v>
      </c>
      <c r="E34" s="66">
        <v>0.1</v>
      </c>
      <c r="F34" s="66">
        <v>0.15970500000000001</v>
      </c>
      <c r="G34" s="66">
        <v>0.25</v>
      </c>
      <c r="H34" s="66">
        <v>0.39134799999999997</v>
      </c>
    </row>
    <row r="35" spans="1:8">
      <c r="A35" s="58" t="s">
        <v>332</v>
      </c>
      <c r="B35" s="66">
        <v>9.1481800000000002E-2</v>
      </c>
      <c r="C35" s="66">
        <v>3.3274499999999999E-2</v>
      </c>
      <c r="D35" s="66">
        <v>0.363728</v>
      </c>
      <c r="E35" s="66">
        <v>0</v>
      </c>
      <c r="F35" s="66">
        <v>4.2513700000000001E-2</v>
      </c>
      <c r="G35" s="66">
        <v>0</v>
      </c>
      <c r="H35" s="66">
        <v>0.201437</v>
      </c>
    </row>
    <row r="36" spans="1:8">
      <c r="A36" s="58" t="s">
        <v>333</v>
      </c>
      <c r="B36" s="66">
        <v>0.183175</v>
      </c>
      <c r="C36" s="66">
        <v>0.110706</v>
      </c>
      <c r="D36" s="66">
        <v>0.60437200000000002</v>
      </c>
      <c r="E36" s="66">
        <v>0</v>
      </c>
      <c r="F36" s="66">
        <v>3.79923E-2</v>
      </c>
      <c r="G36" s="66">
        <v>0</v>
      </c>
      <c r="H36" s="66">
        <v>0.71321000000000001</v>
      </c>
    </row>
    <row r="37" spans="1:8">
      <c r="A37" s="58" t="s">
        <v>334</v>
      </c>
      <c r="B37" s="66">
        <v>0.43794899999999998</v>
      </c>
      <c r="C37" s="66">
        <v>0.18343999999999999</v>
      </c>
      <c r="D37" s="66">
        <v>0.41886099999999998</v>
      </c>
      <c r="E37" s="66">
        <v>0.1</v>
      </c>
      <c r="F37" s="66">
        <v>3.03637E-2</v>
      </c>
      <c r="G37" s="66">
        <v>0.5</v>
      </c>
      <c r="H37" s="66">
        <v>0.66396500000000003</v>
      </c>
    </row>
    <row r="38" spans="1:8">
      <c r="A38" s="58" t="s">
        <v>335</v>
      </c>
      <c r="B38" s="66">
        <v>-17.099499999999999</v>
      </c>
      <c r="C38" s="66">
        <v>52.753300000000003</v>
      </c>
      <c r="D38" s="66">
        <v>-3.08507</v>
      </c>
      <c r="E38" s="66">
        <v>0</v>
      </c>
      <c r="F38" s="66">
        <v>-113.268</v>
      </c>
      <c r="G38" s="66">
        <v>0</v>
      </c>
      <c r="H38" s="66">
        <v>370.529</v>
      </c>
    </row>
    <row r="39" spans="1:8">
      <c r="A39" s="58" t="s">
        <v>336</v>
      </c>
      <c r="B39" s="66">
        <v>-6.3358400000000001</v>
      </c>
      <c r="C39" s="66">
        <v>5.28498</v>
      </c>
      <c r="D39" s="66">
        <v>-0.83414100000000002</v>
      </c>
      <c r="E39" s="66">
        <v>0</v>
      </c>
      <c r="F39" s="66">
        <v>-25.0626</v>
      </c>
      <c r="G39" s="66">
        <v>0</v>
      </c>
      <c r="H39" s="66">
        <v>17.6493</v>
      </c>
    </row>
    <row r="40" spans="1:8">
      <c r="A40" s="58" t="s">
        <v>337</v>
      </c>
      <c r="B40" s="66">
        <v>-2.7174700000000001</v>
      </c>
      <c r="C40" s="66">
        <v>0.50504800000000005</v>
      </c>
      <c r="D40" s="66">
        <v>-0.18585199999999999</v>
      </c>
      <c r="E40" s="66">
        <v>0</v>
      </c>
      <c r="F40" s="66">
        <v>-3.7213500000000002</v>
      </c>
      <c r="G40" s="66">
        <v>0</v>
      </c>
      <c r="H40" s="66">
        <v>-1.50902</v>
      </c>
    </row>
    <row r="41" spans="1:8">
      <c r="A41" s="58" t="s">
        <v>338</v>
      </c>
      <c r="B41" s="66">
        <v>-0.156724</v>
      </c>
      <c r="C41" s="66">
        <v>0.34840100000000002</v>
      </c>
      <c r="D41" s="66">
        <v>-2.22302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-0.14824100000000001</v>
      </c>
      <c r="C42" s="66">
        <v>8.6611099999999996E-2</v>
      </c>
      <c r="D42" s="66">
        <v>-0.58425899999999997</v>
      </c>
      <c r="E42" s="66">
        <v>0</v>
      </c>
      <c r="F42" s="66">
        <v>-0.42438900000000002</v>
      </c>
      <c r="G42" s="66">
        <v>0</v>
      </c>
      <c r="H42" s="66">
        <v>0.245194</v>
      </c>
    </row>
    <row r="43" spans="1:8">
      <c r="A43" s="58" t="s">
        <v>340</v>
      </c>
      <c r="B43" s="66">
        <v>-0.15198400000000001</v>
      </c>
      <c r="C43" s="66">
        <v>8.1128500000000006E-2</v>
      </c>
      <c r="D43" s="66">
        <v>-0.53379500000000002</v>
      </c>
      <c r="E43" s="66">
        <v>0</v>
      </c>
      <c r="F43" s="66">
        <v>-0.24774499999999999</v>
      </c>
      <c r="G43" s="66">
        <v>0</v>
      </c>
      <c r="H43" s="66">
        <v>2.3250900000000001E-2</v>
      </c>
    </row>
    <row r="44" spans="1:8">
      <c r="A44" s="58" t="s">
        <v>341</v>
      </c>
      <c r="B44" s="66">
        <v>-13.430300000000001</v>
      </c>
      <c r="C44" s="66">
        <v>7.4499500000000003</v>
      </c>
      <c r="D44" s="66">
        <v>-0.55471099999999995</v>
      </c>
      <c r="E44" s="66">
        <v>0</v>
      </c>
      <c r="F44" s="66">
        <v>-30.011199999999999</v>
      </c>
      <c r="G44" s="66">
        <v>0</v>
      </c>
      <c r="H44" s="66">
        <v>1.02728</v>
      </c>
    </row>
    <row r="45" spans="1:8">
      <c r="A45" s="58" t="s">
        <v>342</v>
      </c>
      <c r="B45" s="66">
        <v>57.424399999999999</v>
      </c>
      <c r="C45" s="66">
        <v>8.5435400000000001</v>
      </c>
      <c r="D45" s="66">
        <v>0.14877899999999999</v>
      </c>
      <c r="E45" s="66">
        <v>0</v>
      </c>
      <c r="F45" s="66">
        <v>36.770000000000003</v>
      </c>
      <c r="G45" s="66">
        <v>0</v>
      </c>
      <c r="H45" s="66">
        <v>82.988100000000003</v>
      </c>
    </row>
    <row r="46" spans="1:8">
      <c r="A46" s="58" t="s">
        <v>343</v>
      </c>
      <c r="B46" s="66">
        <v>28.498100000000001</v>
      </c>
      <c r="C46" s="66">
        <v>4.391</v>
      </c>
      <c r="D46" s="66">
        <v>0.154081</v>
      </c>
      <c r="E46" s="66">
        <v>0</v>
      </c>
      <c r="F46" s="66">
        <v>8.1214300000000001</v>
      </c>
      <c r="G46" s="66">
        <v>0</v>
      </c>
      <c r="H46" s="66">
        <v>32.5991</v>
      </c>
    </row>
    <row r="47" spans="1:8">
      <c r="A47" s="58" t="s">
        <v>344</v>
      </c>
      <c r="B47" s="66">
        <v>1.0385800000000001</v>
      </c>
      <c r="C47" s="66">
        <v>0.41094999999999998</v>
      </c>
      <c r="D47" s="66">
        <v>0.39568399999999998</v>
      </c>
      <c r="E47" s="66">
        <v>0</v>
      </c>
      <c r="F47" s="66">
        <v>0.346636</v>
      </c>
      <c r="G47" s="66">
        <v>0</v>
      </c>
      <c r="H47" s="66">
        <v>2.5993400000000002</v>
      </c>
    </row>
    <row r="48" spans="1:8">
      <c r="A48" s="58" t="s">
        <v>345</v>
      </c>
      <c r="B48" s="66">
        <v>0.65442400000000001</v>
      </c>
      <c r="C48" s="66">
        <v>0.24526600000000001</v>
      </c>
      <c r="D48" s="66">
        <v>0.374782</v>
      </c>
      <c r="E48" s="66">
        <v>0</v>
      </c>
      <c r="F48" s="66">
        <v>0.36485899999999999</v>
      </c>
      <c r="G48" s="66">
        <v>0</v>
      </c>
      <c r="H48" s="66">
        <v>1.8555699999999999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0.83230000000000359</v>
      </c>
      <c r="C5" s="66">
        <f>'M2'!C5-'M1'!C5</f>
        <v>-4.6614399999999998</v>
      </c>
      <c r="D5" s="66">
        <f>'M2'!D5-'M1'!D5</f>
        <v>-13.881979999999999</v>
      </c>
      <c r="E5" s="66">
        <f>'M2'!E5-'M1'!E5</f>
        <v>0</v>
      </c>
      <c r="F5" s="66">
        <f>'M2'!F5-'M1'!F5</f>
        <v>21.036200000000001</v>
      </c>
      <c r="G5" s="66">
        <f>'M2'!G5-'M1'!G5</f>
        <v>0</v>
      </c>
      <c r="H5" s="66">
        <f>'M2'!H5-'M1'!H5</f>
        <v>3.205600000000004</v>
      </c>
    </row>
    <row r="6" spans="1:8">
      <c r="A6" s="66" t="s">
        <v>244</v>
      </c>
      <c r="B6" s="66">
        <f>'M2'!B6-'M1'!B6</f>
        <v>4.6572000000000031</v>
      </c>
      <c r="C6" s="66">
        <f>'M2'!C6-'M1'!C6</f>
        <v>-0.12661999999999995</v>
      </c>
      <c r="D6" s="66">
        <f>'M2'!D6-'M1'!D6</f>
        <v>-0.84874999999999989</v>
      </c>
      <c r="E6" s="66">
        <f>'M2'!E6-'M1'!E6</f>
        <v>0</v>
      </c>
      <c r="F6" s="66">
        <f>'M2'!F6-'M1'!F6</f>
        <v>3.8688000000000002</v>
      </c>
      <c r="G6" s="66">
        <f>'M2'!G6-'M1'!G6</f>
        <v>0</v>
      </c>
      <c r="H6" s="66">
        <f>'M2'!H6-'M1'!H6</f>
        <v>1.3237000000000023</v>
      </c>
    </row>
    <row r="7" spans="1:8">
      <c r="A7" s="66" t="s">
        <v>245</v>
      </c>
      <c r="B7" s="66">
        <f>'M2'!B7-'M1'!B7</f>
        <v>3.7879999999999967</v>
      </c>
      <c r="C7" s="66">
        <f>'M2'!C7-'M1'!C7</f>
        <v>-5.0311299999999992</v>
      </c>
      <c r="D7" s="66">
        <f>'M2'!D7-'M1'!D7</f>
        <v>-18.724799999999998</v>
      </c>
      <c r="E7" s="66">
        <f>'M2'!E7-'M1'!E7</f>
        <v>0</v>
      </c>
      <c r="F7" s="66">
        <f>'M2'!F7-'M1'!F7</f>
        <v>10.507400000000001</v>
      </c>
      <c r="G7" s="66">
        <f>'M2'!G7-'M1'!G7</f>
        <v>0</v>
      </c>
      <c r="H7" s="66">
        <f>'M2'!H7-'M1'!H7</f>
        <v>-4.4551999999999978</v>
      </c>
    </row>
    <row r="8" spans="1:8">
      <c r="A8" s="66" t="s">
        <v>246</v>
      </c>
      <c r="B8" s="66">
        <f>'M2'!B8-'M1'!B8</f>
        <v>3.3793000000000006</v>
      </c>
      <c r="C8" s="66">
        <f>'M2'!C8-'M1'!C8</f>
        <v>-2.4813700000000001</v>
      </c>
      <c r="D8" s="66">
        <f>'M2'!D8-'M1'!D8</f>
        <v>-7.6063499999999999</v>
      </c>
      <c r="E8" s="66">
        <f>'M2'!E8-'M1'!E8</f>
        <v>0</v>
      </c>
      <c r="F8" s="66">
        <f>'M2'!F8-'M1'!F8</f>
        <v>12.608800000000002</v>
      </c>
      <c r="G8" s="66">
        <f>'M2'!G8-'M1'!G8</f>
        <v>0</v>
      </c>
      <c r="H8" s="66">
        <f>'M2'!H8-'M1'!H8</f>
        <v>1.771099999999997</v>
      </c>
    </row>
    <row r="9" spans="1:8">
      <c r="A9" s="66" t="s">
        <v>247</v>
      </c>
      <c r="B9" s="66">
        <f>'M2'!B9-'M1'!B9</f>
        <v>-1.2944999999999993</v>
      </c>
      <c r="C9" s="66">
        <f>'M2'!C9-'M1'!C9</f>
        <v>-0.49971999999999994</v>
      </c>
      <c r="D9" s="66">
        <f>'M2'!D9-'M1'!D9</f>
        <v>-0.63765999999999856</v>
      </c>
      <c r="E9" s="66">
        <f>'M2'!E9-'M1'!E9</f>
        <v>0</v>
      </c>
      <c r="F9" s="66">
        <f>'M2'!F9-'M1'!F9</f>
        <v>-7.6533999999999978</v>
      </c>
      <c r="G9" s="66">
        <f>'M2'!G9-'M1'!G9</f>
        <v>0</v>
      </c>
      <c r="H9" s="66">
        <f>'M2'!H9-'M1'!H9</f>
        <v>-5.5773999999999972</v>
      </c>
    </row>
    <row r="10" spans="1:8">
      <c r="A10" s="66" t="s">
        <v>248</v>
      </c>
      <c r="B10" s="66">
        <f>'M2'!B10-'M1'!B10</f>
        <v>-15.299499999999995</v>
      </c>
      <c r="C10" s="66">
        <f>'M2'!C10-'M1'!C10</f>
        <v>0.94460000000000033</v>
      </c>
      <c r="D10" s="66">
        <f>'M2'!D10-'M1'!D10</f>
        <v>4.1054300000000001</v>
      </c>
      <c r="E10" s="66">
        <f>'M2'!E10-'M1'!E10</f>
        <v>0</v>
      </c>
      <c r="F10" s="66">
        <f>'M2'!F10-'M1'!F10</f>
        <v>-15.328699999999998</v>
      </c>
      <c r="G10" s="66">
        <f>'M2'!G10-'M1'!G10</f>
        <v>0</v>
      </c>
      <c r="H10" s="66">
        <f>'M2'!H10-'M1'!H10</f>
        <v>-1.8558999999999912</v>
      </c>
    </row>
    <row r="11" spans="1:8">
      <c r="A11" s="66" t="s">
        <v>249</v>
      </c>
      <c r="B11" s="66">
        <f>'M2'!B11-'M1'!B11</f>
        <v>-0.29530000000000101</v>
      </c>
      <c r="C11" s="66">
        <f>'M2'!C11-'M1'!C11</f>
        <v>-0.74761999999999995</v>
      </c>
      <c r="D11" s="66">
        <f>'M2'!D11-'M1'!D11</f>
        <v>-4.4201999999999995</v>
      </c>
      <c r="E11" s="66">
        <f>'M2'!E11-'M1'!E11</f>
        <v>0</v>
      </c>
      <c r="F11" s="66">
        <f>'M2'!F11-'M1'!F11</f>
        <v>3.1128400000000012</v>
      </c>
      <c r="G11" s="66">
        <f>'M2'!G11-'M1'!G11</f>
        <v>0</v>
      </c>
      <c r="H11" s="66">
        <f>'M2'!H11-'M1'!H11</f>
        <v>-0.67470000000000141</v>
      </c>
    </row>
    <row r="12" spans="1:8">
      <c r="A12" s="66" t="s">
        <v>250</v>
      </c>
      <c r="B12" s="66">
        <f>'M2'!B12-'M1'!B12</f>
        <v>-3.7385999999999981</v>
      </c>
      <c r="C12" s="66">
        <f>'M2'!C12-'M1'!C12</f>
        <v>0.77322000000000024</v>
      </c>
      <c r="D12" s="66">
        <f>'M2'!D12-'M1'!D12</f>
        <v>1.8269900000000003</v>
      </c>
      <c r="E12" s="66">
        <f>'M2'!E12-'M1'!E12</f>
        <v>0</v>
      </c>
      <c r="F12" s="66">
        <f>'M2'!F12-'M1'!F12</f>
        <v>-14.1648</v>
      </c>
      <c r="G12" s="66">
        <f>'M2'!G12-'M1'!G12</f>
        <v>0</v>
      </c>
      <c r="H12" s="66">
        <f>'M2'!H12-'M1'!H12</f>
        <v>-3.5666999999999973</v>
      </c>
    </row>
    <row r="13" spans="1:8">
      <c r="A13" s="66" t="s">
        <v>251</v>
      </c>
      <c r="B13" s="66">
        <f>'M2'!B13-'M1'!B13</f>
        <v>-3.2707999999999977</v>
      </c>
      <c r="C13" s="66">
        <f>'M2'!C13-'M1'!C13</f>
        <v>-3.0952299999999999</v>
      </c>
      <c r="D13" s="66">
        <f>'M2'!D13-'M1'!D13</f>
        <v>-11.378299999999998</v>
      </c>
      <c r="E13" s="66">
        <f>'M2'!E13-'M1'!E13</f>
        <v>0</v>
      </c>
      <c r="F13" s="66">
        <f>'M2'!F13-'M1'!F13</f>
        <v>-0.29499999999999993</v>
      </c>
      <c r="G13" s="66">
        <f>'M2'!G13-'M1'!G13</f>
        <v>0</v>
      </c>
      <c r="H13" s="66">
        <f>'M2'!H13-'M1'!H13</f>
        <v>-12.741799999999998</v>
      </c>
    </row>
    <row r="14" spans="1:8">
      <c r="A14" s="66" t="s">
        <v>252</v>
      </c>
      <c r="B14" s="66">
        <f>'M2'!B14-'M1'!B14</f>
        <v>-30.952299999999997</v>
      </c>
      <c r="C14" s="66">
        <f>'M2'!C14-'M1'!C14</f>
        <v>0.83579999999999899</v>
      </c>
      <c r="D14" s="66">
        <f>'M2'!D14-'M1'!D14</f>
        <v>52.091300000000004</v>
      </c>
      <c r="E14" s="66">
        <f>'M2'!E14-'M1'!E14</f>
        <v>0</v>
      </c>
      <c r="F14" s="66">
        <f>'M2'!F14-'M1'!F14</f>
        <v>-0.53485000000000005</v>
      </c>
      <c r="G14" s="66">
        <f>'M2'!G14-'M1'!G14</f>
        <v>0</v>
      </c>
      <c r="H14" s="66">
        <f>'M2'!H14-'M1'!H14</f>
        <v>-13.590700000000005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5.7522999999999991E-2</v>
      </c>
      <c r="C18" s="66">
        <f>'M2'!C18-'M1'!C18</f>
        <v>6.4249299999999997E-3</v>
      </c>
      <c r="D18" s="66">
        <f>'M2'!D18-'M1'!D18</f>
        <v>1.07315E-2</v>
      </c>
      <c r="E18" s="66">
        <f>'M2'!E18-'M1'!E18</f>
        <v>0</v>
      </c>
      <c r="F18" s="66">
        <f>'M2'!F18-'M1'!F18</f>
        <v>0.59227399999999997</v>
      </c>
      <c r="G18" s="66">
        <f>'M2'!G18-'M1'!G18</f>
        <v>0</v>
      </c>
      <c r="H18" s="66">
        <f>'M2'!H18-'M1'!H18</f>
        <v>0.605124</v>
      </c>
    </row>
    <row r="19" spans="1:8">
      <c r="A19" s="66" t="s">
        <v>256</v>
      </c>
      <c r="B19" s="66">
        <f>'M2'!B19-'M1'!B19</f>
        <v>3.0490000000000794E-3</v>
      </c>
      <c r="C19" s="66">
        <f>'M2'!C19-'M1'!C19</f>
        <v>8.1613699999999998E-4</v>
      </c>
      <c r="D19" s="66">
        <f>'M2'!D19-'M1'!D19</f>
        <v>1.2167499999999999E-3</v>
      </c>
      <c r="E19" s="66">
        <f>'M2'!E19-'M1'!E19</f>
        <v>0</v>
      </c>
      <c r="F19" s="66">
        <f>'M2'!F19-'M1'!F19</f>
        <v>0.66993599999999998</v>
      </c>
      <c r="G19" s="66">
        <f>'M2'!G19-'M1'!G19</f>
        <v>0</v>
      </c>
      <c r="H19" s="66">
        <f>'M2'!H19-'M1'!H19</f>
        <v>0.67156899999999997</v>
      </c>
    </row>
    <row r="20" spans="1:8">
      <c r="A20" s="66" t="s">
        <v>63</v>
      </c>
      <c r="B20" s="66">
        <f>'M2'!B20-'M1'!B20</f>
        <v>-3.6056700000000001E-4</v>
      </c>
      <c r="C20" s="66">
        <f>'M2'!C20-'M1'!C20</f>
        <v>-7.1676000000000014E-3</v>
      </c>
      <c r="D20" s="66">
        <f>'M2'!D20-'M1'!D20</f>
        <v>197.95500000000001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-5.2206099999999991E-2</v>
      </c>
    </row>
    <row r="21" spans="1:8">
      <c r="A21" s="66" t="s">
        <v>64</v>
      </c>
      <c r="B21" s="66">
        <f>'M2'!B21-'M1'!B21</f>
        <v>-5.5938700000000001E-2</v>
      </c>
      <c r="C21" s="66">
        <f>'M2'!C21-'M1'!C21</f>
        <v>-0.3381673</v>
      </c>
      <c r="D21" s="66">
        <f>'M2'!D21-'M1'!D21</f>
        <v>-2.6601700000000004</v>
      </c>
      <c r="E21" s="66">
        <f>'M2'!E21-'M1'!E21</f>
        <v>0</v>
      </c>
      <c r="F21" s="66">
        <f>'M2'!F21-'M1'!F21</f>
        <v>-8.6210689999999994E-4</v>
      </c>
      <c r="G21" s="66">
        <f>'M2'!G21-'M1'!G21</f>
        <v>0</v>
      </c>
      <c r="H21" s="66">
        <f>'M2'!H21-'M1'!H21</f>
        <v>-2.4537710000000001</v>
      </c>
    </row>
    <row r="22" spans="1:8">
      <c r="A22" s="66" t="s">
        <v>65</v>
      </c>
      <c r="B22" s="66">
        <f>'M2'!B22-'M1'!B22</f>
        <v>-2.3227000000000046</v>
      </c>
      <c r="C22" s="66">
        <f>'M2'!C22-'M1'!C22</f>
        <v>12.230300000000002</v>
      </c>
      <c r="D22" s="66">
        <f>'M2'!D22-'M1'!D22</f>
        <v>0.31629799999999997</v>
      </c>
      <c r="E22" s="66">
        <f>'M2'!E22-'M1'!E22</f>
        <v>0</v>
      </c>
      <c r="F22" s="66">
        <f>'M2'!F22-'M1'!F22</f>
        <v>-4.0675999999999988</v>
      </c>
      <c r="G22" s="66">
        <f>'M2'!G22-'M1'!G22</f>
        <v>0</v>
      </c>
      <c r="H22" s="66">
        <f>'M2'!H22-'M1'!H22</f>
        <v>68.450400000000002</v>
      </c>
    </row>
    <row r="23" spans="1:8">
      <c r="A23" s="66" t="s">
        <v>66</v>
      </c>
      <c r="B23" s="66">
        <f>'M2'!B23-'M1'!B23</f>
        <v>1.4051999999999989</v>
      </c>
      <c r="C23" s="66">
        <f>'M2'!C23-'M1'!C23</f>
        <v>-1.1927749999999999</v>
      </c>
      <c r="D23" s="66">
        <f>'M2'!D23-'M1'!D23</f>
        <v>-9.061870000000001E-2</v>
      </c>
      <c r="E23" s="66">
        <f>'M2'!E23-'M1'!E23</f>
        <v>0</v>
      </c>
      <c r="F23" s="66">
        <f>'M2'!F23-'M1'!F23</f>
        <v>5.154300000000001</v>
      </c>
      <c r="G23" s="66">
        <f>'M2'!G23-'M1'!G23</f>
        <v>0</v>
      </c>
      <c r="H23" s="66">
        <f>'M2'!H23-'M1'!H23</f>
        <v>1.5043000000000006</v>
      </c>
    </row>
    <row r="24" spans="1:8">
      <c r="A24" s="66" t="s">
        <v>67</v>
      </c>
      <c r="B24" s="66">
        <f>'M2'!B24-'M1'!B24</f>
        <v>-9.5262499999999991E-4</v>
      </c>
      <c r="C24" s="66">
        <f>'M2'!C24-'M1'!C24</f>
        <v>-9.3068200000000004E-3</v>
      </c>
      <c r="D24" s="66">
        <f>'M2'!D24-'M1'!D24</f>
        <v>9.3814999999999991</v>
      </c>
      <c r="E24" s="66">
        <f>'M2'!E24-'M1'!E24</f>
        <v>0</v>
      </c>
      <c r="F24" s="66">
        <f>'M2'!F24-'M1'!F24</f>
        <v>-3.9961000000000002E-7</v>
      </c>
      <c r="G24" s="66">
        <f>'M2'!G24-'M1'!G24</f>
        <v>0</v>
      </c>
      <c r="H24" s="66">
        <f>'M2'!H24-'M1'!H24</f>
        <v>-8.0197099999999993E-2</v>
      </c>
    </row>
    <row r="25" spans="1:8">
      <c r="A25" s="66" t="s">
        <v>68</v>
      </c>
      <c r="B25" s="66">
        <f>'M2'!B25-'M1'!B25</f>
        <v>-6.4934099999999995E-2</v>
      </c>
      <c r="C25" s="66">
        <f>'M2'!C25-'M1'!C25</f>
        <v>-0.25126130000000002</v>
      </c>
      <c r="D25" s="66">
        <f>'M2'!D25-'M1'!D25</f>
        <v>-1.819318</v>
      </c>
      <c r="E25" s="66">
        <f>'M2'!E25-'M1'!E25</f>
        <v>0</v>
      </c>
      <c r="F25" s="66">
        <f>'M2'!F25-'M1'!F25</f>
        <v>-3.5583000000000004E-3</v>
      </c>
      <c r="G25" s="66">
        <f>'M2'!G25-'M1'!G25</f>
        <v>0</v>
      </c>
      <c r="H25" s="66">
        <f>'M2'!H25-'M1'!H25</f>
        <v>-1.261892</v>
      </c>
    </row>
    <row r="26" spans="1:8">
      <c r="A26" s="66" t="s">
        <v>69</v>
      </c>
      <c r="B26" s="66">
        <f>'M2'!B26-'M1'!B26</f>
        <v>-1.4771550000000001E-4</v>
      </c>
      <c r="C26" s="66">
        <f>'M2'!C26-'M1'!C26</f>
        <v>-1.584233E-3</v>
      </c>
      <c r="D26" s="66">
        <f>'M2'!D26-'M1'!D26</f>
        <v>21.822299999999998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-1.055012E-2</v>
      </c>
    </row>
    <row r="27" spans="1:8">
      <c r="A27" s="66" t="s">
        <v>70</v>
      </c>
      <c r="B27" s="66">
        <f>'M2'!B27-'M1'!B27</f>
        <v>0</v>
      </c>
      <c r="C27" s="66">
        <f>'M2'!C27-'M1'!C27</f>
        <v>-3.3095600000000009E-4</v>
      </c>
      <c r="D27" s="66">
        <f>'M2'!D27-'M1'!D27</f>
        <v>0</v>
      </c>
      <c r="E27" s="66">
        <f>'M2'!E27-'M1'!E27</f>
        <v>0</v>
      </c>
      <c r="F27" s="66">
        <f>'M2'!F27-'M1'!F27</f>
        <v>6.0300199999999988E-3</v>
      </c>
      <c r="G27" s="66">
        <f>'M2'!G27-'M1'!G27</f>
        <v>0</v>
      </c>
      <c r="H27" s="66">
        <f>'M2'!H27-'M1'!H27</f>
        <v>-6.2730299999999989E-3</v>
      </c>
    </row>
    <row r="28" spans="1:8">
      <c r="A28" s="66" t="s">
        <v>71</v>
      </c>
      <c r="B28" s="66">
        <f>'M2'!B28-'M1'!B28</f>
        <v>-5.5924599999999988E-3</v>
      </c>
      <c r="C28" s="66">
        <f>'M2'!C28-'M1'!C28</f>
        <v>-1.9187959999999997E-2</v>
      </c>
      <c r="D28" s="66">
        <f>'M2'!D28-'M1'!D28</f>
        <v>-1.18912</v>
      </c>
      <c r="E28" s="66">
        <f>'M2'!E28-'M1'!E28</f>
        <v>0</v>
      </c>
      <c r="F28" s="66">
        <f>'M2'!F28-'M1'!F28</f>
        <v>-2.6041657999999998E-4</v>
      </c>
      <c r="G28" s="66">
        <f>'M2'!G28-'M1'!G28</f>
        <v>0</v>
      </c>
      <c r="H28" s="66">
        <f>'M2'!H28-'M1'!H28</f>
        <v>-0.12076819999999999</v>
      </c>
    </row>
    <row r="29" spans="1:8">
      <c r="A29" s="66" t="s">
        <v>72</v>
      </c>
      <c r="B29" s="66">
        <f>'M2'!B29-'M1'!B29</f>
        <v>3.2041000000000111</v>
      </c>
      <c r="C29" s="66">
        <f>'M2'!C29-'M1'!C29</f>
        <v>5.7396200000000004</v>
      </c>
      <c r="D29" s="66">
        <f>'M2'!D29-'M1'!D29</f>
        <v>7.1042000000000008E-2</v>
      </c>
      <c r="E29" s="66">
        <f>'M2'!E29-'M1'!E29</f>
        <v>0</v>
      </c>
      <c r="F29" s="66">
        <f>'M2'!F29-'M1'!F29</f>
        <v>-3.7518999999999991</v>
      </c>
      <c r="G29" s="66">
        <f>'M2'!G29-'M1'!G29</f>
        <v>0</v>
      </c>
      <c r="H29" s="66">
        <f>'M2'!H29-'M1'!H29</f>
        <v>33.906000000000006</v>
      </c>
    </row>
    <row r="30" spans="1:8">
      <c r="A30" s="66" t="s">
        <v>73</v>
      </c>
      <c r="B30" s="66">
        <f>'M2'!B30-'M1'!B30</f>
        <v>3.6457999999999977</v>
      </c>
      <c r="C30" s="66">
        <f>'M2'!C30-'M1'!C30</f>
        <v>-0.40011000000000019</v>
      </c>
      <c r="D30" s="66">
        <f>'M2'!D30-'M1'!D30</f>
        <v>-4.0504499999999985E-2</v>
      </c>
      <c r="E30" s="66">
        <f>'M2'!E30-'M1'!E30</f>
        <v>0</v>
      </c>
      <c r="F30" s="66">
        <f>'M2'!F30-'M1'!F30</f>
        <v>7.0778999999999996</v>
      </c>
      <c r="G30" s="66">
        <f>'M2'!G30-'M1'!G30</f>
        <v>0</v>
      </c>
      <c r="H30" s="66">
        <f>'M2'!H30-'M1'!H30</f>
        <v>5.5137</v>
      </c>
    </row>
    <row r="31" spans="1:8">
      <c r="A31" s="66" t="s">
        <v>74</v>
      </c>
      <c r="B31" s="66">
        <f>'M2'!B31-'M1'!B31</f>
        <v>26.613</v>
      </c>
      <c r="C31" s="66">
        <f>'M2'!C31-'M1'!C31</f>
        <v>-28.141599999999997</v>
      </c>
      <c r="D31" s="66">
        <f>'M2'!D31-'M1'!D31</f>
        <v>-0.21289020000000003</v>
      </c>
      <c r="E31" s="66">
        <f>'M2'!E31-'M1'!E31</f>
        <v>0</v>
      </c>
      <c r="F31" s="66">
        <f>'M2'!F31-'M1'!F31</f>
        <v>99.013599999999997</v>
      </c>
      <c r="G31" s="66">
        <f>'M2'!G31-'M1'!G31</f>
        <v>0</v>
      </c>
      <c r="H31" s="66">
        <f>'M2'!H31-'M1'!H31</f>
        <v>29.221000000000004</v>
      </c>
    </row>
    <row r="32" spans="1:8">
      <c r="A32" s="66" t="s">
        <v>75</v>
      </c>
      <c r="B32" s="66">
        <f>'M2'!B32-'M1'!B32</f>
        <v>3.7880999999999998E-2</v>
      </c>
      <c r="C32" s="66">
        <f>'M2'!C32-'M1'!C32</f>
        <v>-5.0311300000000003E-2</v>
      </c>
      <c r="D32" s="66">
        <f>'M2'!D32-'M1'!D32</f>
        <v>-0.18724800000000003</v>
      </c>
      <c r="E32" s="66">
        <f>'M2'!E32-'M1'!E32</f>
        <v>0</v>
      </c>
      <c r="F32" s="66">
        <f>'M2'!F32-'M1'!F32</f>
        <v>0.105074</v>
      </c>
      <c r="G32" s="66">
        <f>'M2'!G32-'M1'!G32</f>
        <v>0</v>
      </c>
      <c r="H32" s="66">
        <f>'M2'!H32-'M1'!H32</f>
        <v>-4.4552000000000036E-2</v>
      </c>
    </row>
    <row r="33" spans="1:8">
      <c r="A33" s="66" t="s">
        <v>76</v>
      </c>
      <c r="B33" s="66">
        <f>'M2'!B33-'M1'!B33</f>
        <v>0.13666299999999998</v>
      </c>
      <c r="C33" s="66">
        <f>'M2'!C33-'M1'!C33</f>
        <v>4.0513999999999967E-3</v>
      </c>
      <c r="D33" s="66">
        <f>'M2'!D33-'M1'!D33</f>
        <v>-8.7441999999999992E-2</v>
      </c>
      <c r="E33" s="66">
        <f>'M2'!E33-'M1'!E33</f>
        <v>0</v>
      </c>
      <c r="F33" s="66">
        <f>'M2'!F33-'M1'!F33</f>
        <v>2.0891000000000021E-2</v>
      </c>
      <c r="G33" s="66">
        <f>'M2'!G33-'M1'!G33</f>
        <v>0</v>
      </c>
      <c r="H33" s="66">
        <f>'M2'!H33-'M1'!H33</f>
        <v>-2.7826000000000017E-2</v>
      </c>
    </row>
    <row r="34" spans="1:8">
      <c r="A34" s="66" t="s">
        <v>77</v>
      </c>
      <c r="B34" s="66">
        <f>'M2'!B34-'M1'!B34</f>
        <v>-3.2707999999999987E-2</v>
      </c>
      <c r="C34" s="66">
        <f>'M2'!C34-'M1'!C34</f>
        <v>-3.0952299999999999E-2</v>
      </c>
      <c r="D34" s="66">
        <f>'M2'!D34-'M1'!D34</f>
        <v>-0.11378300000000001</v>
      </c>
      <c r="E34" s="66">
        <f>'M2'!E34-'M1'!E34</f>
        <v>0</v>
      </c>
      <c r="F34" s="66">
        <f>'M2'!F34-'M1'!F34</f>
        <v>-2.9499999999999804E-3</v>
      </c>
      <c r="G34" s="66">
        <f>'M2'!G34-'M1'!G34</f>
        <v>0</v>
      </c>
      <c r="H34" s="66">
        <f>'M2'!H34-'M1'!H34</f>
        <v>-0.12741799999999998</v>
      </c>
    </row>
    <row r="35" spans="1:8">
      <c r="A35" s="66" t="s">
        <v>78</v>
      </c>
      <c r="B35" s="66">
        <f>'M2'!B35-'M1'!B35</f>
        <v>-7.6597000000000054E-3</v>
      </c>
      <c r="C35" s="66">
        <f>'M2'!C35-'M1'!C35</f>
        <v>-2.1933399999999999E-2</v>
      </c>
      <c r="D35" s="66">
        <f>'M2'!D35-'M1'!D35</f>
        <v>-0.20921799999999999</v>
      </c>
      <c r="E35" s="66">
        <f>'M2'!E35-'M1'!E35</f>
        <v>0</v>
      </c>
      <c r="F35" s="66">
        <f>'M2'!F35-'M1'!F35</f>
        <v>1.5523200000000001E-2</v>
      </c>
      <c r="G35" s="66">
        <f>'M2'!G35-'M1'!G35</f>
        <v>0</v>
      </c>
      <c r="H35" s="66">
        <f>'M2'!H35-'M1'!H35</f>
        <v>-6.1516000000000015E-2</v>
      </c>
    </row>
    <row r="36" spans="1:8">
      <c r="A36" s="66" t="s">
        <v>79</v>
      </c>
      <c r="B36" s="66">
        <f>'M2'!B36-'M1'!B36</f>
        <v>-8.774000000000004E-3</v>
      </c>
      <c r="C36" s="66">
        <f>'M2'!C36-'M1'!C36</f>
        <v>-2.4991299999999994E-2</v>
      </c>
      <c r="D36" s="66">
        <f>'M2'!D36-'M1'!D36</f>
        <v>-0.10744600000000004</v>
      </c>
      <c r="E36" s="66">
        <f>'M2'!E36-'M1'!E36</f>
        <v>0</v>
      </c>
      <c r="F36" s="66">
        <f>'M2'!F36-'M1'!F36</f>
        <v>1.3302000000000036E-3</v>
      </c>
      <c r="G36" s="66">
        <f>'M2'!G36-'M1'!G36</f>
        <v>0</v>
      </c>
      <c r="H36" s="66">
        <f>'M2'!H36-'M1'!H36</f>
        <v>-0.21640199999999998</v>
      </c>
    </row>
    <row r="37" spans="1:8">
      <c r="A37" s="66" t="s">
        <v>80</v>
      </c>
      <c r="B37" s="66">
        <f>'M2'!B37-'M1'!B37</f>
        <v>-0.30952299999999999</v>
      </c>
      <c r="C37" s="66">
        <f>'M2'!C37-'M1'!C37</f>
        <v>8.3580000000000043E-3</v>
      </c>
      <c r="D37" s="66">
        <f>'M2'!D37-'M1'!D37</f>
        <v>0.52091299999999996</v>
      </c>
      <c r="E37" s="66">
        <f>'M2'!E37-'M1'!E37</f>
        <v>0</v>
      </c>
      <c r="F37" s="66">
        <f>'M2'!F37-'M1'!F37</f>
        <v>-5.3484999999999991E-3</v>
      </c>
      <c r="G37" s="66">
        <f>'M2'!G37-'M1'!G37</f>
        <v>0</v>
      </c>
      <c r="H37" s="66">
        <f>'M2'!H37-'M1'!H37</f>
        <v>-0.135907</v>
      </c>
    </row>
    <row r="38" spans="1:8">
      <c r="A38" s="66" t="s">
        <v>81</v>
      </c>
      <c r="B38" s="66">
        <f>'M2'!B38-'M1'!B38</f>
        <v>-4.7624000000000013</v>
      </c>
      <c r="C38" s="66">
        <f>'M2'!C38-'M1'!C38</f>
        <v>7.6633999999999958</v>
      </c>
      <c r="D38" s="66">
        <f>'M2'!D38-'M1'!D38</f>
        <v>0.38253000000000004</v>
      </c>
      <c r="E38" s="66">
        <f>'M2'!E38-'M1'!E38</f>
        <v>0</v>
      </c>
      <c r="F38" s="66">
        <f>'M2'!F38-'M1'!F38</f>
        <v>-9.1460000000000008</v>
      </c>
      <c r="G38" s="66">
        <f>'M2'!G38-'M1'!G38</f>
        <v>0</v>
      </c>
      <c r="H38" s="66">
        <f>'M2'!H38-'M1'!H38</f>
        <v>193.79900000000001</v>
      </c>
    </row>
    <row r="39" spans="1:8">
      <c r="A39" s="66" t="s">
        <v>82</v>
      </c>
      <c r="B39" s="66">
        <f>'M2'!B39-'M1'!B39</f>
        <v>2.4636899999999997</v>
      </c>
      <c r="C39" s="66">
        <f>'M2'!C39-'M1'!C39</f>
        <v>0.75264000000000042</v>
      </c>
      <c r="D39" s="66">
        <f>'M2'!D39-'M1'!D39</f>
        <v>-0.47788699999999995</v>
      </c>
      <c r="E39" s="66">
        <f>'M2'!E39-'M1'!E39</f>
        <v>0</v>
      </c>
      <c r="F39" s="66">
        <f>'M2'!F39-'M1'!F39</f>
        <v>-4.9213999999999984</v>
      </c>
      <c r="G39" s="66">
        <f>'M2'!G39-'M1'!G39</f>
        <v>0</v>
      </c>
      <c r="H39" s="66">
        <f>'M2'!H39-'M1'!H39</f>
        <v>8.8409499999999994</v>
      </c>
    </row>
    <row r="40" spans="1:8">
      <c r="A40" s="66" t="s">
        <v>83</v>
      </c>
      <c r="B40" s="66">
        <f>'M2'!B40-'M1'!B40</f>
        <v>0.60497999999999985</v>
      </c>
      <c r="C40" s="66">
        <f>'M2'!C40-'M1'!C40</f>
        <v>0.131299</v>
      </c>
      <c r="D40" s="66">
        <f>'M2'!D40-'M1'!D40</f>
        <v>-8.4152000000000005E-2</v>
      </c>
      <c r="E40" s="66">
        <f>'M2'!E40-'M1'!E40</f>
        <v>0</v>
      </c>
      <c r="F40" s="66">
        <f>'M2'!F40-'M1'!F40</f>
        <v>-0.23819000000000035</v>
      </c>
      <c r="G40" s="66">
        <f>'M2'!G40-'M1'!G40</f>
        <v>0</v>
      </c>
      <c r="H40" s="66">
        <f>'M2'!H40-'M1'!H40</f>
        <v>0.53604999999999992</v>
      </c>
    </row>
    <row r="41" spans="1:8">
      <c r="A41" s="66" t="s">
        <v>84</v>
      </c>
      <c r="B41" s="66">
        <f>'M2'!B41-'M1'!B41</f>
        <v>-5.0700999999999996E-2</v>
      </c>
      <c r="C41" s="66">
        <f>'M2'!C41-'M1'!C41</f>
        <v>4.6190000000000009E-2</v>
      </c>
      <c r="D41" s="66">
        <f>'M2'!D41-'M1'!D41</f>
        <v>0.43421999999999983</v>
      </c>
      <c r="E41" s="66">
        <f>'M2'!E41-'M1'!E41</f>
        <v>0</v>
      </c>
      <c r="F41" s="66">
        <f>'M2'!F41-'M1'!F41</f>
        <v>-3.9216000000000029E-2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2.3127999999999982E-2</v>
      </c>
      <c r="C42" s="66">
        <f>'M2'!C42-'M1'!C42</f>
        <v>-1.8199400000000004E-2</v>
      </c>
      <c r="D42" s="66">
        <f>'M2'!D42-'M1'!D42</f>
        <v>3.0785000000000062E-2</v>
      </c>
      <c r="E42" s="66">
        <f>'M2'!E42-'M1'!E42</f>
        <v>0</v>
      </c>
      <c r="F42" s="66">
        <f>'M2'!F42-'M1'!F42</f>
        <v>0.11973200000000001</v>
      </c>
      <c r="G42" s="66">
        <f>'M2'!G42-'M1'!G42</f>
        <v>0</v>
      </c>
      <c r="H42" s="66">
        <f>'M2'!H42-'M1'!H42</f>
        <v>0.18018869999999998</v>
      </c>
    </row>
    <row r="43" spans="1:8">
      <c r="A43" s="66" t="s">
        <v>86</v>
      </c>
      <c r="B43" s="66">
        <f>'M2'!B43-'M1'!B43</f>
        <v>-0.12562129999999999</v>
      </c>
      <c r="C43" s="66">
        <f>'M2'!C43-'M1'!C43</f>
        <v>-6.2581599999999987E-2</v>
      </c>
      <c r="D43" s="66">
        <f>'M2'!D43-'M1'!D43</f>
        <v>2.734712</v>
      </c>
      <c r="E43" s="66">
        <f>'M2'!E43-'M1'!E43</f>
        <v>0</v>
      </c>
      <c r="F43" s="66">
        <f>'M2'!F43-'M1'!F43</f>
        <v>2.5284000000000001E-2</v>
      </c>
      <c r="G43" s="66">
        <f>'M2'!G43-'M1'!G43</f>
        <v>0</v>
      </c>
      <c r="H43" s="66">
        <f>'M2'!H43-'M1'!H43</f>
        <v>-5.8281799999999995E-2</v>
      </c>
    </row>
    <row r="44" spans="1:8">
      <c r="A44" s="66" t="s">
        <v>87</v>
      </c>
      <c r="B44" s="66">
        <f>'M2'!B44-'M1'!B44</f>
        <v>4.4852999999999987</v>
      </c>
      <c r="C44" s="66">
        <f>'M2'!C44-'M1'!C44</f>
        <v>1.2624699999999995</v>
      </c>
      <c r="D44" s="66">
        <f>'M2'!D44-'M1'!D44</f>
        <v>-0.25540299999999994</v>
      </c>
      <c r="E44" s="66">
        <f>'M2'!E44-'M1'!E44</f>
        <v>0</v>
      </c>
      <c r="F44" s="66">
        <f>'M2'!F44-'M1'!F44</f>
        <v>3.3382000000000005</v>
      </c>
      <c r="G44" s="66">
        <f>'M2'!G44-'M1'!G44</f>
        <v>0</v>
      </c>
      <c r="H44" s="66">
        <f>'M2'!H44-'M1'!H44</f>
        <v>6.8562400000000006</v>
      </c>
    </row>
    <row r="45" spans="1:8">
      <c r="A45" s="66" t="s">
        <v>88</v>
      </c>
      <c r="B45" s="66">
        <f>'M2'!B45-'M1'!B45</f>
        <v>6.5009999999999977</v>
      </c>
      <c r="C45" s="66">
        <f>'M2'!C45-'M1'!C45</f>
        <v>-7.6030000000001152E-2</v>
      </c>
      <c r="D45" s="66">
        <f>'M2'!D45-'M1'!D45</f>
        <v>-1.7575000000000007E-2</v>
      </c>
      <c r="E45" s="66">
        <f>'M2'!E45-'M1'!E45</f>
        <v>0</v>
      </c>
      <c r="F45" s="66">
        <f>'M2'!F45-'M1'!F45</f>
        <v>5.7511999999999972</v>
      </c>
      <c r="G45" s="66">
        <f>'M2'!G45-'M1'!G45</f>
        <v>0</v>
      </c>
      <c r="H45" s="66">
        <f>'M2'!H45-'M1'!H45</f>
        <v>8.0486999999999966</v>
      </c>
    </row>
    <row r="46" spans="1:8">
      <c r="A46" s="66" t="s">
        <v>89</v>
      </c>
      <c r="B46" s="66">
        <f>'M2'!B46-'M1'!B46</f>
        <v>2.6411999999999978</v>
      </c>
      <c r="C46" s="66">
        <f>'M2'!C46-'M1'!C46</f>
        <v>-3.4630000000000001</v>
      </c>
      <c r="D46" s="66">
        <f>'M2'!D46-'M1'!D46</f>
        <v>-0.134072</v>
      </c>
      <c r="E46" s="66">
        <f>'M2'!E46-'M1'!E46</f>
        <v>0</v>
      </c>
      <c r="F46" s="66">
        <f>'M2'!F46-'M1'!F46</f>
        <v>17.12087</v>
      </c>
      <c r="G46" s="66">
        <f>'M2'!G46-'M1'!G46</f>
        <v>0</v>
      </c>
      <c r="H46" s="66">
        <f>'M2'!H46-'M1'!H46</f>
        <v>2.6297999999999995</v>
      </c>
    </row>
    <row r="47" spans="1:8">
      <c r="A47" s="66" t="s">
        <v>90</v>
      </c>
      <c r="B47" s="66">
        <f>'M2'!B47-'M1'!B47</f>
        <v>-0.17659700000000011</v>
      </c>
      <c r="C47" s="66">
        <f>'M2'!C47-'M1'!C47</f>
        <v>3.1849000000000016E-2</v>
      </c>
      <c r="D47" s="66">
        <f>'M2'!D47-'M1'!D47</f>
        <v>9.8973999999999951E-2</v>
      </c>
      <c r="E47" s="66">
        <f>'M2'!E47-'M1'!E47</f>
        <v>0</v>
      </c>
      <c r="F47" s="66">
        <f>'M2'!F47-'M1'!F47</f>
        <v>-0.21424300000000002</v>
      </c>
      <c r="G47" s="66">
        <f>'M2'!G47-'M1'!G47</f>
        <v>0</v>
      </c>
      <c r="H47" s="66">
        <f>'M2'!H47-'M1'!H47</f>
        <v>0.42912000000000017</v>
      </c>
    </row>
    <row r="48" spans="1:8">
      <c r="A48" s="66" t="s">
        <v>91</v>
      </c>
      <c r="B48" s="66">
        <f>'M2'!B48-'M1'!B48</f>
        <v>-0.28608700000000009</v>
      </c>
      <c r="C48" s="66">
        <f>'M2'!C48-'M1'!C48</f>
        <v>-0.13995099999999999</v>
      </c>
      <c r="D48" s="66">
        <f>'M2'!D48-'M1'!D48</f>
        <v>-0.10178000000000004</v>
      </c>
      <c r="E48" s="66">
        <f>'M2'!E48-'M1'!E48</f>
        <v>0</v>
      </c>
      <c r="F48" s="66">
        <f>'M2'!F48-'M1'!F48</f>
        <v>-0.14428900000000006</v>
      </c>
      <c r="G48" s="66">
        <f>'M2'!G48-'M1'!G48</f>
        <v>0</v>
      </c>
      <c r="H48" s="66">
        <f>'M2'!H48-'M1'!H48</f>
        <v>-1.0493769999999998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34.028599999999997</v>
      </c>
      <c r="C5" s="66">
        <v>7.2753199999999998</v>
      </c>
      <c r="D5" s="66">
        <v>21.38</v>
      </c>
      <c r="E5" s="66">
        <v>20</v>
      </c>
      <c r="F5" s="66">
        <v>10.4857</v>
      </c>
      <c r="G5" s="66">
        <v>50</v>
      </c>
      <c r="H5" s="66">
        <v>38.571899999999999</v>
      </c>
    </row>
    <row r="6" spans="1:8">
      <c r="A6" s="66" t="s">
        <v>303</v>
      </c>
      <c r="B6" s="66">
        <v>39.845199999999998</v>
      </c>
      <c r="C6" s="66">
        <v>2.1482999999999999</v>
      </c>
      <c r="D6" s="66">
        <v>5.39161</v>
      </c>
      <c r="E6" s="66">
        <v>20</v>
      </c>
      <c r="F6" s="66">
        <v>34.434600000000003</v>
      </c>
      <c r="G6" s="66">
        <v>40</v>
      </c>
      <c r="H6" s="66">
        <v>47.3444</v>
      </c>
    </row>
    <row r="7" spans="1:8">
      <c r="A7" s="66" t="s">
        <v>304</v>
      </c>
      <c r="B7" s="66">
        <v>29.197800000000001</v>
      </c>
      <c r="C7" s="66">
        <v>8.8285099999999996</v>
      </c>
      <c r="D7" s="66">
        <v>30.236999999999998</v>
      </c>
      <c r="E7" s="66">
        <v>15</v>
      </c>
      <c r="F7" s="66">
        <v>11.9145</v>
      </c>
      <c r="G7" s="66">
        <v>40</v>
      </c>
      <c r="H7" s="66">
        <v>46.174900000000001</v>
      </c>
    </row>
    <row r="8" spans="1:8">
      <c r="A8" s="66" t="s">
        <v>305</v>
      </c>
      <c r="B8" s="66">
        <v>34.214599999999997</v>
      </c>
      <c r="C8" s="66">
        <v>3.82857</v>
      </c>
      <c r="D8" s="66">
        <v>11.1899</v>
      </c>
      <c r="E8" s="66">
        <v>20</v>
      </c>
      <c r="F8" s="66">
        <v>21.429400000000001</v>
      </c>
      <c r="G8" s="66">
        <v>50</v>
      </c>
      <c r="H8" s="66">
        <v>38.230600000000003</v>
      </c>
    </row>
    <row r="9" spans="1:8">
      <c r="A9" s="66" t="s">
        <v>306</v>
      </c>
      <c r="B9" s="66">
        <v>58.357300000000002</v>
      </c>
      <c r="C9" s="66">
        <v>6.1237399999999997</v>
      </c>
      <c r="D9" s="66">
        <v>10.493499999999999</v>
      </c>
      <c r="E9" s="66">
        <v>50</v>
      </c>
      <c r="F9" s="66">
        <v>45.124899999999997</v>
      </c>
      <c r="G9" s="66">
        <v>100</v>
      </c>
      <c r="H9" s="66">
        <v>70.139200000000002</v>
      </c>
    </row>
    <row r="10" spans="1:8">
      <c r="A10" s="66" t="s">
        <v>307</v>
      </c>
      <c r="B10" s="66">
        <v>72.089299999999994</v>
      </c>
      <c r="C10" s="66">
        <v>6.5347299999999997</v>
      </c>
      <c r="D10" s="66">
        <v>9.0647699999999993</v>
      </c>
      <c r="E10" s="66">
        <v>40</v>
      </c>
      <c r="F10" s="66">
        <v>57.4756</v>
      </c>
      <c r="G10" s="66">
        <v>100</v>
      </c>
      <c r="H10" s="66">
        <v>74.942899999999995</v>
      </c>
    </row>
    <row r="11" spans="1:8">
      <c r="A11" s="66" t="s">
        <v>308</v>
      </c>
      <c r="B11" s="66">
        <v>15.9556</v>
      </c>
      <c r="C11" s="66">
        <v>2.9934699999999999</v>
      </c>
      <c r="D11" s="66">
        <v>18.761199999999999</v>
      </c>
      <c r="E11" s="66">
        <v>10</v>
      </c>
      <c r="F11" s="66">
        <v>7.0598599999999996</v>
      </c>
      <c r="G11" s="66">
        <v>50</v>
      </c>
      <c r="H11" s="66">
        <v>20.089500000000001</v>
      </c>
    </row>
    <row r="12" spans="1:8">
      <c r="A12" s="66" t="s">
        <v>309</v>
      </c>
      <c r="B12" s="66">
        <v>61.359499999999997</v>
      </c>
      <c r="C12" s="66">
        <v>4.5873999999999997</v>
      </c>
      <c r="D12" s="66">
        <v>7.4762599999999999</v>
      </c>
      <c r="E12" s="66">
        <v>50</v>
      </c>
      <c r="F12" s="66">
        <v>56.356900000000003</v>
      </c>
      <c r="G12" s="66">
        <v>100</v>
      </c>
      <c r="H12" s="66">
        <v>71.569699999999997</v>
      </c>
    </row>
    <row r="13" spans="1:8">
      <c r="A13" s="66" t="s">
        <v>310</v>
      </c>
      <c r="B13" s="66">
        <v>24.250499999999999</v>
      </c>
      <c r="C13" s="66">
        <v>5.2499099999999999</v>
      </c>
      <c r="D13" s="66">
        <v>21.648599999999998</v>
      </c>
      <c r="E13" s="66">
        <v>10</v>
      </c>
      <c r="F13" s="66">
        <v>16.265499999999999</v>
      </c>
      <c r="G13" s="66">
        <v>25</v>
      </c>
      <c r="H13" s="66">
        <v>39.134799999999998</v>
      </c>
    </row>
    <row r="14" spans="1:8">
      <c r="A14" s="66" t="s">
        <v>311</v>
      </c>
      <c r="B14" s="66">
        <v>52.499099999999999</v>
      </c>
      <c r="C14" s="66">
        <v>17.619800000000001</v>
      </c>
      <c r="D14" s="66">
        <v>33.562100000000001</v>
      </c>
      <c r="E14" s="66">
        <v>10</v>
      </c>
      <c r="F14" s="66">
        <v>3.5712199999999998</v>
      </c>
      <c r="G14" s="66">
        <v>50</v>
      </c>
      <c r="H14" s="66">
        <v>66.396500000000003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0.54117599999999999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0.66770399999999996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4.1612600000000001E-4</v>
      </c>
      <c r="C20" s="66">
        <v>2.0964900000000002E-2</v>
      </c>
      <c r="D20" s="66">
        <v>50.381</v>
      </c>
      <c r="E20" s="66">
        <v>0</v>
      </c>
      <c r="F20" s="66">
        <v>0</v>
      </c>
      <c r="G20" s="66">
        <v>0</v>
      </c>
      <c r="H20" s="66">
        <v>0.14338999999999999</v>
      </c>
    </row>
    <row r="21" spans="1:8">
      <c r="A21" s="66" t="s">
        <v>318</v>
      </c>
      <c r="B21" s="66">
        <v>9.5976400000000003E-2</v>
      </c>
      <c r="C21" s="66">
        <v>0.39746900000000002</v>
      </c>
      <c r="D21" s="66">
        <v>4.1413200000000003</v>
      </c>
      <c r="E21" s="66">
        <v>0</v>
      </c>
      <c r="F21" s="66">
        <v>8.8175299999999999E-4</v>
      </c>
      <c r="G21" s="66">
        <v>0</v>
      </c>
      <c r="H21" s="66">
        <v>2.7672400000000001</v>
      </c>
    </row>
    <row r="22" spans="1:8">
      <c r="A22" s="66" t="s">
        <v>319</v>
      </c>
      <c r="B22" s="66">
        <v>42.762900000000002</v>
      </c>
      <c r="C22" s="66">
        <v>10.325799999999999</v>
      </c>
      <c r="D22" s="66">
        <v>0.24146699999999999</v>
      </c>
      <c r="E22" s="66">
        <v>0</v>
      </c>
      <c r="F22" s="66">
        <v>24.4254</v>
      </c>
      <c r="G22" s="66">
        <v>0</v>
      </c>
      <c r="H22" s="66">
        <v>83.579599999999999</v>
      </c>
    </row>
    <row r="23" spans="1:8">
      <c r="A23" s="66" t="s">
        <v>320</v>
      </c>
      <c r="B23" s="66">
        <v>14.010400000000001</v>
      </c>
      <c r="C23" s="66">
        <v>2.0356399999999999</v>
      </c>
      <c r="D23" s="66">
        <v>0.14529500000000001</v>
      </c>
      <c r="E23" s="66">
        <v>0</v>
      </c>
      <c r="F23" s="66">
        <v>8.8668999999999993</v>
      </c>
      <c r="G23" s="66">
        <v>0</v>
      </c>
      <c r="H23" s="66">
        <v>16.167999999999999</v>
      </c>
    </row>
    <row r="24" spans="1:8">
      <c r="A24" s="66" t="s">
        <v>321</v>
      </c>
      <c r="B24" s="66">
        <v>1.28265E-3</v>
      </c>
      <c r="C24" s="66">
        <v>1.6699800000000001E-2</v>
      </c>
      <c r="D24" s="66">
        <v>13.0198</v>
      </c>
      <c r="E24" s="66">
        <v>0</v>
      </c>
      <c r="F24" s="196">
        <v>1.4725600000000001E-6</v>
      </c>
      <c r="G24" s="66">
        <v>0</v>
      </c>
      <c r="H24" s="66">
        <v>0.10644199999999999</v>
      </c>
    </row>
    <row r="25" spans="1:8">
      <c r="A25" s="66" t="s">
        <v>322</v>
      </c>
      <c r="B25" s="66">
        <v>0.120892</v>
      </c>
      <c r="C25" s="66">
        <v>0.27825100000000003</v>
      </c>
      <c r="D25" s="66">
        <v>2.3016399999999999</v>
      </c>
      <c r="E25" s="66">
        <v>0</v>
      </c>
      <c r="F25" s="66">
        <v>1.4109E-2</v>
      </c>
      <c r="G25" s="66">
        <v>0</v>
      </c>
      <c r="H25" s="66">
        <v>1.3949199999999999</v>
      </c>
    </row>
    <row r="26" spans="1:8">
      <c r="A26" s="66" t="s">
        <v>323</v>
      </c>
      <c r="B26" s="66">
        <v>1.73976E-4</v>
      </c>
      <c r="C26" s="66">
        <v>2.5408200000000001E-3</v>
      </c>
      <c r="D26" s="66">
        <v>14.6045</v>
      </c>
      <c r="E26" s="66">
        <v>0</v>
      </c>
      <c r="F26" s="66">
        <v>0</v>
      </c>
      <c r="G26" s="66">
        <v>0</v>
      </c>
      <c r="H26" s="66">
        <v>1.59007E-2</v>
      </c>
    </row>
    <row r="27" spans="1:8">
      <c r="A27" s="66" t="s">
        <v>324</v>
      </c>
      <c r="B27" s="66">
        <v>0</v>
      </c>
      <c r="C27" s="66">
        <v>1.14528E-3</v>
      </c>
      <c r="D27" s="66">
        <v>0</v>
      </c>
      <c r="E27" s="66">
        <v>0</v>
      </c>
      <c r="F27" s="66">
        <v>-1.0871799999999999E-2</v>
      </c>
      <c r="G27" s="66">
        <v>0</v>
      </c>
      <c r="H27" s="66">
        <v>1.0438599999999999E-2</v>
      </c>
    </row>
    <row r="28" spans="1:8">
      <c r="A28" s="66" t="s">
        <v>325</v>
      </c>
      <c r="B28" s="66">
        <v>1.1367199999999999E-2</v>
      </c>
      <c r="C28" s="66">
        <v>2.5043699999999999E-2</v>
      </c>
      <c r="D28" s="66">
        <v>2.2031499999999999</v>
      </c>
      <c r="E28" s="66">
        <v>0</v>
      </c>
      <c r="F28" s="66">
        <v>2.6692699999999997E-4</v>
      </c>
      <c r="G28" s="66">
        <v>0</v>
      </c>
      <c r="H28" s="66">
        <v>0.154362</v>
      </c>
    </row>
    <row r="29" spans="1:8">
      <c r="A29" s="66" t="s">
        <v>326</v>
      </c>
      <c r="B29" s="66">
        <v>72.684799999999996</v>
      </c>
      <c r="C29" s="66">
        <v>7.9004799999999999</v>
      </c>
      <c r="D29" s="66">
        <v>0.108695</v>
      </c>
      <c r="E29" s="66">
        <v>0</v>
      </c>
      <c r="F29" s="66">
        <v>53.697099999999999</v>
      </c>
      <c r="G29" s="66">
        <v>0</v>
      </c>
      <c r="H29" s="66">
        <v>94.936000000000007</v>
      </c>
    </row>
    <row r="30" spans="1:8">
      <c r="A30" s="66" t="s">
        <v>327</v>
      </c>
      <c r="B30" s="66">
        <v>17.487300000000001</v>
      </c>
      <c r="C30" s="66">
        <v>2.1866500000000002</v>
      </c>
      <c r="D30" s="66">
        <v>0.12504199999999999</v>
      </c>
      <c r="E30" s="66">
        <v>0</v>
      </c>
      <c r="F30" s="66">
        <v>10.723800000000001</v>
      </c>
      <c r="G30" s="66">
        <v>0</v>
      </c>
      <c r="H30" s="66">
        <v>19.194700000000001</v>
      </c>
    </row>
    <row r="31" spans="1:8">
      <c r="A31" s="66" t="s">
        <v>328</v>
      </c>
      <c r="B31" s="66">
        <v>142.29900000000001</v>
      </c>
      <c r="C31" s="66">
        <v>41.804299999999998</v>
      </c>
      <c r="D31" s="66">
        <v>0.29377700000000001</v>
      </c>
      <c r="E31" s="66">
        <v>0</v>
      </c>
      <c r="F31" s="66">
        <v>41.282400000000003</v>
      </c>
      <c r="G31" s="66">
        <v>0</v>
      </c>
      <c r="H31" s="66">
        <v>169.91399999999999</v>
      </c>
    </row>
    <row r="32" spans="1:8">
      <c r="A32" s="66" t="s">
        <v>329</v>
      </c>
      <c r="B32" s="66">
        <v>0.29197699999999999</v>
      </c>
      <c r="C32" s="66">
        <v>8.8285100000000005E-2</v>
      </c>
      <c r="D32" s="66">
        <v>0.30237000000000003</v>
      </c>
      <c r="E32" s="66">
        <v>0.15</v>
      </c>
      <c r="F32" s="66">
        <v>0.119145</v>
      </c>
      <c r="G32" s="66">
        <v>0.4</v>
      </c>
      <c r="H32" s="66">
        <v>0.46174900000000002</v>
      </c>
    </row>
    <row r="33" spans="1:8">
      <c r="A33" s="66" t="s">
        <v>330</v>
      </c>
      <c r="B33" s="66">
        <v>0.239734</v>
      </c>
      <c r="C33" s="66">
        <v>6.4842200000000003E-2</v>
      </c>
      <c r="D33" s="66">
        <v>0.27047599999999999</v>
      </c>
      <c r="E33" s="66">
        <v>0</v>
      </c>
      <c r="F33" s="66">
        <v>0.19731199999999999</v>
      </c>
      <c r="G33" s="66">
        <v>0</v>
      </c>
      <c r="H33" s="66">
        <v>0.43418400000000001</v>
      </c>
    </row>
    <row r="34" spans="1:8">
      <c r="A34" s="66" t="s">
        <v>331</v>
      </c>
      <c r="B34" s="66">
        <v>0.242505</v>
      </c>
      <c r="C34" s="66">
        <v>5.24991E-2</v>
      </c>
      <c r="D34" s="66">
        <v>0.21648600000000001</v>
      </c>
      <c r="E34" s="66">
        <v>0.1</v>
      </c>
      <c r="F34" s="66">
        <v>0.16265499999999999</v>
      </c>
      <c r="G34" s="66">
        <v>0.25</v>
      </c>
      <c r="H34" s="66">
        <v>0.39134799999999997</v>
      </c>
    </row>
    <row r="35" spans="1:8">
      <c r="A35" s="66" t="s">
        <v>332</v>
      </c>
      <c r="B35" s="66">
        <v>9.65979E-2</v>
      </c>
      <c r="C35" s="66">
        <v>4.1943599999999998E-2</v>
      </c>
      <c r="D35" s="66">
        <v>0.43420799999999998</v>
      </c>
      <c r="E35" s="66">
        <v>0</v>
      </c>
      <c r="F35" s="66">
        <v>4.2513700000000001E-2</v>
      </c>
      <c r="G35" s="66">
        <v>0</v>
      </c>
      <c r="H35" s="66">
        <v>0.201437</v>
      </c>
    </row>
    <row r="36" spans="1:8">
      <c r="A36" s="66" t="s">
        <v>333</v>
      </c>
      <c r="B36" s="66">
        <v>0.18813299999999999</v>
      </c>
      <c r="C36" s="66">
        <v>0.12264899999999999</v>
      </c>
      <c r="D36" s="66">
        <v>0.65192700000000003</v>
      </c>
      <c r="E36" s="66">
        <v>0</v>
      </c>
      <c r="F36" s="66">
        <v>3.79923E-2</v>
      </c>
      <c r="G36" s="66">
        <v>0</v>
      </c>
      <c r="H36" s="66">
        <v>0.71321000000000001</v>
      </c>
    </row>
    <row r="37" spans="1:8">
      <c r="A37" s="66" t="s">
        <v>334</v>
      </c>
      <c r="B37" s="66">
        <v>0.52499099999999999</v>
      </c>
      <c r="C37" s="66">
        <v>0.17619799999999999</v>
      </c>
      <c r="D37" s="66">
        <v>0.335621</v>
      </c>
      <c r="E37" s="66">
        <v>0.1</v>
      </c>
      <c r="F37" s="66">
        <v>3.57122E-2</v>
      </c>
      <c r="G37" s="66">
        <v>0.5</v>
      </c>
      <c r="H37" s="66">
        <v>0.66396500000000003</v>
      </c>
    </row>
    <row r="38" spans="1:8">
      <c r="A38" s="66" t="s">
        <v>335</v>
      </c>
      <c r="B38" s="66">
        <v>-15.164199999999999</v>
      </c>
      <c r="C38" s="66">
        <v>48.671900000000001</v>
      </c>
      <c r="D38" s="66">
        <v>-3.20967</v>
      </c>
      <c r="E38" s="66">
        <v>0</v>
      </c>
      <c r="F38" s="66">
        <v>-104.122</v>
      </c>
      <c r="G38" s="66">
        <v>0</v>
      </c>
      <c r="H38" s="66">
        <v>176.73</v>
      </c>
    </row>
    <row r="39" spans="1:8">
      <c r="A39" s="66" t="s">
        <v>336</v>
      </c>
      <c r="B39" s="66">
        <v>-7.4071899999999999</v>
      </c>
      <c r="C39" s="66">
        <v>4.83988</v>
      </c>
      <c r="D39" s="66">
        <v>-0.65340299999999996</v>
      </c>
      <c r="E39" s="66">
        <v>0</v>
      </c>
      <c r="F39" s="66">
        <v>-20.141200000000001</v>
      </c>
      <c r="G39" s="66">
        <v>0</v>
      </c>
      <c r="H39" s="66">
        <v>8.8083500000000008</v>
      </c>
    </row>
    <row r="40" spans="1:8">
      <c r="A40" s="66" t="s">
        <v>337</v>
      </c>
      <c r="B40" s="66">
        <v>-3.07599</v>
      </c>
      <c r="C40" s="66">
        <v>0.389681</v>
      </c>
      <c r="D40" s="66">
        <v>-0.12668499999999999</v>
      </c>
      <c r="E40" s="66">
        <v>0</v>
      </c>
      <c r="F40" s="66">
        <v>-3.4831599999999998</v>
      </c>
      <c r="G40" s="66">
        <v>0</v>
      </c>
      <c r="H40" s="66">
        <v>-2.0450699999999999</v>
      </c>
    </row>
    <row r="41" spans="1:8">
      <c r="A41" s="66" t="s">
        <v>338</v>
      </c>
      <c r="B41" s="66">
        <v>-0.13111700000000001</v>
      </c>
      <c r="C41" s="66">
        <v>0.32362299999999999</v>
      </c>
      <c r="D41" s="66">
        <v>-2.4681899999999999</v>
      </c>
      <c r="E41" s="66">
        <v>0</v>
      </c>
      <c r="F41" s="66">
        <v>-0.96078399999999997</v>
      </c>
      <c r="G41" s="66">
        <v>0</v>
      </c>
      <c r="H41" s="66">
        <v>1</v>
      </c>
    </row>
    <row r="42" spans="1:8">
      <c r="A42" s="66" t="s">
        <v>339</v>
      </c>
      <c r="B42" s="66">
        <v>-0.15535299999999999</v>
      </c>
      <c r="C42" s="66">
        <v>9.4907400000000003E-2</v>
      </c>
      <c r="D42" s="66">
        <v>-0.61091700000000004</v>
      </c>
      <c r="E42" s="66">
        <v>0</v>
      </c>
      <c r="F42" s="66">
        <v>-0.42438900000000002</v>
      </c>
      <c r="G42" s="66">
        <v>0</v>
      </c>
      <c r="H42" s="66">
        <v>6.5005300000000002E-2</v>
      </c>
    </row>
    <row r="43" spans="1:8">
      <c r="A43" s="66" t="s">
        <v>340</v>
      </c>
      <c r="B43" s="66">
        <v>-3.36037E-2</v>
      </c>
      <c r="C43" s="66">
        <v>9.9737999999999993E-2</v>
      </c>
      <c r="D43" s="66">
        <v>-2.96807</v>
      </c>
      <c r="E43" s="66">
        <v>0</v>
      </c>
      <c r="F43" s="66">
        <v>-0.24774499999999999</v>
      </c>
      <c r="G43" s="66">
        <v>0</v>
      </c>
      <c r="H43" s="66">
        <v>2.3250900000000001E-2</v>
      </c>
    </row>
    <row r="44" spans="1:8">
      <c r="A44" s="66" t="s">
        <v>341</v>
      </c>
      <c r="B44" s="66">
        <v>-16.4773</v>
      </c>
      <c r="C44" s="66">
        <v>6.6136200000000001</v>
      </c>
      <c r="D44" s="66">
        <v>-0.40137800000000001</v>
      </c>
      <c r="E44" s="66">
        <v>0</v>
      </c>
      <c r="F44" s="66">
        <v>-30.011199999999999</v>
      </c>
      <c r="G44" s="66">
        <v>0</v>
      </c>
      <c r="H44" s="66">
        <v>-5.8289600000000004</v>
      </c>
    </row>
    <row r="45" spans="1:8">
      <c r="A45" s="66" t="s">
        <v>342</v>
      </c>
      <c r="B45" s="66">
        <v>53.746600000000001</v>
      </c>
      <c r="C45" s="66">
        <v>8.1251300000000004</v>
      </c>
      <c r="D45" s="66">
        <v>0.151175</v>
      </c>
      <c r="E45" s="66">
        <v>0</v>
      </c>
      <c r="F45" s="66">
        <v>36.770000000000003</v>
      </c>
      <c r="G45" s="66">
        <v>0</v>
      </c>
      <c r="H45" s="66">
        <v>74.939400000000006</v>
      </c>
    </row>
    <row r="46" spans="1:8">
      <c r="A46" s="66" t="s">
        <v>343</v>
      </c>
      <c r="B46" s="66">
        <v>27.005400000000002</v>
      </c>
      <c r="C46" s="66">
        <v>5.23278</v>
      </c>
      <c r="D46" s="66">
        <v>0.193768</v>
      </c>
      <c r="E46" s="66">
        <v>0</v>
      </c>
      <c r="F46" s="66">
        <v>8.1214300000000001</v>
      </c>
      <c r="G46" s="66">
        <v>0</v>
      </c>
      <c r="H46" s="66">
        <v>29.9693</v>
      </c>
    </row>
    <row r="47" spans="1:8">
      <c r="A47" s="66" t="s">
        <v>344</v>
      </c>
      <c r="B47" s="66">
        <v>1.1107400000000001</v>
      </c>
      <c r="C47" s="66">
        <v>0.38119599999999998</v>
      </c>
      <c r="D47" s="66">
        <v>0.34319100000000002</v>
      </c>
      <c r="E47" s="66">
        <v>0</v>
      </c>
      <c r="F47" s="66">
        <v>0.56087900000000002</v>
      </c>
      <c r="G47" s="66">
        <v>0</v>
      </c>
      <c r="H47" s="66">
        <v>2.17022</v>
      </c>
    </row>
    <row r="48" spans="1:8">
      <c r="A48" s="66" t="s">
        <v>345</v>
      </c>
      <c r="B48" s="66">
        <v>0.88619400000000004</v>
      </c>
      <c r="C48" s="66">
        <v>0.24431900000000001</v>
      </c>
      <c r="D48" s="66">
        <v>0.27569500000000002</v>
      </c>
      <c r="E48" s="66">
        <v>0</v>
      </c>
      <c r="F48" s="66">
        <v>0.50914800000000004</v>
      </c>
      <c r="G48" s="66">
        <v>0</v>
      </c>
      <c r="H48" s="66">
        <v>1.8555699999999999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34.860900000000001</v>
      </c>
      <c r="C5" s="66">
        <v>2.61388</v>
      </c>
      <c r="D5" s="66">
        <v>7.4980200000000004</v>
      </c>
      <c r="E5" s="66">
        <v>20</v>
      </c>
      <c r="F5" s="66">
        <v>31.521899999999999</v>
      </c>
      <c r="G5" s="66">
        <v>50</v>
      </c>
      <c r="H5" s="66">
        <v>41.777500000000003</v>
      </c>
    </row>
    <row r="6" spans="1:8">
      <c r="A6" s="66" t="s">
        <v>303</v>
      </c>
      <c r="B6" s="66">
        <v>44.502400000000002</v>
      </c>
      <c r="C6" s="66">
        <v>2.0216799999999999</v>
      </c>
      <c r="D6" s="66">
        <v>4.5428600000000001</v>
      </c>
      <c r="E6" s="66">
        <v>20</v>
      </c>
      <c r="F6" s="66">
        <v>38.303400000000003</v>
      </c>
      <c r="G6" s="66">
        <v>40</v>
      </c>
      <c r="H6" s="66">
        <v>48.668100000000003</v>
      </c>
    </row>
    <row r="7" spans="1:8">
      <c r="A7" s="66" t="s">
        <v>304</v>
      </c>
      <c r="B7" s="66">
        <v>32.985799999999998</v>
      </c>
      <c r="C7" s="66">
        <v>3.79738</v>
      </c>
      <c r="D7" s="66">
        <v>11.5122</v>
      </c>
      <c r="E7" s="66">
        <v>15</v>
      </c>
      <c r="F7" s="66">
        <v>22.421900000000001</v>
      </c>
      <c r="G7" s="66">
        <v>40</v>
      </c>
      <c r="H7" s="66">
        <v>41.719700000000003</v>
      </c>
    </row>
    <row r="8" spans="1:8">
      <c r="A8" s="66" t="s">
        <v>305</v>
      </c>
      <c r="B8" s="66">
        <v>37.593899999999998</v>
      </c>
      <c r="C8" s="66">
        <v>1.3472</v>
      </c>
      <c r="D8" s="66">
        <v>3.5835499999999998</v>
      </c>
      <c r="E8" s="66">
        <v>20</v>
      </c>
      <c r="F8" s="66">
        <v>34.038200000000003</v>
      </c>
      <c r="G8" s="66">
        <v>50</v>
      </c>
      <c r="H8" s="66">
        <v>40.0017</v>
      </c>
    </row>
    <row r="9" spans="1:8">
      <c r="A9" s="66" t="s">
        <v>306</v>
      </c>
      <c r="B9" s="66">
        <v>57.062800000000003</v>
      </c>
      <c r="C9" s="66">
        <v>5.6240199999999998</v>
      </c>
      <c r="D9" s="66">
        <v>9.8558400000000006</v>
      </c>
      <c r="E9" s="66">
        <v>50</v>
      </c>
      <c r="F9" s="66">
        <v>37.471499999999999</v>
      </c>
      <c r="G9" s="66">
        <v>100</v>
      </c>
      <c r="H9" s="66">
        <v>64.561800000000005</v>
      </c>
    </row>
    <row r="10" spans="1:8">
      <c r="A10" s="66" t="s">
        <v>307</v>
      </c>
      <c r="B10" s="66">
        <v>56.7898</v>
      </c>
      <c r="C10" s="66">
        <v>7.47933</v>
      </c>
      <c r="D10" s="66">
        <v>13.170199999999999</v>
      </c>
      <c r="E10" s="66">
        <v>40</v>
      </c>
      <c r="F10" s="66">
        <v>42.146900000000002</v>
      </c>
      <c r="G10" s="66">
        <v>100</v>
      </c>
      <c r="H10" s="66">
        <v>73.087000000000003</v>
      </c>
    </row>
    <row r="11" spans="1:8">
      <c r="A11" s="66" t="s">
        <v>308</v>
      </c>
      <c r="B11" s="66">
        <v>15.660299999999999</v>
      </c>
      <c r="C11" s="66">
        <v>2.2458499999999999</v>
      </c>
      <c r="D11" s="66">
        <v>14.340999999999999</v>
      </c>
      <c r="E11" s="66">
        <v>10</v>
      </c>
      <c r="F11" s="66">
        <v>10.172700000000001</v>
      </c>
      <c r="G11" s="66">
        <v>50</v>
      </c>
      <c r="H11" s="66">
        <v>19.4148</v>
      </c>
    </row>
    <row r="12" spans="1:8">
      <c r="A12" s="66" t="s">
        <v>309</v>
      </c>
      <c r="B12" s="66">
        <v>57.620899999999999</v>
      </c>
      <c r="C12" s="66">
        <v>5.3606199999999999</v>
      </c>
      <c r="D12" s="66">
        <v>9.3032500000000002</v>
      </c>
      <c r="E12" s="66">
        <v>50</v>
      </c>
      <c r="F12" s="66">
        <v>42.192100000000003</v>
      </c>
      <c r="G12" s="66">
        <v>100</v>
      </c>
      <c r="H12" s="66">
        <v>68.003</v>
      </c>
    </row>
    <row r="13" spans="1:8">
      <c r="A13" s="66" t="s">
        <v>310</v>
      </c>
      <c r="B13" s="66">
        <v>20.979700000000001</v>
      </c>
      <c r="C13" s="66">
        <v>2.1546799999999999</v>
      </c>
      <c r="D13" s="66">
        <v>10.270300000000001</v>
      </c>
      <c r="E13" s="66">
        <v>10</v>
      </c>
      <c r="F13" s="66">
        <v>15.970499999999999</v>
      </c>
      <c r="G13" s="66">
        <v>25</v>
      </c>
      <c r="H13" s="66">
        <v>26.393000000000001</v>
      </c>
    </row>
    <row r="14" spans="1:8">
      <c r="A14" s="66" t="s">
        <v>311</v>
      </c>
      <c r="B14" s="66">
        <v>21.546800000000001</v>
      </c>
      <c r="C14" s="66">
        <v>18.4556</v>
      </c>
      <c r="D14" s="66">
        <v>85.653400000000005</v>
      </c>
      <c r="E14" s="66">
        <v>10</v>
      </c>
      <c r="F14" s="66">
        <v>3.0363699999999998</v>
      </c>
      <c r="G14" s="66">
        <v>50</v>
      </c>
      <c r="H14" s="66">
        <v>52.805799999999998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0.59869899999999998</v>
      </c>
      <c r="C18" s="66">
        <v>6.4249299999999997E-3</v>
      </c>
      <c r="D18" s="66">
        <v>1.07315E-2</v>
      </c>
      <c r="E18" s="66">
        <v>0</v>
      </c>
      <c r="F18" s="66">
        <v>0.59227399999999997</v>
      </c>
      <c r="G18" s="66">
        <v>0</v>
      </c>
      <c r="H18" s="66">
        <v>0.605124</v>
      </c>
    </row>
    <row r="19" spans="1:8">
      <c r="A19" s="66" t="s">
        <v>316</v>
      </c>
      <c r="B19" s="66">
        <v>0.67075300000000004</v>
      </c>
      <c r="C19" s="66">
        <v>8.1613699999999998E-4</v>
      </c>
      <c r="D19" s="66">
        <v>1.2167499999999999E-3</v>
      </c>
      <c r="E19" s="66">
        <v>0</v>
      </c>
      <c r="F19" s="66">
        <v>0.66993599999999998</v>
      </c>
      <c r="G19" s="66">
        <v>0</v>
      </c>
      <c r="H19" s="66">
        <v>0.67156899999999997</v>
      </c>
    </row>
    <row r="20" spans="1:8">
      <c r="A20" s="66" t="s">
        <v>317</v>
      </c>
      <c r="B20" s="196">
        <v>5.5559000000000001E-5</v>
      </c>
      <c r="C20" s="66">
        <v>1.37973E-2</v>
      </c>
      <c r="D20" s="66">
        <v>248.33600000000001</v>
      </c>
      <c r="E20" s="66">
        <v>0</v>
      </c>
      <c r="F20" s="66">
        <v>0</v>
      </c>
      <c r="G20" s="66">
        <v>0</v>
      </c>
      <c r="H20" s="66">
        <v>9.1183899999999998E-2</v>
      </c>
    </row>
    <row r="21" spans="1:8">
      <c r="A21" s="66" t="s">
        <v>318</v>
      </c>
      <c r="B21" s="66">
        <v>4.0037700000000002E-2</v>
      </c>
      <c r="C21" s="66">
        <v>5.9301699999999999E-2</v>
      </c>
      <c r="D21" s="66">
        <v>1.48115</v>
      </c>
      <c r="E21" s="66">
        <v>0</v>
      </c>
      <c r="F21" s="196">
        <v>1.9646100000000002E-5</v>
      </c>
      <c r="G21" s="66">
        <v>0</v>
      </c>
      <c r="H21" s="66">
        <v>0.313469</v>
      </c>
    </row>
    <row r="22" spans="1:8">
      <c r="A22" s="66" t="s">
        <v>319</v>
      </c>
      <c r="B22" s="66">
        <v>40.440199999999997</v>
      </c>
      <c r="C22" s="66">
        <v>22.556100000000001</v>
      </c>
      <c r="D22" s="66">
        <v>0.55776499999999996</v>
      </c>
      <c r="E22" s="66">
        <v>0</v>
      </c>
      <c r="F22" s="66">
        <v>20.357800000000001</v>
      </c>
      <c r="G22" s="66">
        <v>0</v>
      </c>
      <c r="H22" s="66">
        <v>152.03</v>
      </c>
    </row>
    <row r="23" spans="1:8">
      <c r="A23" s="66" t="s">
        <v>320</v>
      </c>
      <c r="B23" s="66">
        <v>15.4156</v>
      </c>
      <c r="C23" s="66">
        <v>0.84286499999999998</v>
      </c>
      <c r="D23" s="66">
        <v>5.4676299999999997E-2</v>
      </c>
      <c r="E23" s="66">
        <v>0</v>
      </c>
      <c r="F23" s="66">
        <v>14.0212</v>
      </c>
      <c r="G23" s="66">
        <v>0</v>
      </c>
      <c r="H23" s="66">
        <v>17.6723</v>
      </c>
    </row>
    <row r="24" spans="1:8">
      <c r="A24" s="66" t="s">
        <v>321</v>
      </c>
      <c r="B24" s="66">
        <v>3.3002500000000001E-4</v>
      </c>
      <c r="C24" s="66">
        <v>7.3929800000000004E-3</v>
      </c>
      <c r="D24" s="66">
        <v>22.401299999999999</v>
      </c>
      <c r="E24" s="66">
        <v>0</v>
      </c>
      <c r="F24" s="196">
        <v>1.07295E-6</v>
      </c>
      <c r="G24" s="66">
        <v>0</v>
      </c>
      <c r="H24" s="66">
        <v>2.6244900000000002E-2</v>
      </c>
    </row>
    <row r="25" spans="1:8">
      <c r="A25" s="66" t="s">
        <v>322</v>
      </c>
      <c r="B25" s="66">
        <v>5.5957899999999998E-2</v>
      </c>
      <c r="C25" s="66">
        <v>2.6989699999999998E-2</v>
      </c>
      <c r="D25" s="66">
        <v>0.48232199999999997</v>
      </c>
      <c r="E25" s="66">
        <v>0</v>
      </c>
      <c r="F25" s="66">
        <v>1.05507E-2</v>
      </c>
      <c r="G25" s="66">
        <v>0</v>
      </c>
      <c r="H25" s="66">
        <v>0.13302800000000001</v>
      </c>
    </row>
    <row r="26" spans="1:8">
      <c r="A26" s="66" t="s">
        <v>323</v>
      </c>
      <c r="B26" s="196">
        <v>2.62605E-5</v>
      </c>
      <c r="C26" s="66">
        <v>9.5658699999999995E-4</v>
      </c>
      <c r="D26" s="66">
        <v>36.4268</v>
      </c>
      <c r="E26" s="66">
        <v>0</v>
      </c>
      <c r="F26" s="66">
        <v>0</v>
      </c>
      <c r="G26" s="66">
        <v>0</v>
      </c>
      <c r="H26" s="66">
        <v>5.3505799999999997E-3</v>
      </c>
    </row>
    <row r="27" spans="1:8">
      <c r="A27" s="66" t="s">
        <v>324</v>
      </c>
      <c r="B27" s="66">
        <v>0</v>
      </c>
      <c r="C27" s="66">
        <v>8.1432399999999995E-4</v>
      </c>
      <c r="D27" s="66">
        <v>0</v>
      </c>
      <c r="E27" s="66">
        <v>0</v>
      </c>
      <c r="F27" s="66">
        <v>-4.8417800000000004E-3</v>
      </c>
      <c r="G27" s="66">
        <v>0</v>
      </c>
      <c r="H27" s="66">
        <v>4.1655700000000004E-3</v>
      </c>
    </row>
    <row r="28" spans="1:8">
      <c r="A28" s="66" t="s">
        <v>325</v>
      </c>
      <c r="B28" s="66">
        <v>5.7747400000000004E-3</v>
      </c>
      <c r="C28" s="66">
        <v>5.8557399999999999E-3</v>
      </c>
      <c r="D28" s="66">
        <v>1.01403</v>
      </c>
      <c r="E28" s="66">
        <v>0</v>
      </c>
      <c r="F28" s="196">
        <v>6.5104200000000001E-6</v>
      </c>
      <c r="G28" s="66">
        <v>0</v>
      </c>
      <c r="H28" s="66">
        <v>3.35938E-2</v>
      </c>
    </row>
    <row r="29" spans="1:8">
      <c r="A29" s="66" t="s">
        <v>326</v>
      </c>
      <c r="B29" s="66">
        <v>75.888900000000007</v>
      </c>
      <c r="C29" s="66">
        <v>13.6401</v>
      </c>
      <c r="D29" s="66">
        <v>0.17973700000000001</v>
      </c>
      <c r="E29" s="66">
        <v>0</v>
      </c>
      <c r="F29" s="66">
        <v>49.9452</v>
      </c>
      <c r="G29" s="66">
        <v>0</v>
      </c>
      <c r="H29" s="66">
        <v>128.84200000000001</v>
      </c>
    </row>
    <row r="30" spans="1:8">
      <c r="A30" s="66" t="s">
        <v>327</v>
      </c>
      <c r="B30" s="66">
        <v>21.133099999999999</v>
      </c>
      <c r="C30" s="66">
        <v>1.78654</v>
      </c>
      <c r="D30" s="66">
        <v>8.4537500000000002E-2</v>
      </c>
      <c r="E30" s="66">
        <v>0</v>
      </c>
      <c r="F30" s="66">
        <v>17.8017</v>
      </c>
      <c r="G30" s="66">
        <v>0</v>
      </c>
      <c r="H30" s="66">
        <v>24.708400000000001</v>
      </c>
    </row>
    <row r="31" spans="1:8">
      <c r="A31" s="66" t="s">
        <v>328</v>
      </c>
      <c r="B31" s="66">
        <v>168.91200000000001</v>
      </c>
      <c r="C31" s="66">
        <v>13.662699999999999</v>
      </c>
      <c r="D31" s="66">
        <v>8.0886799999999995E-2</v>
      </c>
      <c r="E31" s="66">
        <v>0</v>
      </c>
      <c r="F31" s="66">
        <v>140.29599999999999</v>
      </c>
      <c r="G31" s="66">
        <v>0</v>
      </c>
      <c r="H31" s="66">
        <v>199.13499999999999</v>
      </c>
    </row>
    <row r="32" spans="1:8">
      <c r="A32" s="66" t="s">
        <v>329</v>
      </c>
      <c r="B32" s="66">
        <v>0.32985799999999998</v>
      </c>
      <c r="C32" s="66">
        <v>3.7973800000000002E-2</v>
      </c>
      <c r="D32" s="66">
        <v>0.115122</v>
      </c>
      <c r="E32" s="66">
        <v>0.15</v>
      </c>
      <c r="F32" s="66">
        <v>0.224219</v>
      </c>
      <c r="G32" s="66">
        <v>0.4</v>
      </c>
      <c r="H32" s="66">
        <v>0.41719699999999998</v>
      </c>
    </row>
    <row r="33" spans="1:8">
      <c r="A33" s="66" t="s">
        <v>330</v>
      </c>
      <c r="B33" s="66">
        <v>0.37639699999999998</v>
      </c>
      <c r="C33" s="66">
        <v>6.8893599999999999E-2</v>
      </c>
      <c r="D33" s="66">
        <v>0.183034</v>
      </c>
      <c r="E33" s="66">
        <v>0</v>
      </c>
      <c r="F33" s="66">
        <v>0.21820300000000001</v>
      </c>
      <c r="G33" s="66">
        <v>0</v>
      </c>
      <c r="H33" s="66">
        <v>0.406358</v>
      </c>
    </row>
    <row r="34" spans="1:8">
      <c r="A34" s="66" t="s">
        <v>331</v>
      </c>
      <c r="B34" s="66">
        <v>0.20979700000000001</v>
      </c>
      <c r="C34" s="66">
        <v>2.1546800000000001E-2</v>
      </c>
      <c r="D34" s="66">
        <v>0.102703</v>
      </c>
      <c r="E34" s="66">
        <v>0.1</v>
      </c>
      <c r="F34" s="66">
        <v>0.15970500000000001</v>
      </c>
      <c r="G34" s="66">
        <v>0.25</v>
      </c>
      <c r="H34" s="66">
        <v>0.26393</v>
      </c>
    </row>
    <row r="35" spans="1:8">
      <c r="A35" s="66" t="s">
        <v>332</v>
      </c>
      <c r="B35" s="66">
        <v>8.8938199999999995E-2</v>
      </c>
      <c r="C35" s="66">
        <v>2.0010199999999999E-2</v>
      </c>
      <c r="D35" s="66">
        <v>0.22499</v>
      </c>
      <c r="E35" s="66">
        <v>0</v>
      </c>
      <c r="F35" s="66">
        <v>5.8036900000000002E-2</v>
      </c>
      <c r="G35" s="66">
        <v>0</v>
      </c>
      <c r="H35" s="66">
        <v>0.13992099999999999</v>
      </c>
    </row>
    <row r="36" spans="1:8">
      <c r="A36" s="66" t="s">
        <v>333</v>
      </c>
      <c r="B36" s="66">
        <v>0.17935899999999999</v>
      </c>
      <c r="C36" s="66">
        <v>9.76577E-2</v>
      </c>
      <c r="D36" s="66">
        <v>0.54448099999999999</v>
      </c>
      <c r="E36" s="66">
        <v>0</v>
      </c>
      <c r="F36" s="66">
        <v>3.9322500000000003E-2</v>
      </c>
      <c r="G36" s="66">
        <v>0</v>
      </c>
      <c r="H36" s="66">
        <v>0.49680800000000003</v>
      </c>
    </row>
    <row r="37" spans="1:8">
      <c r="A37" s="66" t="s">
        <v>334</v>
      </c>
      <c r="B37" s="66">
        <v>0.21546799999999999</v>
      </c>
      <c r="C37" s="66">
        <v>0.184556</v>
      </c>
      <c r="D37" s="66">
        <v>0.85653400000000002</v>
      </c>
      <c r="E37" s="66">
        <v>0.1</v>
      </c>
      <c r="F37" s="66">
        <v>3.03637E-2</v>
      </c>
      <c r="G37" s="66">
        <v>0.5</v>
      </c>
      <c r="H37" s="66">
        <v>0.52805800000000003</v>
      </c>
    </row>
    <row r="38" spans="1:8">
      <c r="A38" s="66" t="s">
        <v>335</v>
      </c>
      <c r="B38" s="66">
        <v>-19.926600000000001</v>
      </c>
      <c r="C38" s="66">
        <v>56.335299999999997</v>
      </c>
      <c r="D38" s="66">
        <v>-2.82714</v>
      </c>
      <c r="E38" s="66">
        <v>0</v>
      </c>
      <c r="F38" s="66">
        <v>-113.268</v>
      </c>
      <c r="G38" s="66">
        <v>0</v>
      </c>
      <c r="H38" s="66">
        <v>370.529</v>
      </c>
    </row>
    <row r="39" spans="1:8">
      <c r="A39" s="66" t="s">
        <v>336</v>
      </c>
      <c r="B39" s="66">
        <v>-4.9435000000000002</v>
      </c>
      <c r="C39" s="66">
        <v>5.5925200000000004</v>
      </c>
      <c r="D39" s="66">
        <v>-1.1312899999999999</v>
      </c>
      <c r="E39" s="66">
        <v>0</v>
      </c>
      <c r="F39" s="66">
        <v>-25.0626</v>
      </c>
      <c r="G39" s="66">
        <v>0</v>
      </c>
      <c r="H39" s="66">
        <v>17.6493</v>
      </c>
    </row>
    <row r="40" spans="1:8">
      <c r="A40" s="66" t="s">
        <v>337</v>
      </c>
      <c r="B40" s="66">
        <v>-2.4710100000000002</v>
      </c>
      <c r="C40" s="66">
        <v>0.52098</v>
      </c>
      <c r="D40" s="66">
        <v>-0.210837</v>
      </c>
      <c r="E40" s="66">
        <v>0</v>
      </c>
      <c r="F40" s="66">
        <v>-3.7213500000000002</v>
      </c>
      <c r="G40" s="66">
        <v>0</v>
      </c>
      <c r="H40" s="66">
        <v>-1.50902</v>
      </c>
    </row>
    <row r="41" spans="1:8">
      <c r="A41" s="66" t="s">
        <v>338</v>
      </c>
      <c r="B41" s="66">
        <v>-0.18181800000000001</v>
      </c>
      <c r="C41" s="66">
        <v>0.369813</v>
      </c>
      <c r="D41" s="66">
        <v>-2.0339700000000001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-0.13222500000000001</v>
      </c>
      <c r="C42" s="66">
        <v>7.6707999999999998E-2</v>
      </c>
      <c r="D42" s="66">
        <v>-0.58013199999999998</v>
      </c>
      <c r="E42" s="66">
        <v>0</v>
      </c>
      <c r="F42" s="66">
        <v>-0.30465700000000001</v>
      </c>
      <c r="G42" s="66">
        <v>0</v>
      </c>
      <c r="H42" s="66">
        <v>0.245194</v>
      </c>
    </row>
    <row r="43" spans="1:8">
      <c r="A43" s="66" t="s">
        <v>340</v>
      </c>
      <c r="B43" s="66">
        <v>-0.15922500000000001</v>
      </c>
      <c r="C43" s="66">
        <v>3.7156399999999999E-2</v>
      </c>
      <c r="D43" s="66">
        <v>-0.23335800000000001</v>
      </c>
      <c r="E43" s="66">
        <v>0</v>
      </c>
      <c r="F43" s="66">
        <v>-0.22246099999999999</v>
      </c>
      <c r="G43" s="66">
        <v>0</v>
      </c>
      <c r="H43" s="66">
        <v>-3.5030899999999997E-2</v>
      </c>
    </row>
    <row r="44" spans="1:8">
      <c r="A44" s="66" t="s">
        <v>341</v>
      </c>
      <c r="B44" s="66">
        <v>-11.992000000000001</v>
      </c>
      <c r="C44" s="66">
        <v>7.8760899999999996</v>
      </c>
      <c r="D44" s="66">
        <v>-0.65678099999999995</v>
      </c>
      <c r="E44" s="66">
        <v>0</v>
      </c>
      <c r="F44" s="66">
        <v>-26.672999999999998</v>
      </c>
      <c r="G44" s="66">
        <v>0</v>
      </c>
      <c r="H44" s="66">
        <v>1.02728</v>
      </c>
    </row>
    <row r="45" spans="1:8">
      <c r="A45" s="66" t="s">
        <v>342</v>
      </c>
      <c r="B45" s="66">
        <v>60.247599999999998</v>
      </c>
      <c r="C45" s="66">
        <v>8.0490999999999993</v>
      </c>
      <c r="D45" s="66">
        <v>0.1336</v>
      </c>
      <c r="E45" s="66">
        <v>0</v>
      </c>
      <c r="F45" s="66">
        <v>42.5212</v>
      </c>
      <c r="G45" s="66">
        <v>0</v>
      </c>
      <c r="H45" s="66">
        <v>82.988100000000003</v>
      </c>
    </row>
    <row r="46" spans="1:8">
      <c r="A46" s="66" t="s">
        <v>343</v>
      </c>
      <c r="B46" s="66">
        <v>29.646599999999999</v>
      </c>
      <c r="C46" s="66">
        <v>1.7697799999999999</v>
      </c>
      <c r="D46" s="66">
        <v>5.9695999999999999E-2</v>
      </c>
      <c r="E46" s="66">
        <v>0</v>
      </c>
      <c r="F46" s="66">
        <v>25.2423</v>
      </c>
      <c r="G46" s="66">
        <v>0</v>
      </c>
      <c r="H46" s="66">
        <v>32.5991</v>
      </c>
    </row>
    <row r="47" spans="1:8">
      <c r="A47" s="66" t="s">
        <v>344</v>
      </c>
      <c r="B47" s="66">
        <v>0.93414299999999995</v>
      </c>
      <c r="C47" s="66">
        <v>0.413045</v>
      </c>
      <c r="D47" s="66">
        <v>0.44216499999999997</v>
      </c>
      <c r="E47" s="66">
        <v>0</v>
      </c>
      <c r="F47" s="66">
        <v>0.346636</v>
      </c>
      <c r="G47" s="66">
        <v>0</v>
      </c>
      <c r="H47" s="66">
        <v>2.5993400000000002</v>
      </c>
    </row>
    <row r="48" spans="1:8">
      <c r="A48" s="66" t="s">
        <v>345</v>
      </c>
      <c r="B48" s="66">
        <v>0.60010699999999995</v>
      </c>
      <c r="C48" s="66">
        <v>0.104368</v>
      </c>
      <c r="D48" s="66">
        <v>0.17391499999999999</v>
      </c>
      <c r="E48" s="66">
        <v>0</v>
      </c>
      <c r="F48" s="66">
        <v>0.36485899999999999</v>
      </c>
      <c r="G48" s="66">
        <v>0</v>
      </c>
      <c r="H48" s="66">
        <v>0.80619300000000005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346</v>
      </c>
      <c r="B1" s="60" t="s">
        <v>347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66.033402649436582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1.2749392742676962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0.54873431187748645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11675</v>
      </c>
      <c r="B8" s="66">
        <v>11675</v>
      </c>
      <c r="D8">
        <f t="shared" si="0"/>
        <v>7.5832862422624506E-2</v>
      </c>
      <c r="E8">
        <f t="shared" si="0"/>
        <v>7.5832862422624506E-2</v>
      </c>
      <c r="G8">
        <f t="shared" ca="1" si="1"/>
        <v>6</v>
      </c>
      <c r="H8">
        <f t="shared" ca="1" si="2"/>
        <v>0.45499717453574706</v>
      </c>
      <c r="I8">
        <f t="shared" ca="1" si="3"/>
        <v>273.30235155329092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16237</v>
      </c>
      <c r="B10" s="66">
        <v>16237</v>
      </c>
      <c r="D10">
        <f t="shared" si="0"/>
        <v>0.10546451281851427</v>
      </c>
      <c r="E10">
        <f t="shared" si="0"/>
        <v>0.10546451281851427</v>
      </c>
      <c r="G10">
        <f t="shared" ca="1" si="1"/>
        <v>8</v>
      </c>
      <c r="H10">
        <f t="shared" ca="1" si="2"/>
        <v>0.84371610254811413</v>
      </c>
      <c r="I10">
        <f t="shared" ca="1" si="3"/>
        <v>355.19138291350254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27379</v>
      </c>
      <c r="B13" s="66">
        <v>27379</v>
      </c>
      <c r="D13">
        <f t="shared" si="0"/>
        <v>0.17783536961619154</v>
      </c>
      <c r="E13">
        <f t="shared" si="0"/>
        <v>0.17783536961619154</v>
      </c>
      <c r="G13">
        <f t="shared" ca="1" si="1"/>
        <v>11</v>
      </c>
      <c r="H13">
        <f t="shared" ca="1" si="2"/>
        <v>1.9561890657781069</v>
      </c>
      <c r="I13">
        <f t="shared" ca="1" si="3"/>
        <v>538.6056104824379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44354</v>
      </c>
      <c r="B15" s="66">
        <v>44354</v>
      </c>
      <c r="D15">
        <f t="shared" si="0"/>
        <v>0.28809342868463272</v>
      </c>
      <c r="E15">
        <f t="shared" si="0"/>
        <v>0.28809342868463272</v>
      </c>
      <c r="G15">
        <f t="shared" ca="1" si="1"/>
        <v>13</v>
      </c>
      <c r="H15">
        <f t="shared" ca="1" si="2"/>
        <v>3.7452145729002253</v>
      </c>
      <c r="I15">
        <f t="shared" ca="1" si="3"/>
        <v>810.27480949478172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36506</v>
      </c>
      <c r="B18" s="66">
        <v>36506</v>
      </c>
      <c r="D18">
        <f t="shared" si="0"/>
        <v>0.23711815636833661</v>
      </c>
      <c r="E18">
        <f t="shared" si="0"/>
        <v>0.23711815636833661</v>
      </c>
      <c r="G18">
        <f t="shared" ca="1" si="1"/>
        <v>16</v>
      </c>
      <c r="H18">
        <f t="shared" ca="1" si="2"/>
        <v>3.7938905018933857</v>
      </c>
      <c r="I18">
        <f t="shared" ca="1" si="3"/>
        <v>593.58769294756144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36499</v>
      </c>
      <c r="B21" s="66">
        <v>36499</v>
      </c>
      <c r="D21">
        <f t="shared" si="0"/>
        <v>0.23707268912748364</v>
      </c>
      <c r="E21">
        <f t="shared" si="0"/>
        <v>0.23707268912748364</v>
      </c>
      <c r="G21">
        <f t="shared" ca="1" si="1"/>
        <v>19</v>
      </c>
      <c r="H21">
        <f t="shared" ca="1" si="2"/>
        <v>4.5043810934221895</v>
      </c>
      <c r="I21">
        <f t="shared" ca="1" si="3"/>
        <v>524.43820725041564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47102</v>
      </c>
      <c r="B23" s="66">
        <v>47102</v>
      </c>
      <c r="D23">
        <f t="shared" si="0"/>
        <v>0.30594256837948258</v>
      </c>
      <c r="E23">
        <f t="shared" si="0"/>
        <v>0.30594256837948258</v>
      </c>
      <c r="G23">
        <f t="shared" ca="1" si="1"/>
        <v>21</v>
      </c>
      <c r="H23">
        <f t="shared" ca="1" si="2"/>
        <v>6.4247939359691344</v>
      </c>
      <c r="I23">
        <f t="shared" ca="1" si="3"/>
        <v>620.45377863223007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50556</v>
      </c>
      <c r="B26" s="66">
        <v>50556</v>
      </c>
      <c r="D26">
        <f t="shared" si="0"/>
        <v>0.32837740408036009</v>
      </c>
      <c r="E26">
        <f t="shared" si="0"/>
        <v>0.32837740408036009</v>
      </c>
      <c r="G26">
        <f t="shared" ca="1" si="1"/>
        <v>24</v>
      </c>
      <c r="H26">
        <f t="shared" ca="1" si="2"/>
        <v>7.8810576979286422</v>
      </c>
      <c r="I26">
        <f t="shared" ca="1" si="3"/>
        <v>580.17947590672827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52143</v>
      </c>
      <c r="B28" s="66">
        <v>52143</v>
      </c>
      <c r="D28">
        <f t="shared" si="0"/>
        <v>0.33868547711373953</v>
      </c>
      <c r="E28">
        <f t="shared" si="0"/>
        <v>0.33868547711373953</v>
      </c>
      <c r="G28">
        <f t="shared" ca="1" si="1"/>
        <v>26</v>
      </c>
      <c r="H28">
        <f t="shared" ca="1" si="2"/>
        <v>8.8058224049572278</v>
      </c>
      <c r="I28">
        <f t="shared" ca="1" si="3"/>
        <v>542.80218064680116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65648</v>
      </c>
      <c r="B31" s="66">
        <v>65648</v>
      </c>
      <c r="D31">
        <f t="shared" si="0"/>
        <v>0.42640477535935356</v>
      </c>
      <c r="E31">
        <f t="shared" si="0"/>
        <v>0.42640477535935356</v>
      </c>
      <c r="G31">
        <f t="shared" ca="1" si="1"/>
        <v>29</v>
      </c>
      <c r="H31">
        <f t="shared" ca="1" si="2"/>
        <v>12.365738485421254</v>
      </c>
      <c r="I31">
        <f t="shared" ca="1" si="3"/>
        <v>584.80259886551187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78403</v>
      </c>
      <c r="B33" s="66">
        <v>78403</v>
      </c>
      <c r="D33">
        <f t="shared" si="0"/>
        <v>0.50925258351357849</v>
      </c>
      <c r="E33">
        <f t="shared" si="0"/>
        <v>0.50925258351357849</v>
      </c>
      <c r="G33">
        <f t="shared" ca="1" si="1"/>
        <v>31</v>
      </c>
      <c r="H33">
        <f t="shared" ca="1" si="2"/>
        <v>15.786830088920933</v>
      </c>
      <c r="I33">
        <f t="shared" ca="1" si="3"/>
        <v>625.02570998260251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78345</v>
      </c>
      <c r="B36" s="66">
        <v>78345</v>
      </c>
      <c r="D36">
        <f t="shared" si="0"/>
        <v>0.508875854946511</v>
      </c>
      <c r="E36">
        <f t="shared" si="0"/>
        <v>0.508875854946511</v>
      </c>
      <c r="G36">
        <f t="shared" ca="1" si="1"/>
        <v>34</v>
      </c>
      <c r="H36">
        <f t="shared" ca="1" si="2"/>
        <v>17.301779068181375</v>
      </c>
      <c r="I36">
        <f t="shared" ca="1" si="3"/>
        <v>522.17730255137076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88496</v>
      </c>
      <c r="B39" s="66">
        <v>88496</v>
      </c>
      <c r="D39">
        <f t="shared" si="0"/>
        <v>0.57480984950343272</v>
      </c>
      <c r="E39">
        <f t="shared" si="0"/>
        <v>0.57480984950343272</v>
      </c>
      <c r="G39">
        <f t="shared" ca="1" si="1"/>
        <v>37</v>
      </c>
      <c r="H39">
        <f t="shared" ca="1" si="2"/>
        <v>21.267964431627011</v>
      </c>
      <c r="I39">
        <f t="shared" ca="1" si="3"/>
        <v>484.52933473894603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87739</v>
      </c>
      <c r="B41" s="66">
        <v>87739</v>
      </c>
      <c r="D41">
        <f t="shared" si="0"/>
        <v>0.56989289217119066</v>
      </c>
      <c r="E41">
        <f t="shared" si="0"/>
        <v>0.56989289217119066</v>
      </c>
      <c r="G41">
        <f t="shared" ca="1" si="1"/>
        <v>39</v>
      </c>
      <c r="H41">
        <f t="shared" ca="1" si="2"/>
        <v>22.225822794676436</v>
      </c>
      <c r="I41">
        <f t="shared" ca="1" si="3"/>
        <v>416.48049459803184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101042</v>
      </c>
      <c r="B44" s="66">
        <v>101042</v>
      </c>
      <c r="D44">
        <f t="shared" si="0"/>
        <v>0.65630013575219059</v>
      </c>
      <c r="E44">
        <f t="shared" si="0"/>
        <v>0.65630013575219059</v>
      </c>
      <c r="G44">
        <f t="shared" ca="1" si="1"/>
        <v>42</v>
      </c>
      <c r="H44">
        <f t="shared" ca="1" si="2"/>
        <v>27.564605701592004</v>
      </c>
      <c r="I44">
        <f t="shared" ca="1" si="3"/>
        <v>379.08187429286551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114388</v>
      </c>
      <c r="B46" s="66">
        <v>114388</v>
      </c>
      <c r="D46">
        <f t="shared" si="0"/>
        <v>0.74298667809843011</v>
      </c>
      <c r="E46">
        <f t="shared" si="0"/>
        <v>0.74298667809843011</v>
      </c>
      <c r="G46">
        <f t="shared" ca="1" si="1"/>
        <v>44</v>
      </c>
      <c r="H46">
        <f t="shared" ca="1" si="2"/>
        <v>32.691413836330923</v>
      </c>
      <c r="I46">
        <f t="shared" ca="1" si="3"/>
        <v>360.69836101332072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107772</v>
      </c>
      <c r="B49" s="66">
        <v>107772</v>
      </c>
      <c r="D49">
        <f t="shared" si="0"/>
        <v>0.70001364017225587</v>
      </c>
      <c r="E49">
        <f t="shared" si="0"/>
        <v>0.70001364017225587</v>
      </c>
      <c r="G49">
        <f t="shared" ca="1" si="1"/>
        <v>47</v>
      </c>
      <c r="H49">
        <f t="shared" ca="1" si="2"/>
        <v>32.900641088096023</v>
      </c>
      <c r="I49">
        <f t="shared" ca="1" si="3"/>
        <v>253.59423292178874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122789</v>
      </c>
      <c r="B51" s="66">
        <v>122789</v>
      </c>
      <c r="D51">
        <f t="shared" si="0"/>
        <v>0.79755386244211046</v>
      </c>
      <c r="E51">
        <f t="shared" si="0"/>
        <v>0.79755386244211046</v>
      </c>
      <c r="G51">
        <f t="shared" ca="1" si="1"/>
        <v>49</v>
      </c>
      <c r="H51">
        <f t="shared" ca="1" si="2"/>
        <v>39.080139259663412</v>
      </c>
      <c r="I51">
        <f t="shared" ca="1" si="3"/>
        <v>231.3997301166294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133986</v>
      </c>
      <c r="B54" s="66">
        <v>133986</v>
      </c>
      <c r="D54">
        <f t="shared" si="0"/>
        <v>0.87028196184648965</v>
      </c>
      <c r="E54">
        <f t="shared" si="0"/>
        <v>0.87028196184648965</v>
      </c>
      <c r="G54">
        <f t="shared" ca="1" si="1"/>
        <v>52</v>
      </c>
      <c r="H54">
        <f t="shared" ca="1" si="2"/>
        <v>45.254662016017463</v>
      </c>
      <c r="I54">
        <f t="shared" ca="1" si="3"/>
        <v>171.39018777959907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130302</v>
      </c>
      <c r="B57" s="66">
        <v>130302</v>
      </c>
      <c r="D57">
        <f t="shared" si="0"/>
        <v>0.84635320251758606</v>
      </c>
      <c r="E57">
        <f t="shared" si="0"/>
        <v>0.84635320251758606</v>
      </c>
      <c r="G57">
        <f t="shared" ca="1" si="1"/>
        <v>55</v>
      </c>
      <c r="H57">
        <f t="shared" ca="1" si="2"/>
        <v>46.549426138467233</v>
      </c>
      <c r="I57">
        <f t="shared" ca="1" si="3"/>
        <v>103.03163147731294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142945</v>
      </c>
      <c r="B59" s="66">
        <v>142945</v>
      </c>
      <c r="D59">
        <f t="shared" si="0"/>
        <v>0.92847353481816353</v>
      </c>
      <c r="E59">
        <f t="shared" si="0"/>
        <v>0.92847353481816353</v>
      </c>
      <c r="G59">
        <f t="shared" ca="1" si="1"/>
        <v>57</v>
      </c>
      <c r="H59">
        <f t="shared" ca="1" si="2"/>
        <v>52.922991484635318</v>
      </c>
      <c r="I59">
        <f t="shared" ca="1" si="3"/>
        <v>75.765634820441846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153957</v>
      </c>
      <c r="B62" s="66">
        <v>153957</v>
      </c>
      <c r="D62">
        <f t="shared" si="0"/>
        <v>1</v>
      </c>
      <c r="E62">
        <f t="shared" si="0"/>
        <v>1</v>
      </c>
      <c r="G62">
        <f t="shared" ca="1" si="1"/>
        <v>60</v>
      </c>
      <c r="H62">
        <f t="shared" ca="1" si="2"/>
        <v>60</v>
      </c>
      <c r="I62">
        <f t="shared" ca="1" si="3"/>
        <v>36.401947530228362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145231</v>
      </c>
      <c r="B64" s="66">
        <v>145231</v>
      </c>
      <c r="D64">
        <f t="shared" si="0"/>
        <v>0.94332183661671765</v>
      </c>
      <c r="E64">
        <f t="shared" si="0"/>
        <v>0.94332183661671765</v>
      </c>
      <c r="G64">
        <f t="shared" ca="1" si="1"/>
        <v>62</v>
      </c>
      <c r="H64">
        <f t="shared" ca="1" si="2"/>
        <v>58.485953870236493</v>
      </c>
      <c r="I64">
        <f t="shared" ca="1" si="3"/>
        <v>15.346277473848533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147080</v>
      </c>
      <c r="B67" s="66">
        <v>147080</v>
      </c>
      <c r="D67">
        <f t="shared" ref="D67:E130" si="4">IFERROR( A67/MAX(A$2:A$257), 0 )</f>
        <v>0.95533168352202236</v>
      </c>
      <c r="E67">
        <f t="shared" si="4"/>
        <v>0.95533168352202236</v>
      </c>
      <c r="G67">
        <f t="shared" ref="G67:G130" ca="1" si="5">CELL("row",D67)-2</f>
        <v>65</v>
      </c>
      <c r="H67">
        <f t="shared" ref="H67:H130" ca="1" si="6">D67*G67</f>
        <v>62.096559428931457</v>
      </c>
      <c r="I67">
        <f t="shared" ref="I67:I130" ca="1" si="7">D67*((G67-$L$1)^2)</f>
        <v>1.0202188010591482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152325</v>
      </c>
      <c r="B69" s="66">
        <v>152325</v>
      </c>
      <c r="D69">
        <f t="shared" si="4"/>
        <v>0.98939963756113725</v>
      </c>
      <c r="E69">
        <f t="shared" si="4"/>
        <v>0.98939963756113725</v>
      </c>
      <c r="G69">
        <f t="shared" ca="1" si="5"/>
        <v>67</v>
      </c>
      <c r="H69">
        <f t="shared" ca="1" si="6"/>
        <v>66.289775716596196</v>
      </c>
      <c r="I69">
        <f t="shared" ca="1" si="7"/>
        <v>0.9244064088417755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144232</v>
      </c>
      <c r="B72" s="66">
        <v>144232</v>
      </c>
      <c r="D72">
        <f t="shared" si="4"/>
        <v>0.93683301181498735</v>
      </c>
      <c r="E72">
        <f t="shared" si="4"/>
        <v>0.93683301181498735</v>
      </c>
      <c r="G72">
        <f t="shared" ca="1" si="5"/>
        <v>70</v>
      </c>
      <c r="H72">
        <f t="shared" ca="1" si="6"/>
        <v>65.578310827049108</v>
      </c>
      <c r="I72">
        <f t="shared" ca="1" si="7"/>
        <v>14.740031810889771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140159</v>
      </c>
      <c r="B75" s="66">
        <v>140159</v>
      </c>
      <c r="D75">
        <f t="shared" si="4"/>
        <v>0.91037757295868327</v>
      </c>
      <c r="E75">
        <f t="shared" si="4"/>
        <v>0.91037757295868327</v>
      </c>
      <c r="G75">
        <f t="shared" ca="1" si="5"/>
        <v>73</v>
      </c>
      <c r="H75">
        <f t="shared" ca="1" si="6"/>
        <v>66.457562825983885</v>
      </c>
      <c r="I75">
        <f t="shared" ca="1" si="7"/>
        <v>44.183790495965425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128134</v>
      </c>
      <c r="B77" s="66">
        <v>128134</v>
      </c>
      <c r="D77">
        <f t="shared" si="4"/>
        <v>0.83227134849341045</v>
      </c>
      <c r="E77">
        <f t="shared" si="4"/>
        <v>0.83227134849341045</v>
      </c>
      <c r="G77">
        <f t="shared" ca="1" si="5"/>
        <v>75</v>
      </c>
      <c r="H77">
        <f t="shared" ca="1" si="6"/>
        <v>62.420351137005781</v>
      </c>
      <c r="I77">
        <f t="shared" ca="1" si="7"/>
        <v>66.91450659827791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127347</v>
      </c>
      <c r="B80" s="66">
        <v>127347</v>
      </c>
      <c r="D80">
        <f t="shared" si="4"/>
        <v>0.82715953155751276</v>
      </c>
      <c r="E80">
        <f t="shared" si="4"/>
        <v>0.82715953155751276</v>
      </c>
      <c r="G80">
        <f t="shared" ca="1" si="5"/>
        <v>78</v>
      </c>
      <c r="H80">
        <f t="shared" ca="1" si="6"/>
        <v>64.518443461486001</v>
      </c>
      <c r="I80">
        <f t="shared" ca="1" si="7"/>
        <v>118.4487917601095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118773</v>
      </c>
      <c r="B82" s="66">
        <v>118773</v>
      </c>
      <c r="D82">
        <f t="shared" si="4"/>
        <v>0.77146865683275201</v>
      </c>
      <c r="E82">
        <f t="shared" si="4"/>
        <v>0.77146865683275201</v>
      </c>
      <c r="G82">
        <f t="shared" ca="1" si="5"/>
        <v>80</v>
      </c>
      <c r="H82">
        <f t="shared" ca="1" si="6"/>
        <v>61.717492546620164</v>
      </c>
      <c r="I82">
        <f t="shared" ca="1" si="7"/>
        <v>150.48718277666211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119316</v>
      </c>
      <c r="B85" s="66">
        <v>119316</v>
      </c>
      <c r="D85">
        <f t="shared" si="4"/>
        <v>0.77499561565891772</v>
      </c>
      <c r="E85">
        <f t="shared" si="4"/>
        <v>0.77499561565891772</v>
      </c>
      <c r="G85">
        <f t="shared" ca="1" si="5"/>
        <v>83</v>
      </c>
      <c r="H85">
        <f t="shared" ca="1" si="6"/>
        <v>64.324636099690167</v>
      </c>
      <c r="I85">
        <f t="shared" ca="1" si="7"/>
        <v>223.09444278330096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105414</v>
      </c>
      <c r="B88" s="66">
        <v>105414</v>
      </c>
      <c r="D88">
        <f t="shared" si="4"/>
        <v>0.68469767532492842</v>
      </c>
      <c r="E88">
        <f t="shared" si="4"/>
        <v>0.68469767532492842</v>
      </c>
      <c r="G88">
        <f t="shared" ca="1" si="5"/>
        <v>86</v>
      </c>
      <c r="H88">
        <f t="shared" ca="1" si="6"/>
        <v>58.884000077943845</v>
      </c>
      <c r="I88">
        <f t="shared" ca="1" si="7"/>
        <v>272.96500541573744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95632</v>
      </c>
      <c r="B90" s="66">
        <v>95632</v>
      </c>
      <c r="D90">
        <f t="shared" si="4"/>
        <v>0.62116045389297014</v>
      </c>
      <c r="E90">
        <f t="shared" si="4"/>
        <v>0.62116045389297014</v>
      </c>
      <c r="G90">
        <f t="shared" ca="1" si="5"/>
        <v>88</v>
      </c>
      <c r="H90">
        <f t="shared" ca="1" si="6"/>
        <v>54.66211994258137</v>
      </c>
      <c r="I90">
        <f t="shared" ca="1" si="7"/>
        <v>299.72942292094109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96247</v>
      </c>
      <c r="B93" s="66">
        <v>96247</v>
      </c>
      <c r="D93">
        <f t="shared" si="4"/>
        <v>0.62515507576790919</v>
      </c>
      <c r="E93">
        <f t="shared" si="4"/>
        <v>0.62515507576790919</v>
      </c>
      <c r="G93">
        <f t="shared" ca="1" si="5"/>
        <v>91</v>
      </c>
      <c r="H93">
        <f t="shared" ca="1" si="6"/>
        <v>56.889111894879733</v>
      </c>
      <c r="I93">
        <f t="shared" ca="1" si="7"/>
        <v>389.6785280716166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74567</v>
      </c>
      <c r="B95" s="66">
        <v>74567</v>
      </c>
      <c r="D95">
        <f t="shared" si="4"/>
        <v>0.48433653552615341</v>
      </c>
      <c r="E95">
        <f t="shared" si="4"/>
        <v>0.48433653552615341</v>
      </c>
      <c r="G95">
        <f t="shared" ca="1" si="5"/>
        <v>93</v>
      </c>
      <c r="H95">
        <f t="shared" ca="1" si="6"/>
        <v>45.043297803932269</v>
      </c>
      <c r="I95">
        <f t="shared" ca="1" si="7"/>
        <v>352.20825612145637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65152</v>
      </c>
      <c r="B98" s="66">
        <v>65152</v>
      </c>
      <c r="D98">
        <f t="shared" si="4"/>
        <v>0.4231830965789149</v>
      </c>
      <c r="E98">
        <f t="shared" si="4"/>
        <v>0.4231830965789149</v>
      </c>
      <c r="G98">
        <f t="shared" ca="1" si="5"/>
        <v>96</v>
      </c>
      <c r="H98">
        <f t="shared" ca="1" si="6"/>
        <v>40.625577271575828</v>
      </c>
      <c r="I98">
        <f t="shared" ca="1" si="7"/>
        <v>380.01713288470677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55272</v>
      </c>
      <c r="B100" s="66">
        <v>55272</v>
      </c>
      <c r="D100">
        <f t="shared" si="4"/>
        <v>0.35900933377501509</v>
      </c>
      <c r="E100">
        <f t="shared" si="4"/>
        <v>0.35900933377501509</v>
      </c>
      <c r="G100">
        <f t="shared" ca="1" si="5"/>
        <v>98</v>
      </c>
      <c r="H100">
        <f t="shared" ca="1" si="6"/>
        <v>35.182914709951476</v>
      </c>
      <c r="I100">
        <f t="shared" ca="1" si="7"/>
        <v>366.85847911869365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40024</v>
      </c>
      <c r="B103" s="66">
        <v>40024</v>
      </c>
      <c r="D103">
        <f t="shared" si="4"/>
        <v>0.25996869255701266</v>
      </c>
      <c r="E103">
        <f t="shared" si="4"/>
        <v>0.25996869255701266</v>
      </c>
      <c r="G103">
        <f t="shared" ca="1" si="5"/>
        <v>101</v>
      </c>
      <c r="H103">
        <f t="shared" ca="1" si="6"/>
        <v>26.25683794825828</v>
      </c>
      <c r="I103">
        <f t="shared" ca="1" si="7"/>
        <v>317.85408342188907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36391</v>
      </c>
      <c r="B106" s="66">
        <v>36391</v>
      </c>
      <c r="D106">
        <f t="shared" si="4"/>
        <v>0.23637119455432362</v>
      </c>
      <c r="E106">
        <f t="shared" si="4"/>
        <v>0.23637119455432362</v>
      </c>
      <c r="G106">
        <f t="shared" ca="1" si="5"/>
        <v>104</v>
      </c>
      <c r="H106">
        <f t="shared" ca="1" si="6"/>
        <v>24.582604233649658</v>
      </c>
      <c r="I106">
        <f t="shared" ca="1" si="7"/>
        <v>340.72021642923437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31131</v>
      </c>
      <c r="B108" s="66">
        <v>31131</v>
      </c>
      <c r="D108">
        <f t="shared" si="4"/>
        <v>0.20220581071338101</v>
      </c>
      <c r="E108">
        <f t="shared" si="4"/>
        <v>0.20220581071338101</v>
      </c>
      <c r="G108">
        <f t="shared" ca="1" si="5"/>
        <v>106</v>
      </c>
      <c r="H108">
        <f t="shared" ca="1" si="6"/>
        <v>21.433815935618387</v>
      </c>
      <c r="I108">
        <f t="shared" ca="1" si="7"/>
        <v>322.98918596516819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27771</v>
      </c>
      <c r="B111" s="66">
        <v>27771</v>
      </c>
      <c r="D111">
        <f t="shared" si="4"/>
        <v>0.1803815351039576</v>
      </c>
      <c r="E111">
        <f t="shared" si="4"/>
        <v>0.1803815351039576</v>
      </c>
      <c r="G111">
        <f t="shared" ca="1" si="5"/>
        <v>109</v>
      </c>
      <c r="H111">
        <f t="shared" ca="1" si="6"/>
        <v>19.661587326331379</v>
      </c>
      <c r="I111">
        <f t="shared" ca="1" si="7"/>
        <v>333.00749064392426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24047</v>
      </c>
      <c r="B113" s="66">
        <v>24047</v>
      </c>
      <c r="D113">
        <f t="shared" si="4"/>
        <v>0.15619296297017998</v>
      </c>
      <c r="E113">
        <f t="shared" si="4"/>
        <v>0.15619296297017998</v>
      </c>
      <c r="G113">
        <f t="shared" ca="1" si="5"/>
        <v>111</v>
      </c>
      <c r="H113">
        <f t="shared" ca="1" si="6"/>
        <v>17.337418889689978</v>
      </c>
      <c r="I113">
        <f t="shared" ca="1" si="7"/>
        <v>315.8213709940909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28937</v>
      </c>
      <c r="B116" s="66">
        <v>28937</v>
      </c>
      <c r="D116">
        <f t="shared" si="4"/>
        <v>0.18795507836603728</v>
      </c>
      <c r="E116">
        <f t="shared" si="4"/>
        <v>0.18795507836603728</v>
      </c>
      <c r="G116">
        <f t="shared" ca="1" si="5"/>
        <v>114</v>
      </c>
      <c r="H116">
        <f t="shared" ca="1" si="6"/>
        <v>21.426878933728251</v>
      </c>
      <c r="I116">
        <f t="shared" ca="1" si="7"/>
        <v>432.44600329490453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28131</v>
      </c>
      <c r="B118" s="66">
        <v>28131</v>
      </c>
      <c r="D118">
        <f t="shared" si="4"/>
        <v>0.1827198503478244</v>
      </c>
      <c r="E118">
        <f t="shared" si="4"/>
        <v>0.1827198503478244</v>
      </c>
      <c r="G118">
        <f t="shared" ca="1" si="5"/>
        <v>116</v>
      </c>
      <c r="H118">
        <f t="shared" ca="1" si="6"/>
        <v>21.19550264034763</v>
      </c>
      <c r="I118">
        <f t="shared" ca="1" si="7"/>
        <v>456.18949702622939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23997</v>
      </c>
      <c r="B121" s="66">
        <v>23997</v>
      </c>
      <c r="D121">
        <f t="shared" si="4"/>
        <v>0.15586819696408738</v>
      </c>
      <c r="E121">
        <f t="shared" si="4"/>
        <v>0.15586819696408738</v>
      </c>
      <c r="G121">
        <f t="shared" ca="1" si="5"/>
        <v>119</v>
      </c>
      <c r="H121">
        <f t="shared" ca="1" si="6"/>
        <v>18.548315438726398</v>
      </c>
      <c r="I121">
        <f t="shared" ca="1" si="7"/>
        <v>437.2820596414349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25728</v>
      </c>
      <c r="B124" s="66">
        <v>25728</v>
      </c>
      <c r="D124">
        <f t="shared" si="4"/>
        <v>0.16711159609501355</v>
      </c>
      <c r="E124">
        <f t="shared" si="4"/>
        <v>0.16711159609501355</v>
      </c>
      <c r="G124">
        <f t="shared" ca="1" si="5"/>
        <v>122</v>
      </c>
      <c r="H124">
        <f t="shared" ca="1" si="6"/>
        <v>20.387614723591653</v>
      </c>
      <c r="I124">
        <f t="shared" ca="1" si="7"/>
        <v>523.43697115970292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22153</v>
      </c>
      <c r="B126" s="66">
        <v>22153</v>
      </c>
      <c r="D126">
        <f t="shared" si="4"/>
        <v>0.1438908266593919</v>
      </c>
      <c r="E126">
        <f t="shared" si="4"/>
        <v>0.1438908266593919</v>
      </c>
      <c r="G126">
        <f t="shared" ca="1" si="5"/>
        <v>124</v>
      </c>
      <c r="H126">
        <f t="shared" ca="1" si="6"/>
        <v>17.842462505764594</v>
      </c>
      <c r="I126">
        <f t="shared" ca="1" si="7"/>
        <v>483.49136658506706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22505</v>
      </c>
      <c r="B129" s="66">
        <v>22505</v>
      </c>
      <c r="D129">
        <f t="shared" si="4"/>
        <v>0.14617717934228389</v>
      </c>
      <c r="E129">
        <f t="shared" si="4"/>
        <v>0.14617717934228389</v>
      </c>
      <c r="G129">
        <f t="shared" ca="1" si="5"/>
        <v>127</v>
      </c>
      <c r="H129">
        <f t="shared" ca="1" si="6"/>
        <v>18.564501776470053</v>
      </c>
      <c r="I129">
        <f t="shared" ca="1" si="7"/>
        <v>543.32975740850611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23510</v>
      </c>
      <c r="B131" s="66">
        <v>23510</v>
      </c>
      <c r="D131">
        <f t="shared" ref="D131:E194" si="8">IFERROR( A131/MAX(A$2:A$257), 0 )</f>
        <v>0.15270497606474534</v>
      </c>
      <c r="E131">
        <f t="shared" si="8"/>
        <v>0.15270497606474534</v>
      </c>
      <c r="G131">
        <f t="shared" ref="G131:G194" ca="1" si="9">CELL("row",D131)-2</f>
        <v>129</v>
      </c>
      <c r="H131">
        <f t="shared" ref="H131:H194" ca="1" si="10">D131*G131</f>
        <v>19.698941912352147</v>
      </c>
      <c r="I131">
        <f t="shared" ref="I131:I194" ca="1" si="11">D131*((G131-$L$1)^2)</f>
        <v>605.44352578094276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19434</v>
      </c>
      <c r="B134" s="66">
        <v>19434</v>
      </c>
      <c r="D134">
        <f t="shared" si="8"/>
        <v>0.12623005124807576</v>
      </c>
      <c r="E134">
        <f t="shared" si="8"/>
        <v>0.12623005124807576</v>
      </c>
      <c r="G134">
        <f t="shared" ca="1" si="9"/>
        <v>132</v>
      </c>
      <c r="H134">
        <f t="shared" ca="1" si="10"/>
        <v>16.662366764746</v>
      </c>
      <c r="I134">
        <f t="shared" ca="1" si="11"/>
        <v>549.30167688032884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16365</v>
      </c>
      <c r="B136" s="66">
        <v>16365</v>
      </c>
      <c r="D136">
        <f t="shared" si="8"/>
        <v>0.10629591379411134</v>
      </c>
      <c r="E136">
        <f t="shared" si="8"/>
        <v>0.10629591379411134</v>
      </c>
      <c r="G136">
        <f t="shared" ca="1" si="9"/>
        <v>134</v>
      </c>
      <c r="H136">
        <f t="shared" ca="1" si="10"/>
        <v>14.24365244841092</v>
      </c>
      <c r="I136">
        <f t="shared" ca="1" si="11"/>
        <v>491.0295471225329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13200</v>
      </c>
      <c r="B139" s="66">
        <v>13200</v>
      </c>
      <c r="D139">
        <f t="shared" si="8"/>
        <v>8.5738225608449112E-2</v>
      </c>
      <c r="E139">
        <f t="shared" si="8"/>
        <v>8.5738225608449112E-2</v>
      </c>
      <c r="G139">
        <f t="shared" ca="1" si="9"/>
        <v>137</v>
      </c>
      <c r="H139">
        <f t="shared" ca="1" si="10"/>
        <v>11.746136908357528</v>
      </c>
      <c r="I139">
        <f t="shared" ca="1" si="11"/>
        <v>431.79981944065116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11086</v>
      </c>
      <c r="B142" s="66">
        <v>11086</v>
      </c>
      <c r="D142">
        <f t="shared" si="8"/>
        <v>7.2007118870853551E-2</v>
      </c>
      <c r="E142">
        <f t="shared" si="8"/>
        <v>7.2007118870853551E-2</v>
      </c>
      <c r="G142">
        <f t="shared" ca="1" si="9"/>
        <v>140</v>
      </c>
      <c r="H142">
        <f t="shared" ca="1" si="10"/>
        <v>10.080996641919498</v>
      </c>
      <c r="I142">
        <f t="shared" ca="1" si="11"/>
        <v>393.95508945260997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8750</v>
      </c>
      <c r="B144" s="66">
        <v>8750</v>
      </c>
      <c r="D144">
        <f t="shared" si="8"/>
        <v>5.68340510662068E-2</v>
      </c>
      <c r="E144">
        <f t="shared" si="8"/>
        <v>5.68340510662068E-2</v>
      </c>
      <c r="G144">
        <f t="shared" ca="1" si="9"/>
        <v>142</v>
      </c>
      <c r="H144">
        <f t="shared" ca="1" si="10"/>
        <v>8.0704352514013653</v>
      </c>
      <c r="I144">
        <f t="shared" ca="1" si="11"/>
        <v>327.98498437192205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7365</v>
      </c>
      <c r="B147" s="66">
        <v>7365</v>
      </c>
      <c r="D147">
        <f t="shared" si="8"/>
        <v>4.7838032697441496E-2</v>
      </c>
      <c r="E147">
        <f t="shared" si="8"/>
        <v>4.7838032697441496E-2</v>
      </c>
      <c r="G147">
        <f t="shared" ca="1" si="9"/>
        <v>145</v>
      </c>
      <c r="H147">
        <f t="shared" ca="1" si="10"/>
        <v>6.9365147411290167</v>
      </c>
      <c r="I147">
        <f t="shared" ca="1" si="11"/>
        <v>298.30474454771826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4390</v>
      </c>
      <c r="B149" s="66">
        <v>4390</v>
      </c>
      <c r="D149">
        <f t="shared" si="8"/>
        <v>2.8514455334931181E-2</v>
      </c>
      <c r="E149">
        <f t="shared" si="8"/>
        <v>2.8514455334931181E-2</v>
      </c>
      <c r="G149">
        <f t="shared" ca="1" si="9"/>
        <v>147</v>
      </c>
      <c r="H149">
        <f t="shared" ca="1" si="10"/>
        <v>4.1916249342348832</v>
      </c>
      <c r="I149">
        <f t="shared" ca="1" si="11"/>
        <v>186.92907501353673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3967</v>
      </c>
      <c r="B152" s="66">
        <v>3967</v>
      </c>
      <c r="D152">
        <f t="shared" si="8"/>
        <v>2.5766934923387698E-2</v>
      </c>
      <c r="E152">
        <f t="shared" si="8"/>
        <v>2.5766934923387698E-2</v>
      </c>
      <c r="G152">
        <f t="shared" ca="1" si="9"/>
        <v>150</v>
      </c>
      <c r="H152">
        <f t="shared" ca="1" si="10"/>
        <v>3.8650402385081546</v>
      </c>
      <c r="I152">
        <f t="shared" ca="1" si="11"/>
        <v>181.6669266743034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2717</v>
      </c>
      <c r="B154" s="66">
        <v>2717</v>
      </c>
      <c r="D154">
        <f t="shared" si="8"/>
        <v>1.7647784771072442E-2</v>
      </c>
      <c r="E154">
        <f t="shared" si="8"/>
        <v>1.7647784771072442E-2</v>
      </c>
      <c r="G154">
        <f t="shared" ca="1" si="9"/>
        <v>152</v>
      </c>
      <c r="H154">
        <f t="shared" ca="1" si="10"/>
        <v>2.6824632852030112</v>
      </c>
      <c r="I154">
        <f t="shared" ca="1" si="11"/>
        <v>130.42164482103507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2724</v>
      </c>
      <c r="B157" s="66">
        <v>2724</v>
      </c>
      <c r="D157">
        <f t="shared" si="8"/>
        <v>1.7693252011925408E-2</v>
      </c>
      <c r="E157">
        <f t="shared" si="8"/>
        <v>1.7693252011925408E-2</v>
      </c>
      <c r="G157">
        <f t="shared" ca="1" si="9"/>
        <v>155</v>
      </c>
      <c r="H157">
        <f t="shared" ca="1" si="10"/>
        <v>2.7424540618484383</v>
      </c>
      <c r="I157">
        <f t="shared" ca="1" si="11"/>
        <v>140.04307066148306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2207</v>
      </c>
      <c r="B160" s="66">
        <v>2207</v>
      </c>
      <c r="D160">
        <f t="shared" si="8"/>
        <v>1.4335171508927817E-2</v>
      </c>
      <c r="E160">
        <f t="shared" si="8"/>
        <v>1.4335171508927817E-2</v>
      </c>
      <c r="G160">
        <f t="shared" ca="1" si="9"/>
        <v>158</v>
      </c>
      <c r="H160">
        <f t="shared" ca="1" si="10"/>
        <v>2.2649570984105951</v>
      </c>
      <c r="I160">
        <f t="shared" ca="1" si="11"/>
        <v>121.24480242747735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1589</v>
      </c>
      <c r="B162" s="66">
        <v>1589</v>
      </c>
      <c r="D162">
        <f t="shared" si="8"/>
        <v>1.0321063673623154E-2</v>
      </c>
      <c r="E162">
        <f t="shared" si="8"/>
        <v>1.0321063673623154E-2</v>
      </c>
      <c r="G162">
        <f t="shared" ca="1" si="9"/>
        <v>160</v>
      </c>
      <c r="H162">
        <f t="shared" ca="1" si="10"/>
        <v>1.6513701877797047</v>
      </c>
      <c r="I162">
        <f t="shared" ca="1" si="11"/>
        <v>91.132116971846585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1092</v>
      </c>
      <c r="B165" s="66">
        <v>1092</v>
      </c>
      <c r="D165">
        <f t="shared" si="8"/>
        <v>7.0928895730626084E-3</v>
      </c>
      <c r="E165">
        <f t="shared" si="8"/>
        <v>7.0928895730626084E-3</v>
      </c>
      <c r="G165">
        <f t="shared" ca="1" si="9"/>
        <v>163</v>
      </c>
      <c r="H165">
        <f t="shared" ca="1" si="10"/>
        <v>1.1561410004092052</v>
      </c>
      <c r="I165">
        <f t="shared" ca="1" si="11"/>
        <v>66.691043173788472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242</v>
      </c>
      <c r="B167" s="66">
        <v>242</v>
      </c>
      <c r="D167">
        <f t="shared" si="8"/>
        <v>1.5718674694882337E-3</v>
      </c>
      <c r="E167">
        <f t="shared" si="8"/>
        <v>1.5718674694882337E-3</v>
      </c>
      <c r="G167">
        <f t="shared" ca="1" si="9"/>
        <v>165</v>
      </c>
      <c r="H167">
        <f t="shared" ca="1" si="10"/>
        <v>0.25935813246555856</v>
      </c>
      <c r="I167">
        <f t="shared" ca="1" si="11"/>
        <v>15.395478923712128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346</v>
      </c>
      <c r="B1" s="66" t="s">
        <v>347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63.739070926291411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1.230641487016519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0.51726614537837068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4937</v>
      </c>
      <c r="B8" s="66">
        <v>4937</v>
      </c>
      <c r="D8">
        <f t="shared" si="0"/>
        <v>5.8187089702641224</v>
      </c>
      <c r="E8">
        <f t="shared" si="1"/>
        <v>5.8187089702641224</v>
      </c>
      <c r="G8">
        <f t="shared" ca="1" si="2"/>
        <v>6</v>
      </c>
      <c r="H8">
        <f t="shared" ca="1" si="3"/>
        <v>34.912253821584734</v>
      </c>
      <c r="I8">
        <f t="shared" ca="1" si="4"/>
        <v>19398.413777194688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6968</v>
      </c>
      <c r="B10" s="66">
        <v>6968</v>
      </c>
      <c r="D10">
        <f t="shared" si="0"/>
        <v>8.2124294318007713</v>
      </c>
      <c r="E10">
        <f t="shared" si="1"/>
        <v>8.2124294318007713</v>
      </c>
      <c r="G10">
        <f t="shared" ca="1" si="2"/>
        <v>8</v>
      </c>
      <c r="H10">
        <f t="shared" ca="1" si="3"/>
        <v>65.699435454406171</v>
      </c>
      <c r="I10">
        <f t="shared" ca="1" si="4"/>
        <v>25514.737333312638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12980</v>
      </c>
      <c r="B13" s="66">
        <v>12980</v>
      </c>
      <c r="D13">
        <f t="shared" si="0"/>
        <v>15.298124860042194</v>
      </c>
      <c r="E13">
        <f t="shared" si="1"/>
        <v>15.298124860042194</v>
      </c>
      <c r="G13">
        <f t="shared" ca="1" si="2"/>
        <v>11</v>
      </c>
      <c r="H13">
        <f t="shared" ca="1" si="3"/>
        <v>168.27937346046411</v>
      </c>
      <c r="I13">
        <f t="shared" ca="1" si="4"/>
        <v>42550.351380892404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24160</v>
      </c>
      <c r="B15" s="66">
        <v>24160</v>
      </c>
      <c r="D15">
        <f t="shared" si="0"/>
        <v>28.474784023006116</v>
      </c>
      <c r="E15">
        <f t="shared" si="1"/>
        <v>28.474784023006116</v>
      </c>
      <c r="G15">
        <f t="shared" ca="1" si="2"/>
        <v>13</v>
      </c>
      <c r="H15">
        <f t="shared" ca="1" si="3"/>
        <v>370.17219229907948</v>
      </c>
      <c r="I15">
        <f t="shared" ca="1" si="4"/>
        <v>73307.002220551876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21881</v>
      </c>
      <c r="B18" s="66">
        <v>21881</v>
      </c>
      <c r="D18">
        <f t="shared" si="0"/>
        <v>25.788772732094241</v>
      </c>
      <c r="E18">
        <f t="shared" si="1"/>
        <v>25.788772732094241</v>
      </c>
      <c r="G18">
        <f t="shared" ca="1" si="2"/>
        <v>16</v>
      </c>
      <c r="H18">
        <f t="shared" ca="1" si="3"/>
        <v>412.62036371350786</v>
      </c>
      <c r="I18">
        <f t="shared" ca="1" si="4"/>
        <v>58773.100281288498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20697</v>
      </c>
      <c r="B21" s="66">
        <v>20697</v>
      </c>
      <c r="D21">
        <f t="shared" si="0"/>
        <v>24.393319740238312</v>
      </c>
      <c r="E21">
        <f t="shared" si="1"/>
        <v>24.393319740238312</v>
      </c>
      <c r="G21">
        <f t="shared" ca="1" si="2"/>
        <v>19</v>
      </c>
      <c r="H21">
        <f t="shared" ca="1" si="3"/>
        <v>463.4730750645279</v>
      </c>
      <c r="I21">
        <f t="shared" ca="1" si="4"/>
        <v>48825.289899107847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24598</v>
      </c>
      <c r="B23" s="66">
        <v>24598</v>
      </c>
      <c r="D23">
        <f t="shared" si="0"/>
        <v>28.991007342628496</v>
      </c>
      <c r="E23">
        <f t="shared" si="1"/>
        <v>28.991007342628496</v>
      </c>
      <c r="G23">
        <f t="shared" ca="1" si="2"/>
        <v>21</v>
      </c>
      <c r="H23">
        <f t="shared" ca="1" si="3"/>
        <v>608.81115419519847</v>
      </c>
      <c r="I23">
        <f t="shared" ca="1" si="4"/>
        <v>52955.791084233839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28035</v>
      </c>
      <c r="B26" s="66">
        <v>28035</v>
      </c>
      <c r="D26">
        <f t="shared" si="0"/>
        <v>33.04182823199406</v>
      </c>
      <c r="E26">
        <f t="shared" si="1"/>
        <v>33.04182823199406</v>
      </c>
      <c r="G26">
        <f t="shared" ca="1" si="2"/>
        <v>24</v>
      </c>
      <c r="H26">
        <f t="shared" ca="1" si="3"/>
        <v>793.00387756785744</v>
      </c>
      <c r="I26">
        <f t="shared" ca="1" si="4"/>
        <v>52179.448899675779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31233</v>
      </c>
      <c r="B28" s="66">
        <v>31233</v>
      </c>
      <c r="D28">
        <f t="shared" si="0"/>
        <v>36.810965620469787</v>
      </c>
      <c r="E28">
        <f t="shared" si="1"/>
        <v>36.810965620469787</v>
      </c>
      <c r="G28">
        <f t="shared" ca="1" si="2"/>
        <v>26</v>
      </c>
      <c r="H28">
        <f t="shared" ca="1" si="3"/>
        <v>957.08510613221449</v>
      </c>
      <c r="I28">
        <f t="shared" ca="1" si="4"/>
        <v>52427.556704774157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41407</v>
      </c>
      <c r="B31" s="66">
        <v>41407</v>
      </c>
      <c r="D31">
        <f t="shared" si="0"/>
        <v>48.801961177177745</v>
      </c>
      <c r="E31">
        <f t="shared" si="1"/>
        <v>48.801961177177745</v>
      </c>
      <c r="G31">
        <f t="shared" ca="1" si="2"/>
        <v>29</v>
      </c>
      <c r="H31">
        <f t="shared" ca="1" si="3"/>
        <v>1415.2568741381547</v>
      </c>
      <c r="I31">
        <f t="shared" ca="1" si="4"/>
        <v>58894.355537106356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49226</v>
      </c>
      <c r="B33" s="66">
        <v>49226</v>
      </c>
      <c r="D33">
        <f t="shared" si="0"/>
        <v>58.017372446874965</v>
      </c>
      <c r="E33">
        <f t="shared" si="1"/>
        <v>58.017372446874965</v>
      </c>
      <c r="G33">
        <f t="shared" ca="1" si="2"/>
        <v>31</v>
      </c>
      <c r="H33">
        <f t="shared" ca="1" si="3"/>
        <v>1798.5385458531239</v>
      </c>
      <c r="I33">
        <f t="shared" ca="1" si="4"/>
        <v>62185.732977755986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44456</v>
      </c>
      <c r="B36" s="66">
        <v>44456</v>
      </c>
      <c r="D36">
        <f t="shared" si="0"/>
        <v>52.395488349617544</v>
      </c>
      <c r="E36">
        <f t="shared" si="1"/>
        <v>52.395488349617544</v>
      </c>
      <c r="G36">
        <f t="shared" ca="1" si="2"/>
        <v>34</v>
      </c>
      <c r="H36">
        <f t="shared" ca="1" si="3"/>
        <v>1781.4466038869964</v>
      </c>
      <c r="I36">
        <f t="shared" ca="1" si="4"/>
        <v>46339.216433621114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47109</v>
      </c>
      <c r="B39" s="66">
        <v>47109</v>
      </c>
      <c r="D39">
        <f t="shared" si="0"/>
        <v>55.522293068700129</v>
      </c>
      <c r="E39">
        <f t="shared" si="1"/>
        <v>55.522293068700129</v>
      </c>
      <c r="G39">
        <f t="shared" ca="1" si="2"/>
        <v>37</v>
      </c>
      <c r="H39">
        <f t="shared" ca="1" si="3"/>
        <v>2054.324843541905</v>
      </c>
      <c r="I39">
        <f t="shared" ca="1" si="4"/>
        <v>39697.213278824871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48822</v>
      </c>
      <c r="B41" s="66">
        <v>48822</v>
      </c>
      <c r="D41">
        <f t="shared" si="0"/>
        <v>57.541221257086285</v>
      </c>
      <c r="E41">
        <f t="shared" si="1"/>
        <v>57.541221257086285</v>
      </c>
      <c r="G41">
        <f t="shared" ca="1" si="2"/>
        <v>39</v>
      </c>
      <c r="H41">
        <f t="shared" ca="1" si="3"/>
        <v>2244.107629026365</v>
      </c>
      <c r="I41">
        <f t="shared" ca="1" si="4"/>
        <v>35216.472042989226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49968</v>
      </c>
      <c r="B44" s="66">
        <v>49968</v>
      </c>
      <c r="D44">
        <f t="shared" si="0"/>
        <v>58.891887750892785</v>
      </c>
      <c r="E44">
        <f t="shared" si="1"/>
        <v>58.891887750892785</v>
      </c>
      <c r="G44">
        <f t="shared" ca="1" si="2"/>
        <v>42</v>
      </c>
      <c r="H44">
        <f t="shared" ca="1" si="3"/>
        <v>2473.4592855374972</v>
      </c>
      <c r="I44">
        <f t="shared" ca="1" si="4"/>
        <v>27831.552613957829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56568</v>
      </c>
      <c r="B46" s="66">
        <v>56568</v>
      </c>
      <c r="D46">
        <f t="shared" si="0"/>
        <v>66.670595306846437</v>
      </c>
      <c r="E46">
        <f t="shared" si="1"/>
        <v>66.670595306846437</v>
      </c>
      <c r="G46">
        <f t="shared" ca="1" si="2"/>
        <v>44</v>
      </c>
      <c r="H46">
        <f t="shared" ca="1" si="3"/>
        <v>2933.5061935012432</v>
      </c>
      <c r="I46">
        <f t="shared" ca="1" si="4"/>
        <v>25976.925455235847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51830</v>
      </c>
      <c r="B49" s="66">
        <v>51830</v>
      </c>
      <c r="D49">
        <f t="shared" si="0"/>
        <v>61.086426155314861</v>
      </c>
      <c r="E49">
        <f t="shared" si="1"/>
        <v>61.086426155314861</v>
      </c>
      <c r="G49">
        <f t="shared" ca="1" si="2"/>
        <v>47</v>
      </c>
      <c r="H49">
        <f t="shared" ca="1" si="3"/>
        <v>2871.0620292997983</v>
      </c>
      <c r="I49">
        <f t="shared" ca="1" si="4"/>
        <v>17116.202529836915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56608</v>
      </c>
      <c r="B51" s="66">
        <v>56608</v>
      </c>
      <c r="D51">
        <f t="shared" si="0"/>
        <v>66.717738989003735</v>
      </c>
      <c r="E51">
        <f t="shared" si="1"/>
        <v>66.717738989003735</v>
      </c>
      <c r="G51">
        <f t="shared" ca="1" si="2"/>
        <v>49</v>
      </c>
      <c r="H51">
        <f t="shared" ca="1" si="3"/>
        <v>3269.169210461183</v>
      </c>
      <c r="I51">
        <f t="shared" ca="1" si="4"/>
        <v>14493.775746803354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60913</v>
      </c>
      <c r="B54" s="66">
        <v>60913</v>
      </c>
      <c r="D54">
        <f t="shared" si="0"/>
        <v>71.791577781182596</v>
      </c>
      <c r="E54">
        <f t="shared" si="1"/>
        <v>71.791577781182596</v>
      </c>
      <c r="G54">
        <f t="shared" ca="1" si="2"/>
        <v>52</v>
      </c>
      <c r="H54">
        <f t="shared" ca="1" si="3"/>
        <v>3733.1620446214952</v>
      </c>
      <c r="I54">
        <f t="shared" ca="1" si="4"/>
        <v>9893.2948195717345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57301</v>
      </c>
      <c r="B57" s="66">
        <v>57301</v>
      </c>
      <c r="D57">
        <f t="shared" si="0"/>
        <v>67.534503282378864</v>
      </c>
      <c r="E57">
        <f t="shared" si="1"/>
        <v>67.534503282378864</v>
      </c>
      <c r="G57">
        <f t="shared" ca="1" si="2"/>
        <v>55</v>
      </c>
      <c r="H57">
        <f t="shared" ca="1" si="3"/>
        <v>3714.3976805308375</v>
      </c>
      <c r="I57">
        <f t="shared" ca="1" si="4"/>
        <v>5157.7019068180771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60276</v>
      </c>
      <c r="B59" s="66">
        <v>60276</v>
      </c>
      <c r="D59">
        <f t="shared" si="0"/>
        <v>71.040814642827684</v>
      </c>
      <c r="E59">
        <f t="shared" si="1"/>
        <v>71.040814642827684</v>
      </c>
      <c r="G59">
        <f t="shared" ca="1" si="2"/>
        <v>57</v>
      </c>
      <c r="H59">
        <f t="shared" ca="1" si="3"/>
        <v>4049.3264346411779</v>
      </c>
      <c r="I59">
        <f t="shared" ca="1" si="4"/>
        <v>3226.3240635653078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64453</v>
      </c>
      <c r="B62" s="66">
        <v>64453</v>
      </c>
      <c r="D62">
        <f t="shared" si="0"/>
        <v>75.963793652103192</v>
      </c>
      <c r="E62">
        <f t="shared" si="1"/>
        <v>75.963793652103192</v>
      </c>
      <c r="G62">
        <f t="shared" ca="1" si="2"/>
        <v>60</v>
      </c>
      <c r="H62">
        <f t="shared" ca="1" si="3"/>
        <v>4557.8276191261912</v>
      </c>
      <c r="I62">
        <f t="shared" ca="1" si="4"/>
        <v>1062.0233174515495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66438</v>
      </c>
      <c r="B64" s="66">
        <v>66438</v>
      </c>
      <c r="D64">
        <f t="shared" si="0"/>
        <v>78.303298879158959</v>
      </c>
      <c r="E64">
        <f t="shared" si="1"/>
        <v>78.303298879158959</v>
      </c>
      <c r="G64">
        <f t="shared" ca="1" si="2"/>
        <v>62</v>
      </c>
      <c r="H64">
        <f t="shared" ca="1" si="3"/>
        <v>4854.8045305078558</v>
      </c>
      <c r="I64">
        <f t="shared" ca="1" si="4"/>
        <v>236.81796688995351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70712</v>
      </c>
      <c r="B67" s="66">
        <v>70712</v>
      </c>
      <c r="D67">
        <f t="shared" ref="D67:D130" si="5">IFERROR( 100*A67/MAX(A$2:A$257), 0 )</f>
        <v>83.340601317665914</v>
      </c>
      <c r="E67">
        <f t="shared" ref="E67:E130" si="6">IFERROR( 100*B67/MAX(B$2:B$257), 0 )</f>
        <v>83.340601317665914</v>
      </c>
      <c r="G67">
        <f t="shared" ref="G67:G130" ca="1" si="7">CELL("row",D67)-2</f>
        <v>65</v>
      </c>
      <c r="H67">
        <f t="shared" ref="H67:H130" ca="1" si="8">D67*G67</f>
        <v>5417.1390856482849</v>
      </c>
      <c r="I67">
        <f t="shared" ref="I67:I130" ca="1" si="9">D67*((G67-$L$1)^2)</f>
        <v>132.50673308478264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84847</v>
      </c>
      <c r="B69" s="66">
        <v>84847</v>
      </c>
      <c r="D69">
        <f t="shared" si="5"/>
        <v>100</v>
      </c>
      <c r="E69">
        <f t="shared" si="6"/>
        <v>100</v>
      </c>
      <c r="G69">
        <f t="shared" ca="1" si="7"/>
        <v>67</v>
      </c>
      <c r="H69">
        <f t="shared" ca="1" si="8"/>
        <v>6700</v>
      </c>
      <c r="I69">
        <f t="shared" ca="1" si="9"/>
        <v>1063.3658423757954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81581</v>
      </c>
      <c r="B72" s="66">
        <v>81581</v>
      </c>
      <c r="D72">
        <f t="shared" si="5"/>
        <v>96.150718351856867</v>
      </c>
      <c r="E72">
        <f t="shared" si="6"/>
        <v>96.150718351856867</v>
      </c>
      <c r="G72">
        <f t="shared" ca="1" si="7"/>
        <v>70</v>
      </c>
      <c r="H72">
        <f t="shared" ca="1" si="8"/>
        <v>6730.5502846299805</v>
      </c>
      <c r="I72">
        <f t="shared" ca="1" si="9"/>
        <v>3769.0343989085286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77511</v>
      </c>
      <c r="B75" s="66">
        <v>77511</v>
      </c>
      <c r="D75">
        <f t="shared" si="5"/>
        <v>91.353848692352116</v>
      </c>
      <c r="E75">
        <f t="shared" si="6"/>
        <v>91.353848692352116</v>
      </c>
      <c r="G75">
        <f t="shared" ca="1" si="7"/>
        <v>73</v>
      </c>
      <c r="H75">
        <f t="shared" ca="1" si="8"/>
        <v>6668.8309545417042</v>
      </c>
      <c r="I75">
        <f t="shared" ca="1" si="9"/>
        <v>7834.9452299676113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69478</v>
      </c>
      <c r="B77" s="66">
        <v>69478</v>
      </c>
      <c r="D77">
        <f t="shared" si="5"/>
        <v>81.886218723113373</v>
      </c>
      <c r="E77">
        <f t="shared" si="6"/>
        <v>81.886218723113373</v>
      </c>
      <c r="G77">
        <f t="shared" ca="1" si="7"/>
        <v>75</v>
      </c>
      <c r="H77">
        <f t="shared" ca="1" si="8"/>
        <v>6141.4664042335025</v>
      </c>
      <c r="I77">
        <f t="shared" ca="1" si="9"/>
        <v>10383.870499718152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68429</v>
      </c>
      <c r="B80" s="66">
        <v>68429</v>
      </c>
      <c r="D80">
        <f t="shared" si="5"/>
        <v>80.649875658538306</v>
      </c>
      <c r="E80">
        <f t="shared" si="6"/>
        <v>80.649875658538306</v>
      </c>
      <c r="G80">
        <f t="shared" ca="1" si="7"/>
        <v>78</v>
      </c>
      <c r="H80">
        <f t="shared" ca="1" si="8"/>
        <v>6290.6903013659876</v>
      </c>
      <c r="I80">
        <f t="shared" ca="1" si="9"/>
        <v>16402.095719524605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62686</v>
      </c>
      <c r="B82" s="66">
        <v>62686</v>
      </c>
      <c r="D82">
        <f t="shared" si="5"/>
        <v>73.881221492804698</v>
      </c>
      <c r="E82">
        <f t="shared" si="6"/>
        <v>73.881221492804698</v>
      </c>
      <c r="G82">
        <f t="shared" ca="1" si="7"/>
        <v>80</v>
      </c>
      <c r="H82">
        <f t="shared" ca="1" si="8"/>
        <v>5910.4977194243756</v>
      </c>
      <c r="I82">
        <f t="shared" ca="1" si="9"/>
        <v>19535.511107910243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69289</v>
      </c>
      <c r="B85" s="66">
        <v>69289</v>
      </c>
      <c r="D85">
        <f t="shared" si="5"/>
        <v>81.663464824920155</v>
      </c>
      <c r="E85">
        <f t="shared" si="6"/>
        <v>81.663464824920155</v>
      </c>
      <c r="G85">
        <f t="shared" ca="1" si="7"/>
        <v>83</v>
      </c>
      <c r="H85">
        <f t="shared" ca="1" si="8"/>
        <v>6778.0675804683724</v>
      </c>
      <c r="I85">
        <f t="shared" ca="1" si="9"/>
        <v>30295.788920463878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56768</v>
      </c>
      <c r="B88" s="66">
        <v>56768</v>
      </c>
      <c r="D88">
        <f t="shared" si="5"/>
        <v>66.906313717632912</v>
      </c>
      <c r="E88">
        <f t="shared" si="6"/>
        <v>66.906313717632912</v>
      </c>
      <c r="G88">
        <f t="shared" ca="1" si="7"/>
        <v>86</v>
      </c>
      <c r="H88">
        <f t="shared" ca="1" si="8"/>
        <v>5753.9429797164303</v>
      </c>
      <c r="I88">
        <f t="shared" ca="1" si="9"/>
        <v>33155.354395958464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50778</v>
      </c>
      <c r="B90" s="66">
        <v>50778</v>
      </c>
      <c r="D90">
        <f t="shared" si="5"/>
        <v>59.846547314578004</v>
      </c>
      <c r="E90">
        <f t="shared" si="6"/>
        <v>59.846547314578004</v>
      </c>
      <c r="G90">
        <f t="shared" ca="1" si="7"/>
        <v>88</v>
      </c>
      <c r="H90">
        <f t="shared" ca="1" si="8"/>
        <v>5266.4961636828648</v>
      </c>
      <c r="I90">
        <f t="shared" ca="1" si="9"/>
        <v>35225.239643879126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44588</v>
      </c>
      <c r="B93" s="66">
        <v>44588</v>
      </c>
      <c r="D93">
        <f t="shared" si="5"/>
        <v>52.55106250073662</v>
      </c>
      <c r="E93">
        <f t="shared" si="6"/>
        <v>52.55106250073662</v>
      </c>
      <c r="G93">
        <f t="shared" ca="1" si="7"/>
        <v>91</v>
      </c>
      <c r="H93">
        <f t="shared" ca="1" si="8"/>
        <v>4782.1466875670321</v>
      </c>
      <c r="I93">
        <f t="shared" ca="1" si="9"/>
        <v>39053.755851883288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29482</v>
      </c>
      <c r="B95" s="66">
        <v>29482</v>
      </c>
      <c r="D95">
        <f t="shared" si="5"/>
        <v>34.747250934034206</v>
      </c>
      <c r="E95">
        <f t="shared" si="6"/>
        <v>34.747250934034206</v>
      </c>
      <c r="G95">
        <f t="shared" ca="1" si="7"/>
        <v>93</v>
      </c>
      <c r="H95">
        <f t="shared" ca="1" si="8"/>
        <v>3231.4943368651811</v>
      </c>
      <c r="I95">
        <f t="shared" ca="1" si="9"/>
        <v>29750.664710720732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33838</v>
      </c>
      <c r="B98" s="66">
        <v>33838</v>
      </c>
      <c r="D98">
        <f t="shared" si="5"/>
        <v>39.881197920963615</v>
      </c>
      <c r="E98">
        <f t="shared" si="6"/>
        <v>39.881197920963615</v>
      </c>
      <c r="G98">
        <f t="shared" ca="1" si="7"/>
        <v>96</v>
      </c>
      <c r="H98">
        <f t="shared" ca="1" si="8"/>
        <v>3828.595000412507</v>
      </c>
      <c r="I98">
        <f t="shared" ca="1" si="9"/>
        <v>41507.056439850421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23339</v>
      </c>
      <c r="B100" s="66">
        <v>23339</v>
      </c>
      <c r="D100">
        <f t="shared" si="5"/>
        <v>27.50715994672764</v>
      </c>
      <c r="E100">
        <f t="shared" si="6"/>
        <v>27.50715994672764</v>
      </c>
      <c r="G100">
        <f t="shared" ca="1" si="7"/>
        <v>98</v>
      </c>
      <c r="H100">
        <f t="shared" ca="1" si="8"/>
        <v>2695.7016747793086</v>
      </c>
      <c r="I100">
        <f t="shared" ca="1" si="9"/>
        <v>32288.214103423506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17606</v>
      </c>
      <c r="B103" s="66">
        <v>17606</v>
      </c>
      <c r="D103">
        <f t="shared" si="5"/>
        <v>20.750291701533349</v>
      </c>
      <c r="E103">
        <f t="shared" si="6"/>
        <v>20.750291701533349</v>
      </c>
      <c r="G103">
        <f t="shared" ca="1" si="7"/>
        <v>101</v>
      </c>
      <c r="H103">
        <f t="shared" ca="1" si="8"/>
        <v>2095.7794618548683</v>
      </c>
      <c r="I103">
        <f t="shared" ca="1" si="9"/>
        <v>28809.224326947558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16806</v>
      </c>
      <c r="B106" s="66">
        <v>16806</v>
      </c>
      <c r="D106">
        <f t="shared" si="5"/>
        <v>19.807418058387452</v>
      </c>
      <c r="E106">
        <f t="shared" si="6"/>
        <v>19.807418058387452</v>
      </c>
      <c r="G106">
        <f t="shared" ca="1" si="7"/>
        <v>104</v>
      </c>
      <c r="H106">
        <f t="shared" ca="1" si="8"/>
        <v>2059.9714780722948</v>
      </c>
      <c r="I106">
        <f t="shared" ca="1" si="9"/>
        <v>32106.683961027404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15931</v>
      </c>
      <c r="B108" s="66">
        <v>15931</v>
      </c>
      <c r="D108">
        <f t="shared" si="5"/>
        <v>18.776150011196624</v>
      </c>
      <c r="E108">
        <f t="shared" si="6"/>
        <v>18.776150011196624</v>
      </c>
      <c r="G108">
        <f t="shared" ca="1" si="7"/>
        <v>106</v>
      </c>
      <c r="H108">
        <f t="shared" ca="1" si="8"/>
        <v>1990.2719011868421</v>
      </c>
      <c r="I108">
        <f t="shared" ca="1" si="9"/>
        <v>33533.943422940712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14308</v>
      </c>
      <c r="B111" s="66">
        <v>14308</v>
      </c>
      <c r="D111">
        <f t="shared" si="5"/>
        <v>16.863295107664385</v>
      </c>
      <c r="E111">
        <f t="shared" si="6"/>
        <v>16.863295107664385</v>
      </c>
      <c r="G111">
        <f t="shared" ca="1" si="7"/>
        <v>109</v>
      </c>
      <c r="H111">
        <f t="shared" ca="1" si="8"/>
        <v>1838.0991667354178</v>
      </c>
      <c r="I111">
        <f t="shared" ca="1" si="9"/>
        <v>34545.3318707832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10195</v>
      </c>
      <c r="B113" s="66">
        <v>10195</v>
      </c>
      <c r="D113">
        <f t="shared" si="5"/>
        <v>12.015745989840536</v>
      </c>
      <c r="E113">
        <f t="shared" si="6"/>
        <v>12.015745989840536</v>
      </c>
      <c r="G113">
        <f t="shared" ca="1" si="7"/>
        <v>111</v>
      </c>
      <c r="H113">
        <f t="shared" ca="1" si="8"/>
        <v>1333.7478048722994</v>
      </c>
      <c r="I113">
        <f t="shared" ca="1" si="9"/>
        <v>26838.315173663897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10340</v>
      </c>
      <c r="B116" s="66">
        <v>10340</v>
      </c>
      <c r="D116">
        <f t="shared" si="5"/>
        <v>12.18664183766073</v>
      </c>
      <c r="E116">
        <f t="shared" si="6"/>
        <v>12.18664183766073</v>
      </c>
      <c r="G116">
        <f t="shared" ca="1" si="7"/>
        <v>114</v>
      </c>
      <c r="H116">
        <f t="shared" ca="1" si="8"/>
        <v>1389.2771694933233</v>
      </c>
      <c r="I116">
        <f t="shared" ca="1" si="9"/>
        <v>30785.41922588124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10183</v>
      </c>
      <c r="B118" s="66">
        <v>10183</v>
      </c>
      <c r="D118">
        <f t="shared" si="5"/>
        <v>12.001602885193348</v>
      </c>
      <c r="E118">
        <f t="shared" si="6"/>
        <v>12.001602885193348</v>
      </c>
      <c r="G118">
        <f t="shared" ca="1" si="7"/>
        <v>116</v>
      </c>
      <c r="H118">
        <f t="shared" ca="1" si="8"/>
        <v>1392.1859346824283</v>
      </c>
      <c r="I118">
        <f t="shared" ca="1" si="9"/>
        <v>32778.834299352282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9015</v>
      </c>
      <c r="B121" s="66">
        <v>9015</v>
      </c>
      <c r="D121">
        <f t="shared" si="5"/>
        <v>10.625007366200338</v>
      </c>
      <c r="E121">
        <f t="shared" si="6"/>
        <v>10.625007366200338</v>
      </c>
      <c r="G121">
        <f t="shared" ca="1" si="7"/>
        <v>119</v>
      </c>
      <c r="H121">
        <f t="shared" ca="1" si="8"/>
        <v>1264.3758765778402</v>
      </c>
      <c r="I121">
        <f t="shared" ca="1" si="9"/>
        <v>32446.3317418841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9403</v>
      </c>
      <c r="B124" s="66">
        <v>9403</v>
      </c>
      <c r="D124">
        <f t="shared" si="5"/>
        <v>11.082301083126097</v>
      </c>
      <c r="E124">
        <f t="shared" si="6"/>
        <v>11.082301083126097</v>
      </c>
      <c r="G124">
        <f t="shared" ca="1" si="7"/>
        <v>122</v>
      </c>
      <c r="H124">
        <f t="shared" ca="1" si="8"/>
        <v>1352.0407321413838</v>
      </c>
      <c r="I124">
        <f t="shared" ca="1" si="9"/>
        <v>37617.051939335033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7303</v>
      </c>
      <c r="B126" s="66">
        <v>7303</v>
      </c>
      <c r="D126">
        <f t="shared" si="5"/>
        <v>8.6072577698681147</v>
      </c>
      <c r="E126">
        <f t="shared" si="6"/>
        <v>8.6072577698681147</v>
      </c>
      <c r="G126">
        <f t="shared" ca="1" si="7"/>
        <v>124</v>
      </c>
      <c r="H126">
        <f t="shared" ca="1" si="8"/>
        <v>1067.2999634636462</v>
      </c>
      <c r="I126">
        <f t="shared" ca="1" si="9"/>
        <v>31256.22004355157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8500</v>
      </c>
      <c r="B129" s="66">
        <v>8500</v>
      </c>
      <c r="D129">
        <f t="shared" si="5"/>
        <v>10.018032458425166</v>
      </c>
      <c r="E129">
        <f t="shared" si="6"/>
        <v>10.018032458425166</v>
      </c>
      <c r="G129">
        <f t="shared" ca="1" si="7"/>
        <v>127</v>
      </c>
      <c r="H129">
        <f t="shared" ca="1" si="8"/>
        <v>1272.2901222199962</v>
      </c>
      <c r="I129">
        <f t="shared" ca="1" si="9"/>
        <v>40091.616382175809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9831</v>
      </c>
      <c r="B131" s="66">
        <v>9831</v>
      </c>
      <c r="D131">
        <f t="shared" ref="D131:D194" si="10">IFERROR( 100*A131/MAX(A$2:A$257), 0 )</f>
        <v>11.586738482209153</v>
      </c>
      <c r="E131">
        <f t="shared" ref="E131:E194" si="11">IFERROR( 100*B131/MAX(B$2:B$257), 0 )</f>
        <v>11.586738482209153</v>
      </c>
      <c r="G131">
        <f t="shared" ref="G131:G194" ca="1" si="12">CELL("row",D131)-2</f>
        <v>129</v>
      </c>
      <c r="H131">
        <f t="shared" ref="H131:H194" ca="1" si="13">D131*G131</f>
        <v>1494.6892642049806</v>
      </c>
      <c r="I131">
        <f t="shared" ref="I131:I194" ca="1" si="14">D131*((G131-$L$1)^2)</f>
        <v>49347.79016075284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7854</v>
      </c>
      <c r="B134" s="66">
        <v>7854</v>
      </c>
      <c r="D134">
        <f t="shared" si="10"/>
        <v>9.2566619915848527</v>
      </c>
      <c r="E134">
        <f t="shared" si="11"/>
        <v>9.2566619915848527</v>
      </c>
      <c r="G134">
        <f t="shared" ca="1" si="12"/>
        <v>132</v>
      </c>
      <c r="H134">
        <f t="shared" ca="1" si="13"/>
        <v>1221.8793828892005</v>
      </c>
      <c r="I134">
        <f t="shared" ca="1" si="14"/>
        <v>43131.92046400949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5464</v>
      </c>
      <c r="B136" s="66">
        <v>5464</v>
      </c>
      <c r="D136">
        <f t="shared" si="10"/>
        <v>6.4398269826864825</v>
      </c>
      <c r="E136">
        <f t="shared" si="11"/>
        <v>6.4398269826864825</v>
      </c>
      <c r="G136">
        <f t="shared" ca="1" si="12"/>
        <v>134</v>
      </c>
      <c r="H136">
        <f t="shared" ca="1" si="13"/>
        <v>862.93681567998863</v>
      </c>
      <c r="I136">
        <f t="shared" ca="1" si="14"/>
        <v>31790.837996745984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2954</v>
      </c>
      <c r="B139" s="66">
        <v>2954</v>
      </c>
      <c r="D139">
        <f t="shared" si="10"/>
        <v>3.4815609273162282</v>
      </c>
      <c r="E139">
        <f t="shared" si="11"/>
        <v>3.4815609273162282</v>
      </c>
      <c r="G139">
        <f t="shared" ca="1" si="12"/>
        <v>137</v>
      </c>
      <c r="H139">
        <f t="shared" ca="1" si="13"/>
        <v>476.97384704232326</v>
      </c>
      <c r="I139">
        <f t="shared" ca="1" si="14"/>
        <v>18686.107528500364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2300</v>
      </c>
      <c r="B142" s="66">
        <v>2300</v>
      </c>
      <c r="D142">
        <f t="shared" si="10"/>
        <v>2.7107617240444566</v>
      </c>
      <c r="E142">
        <f t="shared" si="11"/>
        <v>2.7107617240444566</v>
      </c>
      <c r="G142">
        <f t="shared" ca="1" si="12"/>
        <v>140</v>
      </c>
      <c r="H142">
        <f t="shared" ca="1" si="13"/>
        <v>379.5066413662239</v>
      </c>
      <c r="I142">
        <f t="shared" ca="1" si="14"/>
        <v>15765.056392478207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1280</v>
      </c>
      <c r="B144" s="66">
        <v>1280</v>
      </c>
      <c r="D144">
        <f t="shared" si="10"/>
        <v>1.5085978290334368</v>
      </c>
      <c r="E144">
        <f t="shared" si="11"/>
        <v>1.5085978290334368</v>
      </c>
      <c r="G144">
        <f t="shared" ca="1" si="12"/>
        <v>142</v>
      </c>
      <c r="H144">
        <f t="shared" ca="1" si="13"/>
        <v>214.22089172274801</v>
      </c>
      <c r="I144">
        <f t="shared" ca="1" si="14"/>
        <v>9239.8192805101626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1078</v>
      </c>
      <c r="B147" s="66">
        <v>1078</v>
      </c>
      <c r="D147">
        <f t="shared" si="10"/>
        <v>1.2705222341390974</v>
      </c>
      <c r="E147">
        <f t="shared" si="11"/>
        <v>1.2705222341390974</v>
      </c>
      <c r="G147">
        <f t="shared" ca="1" si="12"/>
        <v>145</v>
      </c>
      <c r="H147">
        <f t="shared" ca="1" si="13"/>
        <v>184.22572395016911</v>
      </c>
      <c r="I147">
        <f t="shared" ca="1" si="14"/>
        <v>8389.6885031270813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686</v>
      </c>
      <c r="B149" s="66">
        <v>686</v>
      </c>
      <c r="D149">
        <f t="shared" si="10"/>
        <v>0.80851414899760743</v>
      </c>
      <c r="E149">
        <f t="shared" si="11"/>
        <v>0.80851414899760743</v>
      </c>
      <c r="G149">
        <f t="shared" ca="1" si="12"/>
        <v>147</v>
      </c>
      <c r="H149">
        <f t="shared" ca="1" si="13"/>
        <v>118.8515799026483</v>
      </c>
      <c r="I149">
        <f t="shared" ca="1" si="14"/>
        <v>5604.9291840712713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334</v>
      </c>
      <c r="B152" s="66">
        <v>334</v>
      </c>
      <c r="D152">
        <f t="shared" si="10"/>
        <v>0.3936497460134124</v>
      </c>
      <c r="E152">
        <f t="shared" si="11"/>
        <v>0.3936497460134124</v>
      </c>
      <c r="G152">
        <f t="shared" ca="1" si="12"/>
        <v>150</v>
      </c>
      <c r="H152">
        <f t="shared" ca="1" si="13"/>
        <v>59.047461902011861</v>
      </c>
      <c r="I152">
        <f t="shared" ca="1" si="14"/>
        <v>2929.1272448952041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132</v>
      </c>
      <c r="B154" s="66">
        <v>132</v>
      </c>
      <c r="D154">
        <f t="shared" si="10"/>
        <v>0.15557415111907316</v>
      </c>
      <c r="E154">
        <f t="shared" si="11"/>
        <v>0.15557415111907316</v>
      </c>
      <c r="G154">
        <f t="shared" ca="1" si="12"/>
        <v>152</v>
      </c>
      <c r="H154">
        <f t="shared" ca="1" si="13"/>
        <v>23.647270970099122</v>
      </c>
      <c r="I154">
        <f t="shared" ca="1" si="14"/>
        <v>1211.921330543162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346</v>
      </c>
      <c r="B1" s="66" t="s">
        <v>347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68.377331489266965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1.3201946573630268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0.57473385156006807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6738</v>
      </c>
      <c r="B8" s="66">
        <v>6738</v>
      </c>
      <c r="D8">
        <f t="shared" si="0"/>
        <v>7.4144172893031239</v>
      </c>
      <c r="E8">
        <f t="shared" si="1"/>
        <v>7.4144172893031239</v>
      </c>
      <c r="G8">
        <f t="shared" ca="1" si="2"/>
        <v>6</v>
      </c>
      <c r="H8">
        <f t="shared" ca="1" si="3"/>
        <v>44.486503735818744</v>
      </c>
      <c r="I8">
        <f t="shared" ca="1" si="4"/>
        <v>28848.989664401484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9279</v>
      </c>
      <c r="B10" s="66">
        <v>9279</v>
      </c>
      <c r="D10">
        <f t="shared" si="0"/>
        <v>10.210504308020731</v>
      </c>
      <c r="E10">
        <f t="shared" si="1"/>
        <v>10.210504308020731</v>
      </c>
      <c r="G10">
        <f t="shared" ca="1" si="2"/>
        <v>8</v>
      </c>
      <c r="H10">
        <f t="shared" ca="1" si="3"/>
        <v>81.684034464165848</v>
      </c>
      <c r="I10">
        <f t="shared" ca="1" si="4"/>
        <v>37221.598646412007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14512</v>
      </c>
      <c r="B13" s="66">
        <v>14512</v>
      </c>
      <c r="D13">
        <f t="shared" si="0"/>
        <v>15.968836999460809</v>
      </c>
      <c r="E13">
        <f t="shared" si="1"/>
        <v>15.968836999460809</v>
      </c>
      <c r="G13">
        <f t="shared" ca="1" si="2"/>
        <v>11</v>
      </c>
      <c r="H13">
        <f t="shared" ca="1" si="3"/>
        <v>175.6572069940689</v>
      </c>
      <c r="I13">
        <f t="shared" ca="1" si="4"/>
        <v>52571.937174477294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20558</v>
      </c>
      <c r="B15" s="66">
        <v>20558</v>
      </c>
      <c r="D15">
        <f t="shared" si="0"/>
        <v>22.621785490278068</v>
      </c>
      <c r="E15">
        <f t="shared" si="1"/>
        <v>22.621785490278068</v>
      </c>
      <c r="G15">
        <f t="shared" ca="1" si="2"/>
        <v>13</v>
      </c>
      <c r="H15">
        <f t="shared" ca="1" si="3"/>
        <v>294.08321137361486</v>
      </c>
      <c r="I15">
        <f t="shared" ca="1" si="4"/>
        <v>69373.072297463426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15084</v>
      </c>
      <c r="B18" s="66">
        <v>15084</v>
      </c>
      <c r="D18">
        <f t="shared" si="0"/>
        <v>16.598259185492481</v>
      </c>
      <c r="E18">
        <f t="shared" si="1"/>
        <v>16.598259185492481</v>
      </c>
      <c r="G18">
        <f t="shared" ca="1" si="2"/>
        <v>16</v>
      </c>
      <c r="H18">
        <f t="shared" ca="1" si="3"/>
        <v>265.57214696787969</v>
      </c>
      <c r="I18">
        <f t="shared" ca="1" si="4"/>
        <v>45535.412851193403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16230</v>
      </c>
      <c r="B21" s="66">
        <v>16230</v>
      </c>
      <c r="D21">
        <f t="shared" si="0"/>
        <v>17.859304334430053</v>
      </c>
      <c r="E21">
        <f t="shared" si="1"/>
        <v>17.859304334430053</v>
      </c>
      <c r="G21">
        <f t="shared" ca="1" si="2"/>
        <v>19</v>
      </c>
      <c r="H21">
        <f t="shared" ca="1" si="3"/>
        <v>339.32678235417103</v>
      </c>
      <c r="I21">
        <f t="shared" ca="1" si="4"/>
        <v>43543.142532175902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22978</v>
      </c>
      <c r="B23" s="66">
        <v>22978</v>
      </c>
      <c r="D23">
        <f t="shared" si="0"/>
        <v>25.284725508104362</v>
      </c>
      <c r="E23">
        <f t="shared" si="1"/>
        <v>25.284725508104362</v>
      </c>
      <c r="G23">
        <f t="shared" ca="1" si="2"/>
        <v>21</v>
      </c>
      <c r="H23">
        <f t="shared" ca="1" si="3"/>
        <v>530.97923567019166</v>
      </c>
      <c r="I23">
        <f t="shared" ca="1" si="4"/>
        <v>56754.386637048367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22992</v>
      </c>
      <c r="B26" s="66">
        <v>22992</v>
      </c>
      <c r="D26">
        <f t="shared" si="0"/>
        <v>25.300130946224016</v>
      </c>
      <c r="E26">
        <f t="shared" si="1"/>
        <v>25.300130946224016</v>
      </c>
      <c r="G26">
        <f t="shared" ca="1" si="2"/>
        <v>24</v>
      </c>
      <c r="H26">
        <f t="shared" ca="1" si="3"/>
        <v>607.20314270937638</v>
      </c>
      <c r="I26">
        <f t="shared" ca="1" si="4"/>
        <v>49824.750896365076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21251</v>
      </c>
      <c r="B28" s="66">
        <v>21251</v>
      </c>
      <c r="D28">
        <f t="shared" si="0"/>
        <v>23.384354677201053</v>
      </c>
      <c r="E28">
        <f t="shared" si="1"/>
        <v>23.384354677201053</v>
      </c>
      <c r="G28">
        <f t="shared" ca="1" si="2"/>
        <v>26</v>
      </c>
      <c r="H28">
        <f t="shared" ca="1" si="3"/>
        <v>607.99322160722738</v>
      </c>
      <c r="I28">
        <f t="shared" ca="1" si="4"/>
        <v>41994.517976426956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24798</v>
      </c>
      <c r="B31" s="66">
        <v>24798</v>
      </c>
      <c r="D31">
        <f t="shared" si="0"/>
        <v>27.287432463659673</v>
      </c>
      <c r="E31">
        <f t="shared" si="1"/>
        <v>27.287432463659673</v>
      </c>
      <c r="G31">
        <f t="shared" ca="1" si="2"/>
        <v>29</v>
      </c>
      <c r="H31">
        <f t="shared" ca="1" si="3"/>
        <v>791.33554144613049</v>
      </c>
      <c r="I31">
        <f t="shared" ca="1" si="4"/>
        <v>42311.189723336865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29766</v>
      </c>
      <c r="B33" s="66">
        <v>29766</v>
      </c>
      <c r="D33">
        <f t="shared" si="0"/>
        <v>32.754162219263399</v>
      </c>
      <c r="E33">
        <f t="shared" si="1"/>
        <v>32.754162219263399</v>
      </c>
      <c r="G33">
        <f t="shared" ca="1" si="2"/>
        <v>31</v>
      </c>
      <c r="H33">
        <f t="shared" ca="1" si="3"/>
        <v>1015.3790287971653</v>
      </c>
      <c r="I33">
        <f t="shared" ca="1" si="4"/>
        <v>45759.690668694981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34524</v>
      </c>
      <c r="B36" s="66">
        <v>34524</v>
      </c>
      <c r="D36">
        <f t="shared" si="0"/>
        <v>37.989810403072283</v>
      </c>
      <c r="E36">
        <f t="shared" si="1"/>
        <v>37.989810403072283</v>
      </c>
      <c r="G36">
        <f t="shared" ca="1" si="2"/>
        <v>34</v>
      </c>
      <c r="H36">
        <f t="shared" ca="1" si="3"/>
        <v>1291.6535537044576</v>
      </c>
      <c r="I36">
        <f t="shared" ca="1" si="4"/>
        <v>44896.392897245052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41930</v>
      </c>
      <c r="B39" s="66">
        <v>41930</v>
      </c>
      <c r="D39">
        <f t="shared" si="0"/>
        <v>46.139287168370437</v>
      </c>
      <c r="E39">
        <f t="shared" si="1"/>
        <v>46.139287168370437</v>
      </c>
      <c r="G39">
        <f t="shared" ca="1" si="2"/>
        <v>37</v>
      </c>
      <c r="H39">
        <f t="shared" ca="1" si="3"/>
        <v>1707.1536252297062</v>
      </c>
      <c r="I39">
        <f t="shared" ca="1" si="4"/>
        <v>45425.8322051469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39708</v>
      </c>
      <c r="B41" s="66">
        <v>39708</v>
      </c>
      <c r="D41">
        <f t="shared" si="0"/>
        <v>43.694224061093564</v>
      </c>
      <c r="E41">
        <f t="shared" si="1"/>
        <v>43.694224061093564</v>
      </c>
      <c r="G41">
        <f t="shared" ca="1" si="2"/>
        <v>39</v>
      </c>
      <c r="H41">
        <f t="shared" ca="1" si="3"/>
        <v>1704.074738382649</v>
      </c>
      <c r="I41">
        <f t="shared" ca="1" si="4"/>
        <v>37709.321562579542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51906</v>
      </c>
      <c r="B44" s="66">
        <v>51906</v>
      </c>
      <c r="D44">
        <f t="shared" si="0"/>
        <v>57.116762217062622</v>
      </c>
      <c r="E44">
        <f t="shared" si="1"/>
        <v>57.116762217062622</v>
      </c>
      <c r="G44">
        <f t="shared" ca="1" si="2"/>
        <v>42</v>
      </c>
      <c r="H44">
        <f t="shared" ca="1" si="3"/>
        <v>2398.9040131166303</v>
      </c>
      <c r="I44">
        <f t="shared" ca="1" si="4"/>
        <v>39739.765042609877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58664</v>
      </c>
      <c r="B46" s="66">
        <v>58664</v>
      </c>
      <c r="D46">
        <f t="shared" si="0"/>
        <v>64.553187275108115</v>
      </c>
      <c r="E46">
        <f t="shared" si="1"/>
        <v>64.553187275108115</v>
      </c>
      <c r="G46">
        <f t="shared" ca="1" si="2"/>
        <v>44</v>
      </c>
      <c r="H46">
        <f t="shared" ca="1" si="3"/>
        <v>2840.340240104757</v>
      </c>
      <c r="I46">
        <f t="shared" ca="1" si="4"/>
        <v>38361.008506110637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56611</v>
      </c>
      <c r="B49" s="66">
        <v>56611</v>
      </c>
      <c r="D49">
        <f t="shared" si="0"/>
        <v>62.29408981370424</v>
      </c>
      <c r="E49">
        <f t="shared" si="1"/>
        <v>62.29408981370424</v>
      </c>
      <c r="G49">
        <f t="shared" ca="1" si="2"/>
        <v>47</v>
      </c>
      <c r="H49">
        <f t="shared" ca="1" si="3"/>
        <v>2927.8222212440992</v>
      </c>
      <c r="I49">
        <f t="shared" ca="1" si="4"/>
        <v>28467.794891987083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67378</v>
      </c>
      <c r="B51" s="66">
        <v>67378</v>
      </c>
      <c r="D51">
        <f t="shared" si="0"/>
        <v>74.141972116157007</v>
      </c>
      <c r="E51">
        <f t="shared" si="1"/>
        <v>74.141972116157007</v>
      </c>
      <c r="G51">
        <f t="shared" ca="1" si="2"/>
        <v>49</v>
      </c>
      <c r="H51">
        <f t="shared" ca="1" si="3"/>
        <v>3632.9566336916932</v>
      </c>
      <c r="I51">
        <f t="shared" ca="1" si="4"/>
        <v>27838.900026414354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74144</v>
      </c>
      <c r="B54" s="66">
        <v>74144</v>
      </c>
      <c r="D54">
        <f t="shared" si="0"/>
        <v>81.587200281699438</v>
      </c>
      <c r="E54">
        <f t="shared" si="1"/>
        <v>81.587200281699438</v>
      </c>
      <c r="G54">
        <f t="shared" ca="1" si="2"/>
        <v>52</v>
      </c>
      <c r="H54">
        <f t="shared" ca="1" si="3"/>
        <v>4242.5344146483712</v>
      </c>
      <c r="I54">
        <f t="shared" ca="1" si="4"/>
        <v>21883.073013608453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74103</v>
      </c>
      <c r="B57" s="66">
        <v>74103</v>
      </c>
      <c r="D57">
        <f t="shared" si="0"/>
        <v>81.54208435577759</v>
      </c>
      <c r="E57">
        <f t="shared" si="1"/>
        <v>81.54208435577759</v>
      </c>
      <c r="G57">
        <f t="shared" ca="1" si="2"/>
        <v>55</v>
      </c>
      <c r="H57">
        <f t="shared" ca="1" si="3"/>
        <v>4484.8146395677677</v>
      </c>
      <c r="I57">
        <f t="shared" ca="1" si="4"/>
        <v>14592.200440185055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83603</v>
      </c>
      <c r="B59" s="66">
        <v>83603</v>
      </c>
      <c r="D59">
        <f t="shared" si="0"/>
        <v>91.995774508401468</v>
      </c>
      <c r="E59">
        <f t="shared" si="1"/>
        <v>91.995774508401468</v>
      </c>
      <c r="G59">
        <f t="shared" ca="1" si="2"/>
        <v>57</v>
      </c>
      <c r="H59">
        <f t="shared" ca="1" si="3"/>
        <v>5243.759146978884</v>
      </c>
      <c r="I59">
        <f t="shared" ca="1" si="4"/>
        <v>11908.270843985494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90877</v>
      </c>
      <c r="B62" s="66">
        <v>90877</v>
      </c>
      <c r="D62">
        <f t="shared" si="0"/>
        <v>100</v>
      </c>
      <c r="E62">
        <f t="shared" si="1"/>
        <v>100</v>
      </c>
      <c r="G62">
        <f t="shared" ca="1" si="2"/>
        <v>60</v>
      </c>
      <c r="H62">
        <f t="shared" ca="1" si="3"/>
        <v>6000</v>
      </c>
      <c r="I62">
        <f t="shared" ca="1" si="4"/>
        <v>7017.9682881063854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79963</v>
      </c>
      <c r="B64" s="66">
        <v>79963</v>
      </c>
      <c r="D64">
        <f t="shared" si="0"/>
        <v>87.990360597290845</v>
      </c>
      <c r="E64">
        <f t="shared" si="1"/>
        <v>87.990360597290845</v>
      </c>
      <c r="G64">
        <f t="shared" ca="1" si="2"/>
        <v>62</v>
      </c>
      <c r="H64">
        <f t="shared" ca="1" si="3"/>
        <v>5455.4023570320323</v>
      </c>
      <c r="I64">
        <f t="shared" ca="1" si="4"/>
        <v>3578.5993713629327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77702</v>
      </c>
      <c r="B67" s="66">
        <v>77702</v>
      </c>
      <c r="D67">
        <f t="shared" ref="D67:D130" si="5">IFERROR(100*A67/MAX(A$2:A$257), 0 )</f>
        <v>85.502382340966363</v>
      </c>
      <c r="E67">
        <f t="shared" ref="E67:E130" si="6">IFERROR(100*B67/MAX(B$2:B$257), 0 )</f>
        <v>85.502382340966363</v>
      </c>
      <c r="G67">
        <f t="shared" ref="G67:G130" ca="1" si="7">CELL("row",D67)-2</f>
        <v>65</v>
      </c>
      <c r="H67">
        <f t="shared" ref="H67:H130" ca="1" si="8">D67*G67</f>
        <v>5557.6548521628138</v>
      </c>
      <c r="I67">
        <f t="shared" ref="I67:I130" ca="1" si="9">D67*((G67-$L$1)^2)</f>
        <v>975.27163686544134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69881</v>
      </c>
      <c r="B69" s="66">
        <v>69881</v>
      </c>
      <c r="D69">
        <f t="shared" si="5"/>
        <v>76.896244374264114</v>
      </c>
      <c r="E69">
        <f t="shared" si="6"/>
        <v>76.896244374264114</v>
      </c>
      <c r="G69">
        <f t="shared" ca="1" si="7"/>
        <v>67</v>
      </c>
      <c r="H69">
        <f t="shared" ca="1" si="8"/>
        <v>5152.048373075696</v>
      </c>
      <c r="I69">
        <f t="shared" ca="1" si="9"/>
        <v>145.87540762912175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65338</v>
      </c>
      <c r="B72" s="66">
        <v>65338</v>
      </c>
      <c r="D72">
        <f t="shared" si="5"/>
        <v>71.897179704435672</v>
      </c>
      <c r="E72">
        <f t="shared" si="6"/>
        <v>71.897179704435672</v>
      </c>
      <c r="G72">
        <f t="shared" ca="1" si="7"/>
        <v>70</v>
      </c>
      <c r="H72">
        <f t="shared" ca="1" si="8"/>
        <v>5032.8025793104971</v>
      </c>
      <c r="I72">
        <f t="shared" ca="1" si="9"/>
        <v>189.30909159462988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64978</v>
      </c>
      <c r="B75" s="66">
        <v>64978</v>
      </c>
      <c r="D75">
        <f t="shared" si="5"/>
        <v>71.501039867073075</v>
      </c>
      <c r="E75">
        <f t="shared" si="6"/>
        <v>71.501039867073075</v>
      </c>
      <c r="G75">
        <f t="shared" ca="1" si="7"/>
        <v>73</v>
      </c>
      <c r="H75">
        <f t="shared" ca="1" si="8"/>
        <v>5219.5759102963348</v>
      </c>
      <c r="I75">
        <f t="shared" ca="1" si="9"/>
        <v>1527.9103084349813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60964</v>
      </c>
      <c r="B77" s="66">
        <v>60964</v>
      </c>
      <c r="D77">
        <f t="shared" si="5"/>
        <v>67.084080680480213</v>
      </c>
      <c r="E77">
        <f t="shared" si="6"/>
        <v>67.084080680480213</v>
      </c>
      <c r="G77">
        <f t="shared" ca="1" si="7"/>
        <v>75</v>
      </c>
      <c r="H77">
        <f t="shared" ca="1" si="8"/>
        <v>5031.3060510360156</v>
      </c>
      <c r="I77">
        <f t="shared" ca="1" si="9"/>
        <v>2942.2902162384767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60285</v>
      </c>
      <c r="B80" s="66">
        <v>60285</v>
      </c>
      <c r="D80">
        <f t="shared" si="5"/>
        <v>66.336916931676882</v>
      </c>
      <c r="E80">
        <f t="shared" si="6"/>
        <v>66.336916931676882</v>
      </c>
      <c r="G80">
        <f t="shared" ca="1" si="7"/>
        <v>78</v>
      </c>
      <c r="H80">
        <f t="shared" ca="1" si="8"/>
        <v>5174.279520670797</v>
      </c>
      <c r="I80">
        <f t="shared" ca="1" si="9"/>
        <v>6142.5165273814191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57381</v>
      </c>
      <c r="B82" s="66">
        <v>57381</v>
      </c>
      <c r="D82">
        <f t="shared" si="5"/>
        <v>63.141388910285329</v>
      </c>
      <c r="E82">
        <f t="shared" si="6"/>
        <v>63.141388910285329</v>
      </c>
      <c r="G82">
        <f t="shared" ca="1" si="7"/>
        <v>80</v>
      </c>
      <c r="H82">
        <f t="shared" ca="1" si="8"/>
        <v>5051.3111128228265</v>
      </c>
      <c r="I82">
        <f t="shared" ca="1" si="9"/>
        <v>8529.5443907404697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51603</v>
      </c>
      <c r="B85" s="66">
        <v>51603</v>
      </c>
      <c r="D85">
        <f t="shared" si="5"/>
        <v>56.783344520615778</v>
      </c>
      <c r="E85">
        <f t="shared" si="6"/>
        <v>56.783344520615778</v>
      </c>
      <c r="G85">
        <f t="shared" ca="1" si="7"/>
        <v>83</v>
      </c>
      <c r="H85">
        <f t="shared" ca="1" si="8"/>
        <v>4713.0175952111094</v>
      </c>
      <c r="I85">
        <f t="shared" ca="1" si="9"/>
        <v>12141.552957340089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50072</v>
      </c>
      <c r="B88" s="66">
        <v>50072</v>
      </c>
      <c r="D88">
        <f t="shared" si="5"/>
        <v>55.098649823387653</v>
      </c>
      <c r="E88">
        <f t="shared" si="6"/>
        <v>55.098649823387653</v>
      </c>
      <c r="G88">
        <f t="shared" ca="1" si="7"/>
        <v>86</v>
      </c>
      <c r="H88">
        <f t="shared" ca="1" si="8"/>
        <v>4738.4838848113386</v>
      </c>
      <c r="I88">
        <f t="shared" ca="1" si="9"/>
        <v>17111.351034949112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45314</v>
      </c>
      <c r="B90" s="66">
        <v>45314</v>
      </c>
      <c r="D90">
        <f t="shared" si="5"/>
        <v>49.863001639578769</v>
      </c>
      <c r="E90">
        <f t="shared" si="6"/>
        <v>49.863001639578769</v>
      </c>
      <c r="G90">
        <f t="shared" ca="1" si="7"/>
        <v>88</v>
      </c>
      <c r="H90">
        <f t="shared" ca="1" si="8"/>
        <v>4387.944144282932</v>
      </c>
      <c r="I90">
        <f t="shared" ca="1" si="9"/>
        <v>19199.704876055002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52050</v>
      </c>
      <c r="B93" s="66">
        <v>52050</v>
      </c>
      <c r="D93">
        <f t="shared" si="5"/>
        <v>57.27521815200766</v>
      </c>
      <c r="E93">
        <f t="shared" si="6"/>
        <v>57.27521815200766</v>
      </c>
      <c r="G93">
        <f t="shared" ca="1" si="7"/>
        <v>91</v>
      </c>
      <c r="H93">
        <f t="shared" ca="1" si="8"/>
        <v>5212.0448518326975</v>
      </c>
      <c r="I93">
        <f t="shared" ca="1" si="9"/>
        <v>29312.604999005198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46088</v>
      </c>
      <c r="B95" s="66">
        <v>46088</v>
      </c>
      <c r="D95">
        <f t="shared" si="5"/>
        <v>50.714702289908338</v>
      </c>
      <c r="E95">
        <f t="shared" si="6"/>
        <v>50.714702289908338</v>
      </c>
      <c r="G95">
        <f t="shared" ca="1" si="7"/>
        <v>93</v>
      </c>
      <c r="H95">
        <f t="shared" ca="1" si="8"/>
        <v>4716.4673129614757</v>
      </c>
      <c r="I95">
        <f t="shared" ca="1" si="9"/>
        <v>30747.096935328307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32329</v>
      </c>
      <c r="B98" s="66">
        <v>32329</v>
      </c>
      <c r="D98">
        <f t="shared" si="5"/>
        <v>35.574457783597609</v>
      </c>
      <c r="E98">
        <f t="shared" si="6"/>
        <v>35.574457783597609</v>
      </c>
      <c r="G98">
        <f t="shared" ca="1" si="7"/>
        <v>96</v>
      </c>
      <c r="H98">
        <f t="shared" ca="1" si="8"/>
        <v>3415.1479472253704</v>
      </c>
      <c r="I98">
        <f t="shared" ca="1" si="9"/>
        <v>27143.731624363776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32588</v>
      </c>
      <c r="B100" s="66">
        <v>32588</v>
      </c>
      <c r="D100">
        <f t="shared" si="5"/>
        <v>35.859458388811248</v>
      </c>
      <c r="E100">
        <f t="shared" si="6"/>
        <v>35.859458388811248</v>
      </c>
      <c r="G100">
        <f t="shared" ca="1" si="7"/>
        <v>98</v>
      </c>
      <c r="H100">
        <f t="shared" ca="1" si="8"/>
        <v>3514.2269221035021</v>
      </c>
      <c r="I100">
        <f t="shared" ca="1" si="9"/>
        <v>31466.764015359757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22965</v>
      </c>
      <c r="B103" s="66">
        <v>22965</v>
      </c>
      <c r="D103">
        <f t="shared" si="5"/>
        <v>25.270420458421825</v>
      </c>
      <c r="E103">
        <f t="shared" si="6"/>
        <v>25.270420458421825</v>
      </c>
      <c r="G103">
        <f t="shared" ca="1" si="7"/>
        <v>101</v>
      </c>
      <c r="H103">
        <f t="shared" ca="1" si="8"/>
        <v>2552.3124663006042</v>
      </c>
      <c r="I103">
        <f t="shared" ca="1" si="9"/>
        <v>26893.754382275314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20128</v>
      </c>
      <c r="B106" s="66">
        <v>20128</v>
      </c>
      <c r="D106">
        <f t="shared" si="5"/>
        <v>22.148618462317199</v>
      </c>
      <c r="E106">
        <f t="shared" si="6"/>
        <v>22.148618462317199</v>
      </c>
      <c r="G106">
        <f t="shared" ca="1" si="7"/>
        <v>104</v>
      </c>
      <c r="H106">
        <f t="shared" ca="1" si="8"/>
        <v>2303.4563200809885</v>
      </c>
      <c r="I106">
        <f t="shared" ca="1" si="9"/>
        <v>28106.032300829796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15668</v>
      </c>
      <c r="B108" s="66">
        <v>15668</v>
      </c>
      <c r="D108">
        <f t="shared" si="5"/>
        <v>17.240886032769566</v>
      </c>
      <c r="E108">
        <f t="shared" si="6"/>
        <v>17.240886032769566</v>
      </c>
      <c r="G108">
        <f t="shared" ca="1" si="7"/>
        <v>106</v>
      </c>
      <c r="H108">
        <f t="shared" ca="1" si="8"/>
        <v>1827.5339194735741</v>
      </c>
      <c r="I108">
        <f t="shared" ca="1" si="9"/>
        <v>24403.873952911854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14011</v>
      </c>
      <c r="B111" s="66">
        <v>14011</v>
      </c>
      <c r="D111">
        <f t="shared" si="5"/>
        <v>15.41754239246454</v>
      </c>
      <c r="E111">
        <f t="shared" si="6"/>
        <v>15.41754239246454</v>
      </c>
      <c r="G111">
        <f t="shared" ca="1" si="7"/>
        <v>109</v>
      </c>
      <c r="H111">
        <f t="shared" ca="1" si="8"/>
        <v>1680.5121207786349</v>
      </c>
      <c r="I111">
        <f t="shared" ca="1" si="9"/>
        <v>25442.046909808734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14094</v>
      </c>
      <c r="B113" s="66">
        <v>14094</v>
      </c>
      <c r="D113">
        <f t="shared" si="5"/>
        <v>15.508874632745359</v>
      </c>
      <c r="E113">
        <f t="shared" si="6"/>
        <v>15.508874632745359</v>
      </c>
      <c r="G113">
        <f t="shared" ca="1" si="7"/>
        <v>111</v>
      </c>
      <c r="H113">
        <f t="shared" ca="1" si="8"/>
        <v>1721.4850842347348</v>
      </c>
      <c r="I113">
        <f t="shared" ca="1" si="9"/>
        <v>28174.846473291811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19366</v>
      </c>
      <c r="B116" s="66">
        <v>19366</v>
      </c>
      <c r="D116">
        <f t="shared" si="5"/>
        <v>21.310122473233051</v>
      </c>
      <c r="E116">
        <f t="shared" si="6"/>
        <v>21.310122473233051</v>
      </c>
      <c r="G116">
        <f t="shared" ca="1" si="7"/>
        <v>114</v>
      </c>
      <c r="H116">
        <f t="shared" ca="1" si="8"/>
        <v>2429.3539619485678</v>
      </c>
      <c r="I116">
        <f t="shared" ca="1" si="9"/>
        <v>44355.48308547942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18107</v>
      </c>
      <c r="B118" s="66">
        <v>18107</v>
      </c>
      <c r="D118">
        <f t="shared" si="5"/>
        <v>19.924733430901107</v>
      </c>
      <c r="E118">
        <f t="shared" si="6"/>
        <v>19.924733430901107</v>
      </c>
      <c r="G118">
        <f t="shared" ca="1" si="7"/>
        <v>116</v>
      </c>
      <c r="H118">
        <f t="shared" ca="1" si="8"/>
        <v>2311.2690779845284</v>
      </c>
      <c r="I118">
        <f t="shared" ca="1" si="9"/>
        <v>45187.672672951179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15330</v>
      </c>
      <c r="B121" s="66">
        <v>15330</v>
      </c>
      <c r="D121">
        <f t="shared" si="5"/>
        <v>16.868954741023582</v>
      </c>
      <c r="E121">
        <f t="shared" si="6"/>
        <v>16.868954741023582</v>
      </c>
      <c r="G121">
        <f t="shared" ca="1" si="7"/>
        <v>119</v>
      </c>
      <c r="H121">
        <f t="shared" ca="1" si="8"/>
        <v>2007.4056141818064</v>
      </c>
      <c r="I121">
        <f t="shared" ca="1" si="9"/>
        <v>43229.303910089599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16667</v>
      </c>
      <c r="B124" s="66">
        <v>16667</v>
      </c>
      <c r="D124">
        <f t="shared" si="5"/>
        <v>18.340174081450751</v>
      </c>
      <c r="E124">
        <f t="shared" si="6"/>
        <v>18.340174081450751</v>
      </c>
      <c r="G124">
        <f t="shared" ca="1" si="7"/>
        <v>122</v>
      </c>
      <c r="H124">
        <f t="shared" ca="1" si="8"/>
        <v>2237.5012379369919</v>
      </c>
      <c r="I124">
        <f t="shared" ca="1" si="9"/>
        <v>52735.163756570684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15051</v>
      </c>
      <c r="B126" s="66">
        <v>15051</v>
      </c>
      <c r="D126">
        <f t="shared" si="5"/>
        <v>16.561946367067574</v>
      </c>
      <c r="E126">
        <f t="shared" si="6"/>
        <v>16.561946367067574</v>
      </c>
      <c r="G126">
        <f t="shared" ca="1" si="7"/>
        <v>124</v>
      </c>
      <c r="H126">
        <f t="shared" ca="1" si="8"/>
        <v>2053.6813495163792</v>
      </c>
      <c r="I126">
        <f t="shared" ca="1" si="9"/>
        <v>51240.69536592139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14145</v>
      </c>
      <c r="B129" s="66">
        <v>14145</v>
      </c>
      <c r="D129">
        <f t="shared" si="5"/>
        <v>15.564994443038392</v>
      </c>
      <c r="E129">
        <f t="shared" si="6"/>
        <v>15.564994443038392</v>
      </c>
      <c r="G129">
        <f t="shared" ca="1" si="7"/>
        <v>127</v>
      </c>
      <c r="H129">
        <f t="shared" ca="1" si="8"/>
        <v>1976.7542942658758</v>
      </c>
      <c r="I129">
        <f t="shared" ca="1" si="9"/>
        <v>53490.928606414564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14282</v>
      </c>
      <c r="B131" s="66">
        <v>14282</v>
      </c>
      <c r="D131">
        <f t="shared" ref="D131:D194" si="10">IFERROR(100*A131/MAX(A$2:A$257), 0 )</f>
        <v>15.7157476589236</v>
      </c>
      <c r="E131">
        <f t="shared" ref="E131:E194" si="11">IFERROR(100*B131/MAX(B$2:B$257), 0 )</f>
        <v>15.7157476589236</v>
      </c>
      <c r="G131">
        <f t="shared" ref="G131:G194" ca="1" si="12">CELL("row",D131)-2</f>
        <v>129</v>
      </c>
      <c r="H131">
        <f t="shared" ref="H131:H194" ca="1" si="13">D131*G131</f>
        <v>2027.3314480011445</v>
      </c>
      <c r="I131">
        <f t="shared" ref="I131:I194" ca="1" si="14">D131*((G131-$L$1)^2)</f>
        <v>57757.068962891899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11742</v>
      </c>
      <c r="B134" s="66">
        <v>11742</v>
      </c>
      <c r="D134">
        <f t="shared" si="10"/>
        <v>12.920761028643112</v>
      </c>
      <c r="E134">
        <f t="shared" si="11"/>
        <v>12.920761028643112</v>
      </c>
      <c r="G134">
        <f t="shared" ca="1" si="12"/>
        <v>132</v>
      </c>
      <c r="H134">
        <f t="shared" ca="1" si="13"/>
        <v>1705.5404557808906</v>
      </c>
      <c r="I134">
        <f t="shared" ca="1" si="14"/>
        <v>52301.224338859538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11195</v>
      </c>
      <c r="B136" s="66">
        <v>11195</v>
      </c>
      <c r="D136">
        <f t="shared" si="10"/>
        <v>12.3188485535394</v>
      </c>
      <c r="E136">
        <f t="shared" si="11"/>
        <v>12.3188485535394</v>
      </c>
      <c r="G136">
        <f t="shared" ca="1" si="12"/>
        <v>134</v>
      </c>
      <c r="H136">
        <f t="shared" ca="1" si="13"/>
        <v>1650.7257061742796</v>
      </c>
      <c r="I136">
        <f t="shared" ca="1" si="14"/>
        <v>53049.084035065694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10301</v>
      </c>
      <c r="B139" s="66">
        <v>10301</v>
      </c>
      <c r="D139">
        <f t="shared" si="10"/>
        <v>11.335101290755636</v>
      </c>
      <c r="E139">
        <f t="shared" si="11"/>
        <v>11.335101290755636</v>
      </c>
      <c r="G139">
        <f t="shared" ca="1" si="12"/>
        <v>137</v>
      </c>
      <c r="H139">
        <f t="shared" ca="1" si="13"/>
        <v>1552.9088768335221</v>
      </c>
      <c r="I139">
        <f t="shared" ca="1" si="14"/>
        <v>53377.792616430146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9310</v>
      </c>
      <c r="B142" s="66">
        <v>9310</v>
      </c>
      <c r="D142">
        <f t="shared" si="10"/>
        <v>10.244616349571398</v>
      </c>
      <c r="E142">
        <f t="shared" si="11"/>
        <v>10.244616349571398</v>
      </c>
      <c r="G142">
        <f t="shared" ca="1" si="12"/>
        <v>140</v>
      </c>
      <c r="H142">
        <f t="shared" ca="1" si="13"/>
        <v>1434.2462889399958</v>
      </c>
      <c r="I142">
        <f t="shared" ca="1" si="14"/>
        <v>52552.901021392245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7974</v>
      </c>
      <c r="B144" s="66">
        <v>7974</v>
      </c>
      <c r="D144">
        <f t="shared" si="10"/>
        <v>8.7744973975813458</v>
      </c>
      <c r="E144">
        <f t="shared" si="11"/>
        <v>8.7744973975813458</v>
      </c>
      <c r="G144">
        <f t="shared" ca="1" si="12"/>
        <v>142</v>
      </c>
      <c r="H144">
        <f t="shared" ca="1" si="13"/>
        <v>1245.9786304565512</v>
      </c>
      <c r="I144">
        <f t="shared" ca="1" si="14"/>
        <v>47560.384716535074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6386</v>
      </c>
      <c r="B147" s="66">
        <v>6386</v>
      </c>
      <c r="D147">
        <f t="shared" si="10"/>
        <v>7.027080559437481</v>
      </c>
      <c r="E147">
        <f t="shared" si="11"/>
        <v>7.027080559437481</v>
      </c>
      <c r="G147">
        <f t="shared" ca="1" si="12"/>
        <v>145</v>
      </c>
      <c r="H147">
        <f t="shared" ca="1" si="13"/>
        <v>1018.9266811184348</v>
      </c>
      <c r="I147">
        <f t="shared" ca="1" si="14"/>
        <v>41256.224174984287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3976</v>
      </c>
      <c r="B149" s="66">
        <v>3976</v>
      </c>
      <c r="D149">
        <f t="shared" si="10"/>
        <v>4.3751444259823717</v>
      </c>
      <c r="E149">
        <f t="shared" si="11"/>
        <v>4.3751444259823717</v>
      </c>
      <c r="G149">
        <f t="shared" ca="1" si="12"/>
        <v>147</v>
      </c>
      <c r="H149">
        <f t="shared" ca="1" si="13"/>
        <v>643.1462306194087</v>
      </c>
      <c r="I149">
        <f t="shared" ca="1" si="14"/>
        <v>27045.060289076973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3766</v>
      </c>
      <c r="B152" s="66">
        <v>3766</v>
      </c>
      <c r="D152">
        <f t="shared" si="10"/>
        <v>4.1440628541875286</v>
      </c>
      <c r="E152">
        <f t="shared" si="11"/>
        <v>4.1440628541875286</v>
      </c>
      <c r="G152">
        <f t="shared" ca="1" si="12"/>
        <v>150</v>
      </c>
      <c r="H152">
        <f t="shared" ca="1" si="13"/>
        <v>621.60942812812925</v>
      </c>
      <c r="I152">
        <f t="shared" ca="1" si="14"/>
        <v>27608.824252325452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2717</v>
      </c>
      <c r="B154" s="66">
        <v>2717</v>
      </c>
      <c r="D154">
        <f t="shared" si="10"/>
        <v>2.9897553836504285</v>
      </c>
      <c r="E154">
        <f t="shared" si="11"/>
        <v>2.9897553836504285</v>
      </c>
      <c r="G154">
        <f t="shared" ca="1" si="12"/>
        <v>152</v>
      </c>
      <c r="H154">
        <f t="shared" ca="1" si="13"/>
        <v>454.44281831486512</v>
      </c>
      <c r="I154">
        <f t="shared" ca="1" si="14"/>
        <v>20906.614018532298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2724</v>
      </c>
      <c r="B157" s="66">
        <v>2724</v>
      </c>
      <c r="D157">
        <f t="shared" si="10"/>
        <v>2.9974581027102567</v>
      </c>
      <c r="E157">
        <f t="shared" si="11"/>
        <v>2.9974581027102567</v>
      </c>
      <c r="G157">
        <f t="shared" ca="1" si="12"/>
        <v>155</v>
      </c>
      <c r="H157">
        <f t="shared" ca="1" si="13"/>
        <v>464.60600592008979</v>
      </c>
      <c r="I157">
        <f t="shared" ca="1" si="14"/>
        <v>22491.387007254871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2207</v>
      </c>
      <c r="B160" s="66">
        <v>2207</v>
      </c>
      <c r="D160">
        <f t="shared" si="10"/>
        <v>2.4285572807200944</v>
      </c>
      <c r="E160">
        <f t="shared" si="11"/>
        <v>2.4285572807200944</v>
      </c>
      <c r="G160">
        <f t="shared" ca="1" si="12"/>
        <v>158</v>
      </c>
      <c r="H160">
        <f t="shared" ca="1" si="13"/>
        <v>383.71205035377488</v>
      </c>
      <c r="I160">
        <f t="shared" ca="1" si="14"/>
        <v>19506.712945127281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1589</v>
      </c>
      <c r="B162" s="66">
        <v>1589</v>
      </c>
      <c r="D162">
        <f t="shared" si="10"/>
        <v>1.7485172265809832</v>
      </c>
      <c r="E162">
        <f t="shared" si="11"/>
        <v>1.7485172265809832</v>
      </c>
      <c r="G162">
        <f t="shared" ca="1" si="12"/>
        <v>160</v>
      </c>
      <c r="H162">
        <f t="shared" ca="1" si="13"/>
        <v>279.76275625295733</v>
      </c>
      <c r="I162">
        <f t="shared" ca="1" si="14"/>
        <v>14678.300965930841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1092</v>
      </c>
      <c r="B165" s="66">
        <v>1092</v>
      </c>
      <c r="D165">
        <f t="shared" si="10"/>
        <v>1.2016241733331867</v>
      </c>
      <c r="E165">
        <f t="shared" si="11"/>
        <v>1.2016241733331867</v>
      </c>
      <c r="G165">
        <f t="shared" ca="1" si="12"/>
        <v>163</v>
      </c>
      <c r="H165">
        <f t="shared" ca="1" si="13"/>
        <v>195.86474025330944</v>
      </c>
      <c r="I165">
        <f t="shared" ca="1" si="14"/>
        <v>10758.681229059654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242</v>
      </c>
      <c r="B167" s="66">
        <v>242</v>
      </c>
      <c r="D167">
        <f t="shared" si="10"/>
        <v>0.26629400178262924</v>
      </c>
      <c r="E167">
        <f t="shared" si="11"/>
        <v>0.26629400178262924</v>
      </c>
      <c r="G167">
        <f t="shared" ca="1" si="12"/>
        <v>165</v>
      </c>
      <c r="H167">
        <f t="shared" ca="1" si="13"/>
        <v>43.938510294133827</v>
      </c>
      <c r="I167">
        <f t="shared" ca="1" si="14"/>
        <v>2486.1048416790495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348</v>
      </c>
      <c r="B1" s="68" t="s">
        <v>349</v>
      </c>
      <c r="C1" s="32" t="s">
        <v>350</v>
      </c>
      <c r="D1" s="32" t="s">
        <v>351</v>
      </c>
      <c r="E1" s="32" t="s">
        <v>352</v>
      </c>
    </row>
    <row r="2" spans="1:5">
      <c r="A2" s="68">
        <v>0.20060700000000001</v>
      </c>
      <c r="B2" s="68">
        <v>0.58658500000000002</v>
      </c>
      <c r="C2" s="68">
        <v>0</v>
      </c>
      <c r="D2" s="68">
        <v>1</v>
      </c>
      <c r="E2" s="68" t="s">
        <v>353</v>
      </c>
    </row>
    <row r="3" spans="1:5">
      <c r="A3" s="68">
        <v>0.20580100000000001</v>
      </c>
      <c r="B3" s="68">
        <v>0.58703499999999997</v>
      </c>
      <c r="C3" s="68">
        <v>0.40402500000000002</v>
      </c>
      <c r="D3" s="89">
        <v>1</v>
      </c>
      <c r="E3" s="68" t="s">
        <v>354</v>
      </c>
    </row>
    <row r="4" spans="1:5">
      <c r="A4" s="68">
        <v>0.21074399999999999</v>
      </c>
      <c r="B4" s="68">
        <v>0.58821000000000001</v>
      </c>
      <c r="C4" s="68">
        <v>0.80780099999999999</v>
      </c>
      <c r="D4" s="89">
        <v>1</v>
      </c>
      <c r="E4" s="68" t="s">
        <v>355</v>
      </c>
    </row>
    <row r="5" spans="1:5">
      <c r="A5" s="89">
        <v>0.21545400000000001</v>
      </c>
      <c r="B5" s="89">
        <v>0.58913800000000005</v>
      </c>
      <c r="C5" s="89">
        <v>1.2177899999999999</v>
      </c>
      <c r="D5" s="89">
        <v>1</v>
      </c>
      <c r="E5" s="68" t="s">
        <v>356</v>
      </c>
    </row>
    <row r="6" spans="1:5">
      <c r="A6" s="68">
        <v>0.22004199999999999</v>
      </c>
      <c r="B6" s="68">
        <v>0.588059</v>
      </c>
      <c r="C6" s="68">
        <v>1.6186700000000001</v>
      </c>
      <c r="D6" s="68">
        <v>1</v>
      </c>
      <c r="E6" s="68" t="s">
        <v>357</v>
      </c>
    </row>
    <row r="7" spans="1:5">
      <c r="A7" s="68">
        <v>0.22451499999999999</v>
      </c>
      <c r="B7" s="68">
        <v>0.58656399999999997</v>
      </c>
      <c r="C7" s="68">
        <v>2.0286400000000002</v>
      </c>
      <c r="D7" s="68">
        <v>1</v>
      </c>
      <c r="E7" s="68" t="s">
        <v>358</v>
      </c>
    </row>
    <row r="8" spans="1:5">
      <c r="A8" s="68">
        <v>0.228825</v>
      </c>
      <c r="B8" s="68">
        <v>0.58457400000000004</v>
      </c>
      <c r="C8" s="68">
        <v>2.43676</v>
      </c>
      <c r="D8" s="68">
        <v>1</v>
      </c>
      <c r="E8" s="68" t="s">
        <v>359</v>
      </c>
    </row>
    <row r="9" spans="1:5">
      <c r="A9" s="68">
        <v>0.23325499999999999</v>
      </c>
      <c r="B9" s="68">
        <v>0.58191199999999998</v>
      </c>
      <c r="C9" s="68">
        <v>2.8423400000000001</v>
      </c>
      <c r="D9" s="68">
        <v>1</v>
      </c>
      <c r="E9" s="68" t="s">
        <v>360</v>
      </c>
    </row>
    <row r="10" spans="1:5">
      <c r="A10" s="68">
        <v>0.23752999999999999</v>
      </c>
      <c r="B10" s="68">
        <v>0.57909500000000003</v>
      </c>
      <c r="C10" s="68">
        <v>3.2482500000000001</v>
      </c>
      <c r="D10" s="68">
        <v>1</v>
      </c>
      <c r="E10" s="68" t="s">
        <v>361</v>
      </c>
    </row>
    <row r="11" spans="1:5">
      <c r="A11" s="68">
        <v>0.241673</v>
      </c>
      <c r="B11" s="68">
        <v>0.57615799999999995</v>
      </c>
      <c r="C11" s="68">
        <v>3.6544699999999999</v>
      </c>
      <c r="D11" s="68">
        <v>1</v>
      </c>
      <c r="E11" s="68" t="s">
        <v>362</v>
      </c>
    </row>
    <row r="12" spans="1:5">
      <c r="A12" s="68">
        <v>0.245588</v>
      </c>
      <c r="B12" s="68">
        <v>0.57244300000000004</v>
      </c>
      <c r="C12" s="68">
        <v>4.0593500000000002</v>
      </c>
      <c r="D12" s="68">
        <v>1</v>
      </c>
      <c r="E12" s="68" t="s">
        <v>363</v>
      </c>
    </row>
    <row r="13" spans="1:5">
      <c r="A13" s="68">
        <v>0.24920900000000001</v>
      </c>
      <c r="B13" s="68">
        <v>0.56792200000000004</v>
      </c>
      <c r="C13" s="68">
        <v>4.4641000000000002</v>
      </c>
      <c r="D13" s="68">
        <v>1</v>
      </c>
      <c r="E13" s="68" t="s">
        <v>364</v>
      </c>
    </row>
    <row r="14" spans="1:5">
      <c r="A14" s="68">
        <v>0.252718</v>
      </c>
      <c r="B14" s="68">
        <v>0.56319300000000005</v>
      </c>
      <c r="C14" s="68">
        <v>4.87697</v>
      </c>
      <c r="D14" s="68">
        <v>1</v>
      </c>
      <c r="E14" s="68" t="s">
        <v>365</v>
      </c>
    </row>
    <row r="15" spans="1:5">
      <c r="A15" s="68">
        <v>0.25619199999999998</v>
      </c>
      <c r="B15" s="68">
        <v>0.55863499999999999</v>
      </c>
      <c r="C15" s="68">
        <v>5.2788500000000003</v>
      </c>
      <c r="D15" s="68">
        <v>1</v>
      </c>
      <c r="E15" s="68" t="s">
        <v>366</v>
      </c>
    </row>
    <row r="16" spans="1:5">
      <c r="A16" s="68">
        <v>0.25949699999999998</v>
      </c>
      <c r="B16" s="68">
        <v>0.55356499999999997</v>
      </c>
      <c r="C16" s="68">
        <v>5.6847500000000002</v>
      </c>
      <c r="D16" s="68">
        <v>1</v>
      </c>
      <c r="E16" s="68" t="s">
        <v>367</v>
      </c>
    </row>
    <row r="17" spans="1:5">
      <c r="A17" s="68">
        <v>0.26278600000000002</v>
      </c>
      <c r="B17" s="68">
        <v>0.54800899999999997</v>
      </c>
      <c r="C17" s="68">
        <v>6.0921799999999999</v>
      </c>
      <c r="D17" s="68">
        <v>1</v>
      </c>
      <c r="E17" s="68" t="s">
        <v>368</v>
      </c>
    </row>
    <row r="18" spans="1:5">
      <c r="A18" s="68">
        <v>0.26584099999999999</v>
      </c>
      <c r="B18" s="68">
        <v>0.54145799999999999</v>
      </c>
      <c r="C18" s="68">
        <v>6.49587</v>
      </c>
      <c r="D18" s="68">
        <v>1</v>
      </c>
      <c r="E18" s="68" t="s">
        <v>369</v>
      </c>
    </row>
    <row r="19" spans="1:5">
      <c r="A19" s="68">
        <v>0.268679</v>
      </c>
      <c r="B19" s="68">
        <v>0.53509600000000002</v>
      </c>
      <c r="C19" s="68">
        <v>6.9056800000000003</v>
      </c>
      <c r="D19" s="68">
        <v>1</v>
      </c>
      <c r="E19" s="68" t="s">
        <v>370</v>
      </c>
    </row>
    <row r="20" spans="1:5">
      <c r="A20" s="68">
        <v>0.27155200000000002</v>
      </c>
      <c r="B20" s="68">
        <v>0.52889799999999998</v>
      </c>
      <c r="C20" s="68">
        <v>7.3133400000000002</v>
      </c>
      <c r="D20" s="68">
        <v>1</v>
      </c>
      <c r="E20" s="68" t="s">
        <v>371</v>
      </c>
    </row>
    <row r="21" spans="1:5">
      <c r="A21" s="68">
        <v>0.27388499999999999</v>
      </c>
      <c r="B21" s="68">
        <v>0.52324999999999999</v>
      </c>
      <c r="C21" s="68">
        <v>7.7172799999999997</v>
      </c>
      <c r="D21" s="68">
        <v>1</v>
      </c>
      <c r="E21" s="68" t="s">
        <v>372</v>
      </c>
    </row>
    <row r="22" spans="1:5">
      <c r="A22" s="68">
        <v>0.27595799999999998</v>
      </c>
      <c r="B22" s="68">
        <v>0.51806700000000006</v>
      </c>
      <c r="C22" s="68">
        <v>8.1204900000000002</v>
      </c>
      <c r="D22" s="68">
        <v>1</v>
      </c>
      <c r="E22" s="68" t="s">
        <v>373</v>
      </c>
    </row>
    <row r="23" spans="1:5">
      <c r="A23" s="68">
        <v>0.27774799999999999</v>
      </c>
      <c r="B23" s="68">
        <v>0.51292499999999996</v>
      </c>
      <c r="C23" s="68">
        <v>8.5282400000000003</v>
      </c>
      <c r="D23" s="68">
        <v>1</v>
      </c>
      <c r="E23" s="68" t="s">
        <v>374</v>
      </c>
    </row>
    <row r="24" spans="1:5">
      <c r="A24" s="68">
        <v>0.27929599999999999</v>
      </c>
      <c r="B24" s="68">
        <v>0.50795400000000002</v>
      </c>
      <c r="C24" s="68">
        <v>8.9371899999999993</v>
      </c>
      <c r="D24" s="68">
        <v>1</v>
      </c>
      <c r="E24" s="68" t="s">
        <v>375</v>
      </c>
    </row>
    <row r="25" spans="1:5">
      <c r="A25" s="68">
        <v>0.28045199999999998</v>
      </c>
      <c r="B25" s="68">
        <v>0.50328300000000004</v>
      </c>
      <c r="C25" s="68">
        <v>9.3391000000000002</v>
      </c>
      <c r="D25" s="68">
        <v>1</v>
      </c>
      <c r="E25" s="68" t="s">
        <v>376</v>
      </c>
    </row>
    <row r="26" spans="1:5">
      <c r="A26" s="68">
        <v>0.28145100000000001</v>
      </c>
      <c r="B26" s="68">
        <v>0.498473</v>
      </c>
      <c r="C26" s="68">
        <v>9.7498699999999996</v>
      </c>
      <c r="D26" s="68">
        <v>1</v>
      </c>
      <c r="E26" s="68" t="s">
        <v>377</v>
      </c>
    </row>
    <row r="27" spans="1:5">
      <c r="A27" s="68">
        <v>0.28190700000000002</v>
      </c>
      <c r="B27" s="68">
        <v>0.49384</v>
      </c>
      <c r="C27" s="68">
        <v>10.152900000000001</v>
      </c>
      <c r="D27" s="68">
        <v>1</v>
      </c>
      <c r="E27" s="68" t="s">
        <v>378</v>
      </c>
    </row>
    <row r="28" spans="1:5">
      <c r="A28" s="68">
        <v>0.28203600000000001</v>
      </c>
      <c r="B28" s="68">
        <v>0.48936600000000002</v>
      </c>
      <c r="C28" s="68">
        <v>10.5579</v>
      </c>
      <c r="D28" s="68">
        <v>1</v>
      </c>
      <c r="E28" s="68" t="s">
        <v>379</v>
      </c>
    </row>
    <row r="29" spans="1:5">
      <c r="A29" s="68">
        <v>0.28218799999999999</v>
      </c>
      <c r="B29" s="68">
        <v>0.48469200000000001</v>
      </c>
      <c r="C29" s="68">
        <v>10.964700000000001</v>
      </c>
      <c r="D29" s="68">
        <v>1</v>
      </c>
      <c r="E29" s="68" t="s">
        <v>380</v>
      </c>
    </row>
    <row r="30" spans="1:5">
      <c r="A30" s="68">
        <v>0.28199400000000002</v>
      </c>
      <c r="B30" s="68">
        <v>0.48007300000000003</v>
      </c>
      <c r="C30" s="68">
        <v>11.3765</v>
      </c>
      <c r="D30" s="68">
        <v>1</v>
      </c>
      <c r="E30" s="68" t="s">
        <v>381</v>
      </c>
    </row>
    <row r="31" spans="1:5">
      <c r="A31" s="68">
        <v>0.28131600000000001</v>
      </c>
      <c r="B31" s="68">
        <v>0.47589799999999999</v>
      </c>
      <c r="C31" s="68">
        <v>11.778499999999999</v>
      </c>
      <c r="D31" s="68">
        <v>1</v>
      </c>
      <c r="E31" s="68" t="s">
        <v>382</v>
      </c>
    </row>
    <row r="32" spans="1:5">
      <c r="A32" s="68">
        <v>0.28029700000000002</v>
      </c>
      <c r="B32" s="68">
        <v>0.472553</v>
      </c>
      <c r="C32" s="68">
        <v>12.183299999999999</v>
      </c>
      <c r="D32" s="68">
        <v>1</v>
      </c>
      <c r="E32" s="68" t="s">
        <v>383</v>
      </c>
    </row>
    <row r="33" spans="1:5">
      <c r="A33" s="68">
        <v>0.27915299999999998</v>
      </c>
      <c r="B33" s="68">
        <v>0.469497</v>
      </c>
      <c r="C33" s="68">
        <v>12.5906</v>
      </c>
      <c r="D33" s="68">
        <v>1</v>
      </c>
      <c r="E33" s="68" t="s">
        <v>384</v>
      </c>
    </row>
    <row r="34" spans="1:5">
      <c r="A34" s="68">
        <v>0.277895</v>
      </c>
      <c r="B34" s="68">
        <v>0.46646399999999999</v>
      </c>
      <c r="C34" s="68">
        <v>12.998100000000001</v>
      </c>
      <c r="D34" s="68">
        <v>1</v>
      </c>
      <c r="E34" s="68" t="s">
        <v>385</v>
      </c>
    </row>
    <row r="35" spans="1:5">
      <c r="A35" s="68">
        <v>0.27657599999999999</v>
      </c>
      <c r="B35" s="68">
        <v>0.463144</v>
      </c>
      <c r="C35" s="68">
        <v>13.405099999999999</v>
      </c>
      <c r="D35" s="68">
        <v>1</v>
      </c>
      <c r="E35" s="68" t="s">
        <v>386</v>
      </c>
    </row>
    <row r="36" spans="1:5">
      <c r="A36" s="68">
        <v>0.27535199999999999</v>
      </c>
      <c r="B36" s="68">
        <v>0.46000799999999997</v>
      </c>
      <c r="C36" s="68">
        <v>13.811999999999999</v>
      </c>
      <c r="D36" s="68">
        <v>1</v>
      </c>
      <c r="E36" s="68" t="s">
        <v>387</v>
      </c>
    </row>
    <row r="37" spans="1:5">
      <c r="A37" s="68">
        <v>0.27402500000000002</v>
      </c>
      <c r="B37" s="68">
        <v>0.45789600000000003</v>
      </c>
      <c r="C37" s="68">
        <v>14.2149</v>
      </c>
      <c r="D37" s="68">
        <v>1</v>
      </c>
      <c r="E37" s="68" t="s">
        <v>388</v>
      </c>
    </row>
    <row r="38" spans="1:5">
      <c r="A38" s="68">
        <v>0.27265299999999998</v>
      </c>
      <c r="B38" s="68">
        <v>0.45644400000000002</v>
      </c>
      <c r="C38" s="68">
        <v>14.623200000000001</v>
      </c>
      <c r="D38" s="68">
        <v>1</v>
      </c>
      <c r="E38" s="68" t="s">
        <v>389</v>
      </c>
    </row>
    <row r="39" spans="1:5">
      <c r="A39" s="68">
        <v>0.271345</v>
      </c>
      <c r="B39" s="68">
        <v>0.455096</v>
      </c>
      <c r="C39" s="68">
        <v>15.028700000000001</v>
      </c>
      <c r="D39" s="68">
        <v>1</v>
      </c>
      <c r="E39" s="68" t="s">
        <v>390</v>
      </c>
    </row>
    <row r="40" spans="1:5">
      <c r="A40" s="68">
        <v>0.270148</v>
      </c>
      <c r="B40" s="68">
        <v>0.45390799999999998</v>
      </c>
      <c r="C40" s="68">
        <v>15.4346</v>
      </c>
      <c r="D40" s="68">
        <v>1</v>
      </c>
      <c r="E40" s="68" t="s">
        <v>391</v>
      </c>
    </row>
    <row r="41" spans="1:5">
      <c r="A41" s="68">
        <v>0.26889099999999999</v>
      </c>
      <c r="B41" s="68">
        <v>0.453181</v>
      </c>
      <c r="C41" s="68">
        <v>15.842599999999999</v>
      </c>
      <c r="D41" s="68">
        <v>1</v>
      </c>
      <c r="E41" s="68" t="s">
        <v>392</v>
      </c>
    </row>
    <row r="42" spans="1:5">
      <c r="A42" s="68">
        <v>0.26766899999999999</v>
      </c>
      <c r="B42" s="68">
        <v>0.45285599999999998</v>
      </c>
      <c r="C42" s="68">
        <v>16.2456</v>
      </c>
      <c r="D42" s="68">
        <v>1</v>
      </c>
      <c r="E42" s="68" t="s">
        <v>393</v>
      </c>
    </row>
    <row r="43" spans="1:5">
      <c r="A43" s="68">
        <v>0.26630700000000002</v>
      </c>
      <c r="B43" s="68">
        <v>0.45310699999999998</v>
      </c>
      <c r="C43" s="68">
        <v>16.6525</v>
      </c>
      <c r="D43" s="68">
        <v>1</v>
      </c>
      <c r="E43" s="68" t="s">
        <v>394</v>
      </c>
    </row>
    <row r="44" spans="1:5">
      <c r="A44" s="68">
        <v>0.26501200000000003</v>
      </c>
      <c r="B44" s="68">
        <v>0.45311499999999999</v>
      </c>
      <c r="C44" s="68">
        <v>17.060300000000002</v>
      </c>
      <c r="D44" s="68">
        <v>1</v>
      </c>
      <c r="E44" s="68" t="s">
        <v>395</v>
      </c>
    </row>
    <row r="45" spans="1:5">
      <c r="A45" s="68">
        <v>0.26358700000000002</v>
      </c>
      <c r="B45" s="68">
        <v>0.453795</v>
      </c>
      <c r="C45" s="68">
        <v>17.466200000000001</v>
      </c>
      <c r="D45" s="68">
        <v>1</v>
      </c>
      <c r="E45" s="68" t="s">
        <v>396</v>
      </c>
    </row>
    <row r="46" spans="1:5">
      <c r="A46" s="68">
        <v>0.26245600000000002</v>
      </c>
      <c r="B46" s="68">
        <v>0.45391700000000001</v>
      </c>
      <c r="C46" s="68">
        <v>17.869199999999999</v>
      </c>
      <c r="D46" s="68">
        <v>1</v>
      </c>
      <c r="E46" s="68" t="s">
        <v>397</v>
      </c>
    </row>
    <row r="47" spans="1:5">
      <c r="A47" s="68">
        <v>0.26167800000000002</v>
      </c>
      <c r="B47" s="68">
        <v>0.45342300000000002</v>
      </c>
      <c r="C47" s="68">
        <v>18.28</v>
      </c>
      <c r="D47" s="68">
        <v>1</v>
      </c>
      <c r="E47" s="68" t="s">
        <v>398</v>
      </c>
    </row>
    <row r="48" spans="1:5">
      <c r="A48" s="68">
        <v>0.26117699999999999</v>
      </c>
      <c r="B48" s="68">
        <v>0.45276899999999998</v>
      </c>
      <c r="C48" s="68">
        <v>18.692</v>
      </c>
      <c r="D48" s="68">
        <v>1</v>
      </c>
      <c r="E48" s="68" t="s">
        <v>399</v>
      </c>
    </row>
    <row r="49" spans="1:5">
      <c r="A49" s="68">
        <v>0.26096799999999998</v>
      </c>
      <c r="B49" s="68">
        <v>0.45173999999999997</v>
      </c>
      <c r="C49" s="68">
        <v>19.090900000000001</v>
      </c>
      <c r="D49" s="68">
        <v>1</v>
      </c>
      <c r="E49" s="68" t="s">
        <v>400</v>
      </c>
    </row>
    <row r="50" spans="1:5">
      <c r="A50" s="68">
        <v>0.261212</v>
      </c>
      <c r="B50" s="68">
        <v>0.45009900000000003</v>
      </c>
      <c r="C50" s="68">
        <v>19.4969</v>
      </c>
      <c r="D50" s="68">
        <v>1</v>
      </c>
      <c r="E50" s="68" t="s">
        <v>401</v>
      </c>
    </row>
    <row r="51" spans="1:5">
      <c r="A51" s="68">
        <v>0.26177600000000001</v>
      </c>
      <c r="B51" s="68">
        <v>0.44791799999999998</v>
      </c>
      <c r="C51" s="68">
        <v>19.906199999999998</v>
      </c>
      <c r="D51" s="68">
        <v>1</v>
      </c>
      <c r="E51" s="68" t="s">
        <v>402</v>
      </c>
    </row>
    <row r="52" spans="1:5">
      <c r="A52" s="68">
        <v>0.26270199999999999</v>
      </c>
      <c r="B52" s="68">
        <v>0.44502399999999998</v>
      </c>
      <c r="C52" s="68">
        <v>20.3126</v>
      </c>
      <c r="D52" s="68">
        <v>1</v>
      </c>
      <c r="E52" s="68" t="s">
        <v>403</v>
      </c>
    </row>
    <row r="53" spans="1:5">
      <c r="A53" s="68">
        <v>0.264075</v>
      </c>
      <c r="B53" s="68">
        <v>0.44106200000000001</v>
      </c>
      <c r="C53" s="68">
        <v>20.718599999999999</v>
      </c>
      <c r="D53" s="68">
        <v>1</v>
      </c>
      <c r="E53" s="68" t="s">
        <v>404</v>
      </c>
    </row>
    <row r="54" spans="1:5">
      <c r="A54" s="68">
        <v>0.26561600000000002</v>
      </c>
      <c r="B54" s="68">
        <v>0.43675900000000001</v>
      </c>
      <c r="C54" s="68">
        <v>21.122399999999999</v>
      </c>
      <c r="D54" s="68">
        <v>1</v>
      </c>
      <c r="E54" s="68" t="s">
        <v>405</v>
      </c>
    </row>
    <row r="55" spans="1:5">
      <c r="A55" s="68">
        <v>0.26760800000000001</v>
      </c>
      <c r="B55" s="68">
        <v>0.43226199999999998</v>
      </c>
      <c r="C55" s="68">
        <v>21.5274</v>
      </c>
      <c r="D55" s="68">
        <v>1</v>
      </c>
      <c r="E55" s="68" t="s">
        <v>406</v>
      </c>
    </row>
    <row r="56" spans="1:5">
      <c r="A56" s="68">
        <v>0.26963100000000001</v>
      </c>
      <c r="B56" s="68">
        <v>0.42872500000000002</v>
      </c>
      <c r="C56" s="68">
        <v>21.934699999999999</v>
      </c>
      <c r="D56" s="68">
        <v>1</v>
      </c>
      <c r="E56" s="68" t="s">
        <v>407</v>
      </c>
    </row>
    <row r="57" spans="1:5">
      <c r="A57" s="68">
        <v>0.27152999999999999</v>
      </c>
      <c r="B57" s="68">
        <v>0.42626900000000001</v>
      </c>
      <c r="C57" s="68">
        <v>22.345199999999998</v>
      </c>
      <c r="D57" s="68">
        <v>1</v>
      </c>
      <c r="E57" s="68" t="s">
        <v>408</v>
      </c>
    </row>
    <row r="58" spans="1:5">
      <c r="A58" s="68">
        <v>0.27318199999999998</v>
      </c>
      <c r="B58" s="68">
        <v>0.42513499999999999</v>
      </c>
      <c r="C58" s="68">
        <v>22.748100000000001</v>
      </c>
      <c r="D58" s="68">
        <v>1</v>
      </c>
      <c r="E58" s="68" t="s">
        <v>409</v>
      </c>
    </row>
    <row r="59" spans="1:5">
      <c r="A59" s="68">
        <v>0.27479300000000001</v>
      </c>
      <c r="B59" s="68">
        <v>0.42439199999999999</v>
      </c>
      <c r="C59" s="68">
        <v>23.152000000000001</v>
      </c>
      <c r="D59" s="68">
        <v>1</v>
      </c>
      <c r="E59" s="68" t="s">
        <v>410</v>
      </c>
    </row>
    <row r="60" spans="1:5">
      <c r="A60" s="68">
        <v>0.27652399999999999</v>
      </c>
      <c r="B60" s="68">
        <v>0.42339100000000002</v>
      </c>
      <c r="C60" s="68">
        <v>23.558900000000001</v>
      </c>
      <c r="D60" s="68">
        <v>1</v>
      </c>
      <c r="E60" s="68" t="s">
        <v>411</v>
      </c>
    </row>
    <row r="61" spans="1:5">
      <c r="A61" s="68">
        <v>0.27822000000000002</v>
      </c>
      <c r="B61" s="68">
        <v>0.42197699999999999</v>
      </c>
      <c r="C61" s="68">
        <v>23.9649</v>
      </c>
      <c r="D61" s="68">
        <v>1</v>
      </c>
      <c r="E61" s="68" t="s">
        <v>412</v>
      </c>
    </row>
    <row r="62" spans="1:5">
      <c r="A62" s="68">
        <v>0.280026</v>
      </c>
      <c r="B62" s="68">
        <v>0.41936200000000001</v>
      </c>
      <c r="C62" s="68">
        <v>24.370999999999999</v>
      </c>
      <c r="D62" s="68">
        <v>1</v>
      </c>
      <c r="E62" s="68" t="s">
        <v>413</v>
      </c>
    </row>
    <row r="63" spans="1:5">
      <c r="A63" s="68">
        <v>0.28171600000000002</v>
      </c>
      <c r="B63" s="68">
        <v>0.41616599999999998</v>
      </c>
      <c r="C63" s="68">
        <v>24.778700000000001</v>
      </c>
      <c r="D63" s="68">
        <v>1</v>
      </c>
      <c r="E63" s="68" t="s">
        <v>414</v>
      </c>
    </row>
    <row r="64" spans="1:5">
      <c r="A64" s="68">
        <v>0.28317399999999998</v>
      </c>
      <c r="B64" s="68">
        <v>0.413053</v>
      </c>
      <c r="C64" s="68">
        <v>25.1846</v>
      </c>
      <c r="D64" s="68">
        <v>1</v>
      </c>
      <c r="E64" s="68" t="s">
        <v>415</v>
      </c>
    </row>
    <row r="65" spans="1:5">
      <c r="A65" s="68">
        <v>0.28447800000000001</v>
      </c>
      <c r="B65" s="68">
        <v>0.40993499999999999</v>
      </c>
      <c r="C65" s="68">
        <v>25.589500000000001</v>
      </c>
      <c r="D65" s="68">
        <v>1</v>
      </c>
      <c r="E65" s="68" t="s">
        <v>416</v>
      </c>
    </row>
    <row r="66" spans="1:5">
      <c r="A66" s="68">
        <v>0.28554099999999999</v>
      </c>
      <c r="B66" s="68">
        <v>0.40746900000000003</v>
      </c>
      <c r="C66" s="68">
        <v>25.996500000000001</v>
      </c>
      <c r="D66" s="68">
        <v>1</v>
      </c>
      <c r="E66" s="68" t="s">
        <v>417</v>
      </c>
    </row>
    <row r="67" spans="1:5">
      <c r="A67" s="68">
        <v>0.28623799999999999</v>
      </c>
      <c r="B67" s="68">
        <v>0.40527000000000002</v>
      </c>
      <c r="C67" s="68">
        <v>26.406400000000001</v>
      </c>
      <c r="D67" s="68">
        <v>1</v>
      </c>
      <c r="E67" s="68" t="s">
        <v>418</v>
      </c>
    </row>
    <row r="68" spans="1:5">
      <c r="A68" s="68">
        <v>0.28666700000000001</v>
      </c>
      <c r="B68" s="68">
        <v>0.40279700000000002</v>
      </c>
      <c r="C68" s="68">
        <v>26.804600000000001</v>
      </c>
      <c r="D68" s="68">
        <v>1</v>
      </c>
      <c r="E68" s="68" t="s">
        <v>419</v>
      </c>
    </row>
    <row r="69" spans="1:5">
      <c r="A69" s="68">
        <v>0.28684500000000002</v>
      </c>
      <c r="B69" s="68">
        <v>0.40049099999999999</v>
      </c>
      <c r="C69" s="68">
        <v>27.2181</v>
      </c>
      <c r="D69" s="68">
        <v>1</v>
      </c>
      <c r="E69" s="68" t="s">
        <v>420</v>
      </c>
    </row>
    <row r="70" spans="1:5">
      <c r="A70" s="68">
        <v>0.28681499999999999</v>
      </c>
      <c r="B70" s="68">
        <v>0.39805600000000002</v>
      </c>
      <c r="C70" s="68">
        <v>27.622299999999999</v>
      </c>
      <c r="D70" s="68">
        <v>1</v>
      </c>
      <c r="E70" s="68" t="s">
        <v>421</v>
      </c>
    </row>
    <row r="71" spans="1:5">
      <c r="A71" s="68">
        <v>0.28655700000000001</v>
      </c>
      <c r="B71" s="68">
        <v>0.39630500000000002</v>
      </c>
      <c r="C71" s="68">
        <v>28.026</v>
      </c>
      <c r="D71" s="68">
        <v>1</v>
      </c>
      <c r="E71" s="68" t="s">
        <v>422</v>
      </c>
    </row>
    <row r="72" spans="1:5">
      <c r="A72" s="68">
        <v>0.28589700000000001</v>
      </c>
      <c r="B72" s="68">
        <v>0.394096</v>
      </c>
      <c r="C72" s="68">
        <v>28.436</v>
      </c>
      <c r="D72" s="68">
        <v>1</v>
      </c>
      <c r="E72" s="68" t="s">
        <v>423</v>
      </c>
    </row>
    <row r="73" spans="1:5">
      <c r="A73" s="68">
        <v>0.28505999999999998</v>
      </c>
      <c r="B73" s="68">
        <v>0.39151399999999997</v>
      </c>
      <c r="C73" s="68">
        <v>28.841799999999999</v>
      </c>
      <c r="D73" s="68">
        <v>1</v>
      </c>
      <c r="E73" s="68" t="s">
        <v>424</v>
      </c>
    </row>
    <row r="74" spans="1:5">
      <c r="A74" s="68">
        <v>0.28404200000000002</v>
      </c>
      <c r="B74" s="68">
        <v>0.38881199999999999</v>
      </c>
      <c r="C74" s="68">
        <v>29.249700000000001</v>
      </c>
      <c r="D74" s="68">
        <v>1</v>
      </c>
      <c r="E74" s="68" t="s">
        <v>425</v>
      </c>
    </row>
    <row r="75" spans="1:5">
      <c r="A75" s="68">
        <v>0.28258899999999998</v>
      </c>
      <c r="B75" s="68">
        <v>0.38618200000000003</v>
      </c>
      <c r="C75" s="68">
        <v>29.6539</v>
      </c>
      <c r="D75" s="68">
        <v>1</v>
      </c>
      <c r="E75" s="68" t="s">
        <v>426</v>
      </c>
    </row>
    <row r="76" spans="1:5">
      <c r="A76" s="68">
        <v>0.280752</v>
      </c>
      <c r="B76" s="68">
        <v>0.38425799999999999</v>
      </c>
      <c r="C76" s="68">
        <v>30.058599999999998</v>
      </c>
      <c r="D76" s="68">
        <v>2</v>
      </c>
      <c r="E76" s="68" t="s">
        <v>427</v>
      </c>
    </row>
    <row r="77" spans="1:5">
      <c r="A77" s="68">
        <v>0.27887699999999999</v>
      </c>
      <c r="B77" s="68">
        <v>0.38303300000000001</v>
      </c>
      <c r="C77" s="68">
        <v>30.481400000000001</v>
      </c>
      <c r="D77" s="68">
        <v>2</v>
      </c>
      <c r="E77" s="68" t="s">
        <v>428</v>
      </c>
    </row>
    <row r="78" spans="1:5">
      <c r="A78" s="68">
        <v>0.27674700000000002</v>
      </c>
      <c r="B78" s="68">
        <v>0.38300200000000001</v>
      </c>
      <c r="C78" s="68">
        <v>30.887499999999999</v>
      </c>
      <c r="D78" s="68">
        <v>2</v>
      </c>
      <c r="E78" s="68" t="s">
        <v>429</v>
      </c>
    </row>
    <row r="79" spans="1:5">
      <c r="A79" s="68">
        <v>0.27423900000000001</v>
      </c>
      <c r="B79" s="68">
        <v>0.38398399999999999</v>
      </c>
      <c r="C79" s="68">
        <v>31.2925</v>
      </c>
      <c r="D79" s="68">
        <v>2</v>
      </c>
      <c r="E79" s="68" t="s">
        <v>430</v>
      </c>
    </row>
    <row r="80" spans="1:5">
      <c r="A80" s="68">
        <v>0.27146799999999999</v>
      </c>
      <c r="B80" s="68">
        <v>0.38563199999999997</v>
      </c>
      <c r="C80" s="68">
        <v>31.700199999999999</v>
      </c>
      <c r="D80" s="68">
        <v>2</v>
      </c>
      <c r="E80" s="68" t="s">
        <v>431</v>
      </c>
    </row>
    <row r="81" spans="1:5">
      <c r="A81" s="68">
        <v>0.26866800000000002</v>
      </c>
      <c r="B81" s="68">
        <v>0.38667400000000002</v>
      </c>
      <c r="C81" s="68">
        <v>32.109099999999998</v>
      </c>
      <c r="D81" s="68">
        <v>2</v>
      </c>
      <c r="E81" s="68" t="s">
        <v>432</v>
      </c>
    </row>
    <row r="82" spans="1:5">
      <c r="A82" s="68">
        <v>0.26581399999999999</v>
      </c>
      <c r="B82" s="68">
        <v>0.38628899999999999</v>
      </c>
      <c r="C82" s="68">
        <v>32.512999999999998</v>
      </c>
      <c r="D82" s="68">
        <v>2</v>
      </c>
      <c r="E82" s="68" t="s">
        <v>433</v>
      </c>
    </row>
    <row r="83" spans="1:5">
      <c r="A83" s="68">
        <v>0.26322699999999999</v>
      </c>
      <c r="B83" s="68">
        <v>0.384795</v>
      </c>
      <c r="C83" s="68">
        <v>32.920299999999997</v>
      </c>
      <c r="D83" s="68">
        <v>2</v>
      </c>
      <c r="E83" s="68" t="s">
        <v>434</v>
      </c>
    </row>
    <row r="84" spans="1:5">
      <c r="A84" s="68">
        <v>0.26066899999999998</v>
      </c>
      <c r="B84" s="68">
        <v>0.38414300000000001</v>
      </c>
      <c r="C84" s="68">
        <v>33.323999999999998</v>
      </c>
      <c r="D84" s="68">
        <v>2</v>
      </c>
      <c r="E84" s="68" t="s">
        <v>435</v>
      </c>
    </row>
    <row r="85" spans="1:5">
      <c r="A85" s="68">
        <v>0.25802999999999998</v>
      </c>
      <c r="B85" s="68">
        <v>0.38475599999999999</v>
      </c>
      <c r="C85" s="68">
        <v>33.732700000000001</v>
      </c>
      <c r="D85" s="68">
        <v>2</v>
      </c>
      <c r="E85" s="68" t="s">
        <v>436</v>
      </c>
    </row>
    <row r="86" spans="1:5">
      <c r="A86" s="68">
        <v>0.25536599999999998</v>
      </c>
      <c r="B86" s="68">
        <v>0.38644699999999998</v>
      </c>
      <c r="C86" s="68">
        <v>34.139699999999998</v>
      </c>
      <c r="D86" s="68">
        <v>2</v>
      </c>
      <c r="E86" s="68" t="s">
        <v>437</v>
      </c>
    </row>
    <row r="87" spans="1:5">
      <c r="A87" s="68">
        <v>0.25276300000000002</v>
      </c>
      <c r="B87" s="68">
        <v>0.38914199999999999</v>
      </c>
      <c r="C87" s="68">
        <v>34.543700000000001</v>
      </c>
      <c r="D87" s="68">
        <v>2</v>
      </c>
      <c r="E87" s="68" t="s">
        <v>438</v>
      </c>
    </row>
    <row r="88" spans="1:5">
      <c r="A88" s="68">
        <v>0.25045400000000001</v>
      </c>
      <c r="B88" s="68">
        <v>0.391681</v>
      </c>
      <c r="C88" s="68">
        <v>34.951500000000003</v>
      </c>
      <c r="D88" s="68">
        <v>2</v>
      </c>
      <c r="E88" s="68" t="s">
        <v>439</v>
      </c>
    </row>
    <row r="89" spans="1:5">
      <c r="A89" s="68">
        <v>0.24834500000000001</v>
      </c>
      <c r="B89" s="68">
        <v>0.39470300000000003</v>
      </c>
      <c r="C89" s="68">
        <v>35.359400000000001</v>
      </c>
      <c r="D89" s="68">
        <v>2</v>
      </c>
      <c r="E89" s="68" t="s">
        <v>440</v>
      </c>
    </row>
    <row r="90" spans="1:5">
      <c r="A90" s="68">
        <v>0.24623900000000001</v>
      </c>
      <c r="B90" s="68">
        <v>0.39856799999999998</v>
      </c>
      <c r="C90" s="68">
        <v>35.763300000000001</v>
      </c>
      <c r="D90" s="68">
        <v>2</v>
      </c>
      <c r="E90" s="68" t="s">
        <v>441</v>
      </c>
    </row>
    <row r="91" spans="1:5">
      <c r="A91" s="68">
        <v>0.24446100000000001</v>
      </c>
      <c r="B91" s="68">
        <v>0.40198400000000001</v>
      </c>
      <c r="C91" s="68">
        <v>36.167299999999997</v>
      </c>
      <c r="D91" s="68">
        <v>2</v>
      </c>
      <c r="E91" s="68" t="s">
        <v>442</v>
      </c>
    </row>
    <row r="92" spans="1:5">
      <c r="A92" s="68">
        <v>0.24321599999999999</v>
      </c>
      <c r="B92" s="68">
        <v>0.40555600000000003</v>
      </c>
      <c r="C92" s="68">
        <v>36.574599999999997</v>
      </c>
      <c r="D92" s="68">
        <v>2</v>
      </c>
      <c r="E92" s="68" t="s">
        <v>443</v>
      </c>
    </row>
    <row r="93" spans="1:5">
      <c r="A93" s="68">
        <v>0.24243600000000001</v>
      </c>
      <c r="B93" s="68">
        <v>0.40932000000000002</v>
      </c>
      <c r="C93" s="68">
        <v>36.984000000000002</v>
      </c>
      <c r="D93" s="68">
        <v>2</v>
      </c>
      <c r="E93" s="68" t="s">
        <v>444</v>
      </c>
    </row>
    <row r="94" spans="1:5">
      <c r="A94" s="68">
        <v>0.242257</v>
      </c>
      <c r="B94" s="68">
        <v>0.41303099999999998</v>
      </c>
      <c r="C94" s="68">
        <v>37.392000000000003</v>
      </c>
      <c r="D94" s="68">
        <v>2</v>
      </c>
      <c r="E94" s="68" t="s">
        <v>445</v>
      </c>
    </row>
    <row r="95" spans="1:5">
      <c r="A95" s="68">
        <v>0.242481</v>
      </c>
      <c r="B95" s="68">
        <v>0.41608800000000001</v>
      </c>
      <c r="C95" s="68">
        <v>37.792900000000003</v>
      </c>
      <c r="D95" s="68">
        <v>2</v>
      </c>
      <c r="E95" s="68" t="s">
        <v>446</v>
      </c>
    </row>
    <row r="96" spans="1:5">
      <c r="A96" s="68">
        <v>0.24298400000000001</v>
      </c>
      <c r="B96" s="68">
        <v>0.41781800000000002</v>
      </c>
      <c r="C96" s="68">
        <v>38.198799999999999</v>
      </c>
      <c r="D96" s="68">
        <v>2</v>
      </c>
      <c r="E96" s="68" t="s">
        <v>447</v>
      </c>
    </row>
    <row r="97" spans="1:5">
      <c r="A97" s="68">
        <v>0.24379500000000001</v>
      </c>
      <c r="B97" s="68">
        <v>0.41862500000000002</v>
      </c>
      <c r="C97" s="68">
        <v>38.606000000000002</v>
      </c>
      <c r="D97" s="68">
        <v>2</v>
      </c>
      <c r="E97" s="68" t="s">
        <v>448</v>
      </c>
    </row>
    <row r="98" spans="1:5">
      <c r="A98" s="68">
        <v>0.244696</v>
      </c>
      <c r="B98" s="68">
        <v>0.41930000000000001</v>
      </c>
      <c r="C98" s="68">
        <v>39.015700000000002</v>
      </c>
      <c r="D98" s="68">
        <v>2</v>
      </c>
      <c r="E98" s="68" t="s">
        <v>449</v>
      </c>
    </row>
    <row r="99" spans="1:5">
      <c r="A99" s="68">
        <v>0.245675</v>
      </c>
      <c r="B99" s="68">
        <v>0.42013899999999998</v>
      </c>
      <c r="C99" s="68">
        <v>39.421599999999998</v>
      </c>
      <c r="D99" s="68">
        <v>2</v>
      </c>
      <c r="E99" s="68" t="s">
        <v>450</v>
      </c>
    </row>
    <row r="100" spans="1:5">
      <c r="A100" s="68">
        <v>0.247026</v>
      </c>
      <c r="B100" s="68">
        <v>0.42039500000000002</v>
      </c>
      <c r="C100" s="68">
        <v>39.826500000000003</v>
      </c>
      <c r="D100" s="68">
        <v>2</v>
      </c>
      <c r="E100" s="68" t="s">
        <v>451</v>
      </c>
    </row>
    <row r="101" spans="1:5">
      <c r="A101" s="68">
        <v>0.24865000000000001</v>
      </c>
      <c r="B101" s="68">
        <v>0.419825</v>
      </c>
      <c r="C101" s="68">
        <v>40.230400000000003</v>
      </c>
      <c r="D101" s="68">
        <v>2</v>
      </c>
      <c r="E101" s="68" t="s">
        <v>452</v>
      </c>
    </row>
    <row r="102" spans="1:5">
      <c r="A102" s="68">
        <v>0.25022899999999998</v>
      </c>
      <c r="B102" s="68">
        <v>0.41923300000000002</v>
      </c>
      <c r="C102" s="68">
        <v>40.6357</v>
      </c>
      <c r="D102" s="68">
        <v>2</v>
      </c>
      <c r="E102" s="68" t="s">
        <v>453</v>
      </c>
    </row>
    <row r="103" spans="1:5">
      <c r="A103" s="68">
        <v>0.251863</v>
      </c>
      <c r="B103" s="68">
        <v>0.41794399999999998</v>
      </c>
      <c r="C103" s="68">
        <v>41.044199999999996</v>
      </c>
      <c r="D103" s="68">
        <v>2</v>
      </c>
      <c r="E103" s="68" t="s">
        <v>454</v>
      </c>
    </row>
    <row r="104" spans="1:5">
      <c r="A104" s="68">
        <v>0.253604</v>
      </c>
      <c r="B104" s="68">
        <v>0.41642899999999999</v>
      </c>
      <c r="C104" s="68">
        <v>41.452100000000002</v>
      </c>
      <c r="D104" s="68">
        <v>2</v>
      </c>
      <c r="E104" s="68" t="s">
        <v>455</v>
      </c>
    </row>
    <row r="105" spans="1:5">
      <c r="A105" s="68">
        <v>0.25530399999999998</v>
      </c>
      <c r="B105" s="68">
        <v>0.41547000000000001</v>
      </c>
      <c r="C105" s="68">
        <v>41.859099999999998</v>
      </c>
      <c r="D105" s="68">
        <v>2</v>
      </c>
      <c r="E105" s="68" t="s">
        <v>456</v>
      </c>
    </row>
    <row r="106" spans="1:5">
      <c r="A106" s="68">
        <v>0.25707400000000002</v>
      </c>
      <c r="B106" s="68">
        <v>0.415711</v>
      </c>
      <c r="C106" s="68">
        <v>42.262</v>
      </c>
      <c r="D106" s="68">
        <v>2</v>
      </c>
      <c r="E106" s="68" t="s">
        <v>457</v>
      </c>
    </row>
    <row r="107" spans="1:5">
      <c r="A107" s="68">
        <v>0.25901000000000002</v>
      </c>
      <c r="B107" s="68">
        <v>0.41720200000000002</v>
      </c>
      <c r="C107" s="68">
        <v>42.668999999999997</v>
      </c>
      <c r="D107" s="68">
        <v>2</v>
      </c>
      <c r="E107" s="68" t="s">
        <v>458</v>
      </c>
    </row>
    <row r="108" spans="1:5">
      <c r="A108" s="68">
        <v>0.260849</v>
      </c>
      <c r="B108" s="68">
        <v>0.419263</v>
      </c>
      <c r="C108" s="68">
        <v>43.076900000000002</v>
      </c>
      <c r="D108" s="68">
        <v>2</v>
      </c>
      <c r="E108" s="68" t="s">
        <v>459</v>
      </c>
    </row>
    <row r="109" spans="1:5">
      <c r="A109" s="68">
        <v>0.26249400000000001</v>
      </c>
      <c r="B109" s="68">
        <v>0.42117399999999999</v>
      </c>
      <c r="C109" s="68">
        <v>43.482700000000001</v>
      </c>
      <c r="D109" s="68">
        <v>2</v>
      </c>
      <c r="E109" s="68" t="s">
        <v>460</v>
      </c>
    </row>
    <row r="110" spans="1:5">
      <c r="A110" s="68">
        <v>0.26394899999999999</v>
      </c>
      <c r="B110" s="68">
        <v>0.42369299999999999</v>
      </c>
      <c r="C110" s="68">
        <v>43.888599999999997</v>
      </c>
      <c r="D110" s="68">
        <v>2</v>
      </c>
      <c r="E110" s="68" t="s">
        <v>461</v>
      </c>
    </row>
    <row r="111" spans="1:5">
      <c r="A111" s="68">
        <v>0.26518700000000001</v>
      </c>
      <c r="B111" s="68">
        <v>0.42668400000000001</v>
      </c>
      <c r="C111" s="68">
        <v>44.295699999999997</v>
      </c>
      <c r="D111" s="68">
        <v>2</v>
      </c>
      <c r="E111" s="68" t="s">
        <v>462</v>
      </c>
    </row>
    <row r="112" spans="1:5">
      <c r="A112" s="68">
        <v>0.26615699999999998</v>
      </c>
      <c r="B112" s="68">
        <v>0.42995499999999998</v>
      </c>
      <c r="C112" s="68">
        <v>44.699800000000003</v>
      </c>
      <c r="D112" s="68">
        <v>2</v>
      </c>
      <c r="E112" s="68" t="s">
        <v>463</v>
      </c>
    </row>
    <row r="113" spans="1:5">
      <c r="A113" s="68">
        <v>0.26688800000000001</v>
      </c>
      <c r="B113" s="68">
        <v>0.43381399999999998</v>
      </c>
      <c r="C113" s="68">
        <v>45.1083</v>
      </c>
      <c r="D113" s="68">
        <v>2</v>
      </c>
      <c r="E113" s="68" t="s">
        <v>464</v>
      </c>
    </row>
    <row r="114" spans="1:5">
      <c r="A114" s="68">
        <v>0.267486</v>
      </c>
      <c r="B114" s="68">
        <v>0.43714700000000001</v>
      </c>
      <c r="C114" s="68">
        <v>45.517299999999999</v>
      </c>
      <c r="D114" s="68">
        <v>2</v>
      </c>
      <c r="E114" s="68" t="s">
        <v>465</v>
      </c>
    </row>
    <row r="115" spans="1:5">
      <c r="A115" s="68">
        <v>0.26807199999999998</v>
      </c>
      <c r="B115" s="68">
        <v>0.439938</v>
      </c>
      <c r="C115" s="68">
        <v>45.920499999999997</v>
      </c>
      <c r="D115" s="68">
        <v>2</v>
      </c>
      <c r="E115" s="68" t="s">
        <v>466</v>
      </c>
    </row>
    <row r="116" spans="1:5">
      <c r="A116" s="68">
        <v>0.268627</v>
      </c>
      <c r="B116" s="68">
        <v>0.44222400000000001</v>
      </c>
      <c r="C116" s="68">
        <v>46.326300000000003</v>
      </c>
      <c r="D116" s="68">
        <v>2</v>
      </c>
      <c r="E116" s="68" t="s">
        <v>467</v>
      </c>
    </row>
    <row r="117" spans="1:5">
      <c r="A117" s="68">
        <v>0.268793</v>
      </c>
      <c r="B117" s="68">
        <v>0.44352999999999998</v>
      </c>
      <c r="C117" s="68">
        <v>46.7346</v>
      </c>
      <c r="D117" s="68">
        <v>2</v>
      </c>
      <c r="E117" s="68" t="s">
        <v>468</v>
      </c>
    </row>
    <row r="118" spans="1:5">
      <c r="A118" s="68">
        <v>0.26842100000000002</v>
      </c>
      <c r="B118" s="68">
        <v>0.44461600000000001</v>
      </c>
      <c r="C118" s="68">
        <v>47.136099999999999</v>
      </c>
      <c r="D118" s="68">
        <v>2</v>
      </c>
      <c r="E118" s="68" t="s">
        <v>469</v>
      </c>
    </row>
    <row r="119" spans="1:5">
      <c r="A119" s="68">
        <v>0.26771</v>
      </c>
      <c r="B119" s="68">
        <v>0.44595099999999999</v>
      </c>
      <c r="C119" s="68">
        <v>47.546799999999998</v>
      </c>
      <c r="D119" s="68">
        <v>2</v>
      </c>
      <c r="E119" s="68" t="s">
        <v>470</v>
      </c>
    </row>
    <row r="120" spans="1:5">
      <c r="A120" s="68">
        <v>0.26738099999999998</v>
      </c>
      <c r="B120" s="68">
        <v>0.44703700000000002</v>
      </c>
      <c r="C120" s="68">
        <v>47.951700000000002</v>
      </c>
      <c r="D120" s="68">
        <v>2</v>
      </c>
      <c r="E120" s="68" t="s">
        <v>471</v>
      </c>
    </row>
    <row r="121" spans="1:5">
      <c r="A121" s="68">
        <v>0.26768700000000001</v>
      </c>
      <c r="B121" s="68">
        <v>0.44789000000000001</v>
      </c>
      <c r="C121" s="68">
        <v>48.354700000000001</v>
      </c>
      <c r="D121" s="68">
        <v>2</v>
      </c>
      <c r="E121" s="68" t="s">
        <v>472</v>
      </c>
    </row>
    <row r="122" spans="1:5">
      <c r="A122" s="68">
        <v>0.26821099999999998</v>
      </c>
      <c r="B122" s="68">
        <v>0.45000400000000002</v>
      </c>
      <c r="C122" s="68">
        <v>48.764099999999999</v>
      </c>
      <c r="D122" s="68">
        <v>2</v>
      </c>
      <c r="E122" s="68" t="s">
        <v>473</v>
      </c>
    </row>
    <row r="123" spans="1:5">
      <c r="A123" s="68">
        <v>0.26910200000000001</v>
      </c>
      <c r="B123" s="68">
        <v>0.45232699999999998</v>
      </c>
      <c r="C123" s="68">
        <v>49.170699999999997</v>
      </c>
      <c r="D123" s="68">
        <v>2</v>
      </c>
      <c r="E123" s="68" t="s">
        <v>474</v>
      </c>
    </row>
    <row r="124" spans="1:5">
      <c r="A124" s="68">
        <v>0.27020100000000002</v>
      </c>
      <c r="B124" s="68">
        <v>0.45397199999999999</v>
      </c>
      <c r="C124" s="68">
        <v>49.5745</v>
      </c>
      <c r="D124" s="68">
        <v>2</v>
      </c>
      <c r="E124" s="68" t="s">
        <v>475</v>
      </c>
    </row>
    <row r="125" spans="1:5">
      <c r="A125" s="68">
        <v>0.271476</v>
      </c>
      <c r="B125" s="68">
        <v>0.45488600000000001</v>
      </c>
      <c r="C125" s="68">
        <v>49.979500000000002</v>
      </c>
      <c r="D125" s="68">
        <v>2</v>
      </c>
      <c r="E125" s="68" t="s">
        <v>476</v>
      </c>
    </row>
    <row r="126" spans="1:5">
      <c r="A126" s="68">
        <v>0.27133499999999999</v>
      </c>
      <c r="B126" s="68">
        <v>0.45651999999999998</v>
      </c>
      <c r="C126" s="68">
        <v>50.385399999999997</v>
      </c>
      <c r="D126" s="68">
        <v>2</v>
      </c>
      <c r="E126" s="68" t="s">
        <v>477</v>
      </c>
    </row>
    <row r="127" spans="1:5">
      <c r="A127" s="68">
        <v>0.27119900000000002</v>
      </c>
      <c r="B127" s="68">
        <v>0.458316</v>
      </c>
      <c r="C127" s="68">
        <v>50.792099999999998</v>
      </c>
      <c r="D127" s="68">
        <v>2</v>
      </c>
      <c r="E127" s="68" t="s">
        <v>478</v>
      </c>
    </row>
    <row r="128" spans="1:5">
      <c r="A128" s="68">
        <v>0.27101500000000001</v>
      </c>
      <c r="B128" s="68">
        <v>0.46061999999999997</v>
      </c>
      <c r="C128" s="68">
        <v>51.198999999999998</v>
      </c>
      <c r="D128" s="68">
        <v>2</v>
      </c>
      <c r="E128" s="68" t="s">
        <v>479</v>
      </c>
    </row>
    <row r="129" spans="1:5">
      <c r="A129" s="68">
        <v>0.27081699999999997</v>
      </c>
      <c r="B129" s="68">
        <v>0.46319100000000002</v>
      </c>
      <c r="C129" s="68">
        <v>51.604999999999997</v>
      </c>
      <c r="D129" s="68">
        <v>2</v>
      </c>
      <c r="E129" s="68" t="s">
        <v>480</v>
      </c>
    </row>
    <row r="130" spans="1:5">
      <c r="A130" s="68">
        <v>0.27070699999999998</v>
      </c>
      <c r="B130" s="68">
        <v>0.46539599999999998</v>
      </c>
      <c r="C130" s="68">
        <v>52.0124</v>
      </c>
      <c r="D130" s="68">
        <v>2</v>
      </c>
      <c r="E130" s="68" t="s">
        <v>481</v>
      </c>
    </row>
    <row r="131" spans="1:5">
      <c r="A131" s="68">
        <v>0.27066499999999999</v>
      </c>
      <c r="B131" s="68">
        <v>0.46726499999999999</v>
      </c>
      <c r="C131" s="68">
        <v>52.418799999999997</v>
      </c>
      <c r="D131" s="68">
        <v>2</v>
      </c>
      <c r="E131" s="68" t="s">
        <v>482</v>
      </c>
    </row>
    <row r="132" spans="1:5">
      <c r="A132" s="68">
        <v>0.27063999999999999</v>
      </c>
      <c r="B132" s="68">
        <v>0.46918799999999999</v>
      </c>
      <c r="C132" s="68">
        <v>52.826700000000002</v>
      </c>
      <c r="D132" s="68">
        <v>2</v>
      </c>
      <c r="E132" s="68" t="s">
        <v>483</v>
      </c>
    </row>
    <row r="133" spans="1:5">
      <c r="A133" s="68">
        <v>0.27067999999999998</v>
      </c>
      <c r="B133" s="68">
        <v>0.47103200000000001</v>
      </c>
      <c r="C133" s="68">
        <v>53.230600000000003</v>
      </c>
      <c r="D133" s="68">
        <v>2</v>
      </c>
      <c r="E133" s="68" t="s">
        <v>484</v>
      </c>
    </row>
    <row r="134" spans="1:5">
      <c r="A134" s="68">
        <v>0.27080799999999999</v>
      </c>
      <c r="B134" s="68">
        <v>0.47256300000000001</v>
      </c>
      <c r="C134" s="68">
        <v>53.635599999999997</v>
      </c>
      <c r="D134" s="68">
        <v>2</v>
      </c>
      <c r="E134" s="68" t="s">
        <v>485</v>
      </c>
    </row>
    <row r="135" spans="1:5">
      <c r="A135" s="68">
        <v>0.27109899999999998</v>
      </c>
      <c r="B135" s="68">
        <v>0.47339399999999998</v>
      </c>
      <c r="C135" s="68">
        <v>54.043900000000001</v>
      </c>
      <c r="D135" s="68">
        <v>2</v>
      </c>
      <c r="E135" s="68" t="s">
        <v>486</v>
      </c>
    </row>
    <row r="136" spans="1:5">
      <c r="A136" s="68">
        <v>0.27158300000000002</v>
      </c>
      <c r="B136" s="68">
        <v>0.47352899999999998</v>
      </c>
      <c r="C136" s="68">
        <v>54.448399999999999</v>
      </c>
      <c r="D136" s="68">
        <v>2</v>
      </c>
      <c r="E136" s="68" t="s">
        <v>487</v>
      </c>
    </row>
    <row r="137" spans="1:5">
      <c r="A137" s="68">
        <v>0.272262</v>
      </c>
      <c r="B137" s="68">
        <v>0.47331699999999999</v>
      </c>
      <c r="C137" s="68">
        <v>54.8583</v>
      </c>
      <c r="D137" s="68">
        <v>2</v>
      </c>
      <c r="E137" s="68" t="s">
        <v>488</v>
      </c>
    </row>
    <row r="138" spans="1:5">
      <c r="A138" s="68">
        <v>0.27308500000000002</v>
      </c>
      <c r="B138" s="68">
        <v>0.473167</v>
      </c>
      <c r="C138" s="68">
        <v>55.2622</v>
      </c>
      <c r="D138" s="68">
        <v>2</v>
      </c>
      <c r="E138" s="68" t="s">
        <v>489</v>
      </c>
    </row>
    <row r="139" spans="1:5">
      <c r="A139" s="68">
        <v>0.27404299999999998</v>
      </c>
      <c r="B139" s="68">
        <v>0.47313300000000003</v>
      </c>
      <c r="C139" s="68">
        <v>55.668199999999999</v>
      </c>
      <c r="D139" s="68">
        <v>2</v>
      </c>
      <c r="E139" s="68" t="s">
        <v>490</v>
      </c>
    </row>
    <row r="140" spans="1:5">
      <c r="A140" s="68">
        <v>0.27515800000000001</v>
      </c>
      <c r="B140" s="68">
        <v>0.47327999999999998</v>
      </c>
      <c r="C140" s="68">
        <v>56.076300000000003</v>
      </c>
      <c r="D140" s="68">
        <v>2</v>
      </c>
      <c r="E140" s="68" t="s">
        <v>491</v>
      </c>
    </row>
    <row r="141" spans="1:5">
      <c r="A141" s="68">
        <v>0.27645999999999998</v>
      </c>
      <c r="B141" s="68">
        <v>0.47353800000000001</v>
      </c>
      <c r="C141" s="68">
        <v>56.482999999999997</v>
      </c>
      <c r="D141" s="68">
        <v>2</v>
      </c>
      <c r="E141" s="68" t="s">
        <v>492</v>
      </c>
    </row>
    <row r="142" spans="1:5">
      <c r="A142" s="68">
        <v>0.27843099999999998</v>
      </c>
      <c r="B142" s="68">
        <v>0.47474300000000003</v>
      </c>
      <c r="C142" s="68">
        <v>56.8889</v>
      </c>
      <c r="D142" s="68">
        <v>2</v>
      </c>
      <c r="E142" s="68" t="s">
        <v>493</v>
      </c>
    </row>
    <row r="143" spans="1:5">
      <c r="A143" s="68">
        <v>0.28184900000000002</v>
      </c>
      <c r="B143" s="68">
        <v>0.47639799999999999</v>
      </c>
      <c r="C143" s="68">
        <v>57.2988</v>
      </c>
      <c r="D143" s="68">
        <v>2</v>
      </c>
      <c r="E143" s="68" t="s">
        <v>494</v>
      </c>
    </row>
    <row r="144" spans="1:5">
      <c r="A144" s="68">
        <v>0.28623100000000001</v>
      </c>
      <c r="B144" s="68">
        <v>0.476906</v>
      </c>
      <c r="C144" s="68">
        <v>57.700699999999998</v>
      </c>
      <c r="D144" s="68">
        <v>2</v>
      </c>
      <c r="E144" s="68" t="s">
        <v>495</v>
      </c>
    </row>
    <row r="145" spans="1:5">
      <c r="A145" s="68">
        <v>0.29047499999999998</v>
      </c>
      <c r="B145" s="68">
        <v>0.47763699999999998</v>
      </c>
      <c r="C145" s="68">
        <v>58.105699999999999</v>
      </c>
      <c r="D145" s="68">
        <v>2</v>
      </c>
      <c r="E145" s="68" t="s">
        <v>496</v>
      </c>
    </row>
    <row r="146" spans="1:5">
      <c r="A146" s="68">
        <v>0.29353299999999999</v>
      </c>
      <c r="B146" s="68">
        <v>0.47897200000000001</v>
      </c>
      <c r="C146" s="68">
        <v>58.511600000000001</v>
      </c>
      <c r="D146" s="68">
        <v>2</v>
      </c>
      <c r="E146" s="68" t="s">
        <v>497</v>
      </c>
    </row>
    <row r="147" spans="1:5">
      <c r="A147" s="68">
        <v>0.29695700000000003</v>
      </c>
      <c r="B147" s="68">
        <v>0.47830600000000001</v>
      </c>
      <c r="C147" s="68">
        <v>58.921500000000002</v>
      </c>
      <c r="D147" s="68">
        <v>2</v>
      </c>
      <c r="E147" s="68" t="s">
        <v>498</v>
      </c>
    </row>
    <row r="148" spans="1:5">
      <c r="A148" s="68">
        <v>0.29939500000000002</v>
      </c>
      <c r="B148" s="68">
        <v>0.47267199999999998</v>
      </c>
      <c r="C148" s="68">
        <v>59.327300000000001</v>
      </c>
      <c r="D148" s="68">
        <v>2</v>
      </c>
      <c r="E148" s="68" t="s">
        <v>499</v>
      </c>
    </row>
    <row r="149" spans="1:5">
      <c r="A149" s="68">
        <v>0.30165500000000001</v>
      </c>
      <c r="B149" s="68">
        <v>0.46602300000000002</v>
      </c>
      <c r="C149" s="68">
        <v>59.733400000000003</v>
      </c>
      <c r="D149" s="68">
        <v>2</v>
      </c>
      <c r="E149" s="68" t="s">
        <v>500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350</v>
      </c>
      <c r="B1" s="66" t="s">
        <v>501</v>
      </c>
      <c r="C1" s="66" t="s">
        <v>503</v>
      </c>
      <c r="D1" s="66" t="s">
        <v>504</v>
      </c>
      <c r="E1" s="66" t="s">
        <v>505</v>
      </c>
      <c r="F1" s="66" t="s">
        <v>293</v>
      </c>
      <c r="G1" s="66" t="s">
        <v>294</v>
      </c>
      <c r="H1" s="66" t="s">
        <v>506</v>
      </c>
      <c r="I1" s="66" t="s">
        <v>507</v>
      </c>
      <c r="J1" s="66" t="s">
        <v>508</v>
      </c>
      <c r="K1" s="66" t="s">
        <v>509</v>
      </c>
      <c r="L1" s="66" t="s">
        <v>510</v>
      </c>
      <c r="M1" s="66" t="s">
        <v>511</v>
      </c>
      <c r="N1" s="66"/>
    </row>
    <row r="2" spans="1:14">
      <c r="A2" s="75">
        <v>43607.474803240744</v>
      </c>
      <c r="B2" s="66" t="s">
        <v>502</v>
      </c>
      <c r="C2" s="66"/>
      <c r="D2" s="66"/>
      <c r="E2" s="66">
        <v>4.9234099999999996</v>
      </c>
      <c r="F2" s="66">
        <v>1.31898</v>
      </c>
      <c r="G2" s="66">
        <v>0.57578600000000002</v>
      </c>
      <c r="H2" s="66">
        <v>0</v>
      </c>
      <c r="I2" s="66">
        <v>90877</v>
      </c>
      <c r="J2" s="66">
        <v>60</v>
      </c>
      <c r="K2" s="66">
        <v>60</v>
      </c>
      <c r="L2" s="66">
        <v>0</v>
      </c>
      <c r="M2" s="66" t="s">
        <v>512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2019-05-22T03:25:20Z</cp:lastPrinted>
  <dcterms:created xsi:type="dcterms:W3CDTF">2010-10-29T12:53:05Z</dcterms:created>
  <dcterms:modified xsi:type="dcterms:W3CDTF">2019-05-22T03:25:34Z</dcterms:modified>
</cp:coreProperties>
</file>