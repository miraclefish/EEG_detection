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<sst xmlns="http://schemas.openxmlformats.org/spreadsheetml/2006/main" count="701" uniqueCount="576">
  <si>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</si>
  <si>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</si>
  <si>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</si>
  <si>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</si>
  <si>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</si>
  <si>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</si>
  <si>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</si>
  <si>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</si>
  <si>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</si>
  <si>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</si>
  <si>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</si>
  <si>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</si>
  <si>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</si>
  <si>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</si>
  <si>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</si>
  <si>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</si>
  <si>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</si>
  <si>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</si>
  <si>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</si>
  <si>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</si>
  <si>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</si>
  <si>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</si>
  <si>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</si>
  <si>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</si>
  <si>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</si>
  <si>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</si>
  <si>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</si>
  <si>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</si>
  <si>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</si>
  <si>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</si>
  <si>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</si>
  <si>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</si>
  <si>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</si>
  <si>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</si>
  <si>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</si>
  <si>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</si>
  <si>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</si>
  <si>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</si>
  <si>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</si>
  <si>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</si>
  <si>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</si>
  <si>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</si>
  <si>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</si>
  <si>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</si>
  <si>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</si>
  <si>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</si>
  <si>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</si>
  <si>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</si>
  <si>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</si>
  <si>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</si>
  <si>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</si>
  <si>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</si>
  <si>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</si>
  <si>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</si>
  <si>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</si>
  <si>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</si>
  <si>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</si>
  <si>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</si>
  <si>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</si>
  <si>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</si>
  <si>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</si>
  <si>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</si>
  <si>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</si>
  <si>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</si>
  <si>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</si>
  <si>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</si>
  <si>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</si>
  <si>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</si>
  <si>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</si>
  <si>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</si>
  <si>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</si>
  <si>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</si>
  <si>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</si>
  <si>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</si>
  <si>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</si>
  <si>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</si>
  <si>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</si>
  <si>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</si>
  <si>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</si>
  <si>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</si>
  <si>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</si>
  <si>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</si>
  <si>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</si>
  <si>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</si>
  <si>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</si>
  <si>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</si>
  <si>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</si>
  <si>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</si>
  <si>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</si>
  <si>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</si>
  <si>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</si>
  <si>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</si>
  <si>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</si>
  <si>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</si>
  <si>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</si>
  <si>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</si>
  <si>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</si>
  <si>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</si>
  <si>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</si>
  <si>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</si>
  <si>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</si>
  <si>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</si>
  <si>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</si>
  <si>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</si>
  <si>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</si>
  <si>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</si>
  <si>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</si>
  <si>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</si>
  <si>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</si>
  <si>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</si>
  <si>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</si>
  <si>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</si>
  <si>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</si>
  <si>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</si>
  <si>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</si>
  <si>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</si>
  <si>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</si>
  <si>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</si>
  <si>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</si>
  <si>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</si>
  <si>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</si>
  <si>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</si>
  <si>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</si>
  <si>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</si>
  <si>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</si>
  <si>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</si>
  <si>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</si>
  <si>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</si>
  <si>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</si>
  <si>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</si>
  <si>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</si>
  <si>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</si>
  <si>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</si>
  <si>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</si>
  <si>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</si>
  <si>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</si>
  <si>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</si>
  <si>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</si>
  <si>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</si>
  <si>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</si>
  <si>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</si>
  <si>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</si>
  <si>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</si>
  <si>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</si>
  <si>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</si>
  <si>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</si>
  <si>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</si>
  <si>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</si>
  <si>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</si>
  <si>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</si>
  <si>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</si>
  <si>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</si>
  <si>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</si>
  <si>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</si>
  <si>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</si>
  <si>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</si>
  <si>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</si>
  <si>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</si>
  <si>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</si>
  <si>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</si>
  <si>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</si>
  <si>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</si>
  <si>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</si>
  <si>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</si>
  <si>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</si>
  <si>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</si>
  <si>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</si>
  <si>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</si>
  <si>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</si>
  <si>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</si>
  <si>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</si>
  <si>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</si>
  <si>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</si>
  <si>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</si>
  <si>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</si>
  <si>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</si>
  <si>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</si>
  <si>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</si>
  <si>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</si>
  <si>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</si>
  <si>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</si>
  <si>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</si>
  <si>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</si>
  <si>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</si>
  <si>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</si>
  <si>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</si>
  <si>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</si>
  <si>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</si>
  <si>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</si>
  <si>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</si>
  <si>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</si>
  <si>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</si>
  <si>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</si>
  <si>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</si>
  <si>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</si>
  <si>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</si>
  <si>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</si>
  <si>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</si>
  <si>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</si>
  <si>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</si>
  <si>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</si>
  <si>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</si>
  <si>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</si>
  <si>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</si>
  <si>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</si>
  <si>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</si>
  <si>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</si>
  <si>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</si>
  <si>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</si>
  <si>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</si>
  <si>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</si>
  <si>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</si>
  <si>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</si>
  <si>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</si>
  <si>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</si>
  <si>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</si>
  <si>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</si>
  <si>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</si>
  <si>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</si>
  <si>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</si>
  <si>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</si>
  <si>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</si>
  <si>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</si>
  <si>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</si>
  <si>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</si>
  <si>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</si>
  <si>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</si>
  <si>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</si>
  <si>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</si>
  <si>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</si>
  <si>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</si>
  <si>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</si>
  <si>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</si>
  <si>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</si>
  <si>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</si>
  <si>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</si>
  <si>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</si>
  <si>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</si>
  <si>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</si>
  <si>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</si>
  <si>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</si>
  <si>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</si>
  <si>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</si>
  <si>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</si>
  <si>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</si>
  <si>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</si>
  <si>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</si>
  <si>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</si>
  <si>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</si>
  <si>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</si>
  <si>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</si>
  <si>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</si>
  <si>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</si>
  <si>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</si>
  <si>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</si>
  <si>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</si>
  <si>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</si>
  <si>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</si>
  <si>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</si>
  <si>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</si>
  <si>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</si>
  <si>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</si>
  <si>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</si>
  <si>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</si>
  <si>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</si>
  <si>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</si>
  <si>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</si>
  <si>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</si>
  <si>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</si>
  <si>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</si>
  <si>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</si>
  <si>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</si>
  <si>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</si>
  <si>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</si>
  <si>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</si>
  <si>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</si>
  <si>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</si>
  <si>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</si>
  <si>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</si>
  <si>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</si>
  <si>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</si>
  <si>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</si>
  <si>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</si>
  <si>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</si>
  <si>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</si>
  <si>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</si>
  <si>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</si>
  <si>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</si>
  <si>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</si>
  <si>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</si>
  <si>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</si>
  <si>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</si>
  <si>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</si>
  <si>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</si>
  <si>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</si>
  <si>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</si>
  <si>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</si>
  <si>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</si>
  <si>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</si>
  <si>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</si>
  <si>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</si>
  <si>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</si>
  <si>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</si>
  <si>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</si>
  <si>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</si>
  <si>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</si>
  <si>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</si>
  <si>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</si>
  <si>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</si>
  <si>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</si>
  <si>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</si>
  <si>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</si>
  <si>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</si>
  <si>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</si>
  <si>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</si>
  <si>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</si>
  <si>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</si>
  <si>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</si>
  <si>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</si>
  <si>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</si>
  <si>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</si>
  <si>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</si>
  <si>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</si>
  <si>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</si>
  <si>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</si>
  <si>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</si>
  <si>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</si>
  <si>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</si>
  <si>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</si>
  <si>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</si>
  <si>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</si>
  <si>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</si>
  <si>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</si>
  <si>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</si>
  <si>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</si>
  <si>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</si>
  <si>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</si>
  <si>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</si>
  <si>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</si>
  <si>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</si>
  <si>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</si>
  <si>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</si>
  <si>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</si>
  <si>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</si>
  <si>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</si>
  <si>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</si>
  <si>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</si>
  <si>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</si>
  <si>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</si>
  <si>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</si>
  <si>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</si>
  <si>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</si>
  <si>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</si>
  <si>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</si>
  <si>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</si>
  <si>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</si>
  <si>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</si>
  <si>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</si>
  <si>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</si>
  <si>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</si>
  <si>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</si>
  <si>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</si>
  <si>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</si>
  <si>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</si>
  <si>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</si>
  <si>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</si>
  <si>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</si>
  <si>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</si>
  <si>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</si>
  <si>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</si>
  <si>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</si>
  <si>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</si>
  <si>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</si>
  <si>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</si>
  <si>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</si>
  <si>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</si>
  <si>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</si>
  <si>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</si>
  <si>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</si>
  <si>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</si>
  <si>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</si>
  <si>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</si>
  <si>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</si>
  <si>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</si>
  <si>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</si>
  <si>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</si>
  <si>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</si>
  <si>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</si>
  <si>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</si>
  <si>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</si>
  <si>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</si>
  <si>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</si>
  <si>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</si>
  <si>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</si>
  <si>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</si>
  <si>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</si>
  <si>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</si>
  <si>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</si>
  <si>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</si>
  <si>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</si>
  <si>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</si>
  <si>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</si>
  <si>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</si>
  <si>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</si>
  <si>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</si>
  <si>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</si>
  <si>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</si>
  <si>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</si>
  <si>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</si>
  <si>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</si>
  <si>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</si>
  <si>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</si>
  <si>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</si>
  <si>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[0.380590]</t>
  </si>
  <si>
    <t>1 [0.788492]</t>
  </si>
  <si>
    <t>1 [1.195373]</t>
  </si>
  <si>
    <t>1 [1.600396]</t>
  </si>
  <si>
    <t>1 [2.005562]</t>
  </si>
  <si>
    <t>1 [2.407083]</t>
  </si>
  <si>
    <t>1 [2.822090]</t>
  </si>
  <si>
    <t>1 [3.221213]</t>
  </si>
  <si>
    <t>1 [3.627963]</t>
  </si>
  <si>
    <t>1 [4.037060]</t>
  </si>
  <si>
    <t>1 [4.444684]</t>
  </si>
  <si>
    <t>1 [4.852650]</t>
  </si>
  <si>
    <t>1 [5.256824]</t>
  </si>
  <si>
    <t>1 [5.663448]</t>
  </si>
  <si>
    <t>1 [6.067396]</t>
  </si>
  <si>
    <t>1 [6.472516]</t>
  </si>
  <si>
    <t>1 [6.878458]</t>
  </si>
  <si>
    <t>1 [7.288112]</t>
  </si>
  <si>
    <t>1 [7.691040]</t>
  </si>
  <si>
    <t>1 [8.103883]</t>
  </si>
  <si>
    <t>1 [8.507971]</t>
  </si>
  <si>
    <t>1 [8.913741]</t>
  </si>
  <si>
    <t>1 [9.314638]</t>
  </si>
  <si>
    <t>1 [9.724604]</t>
  </si>
  <si>
    <t>1 [10.132547]</t>
  </si>
  <si>
    <t>1 [10.539512]</t>
  </si>
  <si>
    <t>1 [10.942296]</t>
  </si>
  <si>
    <t>1 [11.349482]</t>
  </si>
  <si>
    <t>1 [11.755177]</t>
  </si>
  <si>
    <t>1 [12.161003]</t>
  </si>
  <si>
    <t>1 [12.569095]</t>
  </si>
  <si>
    <t>1 [12.973137]</t>
  </si>
  <si>
    <t>1 [13.381982]</t>
  </si>
  <si>
    <t>1 [13.786733]</t>
  </si>
  <si>
    <t>1 [14.193656]</t>
  </si>
  <si>
    <t>1 [14.602544]</t>
  </si>
  <si>
    <t>1 [15.004489]</t>
  </si>
  <si>
    <t>1 [15.413418]</t>
  </si>
  <si>
    <t>1 [15.817291]</t>
  </si>
  <si>
    <t>1 [16.223559]</t>
  </si>
  <si>
    <t>1 [16.627111]</t>
  </si>
  <si>
    <t>1 [17.034703]</t>
  </si>
  <si>
    <t>1 [17.445190]</t>
  </si>
  <si>
    <t>1 [17.847892]</t>
  </si>
  <si>
    <t>1 [18.252809]</t>
  </si>
  <si>
    <t>1 [18.662916]</t>
  </si>
  <si>
    <t>1 [19.066607]</t>
  </si>
  <si>
    <t>1 [19.476494]</t>
  </si>
  <si>
    <t>1 [19.882452]</t>
  </si>
  <si>
    <t>1 [20.283433]</t>
  </si>
  <si>
    <t>1 [20.688130]</t>
  </si>
  <si>
    <t>1 [21.100886]</t>
  </si>
  <si>
    <t>1 [21.507184]</t>
  </si>
  <si>
    <t>1 [21.911177]</t>
  </si>
  <si>
    <t>1 [22.313698]</t>
  </si>
  <si>
    <t>1 [22.725881]</t>
  </si>
  <si>
    <t>1 [23.126772]</t>
  </si>
  <si>
    <t>1 [23.534668]</t>
  </si>
  <si>
    <t>1 [23.941005]</t>
  </si>
  <si>
    <t>1 [24.348625]</t>
  </si>
  <si>
    <t>1 [24.755428]</t>
  </si>
  <si>
    <t>1 [25.162293]</t>
  </si>
  <si>
    <t>1 [25.565246]</t>
  </si>
  <si>
    <t>1 [25.974092]</t>
  </si>
  <si>
    <t>1 [26.378231]</t>
  </si>
  <si>
    <t>1 [26.784585]</t>
  </si>
  <si>
    <t>1 [27.195932]</t>
  </si>
  <si>
    <t>1 [27.595840]</t>
  </si>
  <si>
    <t>1 [28.007548]</t>
  </si>
  <si>
    <t>1 [28.410632]</t>
  </si>
  <si>
    <t>1 [28.813572]</t>
  </si>
  <si>
    <t>1 [29.222562]</t>
  </si>
  <si>
    <t>1 [29.627344]</t>
  </si>
  <si>
    <t>2 [30.033051]</t>
  </si>
  <si>
    <t>2 [30.614895]</t>
  </si>
  <si>
    <t>2 [30.992781]</t>
  </si>
  <si>
    <t>2 [31.364801]</t>
  </si>
  <si>
    <t>2 [31.741776]</t>
  </si>
  <si>
    <t>2 [32.126882]</t>
  </si>
  <si>
    <t>2 [32.536607]</t>
  </si>
  <si>
    <t>2 [32.939759]</t>
  </si>
  <si>
    <t>2 [33.347402]</t>
  </si>
  <si>
    <t>2 [33.755431]</t>
  </si>
  <si>
    <t>2 [34.162270]</t>
  </si>
  <si>
    <t>2 [34.571177]</t>
  </si>
  <si>
    <t>2 [34.971153]</t>
  </si>
  <si>
    <t>2 [35.379186]</t>
  </si>
  <si>
    <t>2 [35.787995]</t>
  </si>
  <si>
    <t>2 [36.191856]</t>
  </si>
  <si>
    <t>2 [36.599073]</t>
  </si>
  <si>
    <t>2 [37.003708]</t>
  </si>
  <si>
    <t>2 [37.412589]</t>
  </si>
  <si>
    <t>2 [37.818521]</t>
  </si>
  <si>
    <t>2 [38.223663]</t>
  </si>
  <si>
    <t>2 [38.629542]</t>
  </si>
  <si>
    <t>2 [39.036250]</t>
  </si>
  <si>
    <t>2 [39.444222]</t>
  </si>
  <si>
    <t>2 [39.848123]</t>
  </si>
  <si>
    <t>2 [40.253989]</t>
  </si>
  <si>
    <t>2 [40.661210]</t>
  </si>
  <si>
    <t>2 [41.071905]</t>
  </si>
  <si>
    <t>2 [41.471848]</t>
  </si>
  <si>
    <t>2 [41.881622]</t>
  </si>
  <si>
    <t>2 [42.289715]</t>
  </si>
  <si>
    <t>2 [42.695464]</t>
  </si>
  <si>
    <t>2 [43.100439]</t>
  </si>
  <si>
    <t>2 [43.504311]</t>
  </si>
  <si>
    <t>2 [43.911375]</t>
  </si>
  <si>
    <t>2 [44.315181]</t>
  </si>
  <si>
    <t>2 [44.725275]</t>
  </si>
  <si>
    <t>2 [45.129930]</t>
  </si>
  <si>
    <t>2 [45.535898]</t>
  </si>
  <si>
    <t>2 [45.940992]</t>
  </si>
  <si>
    <t>2 [46.349687]</t>
  </si>
  <si>
    <t>2 [46.757897]</t>
  </si>
  <si>
    <t>2 [47.158571]</t>
  </si>
  <si>
    <t>2 [47.566389]</t>
  </si>
  <si>
    <t>2 [47.974055]</t>
  </si>
  <si>
    <t>2 [48.380248]</t>
  </si>
  <si>
    <t>2 [48.788295]</t>
  </si>
  <si>
    <t>2 [49.195222]</t>
  </si>
  <si>
    <t>2 [49.597018]</t>
  </si>
  <si>
    <t>2 [50.008025]</t>
  </si>
  <si>
    <t>2 [50.412815]</t>
  </si>
  <si>
    <t>2 [50.813835]</t>
  </si>
  <si>
    <t>2 [51.223078]</t>
  </si>
  <si>
    <t>2 [51.627628]</t>
  </si>
  <si>
    <t>2 [52.037486]</t>
  </si>
  <si>
    <t>2 [52.444398]</t>
  </si>
  <si>
    <t>2 [52.849320]</t>
  </si>
  <si>
    <t>2 [53.254346]</t>
  </si>
  <si>
    <t>2 [53.661148]</t>
  </si>
  <si>
    <t>2 [54.070092]</t>
  </si>
  <si>
    <t>2 [54.475060]</t>
  </si>
  <si>
    <t>2 [54.880886]</t>
  </si>
  <si>
    <t>2 [55.285218]</t>
  </si>
  <si>
    <t>2 [55.690186]</t>
  </si>
  <si>
    <t>2 [56.097607]</t>
  </si>
  <si>
    <t>2 [56.505642]</t>
  </si>
  <si>
    <t>2 [56.910412]</t>
  </si>
  <si>
    <t>2 [57.315824]</t>
  </si>
  <si>
    <t>2 [57.728353]</t>
  </si>
  <si>
    <t>2 [58.129253]</t>
  </si>
  <si>
    <t>2 [58.536299]</t>
  </si>
  <si>
    <t>2 [58.943076]</t>
  </si>
  <si>
    <t>2 [59.346525]</t>
  </si>
  <si>
    <t>2 [59.758703]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</si>
  <si>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</si>
  <si>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</si>
  <si>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</si>
  <si>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</si>
  <si>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</si>
  <si>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</si>
  <si>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</si>
  <si>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</si>
  <si>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</si>
  <si>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</si>
  <si>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</si>
  <si>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</si>
  <si>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</si>
  <si>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</si>
  <si>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</si>
  <si>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祁爱仙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</si>
</sst>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51.244500000000002</c:v>
                </c:pt>
                <c:pt idx="1">
                  <c:v>38.365400000000001</c:v>
                </c:pt>
                <c:pt idx="2">
                  <c:v>29.0032</c:v>
                </c:pt>
                <c:pt idx="3">
                  <c:v>39.969700000000003</c:v>
                </c:pt>
                <c:pt idx="4">
                  <c:v>57.1021</c:v>
                </c:pt>
                <c:pt idx="5">
                  <c:v>66.023300000000006</c:v>
                </c:pt>
                <c:pt idx="6">
                  <c:v>18.3078</c:v>
                </c:pt>
                <c:pt idx="7">
                  <c:v>60.520899999999997</c:v>
                </c:pt>
                <c:pt idx="8">
                  <c:v>23.056100000000001</c:v>
                </c:pt>
                <c:pt idx="9">
                  <c:v>29.445900000000002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0.43380527897763649</c:v>
                </c:pt>
                <c:pt idx="1">
                  <c:v>0.34064203596289822</c:v>
                </c:pt>
                <c:pt idx="2">
                  <c:v>0.22555268505946524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9417</c:v>
                </c:pt>
                <c:pt idx="7">
                  <c:v>0</c:v>
                </c:pt>
                <c:pt idx="8">
                  <c:v>11401</c:v>
                </c:pt>
                <c:pt idx="9">
                  <c:v>0</c:v>
                </c:pt>
                <c:pt idx="10">
                  <c:v>0</c:v>
                </c:pt>
                <c:pt idx="11">
                  <c:v>14977</c:v>
                </c:pt>
                <c:pt idx="12">
                  <c:v>0</c:v>
                </c:pt>
                <c:pt idx="13">
                  <c:v>18787</c:v>
                </c:pt>
                <c:pt idx="14">
                  <c:v>0</c:v>
                </c:pt>
                <c:pt idx="15">
                  <c:v>0</c:v>
                </c:pt>
                <c:pt idx="16">
                  <c:v>22755</c:v>
                </c:pt>
                <c:pt idx="17">
                  <c:v>0</c:v>
                </c:pt>
                <c:pt idx="18">
                  <c:v>0</c:v>
                </c:pt>
                <c:pt idx="19">
                  <c:v>23018</c:v>
                </c:pt>
                <c:pt idx="20">
                  <c:v>0</c:v>
                </c:pt>
                <c:pt idx="21">
                  <c:v>32503</c:v>
                </c:pt>
                <c:pt idx="22">
                  <c:v>0</c:v>
                </c:pt>
                <c:pt idx="23">
                  <c:v>0</c:v>
                </c:pt>
                <c:pt idx="24">
                  <c:v>35285</c:v>
                </c:pt>
                <c:pt idx="25">
                  <c:v>0</c:v>
                </c:pt>
                <c:pt idx="26">
                  <c:v>40728</c:v>
                </c:pt>
                <c:pt idx="27">
                  <c:v>0</c:v>
                </c:pt>
                <c:pt idx="28">
                  <c:v>0</c:v>
                </c:pt>
                <c:pt idx="29">
                  <c:v>49004</c:v>
                </c:pt>
                <c:pt idx="30">
                  <c:v>0</c:v>
                </c:pt>
                <c:pt idx="31">
                  <c:v>57153</c:v>
                </c:pt>
                <c:pt idx="32">
                  <c:v>0</c:v>
                </c:pt>
                <c:pt idx="33">
                  <c:v>0</c:v>
                </c:pt>
                <c:pt idx="34">
                  <c:v>68569</c:v>
                </c:pt>
                <c:pt idx="35">
                  <c:v>0</c:v>
                </c:pt>
                <c:pt idx="36">
                  <c:v>0</c:v>
                </c:pt>
                <c:pt idx="37">
                  <c:v>69409</c:v>
                </c:pt>
                <c:pt idx="38">
                  <c:v>0</c:v>
                </c:pt>
                <c:pt idx="39">
                  <c:v>71312</c:v>
                </c:pt>
                <c:pt idx="40">
                  <c:v>0</c:v>
                </c:pt>
                <c:pt idx="41">
                  <c:v>0</c:v>
                </c:pt>
                <c:pt idx="42">
                  <c:v>81724</c:v>
                </c:pt>
                <c:pt idx="43">
                  <c:v>0</c:v>
                </c:pt>
                <c:pt idx="44">
                  <c:v>91190</c:v>
                </c:pt>
                <c:pt idx="45">
                  <c:v>0</c:v>
                </c:pt>
                <c:pt idx="46">
                  <c:v>0</c:v>
                </c:pt>
                <c:pt idx="47">
                  <c:v>89605</c:v>
                </c:pt>
                <c:pt idx="48">
                  <c:v>0</c:v>
                </c:pt>
                <c:pt idx="49">
                  <c:v>89334</c:v>
                </c:pt>
                <c:pt idx="50">
                  <c:v>0</c:v>
                </c:pt>
                <c:pt idx="51">
                  <c:v>0</c:v>
                </c:pt>
                <c:pt idx="52">
                  <c:v>98329</c:v>
                </c:pt>
                <c:pt idx="53">
                  <c:v>0</c:v>
                </c:pt>
                <c:pt idx="54">
                  <c:v>0</c:v>
                </c:pt>
                <c:pt idx="55">
                  <c:v>99541</c:v>
                </c:pt>
                <c:pt idx="56">
                  <c:v>0</c:v>
                </c:pt>
                <c:pt idx="57">
                  <c:v>95072</c:v>
                </c:pt>
                <c:pt idx="58">
                  <c:v>0</c:v>
                </c:pt>
                <c:pt idx="59">
                  <c:v>0</c:v>
                </c:pt>
                <c:pt idx="60">
                  <c:v>103811</c:v>
                </c:pt>
                <c:pt idx="61">
                  <c:v>0</c:v>
                </c:pt>
                <c:pt idx="62">
                  <c:v>100619</c:v>
                </c:pt>
                <c:pt idx="63">
                  <c:v>0</c:v>
                </c:pt>
                <c:pt idx="64">
                  <c:v>0</c:v>
                </c:pt>
                <c:pt idx="65">
                  <c:v>96519</c:v>
                </c:pt>
                <c:pt idx="66">
                  <c:v>0</c:v>
                </c:pt>
                <c:pt idx="67">
                  <c:v>105661</c:v>
                </c:pt>
                <c:pt idx="68">
                  <c:v>0</c:v>
                </c:pt>
                <c:pt idx="69">
                  <c:v>0</c:v>
                </c:pt>
                <c:pt idx="70">
                  <c:v>106217</c:v>
                </c:pt>
                <c:pt idx="71">
                  <c:v>0</c:v>
                </c:pt>
                <c:pt idx="72">
                  <c:v>0</c:v>
                </c:pt>
                <c:pt idx="73">
                  <c:v>110539</c:v>
                </c:pt>
                <c:pt idx="74">
                  <c:v>0</c:v>
                </c:pt>
                <c:pt idx="75">
                  <c:v>106411</c:v>
                </c:pt>
                <c:pt idx="76">
                  <c:v>0</c:v>
                </c:pt>
                <c:pt idx="77">
                  <c:v>0</c:v>
                </c:pt>
                <c:pt idx="78">
                  <c:v>106729</c:v>
                </c:pt>
                <c:pt idx="79">
                  <c:v>0</c:v>
                </c:pt>
                <c:pt idx="80">
                  <c:v>102135</c:v>
                </c:pt>
                <c:pt idx="81">
                  <c:v>0</c:v>
                </c:pt>
                <c:pt idx="82">
                  <c:v>0</c:v>
                </c:pt>
                <c:pt idx="83">
                  <c:v>97999</c:v>
                </c:pt>
                <c:pt idx="84">
                  <c:v>0</c:v>
                </c:pt>
                <c:pt idx="85">
                  <c:v>0</c:v>
                </c:pt>
                <c:pt idx="86">
                  <c:v>103832</c:v>
                </c:pt>
                <c:pt idx="87">
                  <c:v>0</c:v>
                </c:pt>
                <c:pt idx="88">
                  <c:v>94629</c:v>
                </c:pt>
                <c:pt idx="89">
                  <c:v>0</c:v>
                </c:pt>
                <c:pt idx="90">
                  <c:v>0</c:v>
                </c:pt>
                <c:pt idx="91">
                  <c:v>95260</c:v>
                </c:pt>
                <c:pt idx="92">
                  <c:v>0</c:v>
                </c:pt>
                <c:pt idx="93">
                  <c:v>94748</c:v>
                </c:pt>
                <c:pt idx="94">
                  <c:v>0</c:v>
                </c:pt>
                <c:pt idx="95">
                  <c:v>0</c:v>
                </c:pt>
                <c:pt idx="96">
                  <c:v>87781</c:v>
                </c:pt>
                <c:pt idx="97">
                  <c:v>0</c:v>
                </c:pt>
                <c:pt idx="98">
                  <c:v>86185</c:v>
                </c:pt>
                <c:pt idx="99">
                  <c:v>0</c:v>
                </c:pt>
                <c:pt idx="100">
                  <c:v>0</c:v>
                </c:pt>
                <c:pt idx="101">
                  <c:v>83121</c:v>
                </c:pt>
                <c:pt idx="102">
                  <c:v>0</c:v>
                </c:pt>
                <c:pt idx="103">
                  <c:v>0</c:v>
                </c:pt>
                <c:pt idx="104">
                  <c:v>77159</c:v>
                </c:pt>
                <c:pt idx="105">
                  <c:v>0</c:v>
                </c:pt>
                <c:pt idx="106">
                  <c:v>74972</c:v>
                </c:pt>
                <c:pt idx="107">
                  <c:v>0</c:v>
                </c:pt>
                <c:pt idx="108">
                  <c:v>0</c:v>
                </c:pt>
                <c:pt idx="109">
                  <c:v>71688</c:v>
                </c:pt>
                <c:pt idx="110">
                  <c:v>0</c:v>
                </c:pt>
                <c:pt idx="111">
                  <c:v>68836</c:v>
                </c:pt>
                <c:pt idx="112">
                  <c:v>0</c:v>
                </c:pt>
                <c:pt idx="113">
                  <c:v>0</c:v>
                </c:pt>
                <c:pt idx="114">
                  <c:v>61129</c:v>
                </c:pt>
                <c:pt idx="115">
                  <c:v>0</c:v>
                </c:pt>
                <c:pt idx="116">
                  <c:v>63588</c:v>
                </c:pt>
                <c:pt idx="117">
                  <c:v>0</c:v>
                </c:pt>
                <c:pt idx="118">
                  <c:v>0</c:v>
                </c:pt>
                <c:pt idx="119">
                  <c:v>59295</c:v>
                </c:pt>
                <c:pt idx="120">
                  <c:v>0</c:v>
                </c:pt>
                <c:pt idx="121">
                  <c:v>0</c:v>
                </c:pt>
                <c:pt idx="122">
                  <c:v>54302</c:v>
                </c:pt>
                <c:pt idx="123">
                  <c:v>0</c:v>
                </c:pt>
                <c:pt idx="124">
                  <c:v>49944</c:v>
                </c:pt>
                <c:pt idx="125">
                  <c:v>0</c:v>
                </c:pt>
                <c:pt idx="126">
                  <c:v>0</c:v>
                </c:pt>
                <c:pt idx="127">
                  <c:v>43396</c:v>
                </c:pt>
                <c:pt idx="128">
                  <c:v>0</c:v>
                </c:pt>
                <c:pt idx="129">
                  <c:v>41980</c:v>
                </c:pt>
                <c:pt idx="130">
                  <c:v>0</c:v>
                </c:pt>
                <c:pt idx="131">
                  <c:v>0</c:v>
                </c:pt>
                <c:pt idx="132">
                  <c:v>40638</c:v>
                </c:pt>
                <c:pt idx="133">
                  <c:v>0</c:v>
                </c:pt>
                <c:pt idx="134">
                  <c:v>40468</c:v>
                </c:pt>
                <c:pt idx="135">
                  <c:v>0</c:v>
                </c:pt>
                <c:pt idx="136">
                  <c:v>0</c:v>
                </c:pt>
                <c:pt idx="137">
                  <c:v>40316</c:v>
                </c:pt>
                <c:pt idx="138">
                  <c:v>0</c:v>
                </c:pt>
                <c:pt idx="139">
                  <c:v>0</c:v>
                </c:pt>
                <c:pt idx="140">
                  <c:v>33834</c:v>
                </c:pt>
                <c:pt idx="141">
                  <c:v>0</c:v>
                </c:pt>
                <c:pt idx="142">
                  <c:v>30758</c:v>
                </c:pt>
                <c:pt idx="143">
                  <c:v>0</c:v>
                </c:pt>
                <c:pt idx="144">
                  <c:v>0</c:v>
                </c:pt>
                <c:pt idx="145">
                  <c:v>31146</c:v>
                </c:pt>
                <c:pt idx="146">
                  <c:v>0</c:v>
                </c:pt>
                <c:pt idx="147">
                  <c:v>31214</c:v>
                </c:pt>
                <c:pt idx="148">
                  <c:v>0</c:v>
                </c:pt>
                <c:pt idx="149">
                  <c:v>0</c:v>
                </c:pt>
                <c:pt idx="150">
                  <c:v>26774</c:v>
                </c:pt>
                <c:pt idx="151">
                  <c:v>0</c:v>
                </c:pt>
                <c:pt idx="152">
                  <c:v>20403</c:v>
                </c:pt>
                <c:pt idx="153">
                  <c:v>0</c:v>
                </c:pt>
                <c:pt idx="154">
                  <c:v>0</c:v>
                </c:pt>
                <c:pt idx="155">
                  <c:v>19497</c:v>
                </c:pt>
                <c:pt idx="156">
                  <c:v>0</c:v>
                </c:pt>
                <c:pt idx="157">
                  <c:v>0</c:v>
                </c:pt>
                <c:pt idx="158">
                  <c:v>18822</c:v>
                </c:pt>
                <c:pt idx="159">
                  <c:v>0</c:v>
                </c:pt>
                <c:pt idx="160">
                  <c:v>19091</c:v>
                </c:pt>
                <c:pt idx="161">
                  <c:v>0</c:v>
                </c:pt>
                <c:pt idx="162">
                  <c:v>0</c:v>
                </c:pt>
                <c:pt idx="163">
                  <c:v>19875</c:v>
                </c:pt>
                <c:pt idx="164">
                  <c:v>0</c:v>
                </c:pt>
                <c:pt idx="165">
                  <c:v>27471</c:v>
                </c:pt>
                <c:pt idx="166">
                  <c:v>0</c:v>
                </c:pt>
                <c:pt idx="167">
                  <c:v>0</c:v>
                </c:pt>
                <c:pt idx="168">
                  <c:v>30946</c:v>
                </c:pt>
                <c:pt idx="169">
                  <c:v>0</c:v>
                </c:pt>
                <c:pt idx="170">
                  <c:v>0</c:v>
                </c:pt>
                <c:pt idx="171">
                  <c:v>34150</c:v>
                </c:pt>
                <c:pt idx="172">
                  <c:v>0</c:v>
                </c:pt>
                <c:pt idx="173">
                  <c:v>33131</c:v>
                </c:pt>
                <c:pt idx="174">
                  <c:v>0</c:v>
                </c:pt>
                <c:pt idx="175">
                  <c:v>0</c:v>
                </c:pt>
                <c:pt idx="176">
                  <c:v>33633</c:v>
                </c:pt>
                <c:pt idx="177">
                  <c:v>0</c:v>
                </c:pt>
                <c:pt idx="178">
                  <c:v>32935</c:v>
                </c:pt>
                <c:pt idx="179">
                  <c:v>0</c:v>
                </c:pt>
                <c:pt idx="180">
                  <c:v>0</c:v>
                </c:pt>
                <c:pt idx="181">
                  <c:v>31215</c:v>
                </c:pt>
                <c:pt idx="182">
                  <c:v>0</c:v>
                </c:pt>
                <c:pt idx="183">
                  <c:v>36708</c:v>
                </c:pt>
                <c:pt idx="184">
                  <c:v>0</c:v>
                </c:pt>
                <c:pt idx="185">
                  <c:v>0</c:v>
                </c:pt>
                <c:pt idx="186">
                  <c:v>37077</c:v>
                </c:pt>
                <c:pt idx="187">
                  <c:v>0</c:v>
                </c:pt>
                <c:pt idx="188">
                  <c:v>0</c:v>
                </c:pt>
                <c:pt idx="189">
                  <c:v>24446</c:v>
                </c:pt>
                <c:pt idx="190">
                  <c:v>0</c:v>
                </c:pt>
                <c:pt idx="191">
                  <c:v>20082</c:v>
                </c:pt>
                <c:pt idx="192">
                  <c:v>0</c:v>
                </c:pt>
                <c:pt idx="193">
                  <c:v>0</c:v>
                </c:pt>
                <c:pt idx="194">
                  <c:v>16186</c:v>
                </c:pt>
                <c:pt idx="195">
                  <c:v>0</c:v>
                </c:pt>
                <c:pt idx="196">
                  <c:v>15238</c:v>
                </c:pt>
                <c:pt idx="197">
                  <c:v>0</c:v>
                </c:pt>
                <c:pt idx="198">
                  <c:v>0</c:v>
                </c:pt>
                <c:pt idx="199">
                  <c:v>7576</c:v>
                </c:pt>
                <c:pt idx="200">
                  <c:v>0</c:v>
                </c:pt>
                <c:pt idx="201">
                  <c:v>5094</c:v>
                </c:pt>
                <c:pt idx="202">
                  <c:v>0</c:v>
                </c:pt>
                <c:pt idx="203">
                  <c:v>0</c:v>
                </c:pt>
                <c:pt idx="204">
                  <c:v>3987</c:v>
                </c:pt>
                <c:pt idx="205">
                  <c:v>0</c:v>
                </c:pt>
                <c:pt idx="206">
                  <c:v>0</c:v>
                </c:pt>
                <c:pt idx="207">
                  <c:v>4156</c:v>
                </c:pt>
                <c:pt idx="208">
                  <c:v>0</c:v>
                </c:pt>
                <c:pt idx="209">
                  <c:v>1026</c:v>
                </c:pt>
                <c:pt idx="210">
                  <c:v>0</c:v>
                </c:pt>
                <c:pt idx="211">
                  <c:v>0</c:v>
                </c:pt>
                <c:pt idx="212">
                  <c:v>327</c:v>
                </c:pt>
                <c:pt idx="213">
                  <c:v>0</c:v>
                </c:pt>
                <c:pt idx="214">
                  <c:v>215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  <c:pt idx="74">
                  <c:v>3.6275499999999998</c:v>
                </c:pt>
                <c:pt idx="75">
                  <c:v>3.6238599999999996</c:v>
                </c:pt>
                <c:pt idx="76">
                  <c:v>3.6212200000000001</c:v>
                </c:pt>
                <c:pt idx="77">
                  <c:v>3.6193499999999998</c:v>
                </c:pt>
                <c:pt idx="78">
                  <c:v>3.6171799999999998</c:v>
                </c:pt>
                <c:pt idx="79">
                  <c:v>3.6180699999999999</c:v>
                </c:pt>
                <c:pt idx="80">
                  <c:v>3.6209999999999996</c:v>
                </c:pt>
                <c:pt idx="81">
                  <c:v>3.6257099999999998</c:v>
                </c:pt>
                <c:pt idx="82">
                  <c:v>3.6311</c:v>
                </c:pt>
                <c:pt idx="83">
                  <c:v>3.6352500000000001</c:v>
                </c:pt>
                <c:pt idx="84">
                  <c:v>3.6379699999999997</c:v>
                </c:pt>
                <c:pt idx="85">
                  <c:v>3.6370999999999998</c:v>
                </c:pt>
                <c:pt idx="86">
                  <c:v>3.6334400000000002</c:v>
                </c:pt>
                <c:pt idx="87">
                  <c:v>3.6273</c:v>
                </c:pt>
                <c:pt idx="88">
                  <c:v>3.62384</c:v>
                </c:pt>
                <c:pt idx="89">
                  <c:v>3.6156999999999999</c:v>
                </c:pt>
                <c:pt idx="90">
                  <c:v>3.6078399999999999</c:v>
                </c:pt>
                <c:pt idx="91">
                  <c:v>3.59659</c:v>
                </c:pt>
                <c:pt idx="92">
                  <c:v>3.5790800000000003</c:v>
                </c:pt>
                <c:pt idx="93">
                  <c:v>3.55823</c:v>
                </c:pt>
                <c:pt idx="94">
                  <c:v>3.5358200000000002</c:v>
                </c:pt>
                <c:pt idx="95">
                  <c:v>3.5123199999999999</c:v>
                </c:pt>
                <c:pt idx="96">
                  <c:v>3.49031</c:v>
                </c:pt>
                <c:pt idx="97">
                  <c:v>3.4688699999999999</c:v>
                </c:pt>
                <c:pt idx="98">
                  <c:v>3.4465699999999999</c:v>
                </c:pt>
                <c:pt idx="99">
                  <c:v>3.42157</c:v>
                </c:pt>
                <c:pt idx="100">
                  <c:v>3.3942899999999998</c:v>
                </c:pt>
                <c:pt idx="101">
                  <c:v>3.36727</c:v>
                </c:pt>
                <c:pt idx="102">
                  <c:v>3.3417699999999999</c:v>
                </c:pt>
                <c:pt idx="103">
                  <c:v>3.31637</c:v>
                </c:pt>
                <c:pt idx="104">
                  <c:v>3.2910499999999998</c:v>
                </c:pt>
                <c:pt idx="105">
                  <c:v>3.2631600000000001</c:v>
                </c:pt>
                <c:pt idx="106">
                  <c:v>3.2342599999999999</c:v>
                </c:pt>
                <c:pt idx="107">
                  <c:v>3.2035200000000001</c:v>
                </c:pt>
                <c:pt idx="108">
                  <c:v>3.17266</c:v>
                </c:pt>
                <c:pt idx="109">
                  <c:v>3.1408300000000002</c:v>
                </c:pt>
                <c:pt idx="110">
                  <c:v>3.1126999999999998</c:v>
                </c:pt>
                <c:pt idx="111">
                  <c:v>3.0850899999999997</c:v>
                </c:pt>
                <c:pt idx="112">
                  <c:v>3.0639100000000004</c:v>
                </c:pt>
                <c:pt idx="113">
                  <c:v>3.0437599999999998</c:v>
                </c:pt>
                <c:pt idx="114">
                  <c:v>3.0277099999999999</c:v>
                </c:pt>
                <c:pt idx="115">
                  <c:v>3.0141800000000001</c:v>
                </c:pt>
                <c:pt idx="116">
                  <c:v>3.0015900000000002</c:v>
                </c:pt>
                <c:pt idx="117">
                  <c:v>2.99112</c:v>
                </c:pt>
                <c:pt idx="118">
                  <c:v>2.98265</c:v>
                </c:pt>
                <c:pt idx="119">
                  <c:v>2.9776200000000004</c:v>
                </c:pt>
                <c:pt idx="120">
                  <c:v>2.9758599999999999</c:v>
                </c:pt>
                <c:pt idx="121">
                  <c:v>2.97641</c:v>
                </c:pt>
                <c:pt idx="122">
                  <c:v>2.98231</c:v>
                </c:pt>
                <c:pt idx="123">
                  <c:v>2.99309</c:v>
                </c:pt>
                <c:pt idx="124">
                  <c:v>2.9944799999999998</c:v>
                </c:pt>
                <c:pt idx="125">
                  <c:v>2.99431</c:v>
                </c:pt>
                <c:pt idx="126">
                  <c:v>2.9945300000000001</c:v>
                </c:pt>
                <c:pt idx="127">
                  <c:v>2.9954700000000001</c:v>
                </c:pt>
                <c:pt idx="128">
                  <c:v>2.9965000000000002</c:v>
                </c:pt>
                <c:pt idx="129">
                  <c:v>2.9982500000000001</c:v>
                </c:pt>
                <c:pt idx="130">
                  <c:v>3.0011300000000003</c:v>
                </c:pt>
                <c:pt idx="131">
                  <c:v>3.0036800000000001</c:v>
                </c:pt>
                <c:pt idx="132">
                  <c:v>3.0083199999999999</c:v>
                </c:pt>
                <c:pt idx="133">
                  <c:v>3.0123499999999996</c:v>
                </c:pt>
                <c:pt idx="134">
                  <c:v>3.01892</c:v>
                </c:pt>
                <c:pt idx="135">
                  <c:v>3.0275000000000003</c:v>
                </c:pt>
                <c:pt idx="136">
                  <c:v>3.0394600000000001</c:v>
                </c:pt>
                <c:pt idx="137">
                  <c:v>3.0464799999999999</c:v>
                </c:pt>
                <c:pt idx="138">
                  <c:v>3.0523499999999997</c:v>
                </c:pt>
                <c:pt idx="139">
                  <c:v>3.0571799999999998</c:v>
                </c:pt>
                <c:pt idx="140">
                  <c:v>3.0610500000000003</c:v>
                </c:pt>
                <c:pt idx="141">
                  <c:v>3.0674800000000002</c:v>
                </c:pt>
                <c:pt idx="142">
                  <c:v>3.0794999999999999</c:v>
                </c:pt>
                <c:pt idx="143">
                  <c:v>3.0976399999999997</c:v>
                </c:pt>
                <c:pt idx="144">
                  <c:v>3.1187900000000002</c:v>
                </c:pt>
                <c:pt idx="145">
                  <c:v>3.1518200000000003</c:v>
                </c:pt>
                <c:pt idx="146">
                  <c:v>3.1877800000000001</c:v>
                </c:pt>
                <c:pt idx="147">
                  <c:v>3.2240799999999998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  <c:pt idx="74">
                  <c:v>9.5782799999999995</c:v>
                </c:pt>
                <c:pt idx="75">
                  <c:v>9.4835399999999996</c:v>
                </c:pt>
                <c:pt idx="76">
                  <c:v>9.29284</c:v>
                </c:pt>
                <c:pt idx="77">
                  <c:v>9.1538500000000003</c:v>
                </c:pt>
                <c:pt idx="78">
                  <c:v>9.0822200000000013</c:v>
                </c:pt>
                <c:pt idx="79">
                  <c:v>8.9053100000000001</c:v>
                </c:pt>
                <c:pt idx="80">
                  <c:v>8.7626600000000003</c:v>
                </c:pt>
                <c:pt idx="81">
                  <c:v>8.6318699999999993</c:v>
                </c:pt>
                <c:pt idx="82">
                  <c:v>8.3964499999999997</c:v>
                </c:pt>
                <c:pt idx="83">
                  <c:v>8.219619999999999</c:v>
                </c:pt>
                <c:pt idx="84">
                  <c:v>8.0097000000000005</c:v>
                </c:pt>
                <c:pt idx="85">
                  <c:v>7.859770000000001</c:v>
                </c:pt>
                <c:pt idx="86">
                  <c:v>7.63842</c:v>
                </c:pt>
                <c:pt idx="87">
                  <c:v>7.4454400000000005</c:v>
                </c:pt>
                <c:pt idx="88">
                  <c:v>7.1132699999999991</c:v>
                </c:pt>
                <c:pt idx="89">
                  <c:v>6.932290000000001</c:v>
                </c:pt>
                <c:pt idx="90">
                  <c:v>6.6395800000000005</c:v>
                </c:pt>
                <c:pt idx="91">
                  <c:v>6.4163300000000003</c:v>
                </c:pt>
                <c:pt idx="92">
                  <c:v>6.3110799999999996</c:v>
                </c:pt>
                <c:pt idx="93">
                  <c:v>6.1483699999999999</c:v>
                </c:pt>
                <c:pt idx="94">
                  <c:v>5.9183500000000002</c:v>
                </c:pt>
                <c:pt idx="95">
                  <c:v>5.6293699999999998</c:v>
                </c:pt>
                <c:pt idx="96">
                  <c:v>5.3234499999999993</c:v>
                </c:pt>
                <c:pt idx="97">
                  <c:v>4.8937900000000001</c:v>
                </c:pt>
                <c:pt idx="98">
                  <c:v>4.50326</c:v>
                </c:pt>
                <c:pt idx="99">
                  <c:v>4.01152</c:v>
                </c:pt>
                <c:pt idx="100">
                  <c:v>3.4397499999999996</c:v>
                </c:pt>
                <c:pt idx="101">
                  <c:v>2.8880300000000001</c:v>
                </c:pt>
                <c:pt idx="102">
                  <c:v>2.3223400000000001</c:v>
                </c:pt>
                <c:pt idx="103">
                  <c:v>1.764</c:v>
                </c:pt>
                <c:pt idx="104">
                  <c:v>1.2584500000000001</c:v>
                </c:pt>
                <c:pt idx="105">
                  <c:v>0.80117000000000005</c:v>
                </c:pt>
                <c:pt idx="106">
                  <c:v>0.348082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0.14771700000000001</c:v>
                </c:pt>
                <c:pt idx="134">
                  <c:v>0.340702</c:v>
                </c:pt>
                <c:pt idx="135">
                  <c:v>0.46893300000000004</c:v>
                </c:pt>
                <c:pt idx="136">
                  <c:v>0.61600099999999991</c:v>
                </c:pt>
                <c:pt idx="137">
                  <c:v>0.87097100000000005</c:v>
                </c:pt>
                <c:pt idx="138">
                  <c:v>0.92662100000000003</c:v>
                </c:pt>
                <c:pt idx="139">
                  <c:v>1.0436400000000001</c:v>
                </c:pt>
                <c:pt idx="140">
                  <c:v>1.2552000000000001</c:v>
                </c:pt>
                <c:pt idx="141">
                  <c:v>1.4509700000000001</c:v>
                </c:pt>
                <c:pt idx="142">
                  <c:v>1.58856</c:v>
                </c:pt>
                <c:pt idx="143">
                  <c:v>1.73027</c:v>
                </c:pt>
                <c:pt idx="144">
                  <c:v>2.0034900000000002</c:v>
                </c:pt>
                <c:pt idx="145">
                  <c:v>2.0186899999999999</c:v>
                </c:pt>
                <c:pt idx="146">
                  <c:v>2.6428099999999999</c:v>
                </c:pt>
                <c:pt idx="147">
                  <c:v>3.3650199999999999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3.6391299999999998</c:v>
                </c:pt>
                <c:pt idx="1">
                  <c:v>3.6275499999999998</c:v>
                </c:pt>
                <c:pt idx="2">
                  <c:v>3.6238599999999996</c:v>
                </c:pt>
                <c:pt idx="3">
                  <c:v>3.6212200000000001</c:v>
                </c:pt>
                <c:pt idx="4">
                  <c:v>3.6193499999999998</c:v>
                </c:pt>
                <c:pt idx="5">
                  <c:v>3.6171799999999998</c:v>
                </c:pt>
                <c:pt idx="6">
                  <c:v>3.6180699999999999</c:v>
                </c:pt>
                <c:pt idx="7">
                  <c:v>3.6209999999999996</c:v>
                </c:pt>
                <c:pt idx="8">
                  <c:v>3.6257099999999998</c:v>
                </c:pt>
                <c:pt idx="9">
                  <c:v>3.6311</c:v>
                </c:pt>
                <c:pt idx="10">
                  <c:v>3.6352500000000001</c:v>
                </c:pt>
                <c:pt idx="11">
                  <c:v>3.6379699999999997</c:v>
                </c:pt>
                <c:pt idx="12">
                  <c:v>3.6370999999999998</c:v>
                </c:pt>
                <c:pt idx="13">
                  <c:v>3.6334400000000002</c:v>
                </c:pt>
                <c:pt idx="14">
                  <c:v>3.6273</c:v>
                </c:pt>
                <c:pt idx="15">
                  <c:v>3.62384</c:v>
                </c:pt>
                <c:pt idx="16">
                  <c:v>3.6156999999999999</c:v>
                </c:pt>
                <c:pt idx="17">
                  <c:v>3.6078399999999999</c:v>
                </c:pt>
                <c:pt idx="18">
                  <c:v>3.59659</c:v>
                </c:pt>
                <c:pt idx="19">
                  <c:v>3.5790800000000003</c:v>
                </c:pt>
                <c:pt idx="20">
                  <c:v>3.55823</c:v>
                </c:pt>
                <c:pt idx="21">
                  <c:v>3.5358200000000002</c:v>
                </c:pt>
                <c:pt idx="22">
                  <c:v>3.5123199999999999</c:v>
                </c:pt>
                <c:pt idx="23">
                  <c:v>3.49031</c:v>
                </c:pt>
                <c:pt idx="24">
                  <c:v>3.4688699999999999</c:v>
                </c:pt>
                <c:pt idx="25">
                  <c:v>3.4465699999999999</c:v>
                </c:pt>
                <c:pt idx="26">
                  <c:v>3.42157</c:v>
                </c:pt>
                <c:pt idx="27">
                  <c:v>3.3942899999999998</c:v>
                </c:pt>
                <c:pt idx="28">
                  <c:v>3.36727</c:v>
                </c:pt>
                <c:pt idx="29">
                  <c:v>3.3417699999999999</c:v>
                </c:pt>
                <c:pt idx="30">
                  <c:v>3.31637</c:v>
                </c:pt>
                <c:pt idx="31">
                  <c:v>3.2910499999999998</c:v>
                </c:pt>
                <c:pt idx="32">
                  <c:v>3.2631600000000001</c:v>
                </c:pt>
                <c:pt idx="33">
                  <c:v>3.2342599999999999</c:v>
                </c:pt>
                <c:pt idx="34">
                  <c:v>3.2035200000000001</c:v>
                </c:pt>
                <c:pt idx="35">
                  <c:v>3.17266</c:v>
                </c:pt>
                <c:pt idx="36">
                  <c:v>3.1408300000000002</c:v>
                </c:pt>
                <c:pt idx="37">
                  <c:v>3.1126999999999998</c:v>
                </c:pt>
                <c:pt idx="38">
                  <c:v>3.0850899999999997</c:v>
                </c:pt>
                <c:pt idx="39">
                  <c:v>3.0639100000000004</c:v>
                </c:pt>
                <c:pt idx="40">
                  <c:v>3.0437599999999998</c:v>
                </c:pt>
                <c:pt idx="41">
                  <c:v>3.0277099999999999</c:v>
                </c:pt>
                <c:pt idx="42">
                  <c:v>3.0141800000000001</c:v>
                </c:pt>
                <c:pt idx="43">
                  <c:v>3.0015900000000002</c:v>
                </c:pt>
                <c:pt idx="44">
                  <c:v>2.99112</c:v>
                </c:pt>
                <c:pt idx="45">
                  <c:v>2.98265</c:v>
                </c:pt>
                <c:pt idx="46">
                  <c:v>2.9776200000000004</c:v>
                </c:pt>
                <c:pt idx="47">
                  <c:v>2.9758599999999999</c:v>
                </c:pt>
                <c:pt idx="48">
                  <c:v>2.97641</c:v>
                </c:pt>
                <c:pt idx="49">
                  <c:v>2.98231</c:v>
                </c:pt>
                <c:pt idx="50">
                  <c:v>2.99309</c:v>
                </c:pt>
                <c:pt idx="51">
                  <c:v>2.9944799999999998</c:v>
                </c:pt>
                <c:pt idx="52">
                  <c:v>2.99431</c:v>
                </c:pt>
                <c:pt idx="53">
                  <c:v>2.9945300000000001</c:v>
                </c:pt>
                <c:pt idx="54">
                  <c:v>2.9954700000000001</c:v>
                </c:pt>
                <c:pt idx="55">
                  <c:v>2.9965000000000002</c:v>
                </c:pt>
                <c:pt idx="56">
                  <c:v>2.9982500000000001</c:v>
                </c:pt>
                <c:pt idx="57">
                  <c:v>3.0011300000000003</c:v>
                </c:pt>
                <c:pt idx="58">
                  <c:v>3.0036800000000001</c:v>
                </c:pt>
                <c:pt idx="59">
                  <c:v>3.0083199999999999</c:v>
                </c:pt>
                <c:pt idx="60">
                  <c:v>3.0123499999999996</c:v>
                </c:pt>
                <c:pt idx="61">
                  <c:v>3.01892</c:v>
                </c:pt>
                <c:pt idx="62">
                  <c:v>3.0275000000000003</c:v>
                </c:pt>
                <c:pt idx="63">
                  <c:v>3.0394600000000001</c:v>
                </c:pt>
                <c:pt idx="64">
                  <c:v>3.0464799999999999</c:v>
                </c:pt>
                <c:pt idx="65">
                  <c:v>3.0523499999999997</c:v>
                </c:pt>
                <c:pt idx="66">
                  <c:v>3.0571799999999998</c:v>
                </c:pt>
                <c:pt idx="67">
                  <c:v>3.0610500000000003</c:v>
                </c:pt>
                <c:pt idx="68">
                  <c:v>3.0674800000000002</c:v>
                </c:pt>
                <c:pt idx="69">
                  <c:v>3.0794999999999999</c:v>
                </c:pt>
                <c:pt idx="70">
                  <c:v>3.0976399999999997</c:v>
                </c:pt>
                <c:pt idx="71">
                  <c:v>3.1187900000000002</c:v>
                </c:pt>
                <c:pt idx="72">
                  <c:v>3.1518200000000003</c:v>
                </c:pt>
                <c:pt idx="73">
                  <c:v>3.1877800000000001</c:v>
                </c:pt>
                <c:pt idx="74">
                  <c:v>3.2240799999999998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9.6465399999999999</c:v>
                </c:pt>
                <c:pt idx="1">
                  <c:v>9.5782799999999995</c:v>
                </c:pt>
                <c:pt idx="2">
                  <c:v>9.4835399999999996</c:v>
                </c:pt>
                <c:pt idx="3">
                  <c:v>9.29284</c:v>
                </c:pt>
                <c:pt idx="4">
                  <c:v>9.1538500000000003</c:v>
                </c:pt>
                <c:pt idx="5">
                  <c:v>9.0822200000000013</c:v>
                </c:pt>
                <c:pt idx="6">
                  <c:v>8.9053100000000001</c:v>
                </c:pt>
                <c:pt idx="7">
                  <c:v>8.7626600000000003</c:v>
                </c:pt>
                <c:pt idx="8">
                  <c:v>8.6318699999999993</c:v>
                </c:pt>
                <c:pt idx="9">
                  <c:v>8.3964499999999997</c:v>
                </c:pt>
                <c:pt idx="10">
                  <c:v>8.219619999999999</c:v>
                </c:pt>
                <c:pt idx="11">
                  <c:v>8.0097000000000005</c:v>
                </c:pt>
                <c:pt idx="12">
                  <c:v>7.859770000000001</c:v>
                </c:pt>
                <c:pt idx="13">
                  <c:v>7.63842</c:v>
                </c:pt>
                <c:pt idx="14">
                  <c:v>7.4454400000000005</c:v>
                </c:pt>
                <c:pt idx="15">
                  <c:v>7.1132699999999991</c:v>
                </c:pt>
                <c:pt idx="16">
                  <c:v>6.932290000000001</c:v>
                </c:pt>
                <c:pt idx="17">
                  <c:v>6.6395800000000005</c:v>
                </c:pt>
                <c:pt idx="18">
                  <c:v>6.4163300000000003</c:v>
                </c:pt>
                <c:pt idx="19">
                  <c:v>6.3110799999999996</c:v>
                </c:pt>
                <c:pt idx="20">
                  <c:v>6.1483699999999999</c:v>
                </c:pt>
                <c:pt idx="21">
                  <c:v>5.9183500000000002</c:v>
                </c:pt>
                <c:pt idx="22">
                  <c:v>5.6293699999999998</c:v>
                </c:pt>
                <c:pt idx="23">
                  <c:v>5.3234499999999993</c:v>
                </c:pt>
                <c:pt idx="24">
                  <c:v>4.8937900000000001</c:v>
                </c:pt>
                <c:pt idx="25">
                  <c:v>4.50326</c:v>
                </c:pt>
                <c:pt idx="26">
                  <c:v>4.01152</c:v>
                </c:pt>
                <c:pt idx="27">
                  <c:v>3.4397499999999996</c:v>
                </c:pt>
                <c:pt idx="28">
                  <c:v>2.8880300000000001</c:v>
                </c:pt>
                <c:pt idx="29">
                  <c:v>2.3223400000000001</c:v>
                </c:pt>
                <c:pt idx="30">
                  <c:v>1.764</c:v>
                </c:pt>
                <c:pt idx="31">
                  <c:v>1.2584500000000001</c:v>
                </c:pt>
                <c:pt idx="32">
                  <c:v>0.80117000000000005</c:v>
                </c:pt>
                <c:pt idx="33">
                  <c:v>0.348082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0.14771700000000001</c:v>
                </c:pt>
                <c:pt idx="61">
                  <c:v>0.340702</c:v>
                </c:pt>
                <c:pt idx="62">
                  <c:v>0.46893300000000004</c:v>
                </c:pt>
                <c:pt idx="63">
                  <c:v>0.61600099999999991</c:v>
                </c:pt>
                <c:pt idx="64">
                  <c:v>0.87097100000000005</c:v>
                </c:pt>
                <c:pt idx="65">
                  <c:v>0.92662100000000003</c:v>
                </c:pt>
                <c:pt idx="66">
                  <c:v>1.0436400000000001</c:v>
                </c:pt>
                <c:pt idx="67">
                  <c:v>1.2552000000000001</c:v>
                </c:pt>
                <c:pt idx="68">
                  <c:v>1.4509700000000001</c:v>
                </c:pt>
                <c:pt idx="69">
                  <c:v>1.58856</c:v>
                </c:pt>
                <c:pt idx="70">
                  <c:v>1.73027</c:v>
                </c:pt>
                <c:pt idx="71">
                  <c:v>2.0034900000000002</c:v>
                </c:pt>
                <c:pt idx="72">
                  <c:v>2.0186899999999999</c:v>
                </c:pt>
                <c:pt idx="73">
                  <c:v>2.6428099999999999</c:v>
                </c:pt>
                <c:pt idx="74">
                  <c:v>3.3650199999999999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3.367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3.6909566216216225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19.623614999999997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3.2623658108108113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3.0215141486486483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3.2623658108108113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3.0215141486486483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0.33860689330319788</c:v>
                </c:pt>
                <c:pt idx="1">
                  <c:v>0.2596523957292472</c:v>
                </c:pt>
                <c:pt idx="2">
                  <c:v>0.40174071096755493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  <c:pt idx="74">
                  <c:v>30.033100000000001</c:v>
                </c:pt>
                <c:pt idx="75">
                  <c:v>30.614899999999999</c:v>
                </c:pt>
                <c:pt idx="76">
                  <c:v>30.992799999999999</c:v>
                </c:pt>
                <c:pt idx="77">
                  <c:v>31.364799999999999</c:v>
                </c:pt>
                <c:pt idx="78">
                  <c:v>31.741800000000001</c:v>
                </c:pt>
                <c:pt idx="79">
                  <c:v>32.126899999999999</c:v>
                </c:pt>
                <c:pt idx="80">
                  <c:v>32.5366</c:v>
                </c:pt>
                <c:pt idx="81">
                  <c:v>32.939799999999998</c:v>
                </c:pt>
                <c:pt idx="82">
                  <c:v>33.3474</c:v>
                </c:pt>
                <c:pt idx="83">
                  <c:v>33.755400000000002</c:v>
                </c:pt>
                <c:pt idx="84">
                  <c:v>34.162300000000002</c:v>
                </c:pt>
                <c:pt idx="85">
                  <c:v>34.571199999999997</c:v>
                </c:pt>
                <c:pt idx="86">
                  <c:v>34.971200000000003</c:v>
                </c:pt>
                <c:pt idx="87">
                  <c:v>35.379199999999997</c:v>
                </c:pt>
                <c:pt idx="88">
                  <c:v>35.787999999999997</c:v>
                </c:pt>
                <c:pt idx="89">
                  <c:v>36.191899999999997</c:v>
                </c:pt>
                <c:pt idx="90">
                  <c:v>36.5991</c:v>
                </c:pt>
                <c:pt idx="91">
                  <c:v>37.003700000000002</c:v>
                </c:pt>
                <c:pt idx="92">
                  <c:v>37.412599999999998</c:v>
                </c:pt>
                <c:pt idx="93">
                  <c:v>37.8185</c:v>
                </c:pt>
                <c:pt idx="94">
                  <c:v>38.223700000000001</c:v>
                </c:pt>
                <c:pt idx="95">
                  <c:v>38.6295</c:v>
                </c:pt>
                <c:pt idx="96">
                  <c:v>39.036200000000001</c:v>
                </c:pt>
                <c:pt idx="97">
                  <c:v>39.444200000000002</c:v>
                </c:pt>
                <c:pt idx="98">
                  <c:v>39.848100000000002</c:v>
                </c:pt>
                <c:pt idx="99">
                  <c:v>40.253999999999998</c:v>
                </c:pt>
                <c:pt idx="100">
                  <c:v>40.661200000000001</c:v>
                </c:pt>
                <c:pt idx="101">
                  <c:v>41.071899999999999</c:v>
                </c:pt>
                <c:pt idx="102">
                  <c:v>41.471800000000002</c:v>
                </c:pt>
                <c:pt idx="103">
                  <c:v>41.881599999999999</c:v>
                </c:pt>
                <c:pt idx="104">
                  <c:v>42.289700000000003</c:v>
                </c:pt>
                <c:pt idx="105">
                  <c:v>42.695500000000003</c:v>
                </c:pt>
                <c:pt idx="106">
                  <c:v>43.1004</c:v>
                </c:pt>
                <c:pt idx="107">
                  <c:v>43.504300000000001</c:v>
                </c:pt>
                <c:pt idx="108">
                  <c:v>43.9114</c:v>
                </c:pt>
                <c:pt idx="109">
                  <c:v>44.315199999999997</c:v>
                </c:pt>
                <c:pt idx="110">
                  <c:v>44.725299999999997</c:v>
                </c:pt>
                <c:pt idx="111">
                  <c:v>45.129899999999999</c:v>
                </c:pt>
                <c:pt idx="112">
                  <c:v>45.535899999999998</c:v>
                </c:pt>
                <c:pt idx="113">
                  <c:v>45.941000000000003</c:v>
                </c:pt>
                <c:pt idx="114">
                  <c:v>46.349699999999999</c:v>
                </c:pt>
                <c:pt idx="115">
                  <c:v>46.757899999999999</c:v>
                </c:pt>
                <c:pt idx="116">
                  <c:v>47.1586</c:v>
                </c:pt>
                <c:pt idx="117">
                  <c:v>47.566400000000002</c:v>
                </c:pt>
                <c:pt idx="118">
                  <c:v>47.9741</c:v>
                </c:pt>
                <c:pt idx="119">
                  <c:v>48.380200000000002</c:v>
                </c:pt>
                <c:pt idx="120">
                  <c:v>48.7883</c:v>
                </c:pt>
                <c:pt idx="121">
                  <c:v>49.1952</c:v>
                </c:pt>
                <c:pt idx="122">
                  <c:v>49.597000000000001</c:v>
                </c:pt>
                <c:pt idx="123">
                  <c:v>50.008000000000003</c:v>
                </c:pt>
                <c:pt idx="124">
                  <c:v>50.412799999999997</c:v>
                </c:pt>
                <c:pt idx="125">
                  <c:v>50.813800000000001</c:v>
                </c:pt>
                <c:pt idx="126">
                  <c:v>51.223100000000002</c:v>
                </c:pt>
                <c:pt idx="127">
                  <c:v>51.627600000000001</c:v>
                </c:pt>
                <c:pt idx="128">
                  <c:v>52.037500000000001</c:v>
                </c:pt>
                <c:pt idx="129">
                  <c:v>52.444400000000002</c:v>
                </c:pt>
                <c:pt idx="130">
                  <c:v>52.849299999999999</c:v>
                </c:pt>
                <c:pt idx="131">
                  <c:v>53.254300000000001</c:v>
                </c:pt>
                <c:pt idx="132">
                  <c:v>53.661099999999998</c:v>
                </c:pt>
                <c:pt idx="133">
                  <c:v>54.070099999999996</c:v>
                </c:pt>
                <c:pt idx="134">
                  <c:v>54.475099999999998</c:v>
                </c:pt>
                <c:pt idx="135">
                  <c:v>54.880899999999997</c:v>
                </c:pt>
                <c:pt idx="136">
                  <c:v>55.285200000000003</c:v>
                </c:pt>
                <c:pt idx="137">
                  <c:v>55.690199999999997</c:v>
                </c:pt>
                <c:pt idx="138">
                  <c:v>56.0976</c:v>
                </c:pt>
                <c:pt idx="139">
                  <c:v>56.505600000000001</c:v>
                </c:pt>
                <c:pt idx="140">
                  <c:v>56.910400000000003</c:v>
                </c:pt>
                <c:pt idx="141">
                  <c:v>57.315800000000003</c:v>
                </c:pt>
                <c:pt idx="142">
                  <c:v>57.728400000000001</c:v>
                </c:pt>
                <c:pt idx="143">
                  <c:v>58.129300000000001</c:v>
                </c:pt>
                <c:pt idx="144">
                  <c:v>58.536299999999997</c:v>
                </c:pt>
                <c:pt idx="145">
                  <c:v>58.943100000000001</c:v>
                </c:pt>
                <c:pt idx="146">
                  <c:v>59.346499999999999</c:v>
                </c:pt>
                <c:pt idx="147">
                  <c:v>59.758699999999997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  <c:pt idx="74">
                  <c:v>3.6275499999999998</c:v>
                </c:pt>
                <c:pt idx="75">
                  <c:v>3.6238599999999996</c:v>
                </c:pt>
                <c:pt idx="76">
                  <c:v>3.6212200000000001</c:v>
                </c:pt>
                <c:pt idx="77">
                  <c:v>3.6193499999999998</c:v>
                </c:pt>
                <c:pt idx="78">
                  <c:v>3.6171799999999998</c:v>
                </c:pt>
                <c:pt idx="79">
                  <c:v>3.6180699999999999</c:v>
                </c:pt>
                <c:pt idx="80">
                  <c:v>3.6209999999999996</c:v>
                </c:pt>
                <c:pt idx="81">
                  <c:v>3.6257099999999998</c:v>
                </c:pt>
                <c:pt idx="82">
                  <c:v>3.6311</c:v>
                </c:pt>
                <c:pt idx="83">
                  <c:v>3.6352500000000001</c:v>
                </c:pt>
                <c:pt idx="84">
                  <c:v>3.6379699999999997</c:v>
                </c:pt>
                <c:pt idx="85">
                  <c:v>3.6370999999999998</c:v>
                </c:pt>
                <c:pt idx="86">
                  <c:v>3.6334400000000002</c:v>
                </c:pt>
                <c:pt idx="87">
                  <c:v>3.6273</c:v>
                </c:pt>
                <c:pt idx="88">
                  <c:v>3.62384</c:v>
                </c:pt>
                <c:pt idx="89">
                  <c:v>3.6156999999999999</c:v>
                </c:pt>
                <c:pt idx="90">
                  <c:v>3.6078399999999999</c:v>
                </c:pt>
                <c:pt idx="91">
                  <c:v>3.59659</c:v>
                </c:pt>
                <c:pt idx="92">
                  <c:v>3.5790800000000003</c:v>
                </c:pt>
                <c:pt idx="93">
                  <c:v>3.55823</c:v>
                </c:pt>
                <c:pt idx="94">
                  <c:v>3.5358200000000002</c:v>
                </c:pt>
                <c:pt idx="95">
                  <c:v>3.5123199999999999</c:v>
                </c:pt>
                <c:pt idx="96">
                  <c:v>3.49031</c:v>
                </c:pt>
                <c:pt idx="97">
                  <c:v>3.4688699999999999</c:v>
                </c:pt>
                <c:pt idx="98">
                  <c:v>3.4465699999999999</c:v>
                </c:pt>
                <c:pt idx="99">
                  <c:v>3.42157</c:v>
                </c:pt>
                <c:pt idx="100">
                  <c:v>3.3942899999999998</c:v>
                </c:pt>
                <c:pt idx="101">
                  <c:v>3.36727</c:v>
                </c:pt>
                <c:pt idx="102">
                  <c:v>3.3417699999999999</c:v>
                </c:pt>
                <c:pt idx="103">
                  <c:v>3.31637</c:v>
                </c:pt>
                <c:pt idx="104">
                  <c:v>3.2910499999999998</c:v>
                </c:pt>
                <c:pt idx="105">
                  <c:v>3.2631600000000001</c:v>
                </c:pt>
                <c:pt idx="106">
                  <c:v>3.2342599999999999</c:v>
                </c:pt>
                <c:pt idx="107">
                  <c:v>3.2035200000000001</c:v>
                </c:pt>
                <c:pt idx="108">
                  <c:v>3.17266</c:v>
                </c:pt>
                <c:pt idx="109">
                  <c:v>3.1408300000000002</c:v>
                </c:pt>
                <c:pt idx="110">
                  <c:v>3.1126999999999998</c:v>
                </c:pt>
                <c:pt idx="111">
                  <c:v>3.0850899999999997</c:v>
                </c:pt>
                <c:pt idx="112">
                  <c:v>3.0639100000000004</c:v>
                </c:pt>
                <c:pt idx="113">
                  <c:v>3.0437599999999998</c:v>
                </c:pt>
                <c:pt idx="114">
                  <c:v>3.0277099999999999</c:v>
                </c:pt>
                <c:pt idx="115">
                  <c:v>3.0141800000000001</c:v>
                </c:pt>
                <c:pt idx="116">
                  <c:v>3.0015900000000002</c:v>
                </c:pt>
                <c:pt idx="117">
                  <c:v>2.99112</c:v>
                </c:pt>
                <c:pt idx="118">
                  <c:v>2.98265</c:v>
                </c:pt>
                <c:pt idx="119">
                  <c:v>2.9776200000000004</c:v>
                </c:pt>
                <c:pt idx="120">
                  <c:v>2.9758599999999999</c:v>
                </c:pt>
                <c:pt idx="121">
                  <c:v>2.97641</c:v>
                </c:pt>
                <c:pt idx="122">
                  <c:v>2.98231</c:v>
                </c:pt>
                <c:pt idx="123">
                  <c:v>2.99309</c:v>
                </c:pt>
                <c:pt idx="124">
                  <c:v>2.9944799999999998</c:v>
                </c:pt>
                <c:pt idx="125">
                  <c:v>2.99431</c:v>
                </c:pt>
                <c:pt idx="126">
                  <c:v>2.9945300000000001</c:v>
                </c:pt>
                <c:pt idx="127">
                  <c:v>2.9954700000000001</c:v>
                </c:pt>
                <c:pt idx="128">
                  <c:v>2.9965000000000002</c:v>
                </c:pt>
                <c:pt idx="129">
                  <c:v>2.9982500000000001</c:v>
                </c:pt>
                <c:pt idx="130">
                  <c:v>3.0011300000000003</c:v>
                </c:pt>
                <c:pt idx="131">
                  <c:v>3.0036800000000001</c:v>
                </c:pt>
                <c:pt idx="132">
                  <c:v>3.0083199999999999</c:v>
                </c:pt>
                <c:pt idx="133">
                  <c:v>3.0123499999999996</c:v>
                </c:pt>
                <c:pt idx="134">
                  <c:v>3.01892</c:v>
                </c:pt>
                <c:pt idx="135">
                  <c:v>3.0275000000000003</c:v>
                </c:pt>
                <c:pt idx="136">
                  <c:v>3.0394600000000001</c:v>
                </c:pt>
                <c:pt idx="137">
                  <c:v>3.0464799999999999</c:v>
                </c:pt>
                <c:pt idx="138">
                  <c:v>3.0523499999999997</c:v>
                </c:pt>
                <c:pt idx="139">
                  <c:v>3.0571799999999998</c:v>
                </c:pt>
                <c:pt idx="140">
                  <c:v>3.0610500000000003</c:v>
                </c:pt>
                <c:pt idx="141">
                  <c:v>3.0674800000000002</c:v>
                </c:pt>
                <c:pt idx="142">
                  <c:v>3.0794999999999999</c:v>
                </c:pt>
                <c:pt idx="143">
                  <c:v>3.0976399999999997</c:v>
                </c:pt>
                <c:pt idx="144">
                  <c:v>3.1187900000000002</c:v>
                </c:pt>
                <c:pt idx="145">
                  <c:v>3.1518200000000003</c:v>
                </c:pt>
                <c:pt idx="146">
                  <c:v>3.1877800000000001</c:v>
                </c:pt>
                <c:pt idx="147">
                  <c:v>3.2240799999999998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29.627300000000002</c:v>
                </c:pt>
                <c:pt idx="1">
                  <c:v>30.033100000000001</c:v>
                </c:pt>
                <c:pt idx="2">
                  <c:v>30.614899999999999</c:v>
                </c:pt>
                <c:pt idx="3">
                  <c:v>30.992799999999999</c:v>
                </c:pt>
                <c:pt idx="4">
                  <c:v>31.364799999999999</c:v>
                </c:pt>
                <c:pt idx="5">
                  <c:v>31.741800000000001</c:v>
                </c:pt>
                <c:pt idx="6">
                  <c:v>32.126899999999999</c:v>
                </c:pt>
                <c:pt idx="7">
                  <c:v>32.5366</c:v>
                </c:pt>
                <c:pt idx="8">
                  <c:v>32.939799999999998</c:v>
                </c:pt>
                <c:pt idx="9">
                  <c:v>33.3474</c:v>
                </c:pt>
                <c:pt idx="10">
                  <c:v>33.755400000000002</c:v>
                </c:pt>
                <c:pt idx="11">
                  <c:v>34.162300000000002</c:v>
                </c:pt>
                <c:pt idx="12">
                  <c:v>34.571199999999997</c:v>
                </c:pt>
                <c:pt idx="13">
                  <c:v>34.971200000000003</c:v>
                </c:pt>
                <c:pt idx="14">
                  <c:v>35.379199999999997</c:v>
                </c:pt>
                <c:pt idx="15">
                  <c:v>35.787999999999997</c:v>
                </c:pt>
                <c:pt idx="16">
                  <c:v>36.191899999999997</c:v>
                </c:pt>
                <c:pt idx="17">
                  <c:v>36.5991</c:v>
                </c:pt>
                <c:pt idx="18">
                  <c:v>37.003700000000002</c:v>
                </c:pt>
                <c:pt idx="19">
                  <c:v>37.412599999999998</c:v>
                </c:pt>
                <c:pt idx="20">
                  <c:v>37.8185</c:v>
                </c:pt>
                <c:pt idx="21">
                  <c:v>38.223700000000001</c:v>
                </c:pt>
                <c:pt idx="22">
                  <c:v>38.6295</c:v>
                </c:pt>
                <c:pt idx="23">
                  <c:v>39.036200000000001</c:v>
                </c:pt>
                <c:pt idx="24">
                  <c:v>39.444200000000002</c:v>
                </c:pt>
                <c:pt idx="25">
                  <c:v>39.848100000000002</c:v>
                </c:pt>
                <c:pt idx="26">
                  <c:v>40.253999999999998</c:v>
                </c:pt>
                <c:pt idx="27">
                  <c:v>40.661200000000001</c:v>
                </c:pt>
                <c:pt idx="28">
                  <c:v>41.071899999999999</c:v>
                </c:pt>
                <c:pt idx="29">
                  <c:v>41.471800000000002</c:v>
                </c:pt>
                <c:pt idx="30">
                  <c:v>41.881599999999999</c:v>
                </c:pt>
                <c:pt idx="31">
                  <c:v>42.289700000000003</c:v>
                </c:pt>
                <c:pt idx="32">
                  <c:v>42.695500000000003</c:v>
                </c:pt>
                <c:pt idx="33">
                  <c:v>43.1004</c:v>
                </c:pt>
                <c:pt idx="34">
                  <c:v>43.504300000000001</c:v>
                </c:pt>
                <c:pt idx="35">
                  <c:v>43.9114</c:v>
                </c:pt>
                <c:pt idx="36">
                  <c:v>44.315199999999997</c:v>
                </c:pt>
                <c:pt idx="37">
                  <c:v>44.725299999999997</c:v>
                </c:pt>
                <c:pt idx="38">
                  <c:v>45.129899999999999</c:v>
                </c:pt>
                <c:pt idx="39">
                  <c:v>45.535899999999998</c:v>
                </c:pt>
                <c:pt idx="40">
                  <c:v>45.941000000000003</c:v>
                </c:pt>
                <c:pt idx="41">
                  <c:v>46.349699999999999</c:v>
                </c:pt>
                <c:pt idx="42">
                  <c:v>46.757899999999999</c:v>
                </c:pt>
                <c:pt idx="43">
                  <c:v>47.1586</c:v>
                </c:pt>
                <c:pt idx="44">
                  <c:v>47.566400000000002</c:v>
                </c:pt>
                <c:pt idx="45">
                  <c:v>47.9741</c:v>
                </c:pt>
                <c:pt idx="46">
                  <c:v>48.380200000000002</c:v>
                </c:pt>
                <c:pt idx="47">
                  <c:v>48.7883</c:v>
                </c:pt>
                <c:pt idx="48">
                  <c:v>49.1952</c:v>
                </c:pt>
                <c:pt idx="49">
                  <c:v>49.597000000000001</c:v>
                </c:pt>
                <c:pt idx="50">
                  <c:v>50.008000000000003</c:v>
                </c:pt>
                <c:pt idx="51">
                  <c:v>50.412799999999997</c:v>
                </c:pt>
                <c:pt idx="52">
                  <c:v>50.813800000000001</c:v>
                </c:pt>
                <c:pt idx="53">
                  <c:v>51.223100000000002</c:v>
                </c:pt>
                <c:pt idx="54">
                  <c:v>51.627600000000001</c:v>
                </c:pt>
                <c:pt idx="55">
                  <c:v>52.037500000000001</c:v>
                </c:pt>
                <c:pt idx="56">
                  <c:v>52.444400000000002</c:v>
                </c:pt>
                <c:pt idx="57">
                  <c:v>52.849299999999999</c:v>
                </c:pt>
                <c:pt idx="58">
                  <c:v>53.254300000000001</c:v>
                </c:pt>
                <c:pt idx="59">
                  <c:v>53.661099999999998</c:v>
                </c:pt>
                <c:pt idx="60">
                  <c:v>54.070099999999996</c:v>
                </c:pt>
                <c:pt idx="61">
                  <c:v>54.475099999999998</c:v>
                </c:pt>
                <c:pt idx="62">
                  <c:v>54.880899999999997</c:v>
                </c:pt>
                <c:pt idx="63">
                  <c:v>55.285200000000003</c:v>
                </c:pt>
                <c:pt idx="64">
                  <c:v>55.690199999999997</c:v>
                </c:pt>
                <c:pt idx="65">
                  <c:v>56.0976</c:v>
                </c:pt>
                <c:pt idx="66">
                  <c:v>56.505600000000001</c:v>
                </c:pt>
                <c:pt idx="67">
                  <c:v>56.910400000000003</c:v>
                </c:pt>
                <c:pt idx="68">
                  <c:v>57.315800000000003</c:v>
                </c:pt>
                <c:pt idx="69">
                  <c:v>57.728400000000001</c:v>
                </c:pt>
                <c:pt idx="70">
                  <c:v>58.129300000000001</c:v>
                </c:pt>
                <c:pt idx="71">
                  <c:v>58.536299999999997</c:v>
                </c:pt>
                <c:pt idx="72">
                  <c:v>58.943100000000001</c:v>
                </c:pt>
                <c:pt idx="73">
                  <c:v>59.346499999999999</c:v>
                </c:pt>
                <c:pt idx="74">
                  <c:v>59.758699999999997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3.6391299999999998</c:v>
                </c:pt>
                <c:pt idx="1">
                  <c:v>3.6275499999999998</c:v>
                </c:pt>
                <c:pt idx="2">
                  <c:v>3.6238599999999996</c:v>
                </c:pt>
                <c:pt idx="3">
                  <c:v>3.6212200000000001</c:v>
                </c:pt>
                <c:pt idx="4">
                  <c:v>3.6193499999999998</c:v>
                </c:pt>
                <c:pt idx="5">
                  <c:v>3.6171799999999998</c:v>
                </c:pt>
                <c:pt idx="6">
                  <c:v>3.6180699999999999</c:v>
                </c:pt>
                <c:pt idx="7">
                  <c:v>3.6209999999999996</c:v>
                </c:pt>
                <c:pt idx="8">
                  <c:v>3.6257099999999998</c:v>
                </c:pt>
                <c:pt idx="9">
                  <c:v>3.6311</c:v>
                </c:pt>
                <c:pt idx="10">
                  <c:v>3.6352500000000001</c:v>
                </c:pt>
                <c:pt idx="11">
                  <c:v>3.6379699999999997</c:v>
                </c:pt>
                <c:pt idx="12">
                  <c:v>3.6370999999999998</c:v>
                </c:pt>
                <c:pt idx="13">
                  <c:v>3.6334400000000002</c:v>
                </c:pt>
                <c:pt idx="14">
                  <c:v>3.6273</c:v>
                </c:pt>
                <c:pt idx="15">
                  <c:v>3.62384</c:v>
                </c:pt>
                <c:pt idx="16">
                  <c:v>3.6156999999999999</c:v>
                </c:pt>
                <c:pt idx="17">
                  <c:v>3.6078399999999999</c:v>
                </c:pt>
                <c:pt idx="18">
                  <c:v>3.59659</c:v>
                </c:pt>
                <c:pt idx="19">
                  <c:v>3.5790800000000003</c:v>
                </c:pt>
                <c:pt idx="20">
                  <c:v>3.55823</c:v>
                </c:pt>
                <c:pt idx="21">
                  <c:v>3.5358200000000002</c:v>
                </c:pt>
                <c:pt idx="22">
                  <c:v>3.5123199999999999</c:v>
                </c:pt>
                <c:pt idx="23">
                  <c:v>3.49031</c:v>
                </c:pt>
                <c:pt idx="24">
                  <c:v>3.4688699999999999</c:v>
                </c:pt>
                <c:pt idx="25">
                  <c:v>3.4465699999999999</c:v>
                </c:pt>
                <c:pt idx="26">
                  <c:v>3.42157</c:v>
                </c:pt>
                <c:pt idx="27">
                  <c:v>3.3942899999999998</c:v>
                </c:pt>
                <c:pt idx="28">
                  <c:v>3.36727</c:v>
                </c:pt>
                <c:pt idx="29">
                  <c:v>3.3417699999999999</c:v>
                </c:pt>
                <c:pt idx="30">
                  <c:v>3.31637</c:v>
                </c:pt>
                <c:pt idx="31">
                  <c:v>3.2910499999999998</c:v>
                </c:pt>
                <c:pt idx="32">
                  <c:v>3.2631600000000001</c:v>
                </c:pt>
                <c:pt idx="33">
                  <c:v>3.2342599999999999</c:v>
                </c:pt>
                <c:pt idx="34">
                  <c:v>3.2035200000000001</c:v>
                </c:pt>
                <c:pt idx="35">
                  <c:v>3.17266</c:v>
                </c:pt>
                <c:pt idx="36">
                  <c:v>3.1408300000000002</c:v>
                </c:pt>
                <c:pt idx="37">
                  <c:v>3.1126999999999998</c:v>
                </c:pt>
                <c:pt idx="38">
                  <c:v>3.0850899999999997</c:v>
                </c:pt>
                <c:pt idx="39">
                  <c:v>3.0639100000000004</c:v>
                </c:pt>
                <c:pt idx="40">
                  <c:v>3.0437599999999998</c:v>
                </c:pt>
                <c:pt idx="41">
                  <c:v>3.0277099999999999</c:v>
                </c:pt>
                <c:pt idx="42">
                  <c:v>3.0141800000000001</c:v>
                </c:pt>
                <c:pt idx="43">
                  <c:v>3.0015900000000002</c:v>
                </c:pt>
                <c:pt idx="44">
                  <c:v>2.99112</c:v>
                </c:pt>
                <c:pt idx="45">
                  <c:v>2.98265</c:v>
                </c:pt>
                <c:pt idx="46">
                  <c:v>2.9776200000000004</c:v>
                </c:pt>
                <c:pt idx="47">
                  <c:v>2.9758599999999999</c:v>
                </c:pt>
                <c:pt idx="48">
                  <c:v>2.97641</c:v>
                </c:pt>
                <c:pt idx="49">
                  <c:v>2.98231</c:v>
                </c:pt>
                <c:pt idx="50">
                  <c:v>2.99309</c:v>
                </c:pt>
                <c:pt idx="51">
                  <c:v>2.9944799999999998</c:v>
                </c:pt>
                <c:pt idx="52">
                  <c:v>2.99431</c:v>
                </c:pt>
                <c:pt idx="53">
                  <c:v>2.9945300000000001</c:v>
                </c:pt>
                <c:pt idx="54">
                  <c:v>2.9954700000000001</c:v>
                </c:pt>
                <c:pt idx="55">
                  <c:v>2.9965000000000002</c:v>
                </c:pt>
                <c:pt idx="56">
                  <c:v>2.9982500000000001</c:v>
                </c:pt>
                <c:pt idx="57">
                  <c:v>3.0011300000000003</c:v>
                </c:pt>
                <c:pt idx="58">
                  <c:v>3.0036800000000001</c:v>
                </c:pt>
                <c:pt idx="59">
                  <c:v>3.0083199999999999</c:v>
                </c:pt>
                <c:pt idx="60">
                  <c:v>3.0123499999999996</c:v>
                </c:pt>
                <c:pt idx="61">
                  <c:v>3.01892</c:v>
                </c:pt>
                <c:pt idx="62">
                  <c:v>3.0275000000000003</c:v>
                </c:pt>
                <c:pt idx="63">
                  <c:v>3.0394600000000001</c:v>
                </c:pt>
                <c:pt idx="64">
                  <c:v>3.0464799999999999</c:v>
                </c:pt>
                <c:pt idx="65">
                  <c:v>3.0523499999999997</c:v>
                </c:pt>
                <c:pt idx="66">
                  <c:v>3.0571799999999998</c:v>
                </c:pt>
                <c:pt idx="67">
                  <c:v>3.0610500000000003</c:v>
                </c:pt>
                <c:pt idx="68">
                  <c:v>3.0674800000000002</c:v>
                </c:pt>
                <c:pt idx="69">
                  <c:v>3.0794999999999999</c:v>
                </c:pt>
                <c:pt idx="70">
                  <c:v>3.0976399999999997</c:v>
                </c:pt>
                <c:pt idx="71">
                  <c:v>3.1187900000000002</c:v>
                </c:pt>
                <c:pt idx="72">
                  <c:v>3.1518200000000003</c:v>
                </c:pt>
                <c:pt idx="73">
                  <c:v>3.1877800000000001</c:v>
                </c:pt>
                <c:pt idx="74">
                  <c:v>3.2240799999999998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14.939674999999999</c:v>
                </c:pt>
                <c:pt idx="1">
                  <c:v>44.819024999999996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3.6909566216216225</c:v>
                </c:pt>
                <c:pt idx="1">
                  <c:v>3.2623658108108113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  <c:pt idx="74">
                  <c:v>30.033100000000001</c:v>
                </c:pt>
                <c:pt idx="75">
                  <c:v>30.614899999999999</c:v>
                </c:pt>
                <c:pt idx="76">
                  <c:v>30.992799999999999</c:v>
                </c:pt>
                <c:pt idx="77">
                  <c:v>31.364799999999999</c:v>
                </c:pt>
                <c:pt idx="78">
                  <c:v>31.741800000000001</c:v>
                </c:pt>
                <c:pt idx="79">
                  <c:v>32.126899999999999</c:v>
                </c:pt>
                <c:pt idx="80">
                  <c:v>32.5366</c:v>
                </c:pt>
                <c:pt idx="81">
                  <c:v>32.939799999999998</c:v>
                </c:pt>
                <c:pt idx="82">
                  <c:v>33.3474</c:v>
                </c:pt>
                <c:pt idx="83">
                  <c:v>33.755400000000002</c:v>
                </c:pt>
                <c:pt idx="84">
                  <c:v>34.162300000000002</c:v>
                </c:pt>
                <c:pt idx="85">
                  <c:v>34.571199999999997</c:v>
                </c:pt>
                <c:pt idx="86">
                  <c:v>34.971200000000003</c:v>
                </c:pt>
                <c:pt idx="87">
                  <c:v>35.379199999999997</c:v>
                </c:pt>
                <c:pt idx="88">
                  <c:v>35.787999999999997</c:v>
                </c:pt>
                <c:pt idx="89">
                  <c:v>36.191899999999997</c:v>
                </c:pt>
                <c:pt idx="90">
                  <c:v>36.5991</c:v>
                </c:pt>
                <c:pt idx="91">
                  <c:v>37.003700000000002</c:v>
                </c:pt>
                <c:pt idx="92">
                  <c:v>37.412599999999998</c:v>
                </c:pt>
                <c:pt idx="93">
                  <c:v>37.8185</c:v>
                </c:pt>
                <c:pt idx="94">
                  <c:v>38.223700000000001</c:v>
                </c:pt>
                <c:pt idx="95">
                  <c:v>38.6295</c:v>
                </c:pt>
                <c:pt idx="96">
                  <c:v>39.036200000000001</c:v>
                </c:pt>
                <c:pt idx="97">
                  <c:v>39.444200000000002</c:v>
                </c:pt>
                <c:pt idx="98">
                  <c:v>39.848100000000002</c:v>
                </c:pt>
                <c:pt idx="99">
                  <c:v>40.253999999999998</c:v>
                </c:pt>
                <c:pt idx="100">
                  <c:v>40.661200000000001</c:v>
                </c:pt>
                <c:pt idx="101">
                  <c:v>41.071899999999999</c:v>
                </c:pt>
                <c:pt idx="102">
                  <c:v>41.471800000000002</c:v>
                </c:pt>
                <c:pt idx="103">
                  <c:v>41.881599999999999</c:v>
                </c:pt>
                <c:pt idx="104">
                  <c:v>42.289700000000003</c:v>
                </c:pt>
                <c:pt idx="105">
                  <c:v>42.695500000000003</c:v>
                </c:pt>
                <c:pt idx="106">
                  <c:v>43.1004</c:v>
                </c:pt>
                <c:pt idx="107">
                  <c:v>43.504300000000001</c:v>
                </c:pt>
                <c:pt idx="108">
                  <c:v>43.9114</c:v>
                </c:pt>
                <c:pt idx="109">
                  <c:v>44.315199999999997</c:v>
                </c:pt>
                <c:pt idx="110">
                  <c:v>44.725299999999997</c:v>
                </c:pt>
                <c:pt idx="111">
                  <c:v>45.129899999999999</c:v>
                </c:pt>
                <c:pt idx="112">
                  <c:v>45.535899999999998</c:v>
                </c:pt>
                <c:pt idx="113">
                  <c:v>45.941000000000003</c:v>
                </c:pt>
                <c:pt idx="114">
                  <c:v>46.349699999999999</c:v>
                </c:pt>
                <c:pt idx="115">
                  <c:v>46.757899999999999</c:v>
                </c:pt>
                <c:pt idx="116">
                  <c:v>47.1586</c:v>
                </c:pt>
                <c:pt idx="117">
                  <c:v>47.566400000000002</c:v>
                </c:pt>
                <c:pt idx="118">
                  <c:v>47.9741</c:v>
                </c:pt>
                <c:pt idx="119">
                  <c:v>48.380200000000002</c:v>
                </c:pt>
                <c:pt idx="120">
                  <c:v>48.7883</c:v>
                </c:pt>
                <c:pt idx="121">
                  <c:v>49.1952</c:v>
                </c:pt>
                <c:pt idx="122">
                  <c:v>49.597000000000001</c:v>
                </c:pt>
                <c:pt idx="123">
                  <c:v>50.008000000000003</c:v>
                </c:pt>
                <c:pt idx="124">
                  <c:v>50.412799999999997</c:v>
                </c:pt>
                <c:pt idx="125">
                  <c:v>50.813800000000001</c:v>
                </c:pt>
                <c:pt idx="126">
                  <c:v>51.223100000000002</c:v>
                </c:pt>
                <c:pt idx="127">
                  <c:v>51.627600000000001</c:v>
                </c:pt>
                <c:pt idx="128">
                  <c:v>52.037500000000001</c:v>
                </c:pt>
                <c:pt idx="129">
                  <c:v>52.444400000000002</c:v>
                </c:pt>
                <c:pt idx="130">
                  <c:v>52.849299999999999</c:v>
                </c:pt>
                <c:pt idx="131">
                  <c:v>53.254300000000001</c:v>
                </c:pt>
                <c:pt idx="132">
                  <c:v>53.661099999999998</c:v>
                </c:pt>
                <c:pt idx="133">
                  <c:v>54.070099999999996</c:v>
                </c:pt>
                <c:pt idx="134">
                  <c:v>54.475099999999998</c:v>
                </c:pt>
                <c:pt idx="135">
                  <c:v>54.880899999999997</c:v>
                </c:pt>
                <c:pt idx="136">
                  <c:v>55.285200000000003</c:v>
                </c:pt>
                <c:pt idx="137">
                  <c:v>55.690199999999997</c:v>
                </c:pt>
                <c:pt idx="138">
                  <c:v>56.0976</c:v>
                </c:pt>
                <c:pt idx="139">
                  <c:v>56.505600000000001</c:v>
                </c:pt>
                <c:pt idx="140">
                  <c:v>56.910400000000003</c:v>
                </c:pt>
                <c:pt idx="141">
                  <c:v>57.315800000000003</c:v>
                </c:pt>
                <c:pt idx="142">
                  <c:v>57.728400000000001</c:v>
                </c:pt>
                <c:pt idx="143">
                  <c:v>58.129300000000001</c:v>
                </c:pt>
                <c:pt idx="144">
                  <c:v>58.536299999999997</c:v>
                </c:pt>
                <c:pt idx="145">
                  <c:v>58.943100000000001</c:v>
                </c:pt>
                <c:pt idx="146">
                  <c:v>59.346499999999999</c:v>
                </c:pt>
                <c:pt idx="147">
                  <c:v>59.758699999999997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  <c:pt idx="74">
                  <c:v>9.5782799999999995</c:v>
                </c:pt>
                <c:pt idx="75">
                  <c:v>9.4835399999999996</c:v>
                </c:pt>
                <c:pt idx="76">
                  <c:v>9.29284</c:v>
                </c:pt>
                <c:pt idx="77">
                  <c:v>9.1538500000000003</c:v>
                </c:pt>
                <c:pt idx="78">
                  <c:v>9.0822200000000013</c:v>
                </c:pt>
                <c:pt idx="79">
                  <c:v>8.9053100000000001</c:v>
                </c:pt>
                <c:pt idx="80">
                  <c:v>8.7626600000000003</c:v>
                </c:pt>
                <c:pt idx="81">
                  <c:v>8.6318699999999993</c:v>
                </c:pt>
                <c:pt idx="82">
                  <c:v>8.3964499999999997</c:v>
                </c:pt>
                <c:pt idx="83">
                  <c:v>8.219619999999999</c:v>
                </c:pt>
                <c:pt idx="84">
                  <c:v>8.0097000000000005</c:v>
                </c:pt>
                <c:pt idx="85">
                  <c:v>7.859770000000001</c:v>
                </c:pt>
                <c:pt idx="86">
                  <c:v>7.63842</c:v>
                </c:pt>
                <c:pt idx="87">
                  <c:v>7.4454400000000005</c:v>
                </c:pt>
                <c:pt idx="88">
                  <c:v>7.1132699999999991</c:v>
                </c:pt>
                <c:pt idx="89">
                  <c:v>6.932290000000001</c:v>
                </c:pt>
                <c:pt idx="90">
                  <c:v>6.6395800000000005</c:v>
                </c:pt>
                <c:pt idx="91">
                  <c:v>6.4163300000000003</c:v>
                </c:pt>
                <c:pt idx="92">
                  <c:v>6.3110799999999996</c:v>
                </c:pt>
                <c:pt idx="93">
                  <c:v>6.1483699999999999</c:v>
                </c:pt>
                <c:pt idx="94">
                  <c:v>5.9183500000000002</c:v>
                </c:pt>
                <c:pt idx="95">
                  <c:v>5.6293699999999998</c:v>
                </c:pt>
                <c:pt idx="96">
                  <c:v>5.3234499999999993</c:v>
                </c:pt>
                <c:pt idx="97">
                  <c:v>4.8937900000000001</c:v>
                </c:pt>
                <c:pt idx="98">
                  <c:v>4.50326</c:v>
                </c:pt>
                <c:pt idx="99">
                  <c:v>4.01152</c:v>
                </c:pt>
                <c:pt idx="100">
                  <c:v>3.4397499999999996</c:v>
                </c:pt>
                <c:pt idx="101">
                  <c:v>2.8880300000000001</c:v>
                </c:pt>
                <c:pt idx="102">
                  <c:v>2.3223400000000001</c:v>
                </c:pt>
                <c:pt idx="103">
                  <c:v>1.764</c:v>
                </c:pt>
                <c:pt idx="104">
                  <c:v>1.2584500000000001</c:v>
                </c:pt>
                <c:pt idx="105">
                  <c:v>0.80117000000000005</c:v>
                </c:pt>
                <c:pt idx="106">
                  <c:v>0.348082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0.14771700000000001</c:v>
                </c:pt>
                <c:pt idx="134">
                  <c:v>0.340702</c:v>
                </c:pt>
                <c:pt idx="135">
                  <c:v>0.46893300000000004</c:v>
                </c:pt>
                <c:pt idx="136">
                  <c:v>0.61600099999999991</c:v>
                </c:pt>
                <c:pt idx="137">
                  <c:v>0.87097100000000005</c:v>
                </c:pt>
                <c:pt idx="138">
                  <c:v>0.92662100000000003</c:v>
                </c:pt>
                <c:pt idx="139">
                  <c:v>1.0436400000000001</c:v>
                </c:pt>
                <c:pt idx="140">
                  <c:v>1.2552000000000001</c:v>
                </c:pt>
                <c:pt idx="141">
                  <c:v>1.4509700000000001</c:v>
                </c:pt>
                <c:pt idx="142">
                  <c:v>1.58856</c:v>
                </c:pt>
                <c:pt idx="143">
                  <c:v>1.73027</c:v>
                </c:pt>
                <c:pt idx="144">
                  <c:v>2.0034900000000002</c:v>
                </c:pt>
                <c:pt idx="145">
                  <c:v>2.0186899999999999</c:v>
                </c:pt>
                <c:pt idx="146">
                  <c:v>2.6428099999999999</c:v>
                </c:pt>
                <c:pt idx="147">
                  <c:v>3.3650199999999999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29.627300000000002</c:v>
                </c:pt>
                <c:pt idx="1">
                  <c:v>30.033100000000001</c:v>
                </c:pt>
                <c:pt idx="2">
                  <c:v>30.614899999999999</c:v>
                </c:pt>
                <c:pt idx="3">
                  <c:v>30.992799999999999</c:v>
                </c:pt>
                <c:pt idx="4">
                  <c:v>31.364799999999999</c:v>
                </c:pt>
                <c:pt idx="5">
                  <c:v>31.741800000000001</c:v>
                </c:pt>
                <c:pt idx="6">
                  <c:v>32.126899999999999</c:v>
                </c:pt>
                <c:pt idx="7">
                  <c:v>32.5366</c:v>
                </c:pt>
                <c:pt idx="8">
                  <c:v>32.939799999999998</c:v>
                </c:pt>
                <c:pt idx="9">
                  <c:v>33.3474</c:v>
                </c:pt>
                <c:pt idx="10">
                  <c:v>33.755400000000002</c:v>
                </c:pt>
                <c:pt idx="11">
                  <c:v>34.162300000000002</c:v>
                </c:pt>
                <c:pt idx="12">
                  <c:v>34.571199999999997</c:v>
                </c:pt>
                <c:pt idx="13">
                  <c:v>34.971200000000003</c:v>
                </c:pt>
                <c:pt idx="14">
                  <c:v>35.379199999999997</c:v>
                </c:pt>
                <c:pt idx="15">
                  <c:v>35.787999999999997</c:v>
                </c:pt>
                <c:pt idx="16">
                  <c:v>36.191899999999997</c:v>
                </c:pt>
                <c:pt idx="17">
                  <c:v>36.5991</c:v>
                </c:pt>
                <c:pt idx="18">
                  <c:v>37.003700000000002</c:v>
                </c:pt>
                <c:pt idx="19">
                  <c:v>37.412599999999998</c:v>
                </c:pt>
                <c:pt idx="20">
                  <c:v>37.8185</c:v>
                </c:pt>
                <c:pt idx="21">
                  <c:v>38.223700000000001</c:v>
                </c:pt>
                <c:pt idx="22">
                  <c:v>38.6295</c:v>
                </c:pt>
                <c:pt idx="23">
                  <c:v>39.036200000000001</c:v>
                </c:pt>
                <c:pt idx="24">
                  <c:v>39.444200000000002</c:v>
                </c:pt>
                <c:pt idx="25">
                  <c:v>39.848100000000002</c:v>
                </c:pt>
                <c:pt idx="26">
                  <c:v>40.253999999999998</c:v>
                </c:pt>
                <c:pt idx="27">
                  <c:v>40.661200000000001</c:v>
                </c:pt>
                <c:pt idx="28">
                  <c:v>41.071899999999999</c:v>
                </c:pt>
                <c:pt idx="29">
                  <c:v>41.471800000000002</c:v>
                </c:pt>
                <c:pt idx="30">
                  <c:v>41.881599999999999</c:v>
                </c:pt>
                <c:pt idx="31">
                  <c:v>42.289700000000003</c:v>
                </c:pt>
                <c:pt idx="32">
                  <c:v>42.695500000000003</c:v>
                </c:pt>
                <c:pt idx="33">
                  <c:v>43.1004</c:v>
                </c:pt>
                <c:pt idx="34">
                  <c:v>43.504300000000001</c:v>
                </c:pt>
                <c:pt idx="35">
                  <c:v>43.9114</c:v>
                </c:pt>
                <c:pt idx="36">
                  <c:v>44.315199999999997</c:v>
                </c:pt>
                <c:pt idx="37">
                  <c:v>44.725299999999997</c:v>
                </c:pt>
                <c:pt idx="38">
                  <c:v>45.129899999999999</c:v>
                </c:pt>
                <c:pt idx="39">
                  <c:v>45.535899999999998</c:v>
                </c:pt>
                <c:pt idx="40">
                  <c:v>45.941000000000003</c:v>
                </c:pt>
                <c:pt idx="41">
                  <c:v>46.349699999999999</c:v>
                </c:pt>
                <c:pt idx="42">
                  <c:v>46.757899999999999</c:v>
                </c:pt>
                <c:pt idx="43">
                  <c:v>47.1586</c:v>
                </c:pt>
                <c:pt idx="44">
                  <c:v>47.566400000000002</c:v>
                </c:pt>
                <c:pt idx="45">
                  <c:v>47.9741</c:v>
                </c:pt>
                <c:pt idx="46">
                  <c:v>48.380200000000002</c:v>
                </c:pt>
                <c:pt idx="47">
                  <c:v>48.7883</c:v>
                </c:pt>
                <c:pt idx="48">
                  <c:v>49.1952</c:v>
                </c:pt>
                <c:pt idx="49">
                  <c:v>49.597000000000001</c:v>
                </c:pt>
                <c:pt idx="50">
                  <c:v>50.008000000000003</c:v>
                </c:pt>
                <c:pt idx="51">
                  <c:v>50.412799999999997</c:v>
                </c:pt>
                <c:pt idx="52">
                  <c:v>50.813800000000001</c:v>
                </c:pt>
                <c:pt idx="53">
                  <c:v>51.223100000000002</c:v>
                </c:pt>
                <c:pt idx="54">
                  <c:v>51.627600000000001</c:v>
                </c:pt>
                <c:pt idx="55">
                  <c:v>52.037500000000001</c:v>
                </c:pt>
                <c:pt idx="56">
                  <c:v>52.444400000000002</c:v>
                </c:pt>
                <c:pt idx="57">
                  <c:v>52.849299999999999</c:v>
                </c:pt>
                <c:pt idx="58">
                  <c:v>53.254300000000001</c:v>
                </c:pt>
                <c:pt idx="59">
                  <c:v>53.661099999999998</c:v>
                </c:pt>
                <c:pt idx="60">
                  <c:v>54.070099999999996</c:v>
                </c:pt>
                <c:pt idx="61">
                  <c:v>54.475099999999998</c:v>
                </c:pt>
                <c:pt idx="62">
                  <c:v>54.880899999999997</c:v>
                </c:pt>
                <c:pt idx="63">
                  <c:v>55.285200000000003</c:v>
                </c:pt>
                <c:pt idx="64">
                  <c:v>55.690199999999997</c:v>
                </c:pt>
                <c:pt idx="65">
                  <c:v>56.0976</c:v>
                </c:pt>
                <c:pt idx="66">
                  <c:v>56.505600000000001</c:v>
                </c:pt>
                <c:pt idx="67">
                  <c:v>56.910400000000003</c:v>
                </c:pt>
                <c:pt idx="68">
                  <c:v>57.315800000000003</c:v>
                </c:pt>
                <c:pt idx="69">
                  <c:v>57.728400000000001</c:v>
                </c:pt>
                <c:pt idx="70">
                  <c:v>58.129300000000001</c:v>
                </c:pt>
                <c:pt idx="71">
                  <c:v>58.536299999999997</c:v>
                </c:pt>
                <c:pt idx="72">
                  <c:v>58.943100000000001</c:v>
                </c:pt>
                <c:pt idx="73">
                  <c:v>59.346499999999999</c:v>
                </c:pt>
                <c:pt idx="74">
                  <c:v>59.758699999999997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9.6465399999999999</c:v>
                </c:pt>
                <c:pt idx="1">
                  <c:v>9.5782799999999995</c:v>
                </c:pt>
                <c:pt idx="2">
                  <c:v>9.4835399999999996</c:v>
                </c:pt>
                <c:pt idx="3">
                  <c:v>9.29284</c:v>
                </c:pt>
                <c:pt idx="4">
                  <c:v>9.1538500000000003</c:v>
                </c:pt>
                <c:pt idx="5">
                  <c:v>9.0822200000000013</c:v>
                </c:pt>
                <c:pt idx="6">
                  <c:v>8.9053100000000001</c:v>
                </c:pt>
                <c:pt idx="7">
                  <c:v>8.7626600000000003</c:v>
                </c:pt>
                <c:pt idx="8">
                  <c:v>8.6318699999999993</c:v>
                </c:pt>
                <c:pt idx="9">
                  <c:v>8.3964499999999997</c:v>
                </c:pt>
                <c:pt idx="10">
                  <c:v>8.219619999999999</c:v>
                </c:pt>
                <c:pt idx="11">
                  <c:v>8.0097000000000005</c:v>
                </c:pt>
                <c:pt idx="12">
                  <c:v>7.859770000000001</c:v>
                </c:pt>
                <c:pt idx="13">
                  <c:v>7.63842</c:v>
                </c:pt>
                <c:pt idx="14">
                  <c:v>7.4454400000000005</c:v>
                </c:pt>
                <c:pt idx="15">
                  <c:v>7.1132699999999991</c:v>
                </c:pt>
                <c:pt idx="16">
                  <c:v>6.932290000000001</c:v>
                </c:pt>
                <c:pt idx="17">
                  <c:v>6.6395800000000005</c:v>
                </c:pt>
                <c:pt idx="18">
                  <c:v>6.4163300000000003</c:v>
                </c:pt>
                <c:pt idx="19">
                  <c:v>6.3110799999999996</c:v>
                </c:pt>
                <c:pt idx="20">
                  <c:v>6.1483699999999999</c:v>
                </c:pt>
                <c:pt idx="21">
                  <c:v>5.9183500000000002</c:v>
                </c:pt>
                <c:pt idx="22">
                  <c:v>5.6293699999999998</c:v>
                </c:pt>
                <c:pt idx="23">
                  <c:v>5.3234499999999993</c:v>
                </c:pt>
                <c:pt idx="24">
                  <c:v>4.8937900000000001</c:v>
                </c:pt>
                <c:pt idx="25">
                  <c:v>4.50326</c:v>
                </c:pt>
                <c:pt idx="26">
                  <c:v>4.01152</c:v>
                </c:pt>
                <c:pt idx="27">
                  <c:v>3.4397499999999996</c:v>
                </c:pt>
                <c:pt idx="28">
                  <c:v>2.8880300000000001</c:v>
                </c:pt>
                <c:pt idx="29">
                  <c:v>2.3223400000000001</c:v>
                </c:pt>
                <c:pt idx="30">
                  <c:v>1.764</c:v>
                </c:pt>
                <c:pt idx="31">
                  <c:v>1.2584500000000001</c:v>
                </c:pt>
                <c:pt idx="32">
                  <c:v>0.80117000000000005</c:v>
                </c:pt>
                <c:pt idx="33">
                  <c:v>0.348082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0.14771700000000001</c:v>
                </c:pt>
                <c:pt idx="61">
                  <c:v>0.340702</c:v>
                </c:pt>
                <c:pt idx="62">
                  <c:v>0.46893300000000004</c:v>
                </c:pt>
                <c:pt idx="63">
                  <c:v>0.61600099999999991</c:v>
                </c:pt>
                <c:pt idx="64">
                  <c:v>0.87097100000000005</c:v>
                </c:pt>
                <c:pt idx="65">
                  <c:v>0.92662100000000003</c:v>
                </c:pt>
                <c:pt idx="66">
                  <c:v>1.0436400000000001</c:v>
                </c:pt>
                <c:pt idx="67">
                  <c:v>1.2552000000000001</c:v>
                </c:pt>
                <c:pt idx="68">
                  <c:v>1.4509700000000001</c:v>
                </c:pt>
                <c:pt idx="69">
                  <c:v>1.58856</c:v>
                </c:pt>
                <c:pt idx="70">
                  <c:v>1.73027</c:v>
                </c:pt>
                <c:pt idx="71">
                  <c:v>2.0034900000000002</c:v>
                </c:pt>
                <c:pt idx="72">
                  <c:v>2.0186899999999999</c:v>
                </c:pt>
                <c:pt idx="73">
                  <c:v>2.6428099999999999</c:v>
                </c:pt>
                <c:pt idx="74">
                  <c:v>3.3650199999999999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14.939674999999999</c:v>
                </c:pt>
                <c:pt idx="1">
                  <c:v>44.819024999999996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19.623614999999997</c:v>
                </c:pt>
                <c:pt idx="1">
                  <c:v>3.0215141486486483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49.822200000000002</c:v>
                </c:pt>
                <c:pt idx="1">
                  <c:v>31.114000000000001</c:v>
                </c:pt>
                <c:pt idx="2">
                  <c:v>28.133500000000002</c:v>
                </c:pt>
                <c:pt idx="3">
                  <c:v>36.587400000000002</c:v>
                </c:pt>
                <c:pt idx="4">
                  <c:v>61.195099999999996</c:v>
                </c:pt>
                <c:pt idx="5">
                  <c:v>80.478700000000003</c:v>
                </c:pt>
                <c:pt idx="6">
                  <c:v>20.8169</c:v>
                </c:pt>
                <c:pt idx="7">
                  <c:v>71.664900000000003</c:v>
                </c:pt>
                <c:pt idx="8">
                  <c:v>22.514500000000002</c:v>
                </c:pt>
                <c:pt idx="9">
                  <c:v>24.699000000000002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53.836500000000001</c:v>
                </c:pt>
                <c:pt idx="1">
                  <c:v>42.276499999999999</c:v>
                </c:pt>
                <c:pt idx="2">
                  <c:v>30.916399999999999</c:v>
                </c:pt>
                <c:pt idx="3">
                  <c:v>41.985300000000002</c:v>
                </c:pt>
                <c:pt idx="4">
                  <c:v>51.766300000000001</c:v>
                </c:pt>
                <c:pt idx="5">
                  <c:v>59.943899999999999</c:v>
                </c:pt>
                <c:pt idx="6">
                  <c:v>15.639099999999999</c:v>
                </c:pt>
                <c:pt idx="7">
                  <c:v>55.476399999999998</c:v>
                </c:pt>
                <c:pt idx="8">
                  <c:v>23.292300000000001</c:v>
                </c:pt>
                <c:pt idx="9">
                  <c:v>31.714500000000001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0.49374946888672538</c:v>
                </c:pt>
                <c:pt idx="1">
                  <c:v>0.30713814132389172</c:v>
                </c:pt>
                <c:pt idx="2">
                  <c:v>0.19911238978938289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2165</c:v>
                </c:pt>
                <c:pt idx="7">
                  <c:v>0</c:v>
                </c:pt>
                <c:pt idx="8">
                  <c:v>2920</c:v>
                </c:pt>
                <c:pt idx="9">
                  <c:v>0</c:v>
                </c:pt>
                <c:pt idx="10">
                  <c:v>0</c:v>
                </c:pt>
                <c:pt idx="11">
                  <c:v>5107</c:v>
                </c:pt>
                <c:pt idx="12">
                  <c:v>0</c:v>
                </c:pt>
                <c:pt idx="13">
                  <c:v>6391</c:v>
                </c:pt>
                <c:pt idx="14">
                  <c:v>0</c:v>
                </c:pt>
                <c:pt idx="15">
                  <c:v>0</c:v>
                </c:pt>
                <c:pt idx="16">
                  <c:v>8785</c:v>
                </c:pt>
                <c:pt idx="17">
                  <c:v>0</c:v>
                </c:pt>
                <c:pt idx="18">
                  <c:v>0</c:v>
                </c:pt>
                <c:pt idx="19">
                  <c:v>6683</c:v>
                </c:pt>
                <c:pt idx="20">
                  <c:v>0</c:v>
                </c:pt>
                <c:pt idx="21">
                  <c:v>10872</c:v>
                </c:pt>
                <c:pt idx="22">
                  <c:v>0</c:v>
                </c:pt>
                <c:pt idx="23">
                  <c:v>0</c:v>
                </c:pt>
                <c:pt idx="24">
                  <c:v>12879</c:v>
                </c:pt>
                <c:pt idx="25">
                  <c:v>0</c:v>
                </c:pt>
                <c:pt idx="26">
                  <c:v>12224</c:v>
                </c:pt>
                <c:pt idx="27">
                  <c:v>0</c:v>
                </c:pt>
                <c:pt idx="28">
                  <c:v>0</c:v>
                </c:pt>
                <c:pt idx="29">
                  <c:v>16997</c:v>
                </c:pt>
                <c:pt idx="30">
                  <c:v>0</c:v>
                </c:pt>
                <c:pt idx="31">
                  <c:v>16714</c:v>
                </c:pt>
                <c:pt idx="32">
                  <c:v>0</c:v>
                </c:pt>
                <c:pt idx="33">
                  <c:v>0</c:v>
                </c:pt>
                <c:pt idx="34">
                  <c:v>23403</c:v>
                </c:pt>
                <c:pt idx="35">
                  <c:v>0</c:v>
                </c:pt>
                <c:pt idx="36">
                  <c:v>0</c:v>
                </c:pt>
                <c:pt idx="37">
                  <c:v>27122</c:v>
                </c:pt>
                <c:pt idx="38">
                  <c:v>0</c:v>
                </c:pt>
                <c:pt idx="39">
                  <c:v>28616</c:v>
                </c:pt>
                <c:pt idx="40">
                  <c:v>0</c:v>
                </c:pt>
                <c:pt idx="41">
                  <c:v>0</c:v>
                </c:pt>
                <c:pt idx="42">
                  <c:v>31559</c:v>
                </c:pt>
                <c:pt idx="43">
                  <c:v>0</c:v>
                </c:pt>
                <c:pt idx="44">
                  <c:v>39145</c:v>
                </c:pt>
                <c:pt idx="45">
                  <c:v>0</c:v>
                </c:pt>
                <c:pt idx="46">
                  <c:v>0</c:v>
                </c:pt>
                <c:pt idx="47">
                  <c:v>40260</c:v>
                </c:pt>
                <c:pt idx="48">
                  <c:v>0</c:v>
                </c:pt>
                <c:pt idx="49">
                  <c:v>39188</c:v>
                </c:pt>
                <c:pt idx="50">
                  <c:v>0</c:v>
                </c:pt>
                <c:pt idx="51">
                  <c:v>0</c:v>
                </c:pt>
                <c:pt idx="52">
                  <c:v>44321</c:v>
                </c:pt>
                <c:pt idx="53">
                  <c:v>0</c:v>
                </c:pt>
                <c:pt idx="54">
                  <c:v>0</c:v>
                </c:pt>
                <c:pt idx="55">
                  <c:v>48008</c:v>
                </c:pt>
                <c:pt idx="56">
                  <c:v>0</c:v>
                </c:pt>
                <c:pt idx="57">
                  <c:v>45900</c:v>
                </c:pt>
                <c:pt idx="58">
                  <c:v>0</c:v>
                </c:pt>
                <c:pt idx="59">
                  <c:v>0</c:v>
                </c:pt>
                <c:pt idx="60">
                  <c:v>53464</c:v>
                </c:pt>
                <c:pt idx="61">
                  <c:v>0</c:v>
                </c:pt>
                <c:pt idx="62">
                  <c:v>52696</c:v>
                </c:pt>
                <c:pt idx="63">
                  <c:v>0</c:v>
                </c:pt>
                <c:pt idx="64">
                  <c:v>0</c:v>
                </c:pt>
                <c:pt idx="65">
                  <c:v>52321</c:v>
                </c:pt>
                <c:pt idx="66">
                  <c:v>0</c:v>
                </c:pt>
                <c:pt idx="67">
                  <c:v>58238</c:v>
                </c:pt>
                <c:pt idx="68">
                  <c:v>0</c:v>
                </c:pt>
                <c:pt idx="69">
                  <c:v>0</c:v>
                </c:pt>
                <c:pt idx="70">
                  <c:v>59243</c:v>
                </c:pt>
                <c:pt idx="71">
                  <c:v>0</c:v>
                </c:pt>
                <c:pt idx="72">
                  <c:v>0</c:v>
                </c:pt>
                <c:pt idx="73">
                  <c:v>64530</c:v>
                </c:pt>
                <c:pt idx="74">
                  <c:v>0</c:v>
                </c:pt>
                <c:pt idx="75">
                  <c:v>62517</c:v>
                </c:pt>
                <c:pt idx="76">
                  <c:v>0</c:v>
                </c:pt>
                <c:pt idx="77">
                  <c:v>0</c:v>
                </c:pt>
                <c:pt idx="78">
                  <c:v>60399</c:v>
                </c:pt>
                <c:pt idx="79">
                  <c:v>0</c:v>
                </c:pt>
                <c:pt idx="80">
                  <c:v>62211</c:v>
                </c:pt>
                <c:pt idx="81">
                  <c:v>0</c:v>
                </c:pt>
                <c:pt idx="82">
                  <c:v>0</c:v>
                </c:pt>
                <c:pt idx="83">
                  <c:v>59508</c:v>
                </c:pt>
                <c:pt idx="84">
                  <c:v>0</c:v>
                </c:pt>
                <c:pt idx="85">
                  <c:v>0</c:v>
                </c:pt>
                <c:pt idx="86">
                  <c:v>66248</c:v>
                </c:pt>
                <c:pt idx="87">
                  <c:v>0</c:v>
                </c:pt>
                <c:pt idx="88">
                  <c:v>61181</c:v>
                </c:pt>
                <c:pt idx="89">
                  <c:v>0</c:v>
                </c:pt>
                <c:pt idx="90">
                  <c:v>0</c:v>
                </c:pt>
                <c:pt idx="91">
                  <c:v>58704</c:v>
                </c:pt>
                <c:pt idx="92">
                  <c:v>0</c:v>
                </c:pt>
                <c:pt idx="93">
                  <c:v>56491</c:v>
                </c:pt>
                <c:pt idx="94">
                  <c:v>0</c:v>
                </c:pt>
                <c:pt idx="95">
                  <c:v>0</c:v>
                </c:pt>
                <c:pt idx="96">
                  <c:v>51439</c:v>
                </c:pt>
                <c:pt idx="97">
                  <c:v>0</c:v>
                </c:pt>
                <c:pt idx="98">
                  <c:v>49560</c:v>
                </c:pt>
                <c:pt idx="99">
                  <c:v>0</c:v>
                </c:pt>
                <c:pt idx="100">
                  <c:v>0</c:v>
                </c:pt>
                <c:pt idx="101">
                  <c:v>46417</c:v>
                </c:pt>
                <c:pt idx="102">
                  <c:v>0</c:v>
                </c:pt>
                <c:pt idx="103">
                  <c:v>0</c:v>
                </c:pt>
                <c:pt idx="104">
                  <c:v>43291</c:v>
                </c:pt>
                <c:pt idx="105">
                  <c:v>0</c:v>
                </c:pt>
                <c:pt idx="106">
                  <c:v>45098</c:v>
                </c:pt>
                <c:pt idx="107">
                  <c:v>0</c:v>
                </c:pt>
                <c:pt idx="108">
                  <c:v>0</c:v>
                </c:pt>
                <c:pt idx="109">
                  <c:v>46777</c:v>
                </c:pt>
                <c:pt idx="110">
                  <c:v>0</c:v>
                </c:pt>
                <c:pt idx="111">
                  <c:v>45078</c:v>
                </c:pt>
                <c:pt idx="112">
                  <c:v>0</c:v>
                </c:pt>
                <c:pt idx="113">
                  <c:v>0</c:v>
                </c:pt>
                <c:pt idx="114">
                  <c:v>40545</c:v>
                </c:pt>
                <c:pt idx="115">
                  <c:v>0</c:v>
                </c:pt>
                <c:pt idx="116">
                  <c:v>41364</c:v>
                </c:pt>
                <c:pt idx="117">
                  <c:v>0</c:v>
                </c:pt>
                <c:pt idx="118">
                  <c:v>0</c:v>
                </c:pt>
                <c:pt idx="119">
                  <c:v>38937</c:v>
                </c:pt>
                <c:pt idx="120">
                  <c:v>0</c:v>
                </c:pt>
                <c:pt idx="121">
                  <c:v>0</c:v>
                </c:pt>
                <c:pt idx="122">
                  <c:v>36009</c:v>
                </c:pt>
                <c:pt idx="123">
                  <c:v>0</c:v>
                </c:pt>
                <c:pt idx="124">
                  <c:v>33929</c:v>
                </c:pt>
                <c:pt idx="125">
                  <c:v>0</c:v>
                </c:pt>
                <c:pt idx="126">
                  <c:v>0</c:v>
                </c:pt>
                <c:pt idx="127">
                  <c:v>32018</c:v>
                </c:pt>
                <c:pt idx="128">
                  <c:v>0</c:v>
                </c:pt>
                <c:pt idx="129">
                  <c:v>32143</c:v>
                </c:pt>
                <c:pt idx="130">
                  <c:v>0</c:v>
                </c:pt>
                <c:pt idx="131">
                  <c:v>0</c:v>
                </c:pt>
                <c:pt idx="132">
                  <c:v>31562</c:v>
                </c:pt>
                <c:pt idx="133">
                  <c:v>0</c:v>
                </c:pt>
                <c:pt idx="134">
                  <c:v>31437</c:v>
                </c:pt>
                <c:pt idx="135">
                  <c:v>0</c:v>
                </c:pt>
                <c:pt idx="136">
                  <c:v>0</c:v>
                </c:pt>
                <c:pt idx="137">
                  <c:v>30564</c:v>
                </c:pt>
                <c:pt idx="138">
                  <c:v>0</c:v>
                </c:pt>
                <c:pt idx="139">
                  <c:v>0</c:v>
                </c:pt>
                <c:pt idx="140">
                  <c:v>25798</c:v>
                </c:pt>
                <c:pt idx="141">
                  <c:v>0</c:v>
                </c:pt>
                <c:pt idx="142">
                  <c:v>22814</c:v>
                </c:pt>
                <c:pt idx="143">
                  <c:v>0</c:v>
                </c:pt>
                <c:pt idx="144">
                  <c:v>0</c:v>
                </c:pt>
                <c:pt idx="145">
                  <c:v>22497</c:v>
                </c:pt>
                <c:pt idx="146">
                  <c:v>0</c:v>
                </c:pt>
                <c:pt idx="147">
                  <c:v>21358</c:v>
                </c:pt>
                <c:pt idx="148">
                  <c:v>0</c:v>
                </c:pt>
                <c:pt idx="149">
                  <c:v>0</c:v>
                </c:pt>
                <c:pt idx="150">
                  <c:v>18530</c:v>
                </c:pt>
                <c:pt idx="151">
                  <c:v>0</c:v>
                </c:pt>
                <c:pt idx="152">
                  <c:v>13260</c:v>
                </c:pt>
                <c:pt idx="153">
                  <c:v>0</c:v>
                </c:pt>
                <c:pt idx="154">
                  <c:v>0</c:v>
                </c:pt>
                <c:pt idx="155">
                  <c:v>11871</c:v>
                </c:pt>
                <c:pt idx="156">
                  <c:v>0</c:v>
                </c:pt>
                <c:pt idx="157">
                  <c:v>0</c:v>
                </c:pt>
                <c:pt idx="158">
                  <c:v>10248</c:v>
                </c:pt>
                <c:pt idx="159">
                  <c:v>0</c:v>
                </c:pt>
                <c:pt idx="160">
                  <c:v>9820</c:v>
                </c:pt>
                <c:pt idx="161">
                  <c:v>0</c:v>
                </c:pt>
                <c:pt idx="162">
                  <c:v>0</c:v>
                </c:pt>
                <c:pt idx="163">
                  <c:v>9609</c:v>
                </c:pt>
                <c:pt idx="164">
                  <c:v>0</c:v>
                </c:pt>
                <c:pt idx="165">
                  <c:v>15311</c:v>
                </c:pt>
                <c:pt idx="166">
                  <c:v>0</c:v>
                </c:pt>
                <c:pt idx="167">
                  <c:v>0</c:v>
                </c:pt>
                <c:pt idx="168">
                  <c:v>14660</c:v>
                </c:pt>
                <c:pt idx="169">
                  <c:v>0</c:v>
                </c:pt>
                <c:pt idx="170">
                  <c:v>0</c:v>
                </c:pt>
                <c:pt idx="171">
                  <c:v>14153</c:v>
                </c:pt>
                <c:pt idx="172">
                  <c:v>0</c:v>
                </c:pt>
                <c:pt idx="173">
                  <c:v>13017</c:v>
                </c:pt>
                <c:pt idx="174">
                  <c:v>0</c:v>
                </c:pt>
                <c:pt idx="175">
                  <c:v>0</c:v>
                </c:pt>
                <c:pt idx="176">
                  <c:v>12269</c:v>
                </c:pt>
                <c:pt idx="177">
                  <c:v>0</c:v>
                </c:pt>
                <c:pt idx="178">
                  <c:v>11922</c:v>
                </c:pt>
                <c:pt idx="179">
                  <c:v>0</c:v>
                </c:pt>
                <c:pt idx="180">
                  <c:v>0</c:v>
                </c:pt>
                <c:pt idx="181">
                  <c:v>8518</c:v>
                </c:pt>
                <c:pt idx="182">
                  <c:v>0</c:v>
                </c:pt>
                <c:pt idx="183">
                  <c:v>8247</c:v>
                </c:pt>
                <c:pt idx="184">
                  <c:v>0</c:v>
                </c:pt>
                <c:pt idx="185">
                  <c:v>0</c:v>
                </c:pt>
                <c:pt idx="186">
                  <c:v>7353</c:v>
                </c:pt>
                <c:pt idx="187">
                  <c:v>0</c:v>
                </c:pt>
                <c:pt idx="188">
                  <c:v>0</c:v>
                </c:pt>
                <c:pt idx="189">
                  <c:v>6956</c:v>
                </c:pt>
                <c:pt idx="190">
                  <c:v>0</c:v>
                </c:pt>
                <c:pt idx="191">
                  <c:v>7676</c:v>
                </c:pt>
                <c:pt idx="192">
                  <c:v>0</c:v>
                </c:pt>
                <c:pt idx="193">
                  <c:v>0</c:v>
                </c:pt>
                <c:pt idx="194">
                  <c:v>6411</c:v>
                </c:pt>
                <c:pt idx="195">
                  <c:v>0</c:v>
                </c:pt>
                <c:pt idx="196">
                  <c:v>4905</c:v>
                </c:pt>
                <c:pt idx="197">
                  <c:v>0</c:v>
                </c:pt>
                <c:pt idx="198">
                  <c:v>0</c:v>
                </c:pt>
                <c:pt idx="199">
                  <c:v>3233</c:v>
                </c:pt>
                <c:pt idx="200">
                  <c:v>0</c:v>
                </c:pt>
                <c:pt idx="201">
                  <c:v>1911</c:v>
                </c:pt>
                <c:pt idx="202">
                  <c:v>0</c:v>
                </c:pt>
                <c:pt idx="203">
                  <c:v>0</c:v>
                </c:pt>
                <c:pt idx="204">
                  <c:v>498</c:v>
                </c:pt>
                <c:pt idx="205">
                  <c:v>0</c:v>
                </c:pt>
                <c:pt idx="206">
                  <c:v>0</c:v>
                </c:pt>
                <c:pt idx="207">
                  <c:v>598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7333</c:v>
                </c:pt>
                <c:pt idx="7">
                  <c:v>0</c:v>
                </c:pt>
                <c:pt idx="8">
                  <c:v>8513</c:v>
                </c:pt>
                <c:pt idx="9">
                  <c:v>0</c:v>
                </c:pt>
                <c:pt idx="10">
                  <c:v>0</c:v>
                </c:pt>
                <c:pt idx="11">
                  <c:v>10040</c:v>
                </c:pt>
                <c:pt idx="12">
                  <c:v>0</c:v>
                </c:pt>
                <c:pt idx="13">
                  <c:v>12527</c:v>
                </c:pt>
                <c:pt idx="14">
                  <c:v>0</c:v>
                </c:pt>
                <c:pt idx="15">
                  <c:v>0</c:v>
                </c:pt>
                <c:pt idx="16">
                  <c:v>14212</c:v>
                </c:pt>
                <c:pt idx="17">
                  <c:v>0</c:v>
                </c:pt>
                <c:pt idx="18">
                  <c:v>0</c:v>
                </c:pt>
                <c:pt idx="19">
                  <c:v>16397</c:v>
                </c:pt>
                <c:pt idx="20">
                  <c:v>0</c:v>
                </c:pt>
                <c:pt idx="21">
                  <c:v>21727</c:v>
                </c:pt>
                <c:pt idx="22">
                  <c:v>0</c:v>
                </c:pt>
                <c:pt idx="23">
                  <c:v>0</c:v>
                </c:pt>
                <c:pt idx="24">
                  <c:v>22609</c:v>
                </c:pt>
                <c:pt idx="25">
                  <c:v>0</c:v>
                </c:pt>
                <c:pt idx="26">
                  <c:v>28644</c:v>
                </c:pt>
                <c:pt idx="27">
                  <c:v>0</c:v>
                </c:pt>
                <c:pt idx="28">
                  <c:v>0</c:v>
                </c:pt>
                <c:pt idx="29">
                  <c:v>32193</c:v>
                </c:pt>
                <c:pt idx="30">
                  <c:v>0</c:v>
                </c:pt>
                <c:pt idx="31">
                  <c:v>40807</c:v>
                </c:pt>
                <c:pt idx="32">
                  <c:v>0</c:v>
                </c:pt>
                <c:pt idx="33">
                  <c:v>0</c:v>
                </c:pt>
                <c:pt idx="34">
                  <c:v>45438</c:v>
                </c:pt>
                <c:pt idx="35">
                  <c:v>0</c:v>
                </c:pt>
                <c:pt idx="36">
                  <c:v>0</c:v>
                </c:pt>
                <c:pt idx="37">
                  <c:v>42561</c:v>
                </c:pt>
                <c:pt idx="38">
                  <c:v>0</c:v>
                </c:pt>
                <c:pt idx="39">
                  <c:v>43047</c:v>
                </c:pt>
                <c:pt idx="40">
                  <c:v>0</c:v>
                </c:pt>
                <c:pt idx="41">
                  <c:v>0</c:v>
                </c:pt>
                <c:pt idx="42">
                  <c:v>50697</c:v>
                </c:pt>
                <c:pt idx="43">
                  <c:v>0</c:v>
                </c:pt>
                <c:pt idx="44">
                  <c:v>52635</c:v>
                </c:pt>
                <c:pt idx="45">
                  <c:v>0</c:v>
                </c:pt>
                <c:pt idx="46">
                  <c:v>0</c:v>
                </c:pt>
                <c:pt idx="47">
                  <c:v>49988</c:v>
                </c:pt>
                <c:pt idx="48">
                  <c:v>0</c:v>
                </c:pt>
                <c:pt idx="49">
                  <c:v>50791</c:v>
                </c:pt>
                <c:pt idx="50">
                  <c:v>0</c:v>
                </c:pt>
                <c:pt idx="51">
                  <c:v>0</c:v>
                </c:pt>
                <c:pt idx="52">
                  <c:v>54651</c:v>
                </c:pt>
                <c:pt idx="53">
                  <c:v>0</c:v>
                </c:pt>
                <c:pt idx="54">
                  <c:v>0</c:v>
                </c:pt>
                <c:pt idx="55">
                  <c:v>52409</c:v>
                </c:pt>
                <c:pt idx="56">
                  <c:v>0</c:v>
                </c:pt>
                <c:pt idx="57">
                  <c:v>49711</c:v>
                </c:pt>
                <c:pt idx="58">
                  <c:v>0</c:v>
                </c:pt>
                <c:pt idx="59">
                  <c:v>0</c:v>
                </c:pt>
                <c:pt idx="60">
                  <c:v>51129</c:v>
                </c:pt>
                <c:pt idx="61">
                  <c:v>0</c:v>
                </c:pt>
                <c:pt idx="62">
                  <c:v>48813</c:v>
                </c:pt>
                <c:pt idx="63">
                  <c:v>0</c:v>
                </c:pt>
                <c:pt idx="64">
                  <c:v>0</c:v>
                </c:pt>
                <c:pt idx="65">
                  <c:v>44701</c:v>
                </c:pt>
                <c:pt idx="66">
                  <c:v>0</c:v>
                </c:pt>
                <c:pt idx="67">
                  <c:v>48149</c:v>
                </c:pt>
                <c:pt idx="68">
                  <c:v>0</c:v>
                </c:pt>
                <c:pt idx="69">
                  <c:v>0</c:v>
                </c:pt>
                <c:pt idx="70">
                  <c:v>47463</c:v>
                </c:pt>
                <c:pt idx="71">
                  <c:v>0</c:v>
                </c:pt>
                <c:pt idx="72">
                  <c:v>0</c:v>
                </c:pt>
                <c:pt idx="73">
                  <c:v>46627</c:v>
                </c:pt>
                <c:pt idx="74">
                  <c:v>0</c:v>
                </c:pt>
                <c:pt idx="75">
                  <c:v>44707</c:v>
                </c:pt>
                <c:pt idx="76">
                  <c:v>0</c:v>
                </c:pt>
                <c:pt idx="77">
                  <c:v>0</c:v>
                </c:pt>
                <c:pt idx="78">
                  <c:v>46796</c:v>
                </c:pt>
                <c:pt idx="79">
                  <c:v>0</c:v>
                </c:pt>
                <c:pt idx="80">
                  <c:v>40464</c:v>
                </c:pt>
                <c:pt idx="81">
                  <c:v>0</c:v>
                </c:pt>
                <c:pt idx="82">
                  <c:v>0</c:v>
                </c:pt>
                <c:pt idx="83">
                  <c:v>39261</c:v>
                </c:pt>
                <c:pt idx="84">
                  <c:v>0</c:v>
                </c:pt>
                <c:pt idx="85">
                  <c:v>0</c:v>
                </c:pt>
                <c:pt idx="86">
                  <c:v>38402</c:v>
                </c:pt>
                <c:pt idx="87">
                  <c:v>0</c:v>
                </c:pt>
                <c:pt idx="88">
                  <c:v>34215</c:v>
                </c:pt>
                <c:pt idx="89">
                  <c:v>0</c:v>
                </c:pt>
                <c:pt idx="90">
                  <c:v>0</c:v>
                </c:pt>
                <c:pt idx="91">
                  <c:v>37404</c:v>
                </c:pt>
                <c:pt idx="92">
                  <c:v>0</c:v>
                </c:pt>
                <c:pt idx="93">
                  <c:v>38880</c:v>
                </c:pt>
                <c:pt idx="94">
                  <c:v>0</c:v>
                </c:pt>
                <c:pt idx="95">
                  <c:v>0</c:v>
                </c:pt>
                <c:pt idx="96">
                  <c:v>37263</c:v>
                </c:pt>
                <c:pt idx="97">
                  <c:v>0</c:v>
                </c:pt>
                <c:pt idx="98">
                  <c:v>37167</c:v>
                </c:pt>
                <c:pt idx="99">
                  <c:v>0</c:v>
                </c:pt>
                <c:pt idx="100">
                  <c:v>0</c:v>
                </c:pt>
                <c:pt idx="101">
                  <c:v>37925</c:v>
                </c:pt>
                <c:pt idx="102">
                  <c:v>0</c:v>
                </c:pt>
                <c:pt idx="103">
                  <c:v>0</c:v>
                </c:pt>
                <c:pt idx="104">
                  <c:v>34713</c:v>
                </c:pt>
                <c:pt idx="105">
                  <c:v>0</c:v>
                </c:pt>
                <c:pt idx="106">
                  <c:v>31240</c:v>
                </c:pt>
                <c:pt idx="107">
                  <c:v>0</c:v>
                </c:pt>
                <c:pt idx="108">
                  <c:v>0</c:v>
                </c:pt>
                <c:pt idx="109">
                  <c:v>25630</c:v>
                </c:pt>
                <c:pt idx="110">
                  <c:v>0</c:v>
                </c:pt>
                <c:pt idx="111">
                  <c:v>24295</c:v>
                </c:pt>
                <c:pt idx="112">
                  <c:v>0</c:v>
                </c:pt>
                <c:pt idx="113">
                  <c:v>0</c:v>
                </c:pt>
                <c:pt idx="114">
                  <c:v>20783</c:v>
                </c:pt>
                <c:pt idx="115">
                  <c:v>0</c:v>
                </c:pt>
                <c:pt idx="116">
                  <c:v>22571</c:v>
                </c:pt>
                <c:pt idx="117">
                  <c:v>0</c:v>
                </c:pt>
                <c:pt idx="118">
                  <c:v>0</c:v>
                </c:pt>
                <c:pt idx="119">
                  <c:v>20991</c:v>
                </c:pt>
                <c:pt idx="120">
                  <c:v>0</c:v>
                </c:pt>
                <c:pt idx="121">
                  <c:v>0</c:v>
                </c:pt>
                <c:pt idx="122">
                  <c:v>18965</c:v>
                </c:pt>
                <c:pt idx="123">
                  <c:v>0</c:v>
                </c:pt>
                <c:pt idx="124">
                  <c:v>16456</c:v>
                </c:pt>
                <c:pt idx="125">
                  <c:v>0</c:v>
                </c:pt>
                <c:pt idx="126">
                  <c:v>0</c:v>
                </c:pt>
                <c:pt idx="127">
                  <c:v>11951</c:v>
                </c:pt>
                <c:pt idx="128">
                  <c:v>0</c:v>
                </c:pt>
                <c:pt idx="129">
                  <c:v>10557</c:v>
                </c:pt>
                <c:pt idx="130">
                  <c:v>0</c:v>
                </c:pt>
                <c:pt idx="131">
                  <c:v>0</c:v>
                </c:pt>
                <c:pt idx="132">
                  <c:v>9739</c:v>
                </c:pt>
                <c:pt idx="133">
                  <c:v>0</c:v>
                </c:pt>
                <c:pt idx="134">
                  <c:v>9583</c:v>
                </c:pt>
                <c:pt idx="135">
                  <c:v>0</c:v>
                </c:pt>
                <c:pt idx="136">
                  <c:v>0</c:v>
                </c:pt>
                <c:pt idx="137">
                  <c:v>10127</c:v>
                </c:pt>
                <c:pt idx="138">
                  <c:v>0</c:v>
                </c:pt>
                <c:pt idx="139">
                  <c:v>0</c:v>
                </c:pt>
                <c:pt idx="140">
                  <c:v>8399</c:v>
                </c:pt>
                <c:pt idx="141">
                  <c:v>0</c:v>
                </c:pt>
                <c:pt idx="142">
                  <c:v>8298</c:v>
                </c:pt>
                <c:pt idx="143">
                  <c:v>0</c:v>
                </c:pt>
                <c:pt idx="144">
                  <c:v>0</c:v>
                </c:pt>
                <c:pt idx="145">
                  <c:v>8865</c:v>
                </c:pt>
                <c:pt idx="146">
                  <c:v>0</c:v>
                </c:pt>
                <c:pt idx="147">
                  <c:v>10007</c:v>
                </c:pt>
                <c:pt idx="148">
                  <c:v>0</c:v>
                </c:pt>
                <c:pt idx="149">
                  <c:v>0</c:v>
                </c:pt>
                <c:pt idx="150">
                  <c:v>8371</c:v>
                </c:pt>
                <c:pt idx="151">
                  <c:v>0</c:v>
                </c:pt>
                <c:pt idx="152">
                  <c:v>7238</c:v>
                </c:pt>
                <c:pt idx="153">
                  <c:v>0</c:v>
                </c:pt>
                <c:pt idx="154">
                  <c:v>0</c:v>
                </c:pt>
                <c:pt idx="155">
                  <c:v>7996</c:v>
                </c:pt>
                <c:pt idx="156">
                  <c:v>0</c:v>
                </c:pt>
                <c:pt idx="157">
                  <c:v>0</c:v>
                </c:pt>
                <c:pt idx="158">
                  <c:v>8574</c:v>
                </c:pt>
                <c:pt idx="159">
                  <c:v>0</c:v>
                </c:pt>
                <c:pt idx="160">
                  <c:v>9364</c:v>
                </c:pt>
                <c:pt idx="161">
                  <c:v>0</c:v>
                </c:pt>
                <c:pt idx="162">
                  <c:v>0</c:v>
                </c:pt>
                <c:pt idx="163">
                  <c:v>10550</c:v>
                </c:pt>
                <c:pt idx="164">
                  <c:v>0</c:v>
                </c:pt>
                <c:pt idx="165">
                  <c:v>12160</c:v>
                </c:pt>
                <c:pt idx="166">
                  <c:v>0</c:v>
                </c:pt>
                <c:pt idx="167">
                  <c:v>0</c:v>
                </c:pt>
                <c:pt idx="168">
                  <c:v>16573</c:v>
                </c:pt>
                <c:pt idx="169">
                  <c:v>0</c:v>
                </c:pt>
                <c:pt idx="170">
                  <c:v>0</c:v>
                </c:pt>
                <c:pt idx="171">
                  <c:v>20275</c:v>
                </c:pt>
                <c:pt idx="172">
                  <c:v>0</c:v>
                </c:pt>
                <c:pt idx="173">
                  <c:v>20418</c:v>
                </c:pt>
                <c:pt idx="174">
                  <c:v>0</c:v>
                </c:pt>
                <c:pt idx="175">
                  <c:v>0</c:v>
                </c:pt>
                <c:pt idx="176">
                  <c:v>21774</c:v>
                </c:pt>
                <c:pt idx="177">
                  <c:v>0</c:v>
                </c:pt>
                <c:pt idx="178">
                  <c:v>21189</c:v>
                </c:pt>
                <c:pt idx="179">
                  <c:v>0</c:v>
                </c:pt>
                <c:pt idx="180">
                  <c:v>0</c:v>
                </c:pt>
                <c:pt idx="181">
                  <c:v>22869</c:v>
                </c:pt>
                <c:pt idx="182">
                  <c:v>0</c:v>
                </c:pt>
                <c:pt idx="183">
                  <c:v>28543</c:v>
                </c:pt>
                <c:pt idx="184">
                  <c:v>0</c:v>
                </c:pt>
                <c:pt idx="185">
                  <c:v>0</c:v>
                </c:pt>
                <c:pt idx="186">
                  <c:v>29932</c:v>
                </c:pt>
                <c:pt idx="187">
                  <c:v>0</c:v>
                </c:pt>
                <c:pt idx="188">
                  <c:v>0</c:v>
                </c:pt>
                <c:pt idx="189">
                  <c:v>17868</c:v>
                </c:pt>
                <c:pt idx="190">
                  <c:v>0</c:v>
                </c:pt>
                <c:pt idx="191">
                  <c:v>13082</c:v>
                </c:pt>
                <c:pt idx="192">
                  <c:v>0</c:v>
                </c:pt>
                <c:pt idx="193">
                  <c:v>0</c:v>
                </c:pt>
                <c:pt idx="194">
                  <c:v>9775</c:v>
                </c:pt>
                <c:pt idx="195">
                  <c:v>0</c:v>
                </c:pt>
                <c:pt idx="196">
                  <c:v>10498</c:v>
                </c:pt>
                <c:pt idx="197">
                  <c:v>0</c:v>
                </c:pt>
                <c:pt idx="198">
                  <c:v>0</c:v>
                </c:pt>
                <c:pt idx="199">
                  <c:v>4343</c:v>
                </c:pt>
                <c:pt idx="200">
                  <c:v>0</c:v>
                </c:pt>
                <c:pt idx="201">
                  <c:v>3183</c:v>
                </c:pt>
                <c:pt idx="202">
                  <c:v>0</c:v>
                </c:pt>
                <c:pt idx="203">
                  <c:v>0</c:v>
                </c:pt>
                <c:pt idx="204">
                  <c:v>3489</c:v>
                </c:pt>
                <c:pt idx="205">
                  <c:v>0</c:v>
                </c:pt>
                <c:pt idx="206">
                  <c:v>0</c:v>
                </c:pt>
                <c:pt idx="207">
                  <c:v>3913</c:v>
                </c:pt>
                <c:pt idx="208">
                  <c:v>0</c:v>
                </c:pt>
                <c:pt idx="209">
                  <c:v>1026</c:v>
                </c:pt>
                <c:pt idx="210">
                  <c:v>0</c:v>
                </c:pt>
                <c:pt idx="211">
                  <c:v>0</c:v>
                </c:pt>
                <c:pt idx="212">
                  <c:v>327</c:v>
                </c:pt>
                <c:pt idx="213">
                  <c:v>0</c:v>
                </c:pt>
                <c:pt idx="214">
                  <c:v>215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0.21132880376917981</c:v>
                </c:pt>
                <c:pt idx="1">
                  <c:v>0.29955146951246864</c:v>
                </c:pt>
                <c:pt idx="2">
                  <c:v>0.48911972671835158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0.39585171937452091</c:v>
                </c:pt>
                <c:pt idx="1">
                  <c:v>0.36594832999172899</c:v>
                </c:pt>
                <c:pt idx="2">
                  <c:v>0.23819995063375007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15.719945000000001</c:v>
                </c:pt>
                <c:pt idx="1">
                  <c:v>9.6522699999999997</c:v>
                </c:pt>
                <c:pt idx="2">
                  <c:v>22.055300000000003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  <c:pt idx="74">
                  <c:v>30.033100000000001</c:v>
                </c:pt>
                <c:pt idx="75">
                  <c:v>30.614899999999999</c:v>
                </c:pt>
                <c:pt idx="76">
                  <c:v>30.992799999999999</c:v>
                </c:pt>
                <c:pt idx="77">
                  <c:v>31.364799999999999</c:v>
                </c:pt>
                <c:pt idx="78">
                  <c:v>31.741800000000001</c:v>
                </c:pt>
                <c:pt idx="79">
                  <c:v>32.126899999999999</c:v>
                </c:pt>
                <c:pt idx="80">
                  <c:v>32.5366</c:v>
                </c:pt>
                <c:pt idx="81">
                  <c:v>32.939799999999998</c:v>
                </c:pt>
                <c:pt idx="82">
                  <c:v>33.3474</c:v>
                </c:pt>
                <c:pt idx="83">
                  <c:v>33.755400000000002</c:v>
                </c:pt>
                <c:pt idx="84">
                  <c:v>34.162300000000002</c:v>
                </c:pt>
                <c:pt idx="85">
                  <c:v>34.571199999999997</c:v>
                </c:pt>
                <c:pt idx="86">
                  <c:v>34.971200000000003</c:v>
                </c:pt>
                <c:pt idx="87">
                  <c:v>35.379199999999997</c:v>
                </c:pt>
                <c:pt idx="88">
                  <c:v>35.787999999999997</c:v>
                </c:pt>
                <c:pt idx="89">
                  <c:v>36.191899999999997</c:v>
                </c:pt>
                <c:pt idx="90">
                  <c:v>36.5991</c:v>
                </c:pt>
                <c:pt idx="91">
                  <c:v>37.003700000000002</c:v>
                </c:pt>
                <c:pt idx="92">
                  <c:v>37.412599999999998</c:v>
                </c:pt>
                <c:pt idx="93">
                  <c:v>37.8185</c:v>
                </c:pt>
                <c:pt idx="94">
                  <c:v>38.223700000000001</c:v>
                </c:pt>
                <c:pt idx="95">
                  <c:v>38.6295</c:v>
                </c:pt>
                <c:pt idx="96">
                  <c:v>39.036200000000001</c:v>
                </c:pt>
                <c:pt idx="97">
                  <c:v>39.444200000000002</c:v>
                </c:pt>
                <c:pt idx="98">
                  <c:v>39.848100000000002</c:v>
                </c:pt>
                <c:pt idx="99">
                  <c:v>40.253999999999998</c:v>
                </c:pt>
                <c:pt idx="100">
                  <c:v>40.661200000000001</c:v>
                </c:pt>
                <c:pt idx="101">
                  <c:v>41.071899999999999</c:v>
                </c:pt>
                <c:pt idx="102">
                  <c:v>41.471800000000002</c:v>
                </c:pt>
                <c:pt idx="103">
                  <c:v>41.881599999999999</c:v>
                </c:pt>
                <c:pt idx="104">
                  <c:v>42.289700000000003</c:v>
                </c:pt>
                <c:pt idx="105">
                  <c:v>42.695500000000003</c:v>
                </c:pt>
                <c:pt idx="106">
                  <c:v>43.1004</c:v>
                </c:pt>
                <c:pt idx="107">
                  <c:v>43.504300000000001</c:v>
                </c:pt>
                <c:pt idx="108">
                  <c:v>43.9114</c:v>
                </c:pt>
                <c:pt idx="109">
                  <c:v>44.315199999999997</c:v>
                </c:pt>
                <c:pt idx="110">
                  <c:v>44.725299999999997</c:v>
                </c:pt>
                <c:pt idx="111">
                  <c:v>45.129899999999999</c:v>
                </c:pt>
                <c:pt idx="112">
                  <c:v>45.535899999999998</c:v>
                </c:pt>
                <c:pt idx="113">
                  <c:v>45.941000000000003</c:v>
                </c:pt>
                <c:pt idx="114">
                  <c:v>46.349699999999999</c:v>
                </c:pt>
                <c:pt idx="115">
                  <c:v>46.757899999999999</c:v>
                </c:pt>
                <c:pt idx="116">
                  <c:v>47.1586</c:v>
                </c:pt>
                <c:pt idx="117">
                  <c:v>47.566400000000002</c:v>
                </c:pt>
                <c:pt idx="118">
                  <c:v>47.9741</c:v>
                </c:pt>
                <c:pt idx="119">
                  <c:v>48.380200000000002</c:v>
                </c:pt>
                <c:pt idx="120">
                  <c:v>48.7883</c:v>
                </c:pt>
                <c:pt idx="121">
                  <c:v>49.1952</c:v>
                </c:pt>
                <c:pt idx="122">
                  <c:v>49.597000000000001</c:v>
                </c:pt>
                <c:pt idx="123">
                  <c:v>50.008000000000003</c:v>
                </c:pt>
                <c:pt idx="124">
                  <c:v>50.412799999999997</c:v>
                </c:pt>
                <c:pt idx="125">
                  <c:v>50.813800000000001</c:v>
                </c:pt>
                <c:pt idx="126">
                  <c:v>51.223100000000002</c:v>
                </c:pt>
                <c:pt idx="127">
                  <c:v>51.627600000000001</c:v>
                </c:pt>
                <c:pt idx="128">
                  <c:v>52.037500000000001</c:v>
                </c:pt>
                <c:pt idx="129">
                  <c:v>52.444400000000002</c:v>
                </c:pt>
                <c:pt idx="130">
                  <c:v>52.849299999999999</c:v>
                </c:pt>
                <c:pt idx="131">
                  <c:v>53.254300000000001</c:v>
                </c:pt>
                <c:pt idx="132">
                  <c:v>53.661099999999998</c:v>
                </c:pt>
                <c:pt idx="133">
                  <c:v>54.070099999999996</c:v>
                </c:pt>
                <c:pt idx="134">
                  <c:v>54.475099999999998</c:v>
                </c:pt>
                <c:pt idx="135">
                  <c:v>54.880899999999997</c:v>
                </c:pt>
                <c:pt idx="136">
                  <c:v>55.285200000000003</c:v>
                </c:pt>
                <c:pt idx="137">
                  <c:v>55.690199999999997</c:v>
                </c:pt>
                <c:pt idx="138">
                  <c:v>56.0976</c:v>
                </c:pt>
                <c:pt idx="139">
                  <c:v>56.505600000000001</c:v>
                </c:pt>
                <c:pt idx="140">
                  <c:v>56.910400000000003</c:v>
                </c:pt>
                <c:pt idx="141">
                  <c:v>57.315800000000003</c:v>
                </c:pt>
                <c:pt idx="142">
                  <c:v>57.728400000000001</c:v>
                </c:pt>
                <c:pt idx="143">
                  <c:v>58.129300000000001</c:v>
                </c:pt>
                <c:pt idx="144">
                  <c:v>58.536299999999997</c:v>
                </c:pt>
                <c:pt idx="145">
                  <c:v>58.943100000000001</c:v>
                </c:pt>
                <c:pt idx="146">
                  <c:v>59.346499999999999</c:v>
                </c:pt>
                <c:pt idx="147">
                  <c:v>59.758699999999997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  <c:pt idx="74">
                  <c:v>3.6275499999999998</c:v>
                </c:pt>
                <c:pt idx="75">
                  <c:v>3.6238599999999996</c:v>
                </c:pt>
                <c:pt idx="76">
                  <c:v>3.6212200000000001</c:v>
                </c:pt>
                <c:pt idx="77">
                  <c:v>3.6193499999999998</c:v>
                </c:pt>
                <c:pt idx="78">
                  <c:v>3.6171799999999998</c:v>
                </c:pt>
                <c:pt idx="79">
                  <c:v>3.6180699999999999</c:v>
                </c:pt>
                <c:pt idx="80">
                  <c:v>3.6209999999999996</c:v>
                </c:pt>
                <c:pt idx="81">
                  <c:v>3.6257099999999998</c:v>
                </c:pt>
                <c:pt idx="82">
                  <c:v>3.6311</c:v>
                </c:pt>
                <c:pt idx="83">
                  <c:v>3.6352500000000001</c:v>
                </c:pt>
                <c:pt idx="84">
                  <c:v>3.6379699999999997</c:v>
                </c:pt>
                <c:pt idx="85">
                  <c:v>3.6370999999999998</c:v>
                </c:pt>
                <c:pt idx="86">
                  <c:v>3.6334400000000002</c:v>
                </c:pt>
                <c:pt idx="87">
                  <c:v>3.6273</c:v>
                </c:pt>
                <c:pt idx="88">
                  <c:v>3.62384</c:v>
                </c:pt>
                <c:pt idx="89">
                  <c:v>3.6156999999999999</c:v>
                </c:pt>
                <c:pt idx="90">
                  <c:v>3.6078399999999999</c:v>
                </c:pt>
                <c:pt idx="91">
                  <c:v>3.59659</c:v>
                </c:pt>
                <c:pt idx="92">
                  <c:v>3.5790800000000003</c:v>
                </c:pt>
                <c:pt idx="93">
                  <c:v>3.55823</c:v>
                </c:pt>
                <c:pt idx="94">
                  <c:v>3.5358200000000002</c:v>
                </c:pt>
                <c:pt idx="95">
                  <c:v>3.5123199999999999</c:v>
                </c:pt>
                <c:pt idx="96">
                  <c:v>3.49031</c:v>
                </c:pt>
                <c:pt idx="97">
                  <c:v>3.4688699999999999</c:v>
                </c:pt>
                <c:pt idx="98">
                  <c:v>3.4465699999999999</c:v>
                </c:pt>
                <c:pt idx="99">
                  <c:v>3.42157</c:v>
                </c:pt>
                <c:pt idx="100">
                  <c:v>3.3942899999999998</c:v>
                </c:pt>
                <c:pt idx="101">
                  <c:v>3.36727</c:v>
                </c:pt>
                <c:pt idx="102">
                  <c:v>3.3417699999999999</c:v>
                </c:pt>
                <c:pt idx="103">
                  <c:v>3.31637</c:v>
                </c:pt>
                <c:pt idx="104">
                  <c:v>3.2910499999999998</c:v>
                </c:pt>
                <c:pt idx="105">
                  <c:v>3.2631600000000001</c:v>
                </c:pt>
                <c:pt idx="106">
                  <c:v>3.2342599999999999</c:v>
                </c:pt>
                <c:pt idx="107">
                  <c:v>3.2035200000000001</c:v>
                </c:pt>
                <c:pt idx="108">
                  <c:v>3.17266</c:v>
                </c:pt>
                <c:pt idx="109">
                  <c:v>3.1408300000000002</c:v>
                </c:pt>
                <c:pt idx="110">
                  <c:v>3.1126999999999998</c:v>
                </c:pt>
                <c:pt idx="111">
                  <c:v>3.0850899999999997</c:v>
                </c:pt>
                <c:pt idx="112">
                  <c:v>3.0639100000000004</c:v>
                </c:pt>
                <c:pt idx="113">
                  <c:v>3.0437599999999998</c:v>
                </c:pt>
                <c:pt idx="114">
                  <c:v>3.0277099999999999</c:v>
                </c:pt>
                <c:pt idx="115">
                  <c:v>3.0141800000000001</c:v>
                </c:pt>
                <c:pt idx="116">
                  <c:v>3.0015900000000002</c:v>
                </c:pt>
                <c:pt idx="117">
                  <c:v>2.99112</c:v>
                </c:pt>
                <c:pt idx="118">
                  <c:v>2.98265</c:v>
                </c:pt>
                <c:pt idx="119">
                  <c:v>2.9776200000000004</c:v>
                </c:pt>
                <c:pt idx="120">
                  <c:v>2.9758599999999999</c:v>
                </c:pt>
                <c:pt idx="121">
                  <c:v>2.97641</c:v>
                </c:pt>
                <c:pt idx="122">
                  <c:v>2.98231</c:v>
                </c:pt>
                <c:pt idx="123">
                  <c:v>2.99309</c:v>
                </c:pt>
                <c:pt idx="124">
                  <c:v>2.9944799999999998</c:v>
                </c:pt>
                <c:pt idx="125">
                  <c:v>2.99431</c:v>
                </c:pt>
                <c:pt idx="126">
                  <c:v>2.9945300000000001</c:v>
                </c:pt>
                <c:pt idx="127">
                  <c:v>2.9954700000000001</c:v>
                </c:pt>
                <c:pt idx="128">
                  <c:v>2.9965000000000002</c:v>
                </c:pt>
                <c:pt idx="129">
                  <c:v>2.9982500000000001</c:v>
                </c:pt>
                <c:pt idx="130">
                  <c:v>3.0011300000000003</c:v>
                </c:pt>
                <c:pt idx="131">
                  <c:v>3.0036800000000001</c:v>
                </c:pt>
                <c:pt idx="132">
                  <c:v>3.0083199999999999</c:v>
                </c:pt>
                <c:pt idx="133">
                  <c:v>3.0123499999999996</c:v>
                </c:pt>
                <c:pt idx="134">
                  <c:v>3.01892</c:v>
                </c:pt>
                <c:pt idx="135">
                  <c:v>3.0275000000000003</c:v>
                </c:pt>
                <c:pt idx="136">
                  <c:v>3.0394600000000001</c:v>
                </c:pt>
                <c:pt idx="137">
                  <c:v>3.0464799999999999</c:v>
                </c:pt>
                <c:pt idx="138">
                  <c:v>3.0523499999999997</c:v>
                </c:pt>
                <c:pt idx="139">
                  <c:v>3.0571799999999998</c:v>
                </c:pt>
                <c:pt idx="140">
                  <c:v>3.0610500000000003</c:v>
                </c:pt>
                <c:pt idx="141">
                  <c:v>3.0674800000000002</c:v>
                </c:pt>
                <c:pt idx="142">
                  <c:v>3.0794999999999999</c:v>
                </c:pt>
                <c:pt idx="143">
                  <c:v>3.0976399999999997</c:v>
                </c:pt>
                <c:pt idx="144">
                  <c:v>3.1187900000000002</c:v>
                </c:pt>
                <c:pt idx="145">
                  <c:v>3.1518200000000003</c:v>
                </c:pt>
                <c:pt idx="146">
                  <c:v>3.1877800000000001</c:v>
                </c:pt>
                <c:pt idx="147">
                  <c:v>3.2240799999999998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29.627300000000002</c:v>
                </c:pt>
                <c:pt idx="1">
                  <c:v>30.033100000000001</c:v>
                </c:pt>
                <c:pt idx="2">
                  <c:v>30.614899999999999</c:v>
                </c:pt>
                <c:pt idx="3">
                  <c:v>30.992799999999999</c:v>
                </c:pt>
                <c:pt idx="4">
                  <c:v>31.364799999999999</c:v>
                </c:pt>
                <c:pt idx="5">
                  <c:v>31.741800000000001</c:v>
                </c:pt>
                <c:pt idx="6">
                  <c:v>32.126899999999999</c:v>
                </c:pt>
                <c:pt idx="7">
                  <c:v>32.5366</c:v>
                </c:pt>
                <c:pt idx="8">
                  <c:v>32.939799999999998</c:v>
                </c:pt>
                <c:pt idx="9">
                  <c:v>33.3474</c:v>
                </c:pt>
                <c:pt idx="10">
                  <c:v>33.755400000000002</c:v>
                </c:pt>
                <c:pt idx="11">
                  <c:v>34.162300000000002</c:v>
                </c:pt>
                <c:pt idx="12">
                  <c:v>34.571199999999997</c:v>
                </c:pt>
                <c:pt idx="13">
                  <c:v>34.971200000000003</c:v>
                </c:pt>
                <c:pt idx="14">
                  <c:v>35.379199999999997</c:v>
                </c:pt>
                <c:pt idx="15">
                  <c:v>35.787999999999997</c:v>
                </c:pt>
                <c:pt idx="16">
                  <c:v>36.191899999999997</c:v>
                </c:pt>
                <c:pt idx="17">
                  <c:v>36.5991</c:v>
                </c:pt>
                <c:pt idx="18">
                  <c:v>37.003700000000002</c:v>
                </c:pt>
                <c:pt idx="19">
                  <c:v>37.412599999999998</c:v>
                </c:pt>
                <c:pt idx="20">
                  <c:v>37.8185</c:v>
                </c:pt>
                <c:pt idx="21">
                  <c:v>38.223700000000001</c:v>
                </c:pt>
                <c:pt idx="22">
                  <c:v>38.6295</c:v>
                </c:pt>
                <c:pt idx="23">
                  <c:v>39.036200000000001</c:v>
                </c:pt>
                <c:pt idx="24">
                  <c:v>39.444200000000002</c:v>
                </c:pt>
                <c:pt idx="25">
                  <c:v>39.848100000000002</c:v>
                </c:pt>
                <c:pt idx="26">
                  <c:v>40.253999999999998</c:v>
                </c:pt>
                <c:pt idx="27">
                  <c:v>40.661200000000001</c:v>
                </c:pt>
                <c:pt idx="28">
                  <c:v>41.071899999999999</c:v>
                </c:pt>
                <c:pt idx="29">
                  <c:v>41.471800000000002</c:v>
                </c:pt>
                <c:pt idx="30">
                  <c:v>41.881599999999999</c:v>
                </c:pt>
                <c:pt idx="31">
                  <c:v>42.289700000000003</c:v>
                </c:pt>
                <c:pt idx="32">
                  <c:v>42.695500000000003</c:v>
                </c:pt>
                <c:pt idx="33">
                  <c:v>43.1004</c:v>
                </c:pt>
                <c:pt idx="34">
                  <c:v>43.504300000000001</c:v>
                </c:pt>
                <c:pt idx="35">
                  <c:v>43.9114</c:v>
                </c:pt>
                <c:pt idx="36">
                  <c:v>44.315199999999997</c:v>
                </c:pt>
                <c:pt idx="37">
                  <c:v>44.725299999999997</c:v>
                </c:pt>
                <c:pt idx="38">
                  <c:v>45.129899999999999</c:v>
                </c:pt>
                <c:pt idx="39">
                  <c:v>45.535899999999998</c:v>
                </c:pt>
                <c:pt idx="40">
                  <c:v>45.941000000000003</c:v>
                </c:pt>
                <c:pt idx="41">
                  <c:v>46.349699999999999</c:v>
                </c:pt>
                <c:pt idx="42">
                  <c:v>46.757899999999999</c:v>
                </c:pt>
                <c:pt idx="43">
                  <c:v>47.1586</c:v>
                </c:pt>
                <c:pt idx="44">
                  <c:v>47.566400000000002</c:v>
                </c:pt>
                <c:pt idx="45">
                  <c:v>47.9741</c:v>
                </c:pt>
                <c:pt idx="46">
                  <c:v>48.380200000000002</c:v>
                </c:pt>
                <c:pt idx="47">
                  <c:v>48.7883</c:v>
                </c:pt>
                <c:pt idx="48">
                  <c:v>49.1952</c:v>
                </c:pt>
                <c:pt idx="49">
                  <c:v>49.597000000000001</c:v>
                </c:pt>
                <c:pt idx="50">
                  <c:v>50.008000000000003</c:v>
                </c:pt>
                <c:pt idx="51">
                  <c:v>50.412799999999997</c:v>
                </c:pt>
                <c:pt idx="52">
                  <c:v>50.813800000000001</c:v>
                </c:pt>
                <c:pt idx="53">
                  <c:v>51.223100000000002</c:v>
                </c:pt>
                <c:pt idx="54">
                  <c:v>51.627600000000001</c:v>
                </c:pt>
                <c:pt idx="55">
                  <c:v>52.037500000000001</c:v>
                </c:pt>
                <c:pt idx="56">
                  <c:v>52.444400000000002</c:v>
                </c:pt>
                <c:pt idx="57">
                  <c:v>52.849299999999999</c:v>
                </c:pt>
                <c:pt idx="58">
                  <c:v>53.254300000000001</c:v>
                </c:pt>
                <c:pt idx="59">
                  <c:v>53.661099999999998</c:v>
                </c:pt>
                <c:pt idx="60">
                  <c:v>54.070099999999996</c:v>
                </c:pt>
                <c:pt idx="61">
                  <c:v>54.475099999999998</c:v>
                </c:pt>
                <c:pt idx="62">
                  <c:v>54.880899999999997</c:v>
                </c:pt>
                <c:pt idx="63">
                  <c:v>55.285200000000003</c:v>
                </c:pt>
                <c:pt idx="64">
                  <c:v>55.690199999999997</c:v>
                </c:pt>
                <c:pt idx="65">
                  <c:v>56.0976</c:v>
                </c:pt>
                <c:pt idx="66">
                  <c:v>56.505600000000001</c:v>
                </c:pt>
                <c:pt idx="67">
                  <c:v>56.910400000000003</c:v>
                </c:pt>
                <c:pt idx="68">
                  <c:v>57.315800000000003</c:v>
                </c:pt>
                <c:pt idx="69">
                  <c:v>57.728400000000001</c:v>
                </c:pt>
                <c:pt idx="70">
                  <c:v>58.129300000000001</c:v>
                </c:pt>
                <c:pt idx="71">
                  <c:v>58.536299999999997</c:v>
                </c:pt>
                <c:pt idx="72">
                  <c:v>58.943100000000001</c:v>
                </c:pt>
                <c:pt idx="73">
                  <c:v>59.346499999999999</c:v>
                </c:pt>
                <c:pt idx="74">
                  <c:v>59.758699999999997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3.6391299999999998</c:v>
                </c:pt>
                <c:pt idx="1">
                  <c:v>3.6275499999999998</c:v>
                </c:pt>
                <c:pt idx="2">
                  <c:v>3.6238599999999996</c:v>
                </c:pt>
                <c:pt idx="3">
                  <c:v>3.6212200000000001</c:v>
                </c:pt>
                <c:pt idx="4">
                  <c:v>3.6193499999999998</c:v>
                </c:pt>
                <c:pt idx="5">
                  <c:v>3.6171799999999998</c:v>
                </c:pt>
                <c:pt idx="6">
                  <c:v>3.6180699999999999</c:v>
                </c:pt>
                <c:pt idx="7">
                  <c:v>3.6209999999999996</c:v>
                </c:pt>
                <c:pt idx="8">
                  <c:v>3.6257099999999998</c:v>
                </c:pt>
                <c:pt idx="9">
                  <c:v>3.6311</c:v>
                </c:pt>
                <c:pt idx="10">
                  <c:v>3.6352500000000001</c:v>
                </c:pt>
                <c:pt idx="11">
                  <c:v>3.6379699999999997</c:v>
                </c:pt>
                <c:pt idx="12">
                  <c:v>3.6370999999999998</c:v>
                </c:pt>
                <c:pt idx="13">
                  <c:v>3.6334400000000002</c:v>
                </c:pt>
                <c:pt idx="14">
                  <c:v>3.6273</c:v>
                </c:pt>
                <c:pt idx="15">
                  <c:v>3.62384</c:v>
                </c:pt>
                <c:pt idx="16">
                  <c:v>3.6156999999999999</c:v>
                </c:pt>
                <c:pt idx="17">
                  <c:v>3.6078399999999999</c:v>
                </c:pt>
                <c:pt idx="18">
                  <c:v>3.59659</c:v>
                </c:pt>
                <c:pt idx="19">
                  <c:v>3.5790800000000003</c:v>
                </c:pt>
                <c:pt idx="20">
                  <c:v>3.55823</c:v>
                </c:pt>
                <c:pt idx="21">
                  <c:v>3.5358200000000002</c:v>
                </c:pt>
                <c:pt idx="22">
                  <c:v>3.5123199999999999</c:v>
                </c:pt>
                <c:pt idx="23">
                  <c:v>3.49031</c:v>
                </c:pt>
                <c:pt idx="24">
                  <c:v>3.4688699999999999</c:v>
                </c:pt>
                <c:pt idx="25">
                  <c:v>3.4465699999999999</c:v>
                </c:pt>
                <c:pt idx="26">
                  <c:v>3.42157</c:v>
                </c:pt>
                <c:pt idx="27">
                  <c:v>3.3942899999999998</c:v>
                </c:pt>
                <c:pt idx="28">
                  <c:v>3.36727</c:v>
                </c:pt>
                <c:pt idx="29">
                  <c:v>3.3417699999999999</c:v>
                </c:pt>
                <c:pt idx="30">
                  <c:v>3.31637</c:v>
                </c:pt>
                <c:pt idx="31">
                  <c:v>3.2910499999999998</c:v>
                </c:pt>
                <c:pt idx="32">
                  <c:v>3.2631600000000001</c:v>
                </c:pt>
                <c:pt idx="33">
                  <c:v>3.2342599999999999</c:v>
                </c:pt>
                <c:pt idx="34">
                  <c:v>3.2035200000000001</c:v>
                </c:pt>
                <c:pt idx="35">
                  <c:v>3.17266</c:v>
                </c:pt>
                <c:pt idx="36">
                  <c:v>3.1408300000000002</c:v>
                </c:pt>
                <c:pt idx="37">
                  <c:v>3.1126999999999998</c:v>
                </c:pt>
                <c:pt idx="38">
                  <c:v>3.0850899999999997</c:v>
                </c:pt>
                <c:pt idx="39">
                  <c:v>3.0639100000000004</c:v>
                </c:pt>
                <c:pt idx="40">
                  <c:v>3.0437599999999998</c:v>
                </c:pt>
                <c:pt idx="41">
                  <c:v>3.0277099999999999</c:v>
                </c:pt>
                <c:pt idx="42">
                  <c:v>3.0141800000000001</c:v>
                </c:pt>
                <c:pt idx="43">
                  <c:v>3.0015900000000002</c:v>
                </c:pt>
                <c:pt idx="44">
                  <c:v>2.99112</c:v>
                </c:pt>
                <c:pt idx="45">
                  <c:v>2.98265</c:v>
                </c:pt>
                <c:pt idx="46">
                  <c:v>2.9776200000000004</c:v>
                </c:pt>
                <c:pt idx="47">
                  <c:v>2.9758599999999999</c:v>
                </c:pt>
                <c:pt idx="48">
                  <c:v>2.97641</c:v>
                </c:pt>
                <c:pt idx="49">
                  <c:v>2.98231</c:v>
                </c:pt>
                <c:pt idx="50">
                  <c:v>2.99309</c:v>
                </c:pt>
                <c:pt idx="51">
                  <c:v>2.9944799999999998</c:v>
                </c:pt>
                <c:pt idx="52">
                  <c:v>2.99431</c:v>
                </c:pt>
                <c:pt idx="53">
                  <c:v>2.9945300000000001</c:v>
                </c:pt>
                <c:pt idx="54">
                  <c:v>2.9954700000000001</c:v>
                </c:pt>
                <c:pt idx="55">
                  <c:v>2.9965000000000002</c:v>
                </c:pt>
                <c:pt idx="56">
                  <c:v>2.9982500000000001</c:v>
                </c:pt>
                <c:pt idx="57">
                  <c:v>3.0011300000000003</c:v>
                </c:pt>
                <c:pt idx="58">
                  <c:v>3.0036800000000001</c:v>
                </c:pt>
                <c:pt idx="59">
                  <c:v>3.0083199999999999</c:v>
                </c:pt>
                <c:pt idx="60">
                  <c:v>3.0123499999999996</c:v>
                </c:pt>
                <c:pt idx="61">
                  <c:v>3.01892</c:v>
                </c:pt>
                <c:pt idx="62">
                  <c:v>3.0275000000000003</c:v>
                </c:pt>
                <c:pt idx="63">
                  <c:v>3.0394600000000001</c:v>
                </c:pt>
                <c:pt idx="64">
                  <c:v>3.0464799999999999</c:v>
                </c:pt>
                <c:pt idx="65">
                  <c:v>3.0523499999999997</c:v>
                </c:pt>
                <c:pt idx="66">
                  <c:v>3.0571799999999998</c:v>
                </c:pt>
                <c:pt idx="67">
                  <c:v>3.0610500000000003</c:v>
                </c:pt>
                <c:pt idx="68">
                  <c:v>3.0674800000000002</c:v>
                </c:pt>
                <c:pt idx="69">
                  <c:v>3.0794999999999999</c:v>
                </c:pt>
                <c:pt idx="70">
                  <c:v>3.0976399999999997</c:v>
                </c:pt>
                <c:pt idx="71">
                  <c:v>3.1187900000000002</c:v>
                </c:pt>
                <c:pt idx="72">
                  <c:v>3.1518200000000003</c:v>
                </c:pt>
                <c:pt idx="73">
                  <c:v>3.1877800000000001</c:v>
                </c:pt>
                <c:pt idx="74">
                  <c:v>3.2240799999999998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3.367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14.939674999999999</c:v>
                </c:pt>
                <c:pt idx="1">
                  <c:v>44.819024999999996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3.6909566216216225</c:v>
                </c:pt>
                <c:pt idx="1">
                  <c:v>3.2623658108108113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  <c:pt idx="74">
                  <c:v>30.033100000000001</c:v>
                </c:pt>
                <c:pt idx="75">
                  <c:v>30.614899999999999</c:v>
                </c:pt>
                <c:pt idx="76">
                  <c:v>30.992799999999999</c:v>
                </c:pt>
                <c:pt idx="77">
                  <c:v>31.364799999999999</c:v>
                </c:pt>
                <c:pt idx="78">
                  <c:v>31.741800000000001</c:v>
                </c:pt>
                <c:pt idx="79">
                  <c:v>32.126899999999999</c:v>
                </c:pt>
                <c:pt idx="80">
                  <c:v>32.5366</c:v>
                </c:pt>
                <c:pt idx="81">
                  <c:v>32.939799999999998</c:v>
                </c:pt>
                <c:pt idx="82">
                  <c:v>33.3474</c:v>
                </c:pt>
                <c:pt idx="83">
                  <c:v>33.755400000000002</c:v>
                </c:pt>
                <c:pt idx="84">
                  <c:v>34.162300000000002</c:v>
                </c:pt>
                <c:pt idx="85">
                  <c:v>34.571199999999997</c:v>
                </c:pt>
                <c:pt idx="86">
                  <c:v>34.971200000000003</c:v>
                </c:pt>
                <c:pt idx="87">
                  <c:v>35.379199999999997</c:v>
                </c:pt>
                <c:pt idx="88">
                  <c:v>35.787999999999997</c:v>
                </c:pt>
                <c:pt idx="89">
                  <c:v>36.191899999999997</c:v>
                </c:pt>
                <c:pt idx="90">
                  <c:v>36.5991</c:v>
                </c:pt>
                <c:pt idx="91">
                  <c:v>37.003700000000002</c:v>
                </c:pt>
                <c:pt idx="92">
                  <c:v>37.412599999999998</c:v>
                </c:pt>
                <c:pt idx="93">
                  <c:v>37.8185</c:v>
                </c:pt>
                <c:pt idx="94">
                  <c:v>38.223700000000001</c:v>
                </c:pt>
                <c:pt idx="95">
                  <c:v>38.6295</c:v>
                </c:pt>
                <c:pt idx="96">
                  <c:v>39.036200000000001</c:v>
                </c:pt>
                <c:pt idx="97">
                  <c:v>39.444200000000002</c:v>
                </c:pt>
                <c:pt idx="98">
                  <c:v>39.848100000000002</c:v>
                </c:pt>
                <c:pt idx="99">
                  <c:v>40.253999999999998</c:v>
                </c:pt>
                <c:pt idx="100">
                  <c:v>40.661200000000001</c:v>
                </c:pt>
                <c:pt idx="101">
                  <c:v>41.071899999999999</c:v>
                </c:pt>
                <c:pt idx="102">
                  <c:v>41.471800000000002</c:v>
                </c:pt>
                <c:pt idx="103">
                  <c:v>41.881599999999999</c:v>
                </c:pt>
                <c:pt idx="104">
                  <c:v>42.289700000000003</c:v>
                </c:pt>
                <c:pt idx="105">
                  <c:v>42.695500000000003</c:v>
                </c:pt>
                <c:pt idx="106">
                  <c:v>43.1004</c:v>
                </c:pt>
                <c:pt idx="107">
                  <c:v>43.504300000000001</c:v>
                </c:pt>
                <c:pt idx="108">
                  <c:v>43.9114</c:v>
                </c:pt>
                <c:pt idx="109">
                  <c:v>44.315199999999997</c:v>
                </c:pt>
                <c:pt idx="110">
                  <c:v>44.725299999999997</c:v>
                </c:pt>
                <c:pt idx="111">
                  <c:v>45.129899999999999</c:v>
                </c:pt>
                <c:pt idx="112">
                  <c:v>45.535899999999998</c:v>
                </c:pt>
                <c:pt idx="113">
                  <c:v>45.941000000000003</c:v>
                </c:pt>
                <c:pt idx="114">
                  <c:v>46.349699999999999</c:v>
                </c:pt>
                <c:pt idx="115">
                  <c:v>46.757899999999999</c:v>
                </c:pt>
                <c:pt idx="116">
                  <c:v>47.1586</c:v>
                </c:pt>
                <c:pt idx="117">
                  <c:v>47.566400000000002</c:v>
                </c:pt>
                <c:pt idx="118">
                  <c:v>47.9741</c:v>
                </c:pt>
                <c:pt idx="119">
                  <c:v>48.380200000000002</c:v>
                </c:pt>
                <c:pt idx="120">
                  <c:v>48.7883</c:v>
                </c:pt>
                <c:pt idx="121">
                  <c:v>49.1952</c:v>
                </c:pt>
                <c:pt idx="122">
                  <c:v>49.597000000000001</c:v>
                </c:pt>
                <c:pt idx="123">
                  <c:v>50.008000000000003</c:v>
                </c:pt>
                <c:pt idx="124">
                  <c:v>50.412799999999997</c:v>
                </c:pt>
                <c:pt idx="125">
                  <c:v>50.813800000000001</c:v>
                </c:pt>
                <c:pt idx="126">
                  <c:v>51.223100000000002</c:v>
                </c:pt>
                <c:pt idx="127">
                  <c:v>51.627600000000001</c:v>
                </c:pt>
                <c:pt idx="128">
                  <c:v>52.037500000000001</c:v>
                </c:pt>
                <c:pt idx="129">
                  <c:v>52.444400000000002</c:v>
                </c:pt>
                <c:pt idx="130">
                  <c:v>52.849299999999999</c:v>
                </c:pt>
                <c:pt idx="131">
                  <c:v>53.254300000000001</c:v>
                </c:pt>
                <c:pt idx="132">
                  <c:v>53.661099999999998</c:v>
                </c:pt>
                <c:pt idx="133">
                  <c:v>54.070099999999996</c:v>
                </c:pt>
                <c:pt idx="134">
                  <c:v>54.475099999999998</c:v>
                </c:pt>
                <c:pt idx="135">
                  <c:v>54.880899999999997</c:v>
                </c:pt>
                <c:pt idx="136">
                  <c:v>55.285200000000003</c:v>
                </c:pt>
                <c:pt idx="137">
                  <c:v>55.690199999999997</c:v>
                </c:pt>
                <c:pt idx="138">
                  <c:v>56.0976</c:v>
                </c:pt>
                <c:pt idx="139">
                  <c:v>56.505600000000001</c:v>
                </c:pt>
                <c:pt idx="140">
                  <c:v>56.910400000000003</c:v>
                </c:pt>
                <c:pt idx="141">
                  <c:v>57.315800000000003</c:v>
                </c:pt>
                <c:pt idx="142">
                  <c:v>57.728400000000001</c:v>
                </c:pt>
                <c:pt idx="143">
                  <c:v>58.129300000000001</c:v>
                </c:pt>
                <c:pt idx="144">
                  <c:v>58.536299999999997</c:v>
                </c:pt>
                <c:pt idx="145">
                  <c:v>58.943100000000001</c:v>
                </c:pt>
                <c:pt idx="146">
                  <c:v>59.346499999999999</c:v>
                </c:pt>
                <c:pt idx="147">
                  <c:v>59.758699999999997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  <c:pt idx="74">
                  <c:v>9.5782799999999995</c:v>
                </c:pt>
                <c:pt idx="75">
                  <c:v>9.4835399999999996</c:v>
                </c:pt>
                <c:pt idx="76">
                  <c:v>9.29284</c:v>
                </c:pt>
                <c:pt idx="77">
                  <c:v>9.1538500000000003</c:v>
                </c:pt>
                <c:pt idx="78">
                  <c:v>9.0822200000000013</c:v>
                </c:pt>
                <c:pt idx="79">
                  <c:v>8.9053100000000001</c:v>
                </c:pt>
                <c:pt idx="80">
                  <c:v>8.7626600000000003</c:v>
                </c:pt>
                <c:pt idx="81">
                  <c:v>8.6318699999999993</c:v>
                </c:pt>
                <c:pt idx="82">
                  <c:v>8.3964499999999997</c:v>
                </c:pt>
                <c:pt idx="83">
                  <c:v>8.219619999999999</c:v>
                </c:pt>
                <c:pt idx="84">
                  <c:v>8.0097000000000005</c:v>
                </c:pt>
                <c:pt idx="85">
                  <c:v>7.859770000000001</c:v>
                </c:pt>
                <c:pt idx="86">
                  <c:v>7.63842</c:v>
                </c:pt>
                <c:pt idx="87">
                  <c:v>7.4454400000000005</c:v>
                </c:pt>
                <c:pt idx="88">
                  <c:v>7.1132699999999991</c:v>
                </c:pt>
                <c:pt idx="89">
                  <c:v>6.932290000000001</c:v>
                </c:pt>
                <c:pt idx="90">
                  <c:v>6.6395800000000005</c:v>
                </c:pt>
                <c:pt idx="91">
                  <c:v>6.4163300000000003</c:v>
                </c:pt>
                <c:pt idx="92">
                  <c:v>6.3110799999999996</c:v>
                </c:pt>
                <c:pt idx="93">
                  <c:v>6.1483699999999999</c:v>
                </c:pt>
                <c:pt idx="94">
                  <c:v>5.9183500000000002</c:v>
                </c:pt>
                <c:pt idx="95">
                  <c:v>5.6293699999999998</c:v>
                </c:pt>
                <c:pt idx="96">
                  <c:v>5.3234499999999993</c:v>
                </c:pt>
                <c:pt idx="97">
                  <c:v>4.8937900000000001</c:v>
                </c:pt>
                <c:pt idx="98">
                  <c:v>4.50326</c:v>
                </c:pt>
                <c:pt idx="99">
                  <c:v>4.01152</c:v>
                </c:pt>
                <c:pt idx="100">
                  <c:v>3.4397499999999996</c:v>
                </c:pt>
                <c:pt idx="101">
                  <c:v>2.8880300000000001</c:v>
                </c:pt>
                <c:pt idx="102">
                  <c:v>2.3223400000000001</c:v>
                </c:pt>
                <c:pt idx="103">
                  <c:v>1.764</c:v>
                </c:pt>
                <c:pt idx="104">
                  <c:v>1.2584500000000001</c:v>
                </c:pt>
                <c:pt idx="105">
                  <c:v>0.80117000000000005</c:v>
                </c:pt>
                <c:pt idx="106">
                  <c:v>0.348082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0.14771700000000001</c:v>
                </c:pt>
                <c:pt idx="134">
                  <c:v>0.340702</c:v>
                </c:pt>
                <c:pt idx="135">
                  <c:v>0.46893300000000004</c:v>
                </c:pt>
                <c:pt idx="136">
                  <c:v>0.61600099999999991</c:v>
                </c:pt>
                <c:pt idx="137">
                  <c:v>0.87097100000000005</c:v>
                </c:pt>
                <c:pt idx="138">
                  <c:v>0.92662100000000003</c:v>
                </c:pt>
                <c:pt idx="139">
                  <c:v>1.0436400000000001</c:v>
                </c:pt>
                <c:pt idx="140">
                  <c:v>1.2552000000000001</c:v>
                </c:pt>
                <c:pt idx="141">
                  <c:v>1.4509700000000001</c:v>
                </c:pt>
                <c:pt idx="142">
                  <c:v>1.58856</c:v>
                </c:pt>
                <c:pt idx="143">
                  <c:v>1.73027</c:v>
                </c:pt>
                <c:pt idx="144">
                  <c:v>2.0034900000000002</c:v>
                </c:pt>
                <c:pt idx="145">
                  <c:v>2.0186899999999999</c:v>
                </c:pt>
                <c:pt idx="146">
                  <c:v>2.6428099999999999</c:v>
                </c:pt>
                <c:pt idx="147">
                  <c:v>3.3650199999999999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0.38058999999999998</c:v>
                </c:pt>
                <c:pt idx="2">
                  <c:v>0.78849199999999997</c:v>
                </c:pt>
                <c:pt idx="3">
                  <c:v>1.19537</c:v>
                </c:pt>
                <c:pt idx="4">
                  <c:v>1.6004</c:v>
                </c:pt>
                <c:pt idx="5">
                  <c:v>2.00556</c:v>
                </c:pt>
                <c:pt idx="6">
                  <c:v>2.4070800000000001</c:v>
                </c:pt>
                <c:pt idx="7">
                  <c:v>2.8220900000000002</c:v>
                </c:pt>
                <c:pt idx="8">
                  <c:v>3.2212100000000001</c:v>
                </c:pt>
                <c:pt idx="9">
                  <c:v>3.6279599999999999</c:v>
                </c:pt>
                <c:pt idx="10">
                  <c:v>4.0370600000000003</c:v>
                </c:pt>
                <c:pt idx="11">
                  <c:v>4.44468</c:v>
                </c:pt>
                <c:pt idx="12">
                  <c:v>4.8526499999999997</c:v>
                </c:pt>
                <c:pt idx="13">
                  <c:v>5.2568200000000003</c:v>
                </c:pt>
                <c:pt idx="14">
                  <c:v>5.6634500000000001</c:v>
                </c:pt>
                <c:pt idx="15">
                  <c:v>6.0674000000000001</c:v>
                </c:pt>
                <c:pt idx="16">
                  <c:v>6.4725200000000003</c:v>
                </c:pt>
                <c:pt idx="17">
                  <c:v>6.8784599999999996</c:v>
                </c:pt>
                <c:pt idx="18">
                  <c:v>7.2881099999999996</c:v>
                </c:pt>
                <c:pt idx="19">
                  <c:v>7.6910400000000001</c:v>
                </c:pt>
                <c:pt idx="20">
                  <c:v>8.1038800000000002</c:v>
                </c:pt>
                <c:pt idx="21">
                  <c:v>8.5079700000000003</c:v>
                </c:pt>
                <c:pt idx="22">
                  <c:v>8.9137400000000007</c:v>
                </c:pt>
                <c:pt idx="23">
                  <c:v>9.3146400000000007</c:v>
                </c:pt>
                <c:pt idx="24">
                  <c:v>9.7246000000000006</c:v>
                </c:pt>
                <c:pt idx="25">
                  <c:v>10.1325</c:v>
                </c:pt>
                <c:pt idx="26">
                  <c:v>10.5395</c:v>
                </c:pt>
                <c:pt idx="27">
                  <c:v>10.942299999999999</c:v>
                </c:pt>
                <c:pt idx="28">
                  <c:v>11.349500000000001</c:v>
                </c:pt>
                <c:pt idx="29">
                  <c:v>11.7552</c:v>
                </c:pt>
                <c:pt idx="30">
                  <c:v>12.161</c:v>
                </c:pt>
                <c:pt idx="31">
                  <c:v>12.569100000000001</c:v>
                </c:pt>
                <c:pt idx="32">
                  <c:v>12.973100000000001</c:v>
                </c:pt>
                <c:pt idx="33">
                  <c:v>13.382</c:v>
                </c:pt>
                <c:pt idx="34">
                  <c:v>13.7867</c:v>
                </c:pt>
                <c:pt idx="35">
                  <c:v>14.1937</c:v>
                </c:pt>
                <c:pt idx="36">
                  <c:v>14.602499999999999</c:v>
                </c:pt>
                <c:pt idx="37">
                  <c:v>15.0045</c:v>
                </c:pt>
                <c:pt idx="38">
                  <c:v>15.413399999999999</c:v>
                </c:pt>
                <c:pt idx="39">
                  <c:v>15.817299999999999</c:v>
                </c:pt>
                <c:pt idx="40">
                  <c:v>16.223600000000001</c:v>
                </c:pt>
                <c:pt idx="41">
                  <c:v>16.627099999999999</c:v>
                </c:pt>
                <c:pt idx="42">
                  <c:v>17.034700000000001</c:v>
                </c:pt>
                <c:pt idx="43">
                  <c:v>17.4452</c:v>
                </c:pt>
                <c:pt idx="44">
                  <c:v>17.847899999999999</c:v>
                </c:pt>
                <c:pt idx="45">
                  <c:v>18.252800000000001</c:v>
                </c:pt>
                <c:pt idx="46">
                  <c:v>18.6629</c:v>
                </c:pt>
                <c:pt idx="47">
                  <c:v>19.066600000000001</c:v>
                </c:pt>
                <c:pt idx="48">
                  <c:v>19.476500000000001</c:v>
                </c:pt>
                <c:pt idx="49">
                  <c:v>19.8825</c:v>
                </c:pt>
                <c:pt idx="50">
                  <c:v>20.2834</c:v>
                </c:pt>
                <c:pt idx="51">
                  <c:v>20.688099999999999</c:v>
                </c:pt>
                <c:pt idx="52">
                  <c:v>21.100899999999999</c:v>
                </c:pt>
                <c:pt idx="53">
                  <c:v>21.507200000000001</c:v>
                </c:pt>
                <c:pt idx="54">
                  <c:v>21.911200000000001</c:v>
                </c:pt>
                <c:pt idx="55">
                  <c:v>22.313700000000001</c:v>
                </c:pt>
                <c:pt idx="56">
                  <c:v>22.725899999999999</c:v>
                </c:pt>
                <c:pt idx="57">
                  <c:v>23.126799999999999</c:v>
                </c:pt>
                <c:pt idx="58">
                  <c:v>23.534700000000001</c:v>
                </c:pt>
                <c:pt idx="59">
                  <c:v>23.940999999999999</c:v>
                </c:pt>
                <c:pt idx="60">
                  <c:v>24.348600000000001</c:v>
                </c:pt>
                <c:pt idx="61">
                  <c:v>24.755400000000002</c:v>
                </c:pt>
                <c:pt idx="62">
                  <c:v>25.162299999999998</c:v>
                </c:pt>
                <c:pt idx="63">
                  <c:v>25.565200000000001</c:v>
                </c:pt>
                <c:pt idx="64">
                  <c:v>25.9741</c:v>
                </c:pt>
                <c:pt idx="65">
                  <c:v>26.3782</c:v>
                </c:pt>
                <c:pt idx="66">
                  <c:v>26.784600000000001</c:v>
                </c:pt>
                <c:pt idx="67">
                  <c:v>27.195900000000002</c:v>
                </c:pt>
                <c:pt idx="68">
                  <c:v>27.595800000000001</c:v>
                </c:pt>
                <c:pt idx="69">
                  <c:v>28.0075</c:v>
                </c:pt>
                <c:pt idx="70">
                  <c:v>28.410599999999999</c:v>
                </c:pt>
                <c:pt idx="71">
                  <c:v>28.813600000000001</c:v>
                </c:pt>
                <c:pt idx="72">
                  <c:v>29.2226</c:v>
                </c:pt>
                <c:pt idx="73">
                  <c:v>29.627300000000002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29.627300000000002</c:v>
                </c:pt>
                <c:pt idx="1">
                  <c:v>30.033100000000001</c:v>
                </c:pt>
                <c:pt idx="2">
                  <c:v>30.614899999999999</c:v>
                </c:pt>
                <c:pt idx="3">
                  <c:v>30.992799999999999</c:v>
                </c:pt>
                <c:pt idx="4">
                  <c:v>31.364799999999999</c:v>
                </c:pt>
                <c:pt idx="5">
                  <c:v>31.741800000000001</c:v>
                </c:pt>
                <c:pt idx="6">
                  <c:v>32.126899999999999</c:v>
                </c:pt>
                <c:pt idx="7">
                  <c:v>32.5366</c:v>
                </c:pt>
                <c:pt idx="8">
                  <c:v>32.939799999999998</c:v>
                </c:pt>
                <c:pt idx="9">
                  <c:v>33.3474</c:v>
                </c:pt>
                <c:pt idx="10">
                  <c:v>33.755400000000002</c:v>
                </c:pt>
                <c:pt idx="11">
                  <c:v>34.162300000000002</c:v>
                </c:pt>
                <c:pt idx="12">
                  <c:v>34.571199999999997</c:v>
                </c:pt>
                <c:pt idx="13">
                  <c:v>34.971200000000003</c:v>
                </c:pt>
                <c:pt idx="14">
                  <c:v>35.379199999999997</c:v>
                </c:pt>
                <c:pt idx="15">
                  <c:v>35.787999999999997</c:v>
                </c:pt>
                <c:pt idx="16">
                  <c:v>36.191899999999997</c:v>
                </c:pt>
                <c:pt idx="17">
                  <c:v>36.5991</c:v>
                </c:pt>
                <c:pt idx="18">
                  <c:v>37.003700000000002</c:v>
                </c:pt>
                <c:pt idx="19">
                  <c:v>37.412599999999998</c:v>
                </c:pt>
                <c:pt idx="20">
                  <c:v>37.8185</c:v>
                </c:pt>
                <c:pt idx="21">
                  <c:v>38.223700000000001</c:v>
                </c:pt>
                <c:pt idx="22">
                  <c:v>38.6295</c:v>
                </c:pt>
                <c:pt idx="23">
                  <c:v>39.036200000000001</c:v>
                </c:pt>
                <c:pt idx="24">
                  <c:v>39.444200000000002</c:v>
                </c:pt>
                <c:pt idx="25">
                  <c:v>39.848100000000002</c:v>
                </c:pt>
                <c:pt idx="26">
                  <c:v>40.253999999999998</c:v>
                </c:pt>
                <c:pt idx="27">
                  <c:v>40.661200000000001</c:v>
                </c:pt>
                <c:pt idx="28">
                  <c:v>41.071899999999999</c:v>
                </c:pt>
                <c:pt idx="29">
                  <c:v>41.471800000000002</c:v>
                </c:pt>
                <c:pt idx="30">
                  <c:v>41.881599999999999</c:v>
                </c:pt>
                <c:pt idx="31">
                  <c:v>42.289700000000003</c:v>
                </c:pt>
                <c:pt idx="32">
                  <c:v>42.695500000000003</c:v>
                </c:pt>
                <c:pt idx="33">
                  <c:v>43.1004</c:v>
                </c:pt>
                <c:pt idx="34">
                  <c:v>43.504300000000001</c:v>
                </c:pt>
                <c:pt idx="35">
                  <c:v>43.9114</c:v>
                </c:pt>
                <c:pt idx="36">
                  <c:v>44.315199999999997</c:v>
                </c:pt>
                <c:pt idx="37">
                  <c:v>44.725299999999997</c:v>
                </c:pt>
                <c:pt idx="38">
                  <c:v>45.129899999999999</c:v>
                </c:pt>
                <c:pt idx="39">
                  <c:v>45.535899999999998</c:v>
                </c:pt>
                <c:pt idx="40">
                  <c:v>45.941000000000003</c:v>
                </c:pt>
                <c:pt idx="41">
                  <c:v>46.349699999999999</c:v>
                </c:pt>
                <c:pt idx="42">
                  <c:v>46.757899999999999</c:v>
                </c:pt>
                <c:pt idx="43">
                  <c:v>47.1586</c:v>
                </c:pt>
                <c:pt idx="44">
                  <c:v>47.566400000000002</c:v>
                </c:pt>
                <c:pt idx="45">
                  <c:v>47.9741</c:v>
                </c:pt>
                <c:pt idx="46">
                  <c:v>48.380200000000002</c:v>
                </c:pt>
                <c:pt idx="47">
                  <c:v>48.7883</c:v>
                </c:pt>
                <c:pt idx="48">
                  <c:v>49.1952</c:v>
                </c:pt>
                <c:pt idx="49">
                  <c:v>49.597000000000001</c:v>
                </c:pt>
                <c:pt idx="50">
                  <c:v>50.008000000000003</c:v>
                </c:pt>
                <c:pt idx="51">
                  <c:v>50.412799999999997</c:v>
                </c:pt>
                <c:pt idx="52">
                  <c:v>50.813800000000001</c:v>
                </c:pt>
                <c:pt idx="53">
                  <c:v>51.223100000000002</c:v>
                </c:pt>
                <c:pt idx="54">
                  <c:v>51.627600000000001</c:v>
                </c:pt>
                <c:pt idx="55">
                  <c:v>52.037500000000001</c:v>
                </c:pt>
                <c:pt idx="56">
                  <c:v>52.444400000000002</c:v>
                </c:pt>
                <c:pt idx="57">
                  <c:v>52.849299999999999</c:v>
                </c:pt>
                <c:pt idx="58">
                  <c:v>53.254300000000001</c:v>
                </c:pt>
                <c:pt idx="59">
                  <c:v>53.661099999999998</c:v>
                </c:pt>
                <c:pt idx="60">
                  <c:v>54.070099999999996</c:v>
                </c:pt>
                <c:pt idx="61">
                  <c:v>54.475099999999998</c:v>
                </c:pt>
                <c:pt idx="62">
                  <c:v>54.880899999999997</c:v>
                </c:pt>
                <c:pt idx="63">
                  <c:v>55.285200000000003</c:v>
                </c:pt>
                <c:pt idx="64">
                  <c:v>55.690199999999997</c:v>
                </c:pt>
                <c:pt idx="65">
                  <c:v>56.0976</c:v>
                </c:pt>
                <c:pt idx="66">
                  <c:v>56.505600000000001</c:v>
                </c:pt>
                <c:pt idx="67">
                  <c:v>56.910400000000003</c:v>
                </c:pt>
                <c:pt idx="68">
                  <c:v>57.315800000000003</c:v>
                </c:pt>
                <c:pt idx="69">
                  <c:v>57.728400000000001</c:v>
                </c:pt>
                <c:pt idx="70">
                  <c:v>58.129300000000001</c:v>
                </c:pt>
                <c:pt idx="71">
                  <c:v>58.536299999999997</c:v>
                </c:pt>
                <c:pt idx="72">
                  <c:v>58.943100000000001</c:v>
                </c:pt>
                <c:pt idx="73">
                  <c:v>59.346499999999999</c:v>
                </c:pt>
                <c:pt idx="74">
                  <c:v>59.758699999999997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9.6465399999999999</c:v>
                </c:pt>
                <c:pt idx="1">
                  <c:v>9.5782799999999995</c:v>
                </c:pt>
                <c:pt idx="2">
                  <c:v>9.4835399999999996</c:v>
                </c:pt>
                <c:pt idx="3">
                  <c:v>9.29284</c:v>
                </c:pt>
                <c:pt idx="4">
                  <c:v>9.1538500000000003</c:v>
                </c:pt>
                <c:pt idx="5">
                  <c:v>9.0822200000000013</c:v>
                </c:pt>
                <c:pt idx="6">
                  <c:v>8.9053100000000001</c:v>
                </c:pt>
                <c:pt idx="7">
                  <c:v>8.7626600000000003</c:v>
                </c:pt>
                <c:pt idx="8">
                  <c:v>8.6318699999999993</c:v>
                </c:pt>
                <c:pt idx="9">
                  <c:v>8.3964499999999997</c:v>
                </c:pt>
                <c:pt idx="10">
                  <c:v>8.219619999999999</c:v>
                </c:pt>
                <c:pt idx="11">
                  <c:v>8.0097000000000005</c:v>
                </c:pt>
                <c:pt idx="12">
                  <c:v>7.859770000000001</c:v>
                </c:pt>
                <c:pt idx="13">
                  <c:v>7.63842</c:v>
                </c:pt>
                <c:pt idx="14">
                  <c:v>7.4454400000000005</c:v>
                </c:pt>
                <c:pt idx="15">
                  <c:v>7.1132699999999991</c:v>
                </c:pt>
                <c:pt idx="16">
                  <c:v>6.932290000000001</c:v>
                </c:pt>
                <c:pt idx="17">
                  <c:v>6.6395800000000005</c:v>
                </c:pt>
                <c:pt idx="18">
                  <c:v>6.4163300000000003</c:v>
                </c:pt>
                <c:pt idx="19">
                  <c:v>6.3110799999999996</c:v>
                </c:pt>
                <c:pt idx="20">
                  <c:v>6.1483699999999999</c:v>
                </c:pt>
                <c:pt idx="21">
                  <c:v>5.9183500000000002</c:v>
                </c:pt>
                <c:pt idx="22">
                  <c:v>5.6293699999999998</c:v>
                </c:pt>
                <c:pt idx="23">
                  <c:v>5.3234499999999993</c:v>
                </c:pt>
                <c:pt idx="24">
                  <c:v>4.8937900000000001</c:v>
                </c:pt>
                <c:pt idx="25">
                  <c:v>4.50326</c:v>
                </c:pt>
                <c:pt idx="26">
                  <c:v>4.01152</c:v>
                </c:pt>
                <c:pt idx="27">
                  <c:v>3.4397499999999996</c:v>
                </c:pt>
                <c:pt idx="28">
                  <c:v>2.8880300000000001</c:v>
                </c:pt>
                <c:pt idx="29">
                  <c:v>2.3223400000000001</c:v>
                </c:pt>
                <c:pt idx="30">
                  <c:v>1.764</c:v>
                </c:pt>
                <c:pt idx="31">
                  <c:v>1.2584500000000001</c:v>
                </c:pt>
                <c:pt idx="32">
                  <c:v>0.80117000000000005</c:v>
                </c:pt>
                <c:pt idx="33">
                  <c:v>0.348082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0.14771700000000001</c:v>
                </c:pt>
                <c:pt idx="61">
                  <c:v>0.340702</c:v>
                </c:pt>
                <c:pt idx="62">
                  <c:v>0.46893300000000004</c:v>
                </c:pt>
                <c:pt idx="63">
                  <c:v>0.61600099999999991</c:v>
                </c:pt>
                <c:pt idx="64">
                  <c:v>0.87097100000000005</c:v>
                </c:pt>
                <c:pt idx="65">
                  <c:v>0.92662100000000003</c:v>
                </c:pt>
                <c:pt idx="66">
                  <c:v>1.0436400000000001</c:v>
                </c:pt>
                <c:pt idx="67">
                  <c:v>1.2552000000000001</c:v>
                </c:pt>
                <c:pt idx="68">
                  <c:v>1.4509700000000001</c:v>
                </c:pt>
                <c:pt idx="69">
                  <c:v>1.58856</c:v>
                </c:pt>
                <c:pt idx="70">
                  <c:v>1.73027</c:v>
                </c:pt>
                <c:pt idx="71">
                  <c:v>2.0034900000000002</c:v>
                </c:pt>
                <c:pt idx="72">
                  <c:v>2.0186899999999999</c:v>
                </c:pt>
                <c:pt idx="73">
                  <c:v>2.6428099999999999</c:v>
                </c:pt>
                <c:pt idx="74">
                  <c:v>3.3650199999999999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14.939674999999999</c:v>
                </c:pt>
                <c:pt idx="1">
                  <c:v>44.819024999999996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19.623614999999997</c:v>
                </c:pt>
                <c:pt idx="1">
                  <c:v>3.0215141486486483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  <c:pt idx="74">
                  <c:v>3.6275499999999998</c:v>
                </c:pt>
                <c:pt idx="75">
                  <c:v>3.6238599999999996</c:v>
                </c:pt>
                <c:pt idx="76">
                  <c:v>3.6212200000000001</c:v>
                </c:pt>
                <c:pt idx="77">
                  <c:v>3.6193499999999998</c:v>
                </c:pt>
                <c:pt idx="78">
                  <c:v>3.6171799999999998</c:v>
                </c:pt>
                <c:pt idx="79">
                  <c:v>3.6180699999999999</c:v>
                </c:pt>
                <c:pt idx="80">
                  <c:v>3.6209999999999996</c:v>
                </c:pt>
                <c:pt idx="81">
                  <c:v>3.6257099999999998</c:v>
                </c:pt>
                <c:pt idx="82">
                  <c:v>3.6311</c:v>
                </c:pt>
                <c:pt idx="83">
                  <c:v>3.6352500000000001</c:v>
                </c:pt>
                <c:pt idx="84">
                  <c:v>3.6379699999999997</c:v>
                </c:pt>
                <c:pt idx="85">
                  <c:v>3.6370999999999998</c:v>
                </c:pt>
                <c:pt idx="86">
                  <c:v>3.6334400000000002</c:v>
                </c:pt>
                <c:pt idx="87">
                  <c:v>3.6273</c:v>
                </c:pt>
                <c:pt idx="88">
                  <c:v>3.62384</c:v>
                </c:pt>
                <c:pt idx="89">
                  <c:v>3.6156999999999999</c:v>
                </c:pt>
                <c:pt idx="90">
                  <c:v>3.6078399999999999</c:v>
                </c:pt>
                <c:pt idx="91">
                  <c:v>3.59659</c:v>
                </c:pt>
                <c:pt idx="92">
                  <c:v>3.5790800000000003</c:v>
                </c:pt>
                <c:pt idx="93">
                  <c:v>3.55823</c:v>
                </c:pt>
                <c:pt idx="94">
                  <c:v>3.5358200000000002</c:v>
                </c:pt>
                <c:pt idx="95">
                  <c:v>3.5123199999999999</c:v>
                </c:pt>
                <c:pt idx="96">
                  <c:v>3.49031</c:v>
                </c:pt>
                <c:pt idx="97">
                  <c:v>3.4688699999999999</c:v>
                </c:pt>
                <c:pt idx="98">
                  <c:v>3.4465699999999999</c:v>
                </c:pt>
                <c:pt idx="99">
                  <c:v>3.42157</c:v>
                </c:pt>
                <c:pt idx="100">
                  <c:v>3.3942899999999998</c:v>
                </c:pt>
                <c:pt idx="101">
                  <c:v>3.36727</c:v>
                </c:pt>
                <c:pt idx="102">
                  <c:v>3.3417699999999999</c:v>
                </c:pt>
                <c:pt idx="103">
                  <c:v>3.31637</c:v>
                </c:pt>
                <c:pt idx="104">
                  <c:v>3.2910499999999998</c:v>
                </c:pt>
                <c:pt idx="105">
                  <c:v>3.2631600000000001</c:v>
                </c:pt>
                <c:pt idx="106">
                  <c:v>3.2342599999999999</c:v>
                </c:pt>
                <c:pt idx="107">
                  <c:v>3.2035200000000001</c:v>
                </c:pt>
                <c:pt idx="108">
                  <c:v>3.17266</c:v>
                </c:pt>
                <c:pt idx="109">
                  <c:v>3.1408300000000002</c:v>
                </c:pt>
                <c:pt idx="110">
                  <c:v>3.1126999999999998</c:v>
                </c:pt>
                <c:pt idx="111">
                  <c:v>3.0850899999999997</c:v>
                </c:pt>
                <c:pt idx="112">
                  <c:v>3.0639100000000004</c:v>
                </c:pt>
                <c:pt idx="113">
                  <c:v>3.0437599999999998</c:v>
                </c:pt>
                <c:pt idx="114">
                  <c:v>3.0277099999999999</c:v>
                </c:pt>
                <c:pt idx="115">
                  <c:v>3.0141800000000001</c:v>
                </c:pt>
                <c:pt idx="116">
                  <c:v>3.0015900000000002</c:v>
                </c:pt>
                <c:pt idx="117">
                  <c:v>2.99112</c:v>
                </c:pt>
                <c:pt idx="118">
                  <c:v>2.98265</c:v>
                </c:pt>
                <c:pt idx="119">
                  <c:v>2.9776200000000004</c:v>
                </c:pt>
                <c:pt idx="120">
                  <c:v>2.9758599999999999</c:v>
                </c:pt>
                <c:pt idx="121">
                  <c:v>2.97641</c:v>
                </c:pt>
                <c:pt idx="122">
                  <c:v>2.98231</c:v>
                </c:pt>
                <c:pt idx="123">
                  <c:v>2.99309</c:v>
                </c:pt>
                <c:pt idx="124">
                  <c:v>2.9944799999999998</c:v>
                </c:pt>
                <c:pt idx="125">
                  <c:v>2.99431</c:v>
                </c:pt>
                <c:pt idx="126">
                  <c:v>2.9945300000000001</c:v>
                </c:pt>
                <c:pt idx="127">
                  <c:v>2.9954700000000001</c:v>
                </c:pt>
                <c:pt idx="128">
                  <c:v>2.9965000000000002</c:v>
                </c:pt>
                <c:pt idx="129">
                  <c:v>2.9982500000000001</c:v>
                </c:pt>
                <c:pt idx="130">
                  <c:v>3.0011300000000003</c:v>
                </c:pt>
                <c:pt idx="131">
                  <c:v>3.0036800000000001</c:v>
                </c:pt>
                <c:pt idx="132">
                  <c:v>3.0083199999999999</c:v>
                </c:pt>
                <c:pt idx="133">
                  <c:v>3.0123499999999996</c:v>
                </c:pt>
                <c:pt idx="134">
                  <c:v>3.01892</c:v>
                </c:pt>
                <c:pt idx="135">
                  <c:v>3.0275000000000003</c:v>
                </c:pt>
                <c:pt idx="136">
                  <c:v>3.0394600000000001</c:v>
                </c:pt>
                <c:pt idx="137">
                  <c:v>3.0464799999999999</c:v>
                </c:pt>
                <c:pt idx="138">
                  <c:v>3.0523499999999997</c:v>
                </c:pt>
                <c:pt idx="139">
                  <c:v>3.0571799999999998</c:v>
                </c:pt>
                <c:pt idx="140">
                  <c:v>3.0610500000000003</c:v>
                </c:pt>
                <c:pt idx="141">
                  <c:v>3.0674800000000002</c:v>
                </c:pt>
                <c:pt idx="142">
                  <c:v>3.0794999999999999</c:v>
                </c:pt>
                <c:pt idx="143">
                  <c:v>3.0976399999999997</c:v>
                </c:pt>
                <c:pt idx="144">
                  <c:v>3.1187900000000002</c:v>
                </c:pt>
                <c:pt idx="145">
                  <c:v>3.1518200000000003</c:v>
                </c:pt>
                <c:pt idx="146">
                  <c:v>3.1877800000000001</c:v>
                </c:pt>
                <c:pt idx="147">
                  <c:v>3.2240799999999998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  <c:pt idx="74">
                  <c:v>9.5782799999999995</c:v>
                </c:pt>
                <c:pt idx="75">
                  <c:v>9.4835399999999996</c:v>
                </c:pt>
                <c:pt idx="76">
                  <c:v>9.29284</c:v>
                </c:pt>
                <c:pt idx="77">
                  <c:v>9.1538500000000003</c:v>
                </c:pt>
                <c:pt idx="78">
                  <c:v>9.0822200000000013</c:v>
                </c:pt>
                <c:pt idx="79">
                  <c:v>8.9053100000000001</c:v>
                </c:pt>
                <c:pt idx="80">
                  <c:v>8.7626600000000003</c:v>
                </c:pt>
                <c:pt idx="81">
                  <c:v>8.6318699999999993</c:v>
                </c:pt>
                <c:pt idx="82">
                  <c:v>8.3964499999999997</c:v>
                </c:pt>
                <c:pt idx="83">
                  <c:v>8.219619999999999</c:v>
                </c:pt>
                <c:pt idx="84">
                  <c:v>8.0097000000000005</c:v>
                </c:pt>
                <c:pt idx="85">
                  <c:v>7.859770000000001</c:v>
                </c:pt>
                <c:pt idx="86">
                  <c:v>7.63842</c:v>
                </c:pt>
                <c:pt idx="87">
                  <c:v>7.4454400000000005</c:v>
                </c:pt>
                <c:pt idx="88">
                  <c:v>7.1132699999999991</c:v>
                </c:pt>
                <c:pt idx="89">
                  <c:v>6.932290000000001</c:v>
                </c:pt>
                <c:pt idx="90">
                  <c:v>6.6395800000000005</c:v>
                </c:pt>
                <c:pt idx="91">
                  <c:v>6.4163300000000003</c:v>
                </c:pt>
                <c:pt idx="92">
                  <c:v>6.3110799999999996</c:v>
                </c:pt>
                <c:pt idx="93">
                  <c:v>6.1483699999999999</c:v>
                </c:pt>
                <c:pt idx="94">
                  <c:v>5.9183500000000002</c:v>
                </c:pt>
                <c:pt idx="95">
                  <c:v>5.6293699999999998</c:v>
                </c:pt>
                <c:pt idx="96">
                  <c:v>5.3234499999999993</c:v>
                </c:pt>
                <c:pt idx="97">
                  <c:v>4.8937900000000001</c:v>
                </c:pt>
                <c:pt idx="98">
                  <c:v>4.50326</c:v>
                </c:pt>
                <c:pt idx="99">
                  <c:v>4.01152</c:v>
                </c:pt>
                <c:pt idx="100">
                  <c:v>3.4397499999999996</c:v>
                </c:pt>
                <c:pt idx="101">
                  <c:v>2.8880300000000001</c:v>
                </c:pt>
                <c:pt idx="102">
                  <c:v>2.3223400000000001</c:v>
                </c:pt>
                <c:pt idx="103">
                  <c:v>1.764</c:v>
                </c:pt>
                <c:pt idx="104">
                  <c:v>1.2584500000000001</c:v>
                </c:pt>
                <c:pt idx="105">
                  <c:v>0.80117000000000005</c:v>
                </c:pt>
                <c:pt idx="106">
                  <c:v>0.348082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0.14771700000000001</c:v>
                </c:pt>
                <c:pt idx="134">
                  <c:v>0.340702</c:v>
                </c:pt>
                <c:pt idx="135">
                  <c:v>0.46893300000000004</c:v>
                </c:pt>
                <c:pt idx="136">
                  <c:v>0.61600099999999991</c:v>
                </c:pt>
                <c:pt idx="137">
                  <c:v>0.87097100000000005</c:v>
                </c:pt>
                <c:pt idx="138">
                  <c:v>0.92662100000000003</c:v>
                </c:pt>
                <c:pt idx="139">
                  <c:v>1.0436400000000001</c:v>
                </c:pt>
                <c:pt idx="140">
                  <c:v>1.2552000000000001</c:v>
                </c:pt>
                <c:pt idx="141">
                  <c:v>1.4509700000000001</c:v>
                </c:pt>
                <c:pt idx="142">
                  <c:v>1.58856</c:v>
                </c:pt>
                <c:pt idx="143">
                  <c:v>1.73027</c:v>
                </c:pt>
                <c:pt idx="144">
                  <c:v>2.0034900000000002</c:v>
                </c:pt>
                <c:pt idx="145">
                  <c:v>2.0186899999999999</c:v>
                </c:pt>
                <c:pt idx="146">
                  <c:v>2.6428099999999999</c:v>
                </c:pt>
                <c:pt idx="147">
                  <c:v>3.3650199999999999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3.367</c:v>
                </c:pt>
                <c:pt idx="1">
                  <c:v>3.41927</c:v>
                </c:pt>
                <c:pt idx="2">
                  <c:v>3.4700199999999999</c:v>
                </c:pt>
                <c:pt idx="3">
                  <c:v>3.5188999999999999</c:v>
                </c:pt>
                <c:pt idx="4">
                  <c:v>3.56534</c:v>
                </c:pt>
                <c:pt idx="5">
                  <c:v>3.6087000000000002</c:v>
                </c:pt>
                <c:pt idx="6">
                  <c:v>3.6493900000000004</c:v>
                </c:pt>
                <c:pt idx="7">
                  <c:v>3.6865900000000003</c:v>
                </c:pt>
                <c:pt idx="8">
                  <c:v>3.71936</c:v>
                </c:pt>
                <c:pt idx="9">
                  <c:v>3.7471999999999999</c:v>
                </c:pt>
                <c:pt idx="10">
                  <c:v>3.7699300000000004</c:v>
                </c:pt>
                <c:pt idx="11">
                  <c:v>3.7881900000000002</c:v>
                </c:pt>
                <c:pt idx="12">
                  <c:v>3.8040600000000002</c:v>
                </c:pt>
                <c:pt idx="13">
                  <c:v>3.82002</c:v>
                </c:pt>
                <c:pt idx="14">
                  <c:v>3.8317299999999999</c:v>
                </c:pt>
                <c:pt idx="15">
                  <c:v>3.84091</c:v>
                </c:pt>
                <c:pt idx="16">
                  <c:v>3.8471300000000004</c:v>
                </c:pt>
                <c:pt idx="17">
                  <c:v>3.8492999999999999</c:v>
                </c:pt>
                <c:pt idx="18">
                  <c:v>3.8484800000000003</c:v>
                </c:pt>
                <c:pt idx="19">
                  <c:v>3.8450499999999996</c:v>
                </c:pt>
                <c:pt idx="20">
                  <c:v>3.8421499999999997</c:v>
                </c:pt>
                <c:pt idx="21">
                  <c:v>3.8399000000000001</c:v>
                </c:pt>
                <c:pt idx="22">
                  <c:v>3.8361200000000002</c:v>
                </c:pt>
                <c:pt idx="23">
                  <c:v>3.83019</c:v>
                </c:pt>
                <c:pt idx="24">
                  <c:v>3.8206099999999998</c:v>
                </c:pt>
                <c:pt idx="25">
                  <c:v>3.8062400000000003</c:v>
                </c:pt>
                <c:pt idx="26">
                  <c:v>3.7922000000000002</c:v>
                </c:pt>
                <c:pt idx="27">
                  <c:v>3.7753399999999999</c:v>
                </c:pt>
                <c:pt idx="28">
                  <c:v>3.7557499999999999</c:v>
                </c:pt>
                <c:pt idx="29">
                  <c:v>3.7364100000000002</c:v>
                </c:pt>
                <c:pt idx="30">
                  <c:v>3.7169699999999999</c:v>
                </c:pt>
                <c:pt idx="31">
                  <c:v>3.6986999999999997</c:v>
                </c:pt>
                <c:pt idx="32">
                  <c:v>3.6822300000000001</c:v>
                </c:pt>
                <c:pt idx="33">
                  <c:v>3.66615</c:v>
                </c:pt>
                <c:pt idx="34">
                  <c:v>3.64947</c:v>
                </c:pt>
                <c:pt idx="35">
                  <c:v>3.6389399999999998</c:v>
                </c:pt>
                <c:pt idx="36">
                  <c:v>3.6313</c:v>
                </c:pt>
                <c:pt idx="37">
                  <c:v>3.6255600000000001</c:v>
                </c:pt>
                <c:pt idx="38">
                  <c:v>3.6196099999999998</c:v>
                </c:pt>
                <c:pt idx="39">
                  <c:v>3.6154099999999998</c:v>
                </c:pt>
                <c:pt idx="40">
                  <c:v>3.6144599999999998</c:v>
                </c:pt>
                <c:pt idx="41">
                  <c:v>3.6163400000000001</c:v>
                </c:pt>
                <c:pt idx="42">
                  <c:v>3.6187200000000002</c:v>
                </c:pt>
                <c:pt idx="43">
                  <c:v>3.6237000000000004</c:v>
                </c:pt>
                <c:pt idx="44">
                  <c:v>3.6266500000000002</c:v>
                </c:pt>
                <c:pt idx="45">
                  <c:v>3.63192</c:v>
                </c:pt>
                <c:pt idx="46">
                  <c:v>3.6372999999999998</c:v>
                </c:pt>
                <c:pt idx="47">
                  <c:v>3.6425600000000005</c:v>
                </c:pt>
                <c:pt idx="48">
                  <c:v>3.6483500000000002</c:v>
                </c:pt>
                <c:pt idx="49">
                  <c:v>3.6578100000000004</c:v>
                </c:pt>
                <c:pt idx="50">
                  <c:v>3.6640199999999998</c:v>
                </c:pt>
                <c:pt idx="51">
                  <c:v>3.6717200000000001</c:v>
                </c:pt>
                <c:pt idx="52">
                  <c:v>3.6779800000000002</c:v>
                </c:pt>
                <c:pt idx="53">
                  <c:v>3.6833800000000001</c:v>
                </c:pt>
                <c:pt idx="54">
                  <c:v>3.6868299999999996</c:v>
                </c:pt>
                <c:pt idx="55">
                  <c:v>3.6874000000000002</c:v>
                </c:pt>
                <c:pt idx="56">
                  <c:v>3.6855500000000001</c:v>
                </c:pt>
                <c:pt idx="57">
                  <c:v>3.6808100000000001</c:v>
                </c:pt>
                <c:pt idx="58">
                  <c:v>3.6800899999999999</c:v>
                </c:pt>
                <c:pt idx="59">
                  <c:v>3.6823899999999998</c:v>
                </c:pt>
                <c:pt idx="60">
                  <c:v>3.6834800000000003</c:v>
                </c:pt>
                <c:pt idx="61">
                  <c:v>3.6859399999999996</c:v>
                </c:pt>
                <c:pt idx="62">
                  <c:v>3.68912</c:v>
                </c:pt>
                <c:pt idx="63">
                  <c:v>3.6883700000000004</c:v>
                </c:pt>
                <c:pt idx="64">
                  <c:v>3.6875799999999996</c:v>
                </c:pt>
                <c:pt idx="65">
                  <c:v>3.6847300000000001</c:v>
                </c:pt>
                <c:pt idx="66">
                  <c:v>3.6810799999999997</c:v>
                </c:pt>
                <c:pt idx="67">
                  <c:v>3.6771500000000001</c:v>
                </c:pt>
                <c:pt idx="68">
                  <c:v>3.67381</c:v>
                </c:pt>
                <c:pt idx="69">
                  <c:v>3.67157</c:v>
                </c:pt>
                <c:pt idx="70">
                  <c:v>3.66622</c:v>
                </c:pt>
                <c:pt idx="71">
                  <c:v>3.65855</c:v>
                </c:pt>
                <c:pt idx="72">
                  <c:v>3.6502600000000003</c:v>
                </c:pt>
                <c:pt idx="73">
                  <c:v>3.6391299999999998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33.9771</c:v>
                </c:pt>
                <c:pt idx="1">
                  <c:v>33.559699999999999</c:v>
                </c:pt>
                <c:pt idx="2">
                  <c:v>33.099200000000003</c:v>
                </c:pt>
                <c:pt idx="3">
                  <c:v>32.683499999999995</c:v>
                </c:pt>
                <c:pt idx="4">
                  <c:v>32.3065</c:v>
                </c:pt>
                <c:pt idx="5">
                  <c:v>31.918200000000002</c:v>
                </c:pt>
                <c:pt idx="6">
                  <c:v>31.505199999999999</c:v>
                </c:pt>
                <c:pt idx="7">
                  <c:v>31.008599999999998</c:v>
                </c:pt>
                <c:pt idx="8">
                  <c:v>30.5502</c:v>
                </c:pt>
                <c:pt idx="9">
                  <c:v>30.057400000000001</c:v>
                </c:pt>
                <c:pt idx="10">
                  <c:v>29.606400000000001</c:v>
                </c:pt>
                <c:pt idx="11">
                  <c:v>29.234100000000002</c:v>
                </c:pt>
                <c:pt idx="12">
                  <c:v>28.879799999999999</c:v>
                </c:pt>
                <c:pt idx="13">
                  <c:v>28.4999</c:v>
                </c:pt>
                <c:pt idx="14">
                  <c:v>28.128900000000002</c:v>
                </c:pt>
                <c:pt idx="15">
                  <c:v>27.7517</c:v>
                </c:pt>
                <c:pt idx="16">
                  <c:v>27.357300000000002</c:v>
                </c:pt>
                <c:pt idx="17">
                  <c:v>27.037499999999998</c:v>
                </c:pt>
                <c:pt idx="18">
                  <c:v>26.710299999999997</c:v>
                </c:pt>
                <c:pt idx="19">
                  <c:v>26.390499999999999</c:v>
                </c:pt>
                <c:pt idx="20">
                  <c:v>26.048100000000002</c:v>
                </c:pt>
                <c:pt idx="21">
                  <c:v>25.659800000000001</c:v>
                </c:pt>
                <c:pt idx="22">
                  <c:v>25.284299999999998</c:v>
                </c:pt>
                <c:pt idx="23">
                  <c:v>24.9221</c:v>
                </c:pt>
                <c:pt idx="24">
                  <c:v>24.488199999999999</c:v>
                </c:pt>
                <c:pt idx="25">
                  <c:v>24.023099999999999</c:v>
                </c:pt>
                <c:pt idx="26">
                  <c:v>23.533899999999999</c:v>
                </c:pt>
                <c:pt idx="27">
                  <c:v>23.036000000000001</c:v>
                </c:pt>
                <c:pt idx="28">
                  <c:v>22.470399999999998</c:v>
                </c:pt>
                <c:pt idx="29">
                  <c:v>21.9024</c:v>
                </c:pt>
                <c:pt idx="30">
                  <c:v>21.334600000000002</c:v>
                </c:pt>
                <c:pt idx="31">
                  <c:v>20.6845</c:v>
                </c:pt>
                <c:pt idx="32">
                  <c:v>20.023800000000001</c:v>
                </c:pt>
                <c:pt idx="33">
                  <c:v>19.3429</c:v>
                </c:pt>
                <c:pt idx="34">
                  <c:v>18.740100000000002</c:v>
                </c:pt>
                <c:pt idx="35">
                  <c:v>18.082899999999999</c:v>
                </c:pt>
                <c:pt idx="36">
                  <c:v>17.4772</c:v>
                </c:pt>
                <c:pt idx="37">
                  <c:v>16.971299999999999</c:v>
                </c:pt>
                <c:pt idx="38">
                  <c:v>16.533200000000001</c:v>
                </c:pt>
                <c:pt idx="39">
                  <c:v>16.194500000000001</c:v>
                </c:pt>
                <c:pt idx="40">
                  <c:v>15.795999999999999</c:v>
                </c:pt>
                <c:pt idx="41">
                  <c:v>15.462400000000001</c:v>
                </c:pt>
                <c:pt idx="42">
                  <c:v>15.018599999999999</c:v>
                </c:pt>
                <c:pt idx="43">
                  <c:v>14.552999999999999</c:v>
                </c:pt>
                <c:pt idx="44">
                  <c:v>14.2509</c:v>
                </c:pt>
                <c:pt idx="45">
                  <c:v>13.940199999999999</c:v>
                </c:pt>
                <c:pt idx="46">
                  <c:v>13.6464</c:v>
                </c:pt>
                <c:pt idx="47">
                  <c:v>13.379099999999999</c:v>
                </c:pt>
                <c:pt idx="48">
                  <c:v>13.061</c:v>
                </c:pt>
                <c:pt idx="49">
                  <c:v>12.7607</c:v>
                </c:pt>
                <c:pt idx="50">
                  <c:v>12.5288</c:v>
                </c:pt>
                <c:pt idx="51">
                  <c:v>12.4131</c:v>
                </c:pt>
                <c:pt idx="52">
                  <c:v>12.4292</c:v>
                </c:pt>
                <c:pt idx="53">
                  <c:v>12.456100000000001</c:v>
                </c:pt>
                <c:pt idx="54">
                  <c:v>12.4497</c:v>
                </c:pt>
                <c:pt idx="55">
                  <c:v>12.509899999999998</c:v>
                </c:pt>
                <c:pt idx="56">
                  <c:v>12.541499999999999</c:v>
                </c:pt>
                <c:pt idx="57">
                  <c:v>12.687200000000001</c:v>
                </c:pt>
                <c:pt idx="58">
                  <c:v>12.7691</c:v>
                </c:pt>
                <c:pt idx="59">
                  <c:v>12.82</c:v>
                </c:pt>
                <c:pt idx="60">
                  <c:v>12.8185</c:v>
                </c:pt>
                <c:pt idx="61">
                  <c:v>12.6699</c:v>
                </c:pt>
                <c:pt idx="62">
                  <c:v>12.4678</c:v>
                </c:pt>
                <c:pt idx="63">
                  <c:v>12.2562</c:v>
                </c:pt>
                <c:pt idx="64">
                  <c:v>11.9406</c:v>
                </c:pt>
                <c:pt idx="65">
                  <c:v>11.710099999999999</c:v>
                </c:pt>
                <c:pt idx="66">
                  <c:v>11.4618</c:v>
                </c:pt>
                <c:pt idx="67">
                  <c:v>11.1433</c:v>
                </c:pt>
                <c:pt idx="68">
                  <c:v>10.855499999999999</c:v>
                </c:pt>
                <c:pt idx="69">
                  <c:v>10.5632</c:v>
                </c:pt>
                <c:pt idx="70">
                  <c:v>10.282</c:v>
                </c:pt>
                <c:pt idx="71">
                  <c:v>10.025399999999999</c:v>
                </c:pt>
                <c:pt idx="72">
                  <c:v>9.8184699999999996</c:v>
                </c:pt>
                <c:pt idx="73">
                  <c:v>9.6465399999999999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3.6391299999999998</c:v>
                </c:pt>
                <c:pt idx="1">
                  <c:v>3.6275499999999998</c:v>
                </c:pt>
                <c:pt idx="2">
                  <c:v>3.6238599999999996</c:v>
                </c:pt>
                <c:pt idx="3">
                  <c:v>3.6212200000000001</c:v>
                </c:pt>
                <c:pt idx="4">
                  <c:v>3.6193499999999998</c:v>
                </c:pt>
                <c:pt idx="5">
                  <c:v>3.6171799999999998</c:v>
                </c:pt>
                <c:pt idx="6">
                  <c:v>3.6180699999999999</c:v>
                </c:pt>
                <c:pt idx="7">
                  <c:v>3.6209999999999996</c:v>
                </c:pt>
                <c:pt idx="8">
                  <c:v>3.6257099999999998</c:v>
                </c:pt>
                <c:pt idx="9">
                  <c:v>3.6311</c:v>
                </c:pt>
                <c:pt idx="10">
                  <c:v>3.6352500000000001</c:v>
                </c:pt>
                <c:pt idx="11">
                  <c:v>3.6379699999999997</c:v>
                </c:pt>
                <c:pt idx="12">
                  <c:v>3.6370999999999998</c:v>
                </c:pt>
                <c:pt idx="13">
                  <c:v>3.6334400000000002</c:v>
                </c:pt>
                <c:pt idx="14">
                  <c:v>3.6273</c:v>
                </c:pt>
                <c:pt idx="15">
                  <c:v>3.62384</c:v>
                </c:pt>
                <c:pt idx="16">
                  <c:v>3.6156999999999999</c:v>
                </c:pt>
                <c:pt idx="17">
                  <c:v>3.6078399999999999</c:v>
                </c:pt>
                <c:pt idx="18">
                  <c:v>3.59659</c:v>
                </c:pt>
                <c:pt idx="19">
                  <c:v>3.5790800000000003</c:v>
                </c:pt>
                <c:pt idx="20">
                  <c:v>3.55823</c:v>
                </c:pt>
                <c:pt idx="21">
                  <c:v>3.5358200000000002</c:v>
                </c:pt>
                <c:pt idx="22">
                  <c:v>3.5123199999999999</c:v>
                </c:pt>
                <c:pt idx="23">
                  <c:v>3.49031</c:v>
                </c:pt>
                <c:pt idx="24">
                  <c:v>3.4688699999999999</c:v>
                </c:pt>
                <c:pt idx="25">
                  <c:v>3.4465699999999999</c:v>
                </c:pt>
                <c:pt idx="26">
                  <c:v>3.42157</c:v>
                </c:pt>
                <c:pt idx="27">
                  <c:v>3.3942899999999998</c:v>
                </c:pt>
                <c:pt idx="28">
                  <c:v>3.36727</c:v>
                </c:pt>
                <c:pt idx="29">
                  <c:v>3.3417699999999999</c:v>
                </c:pt>
                <c:pt idx="30">
                  <c:v>3.31637</c:v>
                </c:pt>
                <c:pt idx="31">
                  <c:v>3.2910499999999998</c:v>
                </c:pt>
                <c:pt idx="32">
                  <c:v>3.2631600000000001</c:v>
                </c:pt>
                <c:pt idx="33">
                  <c:v>3.2342599999999999</c:v>
                </c:pt>
                <c:pt idx="34">
                  <c:v>3.2035200000000001</c:v>
                </c:pt>
                <c:pt idx="35">
                  <c:v>3.17266</c:v>
                </c:pt>
                <c:pt idx="36">
                  <c:v>3.1408300000000002</c:v>
                </c:pt>
                <c:pt idx="37">
                  <c:v>3.1126999999999998</c:v>
                </c:pt>
                <c:pt idx="38">
                  <c:v>3.0850899999999997</c:v>
                </c:pt>
                <c:pt idx="39">
                  <c:v>3.0639100000000004</c:v>
                </c:pt>
                <c:pt idx="40">
                  <c:v>3.0437599999999998</c:v>
                </c:pt>
                <c:pt idx="41">
                  <c:v>3.0277099999999999</c:v>
                </c:pt>
                <c:pt idx="42">
                  <c:v>3.0141800000000001</c:v>
                </c:pt>
                <c:pt idx="43">
                  <c:v>3.0015900000000002</c:v>
                </c:pt>
                <c:pt idx="44">
                  <c:v>2.99112</c:v>
                </c:pt>
                <c:pt idx="45">
                  <c:v>2.98265</c:v>
                </c:pt>
                <c:pt idx="46">
                  <c:v>2.9776200000000004</c:v>
                </c:pt>
                <c:pt idx="47">
                  <c:v>2.9758599999999999</c:v>
                </c:pt>
                <c:pt idx="48">
                  <c:v>2.97641</c:v>
                </c:pt>
                <c:pt idx="49">
                  <c:v>2.98231</c:v>
                </c:pt>
                <c:pt idx="50">
                  <c:v>2.99309</c:v>
                </c:pt>
                <c:pt idx="51">
                  <c:v>2.9944799999999998</c:v>
                </c:pt>
                <c:pt idx="52">
                  <c:v>2.99431</c:v>
                </c:pt>
                <c:pt idx="53">
                  <c:v>2.9945300000000001</c:v>
                </c:pt>
                <c:pt idx="54">
                  <c:v>2.9954700000000001</c:v>
                </c:pt>
                <c:pt idx="55">
                  <c:v>2.9965000000000002</c:v>
                </c:pt>
                <c:pt idx="56">
                  <c:v>2.9982500000000001</c:v>
                </c:pt>
                <c:pt idx="57">
                  <c:v>3.0011300000000003</c:v>
                </c:pt>
                <c:pt idx="58">
                  <c:v>3.0036800000000001</c:v>
                </c:pt>
                <c:pt idx="59">
                  <c:v>3.0083199999999999</c:v>
                </c:pt>
                <c:pt idx="60">
                  <c:v>3.0123499999999996</c:v>
                </c:pt>
                <c:pt idx="61">
                  <c:v>3.01892</c:v>
                </c:pt>
                <c:pt idx="62">
                  <c:v>3.0275000000000003</c:v>
                </c:pt>
                <c:pt idx="63">
                  <c:v>3.0394600000000001</c:v>
                </c:pt>
                <c:pt idx="64">
                  <c:v>3.0464799999999999</c:v>
                </c:pt>
                <c:pt idx="65">
                  <c:v>3.0523499999999997</c:v>
                </c:pt>
                <c:pt idx="66">
                  <c:v>3.0571799999999998</c:v>
                </c:pt>
                <c:pt idx="67">
                  <c:v>3.0610500000000003</c:v>
                </c:pt>
                <c:pt idx="68">
                  <c:v>3.0674800000000002</c:v>
                </c:pt>
                <c:pt idx="69">
                  <c:v>3.0794999999999999</c:v>
                </c:pt>
                <c:pt idx="70">
                  <c:v>3.0976399999999997</c:v>
                </c:pt>
                <c:pt idx="71">
                  <c:v>3.1187900000000002</c:v>
                </c:pt>
                <c:pt idx="72">
                  <c:v>3.1518200000000003</c:v>
                </c:pt>
                <c:pt idx="73">
                  <c:v>3.1877800000000001</c:v>
                </c:pt>
                <c:pt idx="74">
                  <c:v>3.2240799999999998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9.6465399999999999</c:v>
                </c:pt>
                <c:pt idx="1">
                  <c:v>9.5782799999999995</c:v>
                </c:pt>
                <c:pt idx="2">
                  <c:v>9.4835399999999996</c:v>
                </c:pt>
                <c:pt idx="3">
                  <c:v>9.29284</c:v>
                </c:pt>
                <c:pt idx="4">
                  <c:v>9.1538500000000003</c:v>
                </c:pt>
                <c:pt idx="5">
                  <c:v>9.0822200000000013</c:v>
                </c:pt>
                <c:pt idx="6">
                  <c:v>8.9053100000000001</c:v>
                </c:pt>
                <c:pt idx="7">
                  <c:v>8.7626600000000003</c:v>
                </c:pt>
                <c:pt idx="8">
                  <c:v>8.6318699999999993</c:v>
                </c:pt>
                <c:pt idx="9">
                  <c:v>8.3964499999999997</c:v>
                </c:pt>
                <c:pt idx="10">
                  <c:v>8.219619999999999</c:v>
                </c:pt>
                <c:pt idx="11">
                  <c:v>8.0097000000000005</c:v>
                </c:pt>
                <c:pt idx="12">
                  <c:v>7.859770000000001</c:v>
                </c:pt>
                <c:pt idx="13">
                  <c:v>7.63842</c:v>
                </c:pt>
                <c:pt idx="14">
                  <c:v>7.4454400000000005</c:v>
                </c:pt>
                <c:pt idx="15">
                  <c:v>7.1132699999999991</c:v>
                </c:pt>
                <c:pt idx="16">
                  <c:v>6.932290000000001</c:v>
                </c:pt>
                <c:pt idx="17">
                  <c:v>6.6395800000000005</c:v>
                </c:pt>
                <c:pt idx="18">
                  <c:v>6.4163300000000003</c:v>
                </c:pt>
                <c:pt idx="19">
                  <c:v>6.3110799999999996</c:v>
                </c:pt>
                <c:pt idx="20">
                  <c:v>6.1483699999999999</c:v>
                </c:pt>
                <c:pt idx="21">
                  <c:v>5.9183500000000002</c:v>
                </c:pt>
                <c:pt idx="22">
                  <c:v>5.6293699999999998</c:v>
                </c:pt>
                <c:pt idx="23">
                  <c:v>5.3234499999999993</c:v>
                </c:pt>
                <c:pt idx="24">
                  <c:v>4.8937900000000001</c:v>
                </c:pt>
                <c:pt idx="25">
                  <c:v>4.50326</c:v>
                </c:pt>
                <c:pt idx="26">
                  <c:v>4.01152</c:v>
                </c:pt>
                <c:pt idx="27">
                  <c:v>3.4397499999999996</c:v>
                </c:pt>
                <c:pt idx="28">
                  <c:v>2.8880300000000001</c:v>
                </c:pt>
                <c:pt idx="29">
                  <c:v>2.3223400000000001</c:v>
                </c:pt>
                <c:pt idx="30">
                  <c:v>1.764</c:v>
                </c:pt>
                <c:pt idx="31">
                  <c:v>1.2584500000000001</c:v>
                </c:pt>
                <c:pt idx="32">
                  <c:v>0.80117000000000005</c:v>
                </c:pt>
                <c:pt idx="33">
                  <c:v>0.348082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0.14771700000000001</c:v>
                </c:pt>
                <c:pt idx="61">
                  <c:v>0.340702</c:v>
                </c:pt>
                <c:pt idx="62">
                  <c:v>0.46893300000000004</c:v>
                </c:pt>
                <c:pt idx="63">
                  <c:v>0.61600099999999991</c:v>
                </c:pt>
                <c:pt idx="64">
                  <c:v>0.87097100000000005</c:v>
                </c:pt>
                <c:pt idx="65">
                  <c:v>0.92662100000000003</c:v>
                </c:pt>
                <c:pt idx="66">
                  <c:v>1.0436400000000001</c:v>
                </c:pt>
                <c:pt idx="67">
                  <c:v>1.2552000000000001</c:v>
                </c:pt>
                <c:pt idx="68">
                  <c:v>1.4509700000000001</c:v>
                </c:pt>
                <c:pt idx="69">
                  <c:v>1.58856</c:v>
                </c:pt>
                <c:pt idx="70">
                  <c:v>1.73027</c:v>
                </c:pt>
                <c:pt idx="71">
                  <c:v>2.0034900000000002</c:v>
                </c:pt>
                <c:pt idx="72">
                  <c:v>2.0186899999999999</c:v>
                </c:pt>
                <c:pt idx="73">
                  <c:v>2.6428099999999999</c:v>
                </c:pt>
                <c:pt idx="74">
                  <c:v>3.3650199999999999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3.367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33.9771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3.6909566216216225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19.623614999999997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3.2623658108108113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3.0215141486486483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3.2623658108108113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3.0215141486486483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575</v>
      </c>
      <c r="D5" s="151"/>
      <c r="E5" s="151"/>
      <c r="F5" s="152"/>
      <c r="G5" s="48" t="str">
        <f>lang!B27</f>
        <v>编号</v>
      </c>
      <c r="H5" s="150">
        <v>57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574</v>
      </c>
      <c r="D6" s="188"/>
      <c r="E6" s="188"/>
      <c r="F6" s="189"/>
      <c r="G6" s="49" t="str">
        <f>lang!B28</f>
        <v xml:space="preserve"> 日期</v>
      </c>
      <c r="H6" s="172">
        <f>FH_info!A2</f>
        <v>43607.695810185185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48</v>
      </c>
      <c r="D7" s="191"/>
      <c r="E7" s="191"/>
      <c r="F7" s="192"/>
      <c r="G7" s="50" t="str">
        <f>lang!B29</f>
        <v>误差率（%）</v>
      </c>
      <c r="H7" s="175">
        <f>M!B17*1</f>
        <v>18.064699999999998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51.244500000000002</v>
      </c>
      <c r="O8" s="59">
        <f>M!C5*1</f>
        <v>6.2082899999999999</v>
      </c>
      <c r="P8" s="59">
        <f>M!D5*1</f>
        <v>12.115</v>
      </c>
      <c r="Q8" s="59">
        <f>M!E5*1</f>
        <v>20</v>
      </c>
      <c r="R8" s="59">
        <f>M!F5*1</f>
        <v>31.825199999999999</v>
      </c>
      <c r="S8" s="59">
        <f>M!G5*1</f>
        <v>50</v>
      </c>
      <c r="T8" s="59">
        <f>M!H5*1</f>
        <v>76.055099999999996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38.365400000000001</v>
      </c>
      <c r="O9" s="59">
        <f>M!C6*1</f>
        <v>5.65686</v>
      </c>
      <c r="P9" s="59">
        <f>M!D6*1</f>
        <v>14.7447</v>
      </c>
      <c r="Q9" s="59">
        <f>M!E6*1</f>
        <v>20</v>
      </c>
      <c r="R9" s="59">
        <f>M!F6*1</f>
        <v>27.185099999999998</v>
      </c>
      <c r="S9" s="59">
        <f>M!G6*1</f>
        <v>40</v>
      </c>
      <c r="T9" s="59">
        <f>M!H6*1</f>
        <v>46.2744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31.825199999999999</v>
      </c>
      <c r="D10" s="99">
        <f>N8</f>
        <v>51.244500000000002</v>
      </c>
      <c r="E10" s="100">
        <f>T8</f>
        <v>76.055099999999996</v>
      </c>
      <c r="F10" s="91">
        <f>P8</f>
        <v>12.115</v>
      </c>
      <c r="G10" s="81" t="str">
        <f>CONCATENATE(M9,"
(20 ~ 40)")</f>
        <v>压力
(20 ~ 40)</v>
      </c>
      <c r="H10" s="98">
        <f>R9</f>
        <v>27.185099999999998</v>
      </c>
      <c r="I10" s="108">
        <f>N9</f>
        <v>38.365400000000001</v>
      </c>
      <c r="J10" s="98">
        <f>T9</f>
        <v>46.2744</v>
      </c>
      <c r="K10" s="92">
        <f>P9</f>
        <v>14.7447</v>
      </c>
      <c r="L10" s="6"/>
      <c r="M10" s="27" t="str">
        <f>lang!B16</f>
        <v>焦虑</v>
      </c>
      <c r="N10" s="59">
        <f>M!B7*1</f>
        <v>29.0032</v>
      </c>
      <c r="O10" s="59">
        <f>M!C7*1</f>
        <v>6.7847799999999996</v>
      </c>
      <c r="P10" s="59">
        <f>M!D7*1</f>
        <v>23.3932</v>
      </c>
      <c r="Q10" s="59">
        <f>M!E7*1</f>
        <v>15</v>
      </c>
      <c r="R10" s="59">
        <f>M!F7*1</f>
        <v>19.0716</v>
      </c>
      <c r="S10" s="59">
        <f>M!G7*1</f>
        <v>40</v>
      </c>
      <c r="T10" s="59">
        <f>M!H7*1</f>
        <v>50.630600000000001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19.0716</v>
      </c>
      <c r="D11" s="102">
        <f>N10</f>
        <v>29.0032</v>
      </c>
      <c r="E11" s="103">
        <f>T10</f>
        <v>50.630600000000001</v>
      </c>
      <c r="F11" s="94">
        <f>P10</f>
        <v>23.3932</v>
      </c>
      <c r="G11" s="52" t="str">
        <f>CONCATENATE(M11,"
(20 ~ 50)")</f>
        <v>可疑
(20 ~ 50)</v>
      </c>
      <c r="H11" s="101">
        <f>R11</f>
        <v>29.500599999999999</v>
      </c>
      <c r="I11" s="104">
        <f>N11</f>
        <v>39.969700000000003</v>
      </c>
      <c r="J11" s="101">
        <f>T11</f>
        <v>44.380099999999999</v>
      </c>
      <c r="K11" s="95">
        <f>P11</f>
        <v>8.4427599999999998</v>
      </c>
      <c r="L11" s="4"/>
      <c r="M11" s="27" t="str">
        <f>lang!B17</f>
        <v>可疑</v>
      </c>
      <c r="N11" s="59">
        <f>M!B8*1</f>
        <v>39.969700000000003</v>
      </c>
      <c r="O11" s="59">
        <f>M!C8*1</f>
        <v>3.3745500000000002</v>
      </c>
      <c r="P11" s="59">
        <f>M!D8*1</f>
        <v>8.4427599999999998</v>
      </c>
      <c r="Q11" s="59">
        <f>M!E8*1</f>
        <v>20</v>
      </c>
      <c r="R11" s="59">
        <f>M!F8*1</f>
        <v>29.500599999999999</v>
      </c>
      <c r="S11" s="59">
        <f>M!G8*1</f>
        <v>50</v>
      </c>
      <c r="T11" s="59">
        <f>M!H8*1</f>
        <v>44.380099999999999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26.421900000000001</v>
      </c>
      <c r="D12" s="104">
        <f>N12</f>
        <v>57.1021</v>
      </c>
      <c r="E12" s="101">
        <f>T12</f>
        <v>69.967399999999998</v>
      </c>
      <c r="F12" s="93">
        <f>P12</f>
        <v>19.8475</v>
      </c>
      <c r="G12" s="52" t="str">
        <f>CONCATENATE(M13,"
(40 ~ 100)")</f>
        <v>自信
(40 ~ 100)</v>
      </c>
      <c r="H12" s="101">
        <f>R13</f>
        <v>47.753</v>
      </c>
      <c r="I12" s="104">
        <f>N13</f>
        <v>66.023300000000006</v>
      </c>
      <c r="J12" s="101">
        <f>T13</f>
        <v>83.945499999999996</v>
      </c>
      <c r="K12" s="95">
        <f>P13</f>
        <v>15.6942</v>
      </c>
      <c r="L12" s="4"/>
      <c r="M12" s="27" t="str">
        <f>lang!B18</f>
        <v>平衡</v>
      </c>
      <c r="N12" s="59">
        <f>M!B9*1</f>
        <v>57.1021</v>
      </c>
      <c r="O12" s="59">
        <f>M!C9*1</f>
        <v>11.333299999999999</v>
      </c>
      <c r="P12" s="59">
        <f>M!D9*1</f>
        <v>19.8475</v>
      </c>
      <c r="Q12" s="59">
        <f>M!E9*1</f>
        <v>50</v>
      </c>
      <c r="R12" s="59">
        <f>M!F9*1</f>
        <v>26.421900000000001</v>
      </c>
      <c r="S12" s="59">
        <f>M!G9*1</f>
        <v>100</v>
      </c>
      <c r="T12" s="59">
        <f>M!H9*1</f>
        <v>69.967399999999998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8.5474499999999995</v>
      </c>
      <c r="D13" s="102">
        <f>N14</f>
        <v>18.3078</v>
      </c>
      <c r="E13" s="103">
        <f>T14</f>
        <v>25.628299999999999</v>
      </c>
      <c r="F13" s="94">
        <f>P14</f>
        <v>25.7501</v>
      </c>
      <c r="G13" s="52" t="str">
        <f>CONCATENATE(M15,"
(50 ~ 100)")</f>
        <v>自我调节
(50 ~ 100)</v>
      </c>
      <c r="H13" s="101">
        <f>R15</f>
        <v>43.771900000000002</v>
      </c>
      <c r="I13" s="104">
        <f>N15</f>
        <v>60.520899999999997</v>
      </c>
      <c r="J13" s="101">
        <f>T15</f>
        <v>76.086100000000002</v>
      </c>
      <c r="K13" s="95">
        <f>P15</f>
        <v>15.251899999999999</v>
      </c>
      <c r="L13" s="4"/>
      <c r="M13" s="27" t="str">
        <f>lang!B19</f>
        <v>自信</v>
      </c>
      <c r="N13" s="59">
        <f>M!B10*1</f>
        <v>66.023300000000006</v>
      </c>
      <c r="O13" s="59">
        <f>M!C10*1</f>
        <v>10.361800000000001</v>
      </c>
      <c r="P13" s="59">
        <f>M!D10*1</f>
        <v>15.6942</v>
      </c>
      <c r="Q13" s="59">
        <f>M!E10*1</f>
        <v>40</v>
      </c>
      <c r="R13" s="59">
        <f>M!F10*1</f>
        <v>47.753</v>
      </c>
      <c r="S13" s="59">
        <f>M!G10*1</f>
        <v>100</v>
      </c>
      <c r="T13" s="59">
        <f>M!H10*1</f>
        <v>83.945499999999996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17.779299999999999</v>
      </c>
      <c r="D14" s="106">
        <f>N16</f>
        <v>23.056100000000001</v>
      </c>
      <c r="E14" s="107">
        <f>T16</f>
        <v>33.427199999999999</v>
      </c>
      <c r="F14" s="96">
        <f>P16</f>
        <v>12.7714</v>
      </c>
      <c r="G14" s="112" t="str">
        <f>CONCATENATE(M17,"
(10 ~ 50)")</f>
        <v>神经质
(10 ~ 50)</v>
      </c>
      <c r="H14" s="105">
        <f>R17</f>
        <v>2.1776</v>
      </c>
      <c r="I14" s="106">
        <f>N17</f>
        <v>29.445900000000002</v>
      </c>
      <c r="J14" s="107">
        <f>T17</f>
        <v>37.514299999999999</v>
      </c>
      <c r="K14" s="97">
        <f>P17</f>
        <v>32.636299999999999</v>
      </c>
      <c r="M14" s="27" t="str">
        <f>lang!B20</f>
        <v>活力</v>
      </c>
      <c r="N14" s="59">
        <f>M!B11*1</f>
        <v>18.3078</v>
      </c>
      <c r="O14" s="59">
        <f>M!C11*1</f>
        <v>4.71427</v>
      </c>
      <c r="P14" s="59">
        <f>M!D11*1</f>
        <v>25.7501</v>
      </c>
      <c r="Q14" s="59">
        <f>M!E11*1</f>
        <v>10</v>
      </c>
      <c r="R14" s="59">
        <f>M!F11*1</f>
        <v>8.5474499999999995</v>
      </c>
      <c r="S14" s="59">
        <f>M!G11*1</f>
        <v>50</v>
      </c>
      <c r="T14" s="59">
        <f>M!H11*1</f>
        <v>25.628299999999999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60.520899999999997</v>
      </c>
      <c r="O15" s="59">
        <f>M!C12*1</f>
        <v>9.2305799999999998</v>
      </c>
      <c r="P15" s="59">
        <f>M!D12*1</f>
        <v>15.251899999999999</v>
      </c>
      <c r="Q15" s="59">
        <f>M!E12*1</f>
        <v>50</v>
      </c>
      <c r="R15" s="59">
        <f>M!F12*1</f>
        <v>43.771900000000002</v>
      </c>
      <c r="S15" s="59">
        <f>M!G12*1</f>
        <v>100</v>
      </c>
      <c r="T15" s="59">
        <f>M!H12*1</f>
        <v>76.086100000000002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23.056100000000001</v>
      </c>
      <c r="O16" s="59">
        <f>M!C13*1</f>
        <v>2.9445899999999998</v>
      </c>
      <c r="P16" s="59">
        <f>M!D13*1</f>
        <v>12.7714</v>
      </c>
      <c r="Q16" s="59">
        <f>M!E13*1</f>
        <v>10</v>
      </c>
      <c r="R16" s="59">
        <f>M!F13*1</f>
        <v>17.779299999999999</v>
      </c>
      <c r="S16" s="59">
        <f>M!G13*1</f>
        <v>25</v>
      </c>
      <c r="T16" s="59">
        <f>M!H13*1</f>
        <v>33.427199999999999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29.445900000000002</v>
      </c>
      <c r="O17" s="59">
        <f>M!C14*1</f>
        <v>9.6100300000000001</v>
      </c>
      <c r="P17" s="59">
        <f>M!D14*1</f>
        <v>32.636299999999999</v>
      </c>
      <c r="Q17" s="59">
        <f>M!E14*1</f>
        <v>10</v>
      </c>
      <c r="R17" s="59">
        <f>M!F14*1</f>
        <v>2.1776</v>
      </c>
      <c r="S17" s="59">
        <f>M!G14*1</f>
        <v>50</v>
      </c>
      <c r="T17" s="59">
        <f>M!H14*1</f>
        <v>37.514299999999999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50.488524999999996</v>
      </c>
      <c r="O18" s="22">
        <f>N18/(N18+N19+N20)</f>
        <v>0.43380527897763649</v>
      </c>
      <c r="P18" s="65">
        <f>SUM(P12:P15)/4</f>
        <v>19.135925</v>
      </c>
      <c r="Q18" s="22">
        <f>P18/(P18+P19+P20)</f>
        <v>0.33860689330319788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39.645700000000005</v>
      </c>
      <c r="O19" s="22">
        <f>N19/(N18+N19+N20)</f>
        <v>0.34064203596289822</v>
      </c>
      <c r="P19" s="18">
        <f>SUM(P8:P11)/4</f>
        <v>14.673914999999999</v>
      </c>
      <c r="Q19" s="22">
        <f>P19/(P18+P19+P20)</f>
        <v>0.2596523957292472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26.251000000000001</v>
      </c>
      <c r="O20" s="22">
        <f>N20/(N18+N19+N20)</f>
        <v>0.22555268505946524</v>
      </c>
      <c r="P20" s="18">
        <f>(P16+P17)/2</f>
        <v>22.703849999999999</v>
      </c>
      <c r="Q20" s="22">
        <f>P20/(P18+P19+P20)</f>
        <v>0.40174071096755493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-0.12316192743243232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1.7242628625179313</v>
      </c>
      <c r="D25" s="44" t="str">
        <f>lang!B11</f>
        <v>频率方差</v>
      </c>
      <c r="E25" s="142">
        <f ca="1">FH!L3</f>
        <v>0.85652748487418506</v>
      </c>
      <c r="F25" s="143"/>
      <c r="G25" s="134" t="str">
        <f>lang!B12</f>
        <v>生理变化率</v>
      </c>
      <c r="H25" s="135"/>
      <c r="I25" s="62" t="str">
        <f ca="1">CONCATENATE(info!M7,"-",info!M8)</f>
        <v>0-34</v>
      </c>
      <c r="J25" s="42" t="str">
        <f>lang!B13</f>
        <v>千卡l/分钟</v>
      </c>
      <c r="K25" s="41" t="str">
        <f ca="1">CONCATENATE(info!M5,"-",info!M6)</f>
        <v>3-3.8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26.342500000000001</v>
      </c>
      <c r="F28" s="164"/>
      <c r="G28" s="178" t="str">
        <f>lang!B33</f>
        <v>稳定性</v>
      </c>
      <c r="H28" s="179"/>
      <c r="I28" s="180"/>
      <c r="J28" s="181">
        <f>M!B19*100</f>
        <v>55.704000000000001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43607.695810185185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4.0142999999999986</v>
      </c>
      <c r="O7" s="59">
        <f t="shared" ref="O7:T7" si="2">AG7-X7</f>
        <v>0.63085000000000058</v>
      </c>
      <c r="P7" s="59">
        <f t="shared" si="2"/>
        <v>0.36730000000000018</v>
      </c>
      <c r="Q7" s="59">
        <f t="shared" si="2"/>
        <v>0</v>
      </c>
      <c r="R7" s="59">
        <f t="shared" si="2"/>
        <v>14.033600000000003</v>
      </c>
      <c r="S7" s="59">
        <f t="shared" si="2"/>
        <v>0</v>
      </c>
      <c r="T7" s="59">
        <f t="shared" si="2"/>
        <v>14.646799999999999</v>
      </c>
      <c r="U7" s="14"/>
      <c r="V7" s="27" t="str">
        <f>M7</f>
        <v>攻击性</v>
      </c>
      <c r="W7" s="59">
        <f>'M1'!B5*1</f>
        <v>49.822200000000002</v>
      </c>
      <c r="X7" s="59">
        <f>'M1'!C5*1</f>
        <v>5.3750099999999996</v>
      </c>
      <c r="Y7" s="59">
        <f>'M1'!D5*1</f>
        <v>10.788399999999999</v>
      </c>
      <c r="Z7" s="59">
        <f>'M1'!E5*1</f>
        <v>20</v>
      </c>
      <c r="AA7" s="59">
        <f>'M1'!F5*1</f>
        <v>31.825199999999999</v>
      </c>
      <c r="AB7" s="59">
        <f>'M1'!G5*1</f>
        <v>50</v>
      </c>
      <c r="AC7" s="59">
        <f>'M1'!H5*1</f>
        <v>61.408299999999997</v>
      </c>
      <c r="AE7" s="27" t="str">
        <f>V7</f>
        <v>攻击性</v>
      </c>
      <c r="AF7" s="59">
        <f>'M2'!B5*1</f>
        <v>53.836500000000001</v>
      </c>
      <c r="AG7" s="59">
        <f>'M2'!C5*1</f>
        <v>6.0058600000000002</v>
      </c>
      <c r="AH7" s="59">
        <f>'M2'!D5*1</f>
        <v>11.1557</v>
      </c>
      <c r="AI7" s="59">
        <f>'M2'!E5*1</f>
        <v>20</v>
      </c>
      <c r="AJ7" s="59">
        <f>'M2'!F5*1</f>
        <v>45.858800000000002</v>
      </c>
      <c r="AK7" s="59">
        <f>'M2'!G5*1</f>
        <v>50</v>
      </c>
      <c r="AL7" s="59">
        <f>'M2'!H5*1</f>
        <v>76.055099999999996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11.162499999999998</v>
      </c>
      <c r="O8" s="59">
        <f t="shared" ref="O8:O16" si="5">AG8-X8</f>
        <v>-1.77094</v>
      </c>
      <c r="P8" s="59">
        <f t="shared" ref="P8:P16" si="6">AH8-Y8</f>
        <v>-7.7930600000000005</v>
      </c>
      <c r="Q8" s="59">
        <f t="shared" ref="Q8:Q16" si="7">AI8-Z8</f>
        <v>0</v>
      </c>
      <c r="R8" s="59">
        <f t="shared" ref="R8:R16" si="8">AJ8-AA8</f>
        <v>9.5829999999999984</v>
      </c>
      <c r="S8" s="59">
        <f t="shared" ref="S8:S16" si="9">AK8-AB8</f>
        <v>0</v>
      </c>
      <c r="T8" s="59">
        <f t="shared" ref="T8:T16" si="10">AL8-AC8</f>
        <v>2.6745000000000019</v>
      </c>
      <c r="U8" s="15"/>
      <c r="V8" s="27" t="str">
        <f t="shared" ref="V8:V16" si="11">M8</f>
        <v>压力</v>
      </c>
      <c r="W8" s="59">
        <f>'M1'!B6*1</f>
        <v>31.114000000000001</v>
      </c>
      <c r="X8" s="59">
        <f>'M1'!C6*1</f>
        <v>4.2470499999999998</v>
      </c>
      <c r="Y8" s="59">
        <f>'M1'!D6*1</f>
        <v>13.65</v>
      </c>
      <c r="Z8" s="59">
        <f>'M1'!E6*1</f>
        <v>20</v>
      </c>
      <c r="AA8" s="59">
        <f>'M1'!F6*1</f>
        <v>27.185099999999998</v>
      </c>
      <c r="AB8" s="59">
        <f>'M1'!G6*1</f>
        <v>40</v>
      </c>
      <c r="AC8" s="59">
        <f>'M1'!H6*1</f>
        <v>43.599899999999998</v>
      </c>
      <c r="AE8" s="27" t="str">
        <f t="shared" ref="AE8:AE16" si="12">V8</f>
        <v>压力</v>
      </c>
      <c r="AF8" s="59">
        <f>'M2'!B6*1</f>
        <v>42.276499999999999</v>
      </c>
      <c r="AG8" s="59">
        <f>'M2'!C6*1</f>
        <v>2.4761099999999998</v>
      </c>
      <c r="AH8" s="59">
        <f>'M2'!D6*1</f>
        <v>5.8569399999999998</v>
      </c>
      <c r="AI8" s="59">
        <f>'M2'!E6*1</f>
        <v>20</v>
      </c>
      <c r="AJ8" s="59">
        <f>'M2'!F6*1</f>
        <v>36.768099999999997</v>
      </c>
      <c r="AK8" s="59">
        <f>'M2'!G6*1</f>
        <v>40</v>
      </c>
      <c r="AL8" s="59">
        <f>'M2'!H6*1</f>
        <v>46.2744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14.033600000000003</v>
      </c>
      <c r="D9" s="78">
        <f>N7</f>
        <v>4.0142999999999986</v>
      </c>
      <c r="E9" s="79">
        <f>T7</f>
        <v>14.646799999999999</v>
      </c>
      <c r="F9" s="79">
        <f>P7</f>
        <v>0.36730000000000018</v>
      </c>
      <c r="G9" s="80" t="str">
        <f>CONCATENATE(M8,"
(20 ~ 40)")</f>
        <v>压力
(20 ~ 40)</v>
      </c>
      <c r="H9" s="77">
        <f>R8</f>
        <v>9.5829999999999984</v>
      </c>
      <c r="I9" s="81">
        <f>N8</f>
        <v>11.162499999999998</v>
      </c>
      <c r="J9" s="77">
        <f>T8</f>
        <v>2.6745000000000019</v>
      </c>
      <c r="K9" s="82">
        <f>P8</f>
        <v>-7.7930600000000005</v>
      </c>
      <c r="L9" s="6"/>
      <c r="M9" s="27" t="str">
        <f>lang!B16</f>
        <v>焦虑</v>
      </c>
      <c r="N9" s="59">
        <f t="shared" si="4"/>
        <v>2.7828999999999979</v>
      </c>
      <c r="O9" s="59">
        <f t="shared" si="5"/>
        <v>-2.3475699999999993</v>
      </c>
      <c r="P9" s="59">
        <f t="shared" si="6"/>
        <v>-10.105900000000002</v>
      </c>
      <c r="Q9" s="59">
        <f t="shared" si="7"/>
        <v>0</v>
      </c>
      <c r="R9" s="59">
        <f t="shared" si="8"/>
        <v>0.86759999999999948</v>
      </c>
      <c r="S9" s="59">
        <f t="shared" si="9"/>
        <v>0</v>
      </c>
      <c r="T9" s="59">
        <f t="shared" si="10"/>
        <v>1.078400000000002</v>
      </c>
      <c r="U9" s="14"/>
      <c r="V9" s="27" t="str">
        <f t="shared" si="11"/>
        <v>焦虑</v>
      </c>
      <c r="W9" s="59">
        <f>'M1'!B7*1</f>
        <v>28.133500000000002</v>
      </c>
      <c r="X9" s="59">
        <f>'M1'!C7*1</f>
        <v>7.8533099999999996</v>
      </c>
      <c r="Y9" s="59">
        <f>'M1'!D7*1</f>
        <v>27.914400000000001</v>
      </c>
      <c r="Z9" s="59">
        <f>'M1'!E7*1</f>
        <v>15</v>
      </c>
      <c r="AA9" s="59">
        <f>'M1'!F7*1</f>
        <v>19.0716</v>
      </c>
      <c r="AB9" s="59">
        <f>'M1'!G7*1</f>
        <v>40</v>
      </c>
      <c r="AC9" s="59">
        <f>'M1'!H7*1</f>
        <v>49.552199999999999</v>
      </c>
      <c r="AE9" s="27" t="str">
        <f t="shared" si="12"/>
        <v>焦虑</v>
      </c>
      <c r="AF9" s="59">
        <f>'M2'!B7*1</f>
        <v>30.916399999999999</v>
      </c>
      <c r="AG9" s="59">
        <f>'M2'!C7*1</f>
        <v>5.5057400000000003</v>
      </c>
      <c r="AH9" s="59">
        <f>'M2'!D7*1</f>
        <v>17.808499999999999</v>
      </c>
      <c r="AI9" s="59">
        <f>'M2'!E7*1</f>
        <v>15</v>
      </c>
      <c r="AJ9" s="59">
        <f>'M2'!F7*1</f>
        <v>19.9392</v>
      </c>
      <c r="AK9" s="59">
        <f>'M2'!G7*1</f>
        <v>40</v>
      </c>
      <c r="AL9" s="59">
        <f>'M2'!H7*1</f>
        <v>50.630600000000001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0.86759999999999948</v>
      </c>
      <c r="D10" s="51">
        <f>N9</f>
        <v>2.7828999999999979</v>
      </c>
      <c r="E10" s="53">
        <f>T9</f>
        <v>1.078400000000002</v>
      </c>
      <c r="F10" s="53">
        <f>P9</f>
        <v>-10.105900000000002</v>
      </c>
      <c r="G10" s="73" t="str">
        <f>CONCATENATE(M10,"
(20 ~ 50)")</f>
        <v>可疑
(20 ~ 50)</v>
      </c>
      <c r="H10" s="24">
        <f>R10</f>
        <v>8.7049999999999983</v>
      </c>
      <c r="I10" s="52">
        <f>N10</f>
        <v>5.3978999999999999</v>
      </c>
      <c r="J10" s="24">
        <f>T10</f>
        <v>2.1935000000000002</v>
      </c>
      <c r="K10" s="25">
        <f>P10</f>
        <v>-4.0953999999999997</v>
      </c>
      <c r="L10" s="4"/>
      <c r="M10" s="27" t="str">
        <f>lang!B17</f>
        <v>可疑</v>
      </c>
      <c r="N10" s="59">
        <f t="shared" si="4"/>
        <v>5.3978999999999999</v>
      </c>
      <c r="O10" s="59">
        <f t="shared" si="5"/>
        <v>-1.2939300000000002</v>
      </c>
      <c r="P10" s="59">
        <f t="shared" si="6"/>
        <v>-4.0953999999999997</v>
      </c>
      <c r="Q10" s="59">
        <f t="shared" si="7"/>
        <v>0</v>
      </c>
      <c r="R10" s="59">
        <f t="shared" si="8"/>
        <v>8.7049999999999983</v>
      </c>
      <c r="S10" s="59">
        <f t="shared" si="9"/>
        <v>0</v>
      </c>
      <c r="T10" s="59">
        <f t="shared" si="10"/>
        <v>2.1935000000000002</v>
      </c>
      <c r="U10" s="14"/>
      <c r="V10" s="27" t="str">
        <f t="shared" si="11"/>
        <v>可疑</v>
      </c>
      <c r="W10" s="59">
        <f>'M1'!B8*1</f>
        <v>36.587400000000002</v>
      </c>
      <c r="X10" s="59">
        <f>'M1'!C8*1</f>
        <v>2.8843100000000002</v>
      </c>
      <c r="Y10" s="59">
        <f>'M1'!D8*1</f>
        <v>7.8833399999999996</v>
      </c>
      <c r="Z10" s="59">
        <f>'M1'!E8*1</f>
        <v>20</v>
      </c>
      <c r="AA10" s="59">
        <f>'M1'!F8*1</f>
        <v>29.500599999999999</v>
      </c>
      <c r="AB10" s="59">
        <f>'M1'!G8*1</f>
        <v>50</v>
      </c>
      <c r="AC10" s="59">
        <f>'M1'!H8*1</f>
        <v>42.186599999999999</v>
      </c>
      <c r="AE10" s="27" t="str">
        <f t="shared" si="12"/>
        <v>可疑</v>
      </c>
      <c r="AF10" s="59">
        <f>'M2'!B8*1</f>
        <v>41.985300000000002</v>
      </c>
      <c r="AG10" s="59">
        <f>'M2'!C8*1</f>
        <v>1.5903799999999999</v>
      </c>
      <c r="AH10" s="59">
        <f>'M2'!D8*1</f>
        <v>3.7879399999999999</v>
      </c>
      <c r="AI10" s="59">
        <f>'M2'!E8*1</f>
        <v>20</v>
      </c>
      <c r="AJ10" s="59">
        <f>'M2'!F8*1</f>
        <v>38.205599999999997</v>
      </c>
      <c r="AK10" s="59">
        <f>'M2'!G8*1</f>
        <v>50</v>
      </c>
      <c r="AL10" s="59">
        <f>'M2'!H8*1</f>
        <v>44.380099999999999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-8.4626999999999981</v>
      </c>
      <c r="D11" s="52">
        <f>N11</f>
        <v>-9.4287999999999954</v>
      </c>
      <c r="E11" s="24">
        <f>T11</f>
        <v>-4.3475999999999999</v>
      </c>
      <c r="F11" s="24">
        <f>P11</f>
        <v>5.9750999999999994</v>
      </c>
      <c r="G11" s="73" t="str">
        <f>CONCATENATE(M12,"
(40 ~ 100)")</f>
        <v>自信
(40 ~ 100)</v>
      </c>
      <c r="H11" s="24">
        <f>R12</f>
        <v>-16.141199999999998</v>
      </c>
      <c r="I11" s="52">
        <f>N12</f>
        <v>-20.534800000000004</v>
      </c>
      <c r="J11" s="24">
        <f>T12</f>
        <v>-17.9071</v>
      </c>
      <c r="K11" s="25">
        <f>P12</f>
        <v>-0.78986999999999963</v>
      </c>
      <c r="L11" s="4"/>
      <c r="M11" s="27" t="str">
        <f>lang!B18</f>
        <v>平衡</v>
      </c>
      <c r="N11" s="59">
        <f t="shared" si="4"/>
        <v>-9.4287999999999954</v>
      </c>
      <c r="O11" s="59">
        <f t="shared" si="5"/>
        <v>1.6151600000000013</v>
      </c>
      <c r="P11" s="59">
        <f t="shared" si="6"/>
        <v>5.9750999999999994</v>
      </c>
      <c r="Q11" s="59">
        <f t="shared" si="7"/>
        <v>0</v>
      </c>
      <c r="R11" s="59">
        <f t="shared" si="8"/>
        <v>-8.4626999999999981</v>
      </c>
      <c r="S11" s="59">
        <f t="shared" si="9"/>
        <v>0</v>
      </c>
      <c r="T11" s="59">
        <f t="shared" si="10"/>
        <v>-4.3475999999999999</v>
      </c>
      <c r="U11" s="14"/>
      <c r="V11" s="27" t="str">
        <f t="shared" si="11"/>
        <v>平衡</v>
      </c>
      <c r="W11" s="59">
        <f>'M1'!B9*1</f>
        <v>61.195099999999996</v>
      </c>
      <c r="X11" s="59">
        <f>'M1'!C9*1</f>
        <v>9.5919399999999992</v>
      </c>
      <c r="Y11" s="59">
        <f>'M1'!D9*1</f>
        <v>15.6744</v>
      </c>
      <c r="Z11" s="59">
        <f>'M1'!E9*1</f>
        <v>50</v>
      </c>
      <c r="AA11" s="59">
        <f>'M1'!F9*1</f>
        <v>34.884599999999999</v>
      </c>
      <c r="AB11" s="59">
        <f>'M1'!G9*1</f>
        <v>100</v>
      </c>
      <c r="AC11" s="59">
        <f>'M1'!H9*1</f>
        <v>69.967399999999998</v>
      </c>
      <c r="AE11" s="27" t="str">
        <f t="shared" si="12"/>
        <v>平衡</v>
      </c>
      <c r="AF11" s="59">
        <f>'M2'!B9*1</f>
        <v>51.766300000000001</v>
      </c>
      <c r="AG11" s="59">
        <f>'M2'!C9*1</f>
        <v>11.207100000000001</v>
      </c>
      <c r="AH11" s="59">
        <f>'M2'!D9*1</f>
        <v>21.6495</v>
      </c>
      <c r="AI11" s="59">
        <f>'M2'!E9*1</f>
        <v>50</v>
      </c>
      <c r="AJ11" s="59">
        <f>'M2'!F9*1</f>
        <v>26.421900000000001</v>
      </c>
      <c r="AK11" s="59">
        <f>'M2'!G9*1</f>
        <v>100</v>
      </c>
      <c r="AL11" s="59">
        <f>'M2'!H9*1</f>
        <v>65.619799999999998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-6.4629500000000011</v>
      </c>
      <c r="D12" s="51">
        <f>N13</f>
        <v>-5.1778000000000013</v>
      </c>
      <c r="E12" s="53">
        <f>T13</f>
        <v>-5.2021999999999977</v>
      </c>
      <c r="F12" s="53">
        <f>P13</f>
        <v>13.1943</v>
      </c>
      <c r="G12" s="73" t="str">
        <f>CONCATENATE(M14,"
(50 ~ 100)")</f>
        <v>自我调节
(50 ~ 100)</v>
      </c>
      <c r="H12" s="24">
        <f>R14</f>
        <v>-12.540299999999995</v>
      </c>
      <c r="I12" s="52">
        <f>N14</f>
        <v>-16.188500000000005</v>
      </c>
      <c r="J12" s="24">
        <f>T14</f>
        <v>-10.837900000000005</v>
      </c>
      <c r="K12" s="25">
        <f>P14</f>
        <v>2.0046099999999996</v>
      </c>
      <c r="L12" s="4"/>
      <c r="M12" s="27" t="str">
        <f>lang!B19</f>
        <v>自信</v>
      </c>
      <c r="N12" s="59">
        <f t="shared" si="4"/>
        <v>-20.534800000000004</v>
      </c>
      <c r="O12" s="59">
        <f t="shared" si="5"/>
        <v>-1.6526000000000001</v>
      </c>
      <c r="P12" s="59">
        <f t="shared" si="6"/>
        <v>-0.78986999999999963</v>
      </c>
      <c r="Q12" s="59">
        <f t="shared" si="7"/>
        <v>0</v>
      </c>
      <c r="R12" s="59">
        <f t="shared" si="8"/>
        <v>-16.141199999999998</v>
      </c>
      <c r="S12" s="59">
        <f t="shared" si="9"/>
        <v>0</v>
      </c>
      <c r="T12" s="59">
        <f t="shared" si="10"/>
        <v>-17.9071</v>
      </c>
      <c r="U12" s="15"/>
      <c r="V12" s="27" t="str">
        <f t="shared" si="11"/>
        <v>自信</v>
      </c>
      <c r="W12" s="59">
        <f>'M1'!B10*1</f>
        <v>80.478700000000003</v>
      </c>
      <c r="X12" s="59">
        <f>'M1'!C10*1</f>
        <v>4.62113</v>
      </c>
      <c r="Y12" s="59">
        <f>'M1'!D10*1</f>
        <v>5.7420499999999999</v>
      </c>
      <c r="Z12" s="59">
        <f>'M1'!E10*1</f>
        <v>40</v>
      </c>
      <c r="AA12" s="59">
        <f>'M1'!F10*1</f>
        <v>63.894199999999998</v>
      </c>
      <c r="AB12" s="59">
        <f>'M1'!G10*1</f>
        <v>100</v>
      </c>
      <c r="AC12" s="59">
        <f>'M1'!H10*1</f>
        <v>83.945499999999996</v>
      </c>
      <c r="AE12" s="27" t="str">
        <f t="shared" si="12"/>
        <v>自信</v>
      </c>
      <c r="AF12" s="59">
        <f>'M2'!B10*1</f>
        <v>59.943899999999999</v>
      </c>
      <c r="AG12" s="59">
        <f>'M2'!C10*1</f>
        <v>2.9685299999999999</v>
      </c>
      <c r="AH12" s="59">
        <f>'M2'!D10*1</f>
        <v>4.9521800000000002</v>
      </c>
      <c r="AI12" s="59">
        <f>'M2'!E10*1</f>
        <v>40</v>
      </c>
      <c r="AJ12" s="59">
        <f>'M2'!F10*1</f>
        <v>47.753</v>
      </c>
      <c r="AK12" s="59">
        <f>'M2'!G10*1</f>
        <v>100</v>
      </c>
      <c r="AL12" s="59">
        <f>'M2'!H10*1</f>
        <v>66.038399999999996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2.5876000000000019</v>
      </c>
      <c r="D13" s="55">
        <f>N15</f>
        <v>0.77779999999999916</v>
      </c>
      <c r="E13" s="56">
        <f>T15</f>
        <v>2.1318999999999981</v>
      </c>
      <c r="F13" s="56">
        <f>P15</f>
        <v>2.6456</v>
      </c>
      <c r="G13" s="74" t="str">
        <f>CONCATENATE(M16,"
(10 ~ 50)")</f>
        <v>神经质
(10 ~ 50)</v>
      </c>
      <c r="H13" s="54">
        <f>R16</f>
        <v>2.3665799999999999</v>
      </c>
      <c r="I13" s="55">
        <f>N16</f>
        <v>7.0154999999999994</v>
      </c>
      <c r="J13" s="56">
        <f>T16</f>
        <v>4.6550000000000011</v>
      </c>
      <c r="K13" s="57">
        <f>P16</f>
        <v>-7.713000000000001</v>
      </c>
      <c r="M13" s="27" t="str">
        <f>lang!B20</f>
        <v>活力</v>
      </c>
      <c r="N13" s="59">
        <f t="shared" si="4"/>
        <v>-5.1778000000000013</v>
      </c>
      <c r="O13" s="59">
        <f t="shared" si="5"/>
        <v>1.4148699999999996</v>
      </c>
      <c r="P13" s="59">
        <f t="shared" si="6"/>
        <v>13.1943</v>
      </c>
      <c r="Q13" s="59">
        <f t="shared" si="7"/>
        <v>0</v>
      </c>
      <c r="R13" s="59">
        <f t="shared" si="8"/>
        <v>-6.4629500000000011</v>
      </c>
      <c r="S13" s="59">
        <f t="shared" si="9"/>
        <v>0</v>
      </c>
      <c r="T13" s="59">
        <f t="shared" si="10"/>
        <v>-5.2021999999999977</v>
      </c>
      <c r="U13" s="14"/>
      <c r="V13" s="27" t="str">
        <f t="shared" si="11"/>
        <v>活力</v>
      </c>
      <c r="W13" s="59">
        <f>'M1'!B11*1</f>
        <v>20.8169</v>
      </c>
      <c r="X13" s="59">
        <f>'M1'!C11*1</f>
        <v>2.60764</v>
      </c>
      <c r="Y13" s="59">
        <f>'M1'!D11*1</f>
        <v>12.5266</v>
      </c>
      <c r="Z13" s="59">
        <f>'M1'!E11*1</f>
        <v>10</v>
      </c>
      <c r="AA13" s="59">
        <f>'M1'!F11*1</f>
        <v>15.010400000000001</v>
      </c>
      <c r="AB13" s="59">
        <f>'M1'!G11*1</f>
        <v>50</v>
      </c>
      <c r="AC13" s="59">
        <f>'M1'!H11*1</f>
        <v>25.628299999999999</v>
      </c>
      <c r="AE13" s="27" t="str">
        <f t="shared" si="12"/>
        <v>活力</v>
      </c>
      <c r="AF13" s="59">
        <f>'M2'!B11*1</f>
        <v>15.639099999999999</v>
      </c>
      <c r="AG13" s="59">
        <f>'M2'!C11*1</f>
        <v>4.0225099999999996</v>
      </c>
      <c r="AH13" s="59">
        <f>'M2'!D11*1</f>
        <v>25.7209</v>
      </c>
      <c r="AI13" s="59">
        <f>'M2'!E11*1</f>
        <v>10</v>
      </c>
      <c r="AJ13" s="59">
        <f>'M2'!F11*1</f>
        <v>8.5474499999999995</v>
      </c>
      <c r="AK13" s="59">
        <f>'M2'!G11*1</f>
        <v>50</v>
      </c>
      <c r="AL13" s="59">
        <f>'M2'!H11*1</f>
        <v>20.426100000000002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-16.188500000000005</v>
      </c>
      <c r="O14" s="59">
        <f t="shared" si="5"/>
        <v>-0.27243999999999957</v>
      </c>
      <c r="P14" s="59">
        <f t="shared" si="6"/>
        <v>2.0046099999999996</v>
      </c>
      <c r="Q14" s="59">
        <f t="shared" si="7"/>
        <v>0</v>
      </c>
      <c r="R14" s="59">
        <f t="shared" si="8"/>
        <v>-12.540299999999995</v>
      </c>
      <c r="S14" s="59">
        <f t="shared" si="9"/>
        <v>0</v>
      </c>
      <c r="T14" s="59">
        <f t="shared" si="10"/>
        <v>-10.837900000000005</v>
      </c>
      <c r="U14" s="14"/>
      <c r="V14" s="27" t="str">
        <f t="shared" si="11"/>
        <v>自我调节</v>
      </c>
      <c r="W14" s="59">
        <f>'M1'!B12*1</f>
        <v>71.664900000000003</v>
      </c>
      <c r="X14" s="59">
        <f>'M1'!C12*1</f>
        <v>6.1292</v>
      </c>
      <c r="Y14" s="59">
        <f>'M1'!D12*1</f>
        <v>8.5525900000000004</v>
      </c>
      <c r="Z14" s="59">
        <f>'M1'!E12*1</f>
        <v>50</v>
      </c>
      <c r="AA14" s="59">
        <f>'M1'!F12*1</f>
        <v>56.312199999999997</v>
      </c>
      <c r="AB14" s="59">
        <f>'M1'!G12*1</f>
        <v>100</v>
      </c>
      <c r="AC14" s="59">
        <f>'M1'!H12*1</f>
        <v>76.086100000000002</v>
      </c>
      <c r="AE14" s="27" t="str">
        <f t="shared" si="12"/>
        <v>自我调节</v>
      </c>
      <c r="AF14" s="59">
        <f>'M2'!B12*1</f>
        <v>55.476399999999998</v>
      </c>
      <c r="AG14" s="59">
        <f>'M2'!C12*1</f>
        <v>5.8567600000000004</v>
      </c>
      <c r="AH14" s="59">
        <f>'M2'!D12*1</f>
        <v>10.5572</v>
      </c>
      <c r="AI14" s="59">
        <f>'M2'!E12*1</f>
        <v>50</v>
      </c>
      <c r="AJ14" s="59">
        <f>'M2'!F12*1</f>
        <v>43.771900000000002</v>
      </c>
      <c r="AK14" s="59">
        <f>'M2'!G12*1</f>
        <v>100</v>
      </c>
      <c r="AL14" s="59">
        <f>'M2'!H12*1</f>
        <v>65.248199999999997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0.77779999999999916</v>
      </c>
      <c r="O15" s="59">
        <f t="shared" si="5"/>
        <v>0.70155000000000012</v>
      </c>
      <c r="P15" s="59">
        <f t="shared" si="6"/>
        <v>2.6456</v>
      </c>
      <c r="Q15" s="59">
        <f t="shared" si="7"/>
        <v>0</v>
      </c>
      <c r="R15" s="59">
        <f t="shared" si="8"/>
        <v>2.5876000000000019</v>
      </c>
      <c r="S15" s="59">
        <f t="shared" si="9"/>
        <v>0</v>
      </c>
      <c r="T15" s="59">
        <f t="shared" si="10"/>
        <v>2.1318999999999981</v>
      </c>
      <c r="U15" s="14"/>
      <c r="V15" s="27" t="str">
        <f t="shared" si="11"/>
        <v>抑郁</v>
      </c>
      <c r="W15" s="59">
        <f>'M1'!B13*1</f>
        <v>22.514500000000002</v>
      </c>
      <c r="X15" s="59">
        <f>'M1'!C13*1</f>
        <v>2.4699</v>
      </c>
      <c r="Y15" s="59">
        <f>'M1'!D13*1</f>
        <v>10.9703</v>
      </c>
      <c r="Z15" s="59">
        <f>'M1'!E13*1</f>
        <v>10</v>
      </c>
      <c r="AA15" s="59">
        <f>'M1'!F13*1</f>
        <v>17.779299999999999</v>
      </c>
      <c r="AB15" s="59">
        <f>'M1'!G13*1</f>
        <v>25</v>
      </c>
      <c r="AC15" s="59">
        <f>'M1'!H13*1</f>
        <v>31.295300000000001</v>
      </c>
      <c r="AE15" s="27" t="str">
        <f t="shared" si="12"/>
        <v>抑郁</v>
      </c>
      <c r="AF15" s="59">
        <f>'M2'!B13*1</f>
        <v>23.292300000000001</v>
      </c>
      <c r="AG15" s="59">
        <f>'M2'!C13*1</f>
        <v>3.1714500000000001</v>
      </c>
      <c r="AH15" s="59">
        <f>'M2'!D13*1</f>
        <v>13.6159</v>
      </c>
      <c r="AI15" s="59">
        <f>'M2'!E13*1</f>
        <v>10</v>
      </c>
      <c r="AJ15" s="59">
        <f>'M2'!F13*1</f>
        <v>20.366900000000001</v>
      </c>
      <c r="AK15" s="59">
        <f>'M2'!G13*1</f>
        <v>25</v>
      </c>
      <c r="AL15" s="59">
        <f>'M2'!H13*1</f>
        <v>33.427199999999999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7.0154999999999994</v>
      </c>
      <c r="O16" s="59">
        <f t="shared" si="5"/>
        <v>0.23430999999999891</v>
      </c>
      <c r="P16" s="59">
        <f t="shared" si="6"/>
        <v>-7.713000000000001</v>
      </c>
      <c r="Q16" s="59">
        <f t="shared" si="7"/>
        <v>0</v>
      </c>
      <c r="R16" s="59">
        <f t="shared" si="8"/>
        <v>2.3665799999999999</v>
      </c>
      <c r="S16" s="59">
        <f t="shared" si="9"/>
        <v>0</v>
      </c>
      <c r="T16" s="59">
        <f t="shared" si="10"/>
        <v>4.6550000000000011</v>
      </c>
      <c r="U16" s="15"/>
      <c r="V16" s="27" t="str">
        <f t="shared" si="11"/>
        <v>神经质</v>
      </c>
      <c r="W16" s="59">
        <f>'M1'!B14*1</f>
        <v>24.699000000000002</v>
      </c>
      <c r="X16" s="59">
        <f>'M1'!C14*1</f>
        <v>9.4369200000000006</v>
      </c>
      <c r="Y16" s="59">
        <f>'M1'!D14*1</f>
        <v>38.207700000000003</v>
      </c>
      <c r="Z16" s="59">
        <f>'M1'!E14*1</f>
        <v>10</v>
      </c>
      <c r="AA16" s="59">
        <f>'M1'!F14*1</f>
        <v>2.1776</v>
      </c>
      <c r="AB16" s="59">
        <f>'M1'!G14*1</f>
        <v>50</v>
      </c>
      <c r="AC16" s="59">
        <f>'M1'!H14*1</f>
        <v>32.859299999999998</v>
      </c>
      <c r="AE16" s="27" t="str">
        <f t="shared" si="12"/>
        <v>神经质</v>
      </c>
      <c r="AF16" s="59">
        <f>'M2'!B14*1</f>
        <v>31.714500000000001</v>
      </c>
      <c r="AG16" s="59">
        <f>'M2'!C14*1</f>
        <v>9.6712299999999995</v>
      </c>
      <c r="AH16" s="59">
        <f>'M2'!D14*1</f>
        <v>30.494700000000002</v>
      </c>
      <c r="AI16" s="59">
        <f>'M2'!E14*1</f>
        <v>10</v>
      </c>
      <c r="AJ16" s="59">
        <f>'M2'!F14*1</f>
        <v>4.5441799999999999</v>
      </c>
      <c r="AK16" s="59">
        <f>'M2'!G14*1</f>
        <v>50</v>
      </c>
      <c r="AL16" s="59">
        <f>'M2'!H14*1</f>
        <v>37.514299999999999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-12.832475000000002</v>
      </c>
      <c r="O17" s="22">
        <f>N17/(N17+N18+N19)</f>
        <v>4.1442873636532402</v>
      </c>
      <c r="P17" s="65">
        <f>SUM(P11:P14)/4</f>
        <v>5.0960349999999996</v>
      </c>
      <c r="Q17" s="22">
        <f>P17/(P17+P18+P19)</f>
        <v>-1.7915839025745046</v>
      </c>
      <c r="R17" s="14"/>
      <c r="S17" s="14"/>
      <c r="T17" s="14"/>
      <c r="U17" s="14"/>
      <c r="V17" s="21" t="str">
        <f>M17</f>
        <v>Positive</v>
      </c>
      <c r="W17" s="65">
        <f>SUM(W11:W14)/4</f>
        <v>58.538899999999998</v>
      </c>
      <c r="X17" s="22">
        <f>W17/(W17+W18+W19)</f>
        <v>0.49374946888672538</v>
      </c>
      <c r="Y17" s="65">
        <f>SUM(Y11:Y14)/4</f>
        <v>10.62391</v>
      </c>
      <c r="Z17" s="22">
        <f>Y17/(Y17+Y18+Y19)</f>
        <v>0.21132880376917981</v>
      </c>
      <c r="AA17" s="14"/>
      <c r="AB17" s="14"/>
      <c r="AC17" s="14"/>
      <c r="AE17" s="21" t="str">
        <f>V17</f>
        <v>Positive</v>
      </c>
      <c r="AF17" s="65">
        <f>SUM(AF11:AF14)/4</f>
        <v>45.706424999999996</v>
      </c>
      <c r="AG17" s="22">
        <f>AF17/(AF17+AF18+AF19)</f>
        <v>0.39585171937452091</v>
      </c>
      <c r="AH17" s="65">
        <f>SUM(AH11:AH14)/4</f>
        <v>15.719945000000001</v>
      </c>
      <c r="AI17" s="22">
        <f>AH17/(AH17+AH18+AH19)</f>
        <v>0.33145200628791116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5.8393999999999986</v>
      </c>
      <c r="O18" s="22">
        <f>N18/(N17+N18+N19)</f>
        <v>-1.8858522328168743</v>
      </c>
      <c r="P18" s="18">
        <f>SUM(P7:P10)/4</f>
        <v>-5.406765</v>
      </c>
      <c r="Q18" s="22">
        <f>P18/(P17+P18+P19)</f>
        <v>1.9008254729418541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36.414275000000004</v>
      </c>
      <c r="X18" s="22">
        <f>W18/(W17+W18+W19)</f>
        <v>0.30713814132389172</v>
      </c>
      <c r="Y18" s="18">
        <f>SUM(Y7:Y10)/4</f>
        <v>15.059035</v>
      </c>
      <c r="Z18" s="22">
        <f>Y18/(Y17+Y18+Y19)</f>
        <v>0.29955146951246864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42.253675000000001</v>
      </c>
      <c r="AG18" s="22">
        <f>AF18/(AF17+AF18+AF19)</f>
        <v>0.36594832999172899</v>
      </c>
      <c r="AH18" s="18">
        <f>SUM(AH7:AH10)/4</f>
        <v>9.6522699999999997</v>
      </c>
      <c r="AI18" s="22">
        <f>AH18/(AH17+AH18+AH19)</f>
        <v>0.20351625000803858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3.8966499999999993</v>
      </c>
      <c r="O19" s="22">
        <f>N19/(N17+N18+N19)</f>
        <v>-1.2584351308363657</v>
      </c>
      <c r="P19" s="18">
        <f>(P15+P16)/2</f>
        <v>-2.5337000000000005</v>
      </c>
      <c r="Q19" s="22">
        <f>P19/(P17+P18+P19)</f>
        <v>0.89075842963265039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23.606750000000002</v>
      </c>
      <c r="X19" s="22">
        <f>W19/(W17+W18+W19)</f>
        <v>0.19911238978938289</v>
      </c>
      <c r="Y19" s="18">
        <f>(Y15+Y16)/2</f>
        <v>24.589000000000002</v>
      </c>
      <c r="Z19" s="22">
        <f>Y19/(Y17+Y18+Y19)</f>
        <v>0.48911972671835158</v>
      </c>
      <c r="AA19" s="14"/>
      <c r="AB19" s="14"/>
      <c r="AC19" s="14"/>
      <c r="AE19" s="21" t="str">
        <f t="shared" si="14"/>
        <v>Physiological</v>
      </c>
      <c r="AF19" s="18">
        <f>(AF15+AF16)/2</f>
        <v>27.503399999999999</v>
      </c>
      <c r="AG19" s="22">
        <f>AF19/(AF17+AF18+AF19)</f>
        <v>0.23819995063375007</v>
      </c>
      <c r="AH19" s="18">
        <f>(AH15+AH16)/2</f>
        <v>22.055300000000003</v>
      </c>
      <c r="AI19" s="22">
        <f>AH19/(AH17+AH18+AH19)</f>
        <v>0.46503174370405032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1.78/1.67</v>
      </c>
      <c r="D24" s="44" t="str">
        <f>lang!B11</f>
        <v>频率方差</v>
      </c>
      <c r="E24" s="142" t="str">
        <f ca="1">CONCATENATE(ROUND('FH1'!L3,2),"/",ROUND('FH2'!L3,2))</f>
        <v>0.76/0.95</v>
      </c>
      <c r="F24" s="143"/>
      <c r="G24" s="134" t="str">
        <f>lang!B12</f>
        <v>生理变化率</v>
      </c>
      <c r="H24" s="135"/>
      <c r="I24" s="62" t="str">
        <f ca="1">CONCATENATE(info!M7,"-",info!M8)</f>
        <v>0-34</v>
      </c>
      <c r="J24" s="42" t="str">
        <f>lang!B13</f>
        <v>千卡l/分钟</v>
      </c>
      <c r="K24" s="41" t="str">
        <f ca="1">CONCATENATE(info!M5,"-",info!M6)</f>
        <v>3-3.8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22.503840000000004</v>
      </c>
      <c r="F27" s="164"/>
      <c r="G27" s="178" t="str">
        <f>lang!B33</f>
        <v>稳定性</v>
      </c>
      <c r="H27" s="179"/>
      <c r="I27" s="180"/>
      <c r="J27" s="181">
        <f>dM!B19*100</f>
        <v>-3.4897999999999985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0.13804479145008791</v>
      </c>
      <c r="C2">
        <f t="array" aca="1" ref="C2" ca="1">CORREL(FT_E02,FT_PH02)</f>
        <v>0.95580833793413855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3.367</v>
      </c>
      <c r="G2" s="61">
        <f>IF(FT!B2&lt;&gt;"",FT!B2*100,"")</f>
        <v>33.9771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3.41927</v>
      </c>
      <c r="G3" s="61">
        <f>IF(FT!B3&lt;&gt;"",FT!B3*100,"")</f>
        <v>33.559699999999999</v>
      </c>
      <c r="H3" s="61">
        <f t="shared" ref="H3:H66" si="1">(IF(F3&lt;&gt;"",1,""))</f>
        <v>1</v>
      </c>
      <c r="I3" t="str">
        <f>IF(FT!B3&lt;&gt;"",FT!E3,"")</f>
        <v>1 [0.380590]</v>
      </c>
      <c r="J3">
        <f>IF(FT!B3&lt;&gt;"",FT!C3,"")</f>
        <v>0.38058999999999998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0.19623614999999997</v>
      </c>
      <c r="V3">
        <f ca="1">AVERAGE(OFFSET(FT!B2,info!$L$3/2,0,info!$L$3/2,1))</f>
        <v>3.0215141486486484E-2</v>
      </c>
      <c r="W3">
        <f ca="1">AVERAGE(OFFSET(FT!A2,0,0,info!$L$3/2,1))</f>
        <v>0.36909566216216227</v>
      </c>
      <c r="X3">
        <f ca="1">AVERAGE(OFFSET(FT!A2,info!$L$3/2,0,info!$L$3/2,1))</f>
        <v>0.32623658108108111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3.4700199999999999</v>
      </c>
      <c r="G4" s="61">
        <f>IF(FT!B4&lt;&gt;"",FT!B4*100,"")</f>
        <v>33.099200000000003</v>
      </c>
      <c r="H4" s="61">
        <f t="shared" si="1"/>
        <v>1</v>
      </c>
      <c r="I4" t="str">
        <f>IF(FT!B4&lt;&gt;"",FT!E4,"")</f>
        <v>1 [0.788492]</v>
      </c>
      <c r="J4">
        <f>IF(FT!B4&lt;&gt;"",FT!C4,"")</f>
        <v>0.78849199999999997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14.939674999999999</v>
      </c>
      <c r="V4">
        <f>U4*3</f>
        <v>44.819024999999996</v>
      </c>
      <c r="W4">
        <f>U4</f>
        <v>14.939674999999999</v>
      </c>
      <c r="X4">
        <f>V4</f>
        <v>44.819024999999996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3.5188999999999999</v>
      </c>
      <c r="G5" s="61">
        <f>IF(FT!B5&lt;&gt;"",FT!B5*100,"")</f>
        <v>32.683499999999995</v>
      </c>
      <c r="H5" s="61">
        <f t="shared" si="1"/>
        <v>1</v>
      </c>
      <c r="I5" t="str">
        <f>IF(FT!B5&lt;&gt;"",FT!E5,"")</f>
        <v>1 [1.195373]</v>
      </c>
      <c r="J5">
        <f>IF(FT!B5&lt;&gt;"",FT!C5,"")</f>
        <v>1.19537</v>
      </c>
      <c r="K5" t="s">
        <v>53</v>
      </c>
      <c r="L5" s="63">
        <f ca="1">MIN(FT_E)</f>
        <v>2.9758599999999999</v>
      </c>
      <c r="M5" s="63">
        <f ca="1">ROUND(L5,1)</f>
        <v>3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19.623614999999997</v>
      </c>
      <c r="V5">
        <f ca="1">V3*100</f>
        <v>3.0215141486486483</v>
      </c>
      <c r="W5">
        <f ca="1">W3*10</f>
        <v>3.6909566216216225</v>
      </c>
      <c r="X5">
        <f ca="1">X3*10</f>
        <v>3.2623658108108113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3.56534</v>
      </c>
      <c r="G6" s="61">
        <f>IF(FT!B6&lt;&gt;"",FT!B6*100,"")</f>
        <v>32.3065</v>
      </c>
      <c r="H6" s="61">
        <f t="shared" si="1"/>
        <v>1</v>
      </c>
      <c r="I6" t="str">
        <f>IF(FT!B6&lt;&gt;"",FT!E6,"")</f>
        <v>1 [1.600396]</v>
      </c>
      <c r="J6">
        <f>IF(FT!B6&lt;&gt;"",FT!C6,"")</f>
        <v>1.6004</v>
      </c>
      <c r="K6" t="s">
        <v>54</v>
      </c>
      <c r="L6" s="63">
        <f ca="1">MAX(FT_E)</f>
        <v>3.8492999999999999</v>
      </c>
      <c r="M6" s="63">
        <f ca="1">ROUND(L6,1)</f>
        <v>3.8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3.6087000000000002</v>
      </c>
      <c r="G7" s="61">
        <f>IF(FT!B7&lt;&gt;"",FT!B7*100,"")</f>
        <v>31.918200000000002</v>
      </c>
      <c r="H7" s="61">
        <f t="shared" si="1"/>
        <v>1</v>
      </c>
      <c r="I7" t="str">
        <f>IF(FT!B7&lt;&gt;"",FT!E7,"")</f>
        <v>1 [2.005562]</v>
      </c>
      <c r="J7">
        <f>IF(FT!B7&lt;&gt;"",FT!C7,"")</f>
        <v>2.00556</v>
      </c>
      <c r="K7" t="s">
        <v>55</v>
      </c>
      <c r="L7" s="63">
        <f ca="1">MIN(FT_PH)</f>
        <v>0</v>
      </c>
      <c r="M7" s="63">
        <f ca="1">ROUND(L7,1)</f>
        <v>0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9417</v>
      </c>
      <c r="D8" s="61">
        <f>FH!B8*1</f>
        <v>9417</v>
      </c>
      <c r="E8">
        <f t="shared" si="3"/>
        <v>6</v>
      </c>
      <c r="F8" s="61">
        <f>IF(FT!A8&lt;&gt;"",FT!A8*10,"")</f>
        <v>3.6493900000000004</v>
      </c>
      <c r="G8" s="61">
        <f>IF(FT!B8&lt;&gt;"",FT!B8*100,"")</f>
        <v>31.505199999999999</v>
      </c>
      <c r="H8" s="61">
        <f t="shared" si="1"/>
        <v>1</v>
      </c>
      <c r="I8" t="str">
        <f>IF(FT!B8&lt;&gt;"",FT!E8,"")</f>
        <v>1 [2.407083]</v>
      </c>
      <c r="J8">
        <f>IF(FT!B8&lt;&gt;"",FT!C8,"")</f>
        <v>2.4070800000000001</v>
      </c>
      <c r="K8" t="s">
        <v>56</v>
      </c>
      <c r="L8" s="63">
        <f ca="1">MAX(FT_PH)</f>
        <v>33.9771</v>
      </c>
      <c r="M8" s="63">
        <f ca="1">ROUND(L8,1)</f>
        <v>34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3.6865900000000003</v>
      </c>
      <c r="G9" s="61">
        <f>IF(FT!B9&lt;&gt;"",FT!B9*100,"")</f>
        <v>31.008599999999998</v>
      </c>
      <c r="H9" s="61">
        <f t="shared" si="1"/>
        <v>1</v>
      </c>
      <c r="I9" t="str">
        <f>IF(FT!B9&lt;&gt;"",FT!E9,"")</f>
        <v>1 [2.822090]</v>
      </c>
      <c r="J9">
        <f>IF(FT!B9&lt;&gt;"",FT!C9,"")</f>
        <v>2.8220900000000002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11401</v>
      </c>
      <c r="D10" s="61">
        <f>FH!B10*1</f>
        <v>11401</v>
      </c>
      <c r="E10">
        <f t="shared" si="3"/>
        <v>8</v>
      </c>
      <c r="F10" s="61">
        <f>IF(FT!A10&lt;&gt;"",FT!A10*10,"")</f>
        <v>3.71936</v>
      </c>
      <c r="G10" s="61">
        <f>IF(FT!B10&lt;&gt;"",FT!B10*100,"")</f>
        <v>30.5502</v>
      </c>
      <c r="H10" s="61">
        <f t="shared" si="1"/>
        <v>1</v>
      </c>
      <c r="I10" t="str">
        <f>IF(FT!B10&lt;&gt;"",FT!E10,"")</f>
        <v>1 [3.221213]</v>
      </c>
      <c r="J10">
        <f>IF(FT!B10&lt;&gt;"",FT!C10,"")</f>
        <v>3.2212100000000001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3.7471999999999999</v>
      </c>
      <c r="G11" s="61">
        <f>IF(FT!B11&lt;&gt;"",FT!B11*100,"")</f>
        <v>30.057400000000001</v>
      </c>
      <c r="H11" s="61">
        <f t="shared" si="1"/>
        <v>1</v>
      </c>
      <c r="I11" t="str">
        <f>IF(FT!B11&lt;&gt;"",FT!E11,"")</f>
        <v>1 [3.627963]</v>
      </c>
      <c r="J11">
        <f>IF(FT!B11&lt;&gt;"",FT!C11,"")</f>
        <v>3.6279599999999999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3.7699300000000004</v>
      </c>
      <c r="G12" s="61">
        <f>IF(FT!B12&lt;&gt;"",FT!B12*100,"")</f>
        <v>29.606400000000001</v>
      </c>
      <c r="H12" s="61">
        <f t="shared" si="1"/>
        <v>1</v>
      </c>
      <c r="I12" t="str">
        <f>IF(FT!B12&lt;&gt;"",FT!E12,"")</f>
        <v>1 [4.037060]</v>
      </c>
      <c r="J12">
        <f>IF(FT!B12&lt;&gt;"",FT!C12,"")</f>
        <v>4.0370600000000003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14977</v>
      </c>
      <c r="D13" s="61">
        <f>FH!B13*1</f>
        <v>14977</v>
      </c>
      <c r="E13">
        <f t="shared" si="3"/>
        <v>11</v>
      </c>
      <c r="F13" s="61">
        <f>IF(FT!A13&lt;&gt;"",FT!A13*10,"")</f>
        <v>3.7881900000000002</v>
      </c>
      <c r="G13" s="61">
        <f>IF(FT!B13&lt;&gt;"",FT!B13*100,"")</f>
        <v>29.234100000000002</v>
      </c>
      <c r="H13" s="61">
        <f t="shared" si="1"/>
        <v>1</v>
      </c>
      <c r="I13" t="str">
        <f>IF(FT!B13&lt;&gt;"",FT!E13,"")</f>
        <v>1 [4.444684]</v>
      </c>
      <c r="J13">
        <f>IF(FT!B13&lt;&gt;"",FT!C13,"")</f>
        <v>4.44468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3.8040600000000002</v>
      </c>
      <c r="G14" s="61">
        <f>IF(FT!B14&lt;&gt;"",FT!B14*100,"")</f>
        <v>28.879799999999999</v>
      </c>
      <c r="H14" s="61">
        <f t="shared" si="1"/>
        <v>1</v>
      </c>
      <c r="I14" t="str">
        <f>IF(FT!B14&lt;&gt;"",FT!E14,"")</f>
        <v>1 [4.852650]</v>
      </c>
      <c r="J14">
        <f>IF(FT!B14&lt;&gt;"",FT!C14,"")</f>
        <v>4.8526499999999997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18787</v>
      </c>
      <c r="D15" s="61">
        <f>FH!B15*1</f>
        <v>18787</v>
      </c>
      <c r="E15">
        <f t="shared" si="3"/>
        <v>13</v>
      </c>
      <c r="F15" s="61">
        <f>IF(FT!A15&lt;&gt;"",FT!A15*10,"")</f>
        <v>3.82002</v>
      </c>
      <c r="G15" s="61">
        <f>IF(FT!B15&lt;&gt;"",FT!B15*100,"")</f>
        <v>28.4999</v>
      </c>
      <c r="H15" s="61">
        <f t="shared" si="1"/>
        <v>1</v>
      </c>
      <c r="I15" t="str">
        <f>IF(FT!B15&lt;&gt;"",FT!E15,"")</f>
        <v>1 [5.256824]</v>
      </c>
      <c r="J15">
        <f>IF(FT!B15&lt;&gt;"",FT!C15,"")</f>
        <v>5.2568200000000003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3.8317299999999999</v>
      </c>
      <c r="G16" s="61">
        <f>IF(FT!B16&lt;&gt;"",FT!B16*100,"")</f>
        <v>28.128900000000002</v>
      </c>
      <c r="H16" s="61">
        <f t="shared" si="1"/>
        <v>1</v>
      </c>
      <c r="I16" t="str">
        <f>IF(FT!B16&lt;&gt;"",FT!E16,"")</f>
        <v>1 [5.663448]</v>
      </c>
      <c r="J16">
        <f>IF(FT!B16&lt;&gt;"",FT!C16,"")</f>
        <v>5.6634500000000001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3.84091</v>
      </c>
      <c r="G17" s="61">
        <f>IF(FT!B17&lt;&gt;"",FT!B17*100,"")</f>
        <v>27.7517</v>
      </c>
      <c r="H17" s="61">
        <f t="shared" si="1"/>
        <v>1</v>
      </c>
      <c r="I17" t="str">
        <f>IF(FT!B17&lt;&gt;"",FT!E17,"")</f>
        <v>1 [6.067396]</v>
      </c>
      <c r="J17">
        <f>IF(FT!B17&lt;&gt;"",FT!C17,"")</f>
        <v>6.0674000000000001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22755</v>
      </c>
      <c r="D18" s="61">
        <f>FH!B18*1</f>
        <v>22755</v>
      </c>
      <c r="E18">
        <f t="shared" si="3"/>
        <v>16</v>
      </c>
      <c r="F18" s="61">
        <f>IF(FT!A18&lt;&gt;"",FT!A18*10,"")</f>
        <v>3.8471300000000004</v>
      </c>
      <c r="G18" s="61">
        <f>IF(FT!B18&lt;&gt;"",FT!B18*100,"")</f>
        <v>27.357300000000002</v>
      </c>
      <c r="H18" s="61">
        <f t="shared" si="1"/>
        <v>1</v>
      </c>
      <c r="I18" t="str">
        <f>IF(FT!B18&lt;&gt;"",FT!E18,"")</f>
        <v>1 [6.472516]</v>
      </c>
      <c r="J18">
        <f>IF(FT!B18&lt;&gt;"",FT!C18,"")</f>
        <v>6.4725200000000003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3.8492999999999999</v>
      </c>
      <c r="G19" s="61">
        <f>IF(FT!B19&lt;&gt;"",FT!B19*100,"")</f>
        <v>27.037499999999998</v>
      </c>
      <c r="H19" s="61">
        <f t="shared" si="1"/>
        <v>1</v>
      </c>
      <c r="I19" t="str">
        <f>IF(FT!B19&lt;&gt;"",FT!E19,"")</f>
        <v>1 [6.878458]</v>
      </c>
      <c r="J19">
        <f>IF(FT!B19&lt;&gt;"",FT!C19,"")</f>
        <v>6.8784599999999996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3.8484800000000003</v>
      </c>
      <c r="G20" s="61">
        <f>IF(FT!B20&lt;&gt;"",FT!B20*100,"")</f>
        <v>26.710299999999997</v>
      </c>
      <c r="H20" s="61">
        <f t="shared" si="1"/>
        <v>1</v>
      </c>
      <c r="I20" t="str">
        <f>IF(FT!B20&lt;&gt;"",FT!E20,"")</f>
        <v>1 [7.288112]</v>
      </c>
      <c r="J20">
        <f>IF(FT!B20&lt;&gt;"",FT!C20,"")</f>
        <v>7.2881099999999996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23018</v>
      </c>
      <c r="D21" s="61">
        <f>FH!B21*1</f>
        <v>23018</v>
      </c>
      <c r="E21">
        <f t="shared" si="3"/>
        <v>19</v>
      </c>
      <c r="F21" s="61">
        <f>IF(FT!A21&lt;&gt;"",FT!A21*10,"")</f>
        <v>3.8450499999999996</v>
      </c>
      <c r="G21" s="61">
        <f>IF(FT!B21&lt;&gt;"",FT!B21*100,"")</f>
        <v>26.390499999999999</v>
      </c>
      <c r="H21" s="61">
        <f t="shared" si="1"/>
        <v>1</v>
      </c>
      <c r="I21" t="str">
        <f>IF(FT!B21&lt;&gt;"",FT!E21,"")</f>
        <v>1 [7.691040]</v>
      </c>
      <c r="J21">
        <f>IF(FT!B21&lt;&gt;"",FT!C21,"")</f>
        <v>7.6910400000000001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3.8421499999999997</v>
      </c>
      <c r="G22" s="61">
        <f>IF(FT!B22&lt;&gt;"",FT!B22*100,"")</f>
        <v>26.048100000000002</v>
      </c>
      <c r="H22" s="61">
        <f t="shared" si="1"/>
        <v>1</v>
      </c>
      <c r="I22" t="str">
        <f>IF(FT!B22&lt;&gt;"",FT!E22,"")</f>
        <v>1 [8.103883]</v>
      </c>
      <c r="J22">
        <f>IF(FT!B22&lt;&gt;"",FT!C22,"")</f>
        <v>8.1038800000000002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32503</v>
      </c>
      <c r="D23" s="61">
        <f>FH!B23*1</f>
        <v>32503</v>
      </c>
      <c r="E23">
        <f t="shared" si="3"/>
        <v>21</v>
      </c>
      <c r="F23" s="61">
        <f>IF(FT!A23&lt;&gt;"",FT!A23*10,"")</f>
        <v>3.8399000000000001</v>
      </c>
      <c r="G23" s="61">
        <f>IF(FT!B23&lt;&gt;"",FT!B23*100,"")</f>
        <v>25.659800000000001</v>
      </c>
      <c r="H23" s="61">
        <f t="shared" si="1"/>
        <v>1</v>
      </c>
      <c r="I23" t="str">
        <f>IF(FT!B23&lt;&gt;"",FT!E23,"")</f>
        <v>1 [8.507971]</v>
      </c>
      <c r="J23">
        <f>IF(FT!B23&lt;&gt;"",FT!C23,"")</f>
        <v>8.5079700000000003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3.8361200000000002</v>
      </c>
      <c r="G24" s="61">
        <f>IF(FT!B24&lt;&gt;"",FT!B24*100,"")</f>
        <v>25.284299999999998</v>
      </c>
      <c r="H24" s="61">
        <f t="shared" si="1"/>
        <v>1</v>
      </c>
      <c r="I24" t="str">
        <f>IF(FT!B24&lt;&gt;"",FT!E24,"")</f>
        <v>1 [8.913741]</v>
      </c>
      <c r="J24">
        <f>IF(FT!B24&lt;&gt;"",FT!C24,"")</f>
        <v>8.9137400000000007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3.83019</v>
      </c>
      <c r="G25" s="61">
        <f>IF(FT!B25&lt;&gt;"",FT!B25*100,"")</f>
        <v>24.9221</v>
      </c>
      <c r="H25" s="61">
        <f t="shared" si="1"/>
        <v>1</v>
      </c>
      <c r="I25" t="str">
        <f>IF(FT!B25&lt;&gt;"",FT!E25,"")</f>
        <v>1 [9.314638]</v>
      </c>
      <c r="J25">
        <f>IF(FT!B25&lt;&gt;"",FT!C25,"")</f>
        <v>9.3146400000000007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35285</v>
      </c>
      <c r="D26" s="61">
        <f>FH!B26*1</f>
        <v>35285</v>
      </c>
      <c r="E26">
        <f t="shared" si="3"/>
        <v>24</v>
      </c>
      <c r="F26" s="61">
        <f>IF(FT!A26&lt;&gt;"",FT!A26*10,"")</f>
        <v>3.8206099999999998</v>
      </c>
      <c r="G26" s="61">
        <f>IF(FT!B26&lt;&gt;"",FT!B26*100,"")</f>
        <v>24.488199999999999</v>
      </c>
      <c r="H26" s="61">
        <f t="shared" si="1"/>
        <v>1</v>
      </c>
      <c r="I26" t="str">
        <f>IF(FT!B26&lt;&gt;"",FT!E26,"")</f>
        <v>1 [9.724604]</v>
      </c>
      <c r="J26">
        <f>IF(FT!B26&lt;&gt;"",FT!C26,"")</f>
        <v>9.7246000000000006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3.8062400000000003</v>
      </c>
      <c r="G27" s="61">
        <f>IF(FT!B27&lt;&gt;"",FT!B27*100,"")</f>
        <v>24.023099999999999</v>
      </c>
      <c r="H27" s="61">
        <f t="shared" si="1"/>
        <v>1</v>
      </c>
      <c r="I27" t="str">
        <f>IF(FT!B27&lt;&gt;"",FT!E27,"")</f>
        <v>1 [10.132547]</v>
      </c>
      <c r="J27">
        <f>IF(FT!B27&lt;&gt;"",FT!C27,"")</f>
        <v>10.1325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40728</v>
      </c>
      <c r="D28" s="61">
        <f>FH!B28*1</f>
        <v>40728</v>
      </c>
      <c r="E28">
        <f t="shared" si="3"/>
        <v>26</v>
      </c>
      <c r="F28" s="61">
        <f>IF(FT!A28&lt;&gt;"",FT!A28*10,"")</f>
        <v>3.7922000000000002</v>
      </c>
      <c r="G28" s="61">
        <f>IF(FT!B28&lt;&gt;"",FT!B28*100,"")</f>
        <v>23.533899999999999</v>
      </c>
      <c r="H28" s="61">
        <f t="shared" si="1"/>
        <v>1</v>
      </c>
      <c r="I28" t="str">
        <f>IF(FT!B28&lt;&gt;"",FT!E28,"")</f>
        <v>1 [10.539512]</v>
      </c>
      <c r="J28">
        <f>IF(FT!B28&lt;&gt;"",FT!C28,"")</f>
        <v>10.5395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3.7753399999999999</v>
      </c>
      <c r="G29" s="61">
        <f>IF(FT!B29&lt;&gt;"",FT!B29*100,"")</f>
        <v>23.036000000000001</v>
      </c>
      <c r="H29" s="61">
        <f t="shared" si="1"/>
        <v>1</v>
      </c>
      <c r="I29" t="str">
        <f>IF(FT!B29&lt;&gt;"",FT!E29,"")</f>
        <v>1 [10.942296]</v>
      </c>
      <c r="J29">
        <f>IF(FT!B29&lt;&gt;"",FT!C29,"")</f>
        <v>10.942299999999999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3.7557499999999999</v>
      </c>
      <c r="G30" s="61">
        <f>IF(FT!B30&lt;&gt;"",FT!B30*100,"")</f>
        <v>22.470399999999998</v>
      </c>
      <c r="H30" s="61">
        <f t="shared" si="1"/>
        <v>1</v>
      </c>
      <c r="I30" t="str">
        <f>IF(FT!B30&lt;&gt;"",FT!E30,"")</f>
        <v>1 [11.349482]</v>
      </c>
      <c r="J30">
        <f>IF(FT!B30&lt;&gt;"",FT!C30,"")</f>
        <v>11.349500000000001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49004</v>
      </c>
      <c r="D31" s="61">
        <f>FH!B31*1</f>
        <v>49004</v>
      </c>
      <c r="E31">
        <f t="shared" si="3"/>
        <v>29</v>
      </c>
      <c r="F31" s="61">
        <f>IF(FT!A31&lt;&gt;"",FT!A31*10,"")</f>
        <v>3.7364100000000002</v>
      </c>
      <c r="G31" s="61">
        <f>IF(FT!B31&lt;&gt;"",FT!B31*100,"")</f>
        <v>21.9024</v>
      </c>
      <c r="H31" s="61">
        <f t="shared" si="1"/>
        <v>1</v>
      </c>
      <c r="I31" t="str">
        <f>IF(FT!B31&lt;&gt;"",FT!E31,"")</f>
        <v>1 [11.755177]</v>
      </c>
      <c r="J31">
        <f>IF(FT!B31&lt;&gt;"",FT!C31,"")</f>
        <v>11.7552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3.7169699999999999</v>
      </c>
      <c r="G32" s="61">
        <f>IF(FT!B32&lt;&gt;"",FT!B32*100,"")</f>
        <v>21.334600000000002</v>
      </c>
      <c r="H32" s="61">
        <f t="shared" si="1"/>
        <v>1</v>
      </c>
      <c r="I32" t="str">
        <f>IF(FT!B32&lt;&gt;"",FT!E32,"")</f>
        <v>1 [12.161003]</v>
      </c>
      <c r="J32">
        <f>IF(FT!B32&lt;&gt;"",FT!C32,"")</f>
        <v>12.161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57153</v>
      </c>
      <c r="D33" s="61">
        <f>FH!B33*1</f>
        <v>57153</v>
      </c>
      <c r="E33">
        <f t="shared" si="3"/>
        <v>31</v>
      </c>
      <c r="F33" s="61">
        <f>IF(FT!A33&lt;&gt;"",FT!A33*10,"")</f>
        <v>3.6986999999999997</v>
      </c>
      <c r="G33" s="61">
        <f>IF(FT!B33&lt;&gt;"",FT!B33*100,"")</f>
        <v>20.6845</v>
      </c>
      <c r="H33" s="61">
        <f t="shared" si="1"/>
        <v>1</v>
      </c>
      <c r="I33" t="str">
        <f>IF(FT!B33&lt;&gt;"",FT!E33,"")</f>
        <v>1 [12.569095]</v>
      </c>
      <c r="J33">
        <f>IF(FT!B33&lt;&gt;"",FT!C33,"")</f>
        <v>12.569100000000001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3.6822300000000001</v>
      </c>
      <c r="G34" s="61">
        <f>IF(FT!B34&lt;&gt;"",FT!B34*100,"")</f>
        <v>20.023800000000001</v>
      </c>
      <c r="H34" s="61">
        <f t="shared" si="1"/>
        <v>1</v>
      </c>
      <c r="I34" t="str">
        <f>IF(FT!B34&lt;&gt;"",FT!E34,"")</f>
        <v>1 [12.973137]</v>
      </c>
      <c r="J34">
        <f>IF(FT!B34&lt;&gt;"",FT!C34,"")</f>
        <v>12.973100000000001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3.66615</v>
      </c>
      <c r="G35" s="61">
        <f>IF(FT!B35&lt;&gt;"",FT!B35*100,"")</f>
        <v>19.3429</v>
      </c>
      <c r="H35" s="61">
        <f t="shared" si="1"/>
        <v>1</v>
      </c>
      <c r="I35" t="str">
        <f>IF(FT!B35&lt;&gt;"",FT!E35,"")</f>
        <v>1 [13.381982]</v>
      </c>
      <c r="J35">
        <f>IF(FT!B35&lt;&gt;"",FT!C35,"")</f>
        <v>13.382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68569</v>
      </c>
      <c r="D36" s="61">
        <f>FH!B36*1</f>
        <v>68569</v>
      </c>
      <c r="E36">
        <f t="shared" si="3"/>
        <v>34</v>
      </c>
      <c r="F36" s="61">
        <f>IF(FT!A36&lt;&gt;"",FT!A36*10,"")</f>
        <v>3.64947</v>
      </c>
      <c r="G36" s="61">
        <f>IF(FT!B36&lt;&gt;"",FT!B36*100,"")</f>
        <v>18.740100000000002</v>
      </c>
      <c r="H36" s="61">
        <f t="shared" si="1"/>
        <v>1</v>
      </c>
      <c r="I36" t="str">
        <f>IF(FT!B36&lt;&gt;"",FT!E36,"")</f>
        <v>1 [13.786733]</v>
      </c>
      <c r="J36">
        <f>IF(FT!B36&lt;&gt;"",FT!C36,"")</f>
        <v>13.7867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3.6389399999999998</v>
      </c>
      <c r="G37" s="61">
        <f>IF(FT!B37&lt;&gt;"",FT!B37*100,"")</f>
        <v>18.082899999999999</v>
      </c>
      <c r="H37" s="61">
        <f t="shared" si="1"/>
        <v>1</v>
      </c>
      <c r="I37" t="str">
        <f>IF(FT!B37&lt;&gt;"",FT!E37,"")</f>
        <v>1 [14.193656]</v>
      </c>
      <c r="J37">
        <f>IF(FT!B37&lt;&gt;"",FT!C37,"")</f>
        <v>14.1937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3.6313</v>
      </c>
      <c r="G38" s="61">
        <f>IF(FT!B38&lt;&gt;"",FT!B38*100,"")</f>
        <v>17.4772</v>
      </c>
      <c r="H38" s="61">
        <f t="shared" si="1"/>
        <v>1</v>
      </c>
      <c r="I38" t="str">
        <f>IF(FT!B38&lt;&gt;"",FT!E38,"")</f>
        <v>1 [14.602544]</v>
      </c>
      <c r="J38">
        <f>IF(FT!B38&lt;&gt;"",FT!C38,"")</f>
        <v>14.602499999999999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69409</v>
      </c>
      <c r="D39" s="61">
        <f>FH!B39*1</f>
        <v>69409</v>
      </c>
      <c r="E39">
        <f t="shared" si="3"/>
        <v>37</v>
      </c>
      <c r="F39" s="61">
        <f>IF(FT!A39&lt;&gt;"",FT!A39*10,"")</f>
        <v>3.6255600000000001</v>
      </c>
      <c r="G39" s="61">
        <f>IF(FT!B39&lt;&gt;"",FT!B39*100,"")</f>
        <v>16.971299999999999</v>
      </c>
      <c r="H39" s="61">
        <f t="shared" si="1"/>
        <v>1</v>
      </c>
      <c r="I39" t="str">
        <f>IF(FT!B39&lt;&gt;"",FT!E39,"")</f>
        <v>1 [15.004489]</v>
      </c>
      <c r="J39">
        <f>IF(FT!B39&lt;&gt;"",FT!C39,"")</f>
        <v>15.0045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3.6196099999999998</v>
      </c>
      <c r="G40" s="61">
        <f>IF(FT!B40&lt;&gt;"",FT!B40*100,"")</f>
        <v>16.533200000000001</v>
      </c>
      <c r="H40" s="61">
        <f t="shared" si="1"/>
        <v>1</v>
      </c>
      <c r="I40" t="str">
        <f>IF(FT!B40&lt;&gt;"",FT!E40,"")</f>
        <v>1 [15.413418]</v>
      </c>
      <c r="J40">
        <f>IF(FT!B40&lt;&gt;"",FT!C40,"")</f>
        <v>15.413399999999999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71312</v>
      </c>
      <c r="D41" s="61">
        <f>FH!B41*1</f>
        <v>71312</v>
      </c>
      <c r="E41">
        <f t="shared" si="3"/>
        <v>39</v>
      </c>
      <c r="F41" s="61">
        <f>IF(FT!A41&lt;&gt;"",FT!A41*10,"")</f>
        <v>3.6154099999999998</v>
      </c>
      <c r="G41" s="61">
        <f>IF(FT!B41&lt;&gt;"",FT!B41*100,"")</f>
        <v>16.194500000000001</v>
      </c>
      <c r="H41" s="61">
        <f t="shared" si="1"/>
        <v>1</v>
      </c>
      <c r="I41" t="str">
        <f>IF(FT!B41&lt;&gt;"",FT!E41,"")</f>
        <v>1 [15.817291]</v>
      </c>
      <c r="J41">
        <f>IF(FT!B41&lt;&gt;"",FT!C41,"")</f>
        <v>15.817299999999999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3.6144599999999998</v>
      </c>
      <c r="G42" s="61">
        <f>IF(FT!B42&lt;&gt;"",FT!B42*100,"")</f>
        <v>15.795999999999999</v>
      </c>
      <c r="H42" s="61">
        <f t="shared" si="1"/>
        <v>1</v>
      </c>
      <c r="I42" t="str">
        <f>IF(FT!B42&lt;&gt;"",FT!E42,"")</f>
        <v>1 [16.223559]</v>
      </c>
      <c r="J42">
        <f>IF(FT!B42&lt;&gt;"",FT!C42,"")</f>
        <v>16.223600000000001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3.6163400000000001</v>
      </c>
      <c r="G43" s="61">
        <f>IF(FT!B43&lt;&gt;"",FT!B43*100,"")</f>
        <v>15.462400000000001</v>
      </c>
      <c r="H43" s="61">
        <f t="shared" si="1"/>
        <v>1</v>
      </c>
      <c r="I43" t="str">
        <f>IF(FT!B43&lt;&gt;"",FT!E43,"")</f>
        <v>1 [16.627111]</v>
      </c>
      <c r="J43">
        <f>IF(FT!B43&lt;&gt;"",FT!C43,"")</f>
        <v>16.627099999999999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81724</v>
      </c>
      <c r="D44" s="61">
        <f>FH!B44*1</f>
        <v>81724</v>
      </c>
      <c r="E44">
        <f t="shared" si="3"/>
        <v>42</v>
      </c>
      <c r="F44" s="61">
        <f>IF(FT!A44&lt;&gt;"",FT!A44*10,"")</f>
        <v>3.6187200000000002</v>
      </c>
      <c r="G44" s="61">
        <f>IF(FT!B44&lt;&gt;"",FT!B44*100,"")</f>
        <v>15.018599999999999</v>
      </c>
      <c r="H44" s="61">
        <f t="shared" si="1"/>
        <v>1</v>
      </c>
      <c r="I44" t="str">
        <f>IF(FT!B44&lt;&gt;"",FT!E44,"")</f>
        <v>1 [17.034703]</v>
      </c>
      <c r="J44">
        <f>IF(FT!B44&lt;&gt;"",FT!C44,"")</f>
        <v>17.034700000000001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3.6237000000000004</v>
      </c>
      <c r="G45" s="61">
        <f>IF(FT!B45&lt;&gt;"",FT!B45*100,"")</f>
        <v>14.552999999999999</v>
      </c>
      <c r="H45" s="61">
        <f t="shared" si="1"/>
        <v>1</v>
      </c>
      <c r="I45" t="str">
        <f>IF(FT!B45&lt;&gt;"",FT!E45,"")</f>
        <v>1 [17.445190]</v>
      </c>
      <c r="J45">
        <f>IF(FT!B45&lt;&gt;"",FT!C45,"")</f>
        <v>17.4452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91190</v>
      </c>
      <c r="D46" s="61">
        <f>FH!B46*1</f>
        <v>91190</v>
      </c>
      <c r="E46">
        <f t="shared" si="3"/>
        <v>44</v>
      </c>
      <c r="F46" s="61">
        <f>IF(FT!A46&lt;&gt;"",FT!A46*10,"")</f>
        <v>3.6266500000000002</v>
      </c>
      <c r="G46" s="61">
        <f>IF(FT!B46&lt;&gt;"",FT!B46*100,"")</f>
        <v>14.2509</v>
      </c>
      <c r="H46" s="61">
        <f t="shared" si="1"/>
        <v>1</v>
      </c>
      <c r="I46" t="str">
        <f>IF(FT!B46&lt;&gt;"",FT!E46,"")</f>
        <v>1 [17.847892]</v>
      </c>
      <c r="J46">
        <f>IF(FT!B46&lt;&gt;"",FT!C46,"")</f>
        <v>17.847899999999999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3.63192</v>
      </c>
      <c r="G47" s="61">
        <f>IF(FT!B47&lt;&gt;"",FT!B47*100,"")</f>
        <v>13.940199999999999</v>
      </c>
      <c r="H47" s="61">
        <f t="shared" si="1"/>
        <v>1</v>
      </c>
      <c r="I47" t="str">
        <f>IF(FT!B47&lt;&gt;"",FT!E47,"")</f>
        <v>1 [18.252809]</v>
      </c>
      <c r="J47">
        <f>IF(FT!B47&lt;&gt;"",FT!C47,"")</f>
        <v>18.252800000000001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3.6372999999999998</v>
      </c>
      <c r="G48" s="61">
        <f>IF(FT!B48&lt;&gt;"",FT!B48*100,"")</f>
        <v>13.6464</v>
      </c>
      <c r="H48" s="61">
        <f t="shared" si="1"/>
        <v>1</v>
      </c>
      <c r="I48" t="str">
        <f>IF(FT!B48&lt;&gt;"",FT!E48,"")</f>
        <v>1 [18.662916]</v>
      </c>
      <c r="J48">
        <f>IF(FT!B48&lt;&gt;"",FT!C48,"")</f>
        <v>18.6629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89605</v>
      </c>
      <c r="D49" s="61">
        <f>FH!B49*1</f>
        <v>89605</v>
      </c>
      <c r="E49">
        <f t="shared" si="3"/>
        <v>47</v>
      </c>
      <c r="F49" s="61">
        <f>IF(FT!A49&lt;&gt;"",FT!A49*10,"")</f>
        <v>3.6425600000000005</v>
      </c>
      <c r="G49" s="61">
        <f>IF(FT!B49&lt;&gt;"",FT!B49*100,"")</f>
        <v>13.379099999999999</v>
      </c>
      <c r="H49" s="61">
        <f t="shared" si="1"/>
        <v>1</v>
      </c>
      <c r="I49" t="str">
        <f>IF(FT!B49&lt;&gt;"",FT!E49,"")</f>
        <v>1 [19.066607]</v>
      </c>
      <c r="J49">
        <f>IF(FT!B49&lt;&gt;"",FT!C49,"")</f>
        <v>19.066600000000001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3.6483500000000002</v>
      </c>
      <c r="G50" s="61">
        <f>IF(FT!B50&lt;&gt;"",FT!B50*100,"")</f>
        <v>13.061</v>
      </c>
      <c r="H50" s="61">
        <f t="shared" si="1"/>
        <v>1</v>
      </c>
      <c r="I50" t="str">
        <f>IF(FT!B50&lt;&gt;"",FT!E50,"")</f>
        <v>1 [19.476494]</v>
      </c>
      <c r="J50">
        <f>IF(FT!B50&lt;&gt;"",FT!C50,"")</f>
        <v>19.476500000000001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89334</v>
      </c>
      <c r="D51" s="61">
        <f>FH!B51*1</f>
        <v>89334</v>
      </c>
      <c r="E51">
        <f t="shared" si="3"/>
        <v>49</v>
      </c>
      <c r="F51" s="61">
        <f>IF(FT!A51&lt;&gt;"",FT!A51*10,"")</f>
        <v>3.6578100000000004</v>
      </c>
      <c r="G51" s="61">
        <f>IF(FT!B51&lt;&gt;"",FT!B51*100,"")</f>
        <v>12.7607</v>
      </c>
      <c r="H51" s="61">
        <f t="shared" si="1"/>
        <v>1</v>
      </c>
      <c r="I51" t="str">
        <f>IF(FT!B51&lt;&gt;"",FT!E51,"")</f>
        <v>1 [19.882452]</v>
      </c>
      <c r="J51">
        <f>IF(FT!B51&lt;&gt;"",FT!C51,"")</f>
        <v>19.8825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3.6640199999999998</v>
      </c>
      <c r="G52" s="61">
        <f>IF(FT!B52&lt;&gt;"",FT!B52*100,"")</f>
        <v>12.5288</v>
      </c>
      <c r="H52" s="61">
        <f t="shared" si="1"/>
        <v>1</v>
      </c>
      <c r="I52" t="str">
        <f>IF(FT!B52&lt;&gt;"",FT!E52,"")</f>
        <v>1 [20.283433]</v>
      </c>
      <c r="J52">
        <f>IF(FT!B52&lt;&gt;"",FT!C52,"")</f>
        <v>20.2834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3.6717200000000001</v>
      </c>
      <c r="G53" s="61">
        <f>IF(FT!B53&lt;&gt;"",FT!B53*100,"")</f>
        <v>12.4131</v>
      </c>
      <c r="H53" s="61">
        <f t="shared" si="1"/>
        <v>1</v>
      </c>
      <c r="I53" t="str">
        <f>IF(FT!B53&lt;&gt;"",FT!E53,"")</f>
        <v>1 [20.688130]</v>
      </c>
      <c r="J53">
        <f>IF(FT!B53&lt;&gt;"",FT!C53,"")</f>
        <v>20.688099999999999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98329</v>
      </c>
      <c r="D54" s="61">
        <f>FH!B54*1</f>
        <v>98329</v>
      </c>
      <c r="E54">
        <f t="shared" si="3"/>
        <v>52</v>
      </c>
      <c r="F54" s="61">
        <f>IF(FT!A54&lt;&gt;"",FT!A54*10,"")</f>
        <v>3.6779800000000002</v>
      </c>
      <c r="G54" s="61">
        <f>IF(FT!B54&lt;&gt;"",FT!B54*100,"")</f>
        <v>12.4292</v>
      </c>
      <c r="H54" s="61">
        <f t="shared" si="1"/>
        <v>1</v>
      </c>
      <c r="I54" t="str">
        <f>IF(FT!B54&lt;&gt;"",FT!E54,"")</f>
        <v>1 [21.100886]</v>
      </c>
      <c r="J54">
        <f>IF(FT!B54&lt;&gt;"",FT!C54,"")</f>
        <v>21.100899999999999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3.6833800000000001</v>
      </c>
      <c r="G55" s="61">
        <f>IF(FT!B55&lt;&gt;"",FT!B55*100,"")</f>
        <v>12.456100000000001</v>
      </c>
      <c r="H55" s="61">
        <f t="shared" si="1"/>
        <v>1</v>
      </c>
      <c r="I55" t="str">
        <f>IF(FT!B55&lt;&gt;"",FT!E55,"")</f>
        <v>1 [21.507184]</v>
      </c>
      <c r="J55">
        <f>IF(FT!B55&lt;&gt;"",FT!C55,"")</f>
        <v>21.507200000000001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3.6868299999999996</v>
      </c>
      <c r="G56" s="61">
        <f>IF(FT!B56&lt;&gt;"",FT!B56*100,"")</f>
        <v>12.4497</v>
      </c>
      <c r="H56" s="61">
        <f t="shared" si="1"/>
        <v>1</v>
      </c>
      <c r="I56" t="str">
        <f>IF(FT!B56&lt;&gt;"",FT!E56,"")</f>
        <v>1 [21.911177]</v>
      </c>
      <c r="J56">
        <f>IF(FT!B56&lt;&gt;"",FT!C56,"")</f>
        <v>21.911200000000001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99541</v>
      </c>
      <c r="D57" s="61">
        <f>FH!B57*1</f>
        <v>99541</v>
      </c>
      <c r="E57">
        <f t="shared" si="3"/>
        <v>55</v>
      </c>
      <c r="F57" s="61">
        <f>IF(FT!A57&lt;&gt;"",FT!A57*10,"")</f>
        <v>3.6874000000000002</v>
      </c>
      <c r="G57" s="61">
        <f>IF(FT!B57&lt;&gt;"",FT!B57*100,"")</f>
        <v>12.509899999999998</v>
      </c>
      <c r="H57" s="61">
        <f t="shared" si="1"/>
        <v>1</v>
      </c>
      <c r="I57" t="str">
        <f>IF(FT!B57&lt;&gt;"",FT!E57,"")</f>
        <v>1 [22.313698]</v>
      </c>
      <c r="J57">
        <f>IF(FT!B57&lt;&gt;"",FT!C57,"")</f>
        <v>22.313700000000001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3.6855500000000001</v>
      </c>
      <c r="G58" s="61">
        <f>IF(FT!B58&lt;&gt;"",FT!B58*100,"")</f>
        <v>12.541499999999999</v>
      </c>
      <c r="H58" s="61">
        <f t="shared" si="1"/>
        <v>1</v>
      </c>
      <c r="I58" t="str">
        <f>IF(FT!B58&lt;&gt;"",FT!E58,"")</f>
        <v>1 [22.725881]</v>
      </c>
      <c r="J58">
        <f>IF(FT!B58&lt;&gt;"",FT!C58,"")</f>
        <v>22.725899999999999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95072</v>
      </c>
      <c r="D59" s="61">
        <f>FH!B59*1</f>
        <v>95072</v>
      </c>
      <c r="E59">
        <f t="shared" si="3"/>
        <v>57</v>
      </c>
      <c r="F59" s="61">
        <f>IF(FT!A59&lt;&gt;"",FT!A59*10,"")</f>
        <v>3.6808100000000001</v>
      </c>
      <c r="G59" s="61">
        <f>IF(FT!B59&lt;&gt;"",FT!B59*100,"")</f>
        <v>12.687200000000001</v>
      </c>
      <c r="H59" s="61">
        <f t="shared" si="1"/>
        <v>1</v>
      </c>
      <c r="I59" t="str">
        <f>IF(FT!B59&lt;&gt;"",FT!E59,"")</f>
        <v>1 [23.126772]</v>
      </c>
      <c r="J59">
        <f>IF(FT!B59&lt;&gt;"",FT!C59,"")</f>
        <v>23.126799999999999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3.6800899999999999</v>
      </c>
      <c r="G60" s="61">
        <f>IF(FT!B60&lt;&gt;"",FT!B60*100,"")</f>
        <v>12.7691</v>
      </c>
      <c r="H60" s="61">
        <f t="shared" si="1"/>
        <v>1</v>
      </c>
      <c r="I60" t="str">
        <f>IF(FT!B60&lt;&gt;"",FT!E60,"")</f>
        <v>1 [23.534668]</v>
      </c>
      <c r="J60">
        <f>IF(FT!B60&lt;&gt;"",FT!C60,"")</f>
        <v>23.534700000000001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3.6823899999999998</v>
      </c>
      <c r="G61" s="61">
        <f>IF(FT!B61&lt;&gt;"",FT!B61*100,"")</f>
        <v>12.82</v>
      </c>
      <c r="H61" s="61">
        <f t="shared" si="1"/>
        <v>1</v>
      </c>
      <c r="I61" t="str">
        <f>IF(FT!B61&lt;&gt;"",FT!E61,"")</f>
        <v>1 [23.941005]</v>
      </c>
      <c r="J61">
        <f>IF(FT!B61&lt;&gt;"",FT!C61,"")</f>
        <v>23.940999999999999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103811</v>
      </c>
      <c r="D62" s="61">
        <f>FH!B62*1</f>
        <v>103811</v>
      </c>
      <c r="E62">
        <f t="shared" si="3"/>
        <v>60</v>
      </c>
      <c r="F62" s="61">
        <f>IF(FT!A62&lt;&gt;"",FT!A62*10,"")</f>
        <v>3.6834800000000003</v>
      </c>
      <c r="G62" s="61">
        <f>IF(FT!B62&lt;&gt;"",FT!B62*100,"")</f>
        <v>12.8185</v>
      </c>
      <c r="H62" s="61">
        <f t="shared" si="1"/>
        <v>1</v>
      </c>
      <c r="I62" t="str">
        <f>IF(FT!B62&lt;&gt;"",FT!E62,"")</f>
        <v>1 [24.348625]</v>
      </c>
      <c r="J62">
        <f>IF(FT!B62&lt;&gt;"",FT!C62,"")</f>
        <v>24.348600000000001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3.6859399999999996</v>
      </c>
      <c r="G63" s="61">
        <f>IF(FT!B63&lt;&gt;"",FT!B63*100,"")</f>
        <v>12.6699</v>
      </c>
      <c r="H63" s="61">
        <f t="shared" si="1"/>
        <v>1</v>
      </c>
      <c r="I63" t="str">
        <f>IF(FT!B63&lt;&gt;"",FT!E63,"")</f>
        <v>1 [24.755428]</v>
      </c>
      <c r="J63">
        <f>IF(FT!B63&lt;&gt;"",FT!C63,"")</f>
        <v>24.755400000000002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100619</v>
      </c>
      <c r="D64" s="61">
        <f>FH!B64*1</f>
        <v>100619</v>
      </c>
      <c r="E64">
        <f t="shared" si="3"/>
        <v>62</v>
      </c>
      <c r="F64" s="61">
        <f>IF(FT!A64&lt;&gt;"",FT!A64*10,"")</f>
        <v>3.68912</v>
      </c>
      <c r="G64" s="61">
        <f>IF(FT!B64&lt;&gt;"",FT!B64*100,"")</f>
        <v>12.4678</v>
      </c>
      <c r="H64" s="61">
        <f t="shared" si="1"/>
        <v>1</v>
      </c>
      <c r="I64" t="str">
        <f>IF(FT!B64&lt;&gt;"",FT!E64,"")</f>
        <v>1 [25.162293]</v>
      </c>
      <c r="J64">
        <f>IF(FT!B64&lt;&gt;"",FT!C64,"")</f>
        <v>25.162299999999998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3.6883700000000004</v>
      </c>
      <c r="G65" s="61">
        <f>IF(FT!B65&lt;&gt;"",FT!B65*100,"")</f>
        <v>12.2562</v>
      </c>
      <c r="H65" s="61">
        <f t="shared" si="1"/>
        <v>1</v>
      </c>
      <c r="I65" t="str">
        <f>IF(FT!B65&lt;&gt;"",FT!E65,"")</f>
        <v>1 [25.565246]</v>
      </c>
      <c r="J65">
        <f>IF(FT!B65&lt;&gt;"",FT!C65,"")</f>
        <v>25.565200000000001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3.6875799999999996</v>
      </c>
      <c r="G66" s="61">
        <f>IF(FT!B66&lt;&gt;"",FT!B66*100,"")</f>
        <v>11.9406</v>
      </c>
      <c r="H66" s="61">
        <f t="shared" si="1"/>
        <v>1</v>
      </c>
      <c r="I66" t="str">
        <f>IF(FT!B66&lt;&gt;"",FT!E66,"")</f>
        <v>1 [25.974092]</v>
      </c>
      <c r="J66">
        <f>IF(FT!B66&lt;&gt;"",FT!C66,"")</f>
        <v>25.9741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96519</v>
      </c>
      <c r="D67" s="61">
        <f>FH!B67*1</f>
        <v>96519</v>
      </c>
      <c r="E67">
        <f t="shared" si="3"/>
        <v>65</v>
      </c>
      <c r="F67" s="61">
        <f>IF(FT!A67&lt;&gt;"",FT!A67*10,"")</f>
        <v>3.6847300000000001</v>
      </c>
      <c r="G67" s="61">
        <f>IF(FT!B67&lt;&gt;"",FT!B67*100,"")</f>
        <v>11.710099999999999</v>
      </c>
      <c r="H67" s="61">
        <f t="shared" ref="H67:H130" si="9">(IF(F67&lt;&gt;"",1,""))</f>
        <v>1</v>
      </c>
      <c r="I67" t="str">
        <f>IF(FT!B67&lt;&gt;"",FT!E67,"")</f>
        <v>1 [26.378231]</v>
      </c>
      <c r="J67">
        <f>IF(FT!B67&lt;&gt;"",FT!C67,"")</f>
        <v>26.3782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3.6810799999999997</v>
      </c>
      <c r="G68" s="61">
        <f>IF(FT!B68&lt;&gt;"",FT!B68*100,"")</f>
        <v>11.4618</v>
      </c>
      <c r="H68" s="61">
        <f t="shared" si="9"/>
        <v>1</v>
      </c>
      <c r="I68" t="str">
        <f>IF(FT!B68&lt;&gt;"",FT!E68,"")</f>
        <v>1 [26.784585]</v>
      </c>
      <c r="J68">
        <f>IF(FT!B68&lt;&gt;"",FT!C68,"")</f>
        <v>26.784600000000001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105661</v>
      </c>
      <c r="D69" s="61">
        <f>FH!B69*1</f>
        <v>105661</v>
      </c>
      <c r="E69">
        <f t="shared" si="11"/>
        <v>67</v>
      </c>
      <c r="F69" s="61">
        <f>IF(FT!A69&lt;&gt;"",FT!A69*10,"")</f>
        <v>3.6771500000000001</v>
      </c>
      <c r="G69" s="61">
        <f>IF(FT!B69&lt;&gt;"",FT!B69*100,"")</f>
        <v>11.1433</v>
      </c>
      <c r="H69" s="61">
        <f t="shared" si="9"/>
        <v>1</v>
      </c>
      <c r="I69" t="str">
        <f>IF(FT!B69&lt;&gt;"",FT!E69,"")</f>
        <v>1 [27.195932]</v>
      </c>
      <c r="J69">
        <f>IF(FT!B69&lt;&gt;"",FT!C69,"")</f>
        <v>27.195900000000002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3.67381</v>
      </c>
      <c r="G70" s="61">
        <f>IF(FT!B70&lt;&gt;"",FT!B70*100,"")</f>
        <v>10.855499999999999</v>
      </c>
      <c r="H70" s="61">
        <f t="shared" si="9"/>
        <v>1</v>
      </c>
      <c r="I70" t="str">
        <f>IF(FT!B70&lt;&gt;"",FT!E70,"")</f>
        <v>1 [27.595840]</v>
      </c>
      <c r="J70">
        <f>IF(FT!B70&lt;&gt;"",FT!C70,"")</f>
        <v>27.595800000000001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3.67157</v>
      </c>
      <c r="G71" s="61">
        <f>IF(FT!B71&lt;&gt;"",FT!B71*100,"")</f>
        <v>10.5632</v>
      </c>
      <c r="H71" s="61">
        <f t="shared" si="9"/>
        <v>1</v>
      </c>
      <c r="I71" t="str">
        <f>IF(FT!B71&lt;&gt;"",FT!E71,"")</f>
        <v>1 [28.007548]</v>
      </c>
      <c r="J71">
        <f>IF(FT!B71&lt;&gt;"",FT!C71,"")</f>
        <v>28.0075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106217</v>
      </c>
      <c r="D72" s="61">
        <f>FH!B72*1</f>
        <v>106217</v>
      </c>
      <c r="E72">
        <f t="shared" si="11"/>
        <v>70</v>
      </c>
      <c r="F72" s="61">
        <f>IF(FT!A72&lt;&gt;"",FT!A72*10,"")</f>
        <v>3.66622</v>
      </c>
      <c r="G72" s="61">
        <f>IF(FT!B72&lt;&gt;"",FT!B72*100,"")</f>
        <v>10.282</v>
      </c>
      <c r="H72" s="61">
        <f t="shared" si="9"/>
        <v>1</v>
      </c>
      <c r="I72" t="str">
        <f>IF(FT!B72&lt;&gt;"",FT!E72,"")</f>
        <v>1 [28.410632]</v>
      </c>
      <c r="J72">
        <f>IF(FT!B72&lt;&gt;"",FT!C72,"")</f>
        <v>28.410599999999999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3.65855</v>
      </c>
      <c r="G73" s="61">
        <f>IF(FT!B73&lt;&gt;"",FT!B73*100,"")</f>
        <v>10.025399999999999</v>
      </c>
      <c r="H73" s="61">
        <f t="shared" si="9"/>
        <v>1</v>
      </c>
      <c r="I73" t="str">
        <f>IF(FT!B73&lt;&gt;"",FT!E73,"")</f>
        <v>1 [28.813572]</v>
      </c>
      <c r="J73">
        <f>IF(FT!B73&lt;&gt;"",FT!C73,"")</f>
        <v>28.813600000000001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3.6502600000000003</v>
      </c>
      <c r="G74" s="61">
        <f>IF(FT!B74&lt;&gt;"",FT!B74*100,"")</f>
        <v>9.8184699999999996</v>
      </c>
      <c r="H74" s="61">
        <f t="shared" si="9"/>
        <v>1</v>
      </c>
      <c r="I74" t="str">
        <f>IF(FT!B74&lt;&gt;"",FT!E74,"")</f>
        <v>1 [29.222562]</v>
      </c>
      <c r="J74">
        <f>IF(FT!B74&lt;&gt;"",FT!C74,"")</f>
        <v>29.2226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110539</v>
      </c>
      <c r="D75" s="61">
        <f>FH!B75*1</f>
        <v>110539</v>
      </c>
      <c r="E75">
        <f t="shared" si="11"/>
        <v>73</v>
      </c>
      <c r="F75" s="61">
        <f>IF(FT!A75&lt;&gt;"",FT!A75*10,"")</f>
        <v>3.6391299999999998</v>
      </c>
      <c r="G75" s="61">
        <f>IF(FT!B75&lt;&gt;"",FT!B75*100,"")</f>
        <v>9.6465399999999999</v>
      </c>
      <c r="H75" s="61">
        <f t="shared" si="9"/>
        <v>1</v>
      </c>
      <c r="I75" t="str">
        <f>IF(FT!B75&lt;&gt;"",FT!E75,"")</f>
        <v>1 [29.627344]</v>
      </c>
      <c r="J75">
        <f>IF(FT!B75&lt;&gt;"",FT!C75,"")</f>
        <v>29.627300000000002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3.6275499999999998</v>
      </c>
      <c r="G76" s="61">
        <f>IF(FT!B76&lt;&gt;"",FT!B76*100,"")</f>
        <v>9.5782799999999995</v>
      </c>
      <c r="H76" s="61">
        <f t="shared" si="9"/>
        <v>1</v>
      </c>
      <c r="I76" t="str">
        <f>IF(FT!B76&lt;&gt;"",FT!E76,"")</f>
        <v>2 [30.033051]</v>
      </c>
      <c r="J76">
        <f>IF(FT!B76&lt;&gt;"",FT!C76,"")</f>
        <v>30.033100000000001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106411</v>
      </c>
      <c r="D77" s="61">
        <f>FH!B77*1</f>
        <v>106411</v>
      </c>
      <c r="E77">
        <f t="shared" si="11"/>
        <v>75</v>
      </c>
      <c r="F77" s="61">
        <f>IF(FT!A77&lt;&gt;"",FT!A77*10,"")</f>
        <v>3.6238599999999996</v>
      </c>
      <c r="G77" s="61">
        <f>IF(FT!B77&lt;&gt;"",FT!B77*100,"")</f>
        <v>9.4835399999999996</v>
      </c>
      <c r="H77" s="61">
        <f t="shared" si="9"/>
        <v>1</v>
      </c>
      <c r="I77" t="str">
        <f>IF(FT!B77&lt;&gt;"",FT!E77,"")</f>
        <v>2 [30.614895]</v>
      </c>
      <c r="J77">
        <f>IF(FT!B77&lt;&gt;"",FT!C77,"")</f>
        <v>30.614899999999999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3.6212200000000001</v>
      </c>
      <c r="G78" s="61">
        <f>IF(FT!B78&lt;&gt;"",FT!B78*100,"")</f>
        <v>9.29284</v>
      </c>
      <c r="H78" s="61">
        <f t="shared" si="9"/>
        <v>1</v>
      </c>
      <c r="I78" t="str">
        <f>IF(FT!B78&lt;&gt;"",FT!E78,"")</f>
        <v>2 [30.992781]</v>
      </c>
      <c r="J78">
        <f>IF(FT!B78&lt;&gt;"",FT!C78,"")</f>
        <v>30.992799999999999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3.6193499999999998</v>
      </c>
      <c r="G79" s="61">
        <f>IF(FT!B79&lt;&gt;"",FT!B79*100,"")</f>
        <v>9.1538500000000003</v>
      </c>
      <c r="H79" s="61">
        <f t="shared" si="9"/>
        <v>1</v>
      </c>
      <c r="I79" t="str">
        <f>IF(FT!B79&lt;&gt;"",FT!E79,"")</f>
        <v>2 [31.364801]</v>
      </c>
      <c r="J79">
        <f>IF(FT!B79&lt;&gt;"",FT!C79,"")</f>
        <v>31.364799999999999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106729</v>
      </c>
      <c r="D80" s="61">
        <f>FH!B80*1</f>
        <v>106729</v>
      </c>
      <c r="E80">
        <f t="shared" si="11"/>
        <v>78</v>
      </c>
      <c r="F80" s="61">
        <f>IF(FT!A80&lt;&gt;"",FT!A80*10,"")</f>
        <v>3.6171799999999998</v>
      </c>
      <c r="G80" s="61">
        <f>IF(FT!B80&lt;&gt;"",FT!B80*100,"")</f>
        <v>9.0822200000000013</v>
      </c>
      <c r="H80" s="61">
        <f t="shared" si="9"/>
        <v>1</v>
      </c>
      <c r="I80" t="str">
        <f>IF(FT!B80&lt;&gt;"",FT!E80,"")</f>
        <v>2 [31.741776]</v>
      </c>
      <c r="J80">
        <f>IF(FT!B80&lt;&gt;"",FT!C80,"")</f>
        <v>31.741800000000001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3.6180699999999999</v>
      </c>
      <c r="G81" s="61">
        <f>IF(FT!B81&lt;&gt;"",FT!B81*100,"")</f>
        <v>8.9053100000000001</v>
      </c>
      <c r="H81" s="61">
        <f t="shared" si="9"/>
        <v>1</v>
      </c>
      <c r="I81" t="str">
        <f>IF(FT!B81&lt;&gt;"",FT!E81,"")</f>
        <v>2 [32.126882]</v>
      </c>
      <c r="J81">
        <f>IF(FT!B81&lt;&gt;"",FT!C81,"")</f>
        <v>32.126899999999999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102135</v>
      </c>
      <c r="D82" s="61">
        <f>FH!B82*1</f>
        <v>102135</v>
      </c>
      <c r="E82">
        <f t="shared" si="11"/>
        <v>80</v>
      </c>
      <c r="F82" s="61">
        <f>IF(FT!A82&lt;&gt;"",FT!A82*10,"")</f>
        <v>3.6209999999999996</v>
      </c>
      <c r="G82" s="61">
        <f>IF(FT!B82&lt;&gt;"",FT!B82*100,"")</f>
        <v>8.7626600000000003</v>
      </c>
      <c r="H82" s="61">
        <f t="shared" si="9"/>
        <v>1</v>
      </c>
      <c r="I82" t="str">
        <f>IF(FT!B82&lt;&gt;"",FT!E82,"")</f>
        <v>2 [32.536607]</v>
      </c>
      <c r="J82">
        <f>IF(FT!B82&lt;&gt;"",FT!C82,"")</f>
        <v>32.5366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3.6257099999999998</v>
      </c>
      <c r="G83" s="61">
        <f>IF(FT!B83&lt;&gt;"",FT!B83*100,"")</f>
        <v>8.6318699999999993</v>
      </c>
      <c r="H83" s="61">
        <f t="shared" si="9"/>
        <v>1</v>
      </c>
      <c r="I83" t="str">
        <f>IF(FT!B83&lt;&gt;"",FT!E83,"")</f>
        <v>2 [32.939759]</v>
      </c>
      <c r="J83">
        <f>IF(FT!B83&lt;&gt;"",FT!C83,"")</f>
        <v>32.939799999999998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3.6311</v>
      </c>
      <c r="G84" s="61">
        <f>IF(FT!B84&lt;&gt;"",FT!B84*100,"")</f>
        <v>8.3964499999999997</v>
      </c>
      <c r="H84" s="61">
        <f t="shared" si="9"/>
        <v>1</v>
      </c>
      <c r="I84" t="str">
        <f>IF(FT!B84&lt;&gt;"",FT!E84,"")</f>
        <v>2 [33.347402]</v>
      </c>
      <c r="J84">
        <f>IF(FT!B84&lt;&gt;"",FT!C84,"")</f>
        <v>33.3474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97999</v>
      </c>
      <c r="D85" s="61">
        <f>FH!B85*1</f>
        <v>97999</v>
      </c>
      <c r="E85">
        <f t="shared" si="11"/>
        <v>83</v>
      </c>
      <c r="F85" s="61">
        <f>IF(FT!A85&lt;&gt;"",FT!A85*10,"")</f>
        <v>3.6352500000000001</v>
      </c>
      <c r="G85" s="61">
        <f>IF(FT!B85&lt;&gt;"",FT!B85*100,"")</f>
        <v>8.219619999999999</v>
      </c>
      <c r="H85" s="61">
        <f t="shared" si="9"/>
        <v>1</v>
      </c>
      <c r="I85" t="str">
        <f>IF(FT!B85&lt;&gt;"",FT!E85,"")</f>
        <v>2 [33.755431]</v>
      </c>
      <c r="J85">
        <f>IF(FT!B85&lt;&gt;"",FT!C85,"")</f>
        <v>33.755400000000002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3.6379699999999997</v>
      </c>
      <c r="G86" s="61">
        <f>IF(FT!B86&lt;&gt;"",FT!B86*100,"")</f>
        <v>8.0097000000000005</v>
      </c>
      <c r="H86" s="61">
        <f t="shared" si="9"/>
        <v>1</v>
      </c>
      <c r="I86" t="str">
        <f>IF(FT!B86&lt;&gt;"",FT!E86,"")</f>
        <v>2 [34.162270]</v>
      </c>
      <c r="J86">
        <f>IF(FT!B86&lt;&gt;"",FT!C86,"")</f>
        <v>34.162300000000002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3.6370999999999998</v>
      </c>
      <c r="G87" s="61">
        <f>IF(FT!B87&lt;&gt;"",FT!B87*100,"")</f>
        <v>7.859770000000001</v>
      </c>
      <c r="H87" s="61">
        <f t="shared" si="9"/>
        <v>1</v>
      </c>
      <c r="I87" t="str">
        <f>IF(FT!B87&lt;&gt;"",FT!E87,"")</f>
        <v>2 [34.571177]</v>
      </c>
      <c r="J87">
        <f>IF(FT!B87&lt;&gt;"",FT!C87,"")</f>
        <v>34.571199999999997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103832</v>
      </c>
      <c r="D88" s="61">
        <f>FH!B88*1</f>
        <v>103832</v>
      </c>
      <c r="E88">
        <f t="shared" si="11"/>
        <v>86</v>
      </c>
      <c r="F88" s="61">
        <f>IF(FT!A88&lt;&gt;"",FT!A88*10,"")</f>
        <v>3.6334400000000002</v>
      </c>
      <c r="G88" s="61">
        <f>IF(FT!B88&lt;&gt;"",FT!B88*100,"")</f>
        <v>7.63842</v>
      </c>
      <c r="H88" s="61">
        <f t="shared" si="9"/>
        <v>1</v>
      </c>
      <c r="I88" t="str">
        <f>IF(FT!B88&lt;&gt;"",FT!E88,"")</f>
        <v>2 [34.971153]</v>
      </c>
      <c r="J88">
        <f>IF(FT!B88&lt;&gt;"",FT!C88,"")</f>
        <v>34.971200000000003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3.6273</v>
      </c>
      <c r="G89" s="61">
        <f>IF(FT!B89&lt;&gt;"",FT!B89*100,"")</f>
        <v>7.4454400000000005</v>
      </c>
      <c r="H89" s="61">
        <f t="shared" si="9"/>
        <v>1</v>
      </c>
      <c r="I89" t="str">
        <f>IF(FT!B89&lt;&gt;"",FT!E89,"")</f>
        <v>2 [35.379186]</v>
      </c>
      <c r="J89">
        <f>IF(FT!B89&lt;&gt;"",FT!C89,"")</f>
        <v>35.379199999999997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94629</v>
      </c>
      <c r="D90" s="61">
        <f>FH!B90*1</f>
        <v>94629</v>
      </c>
      <c r="E90">
        <f t="shared" si="11"/>
        <v>88</v>
      </c>
      <c r="F90" s="61">
        <f>IF(FT!A90&lt;&gt;"",FT!A90*10,"")</f>
        <v>3.62384</v>
      </c>
      <c r="G90" s="61">
        <f>IF(FT!B90&lt;&gt;"",FT!B90*100,"")</f>
        <v>7.1132699999999991</v>
      </c>
      <c r="H90" s="61">
        <f t="shared" si="9"/>
        <v>1</v>
      </c>
      <c r="I90" t="str">
        <f>IF(FT!B90&lt;&gt;"",FT!E90,"")</f>
        <v>2 [35.787995]</v>
      </c>
      <c r="J90">
        <f>IF(FT!B90&lt;&gt;"",FT!C90,"")</f>
        <v>35.787999999999997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3.6156999999999999</v>
      </c>
      <c r="G91" s="61">
        <f>IF(FT!B91&lt;&gt;"",FT!B91*100,"")</f>
        <v>6.932290000000001</v>
      </c>
      <c r="H91" s="61">
        <f t="shared" si="9"/>
        <v>1</v>
      </c>
      <c r="I91" t="str">
        <f>IF(FT!B91&lt;&gt;"",FT!E91,"")</f>
        <v>2 [36.191856]</v>
      </c>
      <c r="J91">
        <f>IF(FT!B91&lt;&gt;"",FT!C91,"")</f>
        <v>36.191899999999997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3.6078399999999999</v>
      </c>
      <c r="G92" s="61">
        <f>IF(FT!B92&lt;&gt;"",FT!B92*100,"")</f>
        <v>6.6395800000000005</v>
      </c>
      <c r="H92" s="61">
        <f t="shared" si="9"/>
        <v>1</v>
      </c>
      <c r="I92" t="str">
        <f>IF(FT!B92&lt;&gt;"",FT!E92,"")</f>
        <v>2 [36.599073]</v>
      </c>
      <c r="J92">
        <f>IF(FT!B92&lt;&gt;"",FT!C92,"")</f>
        <v>36.5991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95260</v>
      </c>
      <c r="D93" s="61">
        <f>FH!B93*1</f>
        <v>95260</v>
      </c>
      <c r="E93">
        <f t="shared" si="11"/>
        <v>91</v>
      </c>
      <c r="F93" s="61">
        <f>IF(FT!A93&lt;&gt;"",FT!A93*10,"")</f>
        <v>3.59659</v>
      </c>
      <c r="G93" s="61">
        <f>IF(FT!B93&lt;&gt;"",FT!B93*100,"")</f>
        <v>6.4163300000000003</v>
      </c>
      <c r="H93" s="61">
        <f t="shared" si="9"/>
        <v>1</v>
      </c>
      <c r="I93" t="str">
        <f>IF(FT!B93&lt;&gt;"",FT!E93,"")</f>
        <v>2 [37.003708]</v>
      </c>
      <c r="J93">
        <f>IF(FT!B93&lt;&gt;"",FT!C93,"")</f>
        <v>37.003700000000002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3.5790800000000003</v>
      </c>
      <c r="G94" s="61">
        <f>IF(FT!B94&lt;&gt;"",FT!B94*100,"")</f>
        <v>6.3110799999999996</v>
      </c>
      <c r="H94" s="61">
        <f t="shared" si="9"/>
        <v>1</v>
      </c>
      <c r="I94" t="str">
        <f>IF(FT!B94&lt;&gt;"",FT!E94,"")</f>
        <v>2 [37.412589]</v>
      </c>
      <c r="J94">
        <f>IF(FT!B94&lt;&gt;"",FT!C94,"")</f>
        <v>37.412599999999998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94748</v>
      </c>
      <c r="D95" s="61">
        <f>FH!B95*1</f>
        <v>94748</v>
      </c>
      <c r="E95">
        <f t="shared" si="11"/>
        <v>93</v>
      </c>
      <c r="F95" s="61">
        <f>IF(FT!A95&lt;&gt;"",FT!A95*10,"")</f>
        <v>3.55823</v>
      </c>
      <c r="G95" s="61">
        <f>IF(FT!B95&lt;&gt;"",FT!B95*100,"")</f>
        <v>6.1483699999999999</v>
      </c>
      <c r="H95" s="61">
        <f t="shared" si="9"/>
        <v>1</v>
      </c>
      <c r="I95" t="str">
        <f>IF(FT!B95&lt;&gt;"",FT!E95,"")</f>
        <v>2 [37.818521]</v>
      </c>
      <c r="J95">
        <f>IF(FT!B95&lt;&gt;"",FT!C95,"")</f>
        <v>37.8185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3.5358200000000002</v>
      </c>
      <c r="G96" s="61">
        <f>IF(FT!B96&lt;&gt;"",FT!B96*100,"")</f>
        <v>5.9183500000000002</v>
      </c>
      <c r="H96" s="61">
        <f t="shared" si="9"/>
        <v>1</v>
      </c>
      <c r="I96" t="str">
        <f>IF(FT!B96&lt;&gt;"",FT!E96,"")</f>
        <v>2 [38.223663]</v>
      </c>
      <c r="J96">
        <f>IF(FT!B96&lt;&gt;"",FT!C96,"")</f>
        <v>38.223700000000001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3.5123199999999999</v>
      </c>
      <c r="G97" s="61">
        <f>IF(FT!B97&lt;&gt;"",FT!B97*100,"")</f>
        <v>5.6293699999999998</v>
      </c>
      <c r="H97" s="61">
        <f t="shared" si="9"/>
        <v>1</v>
      </c>
      <c r="I97" t="str">
        <f>IF(FT!B97&lt;&gt;"",FT!E97,"")</f>
        <v>2 [38.629542]</v>
      </c>
      <c r="J97">
        <f>IF(FT!B97&lt;&gt;"",FT!C97,"")</f>
        <v>38.6295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87781</v>
      </c>
      <c r="D98" s="61">
        <f>FH!B98*1</f>
        <v>87781</v>
      </c>
      <c r="E98">
        <f t="shared" si="11"/>
        <v>96</v>
      </c>
      <c r="F98" s="61">
        <f>IF(FT!A98&lt;&gt;"",FT!A98*10,"")</f>
        <v>3.49031</v>
      </c>
      <c r="G98" s="61">
        <f>IF(FT!B98&lt;&gt;"",FT!B98*100,"")</f>
        <v>5.3234499999999993</v>
      </c>
      <c r="H98" s="61">
        <f t="shared" si="9"/>
        <v>1</v>
      </c>
      <c r="I98" t="str">
        <f>IF(FT!B98&lt;&gt;"",FT!E98,"")</f>
        <v>2 [39.036250]</v>
      </c>
      <c r="J98">
        <f>IF(FT!B98&lt;&gt;"",FT!C98,"")</f>
        <v>39.036200000000001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3.4688699999999999</v>
      </c>
      <c r="G99" s="61">
        <f>IF(FT!B99&lt;&gt;"",FT!B99*100,"")</f>
        <v>4.8937900000000001</v>
      </c>
      <c r="H99" s="61">
        <f t="shared" si="9"/>
        <v>1</v>
      </c>
      <c r="I99" t="str">
        <f>IF(FT!B99&lt;&gt;"",FT!E99,"")</f>
        <v>2 [39.444222]</v>
      </c>
      <c r="J99">
        <f>IF(FT!B99&lt;&gt;"",FT!C99,"")</f>
        <v>39.444200000000002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86185</v>
      </c>
      <c r="D100" s="61">
        <f>FH!B100*1</f>
        <v>86185</v>
      </c>
      <c r="E100">
        <f t="shared" si="11"/>
        <v>98</v>
      </c>
      <c r="F100" s="61">
        <f>IF(FT!A100&lt;&gt;"",FT!A100*10,"")</f>
        <v>3.4465699999999999</v>
      </c>
      <c r="G100" s="61">
        <f>IF(FT!B100&lt;&gt;"",FT!B100*100,"")</f>
        <v>4.50326</v>
      </c>
      <c r="H100" s="61">
        <f t="shared" si="9"/>
        <v>1</v>
      </c>
      <c r="I100" t="str">
        <f>IF(FT!B100&lt;&gt;"",FT!E100,"")</f>
        <v>2 [39.848123]</v>
      </c>
      <c r="J100">
        <f>IF(FT!B100&lt;&gt;"",FT!C100,"")</f>
        <v>39.848100000000002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3.42157</v>
      </c>
      <c r="G101" s="61">
        <f>IF(FT!B101&lt;&gt;"",FT!B101*100,"")</f>
        <v>4.01152</v>
      </c>
      <c r="H101" s="61">
        <f t="shared" si="9"/>
        <v>1</v>
      </c>
      <c r="I101" t="str">
        <f>IF(FT!B101&lt;&gt;"",FT!E101,"")</f>
        <v>2 [40.253989]</v>
      </c>
      <c r="J101">
        <f>IF(FT!B101&lt;&gt;"",FT!C101,"")</f>
        <v>40.253999999999998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3.3942899999999998</v>
      </c>
      <c r="G102" s="61">
        <f>IF(FT!B102&lt;&gt;"",FT!B102*100,"")</f>
        <v>3.4397499999999996</v>
      </c>
      <c r="H102" s="61">
        <f t="shared" si="9"/>
        <v>1</v>
      </c>
      <c r="I102" t="str">
        <f>IF(FT!B102&lt;&gt;"",FT!E102,"")</f>
        <v>2 [40.661210]</v>
      </c>
      <c r="J102">
        <f>IF(FT!B102&lt;&gt;"",FT!C102,"")</f>
        <v>40.661200000000001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83121</v>
      </c>
      <c r="D103" s="61">
        <f>FH!B103*1</f>
        <v>83121</v>
      </c>
      <c r="E103">
        <f t="shared" si="11"/>
        <v>101</v>
      </c>
      <c r="F103" s="61">
        <f>IF(FT!A103&lt;&gt;"",FT!A103*10,"")</f>
        <v>3.36727</v>
      </c>
      <c r="G103" s="61">
        <f>IF(FT!B103&lt;&gt;"",FT!B103*100,"")</f>
        <v>2.8880300000000001</v>
      </c>
      <c r="H103" s="61">
        <f t="shared" si="9"/>
        <v>1</v>
      </c>
      <c r="I103" t="str">
        <f>IF(FT!B103&lt;&gt;"",FT!E103,"")</f>
        <v>2 [41.071905]</v>
      </c>
      <c r="J103">
        <f>IF(FT!B103&lt;&gt;"",FT!C103,"")</f>
        <v>41.071899999999999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3.3417699999999999</v>
      </c>
      <c r="G104" s="61">
        <f>IF(FT!B104&lt;&gt;"",FT!B104*100,"")</f>
        <v>2.3223400000000001</v>
      </c>
      <c r="H104" s="61">
        <f t="shared" si="9"/>
        <v>1</v>
      </c>
      <c r="I104" t="str">
        <f>IF(FT!B104&lt;&gt;"",FT!E104,"")</f>
        <v>2 [41.471848]</v>
      </c>
      <c r="J104">
        <f>IF(FT!B104&lt;&gt;"",FT!C104,"")</f>
        <v>41.471800000000002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3.31637</v>
      </c>
      <c r="G105" s="61">
        <f>IF(FT!B105&lt;&gt;"",FT!B105*100,"")</f>
        <v>1.764</v>
      </c>
      <c r="H105" s="61">
        <f t="shared" si="9"/>
        <v>1</v>
      </c>
      <c r="I105" t="str">
        <f>IF(FT!B105&lt;&gt;"",FT!E105,"")</f>
        <v>2 [41.881622]</v>
      </c>
      <c r="J105">
        <f>IF(FT!B105&lt;&gt;"",FT!C105,"")</f>
        <v>41.881599999999999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77159</v>
      </c>
      <c r="D106" s="61">
        <f>FH!B106*1</f>
        <v>77159</v>
      </c>
      <c r="E106">
        <f t="shared" si="11"/>
        <v>104</v>
      </c>
      <c r="F106" s="61">
        <f>IF(FT!A106&lt;&gt;"",FT!A106*10,"")</f>
        <v>3.2910499999999998</v>
      </c>
      <c r="G106" s="61">
        <f>IF(FT!B106&lt;&gt;"",FT!B106*100,"")</f>
        <v>1.2584500000000001</v>
      </c>
      <c r="H106" s="61">
        <f t="shared" si="9"/>
        <v>1</v>
      </c>
      <c r="I106" t="str">
        <f>IF(FT!B106&lt;&gt;"",FT!E106,"")</f>
        <v>2 [42.289715]</v>
      </c>
      <c r="J106">
        <f>IF(FT!B106&lt;&gt;"",FT!C106,"")</f>
        <v>42.289700000000003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3.2631600000000001</v>
      </c>
      <c r="G107" s="61">
        <f>IF(FT!B107&lt;&gt;"",FT!B107*100,"")</f>
        <v>0.80117000000000005</v>
      </c>
      <c r="H107" s="61">
        <f t="shared" si="9"/>
        <v>1</v>
      </c>
      <c r="I107" t="str">
        <f>IF(FT!B107&lt;&gt;"",FT!E107,"")</f>
        <v>2 [42.695464]</v>
      </c>
      <c r="J107">
        <f>IF(FT!B107&lt;&gt;"",FT!C107,"")</f>
        <v>42.695500000000003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74972</v>
      </c>
      <c r="D108" s="61">
        <f>FH!B108*1</f>
        <v>74972</v>
      </c>
      <c r="E108">
        <f t="shared" si="11"/>
        <v>106</v>
      </c>
      <c r="F108" s="61">
        <f>IF(FT!A108&lt;&gt;"",FT!A108*10,"")</f>
        <v>3.2342599999999999</v>
      </c>
      <c r="G108" s="61">
        <f>IF(FT!B108&lt;&gt;"",FT!B108*100,"")</f>
        <v>0.348082</v>
      </c>
      <c r="H108" s="61">
        <f t="shared" si="9"/>
        <v>1</v>
      </c>
      <c r="I108" t="str">
        <f>IF(FT!B108&lt;&gt;"",FT!E108,"")</f>
        <v>2 [43.100439]</v>
      </c>
      <c r="J108">
        <f>IF(FT!B108&lt;&gt;"",FT!C108,"")</f>
        <v>43.1004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3.2035200000000001</v>
      </c>
      <c r="G109" s="61">
        <f>IF(FT!B109&lt;&gt;"",FT!B109*100,"")</f>
        <v>0</v>
      </c>
      <c r="H109" s="61">
        <f t="shared" si="9"/>
        <v>1</v>
      </c>
      <c r="I109" t="str">
        <f>IF(FT!B109&lt;&gt;"",FT!E109,"")</f>
        <v>2 [43.504311]</v>
      </c>
      <c r="J109">
        <f>IF(FT!B109&lt;&gt;"",FT!C109,"")</f>
        <v>43.504300000000001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3.17266</v>
      </c>
      <c r="G110" s="61">
        <f>IF(FT!B110&lt;&gt;"",FT!B110*100,"")</f>
        <v>0</v>
      </c>
      <c r="H110" s="61">
        <f t="shared" si="9"/>
        <v>1</v>
      </c>
      <c r="I110" t="str">
        <f>IF(FT!B110&lt;&gt;"",FT!E110,"")</f>
        <v>2 [43.911375]</v>
      </c>
      <c r="J110">
        <f>IF(FT!B110&lt;&gt;"",FT!C110,"")</f>
        <v>43.9114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71688</v>
      </c>
      <c r="D111" s="61">
        <f>FH!B111*1</f>
        <v>71688</v>
      </c>
      <c r="E111">
        <f t="shared" si="11"/>
        <v>109</v>
      </c>
      <c r="F111" s="61">
        <f>IF(FT!A111&lt;&gt;"",FT!A111*10,"")</f>
        <v>3.1408300000000002</v>
      </c>
      <c r="G111" s="61">
        <f>IF(FT!B111&lt;&gt;"",FT!B111*100,"")</f>
        <v>0</v>
      </c>
      <c r="H111" s="61">
        <f t="shared" si="9"/>
        <v>1</v>
      </c>
      <c r="I111" t="str">
        <f>IF(FT!B111&lt;&gt;"",FT!E111,"")</f>
        <v>2 [44.315181]</v>
      </c>
      <c r="J111">
        <f>IF(FT!B111&lt;&gt;"",FT!C111,"")</f>
        <v>44.315199999999997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3.1126999999999998</v>
      </c>
      <c r="G112" s="61">
        <f>IF(FT!B112&lt;&gt;"",FT!B112*100,"")</f>
        <v>0</v>
      </c>
      <c r="H112" s="61">
        <f t="shared" si="9"/>
        <v>1</v>
      </c>
      <c r="I112" t="str">
        <f>IF(FT!B112&lt;&gt;"",FT!E112,"")</f>
        <v>2 [44.725275]</v>
      </c>
      <c r="J112">
        <f>IF(FT!B112&lt;&gt;"",FT!C112,"")</f>
        <v>44.725299999999997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68836</v>
      </c>
      <c r="D113" s="61">
        <f>FH!B113*1</f>
        <v>68836</v>
      </c>
      <c r="E113">
        <f t="shared" si="11"/>
        <v>111</v>
      </c>
      <c r="F113" s="61">
        <f>IF(FT!A113&lt;&gt;"",FT!A113*10,"")</f>
        <v>3.0850899999999997</v>
      </c>
      <c r="G113" s="61">
        <f>IF(FT!B113&lt;&gt;"",FT!B113*100,"")</f>
        <v>0</v>
      </c>
      <c r="H113" s="61">
        <f t="shared" si="9"/>
        <v>1</v>
      </c>
      <c r="I113" t="str">
        <f>IF(FT!B113&lt;&gt;"",FT!E113,"")</f>
        <v>2 [45.129930]</v>
      </c>
      <c r="J113">
        <f>IF(FT!B113&lt;&gt;"",FT!C113,"")</f>
        <v>45.129899999999999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3.0639100000000004</v>
      </c>
      <c r="G114" s="61">
        <f>IF(FT!B114&lt;&gt;"",FT!B114*100,"")</f>
        <v>0</v>
      </c>
      <c r="H114" s="61">
        <f t="shared" si="9"/>
        <v>1</v>
      </c>
      <c r="I114" t="str">
        <f>IF(FT!B114&lt;&gt;"",FT!E114,"")</f>
        <v>2 [45.535898]</v>
      </c>
      <c r="J114">
        <f>IF(FT!B114&lt;&gt;"",FT!C114,"")</f>
        <v>45.535899999999998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3.0437599999999998</v>
      </c>
      <c r="G115" s="61">
        <f>IF(FT!B115&lt;&gt;"",FT!B115*100,"")</f>
        <v>0</v>
      </c>
      <c r="H115" s="61">
        <f t="shared" si="9"/>
        <v>1</v>
      </c>
      <c r="I115" t="str">
        <f>IF(FT!B115&lt;&gt;"",FT!E115,"")</f>
        <v>2 [45.940992]</v>
      </c>
      <c r="J115">
        <f>IF(FT!B115&lt;&gt;"",FT!C115,"")</f>
        <v>45.941000000000003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61129</v>
      </c>
      <c r="D116" s="61">
        <f>FH!B116*1</f>
        <v>61129</v>
      </c>
      <c r="E116">
        <f t="shared" si="11"/>
        <v>114</v>
      </c>
      <c r="F116" s="61">
        <f>IF(FT!A116&lt;&gt;"",FT!A116*10,"")</f>
        <v>3.0277099999999999</v>
      </c>
      <c r="G116" s="61">
        <f>IF(FT!B116&lt;&gt;"",FT!B116*100,"")</f>
        <v>0</v>
      </c>
      <c r="H116" s="61">
        <f t="shared" si="9"/>
        <v>1</v>
      </c>
      <c r="I116" t="str">
        <f>IF(FT!B116&lt;&gt;"",FT!E116,"")</f>
        <v>2 [46.349687]</v>
      </c>
      <c r="J116">
        <f>IF(FT!B116&lt;&gt;"",FT!C116,"")</f>
        <v>46.349699999999999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3.0141800000000001</v>
      </c>
      <c r="G117" s="61">
        <f>IF(FT!B117&lt;&gt;"",FT!B117*100,"")</f>
        <v>0</v>
      </c>
      <c r="H117" s="61">
        <f t="shared" si="9"/>
        <v>1</v>
      </c>
      <c r="I117" t="str">
        <f>IF(FT!B117&lt;&gt;"",FT!E117,"")</f>
        <v>2 [46.757897]</v>
      </c>
      <c r="J117">
        <f>IF(FT!B117&lt;&gt;"",FT!C117,"")</f>
        <v>46.757899999999999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63588</v>
      </c>
      <c r="D118" s="61">
        <f>FH!B118*1</f>
        <v>63588</v>
      </c>
      <c r="E118">
        <f t="shared" si="11"/>
        <v>116</v>
      </c>
      <c r="F118" s="61">
        <f>IF(FT!A118&lt;&gt;"",FT!A118*10,"")</f>
        <v>3.0015900000000002</v>
      </c>
      <c r="G118" s="61">
        <f>IF(FT!B118&lt;&gt;"",FT!B118*100,"")</f>
        <v>0</v>
      </c>
      <c r="H118" s="61">
        <f t="shared" si="9"/>
        <v>1</v>
      </c>
      <c r="I118" t="str">
        <f>IF(FT!B118&lt;&gt;"",FT!E118,"")</f>
        <v>2 [47.158571]</v>
      </c>
      <c r="J118">
        <f>IF(FT!B118&lt;&gt;"",FT!C118,"")</f>
        <v>47.1586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2.99112</v>
      </c>
      <c r="G119" s="61">
        <f>IF(FT!B119&lt;&gt;"",FT!B119*100,"")</f>
        <v>0</v>
      </c>
      <c r="H119" s="61">
        <f t="shared" si="9"/>
        <v>1</v>
      </c>
      <c r="I119" t="str">
        <f>IF(FT!B119&lt;&gt;"",FT!E119,"")</f>
        <v>2 [47.566389]</v>
      </c>
      <c r="J119">
        <f>IF(FT!B119&lt;&gt;"",FT!C119,"")</f>
        <v>47.566400000000002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2.98265</v>
      </c>
      <c r="G120" s="61">
        <f>IF(FT!B120&lt;&gt;"",FT!B120*100,"")</f>
        <v>0</v>
      </c>
      <c r="H120" s="61">
        <f t="shared" si="9"/>
        <v>1</v>
      </c>
      <c r="I120" t="str">
        <f>IF(FT!B120&lt;&gt;"",FT!E120,"")</f>
        <v>2 [47.974055]</v>
      </c>
      <c r="J120">
        <f>IF(FT!B120&lt;&gt;"",FT!C120,"")</f>
        <v>47.9741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59295</v>
      </c>
      <c r="D121" s="61">
        <f>FH!B121*1</f>
        <v>59295</v>
      </c>
      <c r="E121">
        <f t="shared" si="11"/>
        <v>119</v>
      </c>
      <c r="F121" s="61">
        <f>IF(FT!A121&lt;&gt;"",FT!A121*10,"")</f>
        <v>2.9776200000000004</v>
      </c>
      <c r="G121" s="61">
        <f>IF(FT!B121&lt;&gt;"",FT!B121*100,"")</f>
        <v>0</v>
      </c>
      <c r="H121" s="61">
        <f t="shared" si="9"/>
        <v>1</v>
      </c>
      <c r="I121" t="str">
        <f>IF(FT!B121&lt;&gt;"",FT!E121,"")</f>
        <v>2 [48.380248]</v>
      </c>
      <c r="J121">
        <f>IF(FT!B121&lt;&gt;"",FT!C121,"")</f>
        <v>48.380200000000002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2.9758599999999999</v>
      </c>
      <c r="G122" s="61">
        <f>IF(FT!B122&lt;&gt;"",FT!B122*100,"")</f>
        <v>0</v>
      </c>
      <c r="H122" s="61">
        <f t="shared" si="9"/>
        <v>1</v>
      </c>
      <c r="I122" t="str">
        <f>IF(FT!B122&lt;&gt;"",FT!E122,"")</f>
        <v>2 [48.788295]</v>
      </c>
      <c r="J122">
        <f>IF(FT!B122&lt;&gt;"",FT!C122,"")</f>
        <v>48.7883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2.97641</v>
      </c>
      <c r="G123" s="61">
        <f>IF(FT!B123&lt;&gt;"",FT!B123*100,"")</f>
        <v>0</v>
      </c>
      <c r="H123" s="61">
        <f t="shared" si="9"/>
        <v>1</v>
      </c>
      <c r="I123" t="str">
        <f>IF(FT!B123&lt;&gt;"",FT!E123,"")</f>
        <v>2 [49.195222]</v>
      </c>
      <c r="J123">
        <f>IF(FT!B123&lt;&gt;"",FT!C123,"")</f>
        <v>49.1952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54302</v>
      </c>
      <c r="D124" s="61">
        <f>FH!B124*1</f>
        <v>54302</v>
      </c>
      <c r="E124">
        <f t="shared" si="11"/>
        <v>122</v>
      </c>
      <c r="F124" s="61">
        <f>IF(FT!A124&lt;&gt;"",FT!A124*10,"")</f>
        <v>2.98231</v>
      </c>
      <c r="G124" s="61">
        <f>IF(FT!B124&lt;&gt;"",FT!B124*100,"")</f>
        <v>0</v>
      </c>
      <c r="H124" s="61">
        <f t="shared" si="9"/>
        <v>1</v>
      </c>
      <c r="I124" t="str">
        <f>IF(FT!B124&lt;&gt;"",FT!E124,"")</f>
        <v>2 [49.597018]</v>
      </c>
      <c r="J124">
        <f>IF(FT!B124&lt;&gt;"",FT!C124,"")</f>
        <v>49.597000000000001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2.99309</v>
      </c>
      <c r="G125" s="61">
        <f>IF(FT!B125&lt;&gt;"",FT!B125*100,"")</f>
        <v>0</v>
      </c>
      <c r="H125" s="61">
        <f t="shared" si="9"/>
        <v>1</v>
      </c>
      <c r="I125" t="str">
        <f>IF(FT!B125&lt;&gt;"",FT!E125,"")</f>
        <v>2 [50.008025]</v>
      </c>
      <c r="J125">
        <f>IF(FT!B125&lt;&gt;"",FT!C125,"")</f>
        <v>50.008000000000003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49944</v>
      </c>
      <c r="D126" s="61">
        <f>FH!B126*1</f>
        <v>49944</v>
      </c>
      <c r="E126">
        <f t="shared" si="11"/>
        <v>124</v>
      </c>
      <c r="F126" s="61">
        <f>IF(FT!A126&lt;&gt;"",FT!A126*10,"")</f>
        <v>2.9944799999999998</v>
      </c>
      <c r="G126" s="61">
        <f>IF(FT!B126&lt;&gt;"",FT!B126*100,"")</f>
        <v>0</v>
      </c>
      <c r="H126" s="61">
        <f t="shared" si="9"/>
        <v>1</v>
      </c>
      <c r="I126" t="str">
        <f>IF(FT!B126&lt;&gt;"",FT!E126,"")</f>
        <v>2 [50.412815]</v>
      </c>
      <c r="J126">
        <f>IF(FT!B126&lt;&gt;"",FT!C126,"")</f>
        <v>50.412799999999997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2.99431</v>
      </c>
      <c r="G127" s="61">
        <f>IF(FT!B127&lt;&gt;"",FT!B127*100,"")</f>
        <v>0</v>
      </c>
      <c r="H127" s="61">
        <f t="shared" si="9"/>
        <v>1</v>
      </c>
      <c r="I127" t="str">
        <f>IF(FT!B127&lt;&gt;"",FT!E127,"")</f>
        <v>2 [50.813835]</v>
      </c>
      <c r="J127">
        <f>IF(FT!B127&lt;&gt;"",FT!C127,"")</f>
        <v>50.813800000000001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2.9945300000000001</v>
      </c>
      <c r="G128" s="61">
        <f>IF(FT!B128&lt;&gt;"",FT!B128*100,"")</f>
        <v>0</v>
      </c>
      <c r="H128" s="61">
        <f t="shared" si="9"/>
        <v>1</v>
      </c>
      <c r="I128" t="str">
        <f>IF(FT!B128&lt;&gt;"",FT!E128,"")</f>
        <v>2 [51.223078]</v>
      </c>
      <c r="J128">
        <f>IF(FT!B128&lt;&gt;"",FT!C128,"")</f>
        <v>51.223100000000002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43396</v>
      </c>
      <c r="D129" s="61">
        <f>FH!B129*1</f>
        <v>43396</v>
      </c>
      <c r="E129">
        <f t="shared" si="11"/>
        <v>127</v>
      </c>
      <c r="F129" s="61">
        <f>IF(FT!A129&lt;&gt;"",FT!A129*10,"")</f>
        <v>2.9954700000000001</v>
      </c>
      <c r="G129" s="61">
        <f>IF(FT!B129&lt;&gt;"",FT!B129*100,"")</f>
        <v>0</v>
      </c>
      <c r="H129" s="61">
        <f t="shared" si="9"/>
        <v>1</v>
      </c>
      <c r="I129" t="str">
        <f>IF(FT!B129&lt;&gt;"",FT!E129,"")</f>
        <v>2 [51.627628]</v>
      </c>
      <c r="J129">
        <f>IF(FT!B129&lt;&gt;"",FT!C129,"")</f>
        <v>51.627600000000001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2.9965000000000002</v>
      </c>
      <c r="G130" s="61">
        <f>IF(FT!B130&lt;&gt;"",FT!B130*100,"")</f>
        <v>0</v>
      </c>
      <c r="H130" s="61">
        <f t="shared" si="9"/>
        <v>1</v>
      </c>
      <c r="I130" t="str">
        <f>IF(FT!B130&lt;&gt;"",FT!E130,"")</f>
        <v>2 [52.037486]</v>
      </c>
      <c r="J130">
        <f>IF(FT!B130&lt;&gt;"",FT!C130,"")</f>
        <v>52.037500000000001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41980</v>
      </c>
      <c r="D131" s="61">
        <f>FH!B131*1</f>
        <v>41980</v>
      </c>
      <c r="E131">
        <f t="shared" si="11"/>
        <v>129</v>
      </c>
      <c r="F131" s="61">
        <f>IF(FT!A131&lt;&gt;"",FT!A131*10,"")</f>
        <v>2.9982500000000001</v>
      </c>
      <c r="G131" s="61">
        <f>IF(FT!B131&lt;&gt;"",FT!B131*100,"")</f>
        <v>0</v>
      </c>
      <c r="H131" s="61">
        <f t="shared" ref="H131:H194" si="13">(IF(F131&lt;&gt;"",1,""))</f>
        <v>1</v>
      </c>
      <c r="I131" t="str">
        <f>IF(FT!B131&lt;&gt;"",FT!E131,"")</f>
        <v>2 [52.444398]</v>
      </c>
      <c r="J131">
        <f>IF(FT!B131&lt;&gt;"",FT!C131,"")</f>
        <v>52.444400000000002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3.0011300000000003</v>
      </c>
      <c r="G132" s="61">
        <f>IF(FT!B132&lt;&gt;"",FT!B132*100,"")</f>
        <v>0</v>
      </c>
      <c r="H132" s="61">
        <f t="shared" si="13"/>
        <v>1</v>
      </c>
      <c r="I132" t="str">
        <f>IF(FT!B132&lt;&gt;"",FT!E132,"")</f>
        <v>2 [52.849320]</v>
      </c>
      <c r="J132">
        <f>IF(FT!B132&lt;&gt;"",FT!C132,"")</f>
        <v>52.849299999999999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3.0036800000000001</v>
      </c>
      <c r="G133" s="61">
        <f>IF(FT!B133&lt;&gt;"",FT!B133*100,"")</f>
        <v>0</v>
      </c>
      <c r="H133" s="61">
        <f t="shared" si="13"/>
        <v>1</v>
      </c>
      <c r="I133" t="str">
        <f>IF(FT!B133&lt;&gt;"",FT!E133,"")</f>
        <v>2 [53.254346]</v>
      </c>
      <c r="J133">
        <f>IF(FT!B133&lt;&gt;"",FT!C133,"")</f>
        <v>53.254300000000001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40638</v>
      </c>
      <c r="D134" s="61">
        <f>FH!B134*1</f>
        <v>40638</v>
      </c>
      <c r="E134">
        <f t="shared" si="15"/>
        <v>132</v>
      </c>
      <c r="F134" s="61">
        <f>IF(FT!A134&lt;&gt;"",FT!A134*10,"")</f>
        <v>3.0083199999999999</v>
      </c>
      <c r="G134" s="61">
        <f>IF(FT!B134&lt;&gt;"",FT!B134*100,"")</f>
        <v>0</v>
      </c>
      <c r="H134" s="61">
        <f t="shared" si="13"/>
        <v>1</v>
      </c>
      <c r="I134" t="str">
        <f>IF(FT!B134&lt;&gt;"",FT!E134,"")</f>
        <v>2 [53.661148]</v>
      </c>
      <c r="J134">
        <f>IF(FT!B134&lt;&gt;"",FT!C134,"")</f>
        <v>53.661099999999998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3.0123499999999996</v>
      </c>
      <c r="G135" s="61">
        <f>IF(FT!B135&lt;&gt;"",FT!B135*100,"")</f>
        <v>0.14771700000000001</v>
      </c>
      <c r="H135" s="61">
        <f t="shared" si="13"/>
        <v>1</v>
      </c>
      <c r="I135" t="str">
        <f>IF(FT!B135&lt;&gt;"",FT!E135,"")</f>
        <v>2 [54.070092]</v>
      </c>
      <c r="J135">
        <f>IF(FT!B135&lt;&gt;"",FT!C135,"")</f>
        <v>54.070099999999996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40468</v>
      </c>
      <c r="D136" s="61">
        <f>FH!B136*1</f>
        <v>40468</v>
      </c>
      <c r="E136">
        <f t="shared" si="15"/>
        <v>134</v>
      </c>
      <c r="F136" s="61">
        <f>IF(FT!A136&lt;&gt;"",FT!A136*10,"")</f>
        <v>3.01892</v>
      </c>
      <c r="G136" s="61">
        <f>IF(FT!B136&lt;&gt;"",FT!B136*100,"")</f>
        <v>0.340702</v>
      </c>
      <c r="H136" s="61">
        <f t="shared" si="13"/>
        <v>1</v>
      </c>
      <c r="I136" t="str">
        <f>IF(FT!B136&lt;&gt;"",FT!E136,"")</f>
        <v>2 [54.475060]</v>
      </c>
      <c r="J136">
        <f>IF(FT!B136&lt;&gt;"",FT!C136,"")</f>
        <v>54.475099999999998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3.0275000000000003</v>
      </c>
      <c r="G137" s="61">
        <f>IF(FT!B137&lt;&gt;"",FT!B137*100,"")</f>
        <v>0.46893300000000004</v>
      </c>
      <c r="H137" s="61">
        <f t="shared" si="13"/>
        <v>1</v>
      </c>
      <c r="I137" t="str">
        <f>IF(FT!B137&lt;&gt;"",FT!E137,"")</f>
        <v>2 [54.880886]</v>
      </c>
      <c r="J137">
        <f>IF(FT!B137&lt;&gt;"",FT!C137,"")</f>
        <v>54.880899999999997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3.0394600000000001</v>
      </c>
      <c r="G138" s="61">
        <f>IF(FT!B138&lt;&gt;"",FT!B138*100,"")</f>
        <v>0.61600099999999991</v>
      </c>
      <c r="H138" s="61">
        <f t="shared" si="13"/>
        <v>1</v>
      </c>
      <c r="I138" t="str">
        <f>IF(FT!B138&lt;&gt;"",FT!E138,"")</f>
        <v>2 [55.285218]</v>
      </c>
      <c r="J138">
        <f>IF(FT!B138&lt;&gt;"",FT!C138,"")</f>
        <v>55.285200000000003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40316</v>
      </c>
      <c r="D139" s="61">
        <f>FH!B139*1</f>
        <v>40316</v>
      </c>
      <c r="E139">
        <f t="shared" si="15"/>
        <v>137</v>
      </c>
      <c r="F139" s="61">
        <f>IF(FT!A139&lt;&gt;"",FT!A139*10,"")</f>
        <v>3.0464799999999999</v>
      </c>
      <c r="G139" s="61">
        <f>IF(FT!B139&lt;&gt;"",FT!B139*100,"")</f>
        <v>0.87097100000000005</v>
      </c>
      <c r="H139" s="61">
        <f t="shared" si="13"/>
        <v>1</v>
      </c>
      <c r="I139" t="str">
        <f>IF(FT!B139&lt;&gt;"",FT!E139,"")</f>
        <v>2 [55.690186]</v>
      </c>
      <c r="J139">
        <f>IF(FT!B139&lt;&gt;"",FT!C139,"")</f>
        <v>55.690199999999997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3.0523499999999997</v>
      </c>
      <c r="G140" s="61">
        <f>IF(FT!B140&lt;&gt;"",FT!B140*100,"")</f>
        <v>0.92662100000000003</v>
      </c>
      <c r="H140" s="61">
        <f t="shared" si="13"/>
        <v>1</v>
      </c>
      <c r="I140" t="str">
        <f>IF(FT!B140&lt;&gt;"",FT!E140,"")</f>
        <v>2 [56.097607]</v>
      </c>
      <c r="J140">
        <f>IF(FT!B140&lt;&gt;"",FT!C140,"")</f>
        <v>56.0976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3.0571799999999998</v>
      </c>
      <c r="G141" s="61">
        <f>IF(FT!B141&lt;&gt;"",FT!B141*100,"")</f>
        <v>1.0436400000000001</v>
      </c>
      <c r="H141" s="61">
        <f t="shared" si="13"/>
        <v>1</v>
      </c>
      <c r="I141" t="str">
        <f>IF(FT!B141&lt;&gt;"",FT!E141,"")</f>
        <v>2 [56.505642]</v>
      </c>
      <c r="J141">
        <f>IF(FT!B141&lt;&gt;"",FT!C141,"")</f>
        <v>56.505600000000001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33834</v>
      </c>
      <c r="D142" s="61">
        <f>FH!B142*1</f>
        <v>33834</v>
      </c>
      <c r="E142">
        <f t="shared" si="15"/>
        <v>140</v>
      </c>
      <c r="F142" s="61">
        <f>IF(FT!A142&lt;&gt;"",FT!A142*10,"")</f>
        <v>3.0610500000000003</v>
      </c>
      <c r="G142" s="61">
        <f>IF(FT!B142&lt;&gt;"",FT!B142*100,"")</f>
        <v>1.2552000000000001</v>
      </c>
      <c r="H142" s="61">
        <f t="shared" si="13"/>
        <v>1</v>
      </c>
      <c r="I142" t="str">
        <f>IF(FT!B142&lt;&gt;"",FT!E142,"")</f>
        <v>2 [56.910412]</v>
      </c>
      <c r="J142">
        <f>IF(FT!B142&lt;&gt;"",FT!C142,"")</f>
        <v>56.910400000000003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3.0674800000000002</v>
      </c>
      <c r="G143" s="61">
        <f>IF(FT!B143&lt;&gt;"",FT!B143*100,"")</f>
        <v>1.4509700000000001</v>
      </c>
      <c r="H143" s="61">
        <f t="shared" si="13"/>
        <v>1</v>
      </c>
      <c r="I143" t="str">
        <f>IF(FT!B143&lt;&gt;"",FT!E143,"")</f>
        <v>2 [57.315824]</v>
      </c>
      <c r="J143">
        <f>IF(FT!B143&lt;&gt;"",FT!C143,"")</f>
        <v>57.315800000000003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30758</v>
      </c>
      <c r="D144" s="61">
        <f>FH!B144*1</f>
        <v>30758</v>
      </c>
      <c r="E144">
        <f t="shared" si="15"/>
        <v>142</v>
      </c>
      <c r="F144" s="61">
        <f>IF(FT!A144&lt;&gt;"",FT!A144*10,"")</f>
        <v>3.0794999999999999</v>
      </c>
      <c r="G144" s="61">
        <f>IF(FT!B144&lt;&gt;"",FT!B144*100,"")</f>
        <v>1.58856</v>
      </c>
      <c r="H144" s="61">
        <f t="shared" si="13"/>
        <v>1</v>
      </c>
      <c r="I144" t="str">
        <f>IF(FT!B144&lt;&gt;"",FT!E144,"")</f>
        <v>2 [57.728353]</v>
      </c>
      <c r="J144">
        <f>IF(FT!B144&lt;&gt;"",FT!C144,"")</f>
        <v>57.728400000000001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3.0976399999999997</v>
      </c>
      <c r="G145" s="61">
        <f>IF(FT!B145&lt;&gt;"",FT!B145*100,"")</f>
        <v>1.73027</v>
      </c>
      <c r="H145" s="61">
        <f t="shared" si="13"/>
        <v>1</v>
      </c>
      <c r="I145" t="str">
        <f>IF(FT!B145&lt;&gt;"",FT!E145,"")</f>
        <v>2 [58.129253]</v>
      </c>
      <c r="J145">
        <f>IF(FT!B145&lt;&gt;"",FT!C145,"")</f>
        <v>58.129300000000001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3.1187900000000002</v>
      </c>
      <c r="G146" s="61">
        <f>IF(FT!B146&lt;&gt;"",FT!B146*100,"")</f>
        <v>2.0034900000000002</v>
      </c>
      <c r="H146" s="61">
        <f t="shared" si="13"/>
        <v>1</v>
      </c>
      <c r="I146" t="str">
        <f>IF(FT!B146&lt;&gt;"",FT!E146,"")</f>
        <v>2 [58.536299]</v>
      </c>
      <c r="J146">
        <f>IF(FT!B146&lt;&gt;"",FT!C146,"")</f>
        <v>58.536299999999997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31146</v>
      </c>
      <c r="D147" s="61">
        <f>FH!B147*1</f>
        <v>31146</v>
      </c>
      <c r="E147">
        <f t="shared" si="15"/>
        <v>145</v>
      </c>
      <c r="F147" s="61">
        <f>IF(FT!A147&lt;&gt;"",FT!A147*10,"")</f>
        <v>3.1518200000000003</v>
      </c>
      <c r="G147" s="61">
        <f>IF(FT!B147&lt;&gt;"",FT!B147*100,"")</f>
        <v>2.0186899999999999</v>
      </c>
      <c r="H147" s="61">
        <f t="shared" si="13"/>
        <v>1</v>
      </c>
      <c r="I147" t="str">
        <f>IF(FT!B147&lt;&gt;"",FT!E147,"")</f>
        <v>2 [58.943076]</v>
      </c>
      <c r="J147">
        <f>IF(FT!B147&lt;&gt;"",FT!C147,"")</f>
        <v>58.943100000000001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3.1877800000000001</v>
      </c>
      <c r="G148" s="61">
        <f>IF(FT!B148&lt;&gt;"",FT!B148*100,"")</f>
        <v>2.6428099999999999</v>
      </c>
      <c r="H148" s="61">
        <f t="shared" si="13"/>
        <v>1</v>
      </c>
      <c r="I148" t="str">
        <f>IF(FT!B148&lt;&gt;"",FT!E148,"")</f>
        <v>2 [59.346525]</v>
      </c>
      <c r="J148">
        <f>IF(FT!B148&lt;&gt;"",FT!C148,"")</f>
        <v>59.346499999999999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31214</v>
      </c>
      <c r="D149" s="61">
        <f>FH!B149*1</f>
        <v>31214</v>
      </c>
      <c r="E149">
        <f t="shared" si="15"/>
        <v>147</v>
      </c>
      <c r="F149" s="61">
        <f>IF(FT!A149&lt;&gt;"",FT!A149*10,"")</f>
        <v>3.2240799999999998</v>
      </c>
      <c r="G149" s="61">
        <f>IF(FT!B149&lt;&gt;"",FT!B149*100,"")</f>
        <v>3.3650199999999999</v>
      </c>
      <c r="H149" s="61">
        <f t="shared" si="13"/>
        <v>1</v>
      </c>
      <c r="I149" t="str">
        <f>IF(FT!B149&lt;&gt;"",FT!E149,"")</f>
        <v>2 [59.758703]</v>
      </c>
      <c r="J149">
        <f>IF(FT!B149&lt;&gt;"",FT!C149,"")</f>
        <v>59.758699999999997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26774</v>
      </c>
      <c r="D152" s="61">
        <f>FH!B152*1</f>
        <v>26774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20403</v>
      </c>
      <c r="D154" s="61">
        <f>FH!B154*1</f>
        <v>20403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19497</v>
      </c>
      <c r="D157" s="61">
        <f>FH!B157*1</f>
        <v>19497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18822</v>
      </c>
      <c r="D160" s="61">
        <f>FH!B160*1</f>
        <v>18822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19091</v>
      </c>
      <c r="D162" s="61">
        <f>FH!B162*1</f>
        <v>19091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19875</v>
      </c>
      <c r="D165" s="61">
        <f>FH!B165*1</f>
        <v>19875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27471</v>
      </c>
      <c r="D167" s="61">
        <f>FH!B167*1</f>
        <v>27471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30946</v>
      </c>
      <c r="D170" s="61">
        <f>FH!B170*1</f>
        <v>30946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34150</v>
      </c>
      <c r="D173" s="61">
        <f>FH!B173*1</f>
        <v>34150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33131</v>
      </c>
      <c r="D175" s="61">
        <f>FH!B175*1</f>
        <v>33131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33633</v>
      </c>
      <c r="D178" s="61">
        <f>FH!B178*1</f>
        <v>33633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32935</v>
      </c>
      <c r="D180" s="61">
        <f>FH!B180*1</f>
        <v>32935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31215</v>
      </c>
      <c r="D183" s="61">
        <f>FH!B183*1</f>
        <v>31215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36708</v>
      </c>
      <c r="D185" s="61">
        <f>FH!B185*1</f>
        <v>36708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37077</v>
      </c>
      <c r="D188" s="61">
        <f>FH!B188*1</f>
        <v>37077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24446</v>
      </c>
      <c r="D191" s="61">
        <f>FH!B191*1</f>
        <v>24446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20082</v>
      </c>
      <c r="D193" s="61">
        <f>FH!B193*1</f>
        <v>20082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16186</v>
      </c>
      <c r="D196" s="61">
        <f>FH!B196*1</f>
        <v>16186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15238</v>
      </c>
      <c r="D198" s="61">
        <f>FH!B198*1</f>
        <v>15238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7576</v>
      </c>
      <c r="D201" s="61">
        <f>FH!B201*1</f>
        <v>7576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5094</v>
      </c>
      <c r="D203" s="61">
        <f>FH!B203*1</f>
        <v>5094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3987</v>
      </c>
      <c r="D206" s="61">
        <f>FH!B206*1</f>
        <v>3987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4156</v>
      </c>
      <c r="D209" s="61">
        <f>FH!B209*1</f>
        <v>4156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1026</v>
      </c>
      <c r="D211" s="61">
        <f>FH!B211*1</f>
        <v>1026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327</v>
      </c>
      <c r="D214" s="61">
        <f>FH!B214*1</f>
        <v>327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215</v>
      </c>
      <c r="D216" s="61">
        <f>FH!B216*1</f>
        <v>215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51.244500000000002</v>
      </c>
      <c r="C5" s="66">
        <v>6.2082899999999999</v>
      </c>
      <c r="D5" s="66">
        <v>12.115</v>
      </c>
      <c r="E5" s="66">
        <v>20</v>
      </c>
      <c r="F5" s="66">
        <v>31.825199999999999</v>
      </c>
      <c r="G5" s="66">
        <v>50</v>
      </c>
      <c r="H5" s="66">
        <v>76.055099999999996</v>
      </c>
    </row>
    <row r="6" spans="1:8">
      <c r="A6" s="58" t="s">
        <v>303</v>
      </c>
      <c r="B6" s="66">
        <v>38.365400000000001</v>
      </c>
      <c r="C6" s="66">
        <v>5.65686</v>
      </c>
      <c r="D6" s="66">
        <v>14.7447</v>
      </c>
      <c r="E6" s="66">
        <v>20</v>
      </c>
      <c r="F6" s="66">
        <v>27.185099999999998</v>
      </c>
      <c r="G6" s="66">
        <v>40</v>
      </c>
      <c r="H6" s="66">
        <v>46.2744</v>
      </c>
    </row>
    <row r="7" spans="1:8">
      <c r="A7" s="58" t="s">
        <v>304</v>
      </c>
      <c r="B7" s="66">
        <v>29.0032</v>
      </c>
      <c r="C7" s="66">
        <v>6.7847799999999996</v>
      </c>
      <c r="D7" s="66">
        <v>23.3932</v>
      </c>
      <c r="E7" s="66">
        <v>15</v>
      </c>
      <c r="F7" s="66">
        <v>19.0716</v>
      </c>
      <c r="G7" s="66">
        <v>40</v>
      </c>
      <c r="H7" s="66">
        <v>50.630600000000001</v>
      </c>
    </row>
    <row r="8" spans="1:8">
      <c r="A8" s="58" t="s">
        <v>305</v>
      </c>
      <c r="B8" s="66">
        <v>39.969700000000003</v>
      </c>
      <c r="C8" s="66">
        <v>3.3745500000000002</v>
      </c>
      <c r="D8" s="66">
        <v>8.4427599999999998</v>
      </c>
      <c r="E8" s="66">
        <v>20</v>
      </c>
      <c r="F8" s="66">
        <v>29.500599999999999</v>
      </c>
      <c r="G8" s="66">
        <v>50</v>
      </c>
      <c r="H8" s="66">
        <v>44.380099999999999</v>
      </c>
    </row>
    <row r="9" spans="1:8">
      <c r="A9" s="58" t="s">
        <v>306</v>
      </c>
      <c r="B9" s="66">
        <v>57.1021</v>
      </c>
      <c r="C9" s="66">
        <v>11.333299999999999</v>
      </c>
      <c r="D9" s="66">
        <v>19.8475</v>
      </c>
      <c r="E9" s="66">
        <v>50</v>
      </c>
      <c r="F9" s="66">
        <v>26.421900000000001</v>
      </c>
      <c r="G9" s="66">
        <v>100</v>
      </c>
      <c r="H9" s="66">
        <v>69.967399999999998</v>
      </c>
    </row>
    <row r="10" spans="1:8">
      <c r="A10" s="58" t="s">
        <v>307</v>
      </c>
      <c r="B10" s="66">
        <v>66.023300000000006</v>
      </c>
      <c r="C10" s="66">
        <v>10.361800000000001</v>
      </c>
      <c r="D10" s="66">
        <v>15.6942</v>
      </c>
      <c r="E10" s="66">
        <v>40</v>
      </c>
      <c r="F10" s="66">
        <v>47.753</v>
      </c>
      <c r="G10" s="66">
        <v>100</v>
      </c>
      <c r="H10" s="66">
        <v>83.945499999999996</v>
      </c>
    </row>
    <row r="11" spans="1:8">
      <c r="A11" s="58" t="s">
        <v>308</v>
      </c>
      <c r="B11" s="66">
        <v>18.3078</v>
      </c>
      <c r="C11" s="66">
        <v>4.71427</v>
      </c>
      <c r="D11" s="66">
        <v>25.7501</v>
      </c>
      <c r="E11" s="66">
        <v>10</v>
      </c>
      <c r="F11" s="66">
        <v>8.5474499999999995</v>
      </c>
      <c r="G11" s="66">
        <v>50</v>
      </c>
      <c r="H11" s="66">
        <v>25.628299999999999</v>
      </c>
    </row>
    <row r="12" spans="1:8">
      <c r="A12" s="58" t="s">
        <v>309</v>
      </c>
      <c r="B12" s="66">
        <v>60.520899999999997</v>
      </c>
      <c r="C12" s="66">
        <v>9.2305799999999998</v>
      </c>
      <c r="D12" s="66">
        <v>15.251899999999999</v>
      </c>
      <c r="E12" s="66">
        <v>50</v>
      </c>
      <c r="F12" s="66">
        <v>43.771900000000002</v>
      </c>
      <c r="G12" s="66">
        <v>100</v>
      </c>
      <c r="H12" s="66">
        <v>76.086100000000002</v>
      </c>
    </row>
    <row r="13" spans="1:8">
      <c r="A13" s="58" t="s">
        <v>310</v>
      </c>
      <c r="B13" s="66">
        <v>23.056100000000001</v>
      </c>
      <c r="C13" s="66">
        <v>2.9445899999999998</v>
      </c>
      <c r="D13" s="66">
        <v>12.7714</v>
      </c>
      <c r="E13" s="66">
        <v>10</v>
      </c>
      <c r="F13" s="66">
        <v>17.779299999999999</v>
      </c>
      <c r="G13" s="66">
        <v>25</v>
      </c>
      <c r="H13" s="66">
        <v>33.427199999999999</v>
      </c>
    </row>
    <row r="14" spans="1:8">
      <c r="A14" s="58" t="s">
        <v>311</v>
      </c>
      <c r="B14" s="66">
        <v>29.445900000000002</v>
      </c>
      <c r="C14" s="66">
        <v>9.6100300000000001</v>
      </c>
      <c r="D14" s="66">
        <v>32.636299999999999</v>
      </c>
      <c r="E14" s="66">
        <v>10</v>
      </c>
      <c r="F14" s="66">
        <v>2.1776</v>
      </c>
      <c r="G14" s="66">
        <v>50</v>
      </c>
      <c r="H14" s="66">
        <v>37.514299999999999</v>
      </c>
    </row>
    <row r="15" spans="1:8">
      <c r="A15" s="58" t="s">
        <v>312</v>
      </c>
      <c r="B15" s="66">
        <v>3.5084200000000003E-2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0.16897300000000001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18.064699999999998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0.26342500000000002</v>
      </c>
      <c r="C18" s="66">
        <v>1.6902799999999999E-2</v>
      </c>
      <c r="D18" s="66">
        <v>6.4165700000000006E-2</v>
      </c>
      <c r="E18" s="66">
        <v>0</v>
      </c>
      <c r="F18" s="66">
        <v>0.24652199999999999</v>
      </c>
      <c r="G18" s="66">
        <v>0</v>
      </c>
      <c r="H18" s="66">
        <v>0.28032800000000002</v>
      </c>
    </row>
    <row r="19" spans="1:8">
      <c r="A19" s="58" t="s">
        <v>316</v>
      </c>
      <c r="B19" s="66">
        <v>0.55703999999999998</v>
      </c>
      <c r="C19" s="66">
        <v>2.13916E-2</v>
      </c>
      <c r="D19" s="66">
        <v>3.84023E-2</v>
      </c>
      <c r="E19" s="66">
        <v>0</v>
      </c>
      <c r="F19" s="66">
        <v>0.53564800000000001</v>
      </c>
      <c r="G19" s="66">
        <v>0</v>
      </c>
      <c r="H19" s="66">
        <v>0.57843100000000003</v>
      </c>
    </row>
    <row r="20" spans="1:8">
      <c r="A20" s="58" t="s">
        <v>317</v>
      </c>
      <c r="B20" s="66">
        <v>2.9013999999999998E-4</v>
      </c>
      <c r="C20" s="66">
        <v>2.2718700000000001E-2</v>
      </c>
      <c r="D20" s="66">
        <v>78.302700000000002</v>
      </c>
      <c r="E20" s="66">
        <v>0</v>
      </c>
      <c r="F20" s="66">
        <v>0</v>
      </c>
      <c r="G20" s="66">
        <v>0</v>
      </c>
      <c r="H20" s="66">
        <v>0.43871300000000002</v>
      </c>
    </row>
    <row r="21" spans="1:8">
      <c r="A21" s="58" t="s">
        <v>318</v>
      </c>
      <c r="B21" s="66">
        <v>5.7753600000000002E-2</v>
      </c>
      <c r="C21" s="66">
        <v>0.129105</v>
      </c>
      <c r="D21" s="66">
        <v>2.2354500000000002</v>
      </c>
      <c r="E21" s="66">
        <v>0</v>
      </c>
      <c r="F21" s="66">
        <v>1.17136E-4</v>
      </c>
      <c r="G21" s="66">
        <v>0</v>
      </c>
      <c r="H21" s="66">
        <v>1.4188700000000001</v>
      </c>
    </row>
    <row r="22" spans="1:8">
      <c r="A22" s="58" t="s">
        <v>319</v>
      </c>
      <c r="B22" s="66">
        <v>70.7483</v>
      </c>
      <c r="C22" s="66">
        <v>31.020399999999999</v>
      </c>
      <c r="D22" s="66">
        <v>0.43846099999999999</v>
      </c>
      <c r="E22" s="66">
        <v>0</v>
      </c>
      <c r="F22" s="66">
        <v>29.536799999999999</v>
      </c>
      <c r="G22" s="66">
        <v>0</v>
      </c>
      <c r="H22" s="66">
        <v>184.67</v>
      </c>
    </row>
    <row r="23" spans="1:8">
      <c r="A23" s="58" t="s">
        <v>320</v>
      </c>
      <c r="B23" s="66">
        <v>26.199000000000002</v>
      </c>
      <c r="C23" s="66">
        <v>7.4455</v>
      </c>
      <c r="D23" s="66">
        <v>0.28419</v>
      </c>
      <c r="E23" s="66">
        <v>0</v>
      </c>
      <c r="F23" s="66">
        <v>12.382199999999999</v>
      </c>
      <c r="G23" s="66">
        <v>0</v>
      </c>
      <c r="H23" s="66">
        <v>38.737000000000002</v>
      </c>
    </row>
    <row r="24" spans="1:8">
      <c r="A24" s="58" t="s">
        <v>321</v>
      </c>
      <c r="B24" s="66">
        <v>8.8048999999999992E-3</v>
      </c>
      <c r="C24" s="66">
        <v>1.0386299999999999E-2</v>
      </c>
      <c r="D24" s="66">
        <v>1.17961</v>
      </c>
      <c r="E24" s="66">
        <v>0</v>
      </c>
      <c r="F24" s="196">
        <v>1.9134400000000001E-5</v>
      </c>
      <c r="G24" s="66">
        <v>0</v>
      </c>
      <c r="H24" s="66">
        <v>6.7374000000000003E-2</v>
      </c>
    </row>
    <row r="25" spans="1:8">
      <c r="A25" s="58" t="s">
        <v>322</v>
      </c>
      <c r="B25" s="66">
        <v>7.8005500000000005E-2</v>
      </c>
      <c r="C25" s="66">
        <v>7.4710299999999993E-2</v>
      </c>
      <c r="D25" s="66">
        <v>0.95775699999999997</v>
      </c>
      <c r="E25" s="66">
        <v>0</v>
      </c>
      <c r="F25" s="66">
        <v>2.3641599999999999E-2</v>
      </c>
      <c r="G25" s="66">
        <v>0</v>
      </c>
      <c r="H25" s="66">
        <v>0.52359199999999995</v>
      </c>
    </row>
    <row r="26" spans="1:8">
      <c r="A26" s="58" t="s">
        <v>323</v>
      </c>
      <c r="B26" s="66">
        <v>1.11607E-4</v>
      </c>
      <c r="C26" s="66">
        <v>2.1089500000000001E-3</v>
      </c>
      <c r="D26" s="66">
        <v>18.8962</v>
      </c>
      <c r="E26" s="66">
        <v>0</v>
      </c>
      <c r="F26" s="66">
        <v>0</v>
      </c>
      <c r="G26" s="66">
        <v>0</v>
      </c>
      <c r="H26" s="66">
        <v>6.0740500000000003E-2</v>
      </c>
    </row>
    <row r="27" spans="1:8">
      <c r="A27" s="58" t="s">
        <v>324</v>
      </c>
      <c r="B27" s="196">
        <v>-6.5651299999999996E-6</v>
      </c>
      <c r="C27" s="66">
        <v>2.2543200000000002E-3</v>
      </c>
      <c r="D27" s="66">
        <v>-343.37700000000001</v>
      </c>
      <c r="E27" s="66">
        <v>0</v>
      </c>
      <c r="F27" s="66">
        <v>-5.9890400000000003E-2</v>
      </c>
      <c r="G27" s="66">
        <v>0</v>
      </c>
      <c r="H27" s="66">
        <v>5.7871600000000002E-2</v>
      </c>
    </row>
    <row r="28" spans="1:8">
      <c r="A28" s="58" t="s">
        <v>325</v>
      </c>
      <c r="B28" s="66">
        <v>5.7503299999999997E-3</v>
      </c>
      <c r="C28" s="66">
        <v>1.28711E-2</v>
      </c>
      <c r="D28" s="66">
        <v>2.2383299999999999</v>
      </c>
      <c r="E28" s="66">
        <v>0</v>
      </c>
      <c r="F28" s="196">
        <v>5.8593700000000001E-5</v>
      </c>
      <c r="G28" s="66">
        <v>0</v>
      </c>
      <c r="H28" s="66">
        <v>0.118737</v>
      </c>
    </row>
    <row r="29" spans="1:8">
      <c r="A29" s="58" t="s">
        <v>326</v>
      </c>
      <c r="B29" s="66">
        <v>78.051599999999993</v>
      </c>
      <c r="C29" s="66">
        <v>12.670500000000001</v>
      </c>
      <c r="D29" s="66">
        <v>0.16233500000000001</v>
      </c>
      <c r="E29" s="66">
        <v>0</v>
      </c>
      <c r="F29" s="66">
        <v>52.797899999999998</v>
      </c>
      <c r="G29" s="66">
        <v>0</v>
      </c>
      <c r="H29" s="66">
        <v>117.087</v>
      </c>
    </row>
    <row r="30" spans="1:8">
      <c r="A30" s="58" t="s">
        <v>327</v>
      </c>
      <c r="B30" s="66">
        <v>22.858000000000001</v>
      </c>
      <c r="C30" s="66">
        <v>2.0927699999999998</v>
      </c>
      <c r="D30" s="66">
        <v>9.1555399999999995E-2</v>
      </c>
      <c r="E30" s="66">
        <v>0</v>
      </c>
      <c r="F30" s="66">
        <v>15.276400000000001</v>
      </c>
      <c r="G30" s="66">
        <v>0</v>
      </c>
      <c r="H30" s="66">
        <v>26.0246</v>
      </c>
    </row>
    <row r="31" spans="1:8">
      <c r="A31" s="58" t="s">
        <v>328</v>
      </c>
      <c r="B31" s="66">
        <v>593.41700000000003</v>
      </c>
      <c r="C31" s="66">
        <v>106.071</v>
      </c>
      <c r="D31" s="66">
        <v>0.17874599999999999</v>
      </c>
      <c r="E31" s="66">
        <v>0</v>
      </c>
      <c r="F31" s="66">
        <v>378.25700000000001</v>
      </c>
      <c r="G31" s="66">
        <v>0</v>
      </c>
      <c r="H31" s="66">
        <v>756.25199999999995</v>
      </c>
    </row>
    <row r="32" spans="1:8">
      <c r="A32" s="58" t="s">
        <v>329</v>
      </c>
      <c r="B32" s="66">
        <v>0.29003200000000001</v>
      </c>
      <c r="C32" s="66">
        <v>6.78478E-2</v>
      </c>
      <c r="D32" s="66">
        <v>0.233932</v>
      </c>
      <c r="E32" s="66">
        <v>0.15</v>
      </c>
      <c r="F32" s="66">
        <v>0.190716</v>
      </c>
      <c r="G32" s="66">
        <v>0.4</v>
      </c>
      <c r="H32" s="66">
        <v>0.50630600000000003</v>
      </c>
    </row>
    <row r="33" spans="1:8">
      <c r="A33" s="58" t="s">
        <v>330</v>
      </c>
      <c r="B33" s="66">
        <v>0.395926</v>
      </c>
      <c r="C33" s="66">
        <v>4.3478099999999999E-2</v>
      </c>
      <c r="D33" s="66">
        <v>0.10981399999999999</v>
      </c>
      <c r="E33" s="66">
        <v>0</v>
      </c>
      <c r="F33" s="66">
        <v>0.311554</v>
      </c>
      <c r="G33" s="66">
        <v>0</v>
      </c>
      <c r="H33" s="66">
        <v>0.48093799999999998</v>
      </c>
    </row>
    <row r="34" spans="1:8">
      <c r="A34" s="58" t="s">
        <v>331</v>
      </c>
      <c r="B34" s="66">
        <v>0.23056099999999999</v>
      </c>
      <c r="C34" s="66">
        <v>2.9445900000000001E-2</v>
      </c>
      <c r="D34" s="66">
        <v>0.12771399999999999</v>
      </c>
      <c r="E34" s="66">
        <v>0.1</v>
      </c>
      <c r="F34" s="66">
        <v>0.17779300000000001</v>
      </c>
      <c r="G34" s="66">
        <v>0.25</v>
      </c>
      <c r="H34" s="66">
        <v>0.33427299999999999</v>
      </c>
    </row>
    <row r="35" spans="1:8">
      <c r="A35" s="58" t="s">
        <v>332</v>
      </c>
      <c r="B35" s="66">
        <v>9.9691199999999994E-2</v>
      </c>
      <c r="C35" s="66">
        <v>2.3364099999999999E-2</v>
      </c>
      <c r="D35" s="66">
        <v>0.23436499999999999</v>
      </c>
      <c r="E35" s="66">
        <v>0</v>
      </c>
      <c r="F35" s="66">
        <v>3.1652699999999999E-2</v>
      </c>
      <c r="G35" s="66">
        <v>0</v>
      </c>
      <c r="H35" s="66">
        <v>0.17911099999999999</v>
      </c>
    </row>
    <row r="36" spans="1:8">
      <c r="A36" s="58" t="s">
        <v>333</v>
      </c>
      <c r="B36" s="66">
        <v>0.195775</v>
      </c>
      <c r="C36" s="66">
        <v>0.109491</v>
      </c>
      <c r="D36" s="66">
        <v>0.55927000000000004</v>
      </c>
      <c r="E36" s="66">
        <v>0</v>
      </c>
      <c r="F36" s="66">
        <v>3.5385600000000003E-2</v>
      </c>
      <c r="G36" s="66">
        <v>0</v>
      </c>
      <c r="H36" s="66">
        <v>0.56489100000000003</v>
      </c>
    </row>
    <row r="37" spans="1:8">
      <c r="A37" s="58" t="s">
        <v>334</v>
      </c>
      <c r="B37" s="66">
        <v>0.29445900000000003</v>
      </c>
      <c r="C37" s="66">
        <v>9.61003E-2</v>
      </c>
      <c r="D37" s="66">
        <v>0.32636300000000001</v>
      </c>
      <c r="E37" s="66">
        <v>0.1</v>
      </c>
      <c r="F37" s="66">
        <v>2.1776E-2</v>
      </c>
      <c r="G37" s="66">
        <v>0.5</v>
      </c>
      <c r="H37" s="66">
        <v>0.375143</v>
      </c>
    </row>
    <row r="38" spans="1:8">
      <c r="A38" s="58" t="s">
        <v>335</v>
      </c>
      <c r="B38" s="66">
        <v>-33.369799999999998</v>
      </c>
      <c r="C38" s="66">
        <v>77.5154</v>
      </c>
      <c r="D38" s="66">
        <v>-2.3229199999999999</v>
      </c>
      <c r="E38" s="66">
        <v>0</v>
      </c>
      <c r="F38" s="66">
        <v>-380.52600000000001</v>
      </c>
      <c r="G38" s="66">
        <v>0</v>
      </c>
      <c r="H38" s="66">
        <v>306.86700000000002</v>
      </c>
    </row>
    <row r="39" spans="1:8">
      <c r="A39" s="58" t="s">
        <v>336</v>
      </c>
      <c r="B39" s="66">
        <v>-12.096399999999999</v>
      </c>
      <c r="C39" s="66">
        <v>23.641500000000001</v>
      </c>
      <c r="D39" s="66">
        <v>-1.95442</v>
      </c>
      <c r="E39" s="66">
        <v>0</v>
      </c>
      <c r="F39" s="66">
        <v>-107.901</v>
      </c>
      <c r="G39" s="66">
        <v>0</v>
      </c>
      <c r="H39" s="66">
        <v>131.51</v>
      </c>
    </row>
    <row r="40" spans="1:8">
      <c r="A40" s="58" t="s">
        <v>337</v>
      </c>
      <c r="B40" s="66">
        <v>-4.1259100000000002</v>
      </c>
      <c r="C40" s="66">
        <v>1.77885</v>
      </c>
      <c r="D40" s="66">
        <v>-0.43114200000000003</v>
      </c>
      <c r="E40" s="66">
        <v>0</v>
      </c>
      <c r="F40" s="66">
        <v>-7.0604800000000001</v>
      </c>
      <c r="G40" s="66">
        <v>0</v>
      </c>
      <c r="H40" s="66">
        <v>-1.02071</v>
      </c>
    </row>
    <row r="41" spans="1:8">
      <c r="A41" s="58" t="s">
        <v>338</v>
      </c>
      <c r="B41" s="66">
        <v>-0.16142100000000001</v>
      </c>
      <c r="C41" s="66">
        <v>0.36841299999999999</v>
      </c>
      <c r="D41" s="66">
        <v>-2.2823199999999999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-0.15756999999999999</v>
      </c>
      <c r="C42" s="66">
        <v>0.16519600000000001</v>
      </c>
      <c r="D42" s="66">
        <v>-1.0483899999999999</v>
      </c>
      <c r="E42" s="66">
        <v>0</v>
      </c>
      <c r="F42" s="66">
        <v>-0.54868399999999995</v>
      </c>
      <c r="G42" s="66">
        <v>0</v>
      </c>
      <c r="H42" s="66">
        <v>0.65919799999999995</v>
      </c>
    </row>
    <row r="43" spans="1:8">
      <c r="A43" s="58" t="s">
        <v>340</v>
      </c>
      <c r="B43" s="66">
        <v>-9.0138599999999999E-2</v>
      </c>
      <c r="C43" s="66">
        <v>7.65488E-2</v>
      </c>
      <c r="D43" s="66">
        <v>-0.84923400000000004</v>
      </c>
      <c r="E43" s="66">
        <v>0</v>
      </c>
      <c r="F43" s="66">
        <v>-0.220273</v>
      </c>
      <c r="G43" s="66">
        <v>0</v>
      </c>
      <c r="H43" s="66">
        <v>0.14497199999999999</v>
      </c>
    </row>
    <row r="44" spans="1:8">
      <c r="A44" s="58" t="s">
        <v>341</v>
      </c>
      <c r="B44" s="66">
        <v>-108.185</v>
      </c>
      <c r="C44" s="66">
        <v>34.198599999999999</v>
      </c>
      <c r="D44" s="66">
        <v>-0.316112</v>
      </c>
      <c r="E44" s="66">
        <v>0</v>
      </c>
      <c r="F44" s="66">
        <v>-169.54</v>
      </c>
      <c r="G44" s="66">
        <v>0</v>
      </c>
      <c r="H44" s="66">
        <v>-48.1526</v>
      </c>
    </row>
    <row r="45" spans="1:8">
      <c r="A45" s="58" t="s">
        <v>342</v>
      </c>
      <c r="B45" s="66">
        <v>57.526400000000002</v>
      </c>
      <c r="C45" s="66">
        <v>7.54068</v>
      </c>
      <c r="D45" s="66">
        <v>0.131082</v>
      </c>
      <c r="E45" s="66">
        <v>0</v>
      </c>
      <c r="F45" s="66">
        <v>37.918199999999999</v>
      </c>
      <c r="G45" s="66">
        <v>0</v>
      </c>
      <c r="H45" s="66">
        <v>78.691299999999998</v>
      </c>
    </row>
    <row r="46" spans="1:8">
      <c r="A46" s="58" t="s">
        <v>343</v>
      </c>
      <c r="B46" s="66">
        <v>37.531799999999997</v>
      </c>
      <c r="C46" s="66">
        <v>3.8765800000000001</v>
      </c>
      <c r="D46" s="66">
        <v>0.103288</v>
      </c>
      <c r="E46" s="66">
        <v>0</v>
      </c>
      <c r="F46" s="66">
        <v>21.6555</v>
      </c>
      <c r="G46" s="66">
        <v>0</v>
      </c>
      <c r="H46" s="66">
        <v>41.061100000000003</v>
      </c>
    </row>
    <row r="47" spans="1:8">
      <c r="A47" s="58" t="s">
        <v>344</v>
      </c>
      <c r="B47" s="66">
        <v>0.56610499999999997</v>
      </c>
      <c r="C47" s="66">
        <v>0.34982400000000002</v>
      </c>
      <c r="D47" s="66">
        <v>0.61794800000000005</v>
      </c>
      <c r="E47" s="66">
        <v>0</v>
      </c>
      <c r="F47" s="66">
        <v>0.19908300000000001</v>
      </c>
      <c r="G47" s="66">
        <v>0</v>
      </c>
      <c r="H47" s="66">
        <v>2.61503</v>
      </c>
    </row>
    <row r="48" spans="1:8">
      <c r="A48" s="58" t="s">
        <v>345</v>
      </c>
      <c r="B48" s="66">
        <v>0.54340900000000003</v>
      </c>
      <c r="C48" s="66">
        <v>0.18772800000000001</v>
      </c>
      <c r="D48" s="66">
        <v>0.34546300000000002</v>
      </c>
      <c r="E48" s="66">
        <v>0</v>
      </c>
      <c r="F48" s="66">
        <v>0.30196400000000001</v>
      </c>
      <c r="G48" s="66">
        <v>0</v>
      </c>
      <c r="H48" s="66">
        <v>0.95598099999999997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4.0142999999999986</v>
      </c>
      <c r="C5" s="66">
        <f>'M2'!C5-'M1'!C5</f>
        <v>0.63085000000000058</v>
      </c>
      <c r="D5" s="66">
        <f>'M2'!D5-'M1'!D5</f>
        <v>0.36730000000000018</v>
      </c>
      <c r="E5" s="66">
        <f>'M2'!E5-'M1'!E5</f>
        <v>0</v>
      </c>
      <c r="F5" s="66">
        <f>'M2'!F5-'M1'!F5</f>
        <v>14.033600000000003</v>
      </c>
      <c r="G5" s="66">
        <f>'M2'!G5-'M1'!G5</f>
        <v>0</v>
      </c>
      <c r="H5" s="66">
        <f>'M2'!H5-'M1'!H5</f>
        <v>14.646799999999999</v>
      </c>
    </row>
    <row r="6" spans="1:8">
      <c r="A6" s="66" t="s">
        <v>244</v>
      </c>
      <c r="B6" s="66">
        <f>'M2'!B6-'M1'!B6</f>
        <v>11.162499999999998</v>
      </c>
      <c r="C6" s="66">
        <f>'M2'!C6-'M1'!C6</f>
        <v>-1.77094</v>
      </c>
      <c r="D6" s="66">
        <f>'M2'!D6-'M1'!D6</f>
        <v>-7.7930600000000005</v>
      </c>
      <c r="E6" s="66">
        <f>'M2'!E6-'M1'!E6</f>
        <v>0</v>
      </c>
      <c r="F6" s="66">
        <f>'M2'!F6-'M1'!F6</f>
        <v>9.5829999999999984</v>
      </c>
      <c r="G6" s="66">
        <f>'M2'!G6-'M1'!G6</f>
        <v>0</v>
      </c>
      <c r="H6" s="66">
        <f>'M2'!H6-'M1'!H6</f>
        <v>2.6745000000000019</v>
      </c>
    </row>
    <row r="7" spans="1:8">
      <c r="A7" s="66" t="s">
        <v>245</v>
      </c>
      <c r="B7" s="66">
        <f>'M2'!B7-'M1'!B7</f>
        <v>2.7828999999999979</v>
      </c>
      <c r="C7" s="66">
        <f>'M2'!C7-'M1'!C7</f>
        <v>-2.3475699999999993</v>
      </c>
      <c r="D7" s="66">
        <f>'M2'!D7-'M1'!D7</f>
        <v>-10.105900000000002</v>
      </c>
      <c r="E7" s="66">
        <f>'M2'!E7-'M1'!E7</f>
        <v>0</v>
      </c>
      <c r="F7" s="66">
        <f>'M2'!F7-'M1'!F7</f>
        <v>0.86759999999999948</v>
      </c>
      <c r="G7" s="66">
        <f>'M2'!G7-'M1'!G7</f>
        <v>0</v>
      </c>
      <c r="H7" s="66">
        <f>'M2'!H7-'M1'!H7</f>
        <v>1.078400000000002</v>
      </c>
    </row>
    <row r="8" spans="1:8">
      <c r="A8" s="66" t="s">
        <v>246</v>
      </c>
      <c r="B8" s="66">
        <f>'M2'!B8-'M1'!B8</f>
        <v>5.3978999999999999</v>
      </c>
      <c r="C8" s="66">
        <f>'M2'!C8-'M1'!C8</f>
        <v>-1.2939300000000002</v>
      </c>
      <c r="D8" s="66">
        <f>'M2'!D8-'M1'!D8</f>
        <v>-4.0953999999999997</v>
      </c>
      <c r="E8" s="66">
        <f>'M2'!E8-'M1'!E8</f>
        <v>0</v>
      </c>
      <c r="F8" s="66">
        <f>'M2'!F8-'M1'!F8</f>
        <v>8.7049999999999983</v>
      </c>
      <c r="G8" s="66">
        <f>'M2'!G8-'M1'!G8</f>
        <v>0</v>
      </c>
      <c r="H8" s="66">
        <f>'M2'!H8-'M1'!H8</f>
        <v>2.1935000000000002</v>
      </c>
    </row>
    <row r="9" spans="1:8">
      <c r="A9" s="66" t="s">
        <v>247</v>
      </c>
      <c r="B9" s="66">
        <f>'M2'!B9-'M1'!B9</f>
        <v>-9.4287999999999954</v>
      </c>
      <c r="C9" s="66">
        <f>'M2'!C9-'M1'!C9</f>
        <v>1.6151600000000013</v>
      </c>
      <c r="D9" s="66">
        <f>'M2'!D9-'M1'!D9</f>
        <v>5.9750999999999994</v>
      </c>
      <c r="E9" s="66">
        <f>'M2'!E9-'M1'!E9</f>
        <v>0</v>
      </c>
      <c r="F9" s="66">
        <f>'M2'!F9-'M1'!F9</f>
        <v>-8.4626999999999981</v>
      </c>
      <c r="G9" s="66">
        <f>'M2'!G9-'M1'!G9</f>
        <v>0</v>
      </c>
      <c r="H9" s="66">
        <f>'M2'!H9-'M1'!H9</f>
        <v>-4.3475999999999999</v>
      </c>
    </row>
    <row r="10" spans="1:8">
      <c r="A10" s="66" t="s">
        <v>248</v>
      </c>
      <c r="B10" s="66">
        <f>'M2'!B10-'M1'!B10</f>
        <v>-20.534800000000004</v>
      </c>
      <c r="C10" s="66">
        <f>'M2'!C10-'M1'!C10</f>
        <v>-1.6526000000000001</v>
      </c>
      <c r="D10" s="66">
        <f>'M2'!D10-'M1'!D10</f>
        <v>-0.78986999999999963</v>
      </c>
      <c r="E10" s="66">
        <f>'M2'!E10-'M1'!E10</f>
        <v>0</v>
      </c>
      <c r="F10" s="66">
        <f>'M2'!F10-'M1'!F10</f>
        <v>-16.141199999999998</v>
      </c>
      <c r="G10" s="66">
        <f>'M2'!G10-'M1'!G10</f>
        <v>0</v>
      </c>
      <c r="H10" s="66">
        <f>'M2'!H10-'M1'!H10</f>
        <v>-17.9071</v>
      </c>
    </row>
    <row r="11" spans="1:8">
      <c r="A11" s="66" t="s">
        <v>249</v>
      </c>
      <c r="B11" s="66">
        <f>'M2'!B11-'M1'!B11</f>
        <v>-5.1778000000000013</v>
      </c>
      <c r="C11" s="66">
        <f>'M2'!C11-'M1'!C11</f>
        <v>1.4148699999999996</v>
      </c>
      <c r="D11" s="66">
        <f>'M2'!D11-'M1'!D11</f>
        <v>13.1943</v>
      </c>
      <c r="E11" s="66">
        <f>'M2'!E11-'M1'!E11</f>
        <v>0</v>
      </c>
      <c r="F11" s="66">
        <f>'M2'!F11-'M1'!F11</f>
        <v>-6.4629500000000011</v>
      </c>
      <c r="G11" s="66">
        <f>'M2'!G11-'M1'!G11</f>
        <v>0</v>
      </c>
      <c r="H11" s="66">
        <f>'M2'!H11-'M1'!H11</f>
        <v>-5.2021999999999977</v>
      </c>
    </row>
    <row r="12" spans="1:8">
      <c r="A12" s="66" t="s">
        <v>250</v>
      </c>
      <c r="B12" s="66">
        <f>'M2'!B12-'M1'!B12</f>
        <v>-16.188500000000005</v>
      </c>
      <c r="C12" s="66">
        <f>'M2'!C12-'M1'!C12</f>
        <v>-0.27243999999999957</v>
      </c>
      <c r="D12" s="66">
        <f>'M2'!D12-'M1'!D12</f>
        <v>2.0046099999999996</v>
      </c>
      <c r="E12" s="66">
        <f>'M2'!E12-'M1'!E12</f>
        <v>0</v>
      </c>
      <c r="F12" s="66">
        <f>'M2'!F12-'M1'!F12</f>
        <v>-12.540299999999995</v>
      </c>
      <c r="G12" s="66">
        <f>'M2'!G12-'M1'!G12</f>
        <v>0</v>
      </c>
      <c r="H12" s="66">
        <f>'M2'!H12-'M1'!H12</f>
        <v>-10.837900000000005</v>
      </c>
    </row>
    <row r="13" spans="1:8">
      <c r="A13" s="66" t="s">
        <v>251</v>
      </c>
      <c r="B13" s="66">
        <f>'M2'!B13-'M1'!B13</f>
        <v>0.77779999999999916</v>
      </c>
      <c r="C13" s="66">
        <f>'M2'!C13-'M1'!C13</f>
        <v>0.70155000000000012</v>
      </c>
      <c r="D13" s="66">
        <f>'M2'!D13-'M1'!D13</f>
        <v>2.6456</v>
      </c>
      <c r="E13" s="66">
        <f>'M2'!E13-'M1'!E13</f>
        <v>0</v>
      </c>
      <c r="F13" s="66">
        <f>'M2'!F13-'M1'!F13</f>
        <v>2.5876000000000019</v>
      </c>
      <c r="G13" s="66">
        <f>'M2'!G13-'M1'!G13</f>
        <v>0</v>
      </c>
      <c r="H13" s="66">
        <f>'M2'!H13-'M1'!H13</f>
        <v>2.1318999999999981</v>
      </c>
    </row>
    <row r="14" spans="1:8">
      <c r="A14" s="66" t="s">
        <v>252</v>
      </c>
      <c r="B14" s="66">
        <f>'M2'!B14-'M1'!B14</f>
        <v>7.0154999999999994</v>
      </c>
      <c r="C14" s="66">
        <f>'M2'!C14-'M1'!C14</f>
        <v>0.23430999999999891</v>
      </c>
      <c r="D14" s="66">
        <f>'M2'!D14-'M1'!D14</f>
        <v>-7.713000000000001</v>
      </c>
      <c r="E14" s="66">
        <f>'M2'!E14-'M1'!E14</f>
        <v>0</v>
      </c>
      <c r="F14" s="66">
        <f>'M2'!F14-'M1'!F14</f>
        <v>2.3665799999999999</v>
      </c>
      <c r="G14" s="66">
        <f>'M2'!G14-'M1'!G14</f>
        <v>0</v>
      </c>
      <c r="H14" s="66">
        <f>'M2'!H14-'M1'!H14</f>
        <v>4.6550000000000011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0.22503840000000003</v>
      </c>
      <c r="C18" s="66">
        <f>'M2'!C18-'M1'!C18</f>
        <v>1.6902799999999999E-2</v>
      </c>
      <c r="D18" s="66">
        <f>'M2'!D18-'M1'!D18</f>
        <v>6.4165700000000006E-2</v>
      </c>
      <c r="E18" s="66">
        <f>'M2'!E18-'M1'!E18</f>
        <v>0</v>
      </c>
      <c r="F18" s="66">
        <f>'M2'!F18-'M1'!F18</f>
        <v>0.24652199999999999</v>
      </c>
      <c r="G18" s="66">
        <f>'M2'!G18-'M1'!G18</f>
        <v>0</v>
      </c>
      <c r="H18" s="66">
        <f>'M2'!H18-'M1'!H18</f>
        <v>0.28032800000000002</v>
      </c>
    </row>
    <row r="19" spans="1:8">
      <c r="A19" s="66" t="s">
        <v>256</v>
      </c>
      <c r="B19" s="66">
        <f>'M2'!B19-'M1'!B19</f>
        <v>-3.4897999999999985E-2</v>
      </c>
      <c r="C19" s="66">
        <f>'M2'!C19-'M1'!C19</f>
        <v>2.13916E-2</v>
      </c>
      <c r="D19" s="66">
        <f>'M2'!D19-'M1'!D19</f>
        <v>3.84023E-2</v>
      </c>
      <c r="E19" s="66">
        <f>'M2'!E19-'M1'!E19</f>
        <v>0</v>
      </c>
      <c r="F19" s="66">
        <f>'M2'!F19-'M1'!F19</f>
        <v>0.53564800000000001</v>
      </c>
      <c r="G19" s="66">
        <f>'M2'!G19-'M1'!G19</f>
        <v>0</v>
      </c>
      <c r="H19" s="66">
        <f>'M2'!H19-'M1'!H19</f>
        <v>0.57843100000000003</v>
      </c>
    </row>
    <row r="20" spans="1:8">
      <c r="A20" s="66" t="s">
        <v>63</v>
      </c>
      <c r="B20" s="66">
        <f>'M2'!B20-'M1'!B20</f>
        <v>7.6606000000000005E-5</v>
      </c>
      <c r="C20" s="66">
        <f>'M2'!C20-'M1'!C20</f>
        <v>-2.9315000000000001E-3</v>
      </c>
      <c r="D20" s="66">
        <f>'M2'!D20-'M1'!D20</f>
        <v>-29.822899999999997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-0.26223000000000002</v>
      </c>
    </row>
    <row r="21" spans="1:8">
      <c r="A21" s="66" t="s">
        <v>64</v>
      </c>
      <c r="B21" s="66">
        <f>'M2'!B21-'M1'!B21</f>
        <v>-3.6191200000000007E-2</v>
      </c>
      <c r="C21" s="66">
        <f>'M2'!C21-'M1'!C21</f>
        <v>-0.10958490000000001</v>
      </c>
      <c r="D21" s="66">
        <f>'M2'!D21-'M1'!D21</f>
        <v>-0.77656999999999998</v>
      </c>
      <c r="E21" s="66">
        <f>'M2'!E21-'M1'!E21</f>
        <v>0</v>
      </c>
      <c r="F21" s="66">
        <f>'M2'!F21-'M1'!F21</f>
        <v>-2.1717999999999998E-4</v>
      </c>
      <c r="G21" s="66">
        <f>'M2'!G21-'M1'!G21</f>
        <v>0</v>
      </c>
      <c r="H21" s="66">
        <f>'M2'!H21-'M1'!H21</f>
        <v>-1.1766420000000002</v>
      </c>
    </row>
    <row r="22" spans="1:8">
      <c r="A22" s="66" t="s">
        <v>65</v>
      </c>
      <c r="B22" s="66">
        <f>'M2'!B22-'M1'!B22</f>
        <v>23.635299999999994</v>
      </c>
      <c r="C22" s="66">
        <f>'M2'!C22-'M1'!C22</f>
        <v>3.8932000000000002</v>
      </c>
      <c r="D22" s="66">
        <f>'M2'!D22-'M1'!D22</f>
        <v>-8.1556999999999991E-2</v>
      </c>
      <c r="E22" s="66">
        <f>'M2'!E22-'M1'!E22</f>
        <v>0</v>
      </c>
      <c r="F22" s="66">
        <f>'M2'!F22-'M1'!F22</f>
        <v>4.1013000000000019</v>
      </c>
      <c r="G22" s="66">
        <f>'M2'!G22-'M1'!G22</f>
        <v>0</v>
      </c>
      <c r="H22" s="66">
        <f>'M2'!H22-'M1'!H22</f>
        <v>2.228999999999985</v>
      </c>
    </row>
    <row r="23" spans="1:8">
      <c r="A23" s="66" t="s">
        <v>66</v>
      </c>
      <c r="B23" s="66">
        <f>'M2'!B23-'M1'!B23</f>
        <v>13.7028</v>
      </c>
      <c r="C23" s="66">
        <f>'M2'!C23-'M1'!C23</f>
        <v>-1.1380299999999997</v>
      </c>
      <c r="D23" s="66">
        <f>'M2'!D23-'M1'!D23</f>
        <v>-0.16106300000000001</v>
      </c>
      <c r="E23" s="66">
        <f>'M2'!E23-'M1'!E23</f>
        <v>0</v>
      </c>
      <c r="F23" s="66">
        <f>'M2'!F23-'M1'!F23</f>
        <v>13.3438</v>
      </c>
      <c r="G23" s="66">
        <f>'M2'!G23-'M1'!G23</f>
        <v>0</v>
      </c>
      <c r="H23" s="66">
        <f>'M2'!H23-'M1'!H23</f>
        <v>6.9244000000000021</v>
      </c>
    </row>
    <row r="24" spans="1:8">
      <c r="A24" s="66" t="s">
        <v>67</v>
      </c>
      <c r="B24" s="66">
        <f>'M2'!B24-'M1'!B24</f>
        <v>1.3257000000000008E-3</v>
      </c>
      <c r="C24" s="66">
        <f>'M2'!C24-'M1'!C24</f>
        <v>-2.1640000000000027E-4</v>
      </c>
      <c r="D24" s="66">
        <f>'M2'!D24-'M1'!D24</f>
        <v>-0.20145999999999997</v>
      </c>
      <c r="E24" s="66">
        <f>'M2'!E24-'M1'!E24</f>
        <v>0</v>
      </c>
      <c r="F24" s="66">
        <f>'M2'!F24-'M1'!F24</f>
        <v>1.8110000000000001E-6</v>
      </c>
      <c r="G24" s="66">
        <f>'M2'!G24-'M1'!G24</f>
        <v>0</v>
      </c>
      <c r="H24" s="66">
        <f>'M2'!H24-'M1'!H24</f>
        <v>7.0266000000000009E-3</v>
      </c>
    </row>
    <row r="25" spans="1:8">
      <c r="A25" s="66" t="s">
        <v>68</v>
      </c>
      <c r="B25" s="66">
        <f>'M2'!B25-'M1'!B25</f>
        <v>-2.5522300000000012E-2</v>
      </c>
      <c r="C25" s="66">
        <f>'M2'!C25-'M1'!C25</f>
        <v>-7.3585899999999996E-2</v>
      </c>
      <c r="D25" s="66">
        <f>'M2'!D25-'M1'!D25</f>
        <v>-0.70528799999999991</v>
      </c>
      <c r="E25" s="66">
        <f>'M2'!E25-'M1'!E25</f>
        <v>0</v>
      </c>
      <c r="F25" s="66">
        <f>'M2'!F25-'M1'!F25</f>
        <v>-1.3815399999999999E-2</v>
      </c>
      <c r="G25" s="66">
        <f>'M2'!G25-'M1'!G25</f>
        <v>0</v>
      </c>
      <c r="H25" s="66">
        <f>'M2'!H25-'M1'!H25</f>
        <v>-0.40754999999999997</v>
      </c>
    </row>
    <row r="26" spans="1:8">
      <c r="A26" s="66" t="s">
        <v>69</v>
      </c>
      <c r="B26" s="66">
        <f>'M2'!B26-'M1'!B26</f>
        <v>2.1336400000000001E-5</v>
      </c>
      <c r="C26" s="66">
        <f>'M2'!C26-'M1'!C26</f>
        <v>-5.4100999999999997E-4</v>
      </c>
      <c r="D26" s="66">
        <f>'M2'!D26-'M1'!D26</f>
        <v>-8.9819999999999993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-3.3790700000000007E-2</v>
      </c>
    </row>
    <row r="27" spans="1:8">
      <c r="A27" s="66" t="s">
        <v>70</v>
      </c>
      <c r="B27" s="66">
        <f>'M2'!B27-'M1'!B27</f>
        <v>0</v>
      </c>
      <c r="C27" s="66">
        <f>'M2'!C27-'M1'!C27</f>
        <v>-1.6999900000000002E-3</v>
      </c>
      <c r="D27" s="66">
        <f>'M2'!D27-'M1'!D27</f>
        <v>258.94400000000002</v>
      </c>
      <c r="E27" s="66">
        <f>'M2'!E27-'M1'!E27</f>
        <v>0</v>
      </c>
      <c r="F27" s="66">
        <f>'M2'!F27-'M1'!F27</f>
        <v>4.9612700000000003E-2</v>
      </c>
      <c r="G27" s="66">
        <f>'M2'!G27-'M1'!G27</f>
        <v>0</v>
      </c>
      <c r="H27" s="66">
        <f>'M2'!H27-'M1'!H27</f>
        <v>-3.7385100000000004E-2</v>
      </c>
    </row>
    <row r="28" spans="1:8">
      <c r="A28" s="66" t="s">
        <v>71</v>
      </c>
      <c r="B28" s="66">
        <f>'M2'!B28-'M1'!B28</f>
        <v>-2.0686899999999998E-3</v>
      </c>
      <c r="C28" s="66">
        <f>'M2'!C28-'M1'!C28</f>
        <v>-1.1380190000000002E-2</v>
      </c>
      <c r="D28" s="66">
        <f>'M2'!D28-'M1'!D28</f>
        <v>-1.3249099999999998</v>
      </c>
      <c r="E28" s="66">
        <f>'M2'!E28-'M1'!E28</f>
        <v>0</v>
      </c>
      <c r="F28" s="66">
        <f>'M2'!F28-'M1'!F28</f>
        <v>-6.1849299999999991E-5</v>
      </c>
      <c r="G28" s="66">
        <f>'M2'!G28-'M1'!G28</f>
        <v>0</v>
      </c>
      <c r="H28" s="66">
        <f>'M2'!H28-'M1'!H28</f>
        <v>-8.5348299999999988E-2</v>
      </c>
    </row>
    <row r="29" spans="1:8">
      <c r="A29" s="66" t="s">
        <v>72</v>
      </c>
      <c r="B29" s="66">
        <f>'M2'!B29-'M1'!B29</f>
        <v>11.818700000000007</v>
      </c>
      <c r="C29" s="66">
        <f>'M2'!C29-'M1'!C29</f>
        <v>0.56610000000000049</v>
      </c>
      <c r="D29" s="66">
        <f>'M2'!D29-'M1'!D29</f>
        <v>-1.457E-2</v>
      </c>
      <c r="E29" s="66">
        <f>'M2'!E29-'M1'!E29</f>
        <v>0</v>
      </c>
      <c r="F29" s="66">
        <f>'M2'!F29-'M1'!F29</f>
        <v>5.8278000000000034</v>
      </c>
      <c r="G29" s="66">
        <f>'M2'!G29-'M1'!G29</f>
        <v>0</v>
      </c>
      <c r="H29" s="66">
        <f>'M2'!H29-'M1'!H29</f>
        <v>4.5040000000000049</v>
      </c>
    </row>
    <row r="30" spans="1:8">
      <c r="A30" s="66" t="s">
        <v>73</v>
      </c>
      <c r="B30" s="66">
        <f>'M2'!B30-'M1'!B30</f>
        <v>1.8003999999999998</v>
      </c>
      <c r="C30" s="66">
        <f>'M2'!C30-'M1'!C30</f>
        <v>-1.2640000000000002</v>
      </c>
      <c r="D30" s="66">
        <f>'M2'!D30-'M1'!D30</f>
        <v>-6.2109400000000002E-2</v>
      </c>
      <c r="E30" s="66">
        <f>'M2'!E30-'M1'!E30</f>
        <v>0</v>
      </c>
      <c r="F30" s="66">
        <f>'M2'!F30-'M1'!F30</f>
        <v>6.0054999999999996</v>
      </c>
      <c r="G30" s="66">
        <f>'M2'!G30-'M1'!G30</f>
        <v>0</v>
      </c>
      <c r="H30" s="66">
        <f>'M2'!H30-'M1'!H30</f>
        <v>-0.16310000000000002</v>
      </c>
    </row>
    <row r="31" spans="1:8">
      <c r="A31" s="66" t="s">
        <v>74</v>
      </c>
      <c r="B31" s="66">
        <f>'M2'!B31-'M1'!B31</f>
        <v>27.290000000000077</v>
      </c>
      <c r="C31" s="66">
        <f>'M2'!C31-'M1'!C31</f>
        <v>-10.022000000000006</v>
      </c>
      <c r="D31" s="66">
        <f>'M2'!D31-'M1'!D31</f>
        <v>-2.5528999999999996E-2</v>
      </c>
      <c r="E31" s="66">
        <f>'M2'!E31-'M1'!E31</f>
        <v>0</v>
      </c>
      <c r="F31" s="66">
        <f>'M2'!F31-'M1'!F31</f>
        <v>42.56</v>
      </c>
      <c r="G31" s="66">
        <f>'M2'!G31-'M1'!G31</f>
        <v>0</v>
      </c>
      <c r="H31" s="66">
        <f>'M2'!H31-'M1'!H31</f>
        <v>-9.45799999999997</v>
      </c>
    </row>
    <row r="32" spans="1:8">
      <c r="A32" s="66" t="s">
        <v>75</v>
      </c>
      <c r="B32" s="66">
        <f>'M2'!B32-'M1'!B32</f>
        <v>2.7828999999999993E-2</v>
      </c>
      <c r="C32" s="66">
        <f>'M2'!C32-'M1'!C32</f>
        <v>-2.3475699999999995E-2</v>
      </c>
      <c r="D32" s="66">
        <f>'M2'!D32-'M1'!D32</f>
        <v>-0.10105900000000001</v>
      </c>
      <c r="E32" s="66">
        <f>'M2'!E32-'M1'!E32</f>
        <v>0</v>
      </c>
      <c r="F32" s="66">
        <f>'M2'!F32-'M1'!F32</f>
        <v>8.676000000000017E-3</v>
      </c>
      <c r="G32" s="66">
        <f>'M2'!G32-'M1'!G32</f>
        <v>0</v>
      </c>
      <c r="H32" s="66">
        <f>'M2'!H32-'M1'!H32</f>
        <v>1.0784000000000016E-2</v>
      </c>
    </row>
    <row r="33" spans="1:8">
      <c r="A33" s="66" t="s">
        <v>76</v>
      </c>
      <c r="B33" s="66">
        <f>'M2'!B33-'M1'!B33</f>
        <v>6.9230999999999987E-2</v>
      </c>
      <c r="C33" s="66">
        <f>'M2'!C33-'M1'!C33</f>
        <v>5.7562999999999989E-3</v>
      </c>
      <c r="D33" s="66">
        <f>'M2'!D33-'M1'!D33</f>
        <v>2.0469000000000043E-3</v>
      </c>
      <c r="E33" s="66">
        <f>'M2'!E33-'M1'!E33</f>
        <v>0</v>
      </c>
      <c r="F33" s="66">
        <f>'M2'!F33-'M1'!F33</f>
        <v>5.0030999999999992E-2</v>
      </c>
      <c r="G33" s="66">
        <f>'M2'!G33-'M1'!G33</f>
        <v>0</v>
      </c>
      <c r="H33" s="66">
        <f>'M2'!H33-'M1'!H33</f>
        <v>6.1560999999999977E-2</v>
      </c>
    </row>
    <row r="34" spans="1:8">
      <c r="A34" s="66" t="s">
        <v>77</v>
      </c>
      <c r="B34" s="66">
        <f>'M2'!B34-'M1'!B34</f>
        <v>7.7779999999999794E-3</v>
      </c>
      <c r="C34" s="66">
        <f>'M2'!C34-'M1'!C34</f>
        <v>7.0155000000000009E-3</v>
      </c>
      <c r="D34" s="66">
        <f>'M2'!D34-'M1'!D34</f>
        <v>2.6456000000000007E-2</v>
      </c>
      <c r="E34" s="66">
        <f>'M2'!E34-'M1'!E34</f>
        <v>0</v>
      </c>
      <c r="F34" s="66">
        <f>'M2'!F34-'M1'!F34</f>
        <v>2.5875999999999982E-2</v>
      </c>
      <c r="G34" s="66">
        <f>'M2'!G34-'M1'!G34</f>
        <v>0</v>
      </c>
      <c r="H34" s="66">
        <f>'M2'!H34-'M1'!H34</f>
        <v>2.1320000000000006E-2</v>
      </c>
    </row>
    <row r="35" spans="1:8">
      <c r="A35" s="66" t="s">
        <v>78</v>
      </c>
      <c r="B35" s="66">
        <f>'M2'!B35-'M1'!B35</f>
        <v>6.6503000000000118E-3</v>
      </c>
      <c r="C35" s="66">
        <f>'M2'!C35-'M1'!C35</f>
        <v>6.885299999999997E-3</v>
      </c>
      <c r="D35" s="66">
        <f>'M2'!D35-'M1'!D35</f>
        <v>5.3478999999999999E-2</v>
      </c>
      <c r="E35" s="66">
        <f>'M2'!E35-'M1'!E35</f>
        <v>0</v>
      </c>
      <c r="F35" s="66">
        <f>'M2'!F35-'M1'!F35</f>
        <v>-1.8337000000000006E-3</v>
      </c>
      <c r="G35" s="66">
        <f>'M2'!G35-'M1'!G35</f>
        <v>0</v>
      </c>
      <c r="H35" s="66">
        <f>'M2'!H35-'M1'!H35</f>
        <v>3.4991999999999995E-2</v>
      </c>
    </row>
    <row r="36" spans="1:8">
      <c r="A36" s="66" t="s">
        <v>79</v>
      </c>
      <c r="B36" s="66">
        <f>'M2'!B36-'M1'!B36</f>
        <v>9.4279999999999919E-3</v>
      </c>
      <c r="C36" s="66">
        <f>'M2'!C36-'M1'!C36</f>
        <v>1.2637999999999996E-2</v>
      </c>
      <c r="D36" s="66">
        <f>'M2'!D36-'M1'!D36</f>
        <v>3.7586000000000008E-2</v>
      </c>
      <c r="E36" s="66">
        <f>'M2'!E36-'M1'!E36</f>
        <v>0</v>
      </c>
      <c r="F36" s="66">
        <f>'M2'!F36-'M1'!F36</f>
        <v>8.2229999999999803E-4</v>
      </c>
      <c r="G36" s="66">
        <f>'M2'!G36-'M1'!G36</f>
        <v>0</v>
      </c>
      <c r="H36" s="66">
        <f>'M2'!H36-'M1'!H36</f>
        <v>0.10636700000000004</v>
      </c>
    </row>
    <row r="37" spans="1:8">
      <c r="A37" s="66" t="s">
        <v>80</v>
      </c>
      <c r="B37" s="66">
        <f>'M2'!B37-'M1'!B37</f>
        <v>7.0155000000000023E-2</v>
      </c>
      <c r="C37" s="66">
        <f>'M2'!C37-'M1'!C37</f>
        <v>2.3431000000000007E-3</v>
      </c>
      <c r="D37" s="66">
        <f>'M2'!D37-'M1'!D37</f>
        <v>-7.7129999999999976E-2</v>
      </c>
      <c r="E37" s="66">
        <f>'M2'!E37-'M1'!E37</f>
        <v>0</v>
      </c>
      <c r="F37" s="66">
        <f>'M2'!F37-'M1'!F37</f>
        <v>2.3665799999999997E-2</v>
      </c>
      <c r="G37" s="66">
        <f>'M2'!G37-'M1'!G37</f>
        <v>0</v>
      </c>
      <c r="H37" s="66">
        <f>'M2'!H37-'M1'!H37</f>
        <v>4.654999999999998E-2</v>
      </c>
    </row>
    <row r="38" spans="1:8">
      <c r="A38" s="66" t="s">
        <v>81</v>
      </c>
      <c r="B38" s="66">
        <f>'M2'!B38-'M1'!B38</f>
        <v>-14.491800000000001</v>
      </c>
      <c r="C38" s="66">
        <f>'M2'!C38-'M1'!C38</f>
        <v>9.5124999999999886</v>
      </c>
      <c r="D38" s="66">
        <f>'M2'!D38-'M1'!D38</f>
        <v>0.73387000000000002</v>
      </c>
      <c r="E38" s="66">
        <f>'M2'!E38-'M1'!E38</f>
        <v>0</v>
      </c>
      <c r="F38" s="66">
        <f>'M2'!F38-'M1'!F38</f>
        <v>145.95100000000002</v>
      </c>
      <c r="G38" s="66">
        <f>'M2'!G38-'M1'!G38</f>
        <v>0</v>
      </c>
      <c r="H38" s="66">
        <f>'M2'!H38-'M1'!H38</f>
        <v>68.263000000000005</v>
      </c>
    </row>
    <row r="39" spans="1:8">
      <c r="A39" s="66" t="s">
        <v>82</v>
      </c>
      <c r="B39" s="66">
        <f>'M2'!B39-'M1'!B39</f>
        <v>-4.1004000000000005</v>
      </c>
      <c r="C39" s="66">
        <f>'M2'!C39-'M1'!C39</f>
        <v>3.3444000000000003</v>
      </c>
      <c r="D39" s="66">
        <f>'M2'!D39-'M1'!D39</f>
        <v>0.3623200000000002</v>
      </c>
      <c r="E39" s="66">
        <f>'M2'!E39-'M1'!E39</f>
        <v>0</v>
      </c>
      <c r="F39" s="66">
        <f>'M2'!F39-'M1'!F39</f>
        <v>19.633499999999998</v>
      </c>
      <c r="G39" s="66">
        <f>'M2'!G39-'M1'!G39</f>
        <v>0</v>
      </c>
      <c r="H39" s="66">
        <f>'M2'!H39-'M1'!H39</f>
        <v>119.1977</v>
      </c>
    </row>
    <row r="40" spans="1:8">
      <c r="A40" s="66" t="s">
        <v>83</v>
      </c>
      <c r="B40" s="66">
        <f>'M2'!B40-'M1'!B40</f>
        <v>-3.3167299999999997</v>
      </c>
      <c r="C40" s="66">
        <f>'M2'!C40-'M1'!C40</f>
        <v>8.0621000000000054E-2</v>
      </c>
      <c r="D40" s="66">
        <f>'M2'!D40-'M1'!D40</f>
        <v>0.19214600000000001</v>
      </c>
      <c r="E40" s="66">
        <f>'M2'!E40-'M1'!E40</f>
        <v>0</v>
      </c>
      <c r="F40" s="66">
        <f>'M2'!F40-'M1'!F40</f>
        <v>-1.5249699999999997</v>
      </c>
      <c r="G40" s="66">
        <f>'M2'!G40-'M1'!G40</f>
        <v>0</v>
      </c>
      <c r="H40" s="66">
        <f>'M2'!H40-'M1'!H40</f>
        <v>-3.0670199999999994</v>
      </c>
    </row>
    <row r="41" spans="1:8">
      <c r="A41" s="66" t="s">
        <v>84</v>
      </c>
      <c r="B41" s="66">
        <f>'M2'!B41-'M1'!B41</f>
        <v>-2.5195000000000023E-2</v>
      </c>
      <c r="C41" s="66">
        <f>'M2'!C41-'M1'!C41</f>
        <v>7.9489999999999839E-3</v>
      </c>
      <c r="D41" s="66">
        <f>'M2'!D41-'M1'!D41</f>
        <v>0.27811999999999992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-9.4860000000000222E-3</v>
      </c>
      <c r="C42" s="66">
        <f>'M2'!C42-'M1'!C42</f>
        <v>-2.0929999999999838E-3</v>
      </c>
      <c r="D42" s="66">
        <f>'M2'!D42-'M1'!D42</f>
        <v>7.5620000000000021E-2</v>
      </c>
      <c r="E42" s="66">
        <f>'M2'!E42-'M1'!E42</f>
        <v>0</v>
      </c>
      <c r="F42" s="66">
        <f>'M2'!F42-'M1'!F42</f>
        <v>7.9253999999999936E-2</v>
      </c>
      <c r="G42" s="66">
        <f>'M2'!G42-'M1'!G42</f>
        <v>0</v>
      </c>
      <c r="H42" s="66">
        <f>'M2'!H42-'M1'!H42</f>
        <v>0.53088000000000002</v>
      </c>
    </row>
    <row r="43" spans="1:8">
      <c r="A43" s="66" t="s">
        <v>86</v>
      </c>
      <c r="B43" s="66">
        <f>'M2'!B43-'M1'!B43</f>
        <v>-5.5438000000000001E-2</v>
      </c>
      <c r="C43" s="66">
        <f>'M2'!C43-'M1'!C43</f>
        <v>-1.9249200000000001E-2</v>
      </c>
      <c r="D43" s="66">
        <f>'M2'!D43-'M1'!D43</f>
        <v>0.61438800000000005</v>
      </c>
      <c r="E43" s="66">
        <f>'M2'!E43-'M1'!E43</f>
        <v>0</v>
      </c>
      <c r="F43" s="66">
        <f>'M2'!F43-'M1'!F43</f>
        <v>-5.2917999999999993E-2</v>
      </c>
      <c r="G43" s="66">
        <f>'M2'!G43-'M1'!G43</f>
        <v>0</v>
      </c>
      <c r="H43" s="66">
        <f>'M2'!H43-'M1'!H43</f>
        <v>-0.19965539999999998</v>
      </c>
    </row>
    <row r="44" spans="1:8">
      <c r="A44" s="66" t="s">
        <v>87</v>
      </c>
      <c r="B44" s="66">
        <f>'M2'!B44-'M1'!B44</f>
        <v>10.997</v>
      </c>
      <c r="C44" s="66">
        <f>'M2'!C44-'M1'!C44</f>
        <v>-0.40700000000000358</v>
      </c>
      <c r="D44" s="66">
        <f>'M2'!D44-'M1'!D44</f>
        <v>-2.6083999999999996E-2</v>
      </c>
      <c r="E44" s="66">
        <f>'M2'!E44-'M1'!E44</f>
        <v>0</v>
      </c>
      <c r="F44" s="66">
        <f>'M2'!F44-'M1'!F44</f>
        <v>4.650999999999982</v>
      </c>
      <c r="G44" s="66">
        <f>'M2'!G44-'M1'!G44</f>
        <v>0</v>
      </c>
      <c r="H44" s="66">
        <f>'M2'!H44-'M1'!H44</f>
        <v>20.600199999999994</v>
      </c>
    </row>
    <row r="45" spans="1:8">
      <c r="A45" s="66" t="s">
        <v>88</v>
      </c>
      <c r="B45" s="66">
        <f>'M2'!B45-'M1'!B45</f>
        <v>1.661999999999999</v>
      </c>
      <c r="C45" s="66">
        <f>'M2'!C45-'M1'!C45</f>
        <v>-1.1790000000000411E-2</v>
      </c>
      <c r="D45" s="66">
        <f>'M2'!D45-'M1'!D45</f>
        <v>-3.9639999999999953E-3</v>
      </c>
      <c r="E45" s="66">
        <f>'M2'!E45-'M1'!E45</f>
        <v>0</v>
      </c>
      <c r="F45" s="66">
        <f>'M2'!F45-'M1'!F45</f>
        <v>4.7025000000000006</v>
      </c>
      <c r="G45" s="66">
        <f>'M2'!G45-'M1'!G45</f>
        <v>0</v>
      </c>
      <c r="H45" s="66">
        <f>'M2'!H45-'M1'!H45</f>
        <v>3.9846000000000004</v>
      </c>
    </row>
    <row r="46" spans="1:8">
      <c r="A46" s="66" t="s">
        <v>89</v>
      </c>
      <c r="B46" s="66">
        <f>'M2'!B46-'M1'!B46</f>
        <v>0.64990000000000236</v>
      </c>
      <c r="C46" s="66">
        <f>'M2'!C46-'M1'!C46</f>
        <v>-2.1583700000000001</v>
      </c>
      <c r="D46" s="66">
        <f>'M2'!D46-'M1'!D46</f>
        <v>-5.8776800000000004E-2</v>
      </c>
      <c r="E46" s="66">
        <f>'M2'!E46-'M1'!E46</f>
        <v>0</v>
      </c>
      <c r="F46" s="66">
        <f>'M2'!F46-'M1'!F46</f>
        <v>11.883999999999997</v>
      </c>
      <c r="G46" s="66">
        <f>'M2'!G46-'M1'!G46</f>
        <v>0</v>
      </c>
      <c r="H46" s="66">
        <f>'M2'!H46-'M1'!H46</f>
        <v>0.53480000000000416</v>
      </c>
    </row>
    <row r="47" spans="1:8">
      <c r="A47" s="66" t="s">
        <v>90</v>
      </c>
      <c r="B47" s="66">
        <f>'M2'!B47-'M1'!B47</f>
        <v>-0.28465699999999994</v>
      </c>
      <c r="C47" s="66">
        <f>'M2'!C47-'M1'!C47</f>
        <v>-0.21089499999999997</v>
      </c>
      <c r="D47" s="66">
        <f>'M2'!D47-'M1'!D47</f>
        <v>-0.11424599999999996</v>
      </c>
      <c r="E47" s="66">
        <f>'M2'!E47-'M1'!E47</f>
        <v>0</v>
      </c>
      <c r="F47" s="66">
        <f>'M2'!F47-'M1'!F47</f>
        <v>-6.6168999999999978E-2</v>
      </c>
      <c r="G47" s="66">
        <f>'M2'!G47-'M1'!G47</f>
        <v>0</v>
      </c>
      <c r="H47" s="66">
        <f>'M2'!H47-'M1'!H47</f>
        <v>-1.5405800000000001</v>
      </c>
    </row>
    <row r="48" spans="1:8">
      <c r="A48" s="66" t="s">
        <v>91</v>
      </c>
      <c r="B48" s="66">
        <f>'M2'!B48-'M1'!B48</f>
        <v>-0.32481300000000002</v>
      </c>
      <c r="C48" s="66">
        <f>'M2'!C48-'M1'!C48</f>
        <v>-5.4364800000000005E-2</v>
      </c>
      <c r="D48" s="66">
        <f>'M2'!D48-'M1'!D48</f>
        <v>3.1859999999999944E-3</v>
      </c>
      <c r="E48" s="66">
        <f>'M2'!E48-'M1'!E48</f>
        <v>0</v>
      </c>
      <c r="F48" s="66">
        <f>'M2'!F48-'M1'!F48</f>
        <v>-0.23697699999999999</v>
      </c>
      <c r="G48" s="66">
        <f>'M2'!G48-'M1'!G48</f>
        <v>0</v>
      </c>
      <c r="H48" s="66">
        <f>'M2'!H48-'M1'!H48</f>
        <v>-0.40381199999999995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49.822200000000002</v>
      </c>
      <c r="C5" s="66">
        <v>5.3750099999999996</v>
      </c>
      <c r="D5" s="66">
        <v>10.788399999999999</v>
      </c>
      <c r="E5" s="66">
        <v>20</v>
      </c>
      <c r="F5" s="66">
        <v>31.825199999999999</v>
      </c>
      <c r="G5" s="66">
        <v>50</v>
      </c>
      <c r="H5" s="66">
        <v>61.408299999999997</v>
      </c>
    </row>
    <row r="6" spans="1:8">
      <c r="A6" s="66" t="s">
        <v>358</v>
      </c>
      <c r="B6" s="66">
        <v>31.114000000000001</v>
      </c>
      <c r="C6" s="66">
        <v>4.2470499999999998</v>
      </c>
      <c r="D6" s="66">
        <v>13.65</v>
      </c>
      <c r="E6" s="66">
        <v>20</v>
      </c>
      <c r="F6" s="66">
        <v>27.185099999999998</v>
      </c>
      <c r="G6" s="66">
        <v>40</v>
      </c>
      <c r="H6" s="66">
        <v>43.599899999999998</v>
      </c>
    </row>
    <row r="7" spans="1:8">
      <c r="A7" s="66" t="s">
        <v>359</v>
      </c>
      <c r="B7" s="66">
        <v>28.133500000000002</v>
      </c>
      <c r="C7" s="66">
        <v>7.8533099999999996</v>
      </c>
      <c r="D7" s="66">
        <v>27.914400000000001</v>
      </c>
      <c r="E7" s="66">
        <v>15</v>
      </c>
      <c r="F7" s="66">
        <v>19.0716</v>
      </c>
      <c r="G7" s="66">
        <v>40</v>
      </c>
      <c r="H7" s="66">
        <v>49.552199999999999</v>
      </c>
    </row>
    <row r="8" spans="1:8">
      <c r="A8" s="66" t="s">
        <v>360</v>
      </c>
      <c r="B8" s="66">
        <v>36.587400000000002</v>
      </c>
      <c r="C8" s="66">
        <v>2.8843100000000002</v>
      </c>
      <c r="D8" s="66">
        <v>7.8833399999999996</v>
      </c>
      <c r="E8" s="66">
        <v>20</v>
      </c>
      <c r="F8" s="66">
        <v>29.500599999999999</v>
      </c>
      <c r="G8" s="66">
        <v>50</v>
      </c>
      <c r="H8" s="66">
        <v>42.186599999999999</v>
      </c>
    </row>
    <row r="9" spans="1:8">
      <c r="A9" s="66" t="s">
        <v>361</v>
      </c>
      <c r="B9" s="66">
        <v>61.195099999999996</v>
      </c>
      <c r="C9" s="66">
        <v>9.5919399999999992</v>
      </c>
      <c r="D9" s="66">
        <v>15.6744</v>
      </c>
      <c r="E9" s="66">
        <v>50</v>
      </c>
      <c r="F9" s="66">
        <v>34.884599999999999</v>
      </c>
      <c r="G9" s="66">
        <v>100</v>
      </c>
      <c r="H9" s="66">
        <v>69.967399999999998</v>
      </c>
    </row>
    <row r="10" spans="1:8">
      <c r="A10" s="66" t="s">
        <v>362</v>
      </c>
      <c r="B10" s="66">
        <v>80.478700000000003</v>
      </c>
      <c r="C10" s="66">
        <v>4.62113</v>
      </c>
      <c r="D10" s="66">
        <v>5.7420499999999999</v>
      </c>
      <c r="E10" s="66">
        <v>40</v>
      </c>
      <c r="F10" s="66">
        <v>63.894199999999998</v>
      </c>
      <c r="G10" s="66">
        <v>100</v>
      </c>
      <c r="H10" s="66">
        <v>83.945499999999996</v>
      </c>
    </row>
    <row r="11" spans="1:8">
      <c r="A11" s="66" t="s">
        <v>363</v>
      </c>
      <c r="B11" s="66">
        <v>20.8169</v>
      </c>
      <c r="C11" s="66">
        <v>2.60764</v>
      </c>
      <c r="D11" s="66">
        <v>12.5266</v>
      </c>
      <c r="E11" s="66">
        <v>10</v>
      </c>
      <c r="F11" s="66">
        <v>15.010400000000001</v>
      </c>
      <c r="G11" s="66">
        <v>50</v>
      </c>
      <c r="H11" s="66">
        <v>25.628299999999999</v>
      </c>
    </row>
    <row r="12" spans="1:8">
      <c r="A12" s="66" t="s">
        <v>364</v>
      </c>
      <c r="B12" s="66">
        <v>71.664900000000003</v>
      </c>
      <c r="C12" s="66">
        <v>6.1292</v>
      </c>
      <c r="D12" s="66">
        <v>8.5525900000000004</v>
      </c>
      <c r="E12" s="66">
        <v>50</v>
      </c>
      <c r="F12" s="66">
        <v>56.312199999999997</v>
      </c>
      <c r="G12" s="66">
        <v>100</v>
      </c>
      <c r="H12" s="66">
        <v>76.086100000000002</v>
      </c>
    </row>
    <row r="13" spans="1:8">
      <c r="A13" s="66" t="s">
        <v>365</v>
      </c>
      <c r="B13" s="66">
        <v>22.514500000000002</v>
      </c>
      <c r="C13" s="66">
        <v>2.4699</v>
      </c>
      <c r="D13" s="66">
        <v>10.9703</v>
      </c>
      <c r="E13" s="66">
        <v>10</v>
      </c>
      <c r="F13" s="66">
        <v>17.779299999999999</v>
      </c>
      <c r="G13" s="66">
        <v>25</v>
      </c>
      <c r="H13" s="66">
        <v>31.295300000000001</v>
      </c>
    </row>
    <row r="14" spans="1:8">
      <c r="A14" s="66" t="s">
        <v>366</v>
      </c>
      <c r="B14" s="66">
        <v>24.699000000000002</v>
      </c>
      <c r="C14" s="66">
        <v>9.4369200000000006</v>
      </c>
      <c r="D14" s="66">
        <v>38.207700000000003</v>
      </c>
      <c r="E14" s="66">
        <v>10</v>
      </c>
      <c r="F14" s="66">
        <v>2.1776</v>
      </c>
      <c r="G14" s="66">
        <v>50</v>
      </c>
      <c r="H14" s="66">
        <v>32.859299999999998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3.83866E-2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0.59193799999999996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2.5987599999999998E-4</v>
      </c>
      <c r="C20" s="66">
        <v>2.40971E-2</v>
      </c>
      <c r="D20" s="66">
        <v>92.725499999999997</v>
      </c>
      <c r="E20" s="66">
        <v>0</v>
      </c>
      <c r="F20" s="66">
        <v>0</v>
      </c>
      <c r="G20" s="66">
        <v>0</v>
      </c>
      <c r="H20" s="66">
        <v>0.43871300000000002</v>
      </c>
    </row>
    <row r="21" spans="1:8">
      <c r="A21" s="66" t="s">
        <v>373</v>
      </c>
      <c r="B21" s="66">
        <v>8.4856600000000004E-2</v>
      </c>
      <c r="C21" s="66">
        <v>0.16833100000000001</v>
      </c>
      <c r="D21" s="66">
        <v>1.9837100000000001</v>
      </c>
      <c r="E21" s="66">
        <v>0</v>
      </c>
      <c r="F21" s="66">
        <v>3.3431599999999998E-4</v>
      </c>
      <c r="G21" s="66">
        <v>0</v>
      </c>
      <c r="H21" s="66">
        <v>1.4188700000000001</v>
      </c>
    </row>
    <row r="22" spans="1:8">
      <c r="A22" s="66" t="s">
        <v>374</v>
      </c>
      <c r="B22" s="66">
        <v>59.773400000000002</v>
      </c>
      <c r="C22" s="66">
        <v>27.049299999999999</v>
      </c>
      <c r="D22" s="66">
        <v>0.45253100000000002</v>
      </c>
      <c r="E22" s="66">
        <v>0</v>
      </c>
      <c r="F22" s="66">
        <v>29.536799999999999</v>
      </c>
      <c r="G22" s="66">
        <v>0</v>
      </c>
      <c r="H22" s="66">
        <v>182.441</v>
      </c>
    </row>
    <row r="23" spans="1:8">
      <c r="A23" s="66" t="s">
        <v>375</v>
      </c>
      <c r="B23" s="66">
        <v>16.064699999999998</v>
      </c>
      <c r="C23" s="66">
        <v>4.2866299999999997</v>
      </c>
      <c r="D23" s="66">
        <v>0.26683600000000002</v>
      </c>
      <c r="E23" s="66">
        <v>0</v>
      </c>
      <c r="F23" s="66">
        <v>12.382199999999999</v>
      </c>
      <c r="G23" s="66">
        <v>0</v>
      </c>
      <c r="H23" s="66">
        <v>31.8126</v>
      </c>
    </row>
    <row r="24" spans="1:8">
      <c r="A24" s="66" t="s">
        <v>376</v>
      </c>
      <c r="B24" s="66">
        <v>8.1856399999999992E-3</v>
      </c>
      <c r="C24" s="66">
        <v>1.04957E-2</v>
      </c>
      <c r="D24" s="66">
        <v>1.2822100000000001</v>
      </c>
      <c r="E24" s="66">
        <v>0</v>
      </c>
      <c r="F24" s="196">
        <v>1.9134400000000001E-5</v>
      </c>
      <c r="G24" s="66">
        <v>0</v>
      </c>
      <c r="H24" s="66">
        <v>6.0347400000000002E-2</v>
      </c>
    </row>
    <row r="25" spans="1:8">
      <c r="A25" s="66" t="s">
        <v>377</v>
      </c>
      <c r="B25" s="66">
        <v>9.2406600000000005E-2</v>
      </c>
      <c r="C25" s="66">
        <v>9.5632499999999995E-2</v>
      </c>
      <c r="D25" s="66">
        <v>1.03491</v>
      </c>
      <c r="E25" s="66">
        <v>0</v>
      </c>
      <c r="F25" s="66">
        <v>3.7456999999999997E-2</v>
      </c>
      <c r="G25" s="66">
        <v>0</v>
      </c>
      <c r="H25" s="66">
        <v>0.52359199999999995</v>
      </c>
    </row>
    <row r="26" spans="1:8">
      <c r="A26" s="66" t="s">
        <v>378</v>
      </c>
      <c r="B26" s="196">
        <v>9.6835600000000005E-5</v>
      </c>
      <c r="C26" s="66">
        <v>2.3619100000000001E-3</v>
      </c>
      <c r="D26" s="66">
        <v>24.390899999999998</v>
      </c>
      <c r="E26" s="66">
        <v>0</v>
      </c>
      <c r="F26" s="66">
        <v>0</v>
      </c>
      <c r="G26" s="66">
        <v>0</v>
      </c>
      <c r="H26" s="66">
        <v>6.0740500000000003E-2</v>
      </c>
    </row>
    <row r="27" spans="1:8">
      <c r="A27" s="66" t="s">
        <v>379</v>
      </c>
      <c r="B27" s="196">
        <v>-6.5651299999999996E-6</v>
      </c>
      <c r="C27" s="66">
        <v>2.9377800000000001E-3</v>
      </c>
      <c r="D27" s="66">
        <v>-447.483</v>
      </c>
      <c r="E27" s="66">
        <v>0</v>
      </c>
      <c r="F27" s="66">
        <v>-5.9890400000000003E-2</v>
      </c>
      <c r="G27" s="66">
        <v>0</v>
      </c>
      <c r="H27" s="66">
        <v>5.7871600000000002E-2</v>
      </c>
    </row>
    <row r="28" spans="1:8">
      <c r="A28" s="66" t="s">
        <v>380</v>
      </c>
      <c r="B28" s="66">
        <v>6.8017599999999996E-3</v>
      </c>
      <c r="C28" s="66">
        <v>1.6799100000000001E-2</v>
      </c>
      <c r="D28" s="66">
        <v>2.4698099999999998</v>
      </c>
      <c r="E28" s="66">
        <v>0</v>
      </c>
      <c r="F28" s="66">
        <v>1.20443E-4</v>
      </c>
      <c r="G28" s="66">
        <v>0</v>
      </c>
      <c r="H28" s="66">
        <v>0.118737</v>
      </c>
    </row>
    <row r="29" spans="1:8">
      <c r="A29" s="66" t="s">
        <v>381</v>
      </c>
      <c r="B29" s="66">
        <v>73.379099999999994</v>
      </c>
      <c r="C29" s="66">
        <v>11.2219</v>
      </c>
      <c r="D29" s="66">
        <v>0.15293000000000001</v>
      </c>
      <c r="E29" s="66">
        <v>0</v>
      </c>
      <c r="F29" s="66">
        <v>52.797899999999998</v>
      </c>
      <c r="G29" s="66">
        <v>0</v>
      </c>
      <c r="H29" s="66">
        <v>112.583</v>
      </c>
    </row>
    <row r="30" spans="1:8">
      <c r="A30" s="66" t="s">
        <v>382</v>
      </c>
      <c r="B30" s="66">
        <v>21.67</v>
      </c>
      <c r="C30" s="66">
        <v>2.3317100000000002</v>
      </c>
      <c r="D30" s="66">
        <v>0.107601</v>
      </c>
      <c r="E30" s="66">
        <v>0</v>
      </c>
      <c r="F30" s="66">
        <v>15.276400000000001</v>
      </c>
      <c r="G30" s="66">
        <v>0</v>
      </c>
      <c r="H30" s="66">
        <v>26.0246</v>
      </c>
    </row>
    <row r="31" spans="1:8">
      <c r="A31" s="66" t="s">
        <v>383</v>
      </c>
      <c r="B31" s="66">
        <v>571.67899999999997</v>
      </c>
      <c r="C31" s="66">
        <v>110.366</v>
      </c>
      <c r="D31" s="66">
        <v>0.19305600000000001</v>
      </c>
      <c r="E31" s="66">
        <v>0</v>
      </c>
      <c r="F31" s="66">
        <v>378.25700000000001</v>
      </c>
      <c r="G31" s="66">
        <v>0</v>
      </c>
      <c r="H31" s="66">
        <v>756.25199999999995</v>
      </c>
    </row>
    <row r="32" spans="1:8">
      <c r="A32" s="66" t="s">
        <v>384</v>
      </c>
      <c r="B32" s="66">
        <v>0.281335</v>
      </c>
      <c r="C32" s="66">
        <v>7.8533099999999995E-2</v>
      </c>
      <c r="D32" s="66">
        <v>0.279144</v>
      </c>
      <c r="E32" s="66">
        <v>0.15</v>
      </c>
      <c r="F32" s="66">
        <v>0.190716</v>
      </c>
      <c r="G32" s="66">
        <v>0.4</v>
      </c>
      <c r="H32" s="66">
        <v>0.49552200000000002</v>
      </c>
    </row>
    <row r="33" spans="1:8">
      <c r="A33" s="66" t="s">
        <v>385</v>
      </c>
      <c r="B33" s="66">
        <v>0.38262200000000002</v>
      </c>
      <c r="C33" s="66">
        <v>2.6702099999999999E-2</v>
      </c>
      <c r="D33" s="66">
        <v>6.9787199999999994E-2</v>
      </c>
      <c r="E33" s="66">
        <v>0</v>
      </c>
      <c r="F33" s="66">
        <v>0.311554</v>
      </c>
      <c r="G33" s="66">
        <v>0</v>
      </c>
      <c r="H33" s="66">
        <v>0.419377</v>
      </c>
    </row>
    <row r="34" spans="1:8">
      <c r="A34" s="66" t="s">
        <v>386</v>
      </c>
      <c r="B34" s="66">
        <v>0.22514500000000001</v>
      </c>
      <c r="C34" s="66">
        <v>2.4698999999999999E-2</v>
      </c>
      <c r="D34" s="66">
        <v>0.10970299999999999</v>
      </c>
      <c r="E34" s="66">
        <v>0.1</v>
      </c>
      <c r="F34" s="66">
        <v>0.17779300000000001</v>
      </c>
      <c r="G34" s="66">
        <v>0.25</v>
      </c>
      <c r="H34" s="66">
        <v>0.31295299999999998</v>
      </c>
    </row>
    <row r="35" spans="1:8">
      <c r="A35" s="66" t="s">
        <v>387</v>
      </c>
      <c r="B35" s="66">
        <v>9.7109699999999993E-2</v>
      </c>
      <c r="C35" s="66">
        <v>1.9515500000000002E-2</v>
      </c>
      <c r="D35" s="66">
        <v>0.200963</v>
      </c>
      <c r="E35" s="66">
        <v>0</v>
      </c>
      <c r="F35" s="66">
        <v>3.3486399999999999E-2</v>
      </c>
      <c r="G35" s="66">
        <v>0</v>
      </c>
      <c r="H35" s="66">
        <v>0.144119</v>
      </c>
    </row>
    <row r="36" spans="1:8">
      <c r="A36" s="66" t="s">
        <v>388</v>
      </c>
      <c r="B36" s="66">
        <v>0.19281400000000001</v>
      </c>
      <c r="C36" s="66">
        <v>0.10299800000000001</v>
      </c>
      <c r="D36" s="66">
        <v>0.53418200000000005</v>
      </c>
      <c r="E36" s="66">
        <v>0</v>
      </c>
      <c r="F36" s="66">
        <v>3.5385600000000003E-2</v>
      </c>
      <c r="G36" s="66">
        <v>0</v>
      </c>
      <c r="H36" s="66">
        <v>0.45852399999999999</v>
      </c>
    </row>
    <row r="37" spans="1:8">
      <c r="A37" s="66" t="s">
        <v>389</v>
      </c>
      <c r="B37" s="66">
        <v>0.24698999999999999</v>
      </c>
      <c r="C37" s="66">
        <v>9.43692E-2</v>
      </c>
      <c r="D37" s="66">
        <v>0.382077</v>
      </c>
      <c r="E37" s="66">
        <v>0.1</v>
      </c>
      <c r="F37" s="66">
        <v>2.1776E-2</v>
      </c>
      <c r="G37" s="66">
        <v>0.5</v>
      </c>
      <c r="H37" s="66">
        <v>0.32859300000000002</v>
      </c>
    </row>
    <row r="38" spans="1:8">
      <c r="A38" s="66" t="s">
        <v>390</v>
      </c>
      <c r="B38" s="66">
        <v>-26.5808</v>
      </c>
      <c r="C38" s="66">
        <v>72.733500000000006</v>
      </c>
      <c r="D38" s="66">
        <v>-2.7363200000000001</v>
      </c>
      <c r="E38" s="66">
        <v>0</v>
      </c>
      <c r="F38" s="66">
        <v>-380.52600000000001</v>
      </c>
      <c r="G38" s="66">
        <v>0</v>
      </c>
      <c r="H38" s="66">
        <v>238.60400000000001</v>
      </c>
    </row>
    <row r="39" spans="1:8">
      <c r="A39" s="66" t="s">
        <v>391</v>
      </c>
      <c r="B39" s="66">
        <v>-10.4155</v>
      </c>
      <c r="C39" s="66">
        <v>21.855</v>
      </c>
      <c r="D39" s="66">
        <v>-2.0983100000000001</v>
      </c>
      <c r="E39" s="66">
        <v>0</v>
      </c>
      <c r="F39" s="66">
        <v>-107.901</v>
      </c>
      <c r="G39" s="66">
        <v>0</v>
      </c>
      <c r="H39" s="66">
        <v>12.3123</v>
      </c>
    </row>
    <row r="40" spans="1:8">
      <c r="A40" s="66" t="s">
        <v>392</v>
      </c>
      <c r="B40" s="66">
        <v>-1.90463</v>
      </c>
      <c r="C40" s="66">
        <v>0.62241999999999997</v>
      </c>
      <c r="D40" s="66">
        <v>-0.326793</v>
      </c>
      <c r="E40" s="66">
        <v>0</v>
      </c>
      <c r="F40" s="66">
        <v>-5.5355100000000004</v>
      </c>
      <c r="G40" s="66">
        <v>0</v>
      </c>
      <c r="H40" s="66">
        <v>-1.02071</v>
      </c>
    </row>
    <row r="41" spans="1:8">
      <c r="A41" s="66" t="s">
        <v>393</v>
      </c>
      <c r="B41" s="66">
        <v>-0.15679399999999999</v>
      </c>
      <c r="C41" s="66">
        <v>0.36445300000000003</v>
      </c>
      <c r="D41" s="66">
        <v>-2.3244099999999999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-0.15379399999999999</v>
      </c>
      <c r="C42" s="66">
        <v>0.166238</v>
      </c>
      <c r="D42" s="66">
        <v>-1.0809200000000001</v>
      </c>
      <c r="E42" s="66">
        <v>0</v>
      </c>
      <c r="F42" s="66">
        <v>-0.54868399999999995</v>
      </c>
      <c r="G42" s="66">
        <v>0</v>
      </c>
      <c r="H42" s="66">
        <v>0.12831799999999999</v>
      </c>
    </row>
    <row r="43" spans="1:8">
      <c r="A43" s="66" t="s">
        <v>395</v>
      </c>
      <c r="B43" s="66">
        <v>-6.4732999999999999E-2</v>
      </c>
      <c r="C43" s="66">
        <v>6.3733600000000001E-2</v>
      </c>
      <c r="D43" s="66">
        <v>-0.98456200000000005</v>
      </c>
      <c r="E43" s="66">
        <v>0</v>
      </c>
      <c r="F43" s="66">
        <v>-0.167355</v>
      </c>
      <c r="G43" s="66">
        <v>0</v>
      </c>
      <c r="H43" s="66">
        <v>0.14497199999999999</v>
      </c>
    </row>
    <row r="44" spans="1:8">
      <c r="A44" s="66" t="s">
        <v>396</v>
      </c>
      <c r="B44" s="66">
        <v>-116.741</v>
      </c>
      <c r="C44" s="66">
        <v>33.602200000000003</v>
      </c>
      <c r="D44" s="66">
        <v>-0.28783599999999998</v>
      </c>
      <c r="E44" s="66">
        <v>0</v>
      </c>
      <c r="F44" s="66">
        <v>-169.54</v>
      </c>
      <c r="G44" s="66">
        <v>0</v>
      </c>
      <c r="H44" s="66">
        <v>-68.752799999999993</v>
      </c>
    </row>
    <row r="45" spans="1:8">
      <c r="A45" s="66" t="s">
        <v>397</v>
      </c>
      <c r="B45" s="66">
        <v>56.81</v>
      </c>
      <c r="C45" s="66">
        <v>7.52041</v>
      </c>
      <c r="D45" s="66">
        <v>0.132378</v>
      </c>
      <c r="E45" s="66">
        <v>0</v>
      </c>
      <c r="F45" s="66">
        <v>37.918199999999999</v>
      </c>
      <c r="G45" s="66">
        <v>0</v>
      </c>
      <c r="H45" s="66">
        <v>74.706699999999998</v>
      </c>
    </row>
    <row r="46" spans="1:8">
      <c r="A46" s="66" t="s">
        <v>398</v>
      </c>
      <c r="B46" s="66">
        <v>37.453699999999998</v>
      </c>
      <c r="C46" s="66">
        <v>4.6826600000000003</v>
      </c>
      <c r="D46" s="66">
        <v>0.125025</v>
      </c>
      <c r="E46" s="66">
        <v>0</v>
      </c>
      <c r="F46" s="66">
        <v>21.6555</v>
      </c>
      <c r="G46" s="66">
        <v>0</v>
      </c>
      <c r="H46" s="66">
        <v>40.526299999999999</v>
      </c>
    </row>
    <row r="47" spans="1:8">
      <c r="A47" s="66" t="s">
        <v>399</v>
      </c>
      <c r="B47" s="66">
        <v>0.69933999999999996</v>
      </c>
      <c r="C47" s="66">
        <v>0.40172999999999998</v>
      </c>
      <c r="D47" s="66">
        <v>0.57444099999999998</v>
      </c>
      <c r="E47" s="66">
        <v>0</v>
      </c>
      <c r="F47" s="66">
        <v>0.26525199999999999</v>
      </c>
      <c r="G47" s="66">
        <v>0</v>
      </c>
      <c r="H47" s="66">
        <v>2.61503</v>
      </c>
    </row>
    <row r="48" spans="1:8">
      <c r="A48" s="66" t="s">
        <v>400</v>
      </c>
      <c r="B48" s="66">
        <v>0.74931800000000004</v>
      </c>
      <c r="C48" s="66">
        <v>0.12853600000000001</v>
      </c>
      <c r="D48" s="66">
        <v>0.171538</v>
      </c>
      <c r="E48" s="66">
        <v>0</v>
      </c>
      <c r="F48" s="66">
        <v>0.538941</v>
      </c>
      <c r="G48" s="66">
        <v>0</v>
      </c>
      <c r="H48" s="66">
        <v>0.95598099999999997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401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53.836500000000001</v>
      </c>
      <c r="C5" s="66">
        <v>6.0058600000000002</v>
      </c>
      <c r="D5" s="66">
        <v>11.1557</v>
      </c>
      <c r="E5" s="66">
        <v>20</v>
      </c>
      <c r="F5" s="66">
        <v>45.858800000000002</v>
      </c>
      <c r="G5" s="66">
        <v>50</v>
      </c>
      <c r="H5" s="66">
        <v>76.055099999999996</v>
      </c>
    </row>
    <row r="6" spans="1:8">
      <c r="A6" s="66" t="s">
        <v>358</v>
      </c>
      <c r="B6" s="66">
        <v>42.276499999999999</v>
      </c>
      <c r="C6" s="66">
        <v>2.4761099999999998</v>
      </c>
      <c r="D6" s="66">
        <v>5.8569399999999998</v>
      </c>
      <c r="E6" s="66">
        <v>20</v>
      </c>
      <c r="F6" s="66">
        <v>36.768099999999997</v>
      </c>
      <c r="G6" s="66">
        <v>40</v>
      </c>
      <c r="H6" s="66">
        <v>46.2744</v>
      </c>
    </row>
    <row r="7" spans="1:8">
      <c r="A7" s="66" t="s">
        <v>359</v>
      </c>
      <c r="B7" s="66">
        <v>30.916399999999999</v>
      </c>
      <c r="C7" s="66">
        <v>5.5057400000000003</v>
      </c>
      <c r="D7" s="66">
        <v>17.808499999999999</v>
      </c>
      <c r="E7" s="66">
        <v>15</v>
      </c>
      <c r="F7" s="66">
        <v>19.9392</v>
      </c>
      <c r="G7" s="66">
        <v>40</v>
      </c>
      <c r="H7" s="66">
        <v>50.630600000000001</v>
      </c>
    </row>
    <row r="8" spans="1:8">
      <c r="A8" s="66" t="s">
        <v>360</v>
      </c>
      <c r="B8" s="66">
        <v>41.985300000000002</v>
      </c>
      <c r="C8" s="66">
        <v>1.5903799999999999</v>
      </c>
      <c r="D8" s="66">
        <v>3.7879399999999999</v>
      </c>
      <c r="E8" s="66">
        <v>20</v>
      </c>
      <c r="F8" s="66">
        <v>38.205599999999997</v>
      </c>
      <c r="G8" s="66">
        <v>50</v>
      </c>
      <c r="H8" s="66">
        <v>44.380099999999999</v>
      </c>
    </row>
    <row r="9" spans="1:8">
      <c r="A9" s="66" t="s">
        <v>361</v>
      </c>
      <c r="B9" s="66">
        <v>51.766300000000001</v>
      </c>
      <c r="C9" s="66">
        <v>11.207100000000001</v>
      </c>
      <c r="D9" s="66">
        <v>21.6495</v>
      </c>
      <c r="E9" s="66">
        <v>50</v>
      </c>
      <c r="F9" s="66">
        <v>26.421900000000001</v>
      </c>
      <c r="G9" s="66">
        <v>100</v>
      </c>
      <c r="H9" s="66">
        <v>65.619799999999998</v>
      </c>
    </row>
    <row r="10" spans="1:8">
      <c r="A10" s="66" t="s">
        <v>362</v>
      </c>
      <c r="B10" s="66">
        <v>59.943899999999999</v>
      </c>
      <c r="C10" s="66">
        <v>2.9685299999999999</v>
      </c>
      <c r="D10" s="66">
        <v>4.9521800000000002</v>
      </c>
      <c r="E10" s="66">
        <v>40</v>
      </c>
      <c r="F10" s="66">
        <v>47.753</v>
      </c>
      <c r="G10" s="66">
        <v>100</v>
      </c>
      <c r="H10" s="66">
        <v>66.038399999999996</v>
      </c>
    </row>
    <row r="11" spans="1:8">
      <c r="A11" s="66" t="s">
        <v>363</v>
      </c>
      <c r="B11" s="66">
        <v>15.639099999999999</v>
      </c>
      <c r="C11" s="66">
        <v>4.0225099999999996</v>
      </c>
      <c r="D11" s="66">
        <v>25.7209</v>
      </c>
      <c r="E11" s="66">
        <v>10</v>
      </c>
      <c r="F11" s="66">
        <v>8.5474499999999995</v>
      </c>
      <c r="G11" s="66">
        <v>50</v>
      </c>
      <c r="H11" s="66">
        <v>20.426100000000002</v>
      </c>
    </row>
    <row r="12" spans="1:8">
      <c r="A12" s="66" t="s">
        <v>364</v>
      </c>
      <c r="B12" s="66">
        <v>55.476399999999998</v>
      </c>
      <c r="C12" s="66">
        <v>5.8567600000000004</v>
      </c>
      <c r="D12" s="66">
        <v>10.5572</v>
      </c>
      <c r="E12" s="66">
        <v>50</v>
      </c>
      <c r="F12" s="66">
        <v>43.771900000000002</v>
      </c>
      <c r="G12" s="66">
        <v>100</v>
      </c>
      <c r="H12" s="66">
        <v>65.248199999999997</v>
      </c>
    </row>
    <row r="13" spans="1:8">
      <c r="A13" s="66" t="s">
        <v>365</v>
      </c>
      <c r="B13" s="66">
        <v>23.292300000000001</v>
      </c>
      <c r="C13" s="66">
        <v>3.1714500000000001</v>
      </c>
      <c r="D13" s="66">
        <v>13.6159</v>
      </c>
      <c r="E13" s="66">
        <v>10</v>
      </c>
      <c r="F13" s="66">
        <v>20.366900000000001</v>
      </c>
      <c r="G13" s="66">
        <v>25</v>
      </c>
      <c r="H13" s="66">
        <v>33.427199999999999</v>
      </c>
    </row>
    <row r="14" spans="1:8">
      <c r="A14" s="66" t="s">
        <v>366</v>
      </c>
      <c r="B14" s="66">
        <v>31.714500000000001</v>
      </c>
      <c r="C14" s="66">
        <v>9.6712299999999995</v>
      </c>
      <c r="D14" s="66">
        <v>30.494700000000002</v>
      </c>
      <c r="E14" s="66">
        <v>10</v>
      </c>
      <c r="F14" s="66">
        <v>4.5441799999999999</v>
      </c>
      <c r="G14" s="66">
        <v>50</v>
      </c>
      <c r="H14" s="66">
        <v>37.514299999999999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0.26342500000000002</v>
      </c>
      <c r="C18" s="66">
        <v>1.6902799999999999E-2</v>
      </c>
      <c r="D18" s="66">
        <v>6.4165700000000006E-2</v>
      </c>
      <c r="E18" s="66">
        <v>0</v>
      </c>
      <c r="F18" s="66">
        <v>0.24652199999999999</v>
      </c>
      <c r="G18" s="66">
        <v>0</v>
      </c>
      <c r="H18" s="66">
        <v>0.28032800000000002</v>
      </c>
    </row>
    <row r="19" spans="1:8">
      <c r="A19" s="66" t="s">
        <v>371</v>
      </c>
      <c r="B19" s="66">
        <v>0.55703999999999998</v>
      </c>
      <c r="C19" s="66">
        <v>2.13916E-2</v>
      </c>
      <c r="D19" s="66">
        <v>3.84023E-2</v>
      </c>
      <c r="E19" s="66">
        <v>0</v>
      </c>
      <c r="F19" s="66">
        <v>0.53564800000000001</v>
      </c>
      <c r="G19" s="66">
        <v>0</v>
      </c>
      <c r="H19" s="66">
        <v>0.57843100000000003</v>
      </c>
    </row>
    <row r="20" spans="1:8">
      <c r="A20" s="66" t="s">
        <v>372</v>
      </c>
      <c r="B20" s="66">
        <v>3.3648199999999998E-4</v>
      </c>
      <c r="C20" s="66">
        <v>2.11656E-2</v>
      </c>
      <c r="D20" s="66">
        <v>62.9026</v>
      </c>
      <c r="E20" s="66">
        <v>0</v>
      </c>
      <c r="F20" s="66">
        <v>0</v>
      </c>
      <c r="G20" s="66">
        <v>0</v>
      </c>
      <c r="H20" s="66">
        <v>0.176483</v>
      </c>
    </row>
    <row r="21" spans="1:8">
      <c r="A21" s="66" t="s">
        <v>373</v>
      </c>
      <c r="B21" s="66">
        <v>4.8665399999999998E-2</v>
      </c>
      <c r="C21" s="66">
        <v>5.8746100000000002E-2</v>
      </c>
      <c r="D21" s="66">
        <v>1.2071400000000001</v>
      </c>
      <c r="E21" s="66">
        <v>0</v>
      </c>
      <c r="F21" s="66">
        <v>1.17136E-4</v>
      </c>
      <c r="G21" s="66">
        <v>0</v>
      </c>
      <c r="H21" s="66">
        <v>0.242228</v>
      </c>
    </row>
    <row r="22" spans="1:8">
      <c r="A22" s="66" t="s">
        <v>374</v>
      </c>
      <c r="B22" s="66">
        <v>83.408699999999996</v>
      </c>
      <c r="C22" s="66">
        <v>30.942499999999999</v>
      </c>
      <c r="D22" s="66">
        <v>0.37097400000000003</v>
      </c>
      <c r="E22" s="66">
        <v>0</v>
      </c>
      <c r="F22" s="66">
        <v>33.638100000000001</v>
      </c>
      <c r="G22" s="66">
        <v>0</v>
      </c>
      <c r="H22" s="66">
        <v>184.67</v>
      </c>
    </row>
    <row r="23" spans="1:8">
      <c r="A23" s="66" t="s">
        <v>375</v>
      </c>
      <c r="B23" s="66">
        <v>29.767499999999998</v>
      </c>
      <c r="C23" s="66">
        <v>3.1486000000000001</v>
      </c>
      <c r="D23" s="66">
        <v>0.10577300000000001</v>
      </c>
      <c r="E23" s="66">
        <v>0</v>
      </c>
      <c r="F23" s="66">
        <v>25.725999999999999</v>
      </c>
      <c r="G23" s="66">
        <v>0</v>
      </c>
      <c r="H23" s="66">
        <v>38.737000000000002</v>
      </c>
    </row>
    <row r="24" spans="1:8">
      <c r="A24" s="66" t="s">
        <v>376</v>
      </c>
      <c r="B24" s="66">
        <v>9.5113400000000001E-3</v>
      </c>
      <c r="C24" s="66">
        <v>1.02793E-2</v>
      </c>
      <c r="D24" s="66">
        <v>1.0807500000000001</v>
      </c>
      <c r="E24" s="66">
        <v>0</v>
      </c>
      <c r="F24" s="196">
        <v>2.0945400000000001E-5</v>
      </c>
      <c r="G24" s="66">
        <v>0</v>
      </c>
      <c r="H24" s="66">
        <v>6.7374000000000003E-2</v>
      </c>
    </row>
    <row r="25" spans="1:8">
      <c r="A25" s="66" t="s">
        <v>377</v>
      </c>
      <c r="B25" s="66">
        <v>6.6884299999999994E-2</v>
      </c>
      <c r="C25" s="66">
        <v>2.20466E-2</v>
      </c>
      <c r="D25" s="66">
        <v>0.32962200000000003</v>
      </c>
      <c r="E25" s="66">
        <v>0</v>
      </c>
      <c r="F25" s="66">
        <v>2.3641599999999999E-2</v>
      </c>
      <c r="G25" s="66">
        <v>0</v>
      </c>
      <c r="H25" s="66">
        <v>0.11604200000000001</v>
      </c>
    </row>
    <row r="26" spans="1:8">
      <c r="A26" s="66" t="s">
        <v>378</v>
      </c>
      <c r="B26" s="66">
        <v>1.1817200000000001E-4</v>
      </c>
      <c r="C26" s="66">
        <v>1.8209000000000001E-3</v>
      </c>
      <c r="D26" s="66">
        <v>15.408899999999999</v>
      </c>
      <c r="E26" s="66">
        <v>0</v>
      </c>
      <c r="F26" s="66">
        <v>0</v>
      </c>
      <c r="G26" s="66">
        <v>0</v>
      </c>
      <c r="H26" s="66">
        <v>2.6949799999999999E-2</v>
      </c>
    </row>
    <row r="27" spans="1:8">
      <c r="A27" s="66" t="s">
        <v>379</v>
      </c>
      <c r="B27" s="196">
        <v>-6.5651299999999996E-6</v>
      </c>
      <c r="C27" s="66">
        <v>1.2377899999999999E-3</v>
      </c>
      <c r="D27" s="66">
        <v>-188.53899999999999</v>
      </c>
      <c r="E27" s="66">
        <v>0</v>
      </c>
      <c r="F27" s="66">
        <v>-1.0277700000000001E-2</v>
      </c>
      <c r="G27" s="66">
        <v>0</v>
      </c>
      <c r="H27" s="66">
        <v>2.0486500000000001E-2</v>
      </c>
    </row>
    <row r="28" spans="1:8">
      <c r="A28" s="66" t="s">
        <v>380</v>
      </c>
      <c r="B28" s="66">
        <v>4.7330699999999998E-3</v>
      </c>
      <c r="C28" s="66">
        <v>5.4189099999999999E-3</v>
      </c>
      <c r="D28" s="66">
        <v>1.1449</v>
      </c>
      <c r="E28" s="66">
        <v>0</v>
      </c>
      <c r="F28" s="196">
        <v>5.8593700000000001E-5</v>
      </c>
      <c r="G28" s="66">
        <v>0</v>
      </c>
      <c r="H28" s="66">
        <v>3.33887E-2</v>
      </c>
    </row>
    <row r="29" spans="1:8">
      <c r="A29" s="66" t="s">
        <v>381</v>
      </c>
      <c r="B29" s="66">
        <v>85.197800000000001</v>
      </c>
      <c r="C29" s="66">
        <v>11.788</v>
      </c>
      <c r="D29" s="66">
        <v>0.13836000000000001</v>
      </c>
      <c r="E29" s="66">
        <v>0</v>
      </c>
      <c r="F29" s="66">
        <v>58.625700000000002</v>
      </c>
      <c r="G29" s="66">
        <v>0</v>
      </c>
      <c r="H29" s="66">
        <v>117.087</v>
      </c>
    </row>
    <row r="30" spans="1:8">
      <c r="A30" s="66" t="s">
        <v>382</v>
      </c>
      <c r="B30" s="66">
        <v>23.470400000000001</v>
      </c>
      <c r="C30" s="66">
        <v>1.0677099999999999</v>
      </c>
      <c r="D30" s="66">
        <v>4.54916E-2</v>
      </c>
      <c r="E30" s="66">
        <v>0</v>
      </c>
      <c r="F30" s="66">
        <v>21.2819</v>
      </c>
      <c r="G30" s="66">
        <v>0</v>
      </c>
      <c r="H30" s="66">
        <v>25.861499999999999</v>
      </c>
    </row>
    <row r="31" spans="1:8">
      <c r="A31" s="66" t="s">
        <v>383</v>
      </c>
      <c r="B31" s="66">
        <v>598.96900000000005</v>
      </c>
      <c r="C31" s="66">
        <v>100.34399999999999</v>
      </c>
      <c r="D31" s="66">
        <v>0.16752700000000001</v>
      </c>
      <c r="E31" s="66">
        <v>0</v>
      </c>
      <c r="F31" s="66">
        <v>420.81700000000001</v>
      </c>
      <c r="G31" s="66">
        <v>0</v>
      </c>
      <c r="H31" s="66">
        <v>746.79399999999998</v>
      </c>
    </row>
    <row r="32" spans="1:8">
      <c r="A32" s="66" t="s">
        <v>384</v>
      </c>
      <c r="B32" s="66">
        <v>0.30916399999999999</v>
      </c>
      <c r="C32" s="66">
        <v>5.5057399999999999E-2</v>
      </c>
      <c r="D32" s="66">
        <v>0.17808499999999999</v>
      </c>
      <c r="E32" s="66">
        <v>0.15</v>
      </c>
      <c r="F32" s="66">
        <v>0.19939200000000001</v>
      </c>
      <c r="G32" s="66">
        <v>0.4</v>
      </c>
      <c r="H32" s="66">
        <v>0.50630600000000003</v>
      </c>
    </row>
    <row r="33" spans="1:8">
      <c r="A33" s="66" t="s">
        <v>385</v>
      </c>
      <c r="B33" s="66">
        <v>0.451853</v>
      </c>
      <c r="C33" s="66">
        <v>3.2458399999999998E-2</v>
      </c>
      <c r="D33" s="66">
        <v>7.1834099999999998E-2</v>
      </c>
      <c r="E33" s="66">
        <v>0</v>
      </c>
      <c r="F33" s="66">
        <v>0.36158499999999999</v>
      </c>
      <c r="G33" s="66">
        <v>0</v>
      </c>
      <c r="H33" s="66">
        <v>0.48093799999999998</v>
      </c>
    </row>
    <row r="34" spans="1:8">
      <c r="A34" s="66" t="s">
        <v>386</v>
      </c>
      <c r="B34" s="66">
        <v>0.23292299999999999</v>
      </c>
      <c r="C34" s="66">
        <v>3.17145E-2</v>
      </c>
      <c r="D34" s="66">
        <v>0.136159</v>
      </c>
      <c r="E34" s="66">
        <v>0.1</v>
      </c>
      <c r="F34" s="66">
        <v>0.20366899999999999</v>
      </c>
      <c r="G34" s="66">
        <v>0.25</v>
      </c>
      <c r="H34" s="66">
        <v>0.33427299999999999</v>
      </c>
    </row>
    <row r="35" spans="1:8">
      <c r="A35" s="66" t="s">
        <v>387</v>
      </c>
      <c r="B35" s="66">
        <v>0.10376000000000001</v>
      </c>
      <c r="C35" s="66">
        <v>2.6400799999999999E-2</v>
      </c>
      <c r="D35" s="66">
        <v>0.254442</v>
      </c>
      <c r="E35" s="66">
        <v>0</v>
      </c>
      <c r="F35" s="66">
        <v>3.1652699999999999E-2</v>
      </c>
      <c r="G35" s="66">
        <v>0</v>
      </c>
      <c r="H35" s="66">
        <v>0.17911099999999999</v>
      </c>
    </row>
    <row r="36" spans="1:8">
      <c r="A36" s="66" t="s">
        <v>388</v>
      </c>
      <c r="B36" s="66">
        <v>0.20224200000000001</v>
      </c>
      <c r="C36" s="66">
        <v>0.115636</v>
      </c>
      <c r="D36" s="66">
        <v>0.57176800000000005</v>
      </c>
      <c r="E36" s="66">
        <v>0</v>
      </c>
      <c r="F36" s="66">
        <v>3.6207900000000001E-2</v>
      </c>
      <c r="G36" s="66">
        <v>0</v>
      </c>
      <c r="H36" s="66">
        <v>0.56489100000000003</v>
      </c>
    </row>
    <row r="37" spans="1:8">
      <c r="A37" s="66" t="s">
        <v>389</v>
      </c>
      <c r="B37" s="66">
        <v>0.31714500000000001</v>
      </c>
      <c r="C37" s="66">
        <v>9.6712300000000001E-2</v>
      </c>
      <c r="D37" s="66">
        <v>0.30494700000000002</v>
      </c>
      <c r="E37" s="66">
        <v>0.1</v>
      </c>
      <c r="F37" s="66">
        <v>4.5441799999999997E-2</v>
      </c>
      <c r="G37" s="66">
        <v>0.5</v>
      </c>
      <c r="H37" s="66">
        <v>0.375143</v>
      </c>
    </row>
    <row r="38" spans="1:8">
      <c r="A38" s="66" t="s">
        <v>390</v>
      </c>
      <c r="B38" s="66">
        <v>-41.072600000000001</v>
      </c>
      <c r="C38" s="66">
        <v>82.245999999999995</v>
      </c>
      <c r="D38" s="66">
        <v>-2.0024500000000001</v>
      </c>
      <c r="E38" s="66">
        <v>0</v>
      </c>
      <c r="F38" s="66">
        <v>-234.57499999999999</v>
      </c>
      <c r="G38" s="66">
        <v>0</v>
      </c>
      <c r="H38" s="66">
        <v>306.86700000000002</v>
      </c>
    </row>
    <row r="39" spans="1:8">
      <c r="A39" s="66" t="s">
        <v>391</v>
      </c>
      <c r="B39" s="66">
        <v>-14.5159</v>
      </c>
      <c r="C39" s="66">
        <v>25.199400000000001</v>
      </c>
      <c r="D39" s="66">
        <v>-1.7359899999999999</v>
      </c>
      <c r="E39" s="66">
        <v>0</v>
      </c>
      <c r="F39" s="66">
        <v>-88.267499999999998</v>
      </c>
      <c r="G39" s="66">
        <v>0</v>
      </c>
      <c r="H39" s="66">
        <v>131.51</v>
      </c>
    </row>
    <row r="40" spans="1:8">
      <c r="A40" s="66" t="s">
        <v>392</v>
      </c>
      <c r="B40" s="66">
        <v>-5.2213599999999998</v>
      </c>
      <c r="C40" s="66">
        <v>0.70304100000000003</v>
      </c>
      <c r="D40" s="66">
        <v>-0.13464699999999999</v>
      </c>
      <c r="E40" s="66">
        <v>0</v>
      </c>
      <c r="F40" s="66">
        <v>-7.0604800000000001</v>
      </c>
      <c r="G40" s="66">
        <v>0</v>
      </c>
      <c r="H40" s="66">
        <v>-4.0877299999999996</v>
      </c>
    </row>
    <row r="41" spans="1:8">
      <c r="A41" s="66" t="s">
        <v>393</v>
      </c>
      <c r="B41" s="66">
        <v>-0.18198900000000001</v>
      </c>
      <c r="C41" s="66">
        <v>0.37240200000000001</v>
      </c>
      <c r="D41" s="66">
        <v>-2.0462899999999999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-0.16328000000000001</v>
      </c>
      <c r="C42" s="66">
        <v>0.16414500000000001</v>
      </c>
      <c r="D42" s="66">
        <v>-1.0053000000000001</v>
      </c>
      <c r="E42" s="66">
        <v>0</v>
      </c>
      <c r="F42" s="66">
        <v>-0.46943000000000001</v>
      </c>
      <c r="G42" s="66">
        <v>0</v>
      </c>
      <c r="H42" s="66">
        <v>0.65919799999999995</v>
      </c>
    </row>
    <row r="43" spans="1:8">
      <c r="A43" s="66" t="s">
        <v>395</v>
      </c>
      <c r="B43" s="66">
        <v>-0.120171</v>
      </c>
      <c r="C43" s="66">
        <v>4.44844E-2</v>
      </c>
      <c r="D43" s="66">
        <v>-0.370174</v>
      </c>
      <c r="E43" s="66">
        <v>0</v>
      </c>
      <c r="F43" s="66">
        <v>-0.220273</v>
      </c>
      <c r="G43" s="66">
        <v>0</v>
      </c>
      <c r="H43" s="66">
        <v>-5.46834E-2</v>
      </c>
    </row>
    <row r="44" spans="1:8">
      <c r="A44" s="66" t="s">
        <v>396</v>
      </c>
      <c r="B44" s="66">
        <v>-105.744</v>
      </c>
      <c r="C44" s="66">
        <v>33.1952</v>
      </c>
      <c r="D44" s="66">
        <v>-0.31391999999999998</v>
      </c>
      <c r="E44" s="66">
        <v>0</v>
      </c>
      <c r="F44" s="66">
        <v>-164.88900000000001</v>
      </c>
      <c r="G44" s="66">
        <v>0</v>
      </c>
      <c r="H44" s="66">
        <v>-48.1526</v>
      </c>
    </row>
    <row r="45" spans="1:8">
      <c r="A45" s="66" t="s">
        <v>397</v>
      </c>
      <c r="B45" s="66">
        <v>58.472000000000001</v>
      </c>
      <c r="C45" s="66">
        <v>7.5086199999999996</v>
      </c>
      <c r="D45" s="66">
        <v>0.128414</v>
      </c>
      <c r="E45" s="66">
        <v>0</v>
      </c>
      <c r="F45" s="66">
        <v>42.620699999999999</v>
      </c>
      <c r="G45" s="66">
        <v>0</v>
      </c>
      <c r="H45" s="66">
        <v>78.691299999999998</v>
      </c>
    </row>
    <row r="46" spans="1:8">
      <c r="A46" s="66" t="s">
        <v>398</v>
      </c>
      <c r="B46" s="66">
        <v>38.1036</v>
      </c>
      <c r="C46" s="66">
        <v>2.5242900000000001</v>
      </c>
      <c r="D46" s="66">
        <v>6.6248199999999993E-2</v>
      </c>
      <c r="E46" s="66">
        <v>0</v>
      </c>
      <c r="F46" s="66">
        <v>33.539499999999997</v>
      </c>
      <c r="G46" s="66">
        <v>0</v>
      </c>
      <c r="H46" s="66">
        <v>41.061100000000003</v>
      </c>
    </row>
    <row r="47" spans="1:8">
      <c r="A47" s="66" t="s">
        <v>399</v>
      </c>
      <c r="B47" s="66">
        <v>0.41468300000000002</v>
      </c>
      <c r="C47" s="66">
        <v>0.190835</v>
      </c>
      <c r="D47" s="66">
        <v>0.46019500000000002</v>
      </c>
      <c r="E47" s="66">
        <v>0</v>
      </c>
      <c r="F47" s="66">
        <v>0.19908300000000001</v>
      </c>
      <c r="G47" s="66">
        <v>0</v>
      </c>
      <c r="H47" s="66">
        <v>1.0744499999999999</v>
      </c>
    </row>
    <row r="48" spans="1:8">
      <c r="A48" s="66" t="s">
        <v>400</v>
      </c>
      <c r="B48" s="66">
        <v>0.42450500000000002</v>
      </c>
      <c r="C48" s="66">
        <v>7.4171200000000007E-2</v>
      </c>
      <c r="D48" s="66">
        <v>0.17472399999999999</v>
      </c>
      <c r="E48" s="66">
        <v>0</v>
      </c>
      <c r="F48" s="66">
        <v>0.30196400000000001</v>
      </c>
      <c r="G48" s="66">
        <v>0</v>
      </c>
      <c r="H48" s="66">
        <v>0.55216900000000002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89.305385889469392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1.7242628625179313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0.85652748487418506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9417</v>
      </c>
      <c r="B8" s="66">
        <v>9417</v>
      </c>
      <c r="D8">
        <f t="shared" si="0"/>
        <v>8.5191651815196445E-2</v>
      </c>
      <c r="E8">
        <f t="shared" si="0"/>
        <v>8.5191651815196445E-2</v>
      </c>
      <c r="G8">
        <f t="shared" ca="1" si="1"/>
        <v>6</v>
      </c>
      <c r="H8">
        <f t="shared" ca="1" si="2"/>
        <v>0.51114991089117867</v>
      </c>
      <c r="I8">
        <f t="shared" ca="1" si="3"/>
        <v>591.21194488304855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11401</v>
      </c>
      <c r="B10" s="66">
        <v>11401</v>
      </c>
      <c r="D10">
        <f t="shared" si="0"/>
        <v>0.10314006821121957</v>
      </c>
      <c r="E10">
        <f t="shared" si="0"/>
        <v>0.10314006821121957</v>
      </c>
      <c r="G10">
        <f t="shared" ca="1" si="1"/>
        <v>8</v>
      </c>
      <c r="H10">
        <f t="shared" ca="1" si="2"/>
        <v>0.82512054568975657</v>
      </c>
      <c r="I10">
        <f t="shared" ca="1" si="3"/>
        <v>681.81420491066194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14977</v>
      </c>
      <c r="B13" s="66">
        <v>14977</v>
      </c>
      <c r="D13">
        <f t="shared" si="0"/>
        <v>0.13549064131211608</v>
      </c>
      <c r="E13">
        <f t="shared" si="0"/>
        <v>0.13549064131211608</v>
      </c>
      <c r="G13">
        <f t="shared" ca="1" si="1"/>
        <v>11</v>
      </c>
      <c r="H13">
        <f t="shared" ca="1" si="2"/>
        <v>1.4903970544332767</v>
      </c>
      <c r="I13">
        <f t="shared" ca="1" si="3"/>
        <v>830.79249875534242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18787</v>
      </c>
      <c r="B15" s="66">
        <v>18787</v>
      </c>
      <c r="D15">
        <f t="shared" si="0"/>
        <v>0.16995811433068872</v>
      </c>
      <c r="E15">
        <f t="shared" si="0"/>
        <v>0.16995811433068872</v>
      </c>
      <c r="G15">
        <f t="shared" ca="1" si="1"/>
        <v>13</v>
      </c>
      <c r="H15">
        <f t="shared" ca="1" si="2"/>
        <v>2.2094554862989533</v>
      </c>
      <c r="I15">
        <f t="shared" ca="1" si="3"/>
        <v>989.58314586727818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22755</v>
      </c>
      <c r="B18" s="66">
        <v>22755</v>
      </c>
      <c r="D18">
        <f t="shared" si="0"/>
        <v>0.20585494712273497</v>
      </c>
      <c r="E18">
        <f t="shared" si="0"/>
        <v>0.20585494712273497</v>
      </c>
      <c r="G18">
        <f t="shared" ca="1" si="1"/>
        <v>16</v>
      </c>
      <c r="H18">
        <f t="shared" ca="1" si="2"/>
        <v>3.2936791539637595</v>
      </c>
      <c r="I18">
        <f t="shared" ca="1" si="3"/>
        <v>1106.1985299956887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23018</v>
      </c>
      <c r="B21" s="66">
        <v>23018</v>
      </c>
      <c r="D21">
        <f t="shared" si="0"/>
        <v>0.20823419788490941</v>
      </c>
      <c r="E21">
        <f t="shared" si="0"/>
        <v>0.20823419788490941</v>
      </c>
      <c r="G21">
        <f t="shared" ca="1" si="1"/>
        <v>19</v>
      </c>
      <c r="H21">
        <f t="shared" ca="1" si="2"/>
        <v>3.9564497598132786</v>
      </c>
      <c r="I21">
        <f t="shared" ca="1" si="3"/>
        <v>1029.2698396735709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32503</v>
      </c>
      <c r="B23" s="66">
        <v>32503</v>
      </c>
      <c r="D23">
        <f t="shared" si="0"/>
        <v>0.29404101719755016</v>
      </c>
      <c r="E23">
        <f t="shared" si="0"/>
        <v>0.29404101719755016</v>
      </c>
      <c r="G23">
        <f t="shared" ca="1" si="1"/>
        <v>21</v>
      </c>
      <c r="H23">
        <f t="shared" ca="1" si="2"/>
        <v>6.1748613611485537</v>
      </c>
      <c r="I23">
        <f t="shared" ca="1" si="3"/>
        <v>1371.8853388964758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35285</v>
      </c>
      <c r="B26" s="66">
        <v>35285</v>
      </c>
      <c r="D26">
        <f t="shared" si="0"/>
        <v>0.31920860510769955</v>
      </c>
      <c r="E26">
        <f t="shared" si="0"/>
        <v>0.31920860510769955</v>
      </c>
      <c r="G26">
        <f t="shared" ca="1" si="1"/>
        <v>24</v>
      </c>
      <c r="H26">
        <f t="shared" ca="1" si="2"/>
        <v>7.6610065225847892</v>
      </c>
      <c r="I26">
        <f t="shared" ca="1" si="3"/>
        <v>1361.3587606410131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40728</v>
      </c>
      <c r="B28" s="66">
        <v>40728</v>
      </c>
      <c r="D28">
        <f t="shared" si="0"/>
        <v>0.3684491446457811</v>
      </c>
      <c r="E28">
        <f t="shared" si="0"/>
        <v>0.3684491446457811</v>
      </c>
      <c r="G28">
        <f t="shared" ca="1" si="1"/>
        <v>26</v>
      </c>
      <c r="H28">
        <f t="shared" ca="1" si="2"/>
        <v>9.5796777607903092</v>
      </c>
      <c r="I28">
        <f t="shared" ca="1" si="3"/>
        <v>1476.5864322558432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49004</v>
      </c>
      <c r="B31" s="66">
        <v>49004</v>
      </c>
      <c r="D31">
        <f t="shared" si="0"/>
        <v>0.44331864771709534</v>
      </c>
      <c r="E31">
        <f t="shared" si="0"/>
        <v>0.44331864771709534</v>
      </c>
      <c r="G31">
        <f t="shared" ca="1" si="1"/>
        <v>29</v>
      </c>
      <c r="H31">
        <f t="shared" ca="1" si="2"/>
        <v>12.856240783795764</v>
      </c>
      <c r="I31">
        <f t="shared" ca="1" si="3"/>
        <v>1612.2344670648549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57153</v>
      </c>
      <c r="B33" s="66">
        <v>57153</v>
      </c>
      <c r="D33">
        <f t="shared" si="0"/>
        <v>0.51703923502112381</v>
      </c>
      <c r="E33">
        <f t="shared" si="0"/>
        <v>0.51703923502112381</v>
      </c>
      <c r="G33">
        <f t="shared" ca="1" si="1"/>
        <v>31</v>
      </c>
      <c r="H33">
        <f t="shared" ca="1" si="2"/>
        <v>16.028216285654839</v>
      </c>
      <c r="I33">
        <f t="shared" ca="1" si="3"/>
        <v>1757.6841984246787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68569</v>
      </c>
      <c r="B36" s="66">
        <v>68569</v>
      </c>
      <c r="D36">
        <f t="shared" si="0"/>
        <v>0.62031500194501488</v>
      </c>
      <c r="E36">
        <f t="shared" si="0"/>
        <v>0.62031500194501488</v>
      </c>
      <c r="G36">
        <f t="shared" ca="1" si="1"/>
        <v>34</v>
      </c>
      <c r="H36">
        <f t="shared" ca="1" si="2"/>
        <v>21.090710066130505</v>
      </c>
      <c r="I36">
        <f t="shared" ca="1" si="3"/>
        <v>1897.3486311448644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69409</v>
      </c>
      <c r="B39" s="66">
        <v>69409</v>
      </c>
      <c r="D39">
        <f t="shared" si="0"/>
        <v>0.62791412985462147</v>
      </c>
      <c r="E39">
        <f t="shared" si="0"/>
        <v>0.62791412985462147</v>
      </c>
      <c r="G39">
        <f t="shared" ca="1" si="1"/>
        <v>37</v>
      </c>
      <c r="H39">
        <f t="shared" ca="1" si="2"/>
        <v>23.232822804620994</v>
      </c>
      <c r="I39">
        <f t="shared" ca="1" si="3"/>
        <v>1717.8810027044835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71312</v>
      </c>
      <c r="B41" s="66">
        <v>71312</v>
      </c>
      <c r="D41">
        <f t="shared" si="0"/>
        <v>0.6451297732022182</v>
      </c>
      <c r="E41">
        <f t="shared" si="0"/>
        <v>0.6451297732022182</v>
      </c>
      <c r="G41">
        <f t="shared" ca="1" si="1"/>
        <v>39</v>
      </c>
      <c r="H41">
        <f t="shared" ca="1" si="2"/>
        <v>25.16006115488651</v>
      </c>
      <c r="I41">
        <f t="shared" ca="1" si="3"/>
        <v>1632.5859511187784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81724</v>
      </c>
      <c r="B44" s="66">
        <v>81724</v>
      </c>
      <c r="D44">
        <f t="shared" si="0"/>
        <v>0.73932277295796056</v>
      </c>
      <c r="E44">
        <f t="shared" si="0"/>
        <v>0.73932277295796056</v>
      </c>
      <c r="G44">
        <f t="shared" ca="1" si="1"/>
        <v>42</v>
      </c>
      <c r="H44">
        <f t="shared" ca="1" si="2"/>
        <v>31.051556464234345</v>
      </c>
      <c r="I44">
        <f t="shared" ca="1" si="3"/>
        <v>1654.4561569130005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91190</v>
      </c>
      <c r="B46" s="66">
        <v>91190</v>
      </c>
      <c r="D46">
        <f t="shared" si="0"/>
        <v>0.82495770723455075</v>
      </c>
      <c r="E46">
        <f t="shared" si="0"/>
        <v>0.82495770723455075</v>
      </c>
      <c r="G46">
        <f t="shared" ca="1" si="1"/>
        <v>44</v>
      </c>
      <c r="H46">
        <f t="shared" ca="1" si="2"/>
        <v>36.298139118320236</v>
      </c>
      <c r="I46">
        <f t="shared" ca="1" si="3"/>
        <v>1693.2900330403068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89605</v>
      </c>
      <c r="B49" s="66">
        <v>89605</v>
      </c>
      <c r="D49">
        <f t="shared" si="0"/>
        <v>0.81061887659559073</v>
      </c>
      <c r="E49">
        <f t="shared" si="0"/>
        <v>0.81061887659559073</v>
      </c>
      <c r="G49">
        <f t="shared" ca="1" si="1"/>
        <v>47</v>
      </c>
      <c r="H49">
        <f t="shared" ca="1" si="2"/>
        <v>38.099087199992766</v>
      </c>
      <c r="I49">
        <f t="shared" ca="1" si="3"/>
        <v>1450.8016286685781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89334</v>
      </c>
      <c r="B51" s="66">
        <v>89334</v>
      </c>
      <c r="D51">
        <f t="shared" si="0"/>
        <v>0.80816725318665805</v>
      </c>
      <c r="E51">
        <f t="shared" si="0"/>
        <v>0.80816725318665805</v>
      </c>
      <c r="G51">
        <f t="shared" ca="1" si="1"/>
        <v>49</v>
      </c>
      <c r="H51">
        <f t="shared" ca="1" si="2"/>
        <v>39.600195406146241</v>
      </c>
      <c r="I51">
        <f t="shared" ca="1" si="3"/>
        <v>1312.8872052506526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98329</v>
      </c>
      <c r="B54" s="66">
        <v>98329</v>
      </c>
      <c r="D54">
        <f t="shared" si="0"/>
        <v>0.88954124788536171</v>
      </c>
      <c r="E54">
        <f t="shared" si="0"/>
        <v>0.88954124788536171</v>
      </c>
      <c r="G54">
        <f t="shared" ca="1" si="1"/>
        <v>52</v>
      </c>
      <c r="H54">
        <f t="shared" ca="1" si="2"/>
        <v>46.256144890038811</v>
      </c>
      <c r="I54">
        <f t="shared" ca="1" si="3"/>
        <v>1237.9672749986967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99541</v>
      </c>
      <c r="B57" s="66">
        <v>99541</v>
      </c>
      <c r="D57">
        <f t="shared" si="0"/>
        <v>0.90050570386922257</v>
      </c>
      <c r="E57">
        <f t="shared" si="0"/>
        <v>0.90050570386922257</v>
      </c>
      <c r="G57">
        <f t="shared" ca="1" si="1"/>
        <v>55</v>
      </c>
      <c r="H57">
        <f t="shared" ca="1" si="2"/>
        <v>49.527813712807244</v>
      </c>
      <c r="I57">
        <f t="shared" ca="1" si="3"/>
        <v>1059.768693326065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95072</v>
      </c>
      <c r="B59" s="66">
        <v>95072</v>
      </c>
      <c r="D59">
        <f t="shared" si="0"/>
        <v>0.8600765340739468</v>
      </c>
      <c r="E59">
        <f t="shared" si="0"/>
        <v>0.8600765340739468</v>
      </c>
      <c r="G59">
        <f t="shared" ca="1" si="1"/>
        <v>57</v>
      </c>
      <c r="H59">
        <f t="shared" ca="1" si="2"/>
        <v>49.024362442214965</v>
      </c>
      <c r="I59">
        <f t="shared" ca="1" si="3"/>
        <v>897.60851728668467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103811</v>
      </c>
      <c r="B62" s="66">
        <v>103811</v>
      </c>
      <c r="D62">
        <f t="shared" si="0"/>
        <v>0.93913460407638938</v>
      </c>
      <c r="E62">
        <f t="shared" si="0"/>
        <v>0.93913460407638938</v>
      </c>
      <c r="G62">
        <f t="shared" ca="1" si="1"/>
        <v>60</v>
      </c>
      <c r="H62">
        <f t="shared" ca="1" si="2"/>
        <v>56.348076244583361</v>
      </c>
      <c r="I62">
        <f t="shared" ca="1" si="3"/>
        <v>806.53409670099529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100619</v>
      </c>
      <c r="B64" s="66">
        <v>100619</v>
      </c>
      <c r="D64">
        <f t="shared" si="0"/>
        <v>0.91025791801988443</v>
      </c>
      <c r="E64">
        <f t="shared" si="0"/>
        <v>0.91025791801988443</v>
      </c>
      <c r="G64">
        <f t="shared" ca="1" si="1"/>
        <v>62</v>
      </c>
      <c r="H64">
        <f t="shared" ca="1" si="2"/>
        <v>56.435990917232836</v>
      </c>
      <c r="I64">
        <f t="shared" ca="1" si="3"/>
        <v>678.67382927564029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96519</v>
      </c>
      <c r="B67" s="66">
        <v>96519</v>
      </c>
      <c r="D67">
        <f t="shared" ref="D67:E130" si="4">IFERROR( A67/MAX(A$2:A$257), 0 )</f>
        <v>0.87316693655632849</v>
      </c>
      <c r="E67">
        <f t="shared" si="4"/>
        <v>0.87316693655632849</v>
      </c>
      <c r="G67">
        <f t="shared" ref="G67:G130" ca="1" si="5">CELL("row",D67)-2</f>
        <v>65</v>
      </c>
      <c r="H67">
        <f t="shared" ref="H67:H130" ca="1" si="6">D67*G67</f>
        <v>56.755850876161354</v>
      </c>
      <c r="I67">
        <f t="shared" ref="I67:I130" ca="1" si="7">D67*((G67-$L$1)^2)</f>
        <v>515.82492483338183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105661</v>
      </c>
      <c r="B69" s="66">
        <v>105661</v>
      </c>
      <c r="D69">
        <f t="shared" si="4"/>
        <v>0.95587077863921333</v>
      </c>
      <c r="E69">
        <f t="shared" si="4"/>
        <v>0.95587077863921333</v>
      </c>
      <c r="G69">
        <f t="shared" ca="1" si="5"/>
        <v>67</v>
      </c>
      <c r="H69">
        <f t="shared" ca="1" si="6"/>
        <v>64.043342168827294</v>
      </c>
      <c r="I69">
        <f t="shared" ca="1" si="7"/>
        <v>475.57461759769831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106217</v>
      </c>
      <c r="B72" s="66">
        <v>106217</v>
      </c>
      <c r="D72">
        <f t="shared" si="4"/>
        <v>0.96090067758890529</v>
      </c>
      <c r="E72">
        <f t="shared" si="4"/>
        <v>0.96090067758890529</v>
      </c>
      <c r="G72">
        <f t="shared" ca="1" si="5"/>
        <v>70</v>
      </c>
      <c r="H72">
        <f t="shared" ca="1" si="6"/>
        <v>67.26304743122337</v>
      </c>
      <c r="I72">
        <f t="shared" ca="1" si="7"/>
        <v>358.12568803555666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110539</v>
      </c>
      <c r="B75" s="66">
        <v>110539</v>
      </c>
      <c r="D75">
        <f t="shared" si="4"/>
        <v>1</v>
      </c>
      <c r="E75">
        <f t="shared" si="4"/>
        <v>1</v>
      </c>
      <c r="G75">
        <f t="shared" ca="1" si="5"/>
        <v>73</v>
      </c>
      <c r="H75">
        <f t="shared" ca="1" si="6"/>
        <v>73</v>
      </c>
      <c r="I75">
        <f t="shared" ca="1" si="7"/>
        <v>265.86560900450752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106411</v>
      </c>
      <c r="B77" s="66">
        <v>106411</v>
      </c>
      <c r="D77">
        <f t="shared" si="4"/>
        <v>0.96265571427279062</v>
      </c>
      <c r="E77">
        <f t="shared" si="4"/>
        <v>0.96265571427279062</v>
      </c>
      <c r="G77">
        <f t="shared" ca="1" si="5"/>
        <v>75</v>
      </c>
      <c r="H77">
        <f t="shared" ca="1" si="6"/>
        <v>72.199178570459296</v>
      </c>
      <c r="I77">
        <f t="shared" ca="1" si="7"/>
        <v>197.00177899421328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106729</v>
      </c>
      <c r="B80" s="66">
        <v>106729</v>
      </c>
      <c r="D80">
        <f t="shared" si="4"/>
        <v>0.96553252698142733</v>
      </c>
      <c r="E80">
        <f t="shared" si="4"/>
        <v>0.96553252698142733</v>
      </c>
      <c r="G80">
        <f t="shared" ca="1" si="5"/>
        <v>78</v>
      </c>
      <c r="H80">
        <f t="shared" ca="1" si="6"/>
        <v>75.311537104551334</v>
      </c>
      <c r="I80">
        <f t="shared" ca="1" si="7"/>
        <v>123.40640206144708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102135</v>
      </c>
      <c r="B82" s="66">
        <v>102135</v>
      </c>
      <c r="D82">
        <f t="shared" si="4"/>
        <v>0.92397253458055528</v>
      </c>
      <c r="E82">
        <f t="shared" si="4"/>
        <v>0.92397253458055528</v>
      </c>
      <c r="G82">
        <f t="shared" ca="1" si="5"/>
        <v>80</v>
      </c>
      <c r="H82">
        <f t="shared" ca="1" si="6"/>
        <v>73.917802766444424</v>
      </c>
      <c r="I82">
        <f t="shared" ca="1" si="7"/>
        <v>80.00697261764617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97999</v>
      </c>
      <c r="B85" s="66">
        <v>97999</v>
      </c>
      <c r="D85">
        <f t="shared" si="4"/>
        <v>0.88655587620658771</v>
      </c>
      <c r="E85">
        <f t="shared" si="4"/>
        <v>0.88655587620658771</v>
      </c>
      <c r="G85">
        <f t="shared" ca="1" si="5"/>
        <v>83</v>
      </c>
      <c r="H85">
        <f t="shared" ca="1" si="6"/>
        <v>73.584137725146775</v>
      </c>
      <c r="I85">
        <f t="shared" ca="1" si="7"/>
        <v>35.247592082346657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103832</v>
      </c>
      <c r="B88" s="66">
        <v>103832</v>
      </c>
      <c r="D88">
        <f t="shared" si="4"/>
        <v>0.93932458227412952</v>
      </c>
      <c r="E88">
        <f t="shared" si="4"/>
        <v>0.93932458227412952</v>
      </c>
      <c r="G88">
        <f t="shared" ca="1" si="5"/>
        <v>86</v>
      </c>
      <c r="H88">
        <f t="shared" ca="1" si="6"/>
        <v>80.781914075575145</v>
      </c>
      <c r="I88">
        <f t="shared" ca="1" si="7"/>
        <v>10.262661997991611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94629</v>
      </c>
      <c r="B90" s="66">
        <v>94629</v>
      </c>
      <c r="D90">
        <f t="shared" si="4"/>
        <v>0.85606889875971381</v>
      </c>
      <c r="E90">
        <f t="shared" si="4"/>
        <v>0.85606889875971381</v>
      </c>
      <c r="G90">
        <f t="shared" ca="1" si="5"/>
        <v>88</v>
      </c>
      <c r="H90">
        <f t="shared" ca="1" si="6"/>
        <v>75.334063090854812</v>
      </c>
      <c r="I90">
        <f t="shared" ca="1" si="7"/>
        <v>1.4587690719978701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95260</v>
      </c>
      <c r="B93" s="66">
        <v>95260</v>
      </c>
      <c r="D93">
        <f t="shared" si="4"/>
        <v>0.86177729127276348</v>
      </c>
      <c r="E93">
        <f t="shared" si="4"/>
        <v>0.86177729127276348</v>
      </c>
      <c r="G93">
        <f t="shared" ca="1" si="5"/>
        <v>91</v>
      </c>
      <c r="H93">
        <f t="shared" ca="1" si="6"/>
        <v>78.421733505821479</v>
      </c>
      <c r="I93">
        <f t="shared" ca="1" si="7"/>
        <v>2.474780483436938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94748</v>
      </c>
      <c r="B95" s="66">
        <v>94748</v>
      </c>
      <c r="D95">
        <f t="shared" si="4"/>
        <v>0.85714544188024133</v>
      </c>
      <c r="E95">
        <f t="shared" si="4"/>
        <v>0.85714544188024133</v>
      </c>
      <c r="G95">
        <f t="shared" ca="1" si="5"/>
        <v>93</v>
      </c>
      <c r="H95">
        <f t="shared" ca="1" si="6"/>
        <v>79.71452609486245</v>
      </c>
      <c r="I95">
        <f t="shared" ca="1" si="7"/>
        <v>11.700183932740877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87781</v>
      </c>
      <c r="B98" s="66">
        <v>87781</v>
      </c>
      <c r="D98">
        <f t="shared" si="4"/>
        <v>0.79411791313473068</v>
      </c>
      <c r="E98">
        <f t="shared" si="4"/>
        <v>0.79411791313473068</v>
      </c>
      <c r="G98">
        <f t="shared" ca="1" si="5"/>
        <v>96</v>
      </c>
      <c r="H98">
        <f t="shared" ca="1" si="6"/>
        <v>76.235319660934152</v>
      </c>
      <c r="I98">
        <f t="shared" ca="1" si="7"/>
        <v>35.59066393673811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86185</v>
      </c>
      <c r="B100" s="66">
        <v>86185</v>
      </c>
      <c r="D100">
        <f t="shared" si="4"/>
        <v>0.77967957010647826</v>
      </c>
      <c r="E100">
        <f t="shared" si="4"/>
        <v>0.77967957010647826</v>
      </c>
      <c r="G100">
        <f t="shared" ca="1" si="5"/>
        <v>98</v>
      </c>
      <c r="H100">
        <f t="shared" ca="1" si="6"/>
        <v>76.408597870434875</v>
      </c>
      <c r="I100">
        <f t="shared" ca="1" si="7"/>
        <v>58.940902015193792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83121</v>
      </c>
      <c r="B103" s="66">
        <v>83121</v>
      </c>
      <c r="D103">
        <f t="shared" si="4"/>
        <v>0.75196084639810379</v>
      </c>
      <c r="E103">
        <f t="shared" si="4"/>
        <v>0.75196084639810379</v>
      </c>
      <c r="G103">
        <f t="shared" ca="1" si="5"/>
        <v>101</v>
      </c>
      <c r="H103">
        <f t="shared" ca="1" si="6"/>
        <v>75.948045486208485</v>
      </c>
      <c r="I103">
        <f t="shared" ca="1" si="7"/>
        <v>102.84117259087647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77159</v>
      </c>
      <c r="B106" s="66">
        <v>77159</v>
      </c>
      <c r="D106">
        <f t="shared" si="4"/>
        <v>0.69802513140158673</v>
      </c>
      <c r="E106">
        <f t="shared" si="4"/>
        <v>0.69802513140158673</v>
      </c>
      <c r="G106">
        <f t="shared" ca="1" si="5"/>
        <v>104</v>
      </c>
      <c r="H106">
        <f t="shared" ca="1" si="6"/>
        <v>72.594613665765024</v>
      </c>
      <c r="I106">
        <f t="shared" ca="1" si="7"/>
        <v>150.72574199833119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74972</v>
      </c>
      <c r="B108" s="66">
        <v>74972</v>
      </c>
      <c r="D108">
        <f t="shared" si="4"/>
        <v>0.67824025909407537</v>
      </c>
      <c r="E108">
        <f t="shared" si="4"/>
        <v>0.67824025909407537</v>
      </c>
      <c r="G108">
        <f t="shared" ca="1" si="5"/>
        <v>106</v>
      </c>
      <c r="H108">
        <f t="shared" ca="1" si="6"/>
        <v>71.893467463971987</v>
      </c>
      <c r="I108">
        <f t="shared" ca="1" si="7"/>
        <v>189.03243776889775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71688</v>
      </c>
      <c r="B111" s="66">
        <v>71688</v>
      </c>
      <c r="D111">
        <f t="shared" si="4"/>
        <v>0.64853128759985168</v>
      </c>
      <c r="E111">
        <f t="shared" si="4"/>
        <v>0.64853128759985168</v>
      </c>
      <c r="G111">
        <f t="shared" ca="1" si="5"/>
        <v>109</v>
      </c>
      <c r="H111">
        <f t="shared" ca="1" si="6"/>
        <v>70.689910348383833</v>
      </c>
      <c r="I111">
        <f t="shared" ca="1" si="7"/>
        <v>251.55090525449705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68836</v>
      </c>
      <c r="B113" s="66">
        <v>68836</v>
      </c>
      <c r="D113">
        <f t="shared" si="4"/>
        <v>0.62273043903056835</v>
      </c>
      <c r="E113">
        <f t="shared" si="4"/>
        <v>0.62273043903056835</v>
      </c>
      <c r="G113">
        <f t="shared" ca="1" si="5"/>
        <v>111</v>
      </c>
      <c r="H113">
        <f t="shared" ca="1" si="6"/>
        <v>69.123078732393083</v>
      </c>
      <c r="I113">
        <f t="shared" ca="1" si="7"/>
        <v>293.09199275172682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61129</v>
      </c>
      <c r="B116" s="66">
        <v>61129</v>
      </c>
      <c r="D116">
        <f t="shared" si="4"/>
        <v>0.55300844045992814</v>
      </c>
      <c r="E116">
        <f t="shared" si="4"/>
        <v>0.55300844045992814</v>
      </c>
      <c r="G116">
        <f t="shared" ca="1" si="5"/>
        <v>114</v>
      </c>
      <c r="H116">
        <f t="shared" ca="1" si="6"/>
        <v>63.04296221243181</v>
      </c>
      <c r="I116">
        <f t="shared" ca="1" si="7"/>
        <v>337.23780043036243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63588</v>
      </c>
      <c r="B118" s="66">
        <v>63588</v>
      </c>
      <c r="D118">
        <f t="shared" si="4"/>
        <v>0.57525398275721695</v>
      </c>
      <c r="E118">
        <f t="shared" si="4"/>
        <v>0.57525398275721695</v>
      </c>
      <c r="G118">
        <f t="shared" ca="1" si="5"/>
        <v>116</v>
      </c>
      <c r="H118">
        <f t="shared" ca="1" si="6"/>
        <v>66.72946199983717</v>
      </c>
      <c r="I118">
        <f t="shared" ca="1" si="7"/>
        <v>409.92738167139902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59295</v>
      </c>
      <c r="B121" s="66">
        <v>59295</v>
      </c>
      <c r="D121">
        <f t="shared" si="4"/>
        <v>0.53641701119062046</v>
      </c>
      <c r="E121">
        <f t="shared" si="4"/>
        <v>0.53641701119062046</v>
      </c>
      <c r="G121">
        <f t="shared" ca="1" si="5"/>
        <v>119</v>
      </c>
      <c r="H121">
        <f t="shared" ca="1" si="6"/>
        <v>63.833624331683836</v>
      </c>
      <c r="I121">
        <f t="shared" ca="1" si="7"/>
        <v>472.99648544714728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54302</v>
      </c>
      <c r="B124" s="66">
        <v>54302</v>
      </c>
      <c r="D124">
        <f t="shared" si="4"/>
        <v>0.49124743303268531</v>
      </c>
      <c r="E124">
        <f t="shared" si="4"/>
        <v>0.49124743303268531</v>
      </c>
      <c r="G124">
        <f t="shared" ca="1" si="5"/>
        <v>122</v>
      </c>
      <c r="H124">
        <f t="shared" ca="1" si="6"/>
        <v>59.932186829987607</v>
      </c>
      <c r="I124">
        <f t="shared" ca="1" si="7"/>
        <v>525.11294631131102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49944</v>
      </c>
      <c r="B126" s="66">
        <v>49944</v>
      </c>
      <c r="D126">
        <f t="shared" si="4"/>
        <v>0.45182243371117886</v>
      </c>
      <c r="E126">
        <f t="shared" si="4"/>
        <v>0.45182243371117886</v>
      </c>
      <c r="G126">
        <f t="shared" ca="1" si="5"/>
        <v>124</v>
      </c>
      <c r="H126">
        <f t="shared" ca="1" si="6"/>
        <v>56.025981780186179</v>
      </c>
      <c r="I126">
        <f t="shared" ca="1" si="7"/>
        <v>543.86600479494007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43396</v>
      </c>
      <c r="B129" s="66">
        <v>43396</v>
      </c>
      <c r="D129">
        <f t="shared" si="4"/>
        <v>0.39258542233962673</v>
      </c>
      <c r="E129">
        <f t="shared" si="4"/>
        <v>0.39258542233962673</v>
      </c>
      <c r="G129">
        <f t="shared" ca="1" si="5"/>
        <v>127</v>
      </c>
      <c r="H129">
        <f t="shared" ca="1" si="6"/>
        <v>49.858348637132593</v>
      </c>
      <c r="I129">
        <f t="shared" ca="1" si="7"/>
        <v>557.81831890955164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41980</v>
      </c>
      <c r="B131" s="66">
        <v>41980</v>
      </c>
      <c r="D131">
        <f t="shared" ref="D131:E194" si="8">IFERROR( A131/MAX(A$2:A$257), 0 )</f>
        <v>0.37977546386343281</v>
      </c>
      <c r="E131">
        <f t="shared" si="8"/>
        <v>0.37977546386343281</v>
      </c>
      <c r="G131">
        <f t="shared" ref="G131:G194" ca="1" si="9">CELL("row",D131)-2</f>
        <v>129</v>
      </c>
      <c r="H131">
        <f t="shared" ref="H131:H194" ca="1" si="10">D131*G131</f>
        <v>48.991034838382831</v>
      </c>
      <c r="I131">
        <f t="shared" ref="I131:I194" ca="1" si="11">D131*((G131-$L$1)^2)</f>
        <v>598.39791482044905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40638</v>
      </c>
      <c r="B134" s="66">
        <v>40638</v>
      </c>
      <c r="D134">
        <f t="shared" si="8"/>
        <v>0.36763495236975186</v>
      </c>
      <c r="E134">
        <f t="shared" si="8"/>
        <v>0.36763495236975186</v>
      </c>
      <c r="G134">
        <f t="shared" ca="1" si="9"/>
        <v>132</v>
      </c>
      <c r="H134">
        <f t="shared" ca="1" si="10"/>
        <v>48.527813712807244</v>
      </c>
      <c r="I134">
        <f t="shared" ca="1" si="11"/>
        <v>670.13604745046393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40468</v>
      </c>
      <c r="B136" s="66">
        <v>40468</v>
      </c>
      <c r="D136">
        <f t="shared" si="8"/>
        <v>0.36609703362614099</v>
      </c>
      <c r="E136">
        <f t="shared" si="8"/>
        <v>0.36609703362614099</v>
      </c>
      <c r="G136">
        <f t="shared" ca="1" si="9"/>
        <v>134</v>
      </c>
      <c r="H136">
        <f t="shared" ca="1" si="10"/>
        <v>49.057002505902894</v>
      </c>
      <c r="I136">
        <f t="shared" ca="1" si="11"/>
        <v>731.31855735838599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40316</v>
      </c>
      <c r="B139" s="66">
        <v>40316</v>
      </c>
      <c r="D139">
        <f t="shared" si="8"/>
        <v>0.36472195333773599</v>
      </c>
      <c r="E139">
        <f t="shared" si="8"/>
        <v>0.36472195333773599</v>
      </c>
      <c r="G139">
        <f t="shared" ca="1" si="9"/>
        <v>137</v>
      </c>
      <c r="H139">
        <f t="shared" ca="1" si="10"/>
        <v>49.966907607269832</v>
      </c>
      <c r="I139">
        <f t="shared" ca="1" si="11"/>
        <v>829.66082459661459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33834</v>
      </c>
      <c r="B142" s="66">
        <v>33834</v>
      </c>
      <c r="D142">
        <f t="shared" si="8"/>
        <v>0.30608201630193871</v>
      </c>
      <c r="E142">
        <f t="shared" si="8"/>
        <v>0.30608201630193871</v>
      </c>
      <c r="G142">
        <f t="shared" ca="1" si="9"/>
        <v>140</v>
      </c>
      <c r="H142">
        <f t="shared" ca="1" si="10"/>
        <v>42.851482282271419</v>
      </c>
      <c r="I142">
        <f t="shared" ca="1" si="11"/>
        <v>786.61361063842924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30758</v>
      </c>
      <c r="B144" s="66">
        <v>30758</v>
      </c>
      <c r="D144">
        <f t="shared" si="8"/>
        <v>0.27825473362342701</v>
      </c>
      <c r="E144">
        <f t="shared" si="8"/>
        <v>0.27825473362342701</v>
      </c>
      <c r="G144">
        <f t="shared" ca="1" si="9"/>
        <v>142</v>
      </c>
      <c r="H144">
        <f t="shared" ca="1" si="10"/>
        <v>39.512172174526633</v>
      </c>
      <c r="I144">
        <f t="shared" ca="1" si="11"/>
        <v>772.63613958670965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31146</v>
      </c>
      <c r="B147" s="66">
        <v>31146</v>
      </c>
      <c r="D147">
        <f t="shared" si="8"/>
        <v>0.28176480699119766</v>
      </c>
      <c r="E147">
        <f t="shared" si="8"/>
        <v>0.28176480699119766</v>
      </c>
      <c r="G147">
        <f t="shared" ca="1" si="9"/>
        <v>145</v>
      </c>
      <c r="H147">
        <f t="shared" ca="1" si="10"/>
        <v>40.855897013723663</v>
      </c>
      <c r="I147">
        <f t="shared" ca="1" si="11"/>
        <v>874.00344868799982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31214</v>
      </c>
      <c r="B149" s="66">
        <v>31214</v>
      </c>
      <c r="D149">
        <f t="shared" si="8"/>
        <v>0.28237997448864199</v>
      </c>
      <c r="E149">
        <f t="shared" si="8"/>
        <v>0.28237997448864199</v>
      </c>
      <c r="G149">
        <f t="shared" ca="1" si="9"/>
        <v>147</v>
      </c>
      <c r="H149">
        <f t="shared" ca="1" si="10"/>
        <v>41.509856249830371</v>
      </c>
      <c r="I149">
        <f t="shared" ca="1" si="11"/>
        <v>939.94932536652084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26774</v>
      </c>
      <c r="B152" s="66">
        <v>26774</v>
      </c>
      <c r="D152">
        <f t="shared" si="8"/>
        <v>0.24221315553786446</v>
      </c>
      <c r="E152">
        <f t="shared" si="8"/>
        <v>0.24221315553786446</v>
      </c>
      <c r="G152">
        <f t="shared" ca="1" si="9"/>
        <v>150</v>
      </c>
      <c r="H152">
        <f t="shared" ca="1" si="10"/>
        <v>36.331973330679666</v>
      </c>
      <c r="I152">
        <f t="shared" ca="1" si="11"/>
        <v>892.27358613312992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20403</v>
      </c>
      <c r="B154" s="66">
        <v>20403</v>
      </c>
      <c r="D154">
        <f t="shared" si="8"/>
        <v>0.18457738897583659</v>
      </c>
      <c r="E154">
        <f t="shared" si="8"/>
        <v>0.18457738897583659</v>
      </c>
      <c r="G154">
        <f t="shared" ca="1" si="9"/>
        <v>152</v>
      </c>
      <c r="H154">
        <f t="shared" ca="1" si="10"/>
        <v>28.055763124327161</v>
      </c>
      <c r="I154">
        <f t="shared" ca="1" si="11"/>
        <v>725.50258703868883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19497</v>
      </c>
      <c r="B157" s="66">
        <v>19497</v>
      </c>
      <c r="D157">
        <f t="shared" si="8"/>
        <v>0.1763811867304752</v>
      </c>
      <c r="E157">
        <f t="shared" si="8"/>
        <v>0.1763811867304752</v>
      </c>
      <c r="G157">
        <f t="shared" ca="1" si="9"/>
        <v>155</v>
      </c>
      <c r="H157">
        <f t="shared" ca="1" si="10"/>
        <v>27.339083943223656</v>
      </c>
      <c r="I157">
        <f t="shared" ca="1" si="11"/>
        <v>761.22280782434598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18822</v>
      </c>
      <c r="B160" s="66">
        <v>18822</v>
      </c>
      <c r="D160">
        <f t="shared" si="8"/>
        <v>0.17027474466025566</v>
      </c>
      <c r="E160">
        <f t="shared" si="8"/>
        <v>0.17027474466025566</v>
      </c>
      <c r="G160">
        <f t="shared" ca="1" si="9"/>
        <v>158</v>
      </c>
      <c r="H160">
        <f t="shared" ca="1" si="10"/>
        <v>26.903409656320395</v>
      </c>
      <c r="I160">
        <f t="shared" ca="1" si="11"/>
        <v>803.51800764175596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19091</v>
      </c>
      <c r="B162" s="66">
        <v>19091</v>
      </c>
      <c r="D162">
        <f t="shared" si="8"/>
        <v>0.17270827490749871</v>
      </c>
      <c r="E162">
        <f t="shared" si="8"/>
        <v>0.17270827490749871</v>
      </c>
      <c r="G162">
        <f t="shared" ca="1" si="9"/>
        <v>160</v>
      </c>
      <c r="H162">
        <f t="shared" ca="1" si="10"/>
        <v>27.633323985199794</v>
      </c>
      <c r="I162">
        <f t="shared" ca="1" si="11"/>
        <v>863.14906151444632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19875</v>
      </c>
      <c r="B165" s="66">
        <v>19875</v>
      </c>
      <c r="D165">
        <f t="shared" si="8"/>
        <v>0.17980079428979817</v>
      </c>
      <c r="E165">
        <f t="shared" si="8"/>
        <v>0.17980079428979817</v>
      </c>
      <c r="G165">
        <f t="shared" ca="1" si="9"/>
        <v>163</v>
      </c>
      <c r="H165">
        <f t="shared" ca="1" si="10"/>
        <v>29.307529469237103</v>
      </c>
      <c r="I165">
        <f t="shared" ca="1" si="11"/>
        <v>976.47944127762901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27471</v>
      </c>
      <c r="B167" s="66">
        <v>27471</v>
      </c>
      <c r="D167">
        <f t="shared" si="8"/>
        <v>0.24851862238666897</v>
      </c>
      <c r="E167">
        <f t="shared" si="8"/>
        <v>0.24851862238666897</v>
      </c>
      <c r="G167">
        <f t="shared" ca="1" si="9"/>
        <v>165</v>
      </c>
      <c r="H167">
        <f t="shared" ca="1" si="10"/>
        <v>41.005572693800382</v>
      </c>
      <c r="I167">
        <f t="shared" ca="1" si="11"/>
        <v>1423.9308396435097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30946</v>
      </c>
      <c r="B170" s="66">
        <v>30946</v>
      </c>
      <c r="D170">
        <f t="shared" si="8"/>
        <v>0.27995549082224375</v>
      </c>
      <c r="E170">
        <f t="shared" si="8"/>
        <v>0.27995549082224375</v>
      </c>
      <c r="G170">
        <f t="shared" ca="1" si="9"/>
        <v>168</v>
      </c>
      <c r="H170">
        <f t="shared" ca="1" si="10"/>
        <v>47.032522458136953</v>
      </c>
      <c r="I170">
        <f t="shared" ca="1" si="11"/>
        <v>1733.7202028831882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34150</v>
      </c>
      <c r="B173" s="66">
        <v>34150</v>
      </c>
      <c r="D173">
        <f t="shared" si="8"/>
        <v>0.30894073584888593</v>
      </c>
      <c r="E173">
        <f t="shared" si="8"/>
        <v>0.30894073584888593</v>
      </c>
      <c r="G173">
        <f t="shared" ca="1" si="9"/>
        <v>171</v>
      </c>
      <c r="H173">
        <f t="shared" ca="1" si="10"/>
        <v>52.828865830159494</v>
      </c>
      <c r="I173">
        <f t="shared" ca="1" si="11"/>
        <v>2061.8735526368928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33131</v>
      </c>
      <c r="B175" s="66">
        <v>33131</v>
      </c>
      <c r="D175">
        <f t="shared" si="8"/>
        <v>0.29972226996806556</v>
      </c>
      <c r="E175">
        <f t="shared" si="8"/>
        <v>0.29972226996806556</v>
      </c>
      <c r="G175">
        <f t="shared" ca="1" si="9"/>
        <v>173</v>
      </c>
      <c r="H175">
        <f t="shared" ca="1" si="10"/>
        <v>51.851952704475345</v>
      </c>
      <c r="I175">
        <f t="shared" ca="1" si="11"/>
        <v>2099.4910892185226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33633</v>
      </c>
      <c r="B178" s="66">
        <v>33633</v>
      </c>
      <c r="D178">
        <f t="shared" si="8"/>
        <v>0.30426365355213997</v>
      </c>
      <c r="E178">
        <f t="shared" si="8"/>
        <v>0.30426365355213997</v>
      </c>
      <c r="G178">
        <f t="shared" ca="1" si="9"/>
        <v>176</v>
      </c>
      <c r="H178">
        <f t="shared" ca="1" si="10"/>
        <v>53.550403025176635</v>
      </c>
      <c r="I178">
        <f t="shared" ca="1" si="11"/>
        <v>2286.8322677228907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32935</v>
      </c>
      <c r="B180" s="66">
        <v>32935</v>
      </c>
      <c r="D180">
        <f t="shared" si="8"/>
        <v>0.29794914012249069</v>
      </c>
      <c r="E180">
        <f t="shared" si="8"/>
        <v>0.29794914012249069</v>
      </c>
      <c r="G180">
        <f t="shared" ca="1" si="9"/>
        <v>178</v>
      </c>
      <c r="H180">
        <f t="shared" ca="1" si="10"/>
        <v>53.034946941803341</v>
      </c>
      <c r="I180">
        <f t="shared" ca="1" si="11"/>
        <v>2343.8868013636074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31215</v>
      </c>
      <c r="B183" s="66">
        <v>31215</v>
      </c>
      <c r="D183">
        <f t="shared" si="8"/>
        <v>0.28238902106948677</v>
      </c>
      <c r="E183">
        <f t="shared" si="8"/>
        <v>0.28238902106948677</v>
      </c>
      <c r="G183">
        <f t="shared" ca="1" si="9"/>
        <v>181</v>
      </c>
      <c r="H183">
        <f t="shared" ca="1" si="10"/>
        <v>51.112412813577102</v>
      </c>
      <c r="I183">
        <f t="shared" ca="1" si="11"/>
        <v>2374.2992875680229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36708</v>
      </c>
      <c r="B185" s="66">
        <v>36708</v>
      </c>
      <c r="D185">
        <f t="shared" si="8"/>
        <v>0.33208188964980684</v>
      </c>
      <c r="E185">
        <f t="shared" si="8"/>
        <v>0.33208188964980684</v>
      </c>
      <c r="G185">
        <f t="shared" ca="1" si="9"/>
        <v>183</v>
      </c>
      <c r="H185">
        <f t="shared" ca="1" si="10"/>
        <v>60.770985805914648</v>
      </c>
      <c r="I185">
        <f t="shared" ca="1" si="11"/>
        <v>2915.2408799120317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37077</v>
      </c>
      <c r="B188" s="66">
        <v>37077</v>
      </c>
      <c r="D188">
        <f t="shared" si="8"/>
        <v>0.3354200779815269</v>
      </c>
      <c r="E188">
        <f t="shared" si="8"/>
        <v>0.3354200779815269</v>
      </c>
      <c r="G188">
        <f t="shared" ca="1" si="9"/>
        <v>186</v>
      </c>
      <c r="H188">
        <f t="shared" ca="1" si="10"/>
        <v>62.388134504564</v>
      </c>
      <c r="I188">
        <f t="shared" ca="1" si="11"/>
        <v>3136.1268787673903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24446</v>
      </c>
      <c r="B191" s="66">
        <v>24446</v>
      </c>
      <c r="D191">
        <f t="shared" si="8"/>
        <v>0.22115271533124056</v>
      </c>
      <c r="E191">
        <f t="shared" si="8"/>
        <v>0.22115271533124056</v>
      </c>
      <c r="G191">
        <f t="shared" ca="1" si="9"/>
        <v>189</v>
      </c>
      <c r="H191">
        <f t="shared" ca="1" si="10"/>
        <v>41.797863197604464</v>
      </c>
      <c r="I191">
        <f t="shared" ca="1" si="11"/>
        <v>2198.0403943983883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20082</v>
      </c>
      <c r="B193" s="66">
        <v>20082</v>
      </c>
      <c r="D193">
        <f t="shared" si="8"/>
        <v>0.1816734365246655</v>
      </c>
      <c r="E193">
        <f t="shared" si="8"/>
        <v>0.1816734365246655</v>
      </c>
      <c r="G193">
        <f t="shared" ca="1" si="9"/>
        <v>191</v>
      </c>
      <c r="H193">
        <f t="shared" ca="1" si="10"/>
        <v>34.699626376211107</v>
      </c>
      <c r="I193">
        <f t="shared" ca="1" si="11"/>
        <v>1878.8293537484506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16186</v>
      </c>
      <c r="B196" s="66">
        <v>16186</v>
      </c>
      <c r="D196">
        <f t="shared" si="12"/>
        <v>0.14642795755344268</v>
      </c>
      <c r="E196">
        <f t="shared" si="12"/>
        <v>0.14642795755344268</v>
      </c>
      <c r="G196">
        <f t="shared" ca="1" si="13"/>
        <v>194</v>
      </c>
      <c r="H196">
        <f t="shared" ca="1" si="14"/>
        <v>28.407023765367878</v>
      </c>
      <c r="I196">
        <f t="shared" ca="1" si="15"/>
        <v>1604.9913112445804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15238</v>
      </c>
      <c r="B198" s="66">
        <v>15238</v>
      </c>
      <c r="D198">
        <f t="shared" si="12"/>
        <v>0.13785179891260099</v>
      </c>
      <c r="E198">
        <f t="shared" si="12"/>
        <v>0.13785179891260099</v>
      </c>
      <c r="G198">
        <f t="shared" ca="1" si="13"/>
        <v>196</v>
      </c>
      <c r="H198">
        <f t="shared" ca="1" si="14"/>
        <v>27.018952586869794</v>
      </c>
      <c r="I198">
        <f t="shared" ca="1" si="15"/>
        <v>1569.2691311194419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7576</v>
      </c>
      <c r="B201" s="66">
        <v>7576</v>
      </c>
      <c r="D201">
        <f t="shared" si="12"/>
        <v>6.8536896479975393E-2</v>
      </c>
      <c r="E201">
        <f t="shared" si="12"/>
        <v>6.8536896479975393E-2</v>
      </c>
      <c r="G201">
        <f t="shared" ca="1" si="13"/>
        <v>199</v>
      </c>
      <c r="H201">
        <f t="shared" ca="1" si="14"/>
        <v>13.638842399515104</v>
      </c>
      <c r="I201">
        <f t="shared" ca="1" si="15"/>
        <v>824.69819495531783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5094</v>
      </c>
      <c r="B203" s="66">
        <v>5094</v>
      </c>
      <c r="D203">
        <f t="shared" si="12"/>
        <v>4.6083282823256952E-2</v>
      </c>
      <c r="E203">
        <f t="shared" si="12"/>
        <v>4.6083282823256952E-2</v>
      </c>
      <c r="G203">
        <f t="shared" ca="1" si="13"/>
        <v>201</v>
      </c>
      <c r="H203">
        <f t="shared" ca="1" si="14"/>
        <v>9.2627398474746467</v>
      </c>
      <c r="I203">
        <f t="shared" ca="1" si="15"/>
        <v>574.9206042003633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3987</v>
      </c>
      <c r="B206" s="66">
        <v>3987</v>
      </c>
      <c r="D206">
        <f t="shared" si="12"/>
        <v>3.6068717828096869E-2</v>
      </c>
      <c r="E206">
        <f t="shared" si="12"/>
        <v>3.6068717828096869E-2</v>
      </c>
      <c r="G206">
        <f t="shared" ca="1" si="13"/>
        <v>204</v>
      </c>
      <c r="H206">
        <f t="shared" ca="1" si="14"/>
        <v>7.3580184369317614</v>
      </c>
      <c r="I206">
        <f t="shared" ca="1" si="15"/>
        <v>474.4787352452671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4156</v>
      </c>
      <c r="B209" s="66">
        <v>4156</v>
      </c>
      <c r="D209">
        <f t="shared" si="12"/>
        <v>3.7597589990862955E-2</v>
      </c>
      <c r="E209">
        <f t="shared" si="12"/>
        <v>3.7597589990862955E-2</v>
      </c>
      <c r="G209">
        <f t="shared" ca="1" si="13"/>
        <v>207</v>
      </c>
      <c r="H209">
        <f t="shared" ca="1" si="14"/>
        <v>7.7827011281086316</v>
      </c>
      <c r="I209">
        <f t="shared" ca="1" si="15"/>
        <v>520.80265086751831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1026</v>
      </c>
      <c r="B211" s="66">
        <v>1026</v>
      </c>
      <c r="D211">
        <f t="shared" si="12"/>
        <v>9.2817919467337324E-3</v>
      </c>
      <c r="E211">
        <f t="shared" si="12"/>
        <v>9.2817919467337324E-3</v>
      </c>
      <c r="G211">
        <f t="shared" ca="1" si="13"/>
        <v>209</v>
      </c>
      <c r="H211">
        <f t="shared" ca="1" si="14"/>
        <v>1.93989451686735</v>
      </c>
      <c r="I211">
        <f t="shared" ca="1" si="15"/>
        <v>132.97838286842313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327</v>
      </c>
      <c r="B214" s="66">
        <v>327</v>
      </c>
      <c r="D214">
        <f t="shared" si="12"/>
        <v>2.9582319362396981E-3</v>
      </c>
      <c r="E214">
        <f t="shared" si="12"/>
        <v>2.9582319362396981E-3</v>
      </c>
      <c r="G214">
        <f t="shared" ca="1" si="13"/>
        <v>212</v>
      </c>
      <c r="H214">
        <f t="shared" ca="1" si="14"/>
        <v>0.62714517048281604</v>
      </c>
      <c r="I214">
        <f t="shared" ca="1" si="15"/>
        <v>44.533129886070697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215</v>
      </c>
      <c r="B216" s="66">
        <v>215</v>
      </c>
      <c r="D216">
        <f t="shared" si="12"/>
        <v>1.9450148816254897E-3</v>
      </c>
      <c r="E216">
        <f t="shared" si="12"/>
        <v>1.9450148816254897E-3</v>
      </c>
      <c r="G216">
        <f t="shared" ca="1" si="13"/>
        <v>214</v>
      </c>
      <c r="H216">
        <f t="shared" ca="1" si="14"/>
        <v>0.41623318466785481</v>
      </c>
      <c r="I216">
        <f t="shared" ca="1" si="15"/>
        <v>30.242543893625239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404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92.163198881148844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1.7794400588370078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0.76322899129471766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2165</v>
      </c>
      <c r="B8" s="66">
        <v>2165</v>
      </c>
      <c r="D8">
        <f t="shared" si="0"/>
        <v>3.2680231856056032</v>
      </c>
      <c r="E8">
        <f t="shared" si="1"/>
        <v>3.2680231856056032</v>
      </c>
      <c r="G8">
        <f t="shared" ca="1" si="2"/>
        <v>6</v>
      </c>
      <c r="H8">
        <f t="shared" ca="1" si="3"/>
        <v>19.608139113633619</v>
      </c>
      <c r="I8">
        <f t="shared" ca="1" si="4"/>
        <v>24262.120609982441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2920</v>
      </c>
      <c r="B10" s="66">
        <v>2920</v>
      </c>
      <c r="D10">
        <f t="shared" si="0"/>
        <v>4.4076802318560562</v>
      </c>
      <c r="E10">
        <f t="shared" si="1"/>
        <v>4.4076802318560562</v>
      </c>
      <c r="G10">
        <f t="shared" ca="1" si="2"/>
        <v>8</v>
      </c>
      <c r="H10">
        <f t="shared" ca="1" si="3"/>
        <v>35.261441854848449</v>
      </c>
      <c r="I10">
        <f t="shared" ca="1" si="4"/>
        <v>31221.556294606355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5107</v>
      </c>
      <c r="B13" s="66">
        <v>5107</v>
      </c>
      <c r="D13">
        <f t="shared" si="0"/>
        <v>7.7089119671537256</v>
      </c>
      <c r="E13">
        <f t="shared" si="1"/>
        <v>7.7089119671537256</v>
      </c>
      <c r="G13">
        <f t="shared" ca="1" si="2"/>
        <v>11</v>
      </c>
      <c r="H13">
        <f t="shared" ca="1" si="3"/>
        <v>84.798031638690986</v>
      </c>
      <c r="I13">
        <f t="shared" ca="1" si="4"/>
        <v>50782.186635573969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6391</v>
      </c>
      <c r="B15" s="66">
        <v>6391</v>
      </c>
      <c r="D15">
        <f t="shared" si="0"/>
        <v>9.6470836855452244</v>
      </c>
      <c r="E15">
        <f t="shared" si="1"/>
        <v>9.6470836855452244</v>
      </c>
      <c r="G15">
        <f t="shared" ca="1" si="2"/>
        <v>13</v>
      </c>
      <c r="H15">
        <f t="shared" ca="1" si="3"/>
        <v>125.41208791208791</v>
      </c>
      <c r="I15">
        <f t="shared" ca="1" si="4"/>
        <v>60456.460356392068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8785</v>
      </c>
      <c r="B18" s="66">
        <v>8785</v>
      </c>
      <c r="D18">
        <f t="shared" si="0"/>
        <v>13.260777683854608</v>
      </c>
      <c r="E18">
        <f t="shared" si="1"/>
        <v>13.260777683854608</v>
      </c>
      <c r="G18">
        <f t="shared" ca="1" si="2"/>
        <v>16</v>
      </c>
      <c r="H18">
        <f t="shared" ca="1" si="3"/>
        <v>212.17244294167372</v>
      </c>
      <c r="I18">
        <f t="shared" ca="1" si="4"/>
        <v>76923.554988174539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6683</v>
      </c>
      <c r="B21" s="66">
        <v>6683</v>
      </c>
      <c r="D21">
        <f t="shared" si="0"/>
        <v>10.087851708730829</v>
      </c>
      <c r="E21">
        <f t="shared" si="1"/>
        <v>10.087851708730829</v>
      </c>
      <c r="G21">
        <f t="shared" ca="1" si="2"/>
        <v>19</v>
      </c>
      <c r="H21">
        <f t="shared" ca="1" si="3"/>
        <v>191.66918246588577</v>
      </c>
      <c r="I21">
        <f t="shared" ca="1" si="4"/>
        <v>53998.794046766896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10872</v>
      </c>
      <c r="B23" s="66">
        <v>10872</v>
      </c>
      <c r="D23">
        <f t="shared" si="0"/>
        <v>16.411061466006522</v>
      </c>
      <c r="E23">
        <f t="shared" si="1"/>
        <v>16.411061466006522</v>
      </c>
      <c r="G23">
        <f t="shared" ca="1" si="2"/>
        <v>21</v>
      </c>
      <c r="H23">
        <f t="shared" ca="1" si="3"/>
        <v>344.63229078613699</v>
      </c>
      <c r="I23">
        <f t="shared" ca="1" si="4"/>
        <v>83108.911835795268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12879</v>
      </c>
      <c r="B26" s="66">
        <v>12879</v>
      </c>
      <c r="D26">
        <f t="shared" si="0"/>
        <v>19.440586885641832</v>
      </c>
      <c r="E26">
        <f t="shared" si="1"/>
        <v>19.440586885641832</v>
      </c>
      <c r="G26">
        <f t="shared" ca="1" si="2"/>
        <v>24</v>
      </c>
      <c r="H26">
        <f t="shared" ca="1" si="3"/>
        <v>466.57408525540393</v>
      </c>
      <c r="I26">
        <f t="shared" ca="1" si="4"/>
        <v>90325.276293256597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12224</v>
      </c>
      <c r="B28" s="66">
        <v>12224</v>
      </c>
      <c r="D28">
        <f t="shared" si="0"/>
        <v>18.451877792537132</v>
      </c>
      <c r="E28">
        <f t="shared" si="1"/>
        <v>18.451877792537132</v>
      </c>
      <c r="G28">
        <f t="shared" ca="1" si="2"/>
        <v>26</v>
      </c>
      <c r="H28">
        <f t="shared" ca="1" si="3"/>
        <v>479.74882260596542</v>
      </c>
      <c r="I28">
        <f t="shared" ca="1" si="4"/>
        <v>80774.366116325371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16997</v>
      </c>
      <c r="B31" s="66">
        <v>16997</v>
      </c>
      <c r="D31">
        <f t="shared" si="0"/>
        <v>25.656623596184037</v>
      </c>
      <c r="E31">
        <f t="shared" si="1"/>
        <v>25.656623596184037</v>
      </c>
      <c r="G31">
        <f t="shared" ca="1" si="2"/>
        <v>29</v>
      </c>
      <c r="H31">
        <f t="shared" ca="1" si="3"/>
        <v>744.04208428933703</v>
      </c>
      <c r="I31">
        <f t="shared" ca="1" si="4"/>
        <v>102359.40105393954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16714</v>
      </c>
      <c r="B33" s="66">
        <v>16714</v>
      </c>
      <c r="D33">
        <f t="shared" si="0"/>
        <v>25.229440888781546</v>
      </c>
      <c r="E33">
        <f t="shared" si="1"/>
        <v>25.229440888781546</v>
      </c>
      <c r="G33">
        <f t="shared" ca="1" si="2"/>
        <v>31</v>
      </c>
      <c r="H33">
        <f t="shared" ca="1" si="3"/>
        <v>782.11266755222789</v>
      </c>
      <c r="I33">
        <f t="shared" ca="1" si="4"/>
        <v>94381.746320983584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23403</v>
      </c>
      <c r="B36" s="66">
        <v>23403</v>
      </c>
      <c r="D36">
        <f t="shared" si="0"/>
        <v>35.326349474701125</v>
      </c>
      <c r="E36">
        <f t="shared" si="1"/>
        <v>35.326349474701125</v>
      </c>
      <c r="G36">
        <f t="shared" ca="1" si="2"/>
        <v>34</v>
      </c>
      <c r="H36">
        <f t="shared" ca="1" si="3"/>
        <v>1201.0958821398383</v>
      </c>
      <c r="I36">
        <f t="shared" ca="1" si="4"/>
        <v>119507.54611274786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27122</v>
      </c>
      <c r="B39" s="66">
        <v>27122</v>
      </c>
      <c r="D39">
        <f t="shared" si="0"/>
        <v>40.940103852191761</v>
      </c>
      <c r="E39">
        <f t="shared" si="1"/>
        <v>40.940103852191761</v>
      </c>
      <c r="G39">
        <f t="shared" ca="1" si="2"/>
        <v>37</v>
      </c>
      <c r="H39">
        <f t="shared" ca="1" si="3"/>
        <v>1514.7838425310952</v>
      </c>
      <c r="I39">
        <f t="shared" ca="1" si="4"/>
        <v>124579.85625218818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28616</v>
      </c>
      <c r="B41" s="66">
        <v>28616</v>
      </c>
      <c r="D41">
        <f t="shared" si="0"/>
        <v>43.19526627218935</v>
      </c>
      <c r="E41">
        <f t="shared" si="1"/>
        <v>43.19526627218935</v>
      </c>
      <c r="G41">
        <f t="shared" ca="1" si="2"/>
        <v>39</v>
      </c>
      <c r="H41">
        <f t="shared" ca="1" si="3"/>
        <v>1684.6153846153848</v>
      </c>
      <c r="I41">
        <f t="shared" ca="1" si="4"/>
        <v>122083.89184330816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31559</v>
      </c>
      <c r="B44" s="66">
        <v>31559</v>
      </c>
      <c r="D44">
        <f t="shared" si="0"/>
        <v>47.637664533268932</v>
      </c>
      <c r="E44">
        <f t="shared" si="1"/>
        <v>47.637664533268932</v>
      </c>
      <c r="G44">
        <f t="shared" ca="1" si="2"/>
        <v>42</v>
      </c>
      <c r="H44">
        <f t="shared" ca="1" si="3"/>
        <v>2000.7819103972952</v>
      </c>
      <c r="I44">
        <f t="shared" ca="1" si="4"/>
        <v>119872.87146400301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39145</v>
      </c>
      <c r="B46" s="66">
        <v>39145</v>
      </c>
      <c r="D46">
        <f t="shared" si="0"/>
        <v>59.088576258905931</v>
      </c>
      <c r="E46">
        <f t="shared" si="1"/>
        <v>59.088576258905931</v>
      </c>
      <c r="G46">
        <f t="shared" ca="1" si="2"/>
        <v>44</v>
      </c>
      <c r="H46">
        <f t="shared" ca="1" si="3"/>
        <v>2599.8973553918609</v>
      </c>
      <c r="I46">
        <f t="shared" ca="1" si="4"/>
        <v>137067.3996535386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40260</v>
      </c>
      <c r="B49" s="66">
        <v>40260</v>
      </c>
      <c r="D49">
        <f t="shared" si="0"/>
        <v>60.7716459364811</v>
      </c>
      <c r="E49">
        <f t="shared" si="1"/>
        <v>60.7716459364811</v>
      </c>
      <c r="G49">
        <f t="shared" ca="1" si="2"/>
        <v>47</v>
      </c>
      <c r="H49">
        <f t="shared" ca="1" si="3"/>
        <v>2856.2673590146119</v>
      </c>
      <c r="I49">
        <f t="shared" ca="1" si="4"/>
        <v>123956.80942180066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39188</v>
      </c>
      <c r="B51" s="66">
        <v>39188</v>
      </c>
      <c r="D51">
        <f t="shared" si="0"/>
        <v>59.153483878758607</v>
      </c>
      <c r="E51">
        <f t="shared" si="1"/>
        <v>59.153483878758607</v>
      </c>
      <c r="G51">
        <f t="shared" ca="1" si="2"/>
        <v>49</v>
      </c>
      <c r="H51">
        <f t="shared" ca="1" si="3"/>
        <v>2898.5207100591715</v>
      </c>
      <c r="I51">
        <f t="shared" ca="1" si="4"/>
        <v>110206.59246342475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44321</v>
      </c>
      <c r="B54" s="66">
        <v>44321</v>
      </c>
      <c r="D54">
        <f t="shared" si="0"/>
        <v>66.901642313730221</v>
      </c>
      <c r="E54">
        <f t="shared" si="1"/>
        <v>66.901642313730221</v>
      </c>
      <c r="G54">
        <f t="shared" ca="1" si="2"/>
        <v>52</v>
      </c>
      <c r="H54">
        <f t="shared" ca="1" si="3"/>
        <v>3478.8854003139713</v>
      </c>
      <c r="I54">
        <f t="shared" ca="1" si="4"/>
        <v>107917.87140574389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48008</v>
      </c>
      <c r="B57" s="66">
        <v>48008</v>
      </c>
      <c r="D57">
        <f t="shared" si="0"/>
        <v>72.467093346214227</v>
      </c>
      <c r="E57">
        <f t="shared" si="1"/>
        <v>72.467093346214227</v>
      </c>
      <c r="G57">
        <f t="shared" ca="1" si="2"/>
        <v>55</v>
      </c>
      <c r="H57">
        <f t="shared" ca="1" si="3"/>
        <v>3985.6901340417826</v>
      </c>
      <c r="I57">
        <f t="shared" ca="1" si="4"/>
        <v>100084.54546347079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45900</v>
      </c>
      <c r="B59" s="66">
        <v>45900</v>
      </c>
      <c r="D59">
        <f t="shared" si="0"/>
        <v>69.285110493901698</v>
      </c>
      <c r="E59">
        <f t="shared" si="1"/>
        <v>69.285110493901698</v>
      </c>
      <c r="G59">
        <f t="shared" ca="1" si="2"/>
        <v>57</v>
      </c>
      <c r="H59">
        <f t="shared" ca="1" si="3"/>
        <v>3949.2512981523969</v>
      </c>
      <c r="I59">
        <f t="shared" ca="1" si="4"/>
        <v>85667.613361890064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53464</v>
      </c>
      <c r="B62" s="66">
        <v>53464</v>
      </c>
      <c r="D62">
        <f t="shared" si="0"/>
        <v>80.702813669846634</v>
      </c>
      <c r="E62">
        <f t="shared" si="1"/>
        <v>80.702813669846634</v>
      </c>
      <c r="G62">
        <f t="shared" ca="1" si="2"/>
        <v>60</v>
      </c>
      <c r="H62">
        <f t="shared" ca="1" si="3"/>
        <v>4842.1688201907982</v>
      </c>
      <c r="I62">
        <f t="shared" ca="1" si="4"/>
        <v>83484.749595933798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52696</v>
      </c>
      <c r="B64" s="66">
        <v>52696</v>
      </c>
      <c r="D64">
        <f t="shared" si="0"/>
        <v>79.543533389687241</v>
      </c>
      <c r="E64">
        <f t="shared" si="1"/>
        <v>79.543533389687241</v>
      </c>
      <c r="G64">
        <f t="shared" ca="1" si="2"/>
        <v>62</v>
      </c>
      <c r="H64">
        <f t="shared" ca="1" si="3"/>
        <v>4931.6990701606092</v>
      </c>
      <c r="I64">
        <f t="shared" ca="1" si="4"/>
        <v>72370.183542337982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52321</v>
      </c>
      <c r="B67" s="66">
        <v>52321</v>
      </c>
      <c r="D67">
        <f t="shared" ref="D67:D130" si="5">IFERROR( 100*A67/MAX(A$2:A$257), 0 )</f>
        <v>78.977478565390655</v>
      </c>
      <c r="E67">
        <f t="shared" ref="E67:E130" si="6">IFERROR( 100*B67/MAX(B$2:B$257), 0 )</f>
        <v>78.977478565390655</v>
      </c>
      <c r="G67">
        <f t="shared" ref="G67:G130" ca="1" si="7">CELL("row",D67)-2</f>
        <v>65</v>
      </c>
      <c r="H67">
        <f t="shared" ref="H67:H130" ca="1" si="8">D67*G67</f>
        <v>5133.5361067503927</v>
      </c>
      <c r="I67">
        <f t="shared" ref="I67:I130" ca="1" si="9">D67*((G67-$L$1)^2)</f>
        <v>58272.693301889311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58238</v>
      </c>
      <c r="B69" s="66">
        <v>58238</v>
      </c>
      <c r="D69">
        <f t="shared" si="5"/>
        <v>87.909068953024999</v>
      </c>
      <c r="E69">
        <f t="shared" si="6"/>
        <v>87.909068953024999</v>
      </c>
      <c r="G69">
        <f t="shared" ca="1" si="7"/>
        <v>67</v>
      </c>
      <c r="H69">
        <f t="shared" ca="1" si="8"/>
        <v>5889.9076198526745</v>
      </c>
      <c r="I69">
        <f t="shared" ca="1" si="9"/>
        <v>55662.842539576137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59243</v>
      </c>
      <c r="B72" s="66">
        <v>59243</v>
      </c>
      <c r="D72">
        <f t="shared" si="5"/>
        <v>89.426095882139833</v>
      </c>
      <c r="E72">
        <f t="shared" si="6"/>
        <v>89.426095882139833</v>
      </c>
      <c r="G72">
        <f t="shared" ca="1" si="7"/>
        <v>70</v>
      </c>
      <c r="H72">
        <f t="shared" ca="1" si="8"/>
        <v>6259.826711749788</v>
      </c>
      <c r="I72">
        <f t="shared" ca="1" si="9"/>
        <v>43926.758677310871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64530</v>
      </c>
      <c r="B75" s="66">
        <v>64530</v>
      </c>
      <c r="D75">
        <f t="shared" si="5"/>
        <v>97.406714164955929</v>
      </c>
      <c r="E75">
        <f t="shared" si="6"/>
        <v>97.406714164955929</v>
      </c>
      <c r="G75">
        <f t="shared" ca="1" si="7"/>
        <v>73</v>
      </c>
      <c r="H75">
        <f t="shared" ca="1" si="8"/>
        <v>7110.6901340417826</v>
      </c>
      <c r="I75">
        <f t="shared" ca="1" si="9"/>
        <v>35770.491468967673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62517</v>
      </c>
      <c r="B77" s="66">
        <v>62517</v>
      </c>
      <c r="D77">
        <f t="shared" si="5"/>
        <v>94.368131868131869</v>
      </c>
      <c r="E77">
        <f t="shared" si="6"/>
        <v>94.368131868131869</v>
      </c>
      <c r="G77">
        <f t="shared" ca="1" si="7"/>
        <v>75</v>
      </c>
      <c r="H77">
        <f t="shared" ca="1" si="8"/>
        <v>7077.6098901098903</v>
      </c>
      <c r="I77">
        <f t="shared" ca="1" si="9"/>
        <v>27798.529799157684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60399</v>
      </c>
      <c r="B80" s="66">
        <v>60399</v>
      </c>
      <c r="D80">
        <f t="shared" si="5"/>
        <v>91.171054220504772</v>
      </c>
      <c r="E80">
        <f t="shared" si="6"/>
        <v>91.171054220504772</v>
      </c>
      <c r="G80">
        <f t="shared" ca="1" si="7"/>
        <v>78</v>
      </c>
      <c r="H80">
        <f t="shared" ca="1" si="8"/>
        <v>7111.342229199372</v>
      </c>
      <c r="I80">
        <f t="shared" ca="1" si="9"/>
        <v>18288.567258837695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62211</v>
      </c>
      <c r="B82" s="66">
        <v>62211</v>
      </c>
      <c r="D82">
        <f t="shared" si="5"/>
        <v>93.906231131505862</v>
      </c>
      <c r="E82">
        <f t="shared" si="6"/>
        <v>93.906231131505862</v>
      </c>
      <c r="G82">
        <f t="shared" ca="1" si="7"/>
        <v>80</v>
      </c>
      <c r="H82">
        <f t="shared" ca="1" si="8"/>
        <v>7512.4984905204692</v>
      </c>
      <c r="I82">
        <f t="shared" ca="1" si="9"/>
        <v>13892.807774226108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59508</v>
      </c>
      <c r="B85" s="66">
        <v>59508</v>
      </c>
      <c r="D85">
        <f t="shared" si="5"/>
        <v>89.826107957976092</v>
      </c>
      <c r="E85">
        <f t="shared" si="6"/>
        <v>89.826107957976092</v>
      </c>
      <c r="G85">
        <f t="shared" ca="1" si="7"/>
        <v>83</v>
      </c>
      <c r="H85">
        <f t="shared" ca="1" si="8"/>
        <v>7455.5669605120156</v>
      </c>
      <c r="I85">
        <f t="shared" ca="1" si="9"/>
        <v>7542.1785276104729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66248</v>
      </c>
      <c r="B88" s="66">
        <v>66248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3798.5020448594364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61181</v>
      </c>
      <c r="B90" s="66">
        <v>61181</v>
      </c>
      <c r="D90">
        <f t="shared" si="5"/>
        <v>92.351467214104574</v>
      </c>
      <c r="E90">
        <f t="shared" si="6"/>
        <v>92.351467214104574</v>
      </c>
      <c r="G90">
        <f t="shared" ca="1" si="7"/>
        <v>88</v>
      </c>
      <c r="H90">
        <f t="shared" ca="1" si="8"/>
        <v>8126.9291148412021</v>
      </c>
      <c r="I90">
        <f t="shared" ca="1" si="9"/>
        <v>1600.6564018161785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58704</v>
      </c>
      <c r="B93" s="66">
        <v>58704</v>
      </c>
      <c r="D93">
        <f t="shared" si="5"/>
        <v>88.612486414684213</v>
      </c>
      <c r="E93">
        <f t="shared" si="6"/>
        <v>88.612486414684213</v>
      </c>
      <c r="G93">
        <f t="shared" ca="1" si="7"/>
        <v>91</v>
      </c>
      <c r="H93">
        <f t="shared" ca="1" si="8"/>
        <v>8063.736263736263</v>
      </c>
      <c r="I93">
        <f t="shared" ca="1" si="9"/>
        <v>119.8954975616865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56491</v>
      </c>
      <c r="B95" s="66">
        <v>56491</v>
      </c>
      <c r="D95">
        <f t="shared" si="5"/>
        <v>85.272008211568647</v>
      </c>
      <c r="E95">
        <f t="shared" si="6"/>
        <v>85.272008211568647</v>
      </c>
      <c r="G95">
        <f t="shared" ca="1" si="7"/>
        <v>93</v>
      </c>
      <c r="H95">
        <f t="shared" ca="1" si="8"/>
        <v>7930.296763675884</v>
      </c>
      <c r="I95">
        <f t="shared" ca="1" si="9"/>
        <v>59.710539536036222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51439</v>
      </c>
      <c r="B98" s="66">
        <v>51439</v>
      </c>
      <c r="D98">
        <f t="shared" si="5"/>
        <v>77.646117618645093</v>
      </c>
      <c r="E98">
        <f t="shared" si="6"/>
        <v>77.646117618645093</v>
      </c>
      <c r="G98">
        <f t="shared" ca="1" si="7"/>
        <v>96</v>
      </c>
      <c r="H98">
        <f t="shared" ca="1" si="8"/>
        <v>7454.0272913899289</v>
      </c>
      <c r="I98">
        <f t="shared" ca="1" si="9"/>
        <v>1143.0318227070065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49560</v>
      </c>
      <c r="B100" s="66">
        <v>49560</v>
      </c>
      <c r="D100">
        <f t="shared" si="5"/>
        <v>74.80980557903635</v>
      </c>
      <c r="E100">
        <f t="shared" si="6"/>
        <v>74.80980557903635</v>
      </c>
      <c r="G100">
        <f t="shared" ca="1" si="7"/>
        <v>98</v>
      </c>
      <c r="H100">
        <f t="shared" ca="1" si="8"/>
        <v>7331.3609467455626</v>
      </c>
      <c r="I100">
        <f t="shared" ca="1" si="9"/>
        <v>2548.6389570079937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46417</v>
      </c>
      <c r="B103" s="66">
        <v>46417</v>
      </c>
      <c r="D103">
        <f t="shared" si="5"/>
        <v>70.065511411665256</v>
      </c>
      <c r="E103">
        <f t="shared" si="6"/>
        <v>70.065511411665256</v>
      </c>
      <c r="G103">
        <f t="shared" ca="1" si="7"/>
        <v>101</v>
      </c>
      <c r="H103">
        <f t="shared" ca="1" si="8"/>
        <v>7076.616652578191</v>
      </c>
      <c r="I103">
        <f t="shared" ca="1" si="9"/>
        <v>5471.3495051531036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43291</v>
      </c>
      <c r="B106" s="66">
        <v>43291</v>
      </c>
      <c r="D106">
        <f t="shared" si="5"/>
        <v>65.346878396328947</v>
      </c>
      <c r="E106">
        <f t="shared" si="6"/>
        <v>65.346878396328947</v>
      </c>
      <c r="G106">
        <f t="shared" ca="1" si="7"/>
        <v>104</v>
      </c>
      <c r="H106">
        <f t="shared" ca="1" si="8"/>
        <v>6796.0753532182107</v>
      </c>
      <c r="I106">
        <f t="shared" ca="1" si="9"/>
        <v>9155.7420310692742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45098</v>
      </c>
      <c r="B108" s="66">
        <v>45098</v>
      </c>
      <c r="D108">
        <f t="shared" si="5"/>
        <v>68.074507909672747</v>
      </c>
      <c r="E108">
        <f t="shared" si="6"/>
        <v>68.074507909672747</v>
      </c>
      <c r="G108">
        <f t="shared" ca="1" si="7"/>
        <v>106</v>
      </c>
      <c r="H108">
        <f t="shared" ca="1" si="8"/>
        <v>7215.8978384253114</v>
      </c>
      <c r="I108">
        <f t="shared" ca="1" si="9"/>
        <v>13033.345499499888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46777</v>
      </c>
      <c r="B111" s="66">
        <v>46777</v>
      </c>
      <c r="D111">
        <f t="shared" si="5"/>
        <v>70.608924042989983</v>
      </c>
      <c r="E111">
        <f t="shared" si="6"/>
        <v>70.608924042989983</v>
      </c>
      <c r="G111">
        <f t="shared" ca="1" si="7"/>
        <v>109</v>
      </c>
      <c r="H111">
        <f t="shared" ca="1" si="8"/>
        <v>7696.3727206859085</v>
      </c>
      <c r="I111">
        <f t="shared" ca="1" si="9"/>
        <v>20016.067525967461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45078</v>
      </c>
      <c r="B113" s="66">
        <v>45078</v>
      </c>
      <c r="D113">
        <f t="shared" si="5"/>
        <v>68.044318319043597</v>
      </c>
      <c r="E113">
        <f t="shared" si="6"/>
        <v>68.044318319043597</v>
      </c>
      <c r="G113">
        <f t="shared" ca="1" si="7"/>
        <v>111</v>
      </c>
      <c r="H113">
        <f t="shared" ca="1" si="8"/>
        <v>7552.919333413839</v>
      </c>
      <c r="I113">
        <f t="shared" ca="1" si="9"/>
        <v>24143.830445538519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40545</v>
      </c>
      <c r="B116" s="66">
        <v>40545</v>
      </c>
      <c r="D116">
        <f t="shared" si="5"/>
        <v>61.201847602946501</v>
      </c>
      <c r="E116">
        <f t="shared" si="6"/>
        <v>61.201847602946501</v>
      </c>
      <c r="G116">
        <f t="shared" ca="1" si="7"/>
        <v>114</v>
      </c>
      <c r="H116">
        <f t="shared" ca="1" si="8"/>
        <v>6977.0106267359015</v>
      </c>
      <c r="I116">
        <f t="shared" ca="1" si="9"/>
        <v>29183.849067839306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41364</v>
      </c>
      <c r="B118" s="66">
        <v>41364</v>
      </c>
      <c r="D118">
        <f t="shared" si="5"/>
        <v>62.438111339210238</v>
      </c>
      <c r="E118">
        <f t="shared" si="6"/>
        <v>62.438111339210238</v>
      </c>
      <c r="G118">
        <f t="shared" ca="1" si="7"/>
        <v>116</v>
      </c>
      <c r="H118">
        <f t="shared" ca="1" si="8"/>
        <v>7242.8209153483876</v>
      </c>
      <c r="I118">
        <f t="shared" ca="1" si="9"/>
        <v>35476.903264468674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38937</v>
      </c>
      <c r="B121" s="66">
        <v>38937</v>
      </c>
      <c r="D121">
        <f t="shared" si="5"/>
        <v>58.774604516362757</v>
      </c>
      <c r="E121">
        <f t="shared" si="6"/>
        <v>58.774604516362757</v>
      </c>
      <c r="G121">
        <f t="shared" ca="1" si="7"/>
        <v>119</v>
      </c>
      <c r="H121">
        <f t="shared" ca="1" si="8"/>
        <v>6994.177937447168</v>
      </c>
      <c r="I121">
        <f t="shared" ca="1" si="9"/>
        <v>42330.286804247087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36009</v>
      </c>
      <c r="B124" s="66">
        <v>36009</v>
      </c>
      <c r="D124">
        <f t="shared" si="5"/>
        <v>54.354848448255041</v>
      </c>
      <c r="E124">
        <f t="shared" si="6"/>
        <v>54.354848448255041</v>
      </c>
      <c r="G124">
        <f t="shared" ca="1" si="7"/>
        <v>122</v>
      </c>
      <c r="H124">
        <f t="shared" ca="1" si="8"/>
        <v>6631.2915106871151</v>
      </c>
      <c r="I124">
        <f t="shared" ca="1" si="9"/>
        <v>48388.572256552114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33929</v>
      </c>
      <c r="B126" s="66">
        <v>33929</v>
      </c>
      <c r="D126">
        <f t="shared" si="5"/>
        <v>51.215131022823329</v>
      </c>
      <c r="E126">
        <f t="shared" si="6"/>
        <v>51.215131022823329</v>
      </c>
      <c r="G126">
        <f t="shared" ca="1" si="7"/>
        <v>124</v>
      </c>
      <c r="H126">
        <f t="shared" ca="1" si="8"/>
        <v>6350.6762468300931</v>
      </c>
      <c r="I126">
        <f t="shared" ca="1" si="9"/>
        <v>51910.730091586796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32018</v>
      </c>
      <c r="B129" s="66">
        <v>32018</v>
      </c>
      <c r="D129">
        <f t="shared" si="5"/>
        <v>48.330515638207949</v>
      </c>
      <c r="E129">
        <f t="shared" si="6"/>
        <v>48.330515638207949</v>
      </c>
      <c r="G129">
        <f t="shared" ca="1" si="7"/>
        <v>127</v>
      </c>
      <c r="H129">
        <f t="shared" ca="1" si="8"/>
        <v>6137.9754860524099</v>
      </c>
      <c r="I129">
        <f t="shared" ca="1" si="9"/>
        <v>58654.044860282505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32143</v>
      </c>
      <c r="B131" s="66">
        <v>32143</v>
      </c>
      <c r="D131">
        <f t="shared" ref="D131:D194" si="10">IFERROR( 100*A131/MAX(A$2:A$257), 0 )</f>
        <v>48.519200579640142</v>
      </c>
      <c r="E131">
        <f t="shared" ref="E131:E194" si="11">IFERROR( 100*B131/MAX(B$2:B$257), 0 )</f>
        <v>48.519200579640142</v>
      </c>
      <c r="G131">
        <f t="shared" ref="G131:G194" ca="1" si="12">CELL("row",D131)-2</f>
        <v>129</v>
      </c>
      <c r="H131">
        <f t="shared" ref="H131:H194" ca="1" si="13">D131*G131</f>
        <v>6258.9768747735779</v>
      </c>
      <c r="I131">
        <f t="shared" ref="I131:I194" ca="1" si="14">D131*((G131-$L$1)^2)</f>
        <v>65838.125183427706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31562</v>
      </c>
      <c r="B134" s="66">
        <v>31562</v>
      </c>
      <c r="D134">
        <f t="shared" si="10"/>
        <v>47.642192971863302</v>
      </c>
      <c r="E134">
        <f t="shared" si="11"/>
        <v>47.642192971863302</v>
      </c>
      <c r="G134">
        <f t="shared" ca="1" si="12"/>
        <v>132</v>
      </c>
      <c r="H134">
        <f t="shared" ca="1" si="13"/>
        <v>6288.769472285956</v>
      </c>
      <c r="I134">
        <f t="shared" ca="1" si="14"/>
        <v>75606.765444105651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31437</v>
      </c>
      <c r="B136" s="66">
        <v>31437</v>
      </c>
      <c r="D136">
        <f t="shared" si="10"/>
        <v>47.453508030431109</v>
      </c>
      <c r="E136">
        <f t="shared" si="11"/>
        <v>47.453508030431109</v>
      </c>
      <c r="G136">
        <f t="shared" ca="1" si="12"/>
        <v>134</v>
      </c>
      <c r="H136">
        <f t="shared" ca="1" si="13"/>
        <v>6358.7700760777689</v>
      </c>
      <c r="I136">
        <f t="shared" ca="1" si="14"/>
        <v>83058.725845431632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30564</v>
      </c>
      <c r="B139" s="66">
        <v>30564</v>
      </c>
      <c r="D139">
        <f t="shared" si="10"/>
        <v>46.135732399468665</v>
      </c>
      <c r="E139">
        <f t="shared" si="11"/>
        <v>46.135732399468665</v>
      </c>
      <c r="G139">
        <f t="shared" ca="1" si="12"/>
        <v>137</v>
      </c>
      <c r="H139">
        <f t="shared" ca="1" si="13"/>
        <v>6320.5953387272075</v>
      </c>
      <c r="I139">
        <f t="shared" ca="1" si="14"/>
        <v>92748.449890473144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25798</v>
      </c>
      <c r="B142" s="66">
        <v>25798</v>
      </c>
      <c r="D142">
        <f t="shared" si="10"/>
        <v>38.941552952541961</v>
      </c>
      <c r="E142">
        <f t="shared" si="11"/>
        <v>38.941552952541961</v>
      </c>
      <c r="G142">
        <f t="shared" ca="1" si="12"/>
        <v>140</v>
      </c>
      <c r="H142">
        <f t="shared" ca="1" si="13"/>
        <v>5451.817413355875</v>
      </c>
      <c r="I142">
        <f t="shared" ca="1" si="14"/>
        <v>89112.274251385737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22814</v>
      </c>
      <c r="B144" s="66">
        <v>22814</v>
      </c>
      <c r="D144">
        <f t="shared" si="10"/>
        <v>34.437266030672625</v>
      </c>
      <c r="E144">
        <f t="shared" si="11"/>
        <v>34.437266030672625</v>
      </c>
      <c r="G144">
        <f t="shared" ca="1" si="12"/>
        <v>142</v>
      </c>
      <c r="H144">
        <f t="shared" ca="1" si="13"/>
        <v>4890.0917763555126</v>
      </c>
      <c r="I144">
        <f t="shared" ca="1" si="14"/>
        <v>85532.069945910669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22497</v>
      </c>
      <c r="B147" s="66">
        <v>22497</v>
      </c>
      <c r="D147">
        <f t="shared" si="10"/>
        <v>33.95876101920058</v>
      </c>
      <c r="E147">
        <f t="shared" si="11"/>
        <v>33.95876101920058</v>
      </c>
      <c r="G147">
        <f t="shared" ca="1" si="12"/>
        <v>145</v>
      </c>
      <c r="H147">
        <f t="shared" ca="1" si="13"/>
        <v>4924.0203477840842</v>
      </c>
      <c r="I147">
        <f t="shared" ca="1" si="14"/>
        <v>94803.608785149394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21358</v>
      </c>
      <c r="B149" s="66">
        <v>21358</v>
      </c>
      <c r="D149">
        <f t="shared" si="10"/>
        <v>32.239463832870427</v>
      </c>
      <c r="E149">
        <f t="shared" si="11"/>
        <v>32.239463832870427</v>
      </c>
      <c r="G149">
        <f t="shared" ca="1" si="12"/>
        <v>147</v>
      </c>
      <c r="H149">
        <f t="shared" ca="1" si="13"/>
        <v>4739.2011834319528</v>
      </c>
      <c r="I149">
        <f t="shared" ca="1" si="14"/>
        <v>96946.477869376715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18530</v>
      </c>
      <c r="B152" s="66">
        <v>18530</v>
      </c>
      <c r="D152">
        <f t="shared" si="10"/>
        <v>27.970655717908464</v>
      </c>
      <c r="E152">
        <f t="shared" si="11"/>
        <v>27.970655717908464</v>
      </c>
      <c r="G152">
        <f t="shared" ca="1" si="12"/>
        <v>150</v>
      </c>
      <c r="H152">
        <f t="shared" ca="1" si="13"/>
        <v>4195.59835768627</v>
      </c>
      <c r="I152">
        <f t="shared" ca="1" si="14"/>
        <v>93564.516354679945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13260</v>
      </c>
      <c r="B154" s="66">
        <v>13260</v>
      </c>
      <c r="D154">
        <f t="shared" si="10"/>
        <v>20.015698587127158</v>
      </c>
      <c r="E154">
        <f t="shared" si="11"/>
        <v>20.015698587127158</v>
      </c>
      <c r="G154">
        <f t="shared" ca="1" si="12"/>
        <v>152</v>
      </c>
      <c r="H154">
        <f t="shared" ca="1" si="13"/>
        <v>3042.3861852433279</v>
      </c>
      <c r="I154">
        <f t="shared" ca="1" si="14"/>
        <v>71665.063255488349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11871</v>
      </c>
      <c r="B157" s="66">
        <v>11871</v>
      </c>
      <c r="D157">
        <f t="shared" si="10"/>
        <v>17.919031517932616</v>
      </c>
      <c r="E157">
        <f t="shared" si="11"/>
        <v>17.919031517932616</v>
      </c>
      <c r="G157">
        <f t="shared" ca="1" si="12"/>
        <v>155</v>
      </c>
      <c r="H157">
        <f t="shared" ca="1" si="13"/>
        <v>2777.4498852795555</v>
      </c>
      <c r="I157">
        <f t="shared" ca="1" si="14"/>
        <v>70752.643245147003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10248</v>
      </c>
      <c r="B160" s="66">
        <v>10248</v>
      </c>
      <c r="D160">
        <f t="shared" si="10"/>
        <v>15.469146238377007</v>
      </c>
      <c r="E160">
        <f t="shared" si="11"/>
        <v>15.469146238377007</v>
      </c>
      <c r="G160">
        <f t="shared" ca="1" si="12"/>
        <v>158</v>
      </c>
      <c r="H160">
        <f t="shared" ca="1" si="13"/>
        <v>2444.125105663567</v>
      </c>
      <c r="I160">
        <f t="shared" ca="1" si="14"/>
        <v>67050.772766361668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9820</v>
      </c>
      <c r="B162" s="66">
        <v>9820</v>
      </c>
      <c r="D162">
        <f t="shared" si="10"/>
        <v>14.823088998913175</v>
      </c>
      <c r="E162">
        <f t="shared" si="11"/>
        <v>14.823088998913175</v>
      </c>
      <c r="G162">
        <f t="shared" ca="1" si="12"/>
        <v>160</v>
      </c>
      <c r="H162">
        <f t="shared" ca="1" si="13"/>
        <v>2371.6942398261081</v>
      </c>
      <c r="I162">
        <f t="shared" ca="1" si="14"/>
        <v>68213.359157859421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9609</v>
      </c>
      <c r="B165" s="66">
        <v>9609</v>
      </c>
      <c r="D165">
        <f t="shared" si="10"/>
        <v>14.50458881777563</v>
      </c>
      <c r="E165">
        <f t="shared" si="11"/>
        <v>14.50458881777563</v>
      </c>
      <c r="G165">
        <f t="shared" ca="1" si="12"/>
        <v>163</v>
      </c>
      <c r="H165">
        <f t="shared" ca="1" si="13"/>
        <v>2364.247977297428</v>
      </c>
      <c r="I165">
        <f t="shared" ca="1" si="14"/>
        <v>72781.885705154607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15311</v>
      </c>
      <c r="B167" s="66">
        <v>15311</v>
      </c>
      <c r="D167">
        <f t="shared" si="10"/>
        <v>23.1116411061466</v>
      </c>
      <c r="E167">
        <f t="shared" si="11"/>
        <v>23.1116411061466</v>
      </c>
      <c r="G167">
        <f t="shared" ca="1" si="12"/>
        <v>165</v>
      </c>
      <c r="H167">
        <f t="shared" ca="1" si="13"/>
        <v>3813.4207825141889</v>
      </c>
      <c r="I167">
        <f t="shared" ca="1" si="14"/>
        <v>122611.8690875857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14660</v>
      </c>
      <c r="B170" s="66">
        <v>14660</v>
      </c>
      <c r="D170">
        <f t="shared" si="10"/>
        <v>22.128969931167735</v>
      </c>
      <c r="E170">
        <f t="shared" si="11"/>
        <v>22.128969931167735</v>
      </c>
      <c r="G170">
        <f t="shared" ca="1" si="12"/>
        <v>168</v>
      </c>
      <c r="H170">
        <f t="shared" ca="1" si="13"/>
        <v>3717.6669484361796</v>
      </c>
      <c r="I170">
        <f t="shared" ca="1" si="14"/>
        <v>127268.58338631068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14153</v>
      </c>
      <c r="B173" s="66">
        <v>14153</v>
      </c>
      <c r="D173">
        <f t="shared" si="10"/>
        <v>21.363663808718755</v>
      </c>
      <c r="E173">
        <f t="shared" si="11"/>
        <v>21.363663808718755</v>
      </c>
      <c r="G173">
        <f t="shared" ca="1" si="12"/>
        <v>171</v>
      </c>
      <c r="H173">
        <f t="shared" ca="1" si="13"/>
        <v>3653.1865112909072</v>
      </c>
      <c r="I173">
        <f t="shared" ca="1" si="14"/>
        <v>132780.32371449107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13017</v>
      </c>
      <c r="B175" s="66">
        <v>13017</v>
      </c>
      <c r="D175">
        <f t="shared" si="10"/>
        <v>19.648895060982973</v>
      </c>
      <c r="E175">
        <f t="shared" si="11"/>
        <v>19.648895060982973</v>
      </c>
      <c r="G175">
        <f t="shared" ca="1" si="12"/>
        <v>173</v>
      </c>
      <c r="H175">
        <f t="shared" ca="1" si="13"/>
        <v>3399.2588455500545</v>
      </c>
      <c r="I175">
        <f t="shared" ca="1" si="14"/>
        <v>128397.44203557877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12269</v>
      </c>
      <c r="B178" s="66">
        <v>12269</v>
      </c>
      <c r="D178">
        <f t="shared" si="10"/>
        <v>18.519804371452722</v>
      </c>
      <c r="E178">
        <f t="shared" si="11"/>
        <v>18.519804371452722</v>
      </c>
      <c r="G178">
        <f t="shared" ca="1" si="12"/>
        <v>176</v>
      </c>
      <c r="H178">
        <f t="shared" ca="1" si="13"/>
        <v>3259.485569375679</v>
      </c>
      <c r="I178">
        <f t="shared" ca="1" si="14"/>
        <v>130168.46779189873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11922</v>
      </c>
      <c r="B180" s="66">
        <v>11922</v>
      </c>
      <c r="D180">
        <f t="shared" si="10"/>
        <v>17.996014974036953</v>
      </c>
      <c r="E180">
        <f t="shared" si="11"/>
        <v>17.996014974036953</v>
      </c>
      <c r="G180">
        <f t="shared" ca="1" si="12"/>
        <v>178</v>
      </c>
      <c r="H180">
        <f t="shared" ca="1" si="13"/>
        <v>3203.2906653785776</v>
      </c>
      <c r="I180">
        <f t="shared" ca="1" si="14"/>
        <v>132593.85417605625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8518</v>
      </c>
      <c r="B183" s="66">
        <v>8518</v>
      </c>
      <c r="D183">
        <f t="shared" si="10"/>
        <v>12.857746648955439</v>
      </c>
      <c r="E183">
        <f t="shared" si="11"/>
        <v>12.857746648955439</v>
      </c>
      <c r="G183">
        <f t="shared" ca="1" si="12"/>
        <v>181</v>
      </c>
      <c r="H183">
        <f t="shared" ca="1" si="13"/>
        <v>2327.2521434609343</v>
      </c>
      <c r="I183">
        <f t="shared" ca="1" si="14"/>
        <v>101473.04382162813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8247</v>
      </c>
      <c r="B185" s="66">
        <v>8247</v>
      </c>
      <c r="D185">
        <f t="shared" si="10"/>
        <v>12.448677695930444</v>
      </c>
      <c r="E185">
        <f t="shared" si="11"/>
        <v>12.448677695930444</v>
      </c>
      <c r="G185">
        <f t="shared" ca="1" si="12"/>
        <v>183</v>
      </c>
      <c r="H185">
        <f t="shared" ca="1" si="13"/>
        <v>2278.1080183552713</v>
      </c>
      <c r="I185">
        <f t="shared" ca="1" si="14"/>
        <v>102718.07848706325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7353</v>
      </c>
      <c r="B188" s="66">
        <v>7353</v>
      </c>
      <c r="D188">
        <f t="shared" si="10"/>
        <v>11.09920299480739</v>
      </c>
      <c r="E188">
        <f t="shared" si="11"/>
        <v>11.09920299480739</v>
      </c>
      <c r="G188">
        <f t="shared" ca="1" si="12"/>
        <v>186</v>
      </c>
      <c r="H188">
        <f t="shared" ca="1" si="13"/>
        <v>2064.4517570341745</v>
      </c>
      <c r="I188">
        <f t="shared" ca="1" si="14"/>
        <v>97732.314304946602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6956</v>
      </c>
      <c r="B191" s="66">
        <v>6956</v>
      </c>
      <c r="D191">
        <f t="shared" si="10"/>
        <v>10.499939620818742</v>
      </c>
      <c r="E191">
        <f t="shared" si="11"/>
        <v>10.499939620818742</v>
      </c>
      <c r="G191">
        <f t="shared" ca="1" si="12"/>
        <v>189</v>
      </c>
      <c r="H191">
        <f t="shared" ca="1" si="13"/>
        <v>1984.4885883347422</v>
      </c>
      <c r="I191">
        <f t="shared" ca="1" si="14"/>
        <v>98461.777337100779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7676</v>
      </c>
      <c r="B193" s="66">
        <v>7676</v>
      </c>
      <c r="D193">
        <f t="shared" si="10"/>
        <v>11.586764883468181</v>
      </c>
      <c r="E193">
        <f t="shared" si="11"/>
        <v>11.586764883468181</v>
      </c>
      <c r="G193">
        <f t="shared" ca="1" si="12"/>
        <v>191</v>
      </c>
      <c r="H193">
        <f t="shared" ca="1" si="13"/>
        <v>2213.0720927424227</v>
      </c>
      <c r="I193">
        <f t="shared" ca="1" si="14"/>
        <v>113187.78370442387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6411</v>
      </c>
      <c r="B196" s="66">
        <v>6411</v>
      </c>
      <c r="D196">
        <f t="shared" si="15"/>
        <v>9.6772732761743754</v>
      </c>
      <c r="E196">
        <f t="shared" si="16"/>
        <v>9.6772732761743754</v>
      </c>
      <c r="G196">
        <f t="shared" ca="1" si="17"/>
        <v>194</v>
      </c>
      <c r="H196">
        <f t="shared" ca="1" si="18"/>
        <v>1877.3910155778287</v>
      </c>
      <c r="I196">
        <f t="shared" ca="1" si="19"/>
        <v>100360.42759366949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4905</v>
      </c>
      <c r="B198" s="66">
        <v>4905</v>
      </c>
      <c r="D198">
        <f t="shared" si="15"/>
        <v>7.4039971017993</v>
      </c>
      <c r="E198">
        <f t="shared" si="16"/>
        <v>7.4039971017993</v>
      </c>
      <c r="G198">
        <f t="shared" ca="1" si="17"/>
        <v>196</v>
      </c>
      <c r="H198">
        <f t="shared" ca="1" si="18"/>
        <v>1451.1834319526629</v>
      </c>
      <c r="I198">
        <f t="shared" ca="1" si="19"/>
        <v>79830.4984492402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3233</v>
      </c>
      <c r="B201" s="66">
        <v>3233</v>
      </c>
      <c r="D201">
        <f t="shared" si="15"/>
        <v>4.8801473252022705</v>
      </c>
      <c r="E201">
        <f t="shared" si="16"/>
        <v>4.8801473252022705</v>
      </c>
      <c r="G201">
        <f t="shared" ca="1" si="17"/>
        <v>199</v>
      </c>
      <c r="H201">
        <f t="shared" ca="1" si="18"/>
        <v>971.14931771525187</v>
      </c>
      <c r="I201">
        <f t="shared" ca="1" si="19"/>
        <v>55702.499702644389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1911</v>
      </c>
      <c r="B203" s="66">
        <v>1911</v>
      </c>
      <c r="D203">
        <f t="shared" si="15"/>
        <v>2.8846153846153846</v>
      </c>
      <c r="E203">
        <f t="shared" si="16"/>
        <v>2.8846153846153846</v>
      </c>
      <c r="G203">
        <f t="shared" ca="1" si="17"/>
        <v>201</v>
      </c>
      <c r="H203">
        <f t="shared" ca="1" si="18"/>
        <v>579.80769230769226</v>
      </c>
      <c r="I203">
        <f t="shared" ca="1" si="19"/>
        <v>34169.565224377962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498</v>
      </c>
      <c r="B206" s="66">
        <v>498</v>
      </c>
      <c r="D206">
        <f t="shared" si="15"/>
        <v>0.75172080666586161</v>
      </c>
      <c r="E206">
        <f t="shared" si="16"/>
        <v>0.75172080666586161</v>
      </c>
      <c r="G206">
        <f t="shared" ca="1" si="17"/>
        <v>204</v>
      </c>
      <c r="H206">
        <f t="shared" ca="1" si="18"/>
        <v>153.35104455983577</v>
      </c>
      <c r="I206">
        <f t="shared" ca="1" si="19"/>
        <v>9402.1255012675683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598</v>
      </c>
      <c r="B209" s="66">
        <v>598</v>
      </c>
      <c r="D209">
        <f t="shared" si="15"/>
        <v>0.90266875981161698</v>
      </c>
      <c r="E209">
        <f t="shared" si="16"/>
        <v>0.90266875981161698</v>
      </c>
      <c r="G209">
        <f t="shared" ca="1" si="17"/>
        <v>207</v>
      </c>
      <c r="H209">
        <f t="shared" ca="1" si="18"/>
        <v>186.85243328100472</v>
      </c>
      <c r="I209">
        <f t="shared" ca="1" si="19"/>
        <v>11903.936047796045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405</v>
      </c>
      <c r="B1" s="66" t="s">
        <v>406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86.253167995669187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1.6653321954570888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0.94634273994445617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7333</v>
      </c>
      <c r="B8" s="66">
        <v>7333</v>
      </c>
      <c r="D8">
        <f t="shared" si="0"/>
        <v>13.417869755356717</v>
      </c>
      <c r="E8">
        <f t="shared" si="1"/>
        <v>13.417869755356717</v>
      </c>
      <c r="G8">
        <f t="shared" ca="1" si="2"/>
        <v>6</v>
      </c>
      <c r="H8">
        <f t="shared" ca="1" si="3"/>
        <v>80.5072185321403</v>
      </c>
      <c r="I8">
        <f t="shared" ca="1" si="4"/>
        <v>86418.74247042193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8513</v>
      </c>
      <c r="B10" s="66">
        <v>8513</v>
      </c>
      <c r="D10">
        <f t="shared" si="0"/>
        <v>15.577025123053557</v>
      </c>
      <c r="E10">
        <f t="shared" si="1"/>
        <v>15.577025123053557</v>
      </c>
      <c r="G10">
        <f t="shared" ca="1" si="2"/>
        <v>8</v>
      </c>
      <c r="H10">
        <f t="shared" ca="1" si="3"/>
        <v>124.61620098442846</v>
      </c>
      <c r="I10">
        <f t="shared" ca="1" si="4"/>
        <v>95386.821502743347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10040</v>
      </c>
      <c r="B13" s="66">
        <v>10040</v>
      </c>
      <c r="D13">
        <f t="shared" si="0"/>
        <v>18.37111855226803</v>
      </c>
      <c r="E13">
        <f t="shared" si="1"/>
        <v>18.37111855226803</v>
      </c>
      <c r="G13">
        <f t="shared" ca="1" si="2"/>
        <v>11</v>
      </c>
      <c r="H13">
        <f t="shared" ca="1" si="3"/>
        <v>202.08230407494833</v>
      </c>
      <c r="I13">
        <f t="shared" ca="1" si="4"/>
        <v>104036.36622491716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12527</v>
      </c>
      <c r="B15" s="66">
        <v>12527</v>
      </c>
      <c r="D15">
        <f t="shared" si="0"/>
        <v>22.92181295859179</v>
      </c>
      <c r="E15">
        <f t="shared" si="1"/>
        <v>22.92181295859179</v>
      </c>
      <c r="G15">
        <f t="shared" ca="1" si="2"/>
        <v>13</v>
      </c>
      <c r="H15">
        <f t="shared" ca="1" si="3"/>
        <v>297.98356846169327</v>
      </c>
      <c r="I15">
        <f t="shared" ca="1" si="4"/>
        <v>122999.05854659477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14212</v>
      </c>
      <c r="B18" s="66">
        <v>14212</v>
      </c>
      <c r="D18">
        <f t="shared" si="0"/>
        <v>26.005013631955499</v>
      </c>
      <c r="E18">
        <f t="shared" si="1"/>
        <v>26.005013631955499</v>
      </c>
      <c r="G18">
        <f t="shared" ca="1" si="2"/>
        <v>16</v>
      </c>
      <c r="H18">
        <f t="shared" ca="1" si="3"/>
        <v>416.08021811128799</v>
      </c>
      <c r="I18">
        <f t="shared" ca="1" si="4"/>
        <v>128347.94276780795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16397</v>
      </c>
      <c r="B21" s="66">
        <v>16397</v>
      </c>
      <c r="D21">
        <f t="shared" si="0"/>
        <v>30.003110647563631</v>
      </c>
      <c r="E21">
        <f t="shared" si="1"/>
        <v>30.003110647563631</v>
      </c>
      <c r="G21">
        <f t="shared" ca="1" si="2"/>
        <v>19</v>
      </c>
      <c r="H21">
        <f t="shared" ca="1" si="3"/>
        <v>570.05910230370898</v>
      </c>
      <c r="I21">
        <f t="shared" ca="1" si="4"/>
        <v>135703.72758709695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21727</v>
      </c>
      <c r="B23" s="66">
        <v>21727</v>
      </c>
      <c r="D23">
        <f t="shared" si="0"/>
        <v>39.755905655889187</v>
      </c>
      <c r="E23">
        <f t="shared" si="1"/>
        <v>39.755905655889187</v>
      </c>
      <c r="G23">
        <f t="shared" ca="1" si="2"/>
        <v>21</v>
      </c>
      <c r="H23">
        <f t="shared" ca="1" si="3"/>
        <v>834.8740187736729</v>
      </c>
      <c r="I23">
        <f t="shared" ca="1" si="4"/>
        <v>169279.68949612076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22609</v>
      </c>
      <c r="B26" s="66">
        <v>22609</v>
      </c>
      <c r="D26">
        <f t="shared" si="0"/>
        <v>41.369782803608352</v>
      </c>
      <c r="E26">
        <f t="shared" si="1"/>
        <v>41.369782803608352</v>
      </c>
      <c r="G26">
        <f t="shared" ca="1" si="2"/>
        <v>24</v>
      </c>
      <c r="H26">
        <f t="shared" ca="1" si="3"/>
        <v>992.87478728660039</v>
      </c>
      <c r="I26">
        <f t="shared" ca="1" si="4"/>
        <v>160326.81127255113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28644</v>
      </c>
      <c r="B28" s="66">
        <v>28644</v>
      </c>
      <c r="D28">
        <f t="shared" si="0"/>
        <v>52.412581654498545</v>
      </c>
      <c r="E28">
        <f t="shared" si="1"/>
        <v>52.412581654498545</v>
      </c>
      <c r="G28">
        <f t="shared" ca="1" si="2"/>
        <v>26</v>
      </c>
      <c r="H28">
        <f t="shared" ca="1" si="3"/>
        <v>1362.7271230169622</v>
      </c>
      <c r="I28">
        <f t="shared" ca="1" si="4"/>
        <v>190280.95587942502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32193</v>
      </c>
      <c r="B31" s="66">
        <v>32193</v>
      </c>
      <c r="D31">
        <f t="shared" si="0"/>
        <v>58.906515891749464</v>
      </c>
      <c r="E31">
        <f t="shared" si="1"/>
        <v>58.906515891749464</v>
      </c>
      <c r="G31">
        <f t="shared" ca="1" si="2"/>
        <v>29</v>
      </c>
      <c r="H31">
        <f t="shared" ca="1" si="3"/>
        <v>1708.2889608607345</v>
      </c>
      <c r="I31">
        <f t="shared" ca="1" si="4"/>
        <v>193091.15556838753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40807</v>
      </c>
      <c r="B33" s="66">
        <v>40807</v>
      </c>
      <c r="D33">
        <f t="shared" si="0"/>
        <v>74.668350075936402</v>
      </c>
      <c r="E33">
        <f t="shared" si="1"/>
        <v>74.668350075936402</v>
      </c>
      <c r="G33">
        <f t="shared" ca="1" si="2"/>
        <v>31</v>
      </c>
      <c r="H33">
        <f t="shared" ca="1" si="3"/>
        <v>2314.7188523540285</v>
      </c>
      <c r="I33">
        <f t="shared" ca="1" si="4"/>
        <v>227955.94479362993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45438</v>
      </c>
      <c r="B36" s="66">
        <v>45438</v>
      </c>
      <c r="D36">
        <f t="shared" si="0"/>
        <v>83.142119997804244</v>
      </c>
      <c r="E36">
        <f t="shared" si="1"/>
        <v>83.142119997804244</v>
      </c>
      <c r="G36">
        <f t="shared" ca="1" si="2"/>
        <v>34</v>
      </c>
      <c r="H36">
        <f t="shared" ca="1" si="3"/>
        <v>2826.8320799253443</v>
      </c>
      <c r="I36">
        <f t="shared" ca="1" si="4"/>
        <v>227010.70947098648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42561</v>
      </c>
      <c r="B39" s="66">
        <v>42561</v>
      </c>
      <c r="D39">
        <f t="shared" si="0"/>
        <v>77.877806444529838</v>
      </c>
      <c r="E39">
        <f t="shared" si="1"/>
        <v>77.877806444529838</v>
      </c>
      <c r="G39">
        <f t="shared" ca="1" si="2"/>
        <v>37</v>
      </c>
      <c r="H39">
        <f t="shared" ca="1" si="3"/>
        <v>2881.4788384476042</v>
      </c>
      <c r="I39">
        <f t="shared" ca="1" si="4"/>
        <v>188921.78925623078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43047</v>
      </c>
      <c r="B41" s="66">
        <v>43047</v>
      </c>
      <c r="D41">
        <f t="shared" si="0"/>
        <v>78.767085689191418</v>
      </c>
      <c r="E41">
        <f t="shared" si="1"/>
        <v>78.767085689191418</v>
      </c>
      <c r="G41">
        <f t="shared" ca="1" si="2"/>
        <v>39</v>
      </c>
      <c r="H41">
        <f t="shared" ca="1" si="3"/>
        <v>3071.9163418784651</v>
      </c>
      <c r="I41">
        <f t="shared" ca="1" si="4"/>
        <v>175876.02347730633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50697</v>
      </c>
      <c r="B44" s="66">
        <v>50697</v>
      </c>
      <c r="D44">
        <f t="shared" si="0"/>
        <v>92.764999725531098</v>
      </c>
      <c r="E44">
        <f t="shared" si="1"/>
        <v>92.764999725531098</v>
      </c>
      <c r="G44">
        <f t="shared" ca="1" si="2"/>
        <v>42</v>
      </c>
      <c r="H44">
        <f t="shared" ca="1" si="3"/>
        <v>3896.1299884723062</v>
      </c>
      <c r="I44">
        <f t="shared" ca="1" si="4"/>
        <v>181665.67650796886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52635</v>
      </c>
      <c r="B46" s="66">
        <v>52635</v>
      </c>
      <c r="D46">
        <f t="shared" si="0"/>
        <v>96.311137948070481</v>
      </c>
      <c r="E46">
        <f t="shared" si="1"/>
        <v>96.311137948070481</v>
      </c>
      <c r="G46">
        <f t="shared" ca="1" si="2"/>
        <v>44</v>
      </c>
      <c r="H46">
        <f t="shared" ca="1" si="3"/>
        <v>4237.6900697151013</v>
      </c>
      <c r="I46">
        <f t="shared" ca="1" si="4"/>
        <v>171947.1837211638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49988</v>
      </c>
      <c r="B49" s="66">
        <v>49988</v>
      </c>
      <c r="D49">
        <f t="shared" si="0"/>
        <v>91.46767671222851</v>
      </c>
      <c r="E49">
        <f t="shared" si="1"/>
        <v>91.46767671222851</v>
      </c>
      <c r="G49">
        <f t="shared" ca="1" si="2"/>
        <v>47</v>
      </c>
      <c r="H49">
        <f t="shared" ca="1" si="3"/>
        <v>4298.98080547474</v>
      </c>
      <c r="I49">
        <f t="shared" ca="1" si="4"/>
        <v>140934.42050546018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50791</v>
      </c>
      <c r="B51" s="66">
        <v>50791</v>
      </c>
      <c r="D51">
        <f t="shared" si="0"/>
        <v>92.93700023787305</v>
      </c>
      <c r="E51">
        <f t="shared" si="1"/>
        <v>92.93700023787305</v>
      </c>
      <c r="G51">
        <f t="shared" ca="1" si="2"/>
        <v>49</v>
      </c>
      <c r="H51">
        <f t="shared" ca="1" si="3"/>
        <v>4553.9130116557799</v>
      </c>
      <c r="I51">
        <f t="shared" ca="1" si="4"/>
        <v>128977.83191436015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54651</v>
      </c>
      <c r="B54" s="66">
        <v>54651</v>
      </c>
      <c r="D54">
        <f t="shared" si="0"/>
        <v>100</v>
      </c>
      <c r="E54">
        <f t="shared" si="1"/>
        <v>100</v>
      </c>
      <c r="G54">
        <f t="shared" ca="1" si="2"/>
        <v>52</v>
      </c>
      <c r="H54">
        <f t="shared" ca="1" si="3"/>
        <v>5200</v>
      </c>
      <c r="I54">
        <f t="shared" ca="1" si="4"/>
        <v>117327.95177395359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52409</v>
      </c>
      <c r="B57" s="66">
        <v>52409</v>
      </c>
      <c r="D57">
        <f t="shared" si="0"/>
        <v>95.897604801376005</v>
      </c>
      <c r="E57">
        <f t="shared" si="1"/>
        <v>95.897604801376005</v>
      </c>
      <c r="G57">
        <f t="shared" ca="1" si="2"/>
        <v>55</v>
      </c>
      <c r="H57">
        <f t="shared" ca="1" si="3"/>
        <v>5274.3682640756806</v>
      </c>
      <c r="I57">
        <f t="shared" ca="1" si="4"/>
        <v>93668.993351084471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49711</v>
      </c>
      <c r="B59" s="66">
        <v>49711</v>
      </c>
      <c r="D59">
        <f t="shared" si="0"/>
        <v>90.9608241386251</v>
      </c>
      <c r="E59">
        <f t="shared" si="1"/>
        <v>90.9608241386251</v>
      </c>
      <c r="G59">
        <f t="shared" ca="1" si="2"/>
        <v>57</v>
      </c>
      <c r="H59">
        <f t="shared" ca="1" si="3"/>
        <v>5184.7669759016308</v>
      </c>
      <c r="I59">
        <f t="shared" ca="1" si="4"/>
        <v>77839.528579573962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51129</v>
      </c>
      <c r="B62" s="66">
        <v>51129</v>
      </c>
      <c r="D62">
        <f t="shared" si="0"/>
        <v>93.555470165230275</v>
      </c>
      <c r="E62">
        <f t="shared" si="1"/>
        <v>93.555470165230275</v>
      </c>
      <c r="G62">
        <f t="shared" ca="1" si="2"/>
        <v>60</v>
      </c>
      <c r="H62">
        <f t="shared" ca="1" si="3"/>
        <v>5613.3282099138169</v>
      </c>
      <c r="I62">
        <f t="shared" ca="1" si="4"/>
        <v>64481.127224196469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48813</v>
      </c>
      <c r="B64" s="66">
        <v>48813</v>
      </c>
      <c r="D64">
        <f t="shared" si="0"/>
        <v>89.317670307954103</v>
      </c>
      <c r="E64">
        <f t="shared" si="1"/>
        <v>89.317670307954103</v>
      </c>
      <c r="G64">
        <f t="shared" ca="1" si="2"/>
        <v>62</v>
      </c>
      <c r="H64">
        <f t="shared" ca="1" si="3"/>
        <v>5537.6955590931548</v>
      </c>
      <c r="I64">
        <f t="shared" ca="1" si="4"/>
        <v>52538.096854527757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44701</v>
      </c>
      <c r="B67" s="66">
        <v>44701</v>
      </c>
      <c r="D67">
        <f t="shared" ref="D67:D130" si="5">IFERROR(100*A67/MAX(A$2:A$257), 0 )</f>
        <v>81.793562789335965</v>
      </c>
      <c r="E67">
        <f t="shared" ref="E67:E130" si="6">IFERROR(100*B67/MAX(B$2:B$257), 0 )</f>
        <v>81.793562789335965</v>
      </c>
      <c r="G67">
        <f t="shared" ref="G67:G130" ca="1" si="7">CELL("row",D67)-2</f>
        <v>65</v>
      </c>
      <c r="H67">
        <f t="shared" ref="H67:H130" ca="1" si="8">D67*G67</f>
        <v>5316.5815813068375</v>
      </c>
      <c r="I67">
        <f t="shared" ref="I67:I130" ca="1" si="9">D67*((G67-$L$1)^2)</f>
        <v>36945.919188194865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48149</v>
      </c>
      <c r="B69" s="66">
        <v>48149</v>
      </c>
      <c r="D69">
        <f t="shared" si="5"/>
        <v>88.102687965453512</v>
      </c>
      <c r="E69">
        <f t="shared" si="6"/>
        <v>88.102687965453512</v>
      </c>
      <c r="G69">
        <f t="shared" ca="1" si="7"/>
        <v>67</v>
      </c>
      <c r="H69">
        <f t="shared" ca="1" si="8"/>
        <v>5902.880093685385</v>
      </c>
      <c r="I69">
        <f t="shared" ca="1" si="9"/>
        <v>32658.298887370118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47463</v>
      </c>
      <c r="B72" s="66">
        <v>47463</v>
      </c>
      <c r="D72">
        <f t="shared" si="5"/>
        <v>86.847450183894168</v>
      </c>
      <c r="E72">
        <f t="shared" si="6"/>
        <v>86.847450183894168</v>
      </c>
      <c r="G72">
        <f t="shared" ca="1" si="7"/>
        <v>70</v>
      </c>
      <c r="H72">
        <f t="shared" ca="1" si="8"/>
        <v>6079.3215128725915</v>
      </c>
      <c r="I72">
        <f t="shared" ca="1" si="9"/>
        <v>22942.097487049665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46627</v>
      </c>
      <c r="B75" s="66">
        <v>46627</v>
      </c>
      <c r="D75">
        <f t="shared" si="5"/>
        <v>85.317743499661489</v>
      </c>
      <c r="E75">
        <f t="shared" si="6"/>
        <v>85.317743499661489</v>
      </c>
      <c r="G75">
        <f t="shared" ca="1" si="7"/>
        <v>73</v>
      </c>
      <c r="H75">
        <f t="shared" ca="1" si="8"/>
        <v>6228.1952754752883</v>
      </c>
      <c r="I75">
        <f t="shared" ca="1" si="9"/>
        <v>14985.759784835625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44707</v>
      </c>
      <c r="B77" s="66">
        <v>44707</v>
      </c>
      <c r="D77">
        <f t="shared" si="5"/>
        <v>81.804541545442902</v>
      </c>
      <c r="E77">
        <f t="shared" si="6"/>
        <v>81.804541545442902</v>
      </c>
      <c r="G77">
        <f t="shared" ca="1" si="7"/>
        <v>75</v>
      </c>
      <c r="H77">
        <f t="shared" ca="1" si="8"/>
        <v>6135.3406159082178</v>
      </c>
      <c r="I77">
        <f t="shared" ca="1" si="9"/>
        <v>10359.219130101632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46796</v>
      </c>
      <c r="B80" s="66">
        <v>46796</v>
      </c>
      <c r="D80">
        <f t="shared" si="5"/>
        <v>85.626978463340109</v>
      </c>
      <c r="E80">
        <f t="shared" si="6"/>
        <v>85.626978463340109</v>
      </c>
      <c r="G80">
        <f t="shared" ca="1" si="7"/>
        <v>78</v>
      </c>
      <c r="H80">
        <f t="shared" ca="1" si="8"/>
        <v>6678.9043201405284</v>
      </c>
      <c r="I80">
        <f t="shared" ca="1" si="9"/>
        <v>5832.4629683297417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40464</v>
      </c>
      <c r="B82" s="66">
        <v>40464</v>
      </c>
      <c r="D82">
        <f t="shared" si="5"/>
        <v>74.040731185156716</v>
      </c>
      <c r="E82">
        <f t="shared" si="6"/>
        <v>74.040731185156716</v>
      </c>
      <c r="G82">
        <f t="shared" ca="1" si="7"/>
        <v>80</v>
      </c>
      <c r="H82">
        <f t="shared" ca="1" si="8"/>
        <v>5923.2584948125368</v>
      </c>
      <c r="I82">
        <f t="shared" ca="1" si="9"/>
        <v>2895.1488139542412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39261</v>
      </c>
      <c r="B85" s="66">
        <v>39261</v>
      </c>
      <c r="D85">
        <f t="shared" si="5"/>
        <v>71.839490585716632</v>
      </c>
      <c r="E85">
        <f t="shared" si="6"/>
        <v>71.839490585716632</v>
      </c>
      <c r="G85">
        <f t="shared" ca="1" si="7"/>
        <v>83</v>
      </c>
      <c r="H85">
        <f t="shared" ca="1" si="8"/>
        <v>5962.6777186144809</v>
      </c>
      <c r="I85">
        <f t="shared" ca="1" si="9"/>
        <v>760.28465707471946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38402</v>
      </c>
      <c r="B88" s="66">
        <v>38402</v>
      </c>
      <c r="D88">
        <f t="shared" si="5"/>
        <v>70.267698669740724</v>
      </c>
      <c r="E88">
        <f t="shared" si="6"/>
        <v>70.267698669740724</v>
      </c>
      <c r="G88">
        <f t="shared" ca="1" si="7"/>
        <v>86</v>
      </c>
      <c r="H88">
        <f t="shared" ca="1" si="8"/>
        <v>6043.0220855977022</v>
      </c>
      <c r="I88">
        <f t="shared" ca="1" si="9"/>
        <v>4.5037402698292173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34215</v>
      </c>
      <c r="B90" s="66">
        <v>34215</v>
      </c>
      <c r="D90">
        <f t="shared" si="5"/>
        <v>62.606356699785913</v>
      </c>
      <c r="E90">
        <f t="shared" si="6"/>
        <v>62.606356699785913</v>
      </c>
      <c r="G90">
        <f t="shared" ca="1" si="7"/>
        <v>88</v>
      </c>
      <c r="H90">
        <f t="shared" ca="1" si="8"/>
        <v>5509.35938958116</v>
      </c>
      <c r="I90">
        <f t="shared" ca="1" si="9"/>
        <v>191.03841738868627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37404</v>
      </c>
      <c r="B93" s="66">
        <v>37404</v>
      </c>
      <c r="D93">
        <f t="shared" si="5"/>
        <v>68.441565570620853</v>
      </c>
      <c r="E93">
        <f t="shared" si="6"/>
        <v>68.441565570620853</v>
      </c>
      <c r="G93">
        <f t="shared" ca="1" si="7"/>
        <v>91</v>
      </c>
      <c r="H93">
        <f t="shared" ca="1" si="8"/>
        <v>6228.1824669264979</v>
      </c>
      <c r="I93">
        <f t="shared" ca="1" si="9"/>
        <v>1542.1536955385966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38880</v>
      </c>
      <c r="B95" s="66">
        <v>38880</v>
      </c>
      <c r="D95">
        <f t="shared" si="5"/>
        <v>71.142339572926389</v>
      </c>
      <c r="E95">
        <f t="shared" si="6"/>
        <v>71.142339572926389</v>
      </c>
      <c r="G95">
        <f t="shared" ca="1" si="7"/>
        <v>93</v>
      </c>
      <c r="H95">
        <f t="shared" ca="1" si="8"/>
        <v>6616.2375802821543</v>
      </c>
      <c r="I95">
        <f t="shared" ca="1" si="9"/>
        <v>3238.380949370513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37263</v>
      </c>
      <c r="B98" s="66">
        <v>37263</v>
      </c>
      <c r="D98">
        <f t="shared" si="5"/>
        <v>68.183564802107924</v>
      </c>
      <c r="E98">
        <f t="shared" si="6"/>
        <v>68.183564802107924</v>
      </c>
      <c r="G98">
        <f t="shared" ca="1" si="7"/>
        <v>96</v>
      </c>
      <c r="H98">
        <f t="shared" ca="1" si="8"/>
        <v>6545.6222210023607</v>
      </c>
      <c r="I98">
        <f t="shared" ca="1" si="9"/>
        <v>6477.4887111629878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37167</v>
      </c>
      <c r="B100" s="66">
        <v>37167</v>
      </c>
      <c r="D100">
        <f t="shared" si="5"/>
        <v>68.007904704396992</v>
      </c>
      <c r="E100">
        <f t="shared" si="6"/>
        <v>68.007904704396992</v>
      </c>
      <c r="G100">
        <f t="shared" ca="1" si="7"/>
        <v>98</v>
      </c>
      <c r="H100">
        <f t="shared" ca="1" si="8"/>
        <v>6664.774661030905</v>
      </c>
      <c r="I100">
        <f t="shared" ca="1" si="9"/>
        <v>9384.2789802235184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37925</v>
      </c>
      <c r="B103" s="66">
        <v>37925</v>
      </c>
      <c r="D103">
        <f t="shared" si="5"/>
        <v>69.394887559239535</v>
      </c>
      <c r="E103">
        <f t="shared" si="6"/>
        <v>69.394887559239535</v>
      </c>
      <c r="G103">
        <f t="shared" ca="1" si="7"/>
        <v>101</v>
      </c>
      <c r="H103">
        <f t="shared" ca="1" si="8"/>
        <v>7008.8836434831928</v>
      </c>
      <c r="I103">
        <f t="shared" ca="1" si="9"/>
        <v>15091.240561321865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34713</v>
      </c>
      <c r="B106" s="66">
        <v>34713</v>
      </c>
      <c r="D106">
        <f t="shared" si="5"/>
        <v>63.517593456661359</v>
      </c>
      <c r="E106">
        <f t="shared" si="6"/>
        <v>63.517593456661359</v>
      </c>
      <c r="G106">
        <f t="shared" ca="1" si="7"/>
        <v>104</v>
      </c>
      <c r="H106">
        <f t="shared" ca="1" si="8"/>
        <v>6605.8297194927818</v>
      </c>
      <c r="I106">
        <f t="shared" ca="1" si="9"/>
        <v>20004.868993049349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31240</v>
      </c>
      <c r="B108" s="66">
        <v>31240</v>
      </c>
      <c r="D108">
        <f t="shared" si="5"/>
        <v>57.16272346343159</v>
      </c>
      <c r="E108">
        <f t="shared" si="6"/>
        <v>57.16272346343159</v>
      </c>
      <c r="G108">
        <f t="shared" ca="1" si="7"/>
        <v>106</v>
      </c>
      <c r="H108">
        <f t="shared" ca="1" si="8"/>
        <v>6059.2486871237488</v>
      </c>
      <c r="I108">
        <f t="shared" ca="1" si="9"/>
        <v>22289.882289866455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25630</v>
      </c>
      <c r="B111" s="66">
        <v>25630</v>
      </c>
      <c r="D111">
        <f t="shared" si="5"/>
        <v>46.897586503449162</v>
      </c>
      <c r="E111">
        <f t="shared" si="6"/>
        <v>46.897586503449162</v>
      </c>
      <c r="G111">
        <f t="shared" ca="1" si="7"/>
        <v>109</v>
      </c>
      <c r="H111">
        <f t="shared" ca="1" si="8"/>
        <v>5111.8369288759586</v>
      </c>
      <c r="I111">
        <f t="shared" ca="1" si="9"/>
        <v>24265.672588897112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24295</v>
      </c>
      <c r="B113" s="66">
        <v>24295</v>
      </c>
      <c r="D113">
        <f t="shared" si="5"/>
        <v>44.454813269656547</v>
      </c>
      <c r="E113">
        <f t="shared" si="6"/>
        <v>44.454813269656547</v>
      </c>
      <c r="G113">
        <f t="shared" ca="1" si="7"/>
        <v>111</v>
      </c>
      <c r="H113">
        <f t="shared" ca="1" si="8"/>
        <v>4934.4842729318771</v>
      </c>
      <c r="I113">
        <f t="shared" ca="1" si="9"/>
        <v>27224.380783183547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20783</v>
      </c>
      <c r="B116" s="66">
        <v>20783</v>
      </c>
      <c r="D116">
        <f t="shared" si="5"/>
        <v>38.028581361731717</v>
      </c>
      <c r="E116">
        <f t="shared" si="6"/>
        <v>38.028581361731717</v>
      </c>
      <c r="G116">
        <f t="shared" ca="1" si="7"/>
        <v>114</v>
      </c>
      <c r="H116">
        <f t="shared" ca="1" si="8"/>
        <v>4335.2582752374155</v>
      </c>
      <c r="I116">
        <f t="shared" ca="1" si="9"/>
        <v>29277.698488382059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22571</v>
      </c>
      <c r="B118" s="66">
        <v>22571</v>
      </c>
      <c r="D118">
        <f t="shared" si="5"/>
        <v>41.300250681597774</v>
      </c>
      <c r="E118">
        <f t="shared" si="6"/>
        <v>41.300250681597774</v>
      </c>
      <c r="G118">
        <f t="shared" ca="1" si="7"/>
        <v>116</v>
      </c>
      <c r="H118">
        <f t="shared" ca="1" si="8"/>
        <v>4790.8290790653418</v>
      </c>
      <c r="I118">
        <f t="shared" ca="1" si="9"/>
        <v>36545.518611968968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20991</v>
      </c>
      <c r="B121" s="66">
        <v>20991</v>
      </c>
      <c r="D121">
        <f t="shared" si="5"/>
        <v>38.409178240105398</v>
      </c>
      <c r="E121">
        <f t="shared" si="6"/>
        <v>38.409178240105398</v>
      </c>
      <c r="G121">
        <f t="shared" ca="1" si="7"/>
        <v>119</v>
      </c>
      <c r="H121">
        <f t="shared" ca="1" si="8"/>
        <v>4570.6922105725425</v>
      </c>
      <c r="I121">
        <f t="shared" ca="1" si="9"/>
        <v>41188.274574409035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18965</v>
      </c>
      <c r="B124" s="66">
        <v>18965</v>
      </c>
      <c r="D124">
        <f t="shared" si="5"/>
        <v>34.702018261330991</v>
      </c>
      <c r="E124">
        <f t="shared" si="6"/>
        <v>34.702018261330991</v>
      </c>
      <c r="G124">
        <f t="shared" ca="1" si="7"/>
        <v>122</v>
      </c>
      <c r="H124">
        <f t="shared" ca="1" si="8"/>
        <v>4233.646227882381</v>
      </c>
      <c r="I124">
        <f t="shared" ca="1" si="9"/>
        <v>44343.488149583798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16456</v>
      </c>
      <c r="B126" s="66">
        <v>16456</v>
      </c>
      <c r="D126">
        <f t="shared" si="5"/>
        <v>30.111068415948473</v>
      </c>
      <c r="E126">
        <f t="shared" si="6"/>
        <v>30.111068415948473</v>
      </c>
      <c r="G126">
        <f t="shared" ca="1" si="7"/>
        <v>124</v>
      </c>
      <c r="H126">
        <f t="shared" ca="1" si="8"/>
        <v>3733.7724835776107</v>
      </c>
      <c r="I126">
        <f t="shared" ca="1" si="9"/>
        <v>42902.952660760784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11951</v>
      </c>
      <c r="B129" s="66">
        <v>11951</v>
      </c>
      <c r="D129">
        <f t="shared" si="5"/>
        <v>21.867852372326215</v>
      </c>
      <c r="E129">
        <f t="shared" si="6"/>
        <v>21.867852372326215</v>
      </c>
      <c r="G129">
        <f t="shared" ca="1" si="7"/>
        <v>127</v>
      </c>
      <c r="H129">
        <f t="shared" ca="1" si="8"/>
        <v>2777.2172512854295</v>
      </c>
      <c r="I129">
        <f t="shared" ca="1" si="9"/>
        <v>36307.289727669806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10557</v>
      </c>
      <c r="B131" s="66">
        <v>10557</v>
      </c>
      <c r="D131">
        <f t="shared" ref="D131:D194" si="10">IFERROR(100*A131/MAX(A$2:A$257), 0 )</f>
        <v>19.317121370148762</v>
      </c>
      <c r="E131">
        <f t="shared" ref="E131:E194" si="11">IFERROR(100*B131/MAX(B$2:B$257), 0 )</f>
        <v>19.317121370148762</v>
      </c>
      <c r="G131">
        <f t="shared" ref="G131:G194" ca="1" si="12">CELL("row",D131)-2</f>
        <v>129</v>
      </c>
      <c r="H131">
        <f t="shared" ref="H131:H194" ca="1" si="13">D131*G131</f>
        <v>2491.9086567491904</v>
      </c>
      <c r="I131">
        <f t="shared" ref="I131:I194" ca="1" si="14">D131*((G131-$L$1)^2)</f>
        <v>35298.014512292946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9739</v>
      </c>
      <c r="B134" s="66">
        <v>9739</v>
      </c>
      <c r="D134">
        <f t="shared" si="10"/>
        <v>17.820350954236886</v>
      </c>
      <c r="E134">
        <f t="shared" si="11"/>
        <v>17.820350954236886</v>
      </c>
      <c r="G134">
        <f t="shared" ca="1" si="12"/>
        <v>132</v>
      </c>
      <c r="H134">
        <f t="shared" ca="1" si="13"/>
        <v>2352.2863259592691</v>
      </c>
      <c r="I134">
        <f t="shared" ca="1" si="14"/>
        <v>37293.942884290846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9583</v>
      </c>
      <c r="B136" s="66">
        <v>9583</v>
      </c>
      <c r="D136">
        <f t="shared" si="10"/>
        <v>17.534903295456626</v>
      </c>
      <c r="E136">
        <f t="shared" si="11"/>
        <v>17.534903295456626</v>
      </c>
      <c r="G136">
        <f t="shared" ca="1" si="12"/>
        <v>134</v>
      </c>
      <c r="H136">
        <f t="shared" ca="1" si="13"/>
        <v>2349.6770415911878</v>
      </c>
      <c r="I136">
        <f t="shared" ca="1" si="14"/>
        <v>39975.370548550498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10127</v>
      </c>
      <c r="B139" s="66">
        <v>10127</v>
      </c>
      <c r="D139">
        <f t="shared" si="10"/>
        <v>18.530310515818559</v>
      </c>
      <c r="E139">
        <f t="shared" si="11"/>
        <v>18.530310515818559</v>
      </c>
      <c r="G139">
        <f t="shared" ca="1" si="12"/>
        <v>137</v>
      </c>
      <c r="H139">
        <f t="shared" ca="1" si="13"/>
        <v>2538.6525406671426</v>
      </c>
      <c r="I139">
        <f t="shared" ca="1" si="14"/>
        <v>47720.014613610299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8399</v>
      </c>
      <c r="B142" s="66">
        <v>8399</v>
      </c>
      <c r="D142">
        <f t="shared" si="10"/>
        <v>15.36842875702183</v>
      </c>
      <c r="E142">
        <f t="shared" si="11"/>
        <v>15.36842875702183</v>
      </c>
      <c r="G142">
        <f t="shared" ca="1" si="12"/>
        <v>140</v>
      </c>
      <c r="H142">
        <f t="shared" ca="1" si="13"/>
        <v>2151.5800259830562</v>
      </c>
      <c r="I142">
        <f t="shared" ca="1" si="14"/>
        <v>44395.117495131424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8298</v>
      </c>
      <c r="B144" s="66">
        <v>8298</v>
      </c>
      <c r="D144">
        <f t="shared" si="10"/>
        <v>15.183619695888456</v>
      </c>
      <c r="E144">
        <f t="shared" si="11"/>
        <v>15.183619695888456</v>
      </c>
      <c r="G144">
        <f t="shared" ca="1" si="12"/>
        <v>142</v>
      </c>
      <c r="H144">
        <f t="shared" ca="1" si="13"/>
        <v>2156.0739968161606</v>
      </c>
      <c r="I144">
        <f t="shared" ca="1" si="14"/>
        <v>47186.275810417639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8865</v>
      </c>
      <c r="B147" s="66">
        <v>8865</v>
      </c>
      <c r="D147">
        <f t="shared" si="10"/>
        <v>16.221112147993633</v>
      </c>
      <c r="E147">
        <f t="shared" si="11"/>
        <v>16.221112147993633</v>
      </c>
      <c r="G147">
        <f t="shared" ca="1" si="12"/>
        <v>145</v>
      </c>
      <c r="H147">
        <f t="shared" ca="1" si="13"/>
        <v>2352.0612614590768</v>
      </c>
      <c r="I147">
        <f t="shared" ca="1" si="14"/>
        <v>55982.144422576021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10007</v>
      </c>
      <c r="B149" s="66">
        <v>10007</v>
      </c>
      <c r="D149">
        <f t="shared" si="10"/>
        <v>18.310735393679895</v>
      </c>
      <c r="E149">
        <f t="shared" si="11"/>
        <v>18.310735393679895</v>
      </c>
      <c r="G149">
        <f t="shared" ca="1" si="12"/>
        <v>147</v>
      </c>
      <c r="H149">
        <f t="shared" ca="1" si="13"/>
        <v>2691.6781028709447</v>
      </c>
      <c r="I149">
        <f t="shared" ca="1" si="14"/>
        <v>67569.865562961044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8371</v>
      </c>
      <c r="B152" s="66">
        <v>8371</v>
      </c>
      <c r="D152">
        <f t="shared" si="10"/>
        <v>15.317194561856141</v>
      </c>
      <c r="E152">
        <f t="shared" si="11"/>
        <v>15.317194561856141</v>
      </c>
      <c r="G152">
        <f t="shared" ca="1" si="12"/>
        <v>150</v>
      </c>
      <c r="H152">
        <f t="shared" ca="1" si="13"/>
        <v>2297.5791842784211</v>
      </c>
      <c r="I152">
        <f t="shared" ca="1" si="14"/>
        <v>62243.849265000252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7238</v>
      </c>
      <c r="B154" s="66">
        <v>7238</v>
      </c>
      <c r="D154">
        <f t="shared" si="10"/>
        <v>13.244039450330277</v>
      </c>
      <c r="E154">
        <f t="shared" si="11"/>
        <v>13.244039450330277</v>
      </c>
      <c r="G154">
        <f t="shared" ca="1" si="12"/>
        <v>152</v>
      </c>
      <c r="H154">
        <f t="shared" ca="1" si="13"/>
        <v>2013.0939964502022</v>
      </c>
      <c r="I154">
        <f t="shared" ca="1" si="14"/>
        <v>57249.293075823029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7996</v>
      </c>
      <c r="B157" s="66">
        <v>7996</v>
      </c>
      <c r="D157">
        <f t="shared" si="10"/>
        <v>14.631022305172824</v>
      </c>
      <c r="E157">
        <f t="shared" si="11"/>
        <v>14.631022305172824</v>
      </c>
      <c r="G157">
        <f t="shared" ca="1" si="12"/>
        <v>155</v>
      </c>
      <c r="H157">
        <f t="shared" ca="1" si="13"/>
        <v>2267.8084573017877</v>
      </c>
      <c r="I157">
        <f t="shared" ca="1" si="14"/>
        <v>69148.068246529685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8574</v>
      </c>
      <c r="B160" s="66">
        <v>8574</v>
      </c>
      <c r="D160">
        <f t="shared" si="10"/>
        <v>15.688642476807377</v>
      </c>
      <c r="E160">
        <f t="shared" si="11"/>
        <v>15.688642476807377</v>
      </c>
      <c r="G160">
        <f t="shared" ca="1" si="12"/>
        <v>158</v>
      </c>
      <c r="H160">
        <f t="shared" ca="1" si="13"/>
        <v>2478.8055113355658</v>
      </c>
      <c r="I160">
        <f t="shared" ca="1" si="14"/>
        <v>80758.979995584421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9364</v>
      </c>
      <c r="B162" s="66">
        <v>9364</v>
      </c>
      <c r="D162">
        <f t="shared" si="10"/>
        <v>17.134178697553565</v>
      </c>
      <c r="E162">
        <f t="shared" si="11"/>
        <v>17.134178697553565</v>
      </c>
      <c r="G162">
        <f t="shared" ca="1" si="12"/>
        <v>160</v>
      </c>
      <c r="H162">
        <f t="shared" ca="1" si="13"/>
        <v>2741.4685916085705</v>
      </c>
      <c r="I162">
        <f t="shared" ca="1" si="14"/>
        <v>93185.862546047851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10550</v>
      </c>
      <c r="B165" s="66">
        <v>10550</v>
      </c>
      <c r="D165">
        <f t="shared" si="10"/>
        <v>19.304312821357339</v>
      </c>
      <c r="E165">
        <f t="shared" si="11"/>
        <v>19.304312821357339</v>
      </c>
      <c r="G165">
        <f t="shared" ca="1" si="12"/>
        <v>163</v>
      </c>
      <c r="H165">
        <f t="shared" ca="1" si="13"/>
        <v>3146.6029898812462</v>
      </c>
      <c r="I165">
        <f t="shared" ca="1" si="14"/>
        <v>113703.87394465847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12160</v>
      </c>
      <c r="B167" s="66">
        <v>12160</v>
      </c>
      <c r="D167">
        <f t="shared" si="10"/>
        <v>22.250279043384385</v>
      </c>
      <c r="E167">
        <f t="shared" si="11"/>
        <v>22.250279043384385</v>
      </c>
      <c r="G167">
        <f t="shared" ca="1" si="12"/>
        <v>165</v>
      </c>
      <c r="H167">
        <f t="shared" ca="1" si="13"/>
        <v>3671.2960421584235</v>
      </c>
      <c r="I167">
        <f t="shared" ca="1" si="14"/>
        <v>137975.39436924216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16573</v>
      </c>
      <c r="B170" s="66">
        <v>16573</v>
      </c>
      <c r="D170">
        <f t="shared" si="10"/>
        <v>30.325154160033669</v>
      </c>
      <c r="E170">
        <f t="shared" si="11"/>
        <v>30.325154160033669</v>
      </c>
      <c r="G170">
        <f t="shared" ca="1" si="12"/>
        <v>168</v>
      </c>
      <c r="H170">
        <f t="shared" ca="1" si="13"/>
        <v>5094.6258988856562</v>
      </c>
      <c r="I170">
        <f t="shared" ca="1" si="14"/>
        <v>202649.19344001214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20275</v>
      </c>
      <c r="B173" s="66">
        <v>20275</v>
      </c>
      <c r="D173">
        <f t="shared" si="10"/>
        <v>37.099046678011383</v>
      </c>
      <c r="E173">
        <f t="shared" si="11"/>
        <v>37.099046678011383</v>
      </c>
      <c r="G173">
        <f t="shared" ca="1" si="12"/>
        <v>171</v>
      </c>
      <c r="H173">
        <f t="shared" ca="1" si="13"/>
        <v>6343.9369819399462</v>
      </c>
      <c r="I173">
        <f t="shared" ca="1" si="14"/>
        <v>266446.30055711191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20418</v>
      </c>
      <c r="B175" s="66">
        <v>20418</v>
      </c>
      <c r="D175">
        <f t="shared" si="10"/>
        <v>37.360707031893284</v>
      </c>
      <c r="E175">
        <f t="shared" si="11"/>
        <v>37.360707031893284</v>
      </c>
      <c r="G175">
        <f t="shared" ca="1" si="12"/>
        <v>173</v>
      </c>
      <c r="H175">
        <f t="shared" ca="1" si="13"/>
        <v>6463.4023165175386</v>
      </c>
      <c r="I175">
        <f t="shared" ca="1" si="14"/>
        <v>281139.80097783584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21774</v>
      </c>
      <c r="B178" s="66">
        <v>21774</v>
      </c>
      <c r="D178">
        <f t="shared" si="10"/>
        <v>39.841905912060163</v>
      </c>
      <c r="E178">
        <f t="shared" si="11"/>
        <v>39.841905912060163</v>
      </c>
      <c r="G178">
        <f t="shared" ca="1" si="12"/>
        <v>176</v>
      </c>
      <c r="H178">
        <f t="shared" ca="1" si="13"/>
        <v>7012.1754405225884</v>
      </c>
      <c r="I178">
        <f t="shared" ca="1" si="14"/>
        <v>320906.38633274933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21189</v>
      </c>
      <c r="B180" s="66">
        <v>21189</v>
      </c>
      <c r="D180">
        <f t="shared" si="10"/>
        <v>38.77147719163419</v>
      </c>
      <c r="E180">
        <f t="shared" si="11"/>
        <v>38.77147719163419</v>
      </c>
      <c r="G180">
        <f t="shared" ca="1" si="12"/>
        <v>178</v>
      </c>
      <c r="H180">
        <f t="shared" ca="1" si="13"/>
        <v>6901.3229401108856</v>
      </c>
      <c r="I180">
        <f t="shared" ca="1" si="14"/>
        <v>326358.17969113827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22869</v>
      </c>
      <c r="B183" s="66">
        <v>22869</v>
      </c>
      <c r="D183">
        <f t="shared" si="10"/>
        <v>41.845528901575449</v>
      </c>
      <c r="E183">
        <f t="shared" si="11"/>
        <v>41.845528901575449</v>
      </c>
      <c r="G183">
        <f t="shared" ca="1" si="12"/>
        <v>181</v>
      </c>
      <c r="H183">
        <f t="shared" ca="1" si="13"/>
        <v>7574.0407311851559</v>
      </c>
      <c r="I183">
        <f t="shared" ca="1" si="14"/>
        <v>375645.73013632343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28543</v>
      </c>
      <c r="B185" s="66">
        <v>28543</v>
      </c>
      <c r="D185">
        <f t="shared" si="10"/>
        <v>52.227772593365174</v>
      </c>
      <c r="E185">
        <f t="shared" si="11"/>
        <v>52.227772593365174</v>
      </c>
      <c r="G185">
        <f t="shared" ca="1" si="12"/>
        <v>183</v>
      </c>
      <c r="H185">
        <f t="shared" ca="1" si="13"/>
        <v>9557.6823845858271</v>
      </c>
      <c r="I185">
        <f t="shared" ca="1" si="14"/>
        <v>488849.31412149564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29932</v>
      </c>
      <c r="B188" s="66">
        <v>29932</v>
      </c>
      <c r="D188">
        <f t="shared" si="10"/>
        <v>54.769354632120184</v>
      </c>
      <c r="E188">
        <f t="shared" si="11"/>
        <v>54.769354632120184</v>
      </c>
      <c r="G188">
        <f t="shared" ca="1" si="12"/>
        <v>186</v>
      </c>
      <c r="H188">
        <f t="shared" ca="1" si="13"/>
        <v>10187.099961574355</v>
      </c>
      <c r="I188">
        <f t="shared" ca="1" si="14"/>
        <v>544923.88716281974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17868</v>
      </c>
      <c r="B191" s="66">
        <v>17868</v>
      </c>
      <c r="D191">
        <f t="shared" si="10"/>
        <v>32.694735686446727</v>
      </c>
      <c r="E191">
        <f t="shared" si="11"/>
        <v>32.694735686446727</v>
      </c>
      <c r="G191">
        <f t="shared" ca="1" si="12"/>
        <v>189</v>
      </c>
      <c r="H191">
        <f t="shared" ca="1" si="13"/>
        <v>6179.3050447384312</v>
      </c>
      <c r="I191">
        <f t="shared" ca="1" si="14"/>
        <v>345155.43073026475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13082</v>
      </c>
      <c r="B193" s="66">
        <v>13082</v>
      </c>
      <c r="D193">
        <f t="shared" si="10"/>
        <v>23.9373478984831</v>
      </c>
      <c r="E193">
        <f t="shared" si="11"/>
        <v>23.9373478984831</v>
      </c>
      <c r="G193">
        <f t="shared" ca="1" si="12"/>
        <v>191</v>
      </c>
      <c r="H193">
        <f t="shared" ca="1" si="13"/>
        <v>4572.033448610272</v>
      </c>
      <c r="I193">
        <f t="shared" ca="1" si="14"/>
        <v>262638.15904025704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9775</v>
      </c>
      <c r="B196" s="66">
        <v>9775</v>
      </c>
      <c r="D196">
        <f t="shared" si="15"/>
        <v>17.886223490878482</v>
      </c>
      <c r="E196">
        <f t="shared" si="16"/>
        <v>17.886223490878482</v>
      </c>
      <c r="G196">
        <f t="shared" ca="1" si="17"/>
        <v>194</v>
      </c>
      <c r="H196">
        <f t="shared" ca="1" si="18"/>
        <v>3469.9273572304255</v>
      </c>
      <c r="I196">
        <f t="shared" ca="1" si="19"/>
        <v>207647.96181794791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10498</v>
      </c>
      <c r="B198" s="66">
        <v>10498</v>
      </c>
      <c r="D198">
        <f t="shared" si="15"/>
        <v>19.209163601763919</v>
      </c>
      <c r="E198">
        <f t="shared" si="16"/>
        <v>19.209163601763919</v>
      </c>
      <c r="G198">
        <f t="shared" ca="1" si="17"/>
        <v>196</v>
      </c>
      <c r="H198">
        <f t="shared" ca="1" si="18"/>
        <v>3764.9960659457283</v>
      </c>
      <c r="I198">
        <f t="shared" ca="1" si="19"/>
        <v>231362.21877567019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4343</v>
      </c>
      <c r="B201" s="66">
        <v>4343</v>
      </c>
      <c r="D201">
        <f t="shared" si="15"/>
        <v>7.9467896287350639</v>
      </c>
      <c r="E201">
        <f t="shared" si="16"/>
        <v>7.9467896287350639</v>
      </c>
      <c r="G201">
        <f t="shared" ca="1" si="17"/>
        <v>199</v>
      </c>
      <c r="H201">
        <f t="shared" ca="1" si="18"/>
        <v>1581.4111361182777</v>
      </c>
      <c r="I201">
        <f t="shared" ca="1" si="19"/>
        <v>101018.38285780052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3183</v>
      </c>
      <c r="B203" s="66">
        <v>3183</v>
      </c>
      <c r="D203">
        <f t="shared" si="15"/>
        <v>5.8242301147280013</v>
      </c>
      <c r="E203">
        <f t="shared" si="16"/>
        <v>5.8242301147280013</v>
      </c>
      <c r="G203">
        <f t="shared" ca="1" si="17"/>
        <v>201</v>
      </c>
      <c r="H203">
        <f t="shared" ca="1" si="18"/>
        <v>1170.6702530603284</v>
      </c>
      <c r="I203">
        <f t="shared" ca="1" si="19"/>
        <v>76686.679572854773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3489</v>
      </c>
      <c r="B206" s="66">
        <v>3489</v>
      </c>
      <c r="D206">
        <f t="shared" si="15"/>
        <v>6.3841466761815884</v>
      </c>
      <c r="E206">
        <f t="shared" si="16"/>
        <v>6.3841466761815884</v>
      </c>
      <c r="G206">
        <f t="shared" ca="1" si="17"/>
        <v>204</v>
      </c>
      <c r="H206">
        <f t="shared" ca="1" si="18"/>
        <v>1302.365921941044</v>
      </c>
      <c r="I206">
        <f t="shared" ca="1" si="19"/>
        <v>88511.829763002941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3913</v>
      </c>
      <c r="B209" s="66">
        <v>3913</v>
      </c>
      <c r="D209">
        <f t="shared" si="15"/>
        <v>7.15997877440486</v>
      </c>
      <c r="E209">
        <f t="shared" si="16"/>
        <v>7.15997877440486</v>
      </c>
      <c r="G209">
        <f t="shared" ca="1" si="17"/>
        <v>207</v>
      </c>
      <c r="H209">
        <f t="shared" ca="1" si="18"/>
        <v>1482.1156063018061</v>
      </c>
      <c r="I209">
        <f t="shared" ca="1" si="19"/>
        <v>104391.04019895008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1026</v>
      </c>
      <c r="B211" s="66">
        <v>1026</v>
      </c>
      <c r="D211">
        <f t="shared" si="15"/>
        <v>1.8773672942855575</v>
      </c>
      <c r="E211">
        <f t="shared" si="16"/>
        <v>1.8773672942855575</v>
      </c>
      <c r="G211">
        <f t="shared" ca="1" si="17"/>
        <v>209</v>
      </c>
      <c r="H211">
        <f t="shared" ca="1" si="18"/>
        <v>392.36976450568153</v>
      </c>
      <c r="I211">
        <f t="shared" ca="1" si="19"/>
        <v>28285.888951792273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327</v>
      </c>
      <c r="B214" s="66">
        <v>327</v>
      </c>
      <c r="D214">
        <f t="shared" si="15"/>
        <v>0.59834220782785308</v>
      </c>
      <c r="E214">
        <f t="shared" si="16"/>
        <v>0.59834220782785308</v>
      </c>
      <c r="G214">
        <f t="shared" ca="1" si="17"/>
        <v>212</v>
      </c>
      <c r="H214">
        <f t="shared" ca="1" si="18"/>
        <v>126.84854805950485</v>
      </c>
      <c r="I214">
        <f t="shared" ca="1" si="19"/>
        <v>9461.1460050758524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215</v>
      </c>
      <c r="B216" s="66">
        <v>215</v>
      </c>
      <c r="D216">
        <f t="shared" si="15"/>
        <v>0.39340542716510218</v>
      </c>
      <c r="E216">
        <f t="shared" si="16"/>
        <v>0.39340542716510218</v>
      </c>
      <c r="G216">
        <f t="shared" ca="1" si="17"/>
        <v>214</v>
      </c>
      <c r="H216">
        <f t="shared" ca="1" si="18"/>
        <v>84.188761413331861</v>
      </c>
      <c r="I216">
        <f t="shared" ca="1" si="19"/>
        <v>6420.0827317627936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407</v>
      </c>
      <c r="B1" s="68" t="s">
        <v>408</v>
      </c>
      <c r="C1" s="32" t="s">
        <v>409</v>
      </c>
      <c r="D1" s="32" t="s">
        <v>410</v>
      </c>
      <c r="E1" s="32" t="s">
        <v>411</v>
      </c>
    </row>
    <row r="2" spans="1:5">
      <c r="A2" s="68">
        <v>0.3367</v>
      </c>
      <c r="B2" s="68">
        <v>0.33977099999999999</v>
      </c>
      <c r="C2" s="68">
        <v>0</v>
      </c>
      <c r="D2" s="68">
        <v>1</v>
      </c>
      <c r="E2" s="68" t="s">
        <v>412</v>
      </c>
    </row>
    <row r="3" spans="1:5">
      <c r="A3" s="68">
        <v>0.34192699999999998</v>
      </c>
      <c r="B3" s="68">
        <v>0.33559699999999998</v>
      </c>
      <c r="C3" s="68">
        <v>0.38058999999999998</v>
      </c>
      <c r="D3" s="89">
        <v>1</v>
      </c>
      <c r="E3" s="68" t="s">
        <v>413</v>
      </c>
    </row>
    <row r="4" spans="1:5">
      <c r="A4" s="68">
        <v>0.34700199999999998</v>
      </c>
      <c r="B4" s="68">
        <v>0.33099200000000001</v>
      </c>
      <c r="C4" s="68">
        <v>0.78849199999999997</v>
      </c>
      <c r="D4" s="89">
        <v>1</v>
      </c>
      <c r="E4" s="68" t="s">
        <v>414</v>
      </c>
    </row>
    <row r="5" spans="1:5">
      <c r="A5" s="89">
        <v>0.35188999999999998</v>
      </c>
      <c r="B5" s="89">
        <v>0.32683499999999999</v>
      </c>
      <c r="C5" s="89">
        <v>1.19537</v>
      </c>
      <c r="D5" s="89">
        <v>1</v>
      </c>
      <c r="E5" s="68" t="s">
        <v>415</v>
      </c>
    </row>
    <row r="6" spans="1:5">
      <c r="A6" s="68">
        <v>0.35653400000000002</v>
      </c>
      <c r="B6" s="68">
        <v>0.32306499999999999</v>
      </c>
      <c r="C6" s="68">
        <v>1.6004</v>
      </c>
      <c r="D6" s="68">
        <v>1</v>
      </c>
      <c r="E6" s="68" t="s">
        <v>416</v>
      </c>
    </row>
    <row r="7" spans="1:5">
      <c r="A7" s="68">
        <v>0.36087000000000002</v>
      </c>
      <c r="B7" s="68">
        <v>0.31918200000000002</v>
      </c>
      <c r="C7" s="68">
        <v>2.00556</v>
      </c>
      <c r="D7" s="68">
        <v>1</v>
      </c>
      <c r="E7" s="68" t="s">
        <v>417</v>
      </c>
    </row>
    <row r="8" spans="1:5">
      <c r="A8" s="68">
        <v>0.36493900000000001</v>
      </c>
      <c r="B8" s="68">
        <v>0.315052</v>
      </c>
      <c r="C8" s="68">
        <v>2.4070800000000001</v>
      </c>
      <c r="D8" s="68">
        <v>1</v>
      </c>
      <c r="E8" s="68" t="s">
        <v>418</v>
      </c>
    </row>
    <row r="9" spans="1:5">
      <c r="A9" s="68">
        <v>0.36865900000000001</v>
      </c>
      <c r="B9" s="68">
        <v>0.31008599999999997</v>
      </c>
      <c r="C9" s="68">
        <v>2.8220900000000002</v>
      </c>
      <c r="D9" s="68">
        <v>1</v>
      </c>
      <c r="E9" s="68" t="s">
        <v>419</v>
      </c>
    </row>
    <row r="10" spans="1:5">
      <c r="A10" s="68">
        <v>0.37193599999999999</v>
      </c>
      <c r="B10" s="68">
        <v>0.305502</v>
      </c>
      <c r="C10" s="68">
        <v>3.2212100000000001</v>
      </c>
      <c r="D10" s="68">
        <v>1</v>
      </c>
      <c r="E10" s="68" t="s">
        <v>420</v>
      </c>
    </row>
    <row r="11" spans="1:5">
      <c r="A11" s="68">
        <v>0.37472</v>
      </c>
      <c r="B11" s="68">
        <v>0.30057400000000001</v>
      </c>
      <c r="C11" s="68">
        <v>3.6279599999999999</v>
      </c>
      <c r="D11" s="68">
        <v>1</v>
      </c>
      <c r="E11" s="68" t="s">
        <v>421</v>
      </c>
    </row>
    <row r="12" spans="1:5">
      <c r="A12" s="68">
        <v>0.37699300000000002</v>
      </c>
      <c r="B12" s="68">
        <v>0.29606399999999999</v>
      </c>
      <c r="C12" s="68">
        <v>4.0370600000000003</v>
      </c>
      <c r="D12" s="68">
        <v>1</v>
      </c>
      <c r="E12" s="68" t="s">
        <v>422</v>
      </c>
    </row>
    <row r="13" spans="1:5">
      <c r="A13" s="68">
        <v>0.37881900000000002</v>
      </c>
      <c r="B13" s="68">
        <v>0.29234100000000002</v>
      </c>
      <c r="C13" s="68">
        <v>4.44468</v>
      </c>
      <c r="D13" s="68">
        <v>1</v>
      </c>
      <c r="E13" s="68" t="s">
        <v>423</v>
      </c>
    </row>
    <row r="14" spans="1:5">
      <c r="A14" s="68">
        <v>0.38040600000000002</v>
      </c>
      <c r="B14" s="68">
        <v>0.288798</v>
      </c>
      <c r="C14" s="68">
        <v>4.8526499999999997</v>
      </c>
      <c r="D14" s="68">
        <v>1</v>
      </c>
      <c r="E14" s="68" t="s">
        <v>424</v>
      </c>
    </row>
    <row r="15" spans="1:5">
      <c r="A15" s="68">
        <v>0.38200200000000001</v>
      </c>
      <c r="B15" s="68">
        <v>0.284999</v>
      </c>
      <c r="C15" s="68">
        <v>5.2568200000000003</v>
      </c>
      <c r="D15" s="68">
        <v>1</v>
      </c>
      <c r="E15" s="68" t="s">
        <v>425</v>
      </c>
    </row>
    <row r="16" spans="1:5">
      <c r="A16" s="68">
        <v>0.38317299999999999</v>
      </c>
      <c r="B16" s="68">
        <v>0.28128900000000001</v>
      </c>
      <c r="C16" s="68">
        <v>5.6634500000000001</v>
      </c>
      <c r="D16" s="68">
        <v>1</v>
      </c>
      <c r="E16" s="68" t="s">
        <v>426</v>
      </c>
    </row>
    <row r="17" spans="1:5">
      <c r="A17" s="68">
        <v>0.38409100000000002</v>
      </c>
      <c r="B17" s="68">
        <v>0.27751700000000001</v>
      </c>
      <c r="C17" s="68">
        <v>6.0674000000000001</v>
      </c>
      <c r="D17" s="68">
        <v>1</v>
      </c>
      <c r="E17" s="68" t="s">
        <v>427</v>
      </c>
    </row>
    <row r="18" spans="1:5">
      <c r="A18" s="68">
        <v>0.38471300000000003</v>
      </c>
      <c r="B18" s="68">
        <v>0.27357300000000001</v>
      </c>
      <c r="C18" s="68">
        <v>6.4725200000000003</v>
      </c>
      <c r="D18" s="68">
        <v>1</v>
      </c>
      <c r="E18" s="68" t="s">
        <v>428</v>
      </c>
    </row>
    <row r="19" spans="1:5">
      <c r="A19" s="68">
        <v>0.38492999999999999</v>
      </c>
      <c r="B19" s="68">
        <v>0.27037499999999998</v>
      </c>
      <c r="C19" s="68">
        <v>6.8784599999999996</v>
      </c>
      <c r="D19" s="68">
        <v>1</v>
      </c>
      <c r="E19" s="68" t="s">
        <v>429</v>
      </c>
    </row>
    <row r="20" spans="1:5">
      <c r="A20" s="68">
        <v>0.38484800000000002</v>
      </c>
      <c r="B20" s="68">
        <v>0.26710299999999998</v>
      </c>
      <c r="C20" s="68">
        <v>7.2881099999999996</v>
      </c>
      <c r="D20" s="68">
        <v>1</v>
      </c>
      <c r="E20" s="68" t="s">
        <v>430</v>
      </c>
    </row>
    <row r="21" spans="1:5">
      <c r="A21" s="68">
        <v>0.38450499999999999</v>
      </c>
      <c r="B21" s="68">
        <v>0.263905</v>
      </c>
      <c r="C21" s="68">
        <v>7.6910400000000001</v>
      </c>
      <c r="D21" s="68">
        <v>1</v>
      </c>
      <c r="E21" s="68" t="s">
        <v>431</v>
      </c>
    </row>
    <row r="22" spans="1:5">
      <c r="A22" s="68">
        <v>0.38421499999999997</v>
      </c>
      <c r="B22" s="68">
        <v>0.26048100000000002</v>
      </c>
      <c r="C22" s="68">
        <v>8.1038800000000002</v>
      </c>
      <c r="D22" s="68">
        <v>1</v>
      </c>
      <c r="E22" s="68" t="s">
        <v>432</v>
      </c>
    </row>
    <row r="23" spans="1:5">
      <c r="A23" s="68">
        <v>0.38399</v>
      </c>
      <c r="B23" s="68">
        <v>0.25659799999999999</v>
      </c>
      <c r="C23" s="68">
        <v>8.5079700000000003</v>
      </c>
      <c r="D23" s="68">
        <v>1</v>
      </c>
      <c r="E23" s="68" t="s">
        <v>433</v>
      </c>
    </row>
    <row r="24" spans="1:5">
      <c r="A24" s="68">
        <v>0.38361200000000001</v>
      </c>
      <c r="B24" s="68">
        <v>0.25284299999999998</v>
      </c>
      <c r="C24" s="68">
        <v>8.9137400000000007</v>
      </c>
      <c r="D24" s="68">
        <v>1</v>
      </c>
      <c r="E24" s="68" t="s">
        <v>434</v>
      </c>
    </row>
    <row r="25" spans="1:5">
      <c r="A25" s="68">
        <v>0.383019</v>
      </c>
      <c r="B25" s="68">
        <v>0.249221</v>
      </c>
      <c r="C25" s="68">
        <v>9.3146400000000007</v>
      </c>
      <c r="D25" s="68">
        <v>1</v>
      </c>
      <c r="E25" s="68" t="s">
        <v>435</v>
      </c>
    </row>
    <row r="26" spans="1:5">
      <c r="A26" s="68">
        <v>0.38206099999999998</v>
      </c>
      <c r="B26" s="68">
        <v>0.24488199999999999</v>
      </c>
      <c r="C26" s="68">
        <v>9.7246000000000006</v>
      </c>
      <c r="D26" s="68">
        <v>1</v>
      </c>
      <c r="E26" s="68" t="s">
        <v>436</v>
      </c>
    </row>
    <row r="27" spans="1:5">
      <c r="A27" s="68">
        <v>0.38062400000000002</v>
      </c>
      <c r="B27" s="68">
        <v>0.240231</v>
      </c>
      <c r="C27" s="68">
        <v>10.1325</v>
      </c>
      <c r="D27" s="68">
        <v>1</v>
      </c>
      <c r="E27" s="68" t="s">
        <v>437</v>
      </c>
    </row>
    <row r="28" spans="1:5">
      <c r="A28" s="68">
        <v>0.37922</v>
      </c>
      <c r="B28" s="68">
        <v>0.23533899999999999</v>
      </c>
      <c r="C28" s="68">
        <v>10.5395</v>
      </c>
      <c r="D28" s="68">
        <v>1</v>
      </c>
      <c r="E28" s="68" t="s">
        <v>438</v>
      </c>
    </row>
    <row r="29" spans="1:5">
      <c r="A29" s="68">
        <v>0.37753399999999998</v>
      </c>
      <c r="B29" s="68">
        <v>0.23036000000000001</v>
      </c>
      <c r="C29" s="68">
        <v>10.942299999999999</v>
      </c>
      <c r="D29" s="68">
        <v>1</v>
      </c>
      <c r="E29" s="68" t="s">
        <v>439</v>
      </c>
    </row>
    <row r="30" spans="1:5">
      <c r="A30" s="68">
        <v>0.37557499999999999</v>
      </c>
      <c r="B30" s="68">
        <v>0.22470399999999999</v>
      </c>
      <c r="C30" s="68">
        <v>11.349500000000001</v>
      </c>
      <c r="D30" s="68">
        <v>1</v>
      </c>
      <c r="E30" s="68" t="s">
        <v>440</v>
      </c>
    </row>
    <row r="31" spans="1:5">
      <c r="A31" s="68">
        <v>0.373641</v>
      </c>
      <c r="B31" s="68">
        <v>0.219024</v>
      </c>
      <c r="C31" s="68">
        <v>11.7552</v>
      </c>
      <c r="D31" s="68">
        <v>1</v>
      </c>
      <c r="E31" s="68" t="s">
        <v>441</v>
      </c>
    </row>
    <row r="32" spans="1:5">
      <c r="A32" s="68">
        <v>0.371697</v>
      </c>
      <c r="B32" s="68">
        <v>0.21334600000000001</v>
      </c>
      <c r="C32" s="68">
        <v>12.161</v>
      </c>
      <c r="D32" s="68">
        <v>1</v>
      </c>
      <c r="E32" s="68" t="s">
        <v>442</v>
      </c>
    </row>
    <row r="33" spans="1:5">
      <c r="A33" s="68">
        <v>0.36986999999999998</v>
      </c>
      <c r="B33" s="68">
        <v>0.206845</v>
      </c>
      <c r="C33" s="68">
        <v>12.569100000000001</v>
      </c>
      <c r="D33" s="68">
        <v>1</v>
      </c>
      <c r="E33" s="68" t="s">
        <v>443</v>
      </c>
    </row>
    <row r="34" spans="1:5">
      <c r="A34" s="68">
        <v>0.36822300000000002</v>
      </c>
      <c r="B34" s="68">
        <v>0.200238</v>
      </c>
      <c r="C34" s="68">
        <v>12.973100000000001</v>
      </c>
      <c r="D34" s="68">
        <v>1</v>
      </c>
      <c r="E34" s="68" t="s">
        <v>444</v>
      </c>
    </row>
    <row r="35" spans="1:5">
      <c r="A35" s="68">
        <v>0.36661500000000002</v>
      </c>
      <c r="B35" s="68">
        <v>0.19342899999999999</v>
      </c>
      <c r="C35" s="68">
        <v>13.382</v>
      </c>
      <c r="D35" s="68">
        <v>1</v>
      </c>
      <c r="E35" s="68" t="s">
        <v>445</v>
      </c>
    </row>
    <row r="36" spans="1:5">
      <c r="A36" s="68">
        <v>0.36494700000000002</v>
      </c>
      <c r="B36" s="68">
        <v>0.18740100000000001</v>
      </c>
      <c r="C36" s="68">
        <v>13.7867</v>
      </c>
      <c r="D36" s="68">
        <v>1</v>
      </c>
      <c r="E36" s="68" t="s">
        <v>446</v>
      </c>
    </row>
    <row r="37" spans="1:5">
      <c r="A37" s="68">
        <v>0.363894</v>
      </c>
      <c r="B37" s="68">
        <v>0.18082899999999999</v>
      </c>
      <c r="C37" s="68">
        <v>14.1937</v>
      </c>
      <c r="D37" s="68">
        <v>1</v>
      </c>
      <c r="E37" s="68" t="s">
        <v>447</v>
      </c>
    </row>
    <row r="38" spans="1:5">
      <c r="A38" s="68">
        <v>0.36313000000000001</v>
      </c>
      <c r="B38" s="68">
        <v>0.17477200000000001</v>
      </c>
      <c r="C38" s="68">
        <v>14.602499999999999</v>
      </c>
      <c r="D38" s="68">
        <v>1</v>
      </c>
      <c r="E38" s="68" t="s">
        <v>448</v>
      </c>
    </row>
    <row r="39" spans="1:5">
      <c r="A39" s="68">
        <v>0.36255599999999999</v>
      </c>
      <c r="B39" s="68">
        <v>0.169713</v>
      </c>
      <c r="C39" s="68">
        <v>15.0045</v>
      </c>
      <c r="D39" s="68">
        <v>1</v>
      </c>
      <c r="E39" s="68" t="s">
        <v>449</v>
      </c>
    </row>
    <row r="40" spans="1:5">
      <c r="A40" s="68">
        <v>0.36196099999999998</v>
      </c>
      <c r="B40" s="68">
        <v>0.16533200000000001</v>
      </c>
      <c r="C40" s="68">
        <v>15.413399999999999</v>
      </c>
      <c r="D40" s="68">
        <v>1</v>
      </c>
      <c r="E40" s="68" t="s">
        <v>450</v>
      </c>
    </row>
    <row r="41" spans="1:5">
      <c r="A41" s="68">
        <v>0.361541</v>
      </c>
      <c r="B41" s="68">
        <v>0.16194500000000001</v>
      </c>
      <c r="C41" s="68">
        <v>15.817299999999999</v>
      </c>
      <c r="D41" s="68">
        <v>1</v>
      </c>
      <c r="E41" s="68" t="s">
        <v>451</v>
      </c>
    </row>
    <row r="42" spans="1:5">
      <c r="A42" s="68">
        <v>0.36144599999999999</v>
      </c>
      <c r="B42" s="68">
        <v>0.15795999999999999</v>
      </c>
      <c r="C42" s="68">
        <v>16.223600000000001</v>
      </c>
      <c r="D42" s="68">
        <v>1</v>
      </c>
      <c r="E42" s="68" t="s">
        <v>452</v>
      </c>
    </row>
    <row r="43" spans="1:5">
      <c r="A43" s="68">
        <v>0.36163400000000001</v>
      </c>
      <c r="B43" s="68">
        <v>0.15462400000000001</v>
      </c>
      <c r="C43" s="68">
        <v>16.627099999999999</v>
      </c>
      <c r="D43" s="68">
        <v>1</v>
      </c>
      <c r="E43" s="68" t="s">
        <v>453</v>
      </c>
    </row>
    <row r="44" spans="1:5">
      <c r="A44" s="68">
        <v>0.36187200000000003</v>
      </c>
      <c r="B44" s="68">
        <v>0.15018599999999999</v>
      </c>
      <c r="C44" s="68">
        <v>17.034700000000001</v>
      </c>
      <c r="D44" s="68">
        <v>1</v>
      </c>
      <c r="E44" s="68" t="s">
        <v>454</v>
      </c>
    </row>
    <row r="45" spans="1:5">
      <c r="A45" s="68">
        <v>0.36237000000000003</v>
      </c>
      <c r="B45" s="68">
        <v>0.14552999999999999</v>
      </c>
      <c r="C45" s="68">
        <v>17.4452</v>
      </c>
      <c r="D45" s="68">
        <v>1</v>
      </c>
      <c r="E45" s="68" t="s">
        <v>455</v>
      </c>
    </row>
    <row r="46" spans="1:5">
      <c r="A46" s="68">
        <v>0.36266500000000002</v>
      </c>
      <c r="B46" s="68">
        <v>0.142509</v>
      </c>
      <c r="C46" s="68">
        <v>17.847899999999999</v>
      </c>
      <c r="D46" s="68">
        <v>1</v>
      </c>
      <c r="E46" s="68" t="s">
        <v>456</v>
      </c>
    </row>
    <row r="47" spans="1:5">
      <c r="A47" s="68">
        <v>0.36319200000000001</v>
      </c>
      <c r="B47" s="68">
        <v>0.139402</v>
      </c>
      <c r="C47" s="68">
        <v>18.252800000000001</v>
      </c>
      <c r="D47" s="68">
        <v>1</v>
      </c>
      <c r="E47" s="68" t="s">
        <v>457</v>
      </c>
    </row>
    <row r="48" spans="1:5">
      <c r="A48" s="68">
        <v>0.36373</v>
      </c>
      <c r="B48" s="68">
        <v>0.136464</v>
      </c>
      <c r="C48" s="68">
        <v>18.6629</v>
      </c>
      <c r="D48" s="68">
        <v>1</v>
      </c>
      <c r="E48" s="68" t="s">
        <v>458</v>
      </c>
    </row>
    <row r="49" spans="1:5">
      <c r="A49" s="68">
        <v>0.36425600000000002</v>
      </c>
      <c r="B49" s="68">
        <v>0.13379099999999999</v>
      </c>
      <c r="C49" s="68">
        <v>19.066600000000001</v>
      </c>
      <c r="D49" s="68">
        <v>1</v>
      </c>
      <c r="E49" s="68" t="s">
        <v>459</v>
      </c>
    </row>
    <row r="50" spans="1:5">
      <c r="A50" s="68">
        <v>0.36483500000000002</v>
      </c>
      <c r="B50" s="68">
        <v>0.13061</v>
      </c>
      <c r="C50" s="68">
        <v>19.476500000000001</v>
      </c>
      <c r="D50" s="68">
        <v>1</v>
      </c>
      <c r="E50" s="68" t="s">
        <v>460</v>
      </c>
    </row>
    <row r="51" spans="1:5">
      <c r="A51" s="68">
        <v>0.36578100000000002</v>
      </c>
      <c r="B51" s="68">
        <v>0.127607</v>
      </c>
      <c r="C51" s="68">
        <v>19.8825</v>
      </c>
      <c r="D51" s="68">
        <v>1</v>
      </c>
      <c r="E51" s="68" t="s">
        <v>461</v>
      </c>
    </row>
    <row r="52" spans="1:5">
      <c r="A52" s="68">
        <v>0.36640200000000001</v>
      </c>
      <c r="B52" s="68">
        <v>0.12528800000000001</v>
      </c>
      <c r="C52" s="68">
        <v>20.2834</v>
      </c>
      <c r="D52" s="68">
        <v>1</v>
      </c>
      <c r="E52" s="68" t="s">
        <v>462</v>
      </c>
    </row>
    <row r="53" spans="1:5">
      <c r="A53" s="68">
        <v>0.367172</v>
      </c>
      <c r="B53" s="68">
        <v>0.12413100000000001</v>
      </c>
      <c r="C53" s="68">
        <v>20.688099999999999</v>
      </c>
      <c r="D53" s="68">
        <v>1</v>
      </c>
      <c r="E53" s="68" t="s">
        <v>463</v>
      </c>
    </row>
    <row r="54" spans="1:5">
      <c r="A54" s="68">
        <v>0.36779800000000001</v>
      </c>
      <c r="B54" s="68">
        <v>0.124292</v>
      </c>
      <c r="C54" s="68">
        <v>21.100899999999999</v>
      </c>
      <c r="D54" s="68">
        <v>1</v>
      </c>
      <c r="E54" s="68" t="s">
        <v>464</v>
      </c>
    </row>
    <row r="55" spans="1:5">
      <c r="A55" s="68">
        <v>0.368338</v>
      </c>
      <c r="B55" s="68">
        <v>0.12456100000000001</v>
      </c>
      <c r="C55" s="68">
        <v>21.507200000000001</v>
      </c>
      <c r="D55" s="68">
        <v>1</v>
      </c>
      <c r="E55" s="68" t="s">
        <v>465</v>
      </c>
    </row>
    <row r="56" spans="1:5">
      <c r="A56" s="68">
        <v>0.36868299999999998</v>
      </c>
      <c r="B56" s="68">
        <v>0.124497</v>
      </c>
      <c r="C56" s="68">
        <v>21.911200000000001</v>
      </c>
      <c r="D56" s="68">
        <v>1</v>
      </c>
      <c r="E56" s="68" t="s">
        <v>466</v>
      </c>
    </row>
    <row r="57" spans="1:5">
      <c r="A57" s="68">
        <v>0.36874000000000001</v>
      </c>
      <c r="B57" s="68">
        <v>0.12509899999999999</v>
      </c>
      <c r="C57" s="68">
        <v>22.313700000000001</v>
      </c>
      <c r="D57" s="68">
        <v>1</v>
      </c>
      <c r="E57" s="68" t="s">
        <v>467</v>
      </c>
    </row>
    <row r="58" spans="1:5">
      <c r="A58" s="68">
        <v>0.36855500000000002</v>
      </c>
      <c r="B58" s="68">
        <v>0.125415</v>
      </c>
      <c r="C58" s="68">
        <v>22.725899999999999</v>
      </c>
      <c r="D58" s="68">
        <v>1</v>
      </c>
      <c r="E58" s="68" t="s">
        <v>468</v>
      </c>
    </row>
    <row r="59" spans="1:5">
      <c r="A59" s="68">
        <v>0.36808099999999999</v>
      </c>
      <c r="B59" s="68">
        <v>0.12687200000000001</v>
      </c>
      <c r="C59" s="68">
        <v>23.126799999999999</v>
      </c>
      <c r="D59" s="68">
        <v>1</v>
      </c>
      <c r="E59" s="68" t="s">
        <v>469</v>
      </c>
    </row>
    <row r="60" spans="1:5">
      <c r="A60" s="68">
        <v>0.36800899999999998</v>
      </c>
      <c r="B60" s="68">
        <v>0.127691</v>
      </c>
      <c r="C60" s="68">
        <v>23.534700000000001</v>
      </c>
      <c r="D60" s="68">
        <v>1</v>
      </c>
      <c r="E60" s="68" t="s">
        <v>470</v>
      </c>
    </row>
    <row r="61" spans="1:5">
      <c r="A61" s="68">
        <v>0.36823899999999998</v>
      </c>
      <c r="B61" s="68">
        <v>0.12820000000000001</v>
      </c>
      <c r="C61" s="68">
        <v>23.940999999999999</v>
      </c>
      <c r="D61" s="68">
        <v>1</v>
      </c>
      <c r="E61" s="68" t="s">
        <v>471</v>
      </c>
    </row>
    <row r="62" spans="1:5">
      <c r="A62" s="68">
        <v>0.36834800000000001</v>
      </c>
      <c r="B62" s="68">
        <v>0.12818499999999999</v>
      </c>
      <c r="C62" s="68">
        <v>24.348600000000001</v>
      </c>
      <c r="D62" s="68">
        <v>1</v>
      </c>
      <c r="E62" s="68" t="s">
        <v>472</v>
      </c>
    </row>
    <row r="63" spans="1:5">
      <c r="A63" s="68">
        <v>0.36859399999999998</v>
      </c>
      <c r="B63" s="68">
        <v>0.12669900000000001</v>
      </c>
      <c r="C63" s="68">
        <v>24.755400000000002</v>
      </c>
      <c r="D63" s="68">
        <v>1</v>
      </c>
      <c r="E63" s="68" t="s">
        <v>473</v>
      </c>
    </row>
    <row r="64" spans="1:5">
      <c r="A64" s="68">
        <v>0.36891200000000002</v>
      </c>
      <c r="B64" s="68">
        <v>0.124678</v>
      </c>
      <c r="C64" s="68">
        <v>25.162299999999998</v>
      </c>
      <c r="D64" s="68">
        <v>1</v>
      </c>
      <c r="E64" s="68" t="s">
        <v>474</v>
      </c>
    </row>
    <row r="65" spans="1:5">
      <c r="A65" s="68">
        <v>0.36883700000000003</v>
      </c>
      <c r="B65" s="68">
        <v>0.122562</v>
      </c>
      <c r="C65" s="68">
        <v>25.565200000000001</v>
      </c>
      <c r="D65" s="68">
        <v>1</v>
      </c>
      <c r="E65" s="68" t="s">
        <v>475</v>
      </c>
    </row>
    <row r="66" spans="1:5">
      <c r="A66" s="68">
        <v>0.36875799999999997</v>
      </c>
      <c r="B66" s="68">
        <v>0.119406</v>
      </c>
      <c r="C66" s="68">
        <v>25.9741</v>
      </c>
      <c r="D66" s="68">
        <v>1</v>
      </c>
      <c r="E66" s="68" t="s">
        <v>476</v>
      </c>
    </row>
    <row r="67" spans="1:5">
      <c r="A67" s="68">
        <v>0.36847299999999999</v>
      </c>
      <c r="B67" s="68">
        <v>0.117101</v>
      </c>
      <c r="C67" s="68">
        <v>26.3782</v>
      </c>
      <c r="D67" s="68">
        <v>1</v>
      </c>
      <c r="E67" s="68" t="s">
        <v>477</v>
      </c>
    </row>
    <row r="68" spans="1:5">
      <c r="A68" s="68">
        <v>0.36810799999999999</v>
      </c>
      <c r="B68" s="68">
        <v>0.114618</v>
      </c>
      <c r="C68" s="68">
        <v>26.784600000000001</v>
      </c>
      <c r="D68" s="68">
        <v>1</v>
      </c>
      <c r="E68" s="68" t="s">
        <v>478</v>
      </c>
    </row>
    <row r="69" spans="1:5">
      <c r="A69" s="68">
        <v>0.36771500000000001</v>
      </c>
      <c r="B69" s="68">
        <v>0.111433</v>
      </c>
      <c r="C69" s="68">
        <v>27.195900000000002</v>
      </c>
      <c r="D69" s="68">
        <v>1</v>
      </c>
      <c r="E69" s="68" t="s">
        <v>479</v>
      </c>
    </row>
    <row r="70" spans="1:5">
      <c r="A70" s="68">
        <v>0.36738100000000001</v>
      </c>
      <c r="B70" s="68">
        <v>0.108555</v>
      </c>
      <c r="C70" s="68">
        <v>27.595800000000001</v>
      </c>
      <c r="D70" s="68">
        <v>1</v>
      </c>
      <c r="E70" s="68" t="s">
        <v>480</v>
      </c>
    </row>
    <row r="71" spans="1:5">
      <c r="A71" s="68">
        <v>0.36715700000000001</v>
      </c>
      <c r="B71" s="68">
        <v>0.105632</v>
      </c>
      <c r="C71" s="68">
        <v>28.0075</v>
      </c>
      <c r="D71" s="68">
        <v>1</v>
      </c>
      <c r="E71" s="68" t="s">
        <v>481</v>
      </c>
    </row>
    <row r="72" spans="1:5">
      <c r="A72" s="68">
        <v>0.366622</v>
      </c>
      <c r="B72" s="68">
        <v>0.10281999999999999</v>
      </c>
      <c r="C72" s="68">
        <v>28.410599999999999</v>
      </c>
      <c r="D72" s="68">
        <v>1</v>
      </c>
      <c r="E72" s="68" t="s">
        <v>482</v>
      </c>
    </row>
    <row r="73" spans="1:5">
      <c r="A73" s="68">
        <v>0.36585499999999999</v>
      </c>
      <c r="B73" s="68">
        <v>0.100254</v>
      </c>
      <c r="C73" s="68">
        <v>28.813600000000001</v>
      </c>
      <c r="D73" s="68">
        <v>1</v>
      </c>
      <c r="E73" s="68" t="s">
        <v>483</v>
      </c>
    </row>
    <row r="74" spans="1:5">
      <c r="A74" s="68">
        <v>0.36502600000000002</v>
      </c>
      <c r="B74" s="68">
        <v>9.81847E-2</v>
      </c>
      <c r="C74" s="68">
        <v>29.2226</v>
      </c>
      <c r="D74" s="68">
        <v>1</v>
      </c>
      <c r="E74" s="68" t="s">
        <v>484</v>
      </c>
    </row>
    <row r="75" spans="1:5">
      <c r="A75" s="68">
        <v>0.36391299999999999</v>
      </c>
      <c r="B75" s="68">
        <v>9.6465400000000007E-2</v>
      </c>
      <c r="C75" s="68">
        <v>29.627300000000002</v>
      </c>
      <c r="D75" s="68">
        <v>1</v>
      </c>
      <c r="E75" s="68" t="s">
        <v>485</v>
      </c>
    </row>
    <row r="76" spans="1:5">
      <c r="A76" s="68">
        <v>0.36275499999999999</v>
      </c>
      <c r="B76" s="68">
        <v>9.5782800000000001E-2</v>
      </c>
      <c r="C76" s="68">
        <v>30.033100000000001</v>
      </c>
      <c r="D76" s="68">
        <v>2</v>
      </c>
      <c r="E76" s="68" t="s">
        <v>486</v>
      </c>
    </row>
    <row r="77" spans="1:5">
      <c r="A77" s="68">
        <v>0.36238599999999999</v>
      </c>
      <c r="B77" s="68">
        <v>9.48354E-2</v>
      </c>
      <c r="C77" s="68">
        <v>30.614899999999999</v>
      </c>
      <c r="D77" s="68">
        <v>2</v>
      </c>
      <c r="E77" s="68" t="s">
        <v>487</v>
      </c>
    </row>
    <row r="78" spans="1:5">
      <c r="A78" s="68">
        <v>0.362122</v>
      </c>
      <c r="B78" s="68">
        <v>9.2928399999999994E-2</v>
      </c>
      <c r="C78" s="68">
        <v>30.992799999999999</v>
      </c>
      <c r="D78" s="68">
        <v>2</v>
      </c>
      <c r="E78" s="68" t="s">
        <v>488</v>
      </c>
    </row>
    <row r="79" spans="1:5">
      <c r="A79" s="68">
        <v>0.36193500000000001</v>
      </c>
      <c r="B79" s="68">
        <v>9.1538499999999995E-2</v>
      </c>
      <c r="C79" s="68">
        <v>31.364799999999999</v>
      </c>
      <c r="D79" s="68">
        <v>2</v>
      </c>
      <c r="E79" s="68" t="s">
        <v>489</v>
      </c>
    </row>
    <row r="80" spans="1:5">
      <c r="A80" s="68">
        <v>0.36171799999999998</v>
      </c>
      <c r="B80" s="68">
        <v>9.0822200000000006E-2</v>
      </c>
      <c r="C80" s="68">
        <v>31.741800000000001</v>
      </c>
      <c r="D80" s="68">
        <v>2</v>
      </c>
      <c r="E80" s="68" t="s">
        <v>490</v>
      </c>
    </row>
    <row r="81" spans="1:5">
      <c r="A81" s="68">
        <v>0.36180699999999999</v>
      </c>
      <c r="B81" s="68">
        <v>8.9053099999999996E-2</v>
      </c>
      <c r="C81" s="68">
        <v>32.126899999999999</v>
      </c>
      <c r="D81" s="68">
        <v>2</v>
      </c>
      <c r="E81" s="68" t="s">
        <v>491</v>
      </c>
    </row>
    <row r="82" spans="1:5">
      <c r="A82" s="68">
        <v>0.36209999999999998</v>
      </c>
      <c r="B82" s="68">
        <v>8.7626599999999999E-2</v>
      </c>
      <c r="C82" s="68">
        <v>32.5366</v>
      </c>
      <c r="D82" s="68">
        <v>2</v>
      </c>
      <c r="E82" s="68" t="s">
        <v>492</v>
      </c>
    </row>
    <row r="83" spans="1:5">
      <c r="A83" s="68">
        <v>0.36257099999999998</v>
      </c>
      <c r="B83" s="68">
        <v>8.6318699999999998E-2</v>
      </c>
      <c r="C83" s="68">
        <v>32.939799999999998</v>
      </c>
      <c r="D83" s="68">
        <v>2</v>
      </c>
      <c r="E83" s="68" t="s">
        <v>493</v>
      </c>
    </row>
    <row r="84" spans="1:5">
      <c r="A84" s="68">
        <v>0.36310999999999999</v>
      </c>
      <c r="B84" s="68">
        <v>8.3964499999999997E-2</v>
      </c>
      <c r="C84" s="68">
        <v>33.3474</v>
      </c>
      <c r="D84" s="68">
        <v>2</v>
      </c>
      <c r="E84" s="68" t="s">
        <v>494</v>
      </c>
    </row>
    <row r="85" spans="1:5">
      <c r="A85" s="68">
        <v>0.36352499999999999</v>
      </c>
      <c r="B85" s="68">
        <v>8.2196199999999997E-2</v>
      </c>
      <c r="C85" s="68">
        <v>33.755400000000002</v>
      </c>
      <c r="D85" s="68">
        <v>2</v>
      </c>
      <c r="E85" s="68" t="s">
        <v>495</v>
      </c>
    </row>
    <row r="86" spans="1:5">
      <c r="A86" s="68">
        <v>0.36379699999999998</v>
      </c>
      <c r="B86" s="68">
        <v>8.0097000000000002E-2</v>
      </c>
      <c r="C86" s="68">
        <v>34.162300000000002</v>
      </c>
      <c r="D86" s="68">
        <v>2</v>
      </c>
      <c r="E86" s="68" t="s">
        <v>496</v>
      </c>
    </row>
    <row r="87" spans="1:5">
      <c r="A87" s="68">
        <v>0.36370999999999998</v>
      </c>
      <c r="B87" s="68">
        <v>7.8597700000000006E-2</v>
      </c>
      <c r="C87" s="68">
        <v>34.571199999999997</v>
      </c>
      <c r="D87" s="68">
        <v>2</v>
      </c>
      <c r="E87" s="68" t="s">
        <v>497</v>
      </c>
    </row>
    <row r="88" spans="1:5">
      <c r="A88" s="68">
        <v>0.363344</v>
      </c>
      <c r="B88" s="68">
        <v>7.6384199999999999E-2</v>
      </c>
      <c r="C88" s="68">
        <v>34.971200000000003</v>
      </c>
      <c r="D88" s="68">
        <v>2</v>
      </c>
      <c r="E88" s="68" t="s">
        <v>498</v>
      </c>
    </row>
    <row r="89" spans="1:5">
      <c r="A89" s="68">
        <v>0.36273</v>
      </c>
      <c r="B89" s="68">
        <v>7.4454400000000004E-2</v>
      </c>
      <c r="C89" s="68">
        <v>35.379199999999997</v>
      </c>
      <c r="D89" s="68">
        <v>2</v>
      </c>
      <c r="E89" s="68" t="s">
        <v>499</v>
      </c>
    </row>
    <row r="90" spans="1:5">
      <c r="A90" s="68">
        <v>0.36238399999999998</v>
      </c>
      <c r="B90" s="68">
        <v>7.1132699999999993E-2</v>
      </c>
      <c r="C90" s="68">
        <v>35.787999999999997</v>
      </c>
      <c r="D90" s="68">
        <v>2</v>
      </c>
      <c r="E90" s="68" t="s">
        <v>500</v>
      </c>
    </row>
    <row r="91" spans="1:5">
      <c r="A91" s="68">
        <v>0.36157</v>
      </c>
      <c r="B91" s="68">
        <v>6.9322900000000007E-2</v>
      </c>
      <c r="C91" s="68">
        <v>36.191899999999997</v>
      </c>
      <c r="D91" s="68">
        <v>2</v>
      </c>
      <c r="E91" s="68" t="s">
        <v>501</v>
      </c>
    </row>
    <row r="92" spans="1:5">
      <c r="A92" s="68">
        <v>0.36078399999999999</v>
      </c>
      <c r="B92" s="68">
        <v>6.6395800000000005E-2</v>
      </c>
      <c r="C92" s="68">
        <v>36.5991</v>
      </c>
      <c r="D92" s="68">
        <v>2</v>
      </c>
      <c r="E92" s="68" t="s">
        <v>502</v>
      </c>
    </row>
    <row r="93" spans="1:5">
      <c r="A93" s="68">
        <v>0.35965900000000001</v>
      </c>
      <c r="B93" s="68">
        <v>6.4163300000000006E-2</v>
      </c>
      <c r="C93" s="68">
        <v>37.003700000000002</v>
      </c>
      <c r="D93" s="68">
        <v>2</v>
      </c>
      <c r="E93" s="68" t="s">
        <v>503</v>
      </c>
    </row>
    <row r="94" spans="1:5">
      <c r="A94" s="68">
        <v>0.357908</v>
      </c>
      <c r="B94" s="68">
        <v>6.3110799999999995E-2</v>
      </c>
      <c r="C94" s="68">
        <v>37.412599999999998</v>
      </c>
      <c r="D94" s="68">
        <v>2</v>
      </c>
      <c r="E94" s="68" t="s">
        <v>504</v>
      </c>
    </row>
    <row r="95" spans="1:5">
      <c r="A95" s="68">
        <v>0.355823</v>
      </c>
      <c r="B95" s="68">
        <v>6.1483700000000002E-2</v>
      </c>
      <c r="C95" s="68">
        <v>37.8185</v>
      </c>
      <c r="D95" s="68">
        <v>2</v>
      </c>
      <c r="E95" s="68" t="s">
        <v>505</v>
      </c>
    </row>
    <row r="96" spans="1:5">
      <c r="A96" s="68">
        <v>0.35358200000000001</v>
      </c>
      <c r="B96" s="68">
        <v>5.91835E-2</v>
      </c>
      <c r="C96" s="68">
        <v>38.223700000000001</v>
      </c>
      <c r="D96" s="68">
        <v>2</v>
      </c>
      <c r="E96" s="68" t="s">
        <v>506</v>
      </c>
    </row>
    <row r="97" spans="1:5">
      <c r="A97" s="68">
        <v>0.35123199999999999</v>
      </c>
      <c r="B97" s="68">
        <v>5.6293700000000002E-2</v>
      </c>
      <c r="C97" s="68">
        <v>38.6295</v>
      </c>
      <c r="D97" s="68">
        <v>2</v>
      </c>
      <c r="E97" s="68" t="s">
        <v>507</v>
      </c>
    </row>
    <row r="98" spans="1:5">
      <c r="A98" s="68">
        <v>0.34903099999999998</v>
      </c>
      <c r="B98" s="68">
        <v>5.3234499999999997E-2</v>
      </c>
      <c r="C98" s="68">
        <v>39.036200000000001</v>
      </c>
      <c r="D98" s="68">
        <v>2</v>
      </c>
      <c r="E98" s="68" t="s">
        <v>508</v>
      </c>
    </row>
    <row r="99" spans="1:5">
      <c r="A99" s="68">
        <v>0.346887</v>
      </c>
      <c r="B99" s="68">
        <v>4.8937899999999999E-2</v>
      </c>
      <c r="C99" s="68">
        <v>39.444200000000002</v>
      </c>
      <c r="D99" s="68">
        <v>2</v>
      </c>
      <c r="E99" s="68" t="s">
        <v>509</v>
      </c>
    </row>
    <row r="100" spans="1:5">
      <c r="A100" s="68">
        <v>0.34465699999999999</v>
      </c>
      <c r="B100" s="68">
        <v>4.5032599999999999E-2</v>
      </c>
      <c r="C100" s="68">
        <v>39.848100000000002</v>
      </c>
      <c r="D100" s="68">
        <v>2</v>
      </c>
      <c r="E100" s="68" t="s">
        <v>510</v>
      </c>
    </row>
    <row r="101" spans="1:5">
      <c r="A101" s="68">
        <v>0.34215699999999999</v>
      </c>
      <c r="B101" s="68">
        <v>4.0115199999999997E-2</v>
      </c>
      <c r="C101" s="68">
        <v>40.253999999999998</v>
      </c>
      <c r="D101" s="68">
        <v>2</v>
      </c>
      <c r="E101" s="68" t="s">
        <v>511</v>
      </c>
    </row>
    <row r="102" spans="1:5">
      <c r="A102" s="68">
        <v>0.33942899999999998</v>
      </c>
      <c r="B102" s="68">
        <v>3.4397499999999998E-2</v>
      </c>
      <c r="C102" s="68">
        <v>40.661200000000001</v>
      </c>
      <c r="D102" s="68">
        <v>2</v>
      </c>
      <c r="E102" s="68" t="s">
        <v>512</v>
      </c>
    </row>
    <row r="103" spans="1:5">
      <c r="A103" s="68">
        <v>0.336727</v>
      </c>
      <c r="B103" s="68">
        <v>2.8880300000000001E-2</v>
      </c>
      <c r="C103" s="68">
        <v>41.071899999999999</v>
      </c>
      <c r="D103" s="68">
        <v>2</v>
      </c>
      <c r="E103" s="68" t="s">
        <v>513</v>
      </c>
    </row>
    <row r="104" spans="1:5">
      <c r="A104" s="68">
        <v>0.334177</v>
      </c>
      <c r="B104" s="68">
        <v>2.3223400000000002E-2</v>
      </c>
      <c r="C104" s="68">
        <v>41.471800000000002</v>
      </c>
      <c r="D104" s="68">
        <v>2</v>
      </c>
      <c r="E104" s="68" t="s">
        <v>514</v>
      </c>
    </row>
    <row r="105" spans="1:5">
      <c r="A105" s="68">
        <v>0.33163700000000002</v>
      </c>
      <c r="B105" s="68">
        <v>1.7639999999999999E-2</v>
      </c>
      <c r="C105" s="68">
        <v>41.881599999999999</v>
      </c>
      <c r="D105" s="68">
        <v>2</v>
      </c>
      <c r="E105" s="68" t="s">
        <v>515</v>
      </c>
    </row>
    <row r="106" spans="1:5">
      <c r="A106" s="68">
        <v>0.32910499999999998</v>
      </c>
      <c r="B106" s="68">
        <v>1.25845E-2</v>
      </c>
      <c r="C106" s="68">
        <v>42.289700000000003</v>
      </c>
      <c r="D106" s="68">
        <v>2</v>
      </c>
      <c r="E106" s="68" t="s">
        <v>516</v>
      </c>
    </row>
    <row r="107" spans="1:5">
      <c r="A107" s="68">
        <v>0.32631599999999999</v>
      </c>
      <c r="B107" s="68">
        <v>8.0117000000000001E-3</v>
      </c>
      <c r="C107" s="68">
        <v>42.695500000000003</v>
      </c>
      <c r="D107" s="68">
        <v>2</v>
      </c>
      <c r="E107" s="68" t="s">
        <v>517</v>
      </c>
    </row>
    <row r="108" spans="1:5">
      <c r="A108" s="68">
        <v>0.32342599999999999</v>
      </c>
      <c r="B108" s="68">
        <v>3.4808199999999999E-3</v>
      </c>
      <c r="C108" s="68">
        <v>43.1004</v>
      </c>
      <c r="D108" s="68">
        <v>2</v>
      </c>
      <c r="E108" s="68" t="s">
        <v>518</v>
      </c>
    </row>
    <row r="109" spans="1:5">
      <c r="A109" s="68">
        <v>0.32035200000000003</v>
      </c>
      <c r="B109" s="68">
        <v>0</v>
      </c>
      <c r="C109" s="68">
        <v>43.504300000000001</v>
      </c>
      <c r="D109" s="68">
        <v>2</v>
      </c>
      <c r="E109" s="68" t="s">
        <v>519</v>
      </c>
    </row>
    <row r="110" spans="1:5">
      <c r="A110" s="68">
        <v>0.31726599999999999</v>
      </c>
      <c r="B110" s="68">
        <v>0</v>
      </c>
      <c r="C110" s="68">
        <v>43.9114</v>
      </c>
      <c r="D110" s="68">
        <v>2</v>
      </c>
      <c r="E110" s="68" t="s">
        <v>520</v>
      </c>
    </row>
    <row r="111" spans="1:5">
      <c r="A111" s="68">
        <v>0.314083</v>
      </c>
      <c r="B111" s="68">
        <v>0</v>
      </c>
      <c r="C111" s="68">
        <v>44.315199999999997</v>
      </c>
      <c r="D111" s="68">
        <v>2</v>
      </c>
      <c r="E111" s="68" t="s">
        <v>521</v>
      </c>
    </row>
    <row r="112" spans="1:5">
      <c r="A112" s="68">
        <v>0.31126999999999999</v>
      </c>
      <c r="B112" s="68">
        <v>0</v>
      </c>
      <c r="C112" s="68">
        <v>44.725299999999997</v>
      </c>
      <c r="D112" s="68">
        <v>2</v>
      </c>
      <c r="E112" s="68" t="s">
        <v>522</v>
      </c>
    </row>
    <row r="113" spans="1:5">
      <c r="A113" s="68">
        <v>0.30850899999999998</v>
      </c>
      <c r="B113" s="68">
        <v>0</v>
      </c>
      <c r="C113" s="68">
        <v>45.129899999999999</v>
      </c>
      <c r="D113" s="68">
        <v>2</v>
      </c>
      <c r="E113" s="68" t="s">
        <v>523</v>
      </c>
    </row>
    <row r="114" spans="1:5">
      <c r="A114" s="68">
        <v>0.30639100000000002</v>
      </c>
      <c r="B114" s="68">
        <v>0</v>
      </c>
      <c r="C114" s="68">
        <v>45.535899999999998</v>
      </c>
      <c r="D114" s="68">
        <v>2</v>
      </c>
      <c r="E114" s="68" t="s">
        <v>524</v>
      </c>
    </row>
    <row r="115" spans="1:5">
      <c r="A115" s="68">
        <v>0.30437599999999998</v>
      </c>
      <c r="B115" s="68">
        <v>0</v>
      </c>
      <c r="C115" s="68">
        <v>45.941000000000003</v>
      </c>
      <c r="D115" s="68">
        <v>2</v>
      </c>
      <c r="E115" s="68" t="s">
        <v>525</v>
      </c>
    </row>
    <row r="116" spans="1:5">
      <c r="A116" s="68">
        <v>0.30277100000000001</v>
      </c>
      <c r="B116" s="68">
        <v>0</v>
      </c>
      <c r="C116" s="68">
        <v>46.349699999999999</v>
      </c>
      <c r="D116" s="68">
        <v>2</v>
      </c>
      <c r="E116" s="68" t="s">
        <v>526</v>
      </c>
    </row>
    <row r="117" spans="1:5">
      <c r="A117" s="68">
        <v>0.30141800000000002</v>
      </c>
      <c r="B117" s="68">
        <v>0</v>
      </c>
      <c r="C117" s="68">
        <v>46.757899999999999</v>
      </c>
      <c r="D117" s="68">
        <v>2</v>
      </c>
      <c r="E117" s="68" t="s">
        <v>527</v>
      </c>
    </row>
    <row r="118" spans="1:5">
      <c r="A118" s="68">
        <v>0.30015900000000001</v>
      </c>
      <c r="B118" s="68">
        <v>0</v>
      </c>
      <c r="C118" s="68">
        <v>47.1586</v>
      </c>
      <c r="D118" s="68">
        <v>2</v>
      </c>
      <c r="E118" s="68" t="s">
        <v>528</v>
      </c>
    </row>
    <row r="119" spans="1:5">
      <c r="A119" s="68">
        <v>0.29911199999999999</v>
      </c>
      <c r="B119" s="68">
        <v>0</v>
      </c>
      <c r="C119" s="68">
        <v>47.566400000000002</v>
      </c>
      <c r="D119" s="68">
        <v>2</v>
      </c>
      <c r="E119" s="68" t="s">
        <v>529</v>
      </c>
    </row>
    <row r="120" spans="1:5">
      <c r="A120" s="68">
        <v>0.298265</v>
      </c>
      <c r="B120" s="68">
        <v>0</v>
      </c>
      <c r="C120" s="68">
        <v>47.9741</v>
      </c>
      <c r="D120" s="68">
        <v>2</v>
      </c>
      <c r="E120" s="68" t="s">
        <v>530</v>
      </c>
    </row>
    <row r="121" spans="1:5">
      <c r="A121" s="68">
        <v>0.29776200000000003</v>
      </c>
      <c r="B121" s="68">
        <v>0</v>
      </c>
      <c r="C121" s="68">
        <v>48.380200000000002</v>
      </c>
      <c r="D121" s="68">
        <v>2</v>
      </c>
      <c r="E121" s="68" t="s">
        <v>531</v>
      </c>
    </row>
    <row r="122" spans="1:5">
      <c r="A122" s="68">
        <v>0.29758600000000002</v>
      </c>
      <c r="B122" s="68">
        <v>0</v>
      </c>
      <c r="C122" s="68">
        <v>48.7883</v>
      </c>
      <c r="D122" s="68">
        <v>2</v>
      </c>
      <c r="E122" s="68" t="s">
        <v>532</v>
      </c>
    </row>
    <row r="123" spans="1:5">
      <c r="A123" s="68">
        <v>0.29764099999999999</v>
      </c>
      <c r="B123" s="68">
        <v>0</v>
      </c>
      <c r="C123" s="68">
        <v>49.1952</v>
      </c>
      <c r="D123" s="68">
        <v>2</v>
      </c>
      <c r="E123" s="68" t="s">
        <v>533</v>
      </c>
    </row>
    <row r="124" spans="1:5">
      <c r="A124" s="68">
        <v>0.29823100000000002</v>
      </c>
      <c r="B124" s="68">
        <v>0</v>
      </c>
      <c r="C124" s="68">
        <v>49.597000000000001</v>
      </c>
      <c r="D124" s="68">
        <v>2</v>
      </c>
      <c r="E124" s="68" t="s">
        <v>534</v>
      </c>
    </row>
    <row r="125" spans="1:5">
      <c r="A125" s="68">
        <v>0.29930899999999999</v>
      </c>
      <c r="B125" s="68">
        <v>0</v>
      </c>
      <c r="C125" s="68">
        <v>50.008000000000003</v>
      </c>
      <c r="D125" s="68">
        <v>2</v>
      </c>
      <c r="E125" s="68" t="s">
        <v>535</v>
      </c>
    </row>
    <row r="126" spans="1:5">
      <c r="A126" s="68">
        <v>0.29944799999999999</v>
      </c>
      <c r="B126" s="68">
        <v>0</v>
      </c>
      <c r="C126" s="68">
        <v>50.412799999999997</v>
      </c>
      <c r="D126" s="68">
        <v>2</v>
      </c>
      <c r="E126" s="68" t="s">
        <v>536</v>
      </c>
    </row>
    <row r="127" spans="1:5">
      <c r="A127" s="68">
        <v>0.299431</v>
      </c>
      <c r="B127" s="68">
        <v>0</v>
      </c>
      <c r="C127" s="68">
        <v>50.813800000000001</v>
      </c>
      <c r="D127" s="68">
        <v>2</v>
      </c>
      <c r="E127" s="68" t="s">
        <v>537</v>
      </c>
    </row>
    <row r="128" spans="1:5">
      <c r="A128" s="68">
        <v>0.29945300000000002</v>
      </c>
      <c r="B128" s="68">
        <v>0</v>
      </c>
      <c r="C128" s="68">
        <v>51.223100000000002</v>
      </c>
      <c r="D128" s="68">
        <v>2</v>
      </c>
      <c r="E128" s="68" t="s">
        <v>538</v>
      </c>
    </row>
    <row r="129" spans="1:5">
      <c r="A129" s="68">
        <v>0.29954700000000001</v>
      </c>
      <c r="B129" s="68">
        <v>0</v>
      </c>
      <c r="C129" s="68">
        <v>51.627600000000001</v>
      </c>
      <c r="D129" s="68">
        <v>2</v>
      </c>
      <c r="E129" s="68" t="s">
        <v>539</v>
      </c>
    </row>
    <row r="130" spans="1:5">
      <c r="A130" s="68">
        <v>0.29965000000000003</v>
      </c>
      <c r="B130" s="68">
        <v>0</v>
      </c>
      <c r="C130" s="68">
        <v>52.037500000000001</v>
      </c>
      <c r="D130" s="68">
        <v>2</v>
      </c>
      <c r="E130" s="68" t="s">
        <v>540</v>
      </c>
    </row>
    <row r="131" spans="1:5">
      <c r="A131" s="68">
        <v>0.29982500000000001</v>
      </c>
      <c r="B131" s="68">
        <v>0</v>
      </c>
      <c r="C131" s="68">
        <v>52.444400000000002</v>
      </c>
      <c r="D131" s="68">
        <v>2</v>
      </c>
      <c r="E131" s="68" t="s">
        <v>541</v>
      </c>
    </row>
    <row r="132" spans="1:5">
      <c r="A132" s="68">
        <v>0.30011300000000002</v>
      </c>
      <c r="B132" s="68">
        <v>0</v>
      </c>
      <c r="C132" s="68">
        <v>52.849299999999999</v>
      </c>
      <c r="D132" s="68">
        <v>2</v>
      </c>
      <c r="E132" s="68" t="s">
        <v>542</v>
      </c>
    </row>
    <row r="133" spans="1:5">
      <c r="A133" s="68">
        <v>0.30036800000000002</v>
      </c>
      <c r="B133" s="68">
        <v>0</v>
      </c>
      <c r="C133" s="68">
        <v>53.254300000000001</v>
      </c>
      <c r="D133" s="68">
        <v>2</v>
      </c>
      <c r="E133" s="68" t="s">
        <v>543</v>
      </c>
    </row>
    <row r="134" spans="1:5">
      <c r="A134" s="68">
        <v>0.30083199999999999</v>
      </c>
      <c r="B134" s="68">
        <v>0</v>
      </c>
      <c r="C134" s="68">
        <v>53.661099999999998</v>
      </c>
      <c r="D134" s="68">
        <v>2</v>
      </c>
      <c r="E134" s="68" t="s">
        <v>544</v>
      </c>
    </row>
    <row r="135" spans="1:5">
      <c r="A135" s="68">
        <v>0.30123499999999998</v>
      </c>
      <c r="B135" s="68">
        <v>1.4771700000000001E-3</v>
      </c>
      <c r="C135" s="68">
        <v>54.070099999999996</v>
      </c>
      <c r="D135" s="68">
        <v>2</v>
      </c>
      <c r="E135" s="68" t="s">
        <v>545</v>
      </c>
    </row>
    <row r="136" spans="1:5">
      <c r="A136" s="68">
        <v>0.30189199999999999</v>
      </c>
      <c r="B136" s="68">
        <v>3.4070200000000002E-3</v>
      </c>
      <c r="C136" s="68">
        <v>54.475099999999998</v>
      </c>
      <c r="D136" s="68">
        <v>2</v>
      </c>
      <c r="E136" s="68" t="s">
        <v>546</v>
      </c>
    </row>
    <row r="137" spans="1:5">
      <c r="A137" s="68">
        <v>0.30275000000000002</v>
      </c>
      <c r="B137" s="68">
        <v>4.6893300000000002E-3</v>
      </c>
      <c r="C137" s="68">
        <v>54.880899999999997</v>
      </c>
      <c r="D137" s="68">
        <v>2</v>
      </c>
      <c r="E137" s="68" t="s">
        <v>547</v>
      </c>
    </row>
    <row r="138" spans="1:5">
      <c r="A138" s="68">
        <v>0.30394599999999999</v>
      </c>
      <c r="B138" s="68">
        <v>6.1600099999999996E-3</v>
      </c>
      <c r="C138" s="68">
        <v>55.285200000000003</v>
      </c>
      <c r="D138" s="68">
        <v>2</v>
      </c>
      <c r="E138" s="68" t="s">
        <v>548</v>
      </c>
    </row>
    <row r="139" spans="1:5">
      <c r="A139" s="68">
        <v>0.30464799999999997</v>
      </c>
      <c r="B139" s="68">
        <v>8.7097100000000007E-3</v>
      </c>
      <c r="C139" s="68">
        <v>55.690199999999997</v>
      </c>
      <c r="D139" s="68">
        <v>2</v>
      </c>
      <c r="E139" s="68" t="s">
        <v>549</v>
      </c>
    </row>
    <row r="140" spans="1:5">
      <c r="A140" s="68">
        <v>0.30523499999999998</v>
      </c>
      <c r="B140" s="68">
        <v>9.2662100000000004E-3</v>
      </c>
      <c r="C140" s="68">
        <v>56.0976</v>
      </c>
      <c r="D140" s="68">
        <v>2</v>
      </c>
      <c r="E140" s="68" t="s">
        <v>550</v>
      </c>
    </row>
    <row r="141" spans="1:5">
      <c r="A141" s="68">
        <v>0.30571799999999999</v>
      </c>
      <c r="B141" s="68">
        <v>1.04364E-2</v>
      </c>
      <c r="C141" s="68">
        <v>56.505600000000001</v>
      </c>
      <c r="D141" s="68">
        <v>2</v>
      </c>
      <c r="E141" s="68" t="s">
        <v>551</v>
      </c>
    </row>
    <row r="142" spans="1:5">
      <c r="A142" s="68">
        <v>0.30610500000000002</v>
      </c>
      <c r="B142" s="68">
        <v>1.2552000000000001E-2</v>
      </c>
      <c r="C142" s="68">
        <v>56.910400000000003</v>
      </c>
      <c r="D142" s="68">
        <v>2</v>
      </c>
      <c r="E142" s="68" t="s">
        <v>552</v>
      </c>
    </row>
    <row r="143" spans="1:5">
      <c r="A143" s="68">
        <v>0.30674800000000002</v>
      </c>
      <c r="B143" s="68">
        <v>1.45097E-2</v>
      </c>
      <c r="C143" s="68">
        <v>57.315800000000003</v>
      </c>
      <c r="D143" s="68">
        <v>2</v>
      </c>
      <c r="E143" s="68" t="s">
        <v>553</v>
      </c>
    </row>
    <row r="144" spans="1:5">
      <c r="A144" s="68">
        <v>0.30795</v>
      </c>
      <c r="B144" s="68">
        <v>1.58856E-2</v>
      </c>
      <c r="C144" s="68">
        <v>57.728400000000001</v>
      </c>
      <c r="D144" s="68">
        <v>2</v>
      </c>
      <c r="E144" s="68" t="s">
        <v>554</v>
      </c>
    </row>
    <row r="145" spans="1:5">
      <c r="A145" s="68">
        <v>0.30976399999999998</v>
      </c>
      <c r="B145" s="68">
        <v>1.7302700000000001E-2</v>
      </c>
      <c r="C145" s="68">
        <v>58.129300000000001</v>
      </c>
      <c r="D145" s="68">
        <v>2</v>
      </c>
      <c r="E145" s="68" t="s">
        <v>555</v>
      </c>
    </row>
    <row r="146" spans="1:5">
      <c r="A146" s="68">
        <v>0.31187900000000002</v>
      </c>
      <c r="B146" s="68">
        <v>2.0034900000000001E-2</v>
      </c>
      <c r="C146" s="68">
        <v>58.536299999999997</v>
      </c>
      <c r="D146" s="68">
        <v>2</v>
      </c>
      <c r="E146" s="68" t="s">
        <v>556</v>
      </c>
    </row>
    <row r="147" spans="1:5">
      <c r="A147" s="68">
        <v>0.31518200000000002</v>
      </c>
      <c r="B147" s="68">
        <v>2.0186900000000001E-2</v>
      </c>
      <c r="C147" s="68">
        <v>58.943100000000001</v>
      </c>
      <c r="D147" s="68">
        <v>2</v>
      </c>
      <c r="E147" s="68" t="s">
        <v>557</v>
      </c>
    </row>
    <row r="148" spans="1:5">
      <c r="A148" s="68">
        <v>0.31877800000000001</v>
      </c>
      <c r="B148" s="68">
        <v>2.64281E-2</v>
      </c>
      <c r="C148" s="68">
        <v>59.346499999999999</v>
      </c>
      <c r="D148" s="68">
        <v>2</v>
      </c>
      <c r="E148" s="68" t="s">
        <v>558</v>
      </c>
    </row>
    <row r="149" spans="1:5">
      <c r="A149" s="68">
        <v>0.32240799999999997</v>
      </c>
      <c r="B149" s="68">
        <v>3.3650199999999998E-2</v>
      </c>
      <c r="C149" s="68">
        <v>59.758699999999997</v>
      </c>
      <c r="D149" s="68">
        <v>2</v>
      </c>
      <c r="E149" s="68" t="s">
        <v>559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409</v>
      </c>
      <c r="B1" s="66" t="s">
        <v>560</v>
      </c>
      <c r="C1" s="66" t="s">
        <v>562</v>
      </c>
      <c r="D1" s="66" t="s">
        <v>563</v>
      </c>
      <c r="E1" s="66" t="s">
        <v>564</v>
      </c>
      <c r="F1" s="66" t="s">
        <v>565</v>
      </c>
      <c r="G1" s="66" t="s">
        <v>566</v>
      </c>
      <c r="H1" s="66" t="s">
        <v>567</v>
      </c>
      <c r="I1" s="66" t="s">
        <v>568</v>
      </c>
      <c r="J1" s="66" t="s">
        <v>569</v>
      </c>
      <c r="K1" s="66" t="s">
        <v>570</v>
      </c>
      <c r="L1" s="66" t="s">
        <v>571</v>
      </c>
      <c r="M1" s="66" t="s">
        <v>572</v>
      </c>
      <c r="N1" s="66"/>
    </row>
    <row r="2" spans="1:14">
      <c r="A2" s="75">
        <v>43607.695810185185</v>
      </c>
      <c r="B2" s="66" t="s">
        <v>561</v>
      </c>
      <c r="C2" s="66"/>
      <c r="D2" s="66"/>
      <c r="E2" s="66">
        <v>4.9234099999999996</v>
      </c>
      <c r="F2" s="66">
        <v>1.6614500000000001</v>
      </c>
      <c r="G2" s="66">
        <v>0.94849000000000006</v>
      </c>
      <c r="H2" s="66">
        <v>0</v>
      </c>
      <c r="I2" s="66">
        <v>54651</v>
      </c>
      <c r="J2" s="66">
        <v>52</v>
      </c>
      <c r="K2" s="66">
        <v>52</v>
      </c>
      <c r="L2" s="66">
        <v>0</v>
      </c>
      <c r="M2" s="66" t="s">
        <v>573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2019-05-22T08:42:31Z</cp:lastPrinted>
  <dcterms:created xsi:type="dcterms:W3CDTF">2010-10-29T12:53:05Z</dcterms:created>
  <dcterms:modified xsi:type="dcterms:W3CDTF">2019-05-22T08:42:48Z</dcterms:modified>
</cp:coreProperties>
</file>