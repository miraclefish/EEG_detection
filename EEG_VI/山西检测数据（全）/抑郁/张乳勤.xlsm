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<sst xmlns="http://schemas.openxmlformats.org/spreadsheetml/2006/main" count="701" uniqueCount="573">
  <si>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</si>
  <si>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</si>
  <si>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</si>
  <si>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</si>
  <si>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</si>
  <si>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</si>
  <si>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</si>
  <si>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</si>
  <si>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</si>
  <si>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</si>
  <si>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</si>
  <si>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</si>
  <si>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</si>
  <si>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</si>
  <si>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</si>
  <si>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</si>
  <si>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</si>
  <si>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</si>
  <si>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</si>
  <si>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</si>
  <si>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</si>
  <si>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</si>
  <si>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</si>
  <si>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</si>
  <si>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</si>
  <si>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</si>
  <si>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</si>
  <si>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</si>
  <si>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</si>
  <si>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</si>
  <si>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</si>
  <si>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</si>
  <si>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</si>
  <si>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</si>
  <si>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</si>
  <si>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</si>
  <si>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</si>
  <si>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</si>
  <si>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</si>
  <si>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</si>
  <si>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</si>
  <si>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</si>
  <si>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</si>
  <si>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</si>
  <si>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</si>
  <si>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</si>
  <si>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</si>
  <si>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</si>
  <si>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</si>
  <si>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</si>
  <si>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</si>
  <si>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</si>
  <si>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</si>
  <si>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</si>
  <si>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</si>
  <si>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</si>
  <si>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</si>
  <si>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</si>
  <si>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</si>
  <si>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</si>
  <si>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</si>
  <si>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</si>
  <si>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</si>
  <si>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</si>
  <si>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</si>
  <si>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</si>
  <si>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</si>
  <si>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</si>
  <si>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</si>
  <si>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</si>
  <si>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</si>
  <si>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</si>
  <si>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</si>
  <si>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</si>
  <si>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</si>
  <si>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</si>
  <si>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</si>
  <si>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</si>
  <si>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</si>
  <si>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</si>
  <si>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</si>
  <si>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</si>
  <si>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</si>
  <si>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</si>
  <si>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</si>
  <si>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</si>
  <si>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</si>
  <si>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</si>
  <si>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</si>
  <si>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</si>
  <si>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</si>
  <si>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</si>
  <si>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</si>
  <si>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</si>
  <si>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</si>
  <si>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</si>
  <si>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</si>
  <si>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</si>
  <si>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</si>
  <si>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</si>
  <si>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</si>
  <si>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</si>
  <si>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</si>
  <si>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</si>
  <si>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</si>
  <si>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</si>
  <si>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</si>
  <si>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</si>
  <si>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</si>
  <si>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</si>
  <si>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</si>
  <si>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</si>
  <si>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</si>
  <si>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</si>
  <si>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</si>
  <si>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</si>
  <si>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</si>
  <si>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</si>
  <si>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</si>
  <si>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</si>
  <si>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</si>
  <si>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</si>
  <si>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</si>
  <si>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</si>
  <si>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</si>
  <si>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</si>
  <si>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</si>
  <si>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</si>
  <si>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</si>
  <si>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</si>
  <si>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</si>
  <si>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</si>
  <si>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</si>
  <si>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</si>
  <si>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</si>
  <si>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</si>
  <si>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</si>
  <si>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</si>
  <si>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</si>
  <si>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</si>
  <si>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</si>
  <si>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</si>
  <si>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</si>
  <si>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</si>
  <si>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</si>
  <si>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</si>
  <si>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</si>
  <si>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</si>
  <si>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</si>
  <si>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</si>
  <si>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</si>
  <si>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</si>
  <si>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</si>
  <si>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</si>
  <si>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</si>
  <si>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</si>
  <si>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</si>
  <si>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</si>
  <si>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</si>
  <si>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</si>
  <si>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</si>
  <si>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</si>
  <si>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</si>
  <si>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</si>
  <si>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</si>
  <si>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</si>
  <si>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</si>
  <si>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</si>
  <si>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</si>
  <si>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</si>
  <si>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</si>
  <si>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</si>
  <si>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</si>
  <si>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</si>
  <si>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</si>
  <si>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</si>
  <si>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</si>
  <si>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</si>
  <si>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</si>
  <si>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</si>
  <si>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</si>
  <si>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</si>
  <si>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</si>
  <si>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</si>
  <si>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</si>
  <si>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</si>
  <si>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</si>
  <si>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</si>
  <si>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</si>
  <si>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</si>
  <si>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</si>
  <si>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</si>
  <si>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</si>
  <si>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</si>
  <si>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</si>
  <si>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</si>
  <si>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</si>
  <si>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</si>
  <si>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</si>
  <si>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</si>
  <si>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</si>
  <si>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</si>
  <si>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</si>
  <si>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</si>
  <si>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</si>
  <si>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</si>
  <si>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</si>
  <si>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</si>
  <si>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</si>
  <si>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</si>
  <si>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</si>
  <si>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</si>
  <si>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</si>
  <si>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</si>
  <si>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</si>
  <si>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</si>
  <si>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</si>
  <si>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</si>
  <si>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</si>
  <si>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</si>
  <si>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</si>
  <si>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</si>
  <si>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</si>
  <si>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</si>
  <si>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</si>
  <si>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</si>
  <si>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</si>
  <si>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</si>
  <si>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</si>
  <si>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</si>
  <si>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</si>
  <si>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</si>
  <si>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</si>
  <si>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</si>
  <si>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</si>
  <si>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</si>
  <si>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</si>
  <si>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</si>
  <si>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</si>
  <si>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</si>
  <si>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</si>
  <si>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</si>
  <si>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</si>
  <si>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</si>
  <si>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</si>
  <si>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</si>
  <si>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</si>
  <si>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</si>
  <si>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</si>
  <si>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</si>
  <si>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</si>
  <si>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</si>
  <si>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</si>
  <si>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</si>
  <si>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</si>
  <si>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</si>
  <si>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</si>
  <si>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</si>
  <si>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</si>
  <si>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</si>
  <si>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</si>
  <si>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</si>
  <si>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</si>
  <si>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</si>
  <si>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</si>
  <si>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</si>
  <si>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</si>
  <si>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</si>
  <si>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</si>
  <si>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</si>
  <si>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</si>
  <si>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</si>
  <si>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</si>
  <si>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</si>
  <si>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</si>
  <si>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</si>
  <si>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</si>
  <si>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</si>
  <si>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</si>
  <si>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</si>
  <si>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</si>
  <si>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</si>
  <si>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</si>
  <si>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</si>
  <si>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</si>
  <si>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</si>
  <si>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</si>
  <si>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</si>
  <si>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</si>
  <si>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</si>
  <si>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</si>
  <si>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</si>
  <si>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</si>
  <si>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</si>
  <si>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</si>
  <si>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</si>
  <si>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</si>
  <si>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</si>
  <si>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</si>
  <si>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</si>
  <si>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</si>
  <si>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</si>
  <si>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</si>
  <si>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</si>
  <si>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</si>
  <si>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</si>
  <si>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</si>
  <si>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</si>
  <si>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</si>
  <si>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</si>
  <si>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</si>
  <si>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</si>
  <si>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</si>
  <si>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</si>
  <si>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</si>
  <si>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</si>
  <si>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</si>
  <si>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</si>
  <si>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</si>
  <si>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</si>
  <si>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</si>
  <si>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</si>
  <si>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</si>
  <si>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</si>
  <si>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</si>
  <si>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</si>
  <si>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</si>
  <si>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</si>
  <si>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</si>
  <si>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</si>
  <si>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</si>
  <si>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</si>
  <si>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</si>
  <si>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</si>
  <si>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</si>
  <si>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</si>
  <si>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</si>
  <si>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</si>
  <si>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</si>
  <si>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</si>
  <si>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</si>
  <si>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</si>
  <si>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</si>
  <si>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</si>
  <si>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</si>
  <si>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</si>
  <si>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</si>
  <si>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</si>
  <si>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</si>
  <si>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</si>
  <si>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</si>
  <si>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</si>
  <si>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</si>
  <si>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</si>
  <si>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</si>
  <si>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</si>
  <si>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</si>
  <si>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</si>
  <si>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</si>
  <si>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</si>
  <si>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</si>
  <si>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</si>
  <si>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</si>
  <si>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</si>
  <si>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</si>
  <si>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</si>
  <si>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</si>
  <si>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</si>
  <si>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</si>
  <si>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</si>
  <si>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</si>
  <si>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</si>
  <si>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</si>
  <si>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</si>
  <si>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</si>
  <si>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</si>
  <si>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</si>
  <si>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</si>
  <si>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</si>
  <si>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</si>
  <si>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</si>
  <si>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</si>
  <si>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</si>
  <si>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</si>
  <si>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</si>
  <si>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</si>
  <si>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</si>
  <si>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</si>
  <si>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</si>
  <si>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</si>
  <si>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</si>
  <si>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</si>
  <si>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</si>
  <si>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</si>
  <si>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</si>
  <si>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</si>
  <si>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</si>
  <si>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</si>
  <si>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</si>
  <si>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</si>
  <si>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</si>
  <si>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</si>
  <si>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</si>
  <si>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</si>
  <si>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</si>
  <si>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</si>
  <si>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</si>
  <si>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</si>
  <si>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</si>
  <si>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[0.404899]</t>
  </si>
  <si>
    <t>1 [0.809885]</t>
  </si>
  <si>
    <t>1 [1.214800]</t>
  </si>
  <si>
    <t>1 [1.620713]</t>
  </si>
  <si>
    <t>1 [2.026741]</t>
  </si>
  <si>
    <t>1 [2.435587]</t>
  </si>
  <si>
    <t>1 [2.842359]</t>
  </si>
  <si>
    <t>1 [3.245339]</t>
  </si>
  <si>
    <t>1 [3.653208]</t>
  </si>
  <si>
    <t>1 [4.058204]</t>
  </si>
  <si>
    <t>1 [4.465308]</t>
  </si>
  <si>
    <t>1 [4.873055]</t>
  </si>
  <si>
    <t>1 [5.279972]</t>
  </si>
  <si>
    <t>1 [5.684830]</t>
  </si>
  <si>
    <t>1 [6.087749]</t>
  </si>
  <si>
    <t>1 [6.494829]</t>
  </si>
  <si>
    <t>1 [6.902554]</t>
  </si>
  <si>
    <t>1 [7.309485]</t>
  </si>
  <si>
    <t>1 [7.715423]</t>
  </si>
  <si>
    <t>1 [8.118388]</t>
  </si>
  <si>
    <t>1 [8.526606]</t>
  </si>
  <si>
    <t>1 [8.934400]</t>
  </si>
  <si>
    <t>1 [9.342237]</t>
  </si>
  <si>
    <t>1 [9.746930]</t>
  </si>
  <si>
    <t>1 [10.154864]</t>
  </si>
  <si>
    <t>1 [10.555868]</t>
  </si>
  <si>
    <t>1 [10.964664]</t>
  </si>
  <si>
    <t>1 [11.373678]</t>
  </si>
  <si>
    <t>1 [11.777537]</t>
  </si>
  <si>
    <t>1 [12.183449]</t>
  </si>
  <si>
    <t>1 [12.588402]</t>
  </si>
  <si>
    <t>1 [12.996477]</t>
  </si>
  <si>
    <t>1 [13.404251]</t>
  </si>
  <si>
    <t>1 [13.808054]</t>
  </si>
  <si>
    <t>1 [14.218143]</t>
  </si>
  <si>
    <t>1 [14.620979]</t>
  </si>
  <si>
    <t>1 [15.025272]</t>
  </si>
  <si>
    <t>1 [15.433893]</t>
  </si>
  <si>
    <t>1 [15.840696]</t>
  </si>
  <si>
    <t>1 [16.244632]</t>
  </si>
  <si>
    <t>1 [16.650729]</t>
  </si>
  <si>
    <t>1 [17.057550]</t>
  </si>
  <si>
    <t>1 [17.465308]</t>
  </si>
  <si>
    <t>1 [17.872191]</t>
  </si>
  <si>
    <t>1 [18.277188]</t>
  </si>
  <si>
    <t>1 [18.686271]</t>
  </si>
  <si>
    <t>1 [19.090931]</t>
  </si>
  <si>
    <t>1 [19.496791]</t>
  </si>
  <si>
    <t>1 [19.901011]</t>
  </si>
  <si>
    <t>1 [20.309628]</t>
  </si>
  <si>
    <t>1 [20.715554]</t>
  </si>
  <si>
    <t>1 [21.120476]</t>
  </si>
  <si>
    <t>1 [21.526479]</t>
  </si>
  <si>
    <t>1 [21.933248]</t>
  </si>
  <si>
    <t>1 [22.335268]</t>
  </si>
  <si>
    <t>1 [22.743197]</t>
  </si>
  <si>
    <t>1 [23.155111]</t>
  </si>
  <si>
    <t>1 [23.556989]</t>
  </si>
  <si>
    <t>1 [23.962942]</t>
  </si>
  <si>
    <t>1 [24.375929]</t>
  </si>
  <si>
    <t>1 [24.778675]</t>
  </si>
  <si>
    <t>1 [25.184701]</t>
  </si>
  <si>
    <t>1 [25.589607]</t>
  </si>
  <si>
    <t>1 [25.992480]</t>
  </si>
  <si>
    <t>1 [26.400747]</t>
  </si>
  <si>
    <t>1 [26.808207]</t>
  </si>
  <si>
    <t>1 [27.215203]</t>
  </si>
  <si>
    <t>1 [27.622099]</t>
  </si>
  <si>
    <t>1 [28.027001]</t>
  </si>
  <si>
    <t>1 [28.433620]</t>
  </si>
  <si>
    <t>1 [28.840848]</t>
  </si>
  <si>
    <t>1 [29.246839]</t>
  </si>
  <si>
    <t>1 [29.652781]</t>
  </si>
  <si>
    <t>2 [30.057620]</t>
  </si>
  <si>
    <t>2 [30.642314]</t>
  </si>
  <si>
    <t>2 [31.020977]</t>
  </si>
  <si>
    <t>2 [31.389293]</t>
  </si>
  <si>
    <t>2 [31.763109]</t>
  </si>
  <si>
    <t>2 [32.157138]</t>
  </si>
  <si>
    <t>2 [32.560094]</t>
  </si>
  <si>
    <t>2 [32.961917]</t>
  </si>
  <si>
    <t>2 [33.371882]</t>
  </si>
  <si>
    <t>2 [33.775844]</t>
  </si>
  <si>
    <t>2 [34.181735]</t>
  </si>
  <si>
    <t>2 [34.588692]</t>
  </si>
  <si>
    <t>2 [34.997417]</t>
  </si>
  <si>
    <t>2 [35.401403]</t>
  </si>
  <si>
    <t>2 [35.809440]</t>
  </si>
  <si>
    <t>2 [36.213224]</t>
  </si>
  <si>
    <t>2 [36.623078]</t>
  </si>
  <si>
    <t>2 [37.030022]</t>
  </si>
  <si>
    <t>2 [37.432983]</t>
  </si>
  <si>
    <t>2 [37.842909]</t>
  </si>
  <si>
    <t>2 [38.249732]</t>
  </si>
  <si>
    <t>2 [38.659579]</t>
  </si>
  <si>
    <t>2 [39.059622]</t>
  </si>
  <si>
    <t>2 [39.463892]</t>
  </si>
  <si>
    <t>2 [39.870960]</t>
  </si>
  <si>
    <t>2 [40.281295]</t>
  </si>
  <si>
    <t>2 [40.687256]</t>
  </si>
  <si>
    <t>2 [41.093229]</t>
  </si>
  <si>
    <t>2 [41.498109]</t>
  </si>
  <si>
    <t>2 [41.901433]</t>
  </si>
  <si>
    <t>2 [42.308493]</t>
  </si>
  <si>
    <t>2 [42.712817]</t>
  </si>
  <si>
    <t>2 [43.126780]</t>
  </si>
  <si>
    <t>2 [43.525660]</t>
  </si>
  <si>
    <t>2 [43.937776]</t>
  </si>
  <si>
    <t>2 [44.340933]</t>
  </si>
  <si>
    <t>2 [44.746517]</t>
  </si>
  <si>
    <t>2 [45.153699]</t>
  </si>
  <si>
    <t>2 [45.557231]</t>
  </si>
  <si>
    <t>2 [45.962133]</t>
  </si>
  <si>
    <t>2 [46.372027]</t>
  </si>
  <si>
    <t>2 [46.777038]</t>
  </si>
  <si>
    <t>2 [47.184200]</t>
  </si>
  <si>
    <t>2 [47.588827]</t>
  </si>
  <si>
    <t>2 [47.994718]</t>
  </si>
  <si>
    <t>2 [48.401012]</t>
  </si>
  <si>
    <t>2 [48.807461]</t>
  </si>
  <si>
    <t>2 [49.217697]</t>
  </si>
  <si>
    <t>2 [49.624323]</t>
  </si>
  <si>
    <t>2 [50.027281]</t>
  </si>
  <si>
    <t>2 [50.432252]</t>
  </si>
  <si>
    <t>2 [50.837167]</t>
  </si>
  <si>
    <t>2 [51.246330]</t>
  </si>
  <si>
    <t>2 [51.651245]</t>
  </si>
  <si>
    <t>2 [52.056903]</t>
  </si>
  <si>
    <t>2 [52.465763]</t>
  </si>
  <si>
    <t>2 [52.869707]</t>
  </si>
  <si>
    <t>2 [53.276584]</t>
  </si>
  <si>
    <t>2 [53.687444]</t>
  </si>
  <si>
    <t>2 [54.095386]</t>
  </si>
  <si>
    <t>2 [54.496429]</t>
  </si>
  <si>
    <t>2 [54.902272]</t>
  </si>
  <si>
    <t>2 [55.310602]</t>
  </si>
  <si>
    <t>2 [55.715105]</t>
  </si>
  <si>
    <t>2 [56.121960]</t>
  </si>
  <si>
    <t>2 [56.527833]</t>
  </si>
  <si>
    <t>2 [56.934825]</t>
  </si>
  <si>
    <t>2 [57.341675]</t>
  </si>
  <si>
    <t>2 [57.746910]</t>
  </si>
  <si>
    <t>2 [58.156502]</t>
  </si>
  <si>
    <t>2 [58.563393]</t>
  </si>
  <si>
    <t>2 [58.967627]</t>
  </si>
  <si>
    <t>2 [59.370335]</t>
  </si>
  <si>
    <t>2 [59.775279]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</si>
  <si>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</si>
  <si>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</si>
  <si>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</si>
  <si>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</si>
  <si>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</si>
  <si>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</si>
  <si>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</si>
  <si>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</si>
  <si>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</si>
  <si>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</si>
  <si>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</si>
  <si>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</si>
  <si>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</si>
  <si>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</si>
  <si>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</si>
  <si>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</si>
  <si>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张乳勤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</si>
</sst>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40.887500000000003</c:v>
                </c:pt>
                <c:pt idx="1">
                  <c:v>29.0045</c:v>
                </c:pt>
                <c:pt idx="2">
                  <c:v>28.190200000000001</c:v>
                </c:pt>
                <c:pt idx="3">
                  <c:v>31.984300000000001</c:v>
                </c:pt>
                <c:pt idx="4">
                  <c:v>51.759799999999998</c:v>
                </c:pt>
                <c:pt idx="5">
                  <c:v>69.613399999999999</c:v>
                </c:pt>
                <c:pt idx="6">
                  <c:v>16.790600000000001</c:v>
                </c:pt>
                <c:pt idx="7">
                  <c:v>62.220199999999998</c:v>
                </c:pt>
                <c:pt idx="8">
                  <c:v>18.446300000000001</c:v>
                </c:pt>
                <c:pt idx="9">
                  <c:v>42.354500000000002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0.44327633916533071</c:v>
                </c:pt>
                <c:pt idx="1">
                  <c:v>0.28772457864923084</c:v>
                </c:pt>
                <c:pt idx="2">
                  <c:v>0.26899908218543833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11433</c:v>
                </c:pt>
                <c:pt idx="7">
                  <c:v>0</c:v>
                </c:pt>
                <c:pt idx="8">
                  <c:v>22259</c:v>
                </c:pt>
                <c:pt idx="9">
                  <c:v>0</c:v>
                </c:pt>
                <c:pt idx="10">
                  <c:v>0</c:v>
                </c:pt>
                <c:pt idx="11">
                  <c:v>31222</c:v>
                </c:pt>
                <c:pt idx="12">
                  <c:v>0</c:v>
                </c:pt>
                <c:pt idx="13">
                  <c:v>41952</c:v>
                </c:pt>
                <c:pt idx="14">
                  <c:v>0</c:v>
                </c:pt>
                <c:pt idx="15">
                  <c:v>0</c:v>
                </c:pt>
                <c:pt idx="16">
                  <c:v>50981</c:v>
                </c:pt>
                <c:pt idx="17">
                  <c:v>0</c:v>
                </c:pt>
                <c:pt idx="18">
                  <c:v>0</c:v>
                </c:pt>
                <c:pt idx="19">
                  <c:v>70069</c:v>
                </c:pt>
                <c:pt idx="20">
                  <c:v>0</c:v>
                </c:pt>
                <c:pt idx="21">
                  <c:v>91925</c:v>
                </c:pt>
                <c:pt idx="22">
                  <c:v>0</c:v>
                </c:pt>
                <c:pt idx="23">
                  <c:v>0</c:v>
                </c:pt>
                <c:pt idx="24">
                  <c:v>95464</c:v>
                </c:pt>
                <c:pt idx="25">
                  <c:v>0</c:v>
                </c:pt>
                <c:pt idx="26">
                  <c:v>79858</c:v>
                </c:pt>
                <c:pt idx="27">
                  <c:v>0</c:v>
                </c:pt>
                <c:pt idx="28">
                  <c:v>0</c:v>
                </c:pt>
                <c:pt idx="29">
                  <c:v>83384</c:v>
                </c:pt>
                <c:pt idx="30">
                  <c:v>0</c:v>
                </c:pt>
                <c:pt idx="31">
                  <c:v>93019</c:v>
                </c:pt>
                <c:pt idx="32">
                  <c:v>0</c:v>
                </c:pt>
                <c:pt idx="33">
                  <c:v>0</c:v>
                </c:pt>
                <c:pt idx="34">
                  <c:v>90080</c:v>
                </c:pt>
                <c:pt idx="35">
                  <c:v>0</c:v>
                </c:pt>
                <c:pt idx="36">
                  <c:v>0</c:v>
                </c:pt>
                <c:pt idx="37">
                  <c:v>89339</c:v>
                </c:pt>
                <c:pt idx="38">
                  <c:v>0</c:v>
                </c:pt>
                <c:pt idx="39">
                  <c:v>98006</c:v>
                </c:pt>
                <c:pt idx="40">
                  <c:v>0</c:v>
                </c:pt>
                <c:pt idx="41">
                  <c:v>0</c:v>
                </c:pt>
                <c:pt idx="42">
                  <c:v>92570</c:v>
                </c:pt>
                <c:pt idx="43">
                  <c:v>0</c:v>
                </c:pt>
                <c:pt idx="44">
                  <c:v>95841</c:v>
                </c:pt>
                <c:pt idx="45">
                  <c:v>0</c:v>
                </c:pt>
                <c:pt idx="46">
                  <c:v>0</c:v>
                </c:pt>
                <c:pt idx="47">
                  <c:v>94769</c:v>
                </c:pt>
                <c:pt idx="48">
                  <c:v>0</c:v>
                </c:pt>
                <c:pt idx="49">
                  <c:v>87461</c:v>
                </c:pt>
                <c:pt idx="50">
                  <c:v>0</c:v>
                </c:pt>
                <c:pt idx="51">
                  <c:v>0</c:v>
                </c:pt>
                <c:pt idx="52">
                  <c:v>90995</c:v>
                </c:pt>
                <c:pt idx="53">
                  <c:v>0</c:v>
                </c:pt>
                <c:pt idx="54">
                  <c:v>0</c:v>
                </c:pt>
                <c:pt idx="55">
                  <c:v>100428</c:v>
                </c:pt>
                <c:pt idx="56">
                  <c:v>0</c:v>
                </c:pt>
                <c:pt idx="57">
                  <c:v>101314</c:v>
                </c:pt>
                <c:pt idx="58">
                  <c:v>0</c:v>
                </c:pt>
                <c:pt idx="59">
                  <c:v>0</c:v>
                </c:pt>
                <c:pt idx="60">
                  <c:v>114860</c:v>
                </c:pt>
                <c:pt idx="61">
                  <c:v>0</c:v>
                </c:pt>
                <c:pt idx="62">
                  <c:v>124708</c:v>
                </c:pt>
                <c:pt idx="63">
                  <c:v>0</c:v>
                </c:pt>
                <c:pt idx="64">
                  <c:v>0</c:v>
                </c:pt>
                <c:pt idx="65">
                  <c:v>126591</c:v>
                </c:pt>
                <c:pt idx="66">
                  <c:v>0</c:v>
                </c:pt>
                <c:pt idx="67">
                  <c:v>122244</c:v>
                </c:pt>
                <c:pt idx="68">
                  <c:v>0</c:v>
                </c:pt>
                <c:pt idx="69">
                  <c:v>0</c:v>
                </c:pt>
                <c:pt idx="70">
                  <c:v>115523</c:v>
                </c:pt>
                <c:pt idx="71">
                  <c:v>0</c:v>
                </c:pt>
                <c:pt idx="72">
                  <c:v>0</c:v>
                </c:pt>
                <c:pt idx="73">
                  <c:v>116220</c:v>
                </c:pt>
                <c:pt idx="74">
                  <c:v>0</c:v>
                </c:pt>
                <c:pt idx="75">
                  <c:v>112883</c:v>
                </c:pt>
                <c:pt idx="76">
                  <c:v>0</c:v>
                </c:pt>
                <c:pt idx="77">
                  <c:v>0</c:v>
                </c:pt>
                <c:pt idx="78">
                  <c:v>113711</c:v>
                </c:pt>
                <c:pt idx="79">
                  <c:v>0</c:v>
                </c:pt>
                <c:pt idx="80">
                  <c:v>124500</c:v>
                </c:pt>
                <c:pt idx="81">
                  <c:v>0</c:v>
                </c:pt>
                <c:pt idx="82">
                  <c:v>0</c:v>
                </c:pt>
                <c:pt idx="83">
                  <c:v>135064</c:v>
                </c:pt>
                <c:pt idx="84">
                  <c:v>0</c:v>
                </c:pt>
                <c:pt idx="85">
                  <c:v>0</c:v>
                </c:pt>
                <c:pt idx="86">
                  <c:v>140266</c:v>
                </c:pt>
                <c:pt idx="87">
                  <c:v>0</c:v>
                </c:pt>
                <c:pt idx="88">
                  <c:v>140546</c:v>
                </c:pt>
                <c:pt idx="89">
                  <c:v>0</c:v>
                </c:pt>
                <c:pt idx="90">
                  <c:v>0</c:v>
                </c:pt>
                <c:pt idx="91">
                  <c:v>147088</c:v>
                </c:pt>
                <c:pt idx="92">
                  <c:v>0</c:v>
                </c:pt>
                <c:pt idx="93">
                  <c:v>144735</c:v>
                </c:pt>
                <c:pt idx="94">
                  <c:v>0</c:v>
                </c:pt>
                <c:pt idx="95">
                  <c:v>0</c:v>
                </c:pt>
                <c:pt idx="96">
                  <c:v>137747</c:v>
                </c:pt>
                <c:pt idx="97">
                  <c:v>0</c:v>
                </c:pt>
                <c:pt idx="98">
                  <c:v>128896</c:v>
                </c:pt>
                <c:pt idx="99">
                  <c:v>0</c:v>
                </c:pt>
                <c:pt idx="100">
                  <c:v>0</c:v>
                </c:pt>
                <c:pt idx="101">
                  <c:v>122539</c:v>
                </c:pt>
                <c:pt idx="102">
                  <c:v>0</c:v>
                </c:pt>
                <c:pt idx="103">
                  <c:v>0</c:v>
                </c:pt>
                <c:pt idx="104">
                  <c:v>106336</c:v>
                </c:pt>
                <c:pt idx="105">
                  <c:v>0</c:v>
                </c:pt>
                <c:pt idx="106">
                  <c:v>105359</c:v>
                </c:pt>
                <c:pt idx="107">
                  <c:v>0</c:v>
                </c:pt>
                <c:pt idx="108">
                  <c:v>0</c:v>
                </c:pt>
                <c:pt idx="109">
                  <c:v>97830</c:v>
                </c:pt>
                <c:pt idx="110">
                  <c:v>0</c:v>
                </c:pt>
                <c:pt idx="111">
                  <c:v>90142</c:v>
                </c:pt>
                <c:pt idx="112">
                  <c:v>0</c:v>
                </c:pt>
                <c:pt idx="113">
                  <c:v>0</c:v>
                </c:pt>
                <c:pt idx="114">
                  <c:v>87043</c:v>
                </c:pt>
                <c:pt idx="115">
                  <c:v>0</c:v>
                </c:pt>
                <c:pt idx="116">
                  <c:v>72929</c:v>
                </c:pt>
                <c:pt idx="117">
                  <c:v>0</c:v>
                </c:pt>
                <c:pt idx="118">
                  <c:v>0</c:v>
                </c:pt>
                <c:pt idx="119">
                  <c:v>65839</c:v>
                </c:pt>
                <c:pt idx="120">
                  <c:v>0</c:v>
                </c:pt>
                <c:pt idx="121">
                  <c:v>0</c:v>
                </c:pt>
                <c:pt idx="122">
                  <c:v>62094</c:v>
                </c:pt>
                <c:pt idx="123">
                  <c:v>0</c:v>
                </c:pt>
                <c:pt idx="124">
                  <c:v>52805</c:v>
                </c:pt>
                <c:pt idx="125">
                  <c:v>0</c:v>
                </c:pt>
                <c:pt idx="126">
                  <c:v>0</c:v>
                </c:pt>
                <c:pt idx="127">
                  <c:v>46238</c:v>
                </c:pt>
                <c:pt idx="128">
                  <c:v>0</c:v>
                </c:pt>
                <c:pt idx="129">
                  <c:v>33066</c:v>
                </c:pt>
                <c:pt idx="130">
                  <c:v>0</c:v>
                </c:pt>
                <c:pt idx="131">
                  <c:v>0</c:v>
                </c:pt>
                <c:pt idx="132">
                  <c:v>24662</c:v>
                </c:pt>
                <c:pt idx="133">
                  <c:v>0</c:v>
                </c:pt>
                <c:pt idx="134">
                  <c:v>19010</c:v>
                </c:pt>
                <c:pt idx="135">
                  <c:v>0</c:v>
                </c:pt>
                <c:pt idx="136">
                  <c:v>0</c:v>
                </c:pt>
                <c:pt idx="137">
                  <c:v>13436</c:v>
                </c:pt>
                <c:pt idx="138">
                  <c:v>0</c:v>
                </c:pt>
                <c:pt idx="139">
                  <c:v>0</c:v>
                </c:pt>
                <c:pt idx="140">
                  <c:v>9647</c:v>
                </c:pt>
                <c:pt idx="141">
                  <c:v>0</c:v>
                </c:pt>
                <c:pt idx="142">
                  <c:v>5574</c:v>
                </c:pt>
                <c:pt idx="143">
                  <c:v>0</c:v>
                </c:pt>
                <c:pt idx="144">
                  <c:v>0</c:v>
                </c:pt>
                <c:pt idx="145">
                  <c:v>4328</c:v>
                </c:pt>
                <c:pt idx="146">
                  <c:v>0</c:v>
                </c:pt>
                <c:pt idx="147">
                  <c:v>2815</c:v>
                </c:pt>
                <c:pt idx="148">
                  <c:v>0</c:v>
                </c:pt>
                <c:pt idx="149">
                  <c:v>0</c:v>
                </c:pt>
                <c:pt idx="150">
                  <c:v>1719</c:v>
                </c:pt>
                <c:pt idx="151">
                  <c:v>0</c:v>
                </c:pt>
                <c:pt idx="152">
                  <c:v>1249</c:v>
                </c:pt>
                <c:pt idx="153">
                  <c:v>0</c:v>
                </c:pt>
                <c:pt idx="154">
                  <c:v>0</c:v>
                </c:pt>
                <c:pt idx="155">
                  <c:v>759</c:v>
                </c:pt>
                <c:pt idx="156">
                  <c:v>0</c:v>
                </c:pt>
                <c:pt idx="157">
                  <c:v>0</c:v>
                </c:pt>
                <c:pt idx="158">
                  <c:v>459</c:v>
                </c:pt>
                <c:pt idx="159">
                  <c:v>0</c:v>
                </c:pt>
                <c:pt idx="160">
                  <c:v>235</c:v>
                </c:pt>
                <c:pt idx="161">
                  <c:v>0</c:v>
                </c:pt>
                <c:pt idx="162">
                  <c:v>0</c:v>
                </c:pt>
                <c:pt idx="163">
                  <c:v>317</c:v>
                </c:pt>
                <c:pt idx="164">
                  <c:v>0</c:v>
                </c:pt>
                <c:pt idx="165">
                  <c:v>197</c:v>
                </c:pt>
                <c:pt idx="166">
                  <c:v>0</c:v>
                </c:pt>
                <c:pt idx="167">
                  <c:v>0</c:v>
                </c:pt>
                <c:pt idx="168">
                  <c:v>120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  <c:pt idx="74">
                  <c:v>2.8545799999999999</c:v>
                </c:pt>
                <c:pt idx="75">
                  <c:v>2.8534300000000004</c:v>
                </c:pt>
                <c:pt idx="76">
                  <c:v>2.8488799999999999</c:v>
                </c:pt>
                <c:pt idx="77">
                  <c:v>2.8426200000000001</c:v>
                </c:pt>
                <c:pt idx="78">
                  <c:v>2.8351999999999999</c:v>
                </c:pt>
                <c:pt idx="79">
                  <c:v>2.8269899999999999</c:v>
                </c:pt>
                <c:pt idx="80">
                  <c:v>2.8196599999999998</c:v>
                </c:pt>
                <c:pt idx="81">
                  <c:v>2.8144200000000001</c:v>
                </c:pt>
                <c:pt idx="82">
                  <c:v>2.8149500000000001</c:v>
                </c:pt>
                <c:pt idx="83">
                  <c:v>2.8168199999999999</c:v>
                </c:pt>
                <c:pt idx="84">
                  <c:v>2.8167399999999998</c:v>
                </c:pt>
                <c:pt idx="85">
                  <c:v>2.8151599999999997</c:v>
                </c:pt>
                <c:pt idx="86">
                  <c:v>2.8116000000000003</c:v>
                </c:pt>
                <c:pt idx="87">
                  <c:v>2.8050899999999999</c:v>
                </c:pt>
                <c:pt idx="88">
                  <c:v>2.79501</c:v>
                </c:pt>
                <c:pt idx="89">
                  <c:v>2.7859299999999996</c:v>
                </c:pt>
                <c:pt idx="90">
                  <c:v>2.7741199999999999</c:v>
                </c:pt>
                <c:pt idx="91">
                  <c:v>2.7572700000000001</c:v>
                </c:pt>
                <c:pt idx="92">
                  <c:v>2.7369599999999998</c:v>
                </c:pt>
                <c:pt idx="93">
                  <c:v>2.7163900000000001</c:v>
                </c:pt>
                <c:pt idx="94">
                  <c:v>2.6966400000000004</c:v>
                </c:pt>
                <c:pt idx="95">
                  <c:v>2.6814200000000001</c:v>
                </c:pt>
                <c:pt idx="96">
                  <c:v>2.6674899999999999</c:v>
                </c:pt>
                <c:pt idx="97">
                  <c:v>2.6576499999999998</c:v>
                </c:pt>
                <c:pt idx="98">
                  <c:v>2.6498200000000001</c:v>
                </c:pt>
                <c:pt idx="99">
                  <c:v>2.64208</c:v>
                </c:pt>
                <c:pt idx="100">
                  <c:v>2.6354699999999998</c:v>
                </c:pt>
                <c:pt idx="101">
                  <c:v>2.6311600000000004</c:v>
                </c:pt>
                <c:pt idx="102">
                  <c:v>2.6271599999999999</c:v>
                </c:pt>
                <c:pt idx="103">
                  <c:v>2.6245000000000003</c:v>
                </c:pt>
                <c:pt idx="104">
                  <c:v>2.6254599999999999</c:v>
                </c:pt>
                <c:pt idx="105">
                  <c:v>2.63239</c:v>
                </c:pt>
                <c:pt idx="106">
                  <c:v>2.64377</c:v>
                </c:pt>
                <c:pt idx="107">
                  <c:v>2.65523</c:v>
                </c:pt>
                <c:pt idx="108">
                  <c:v>2.6664500000000002</c:v>
                </c:pt>
                <c:pt idx="109">
                  <c:v>2.6789899999999998</c:v>
                </c:pt>
                <c:pt idx="110">
                  <c:v>2.6941199999999998</c:v>
                </c:pt>
                <c:pt idx="111">
                  <c:v>2.7095500000000001</c:v>
                </c:pt>
                <c:pt idx="112">
                  <c:v>2.7237899999999997</c:v>
                </c:pt>
                <c:pt idx="113">
                  <c:v>2.7383600000000001</c:v>
                </c:pt>
                <c:pt idx="114">
                  <c:v>2.7535700000000003</c:v>
                </c:pt>
                <c:pt idx="115">
                  <c:v>2.7712700000000003</c:v>
                </c:pt>
                <c:pt idx="116">
                  <c:v>2.79582</c:v>
                </c:pt>
                <c:pt idx="117">
                  <c:v>2.8255699999999999</c:v>
                </c:pt>
                <c:pt idx="118">
                  <c:v>2.8563200000000002</c:v>
                </c:pt>
                <c:pt idx="119">
                  <c:v>2.8874599999999999</c:v>
                </c:pt>
                <c:pt idx="120">
                  <c:v>2.9172500000000001</c:v>
                </c:pt>
                <c:pt idx="121">
                  <c:v>2.9472900000000002</c:v>
                </c:pt>
                <c:pt idx="122">
                  <c:v>2.9770600000000003</c:v>
                </c:pt>
                <c:pt idx="123">
                  <c:v>3.0059900000000002</c:v>
                </c:pt>
                <c:pt idx="124">
                  <c:v>3.0177999999999998</c:v>
                </c:pt>
                <c:pt idx="125">
                  <c:v>3.0314000000000001</c:v>
                </c:pt>
                <c:pt idx="126">
                  <c:v>3.04617</c:v>
                </c:pt>
                <c:pt idx="127">
                  <c:v>3.0627199999999997</c:v>
                </c:pt>
                <c:pt idx="128">
                  <c:v>3.0783800000000001</c:v>
                </c:pt>
                <c:pt idx="129">
                  <c:v>3.09307</c:v>
                </c:pt>
                <c:pt idx="130">
                  <c:v>3.1049100000000003</c:v>
                </c:pt>
                <c:pt idx="131">
                  <c:v>3.1160300000000003</c:v>
                </c:pt>
                <c:pt idx="132">
                  <c:v>3.1269200000000001</c:v>
                </c:pt>
                <c:pt idx="133">
                  <c:v>3.13889</c:v>
                </c:pt>
                <c:pt idx="134">
                  <c:v>3.1519500000000003</c:v>
                </c:pt>
                <c:pt idx="135">
                  <c:v>3.16486</c:v>
                </c:pt>
                <c:pt idx="136">
                  <c:v>3.1783399999999999</c:v>
                </c:pt>
                <c:pt idx="137">
                  <c:v>3.1949300000000003</c:v>
                </c:pt>
                <c:pt idx="138">
                  <c:v>3.2153999999999998</c:v>
                </c:pt>
                <c:pt idx="139">
                  <c:v>3.2386999999999997</c:v>
                </c:pt>
                <c:pt idx="140">
                  <c:v>3.2637800000000001</c:v>
                </c:pt>
                <c:pt idx="141">
                  <c:v>3.2859400000000001</c:v>
                </c:pt>
                <c:pt idx="142">
                  <c:v>3.3051000000000004</c:v>
                </c:pt>
                <c:pt idx="143">
                  <c:v>3.3264</c:v>
                </c:pt>
                <c:pt idx="144">
                  <c:v>3.3482600000000002</c:v>
                </c:pt>
                <c:pt idx="145">
                  <c:v>3.3660600000000001</c:v>
                </c:pt>
                <c:pt idx="146">
                  <c:v>3.3776299999999999</c:v>
                </c:pt>
                <c:pt idx="147">
                  <c:v>3.3742800000000002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  <c:pt idx="74">
                  <c:v>38.431199999999997</c:v>
                </c:pt>
                <c:pt idx="75">
                  <c:v>38.116799999999998</c:v>
                </c:pt>
                <c:pt idx="76">
                  <c:v>37.936999999999998</c:v>
                </c:pt>
                <c:pt idx="77">
                  <c:v>37.784199999999998</c:v>
                </c:pt>
                <c:pt idx="78">
                  <c:v>37.801400000000001</c:v>
                </c:pt>
                <c:pt idx="79">
                  <c:v>37.920300000000005</c:v>
                </c:pt>
                <c:pt idx="80">
                  <c:v>38.058799999999998</c:v>
                </c:pt>
                <c:pt idx="81">
                  <c:v>38.199199999999998</c:v>
                </c:pt>
                <c:pt idx="82">
                  <c:v>38.324200000000005</c:v>
                </c:pt>
                <c:pt idx="83">
                  <c:v>38.453600000000002</c:v>
                </c:pt>
                <c:pt idx="84">
                  <c:v>38.654800000000002</c:v>
                </c:pt>
                <c:pt idx="85">
                  <c:v>38.872</c:v>
                </c:pt>
                <c:pt idx="86">
                  <c:v>39.149799999999999</c:v>
                </c:pt>
                <c:pt idx="87">
                  <c:v>39.505800000000001</c:v>
                </c:pt>
                <c:pt idx="88">
                  <c:v>40.000999999999998</c:v>
                </c:pt>
                <c:pt idx="89">
                  <c:v>40.523600000000002</c:v>
                </c:pt>
                <c:pt idx="90">
                  <c:v>41.108600000000003</c:v>
                </c:pt>
                <c:pt idx="91">
                  <c:v>41.740200000000002</c:v>
                </c:pt>
                <c:pt idx="92">
                  <c:v>42.392099999999999</c:v>
                </c:pt>
                <c:pt idx="93">
                  <c:v>43.063800000000001</c:v>
                </c:pt>
                <c:pt idx="94">
                  <c:v>43.855600000000003</c:v>
                </c:pt>
                <c:pt idx="95">
                  <c:v>44.799099999999996</c:v>
                </c:pt>
                <c:pt idx="96">
                  <c:v>45.924900000000001</c:v>
                </c:pt>
                <c:pt idx="97">
                  <c:v>47.020600000000002</c:v>
                </c:pt>
                <c:pt idx="98">
                  <c:v>47.967700000000001</c:v>
                </c:pt>
                <c:pt idx="99">
                  <c:v>48.787000000000006</c:v>
                </c:pt>
                <c:pt idx="100">
                  <c:v>49.490400000000001</c:v>
                </c:pt>
                <c:pt idx="101">
                  <c:v>50.121899999999997</c:v>
                </c:pt>
                <c:pt idx="102">
                  <c:v>50.737900000000003</c:v>
                </c:pt>
                <c:pt idx="103">
                  <c:v>51.173699999999997</c:v>
                </c:pt>
                <c:pt idx="104">
                  <c:v>51.3718</c:v>
                </c:pt>
                <c:pt idx="105">
                  <c:v>51.3645</c:v>
                </c:pt>
                <c:pt idx="106">
                  <c:v>51.228300000000004</c:v>
                </c:pt>
                <c:pt idx="107">
                  <c:v>51.066900000000004</c:v>
                </c:pt>
                <c:pt idx="108">
                  <c:v>50.897999999999996</c:v>
                </c:pt>
                <c:pt idx="109">
                  <c:v>50.679099999999998</c:v>
                </c:pt>
                <c:pt idx="110">
                  <c:v>50.359900000000003</c:v>
                </c:pt>
                <c:pt idx="111">
                  <c:v>50.0246</c:v>
                </c:pt>
                <c:pt idx="112">
                  <c:v>49.6952</c:v>
                </c:pt>
                <c:pt idx="113">
                  <c:v>49.336600000000004</c:v>
                </c:pt>
                <c:pt idx="114">
                  <c:v>48.953400000000002</c:v>
                </c:pt>
                <c:pt idx="115">
                  <c:v>48.540399999999998</c:v>
                </c:pt>
                <c:pt idx="116">
                  <c:v>48.063699999999997</c:v>
                </c:pt>
                <c:pt idx="117">
                  <c:v>47.527099999999997</c:v>
                </c:pt>
                <c:pt idx="118">
                  <c:v>46.993299999999998</c:v>
                </c:pt>
                <c:pt idx="119">
                  <c:v>46.4116</c:v>
                </c:pt>
                <c:pt idx="120">
                  <c:v>45.698699999999995</c:v>
                </c:pt>
                <c:pt idx="121">
                  <c:v>44.956400000000002</c:v>
                </c:pt>
                <c:pt idx="122">
                  <c:v>44.188200000000002</c:v>
                </c:pt>
                <c:pt idx="123">
                  <c:v>43.499500000000005</c:v>
                </c:pt>
                <c:pt idx="124">
                  <c:v>43.242000000000004</c:v>
                </c:pt>
                <c:pt idx="125">
                  <c:v>42.9574</c:v>
                </c:pt>
                <c:pt idx="126">
                  <c:v>42.671399999999998</c:v>
                </c:pt>
                <c:pt idx="127">
                  <c:v>42.414000000000001</c:v>
                </c:pt>
                <c:pt idx="128">
                  <c:v>42.179200000000002</c:v>
                </c:pt>
                <c:pt idx="129">
                  <c:v>41.962899999999998</c:v>
                </c:pt>
                <c:pt idx="130">
                  <c:v>41.737900000000003</c:v>
                </c:pt>
                <c:pt idx="131">
                  <c:v>41.500900000000001</c:v>
                </c:pt>
                <c:pt idx="132">
                  <c:v>41.247699999999995</c:v>
                </c:pt>
                <c:pt idx="133">
                  <c:v>40.963200000000001</c:v>
                </c:pt>
                <c:pt idx="134">
                  <c:v>40.645900000000005</c:v>
                </c:pt>
                <c:pt idx="135">
                  <c:v>40.374900000000004</c:v>
                </c:pt>
                <c:pt idx="136">
                  <c:v>40.098099999999995</c:v>
                </c:pt>
                <c:pt idx="137">
                  <c:v>39.807900000000004</c:v>
                </c:pt>
                <c:pt idx="138">
                  <c:v>39.486900000000006</c:v>
                </c:pt>
                <c:pt idx="139">
                  <c:v>39.119199999999999</c:v>
                </c:pt>
                <c:pt idx="140">
                  <c:v>38.722799999999999</c:v>
                </c:pt>
                <c:pt idx="141">
                  <c:v>38.305399999999999</c:v>
                </c:pt>
                <c:pt idx="142">
                  <c:v>38.001600000000003</c:v>
                </c:pt>
                <c:pt idx="143">
                  <c:v>37.753300000000003</c:v>
                </c:pt>
                <c:pt idx="144">
                  <c:v>37.522299999999994</c:v>
                </c:pt>
                <c:pt idx="145">
                  <c:v>37.482300000000002</c:v>
                </c:pt>
                <c:pt idx="146">
                  <c:v>37.410399999999996</c:v>
                </c:pt>
                <c:pt idx="147">
                  <c:v>37.542400000000001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2.85547</c:v>
                </c:pt>
                <c:pt idx="1">
                  <c:v>2.8545799999999999</c:v>
                </c:pt>
                <c:pt idx="2">
                  <c:v>2.8534300000000004</c:v>
                </c:pt>
                <c:pt idx="3">
                  <c:v>2.8488799999999999</c:v>
                </c:pt>
                <c:pt idx="4">
                  <c:v>2.8426200000000001</c:v>
                </c:pt>
                <c:pt idx="5">
                  <c:v>2.8351999999999999</c:v>
                </c:pt>
                <c:pt idx="6">
                  <c:v>2.8269899999999999</c:v>
                </c:pt>
                <c:pt idx="7">
                  <c:v>2.8196599999999998</c:v>
                </c:pt>
                <c:pt idx="8">
                  <c:v>2.8144200000000001</c:v>
                </c:pt>
                <c:pt idx="9">
                  <c:v>2.8149500000000001</c:v>
                </c:pt>
                <c:pt idx="10">
                  <c:v>2.8168199999999999</c:v>
                </c:pt>
                <c:pt idx="11">
                  <c:v>2.8167399999999998</c:v>
                </c:pt>
                <c:pt idx="12">
                  <c:v>2.8151599999999997</c:v>
                </c:pt>
                <c:pt idx="13">
                  <c:v>2.8116000000000003</c:v>
                </c:pt>
                <c:pt idx="14">
                  <c:v>2.8050899999999999</c:v>
                </c:pt>
                <c:pt idx="15">
                  <c:v>2.79501</c:v>
                </c:pt>
                <c:pt idx="16">
                  <c:v>2.7859299999999996</c:v>
                </c:pt>
                <c:pt idx="17">
                  <c:v>2.7741199999999999</c:v>
                </c:pt>
                <c:pt idx="18">
                  <c:v>2.7572700000000001</c:v>
                </c:pt>
                <c:pt idx="19">
                  <c:v>2.7369599999999998</c:v>
                </c:pt>
                <c:pt idx="20">
                  <c:v>2.7163900000000001</c:v>
                </c:pt>
                <c:pt idx="21">
                  <c:v>2.6966400000000004</c:v>
                </c:pt>
                <c:pt idx="22">
                  <c:v>2.6814200000000001</c:v>
                </c:pt>
                <c:pt idx="23">
                  <c:v>2.6674899999999999</c:v>
                </c:pt>
                <c:pt idx="24">
                  <c:v>2.6576499999999998</c:v>
                </c:pt>
                <c:pt idx="25">
                  <c:v>2.6498200000000001</c:v>
                </c:pt>
                <c:pt idx="26">
                  <c:v>2.64208</c:v>
                </c:pt>
                <c:pt idx="27">
                  <c:v>2.6354699999999998</c:v>
                </c:pt>
                <c:pt idx="28">
                  <c:v>2.6311600000000004</c:v>
                </c:pt>
                <c:pt idx="29">
                  <c:v>2.6271599999999999</c:v>
                </c:pt>
                <c:pt idx="30">
                  <c:v>2.6245000000000003</c:v>
                </c:pt>
                <c:pt idx="31">
                  <c:v>2.6254599999999999</c:v>
                </c:pt>
                <c:pt idx="32">
                  <c:v>2.63239</c:v>
                </c:pt>
                <c:pt idx="33">
                  <c:v>2.64377</c:v>
                </c:pt>
                <c:pt idx="34">
                  <c:v>2.65523</c:v>
                </c:pt>
                <c:pt idx="35">
                  <c:v>2.6664500000000002</c:v>
                </c:pt>
                <c:pt idx="36">
                  <c:v>2.6789899999999998</c:v>
                </c:pt>
                <c:pt idx="37">
                  <c:v>2.6941199999999998</c:v>
                </c:pt>
                <c:pt idx="38">
                  <c:v>2.7095500000000001</c:v>
                </c:pt>
                <c:pt idx="39">
                  <c:v>2.7237899999999997</c:v>
                </c:pt>
                <c:pt idx="40">
                  <c:v>2.7383600000000001</c:v>
                </c:pt>
                <c:pt idx="41">
                  <c:v>2.7535700000000003</c:v>
                </c:pt>
                <c:pt idx="42">
                  <c:v>2.7712700000000003</c:v>
                </c:pt>
                <c:pt idx="43">
                  <c:v>2.79582</c:v>
                </c:pt>
                <c:pt idx="44">
                  <c:v>2.8255699999999999</c:v>
                </c:pt>
                <c:pt idx="45">
                  <c:v>2.8563200000000002</c:v>
                </c:pt>
                <c:pt idx="46">
                  <c:v>2.8874599999999999</c:v>
                </c:pt>
                <c:pt idx="47">
                  <c:v>2.9172500000000001</c:v>
                </c:pt>
                <c:pt idx="48">
                  <c:v>2.9472900000000002</c:v>
                </c:pt>
                <c:pt idx="49">
                  <c:v>2.9770600000000003</c:v>
                </c:pt>
                <c:pt idx="50">
                  <c:v>3.0059900000000002</c:v>
                </c:pt>
                <c:pt idx="51">
                  <c:v>3.0177999999999998</c:v>
                </c:pt>
                <c:pt idx="52">
                  <c:v>3.0314000000000001</c:v>
                </c:pt>
                <c:pt idx="53">
                  <c:v>3.04617</c:v>
                </c:pt>
                <c:pt idx="54">
                  <c:v>3.0627199999999997</c:v>
                </c:pt>
                <c:pt idx="55">
                  <c:v>3.0783800000000001</c:v>
                </c:pt>
                <c:pt idx="56">
                  <c:v>3.09307</c:v>
                </c:pt>
                <c:pt idx="57">
                  <c:v>3.1049100000000003</c:v>
                </c:pt>
                <c:pt idx="58">
                  <c:v>3.1160300000000003</c:v>
                </c:pt>
                <c:pt idx="59">
                  <c:v>3.1269200000000001</c:v>
                </c:pt>
                <c:pt idx="60">
                  <c:v>3.13889</c:v>
                </c:pt>
                <c:pt idx="61">
                  <c:v>3.1519500000000003</c:v>
                </c:pt>
                <c:pt idx="62">
                  <c:v>3.16486</c:v>
                </c:pt>
                <c:pt idx="63">
                  <c:v>3.1783399999999999</c:v>
                </c:pt>
                <c:pt idx="64">
                  <c:v>3.1949300000000003</c:v>
                </c:pt>
                <c:pt idx="65">
                  <c:v>3.2153999999999998</c:v>
                </c:pt>
                <c:pt idx="66">
                  <c:v>3.2386999999999997</c:v>
                </c:pt>
                <c:pt idx="67">
                  <c:v>3.2637800000000001</c:v>
                </c:pt>
                <c:pt idx="68">
                  <c:v>3.2859400000000001</c:v>
                </c:pt>
                <c:pt idx="69">
                  <c:v>3.3051000000000004</c:v>
                </c:pt>
                <c:pt idx="70">
                  <c:v>3.3264</c:v>
                </c:pt>
                <c:pt idx="71">
                  <c:v>3.3482600000000002</c:v>
                </c:pt>
                <c:pt idx="72">
                  <c:v>3.3660600000000001</c:v>
                </c:pt>
                <c:pt idx="73">
                  <c:v>3.3776299999999999</c:v>
                </c:pt>
                <c:pt idx="74">
                  <c:v>3.3742800000000002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38.911499999999997</c:v>
                </c:pt>
                <c:pt idx="1">
                  <c:v>38.431199999999997</c:v>
                </c:pt>
                <c:pt idx="2">
                  <c:v>38.116799999999998</c:v>
                </c:pt>
                <c:pt idx="3">
                  <c:v>37.936999999999998</c:v>
                </c:pt>
                <c:pt idx="4">
                  <c:v>37.784199999999998</c:v>
                </c:pt>
                <c:pt idx="5">
                  <c:v>37.801400000000001</c:v>
                </c:pt>
                <c:pt idx="6">
                  <c:v>37.920300000000005</c:v>
                </c:pt>
                <c:pt idx="7">
                  <c:v>38.058799999999998</c:v>
                </c:pt>
                <c:pt idx="8">
                  <c:v>38.199199999999998</c:v>
                </c:pt>
                <c:pt idx="9">
                  <c:v>38.324200000000005</c:v>
                </c:pt>
                <c:pt idx="10">
                  <c:v>38.453600000000002</c:v>
                </c:pt>
                <c:pt idx="11">
                  <c:v>38.654800000000002</c:v>
                </c:pt>
                <c:pt idx="12">
                  <c:v>38.872</c:v>
                </c:pt>
                <c:pt idx="13">
                  <c:v>39.149799999999999</c:v>
                </c:pt>
                <c:pt idx="14">
                  <c:v>39.505800000000001</c:v>
                </c:pt>
                <c:pt idx="15">
                  <c:v>40.000999999999998</c:v>
                </c:pt>
                <c:pt idx="16">
                  <c:v>40.523600000000002</c:v>
                </c:pt>
                <c:pt idx="17">
                  <c:v>41.108600000000003</c:v>
                </c:pt>
                <c:pt idx="18">
                  <c:v>41.740200000000002</c:v>
                </c:pt>
                <c:pt idx="19">
                  <c:v>42.392099999999999</c:v>
                </c:pt>
                <c:pt idx="20">
                  <c:v>43.063800000000001</c:v>
                </c:pt>
                <c:pt idx="21">
                  <c:v>43.855600000000003</c:v>
                </c:pt>
                <c:pt idx="22">
                  <c:v>44.799099999999996</c:v>
                </c:pt>
                <c:pt idx="23">
                  <c:v>45.924900000000001</c:v>
                </c:pt>
                <c:pt idx="24">
                  <c:v>47.020600000000002</c:v>
                </c:pt>
                <c:pt idx="25">
                  <c:v>47.967700000000001</c:v>
                </c:pt>
                <c:pt idx="26">
                  <c:v>48.787000000000006</c:v>
                </c:pt>
                <c:pt idx="27">
                  <c:v>49.490400000000001</c:v>
                </c:pt>
                <c:pt idx="28">
                  <c:v>50.121899999999997</c:v>
                </c:pt>
                <c:pt idx="29">
                  <c:v>50.737900000000003</c:v>
                </c:pt>
                <c:pt idx="30">
                  <c:v>51.173699999999997</c:v>
                </c:pt>
                <c:pt idx="31">
                  <c:v>51.3718</c:v>
                </c:pt>
                <c:pt idx="32">
                  <c:v>51.3645</c:v>
                </c:pt>
                <c:pt idx="33">
                  <c:v>51.228300000000004</c:v>
                </c:pt>
                <c:pt idx="34">
                  <c:v>51.066900000000004</c:v>
                </c:pt>
                <c:pt idx="35">
                  <c:v>50.897999999999996</c:v>
                </c:pt>
                <c:pt idx="36">
                  <c:v>50.679099999999998</c:v>
                </c:pt>
                <c:pt idx="37">
                  <c:v>50.359900000000003</c:v>
                </c:pt>
                <c:pt idx="38">
                  <c:v>50.0246</c:v>
                </c:pt>
                <c:pt idx="39">
                  <c:v>49.6952</c:v>
                </c:pt>
                <c:pt idx="40">
                  <c:v>49.336600000000004</c:v>
                </c:pt>
                <c:pt idx="41">
                  <c:v>48.953400000000002</c:v>
                </c:pt>
                <c:pt idx="42">
                  <c:v>48.540399999999998</c:v>
                </c:pt>
                <c:pt idx="43">
                  <c:v>48.063699999999997</c:v>
                </c:pt>
                <c:pt idx="44">
                  <c:v>47.527099999999997</c:v>
                </c:pt>
                <c:pt idx="45">
                  <c:v>46.993299999999998</c:v>
                </c:pt>
                <c:pt idx="46">
                  <c:v>46.4116</c:v>
                </c:pt>
                <c:pt idx="47">
                  <c:v>45.698699999999995</c:v>
                </c:pt>
                <c:pt idx="48">
                  <c:v>44.956400000000002</c:v>
                </c:pt>
                <c:pt idx="49">
                  <c:v>44.188200000000002</c:v>
                </c:pt>
                <c:pt idx="50">
                  <c:v>43.499500000000005</c:v>
                </c:pt>
                <c:pt idx="51">
                  <c:v>43.242000000000004</c:v>
                </c:pt>
                <c:pt idx="52">
                  <c:v>42.9574</c:v>
                </c:pt>
                <c:pt idx="53">
                  <c:v>42.671399999999998</c:v>
                </c:pt>
                <c:pt idx="54">
                  <c:v>42.414000000000001</c:v>
                </c:pt>
                <c:pt idx="55">
                  <c:v>42.179200000000002</c:v>
                </c:pt>
                <c:pt idx="56">
                  <c:v>41.962899999999998</c:v>
                </c:pt>
                <c:pt idx="57">
                  <c:v>41.737900000000003</c:v>
                </c:pt>
                <c:pt idx="58">
                  <c:v>41.500900000000001</c:v>
                </c:pt>
                <c:pt idx="59">
                  <c:v>41.247699999999995</c:v>
                </c:pt>
                <c:pt idx="60">
                  <c:v>40.963200000000001</c:v>
                </c:pt>
                <c:pt idx="61">
                  <c:v>40.645900000000005</c:v>
                </c:pt>
                <c:pt idx="62">
                  <c:v>40.374900000000004</c:v>
                </c:pt>
                <c:pt idx="63">
                  <c:v>40.098099999999995</c:v>
                </c:pt>
                <c:pt idx="64">
                  <c:v>39.807900000000004</c:v>
                </c:pt>
                <c:pt idx="65">
                  <c:v>39.486900000000006</c:v>
                </c:pt>
                <c:pt idx="66">
                  <c:v>39.119199999999999</c:v>
                </c:pt>
                <c:pt idx="67">
                  <c:v>38.722799999999999</c:v>
                </c:pt>
                <c:pt idx="68">
                  <c:v>38.305399999999999</c:v>
                </c:pt>
                <c:pt idx="69">
                  <c:v>38.001600000000003</c:v>
                </c:pt>
                <c:pt idx="70">
                  <c:v>37.753300000000003</c:v>
                </c:pt>
                <c:pt idx="71">
                  <c:v>37.522299999999994</c:v>
                </c:pt>
                <c:pt idx="72">
                  <c:v>37.482300000000002</c:v>
                </c:pt>
                <c:pt idx="73">
                  <c:v>37.410399999999996</c:v>
                </c:pt>
                <c:pt idx="74">
                  <c:v>37.542400000000001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2.8720370270270275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39.129983783783793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2.9022816216216212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43.242221621621638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2.9022816216216212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43.242221621621638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0.2172269727521238</c:v>
                </c:pt>
                <c:pt idx="1">
                  <c:v>0.33893624797821914</c:v>
                </c:pt>
                <c:pt idx="2">
                  <c:v>0.44383677926965714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  <c:pt idx="74">
                  <c:v>30.057600000000001</c:v>
                </c:pt>
                <c:pt idx="75">
                  <c:v>30.642299999999999</c:v>
                </c:pt>
                <c:pt idx="76">
                  <c:v>31.021000000000001</c:v>
                </c:pt>
                <c:pt idx="77">
                  <c:v>31.389299999999999</c:v>
                </c:pt>
                <c:pt idx="78">
                  <c:v>31.763100000000001</c:v>
                </c:pt>
                <c:pt idx="79">
                  <c:v>32.1571</c:v>
                </c:pt>
                <c:pt idx="80">
                  <c:v>32.560099999999998</c:v>
                </c:pt>
                <c:pt idx="81">
                  <c:v>32.9619</c:v>
                </c:pt>
                <c:pt idx="82">
                  <c:v>33.371899999999997</c:v>
                </c:pt>
                <c:pt idx="83">
                  <c:v>33.775799999999997</c:v>
                </c:pt>
                <c:pt idx="84">
                  <c:v>34.181699999999999</c:v>
                </c:pt>
                <c:pt idx="85">
                  <c:v>34.588700000000003</c:v>
                </c:pt>
                <c:pt idx="86">
                  <c:v>34.997399999999999</c:v>
                </c:pt>
                <c:pt idx="87">
                  <c:v>35.401400000000002</c:v>
                </c:pt>
                <c:pt idx="88">
                  <c:v>35.809399999999997</c:v>
                </c:pt>
                <c:pt idx="89">
                  <c:v>36.213200000000001</c:v>
                </c:pt>
                <c:pt idx="90">
                  <c:v>36.623100000000001</c:v>
                </c:pt>
                <c:pt idx="91">
                  <c:v>37.03</c:v>
                </c:pt>
                <c:pt idx="92">
                  <c:v>37.433</c:v>
                </c:pt>
                <c:pt idx="93">
                  <c:v>37.8429</c:v>
                </c:pt>
                <c:pt idx="94">
                  <c:v>38.249699999999997</c:v>
                </c:pt>
                <c:pt idx="95">
                  <c:v>38.659599999999998</c:v>
                </c:pt>
                <c:pt idx="96">
                  <c:v>39.059600000000003</c:v>
                </c:pt>
                <c:pt idx="97">
                  <c:v>39.463900000000002</c:v>
                </c:pt>
                <c:pt idx="98">
                  <c:v>39.871000000000002</c:v>
                </c:pt>
                <c:pt idx="99">
                  <c:v>40.281300000000002</c:v>
                </c:pt>
                <c:pt idx="100">
                  <c:v>40.6873</c:v>
                </c:pt>
                <c:pt idx="101">
                  <c:v>41.093200000000003</c:v>
                </c:pt>
                <c:pt idx="102">
                  <c:v>41.498100000000001</c:v>
                </c:pt>
                <c:pt idx="103">
                  <c:v>41.901400000000002</c:v>
                </c:pt>
                <c:pt idx="104">
                  <c:v>42.308500000000002</c:v>
                </c:pt>
                <c:pt idx="105">
                  <c:v>42.712800000000001</c:v>
                </c:pt>
                <c:pt idx="106">
                  <c:v>43.126800000000003</c:v>
                </c:pt>
                <c:pt idx="107">
                  <c:v>43.525700000000001</c:v>
                </c:pt>
                <c:pt idx="108">
                  <c:v>43.937800000000003</c:v>
                </c:pt>
                <c:pt idx="109">
                  <c:v>44.340899999999998</c:v>
                </c:pt>
                <c:pt idx="110">
                  <c:v>44.746499999999997</c:v>
                </c:pt>
                <c:pt idx="111">
                  <c:v>45.153700000000001</c:v>
                </c:pt>
                <c:pt idx="112">
                  <c:v>45.557200000000002</c:v>
                </c:pt>
                <c:pt idx="113">
                  <c:v>45.9621</c:v>
                </c:pt>
                <c:pt idx="114">
                  <c:v>46.372</c:v>
                </c:pt>
                <c:pt idx="115">
                  <c:v>46.777000000000001</c:v>
                </c:pt>
                <c:pt idx="116">
                  <c:v>47.184199999999997</c:v>
                </c:pt>
                <c:pt idx="117">
                  <c:v>47.588799999999999</c:v>
                </c:pt>
                <c:pt idx="118">
                  <c:v>47.994700000000002</c:v>
                </c:pt>
                <c:pt idx="119">
                  <c:v>48.401000000000003</c:v>
                </c:pt>
                <c:pt idx="120">
                  <c:v>48.807499999999997</c:v>
                </c:pt>
                <c:pt idx="121">
                  <c:v>49.217700000000001</c:v>
                </c:pt>
                <c:pt idx="122">
                  <c:v>49.624299999999998</c:v>
                </c:pt>
                <c:pt idx="123">
                  <c:v>50.027299999999997</c:v>
                </c:pt>
                <c:pt idx="124">
                  <c:v>50.432299999999998</c:v>
                </c:pt>
                <c:pt idx="125">
                  <c:v>50.837200000000003</c:v>
                </c:pt>
                <c:pt idx="126">
                  <c:v>51.246299999999998</c:v>
                </c:pt>
                <c:pt idx="127">
                  <c:v>51.651200000000003</c:v>
                </c:pt>
                <c:pt idx="128">
                  <c:v>52.056899999999999</c:v>
                </c:pt>
                <c:pt idx="129">
                  <c:v>52.465800000000002</c:v>
                </c:pt>
                <c:pt idx="130">
                  <c:v>52.869700000000002</c:v>
                </c:pt>
                <c:pt idx="131">
                  <c:v>53.276600000000002</c:v>
                </c:pt>
                <c:pt idx="132">
                  <c:v>53.687399999999997</c:v>
                </c:pt>
                <c:pt idx="133">
                  <c:v>54.095399999999998</c:v>
                </c:pt>
                <c:pt idx="134">
                  <c:v>54.496400000000001</c:v>
                </c:pt>
                <c:pt idx="135">
                  <c:v>54.902299999999997</c:v>
                </c:pt>
                <c:pt idx="136">
                  <c:v>55.310600000000001</c:v>
                </c:pt>
                <c:pt idx="137">
                  <c:v>55.7151</c:v>
                </c:pt>
                <c:pt idx="138">
                  <c:v>56.122</c:v>
                </c:pt>
                <c:pt idx="139">
                  <c:v>56.527799999999999</c:v>
                </c:pt>
                <c:pt idx="140">
                  <c:v>56.934800000000003</c:v>
                </c:pt>
                <c:pt idx="141">
                  <c:v>57.341700000000003</c:v>
                </c:pt>
                <c:pt idx="142">
                  <c:v>57.746899999999997</c:v>
                </c:pt>
                <c:pt idx="143">
                  <c:v>58.156500000000001</c:v>
                </c:pt>
                <c:pt idx="144">
                  <c:v>58.563400000000001</c:v>
                </c:pt>
                <c:pt idx="145">
                  <c:v>58.967599999999997</c:v>
                </c:pt>
                <c:pt idx="146">
                  <c:v>59.3703</c:v>
                </c:pt>
                <c:pt idx="147">
                  <c:v>59.775300000000001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  <c:pt idx="74">
                  <c:v>2.8545799999999999</c:v>
                </c:pt>
                <c:pt idx="75">
                  <c:v>2.8534300000000004</c:v>
                </c:pt>
                <c:pt idx="76">
                  <c:v>2.8488799999999999</c:v>
                </c:pt>
                <c:pt idx="77">
                  <c:v>2.8426200000000001</c:v>
                </c:pt>
                <c:pt idx="78">
                  <c:v>2.8351999999999999</c:v>
                </c:pt>
                <c:pt idx="79">
                  <c:v>2.8269899999999999</c:v>
                </c:pt>
                <c:pt idx="80">
                  <c:v>2.8196599999999998</c:v>
                </c:pt>
                <c:pt idx="81">
                  <c:v>2.8144200000000001</c:v>
                </c:pt>
                <c:pt idx="82">
                  <c:v>2.8149500000000001</c:v>
                </c:pt>
                <c:pt idx="83">
                  <c:v>2.8168199999999999</c:v>
                </c:pt>
                <c:pt idx="84">
                  <c:v>2.8167399999999998</c:v>
                </c:pt>
                <c:pt idx="85">
                  <c:v>2.8151599999999997</c:v>
                </c:pt>
                <c:pt idx="86">
                  <c:v>2.8116000000000003</c:v>
                </c:pt>
                <c:pt idx="87">
                  <c:v>2.8050899999999999</c:v>
                </c:pt>
                <c:pt idx="88">
                  <c:v>2.79501</c:v>
                </c:pt>
                <c:pt idx="89">
                  <c:v>2.7859299999999996</c:v>
                </c:pt>
                <c:pt idx="90">
                  <c:v>2.7741199999999999</c:v>
                </c:pt>
                <c:pt idx="91">
                  <c:v>2.7572700000000001</c:v>
                </c:pt>
                <c:pt idx="92">
                  <c:v>2.7369599999999998</c:v>
                </c:pt>
                <c:pt idx="93">
                  <c:v>2.7163900000000001</c:v>
                </c:pt>
                <c:pt idx="94">
                  <c:v>2.6966400000000004</c:v>
                </c:pt>
                <c:pt idx="95">
                  <c:v>2.6814200000000001</c:v>
                </c:pt>
                <c:pt idx="96">
                  <c:v>2.6674899999999999</c:v>
                </c:pt>
                <c:pt idx="97">
                  <c:v>2.6576499999999998</c:v>
                </c:pt>
                <c:pt idx="98">
                  <c:v>2.6498200000000001</c:v>
                </c:pt>
                <c:pt idx="99">
                  <c:v>2.64208</c:v>
                </c:pt>
                <c:pt idx="100">
                  <c:v>2.6354699999999998</c:v>
                </c:pt>
                <c:pt idx="101">
                  <c:v>2.6311600000000004</c:v>
                </c:pt>
                <c:pt idx="102">
                  <c:v>2.6271599999999999</c:v>
                </c:pt>
                <c:pt idx="103">
                  <c:v>2.6245000000000003</c:v>
                </c:pt>
                <c:pt idx="104">
                  <c:v>2.6254599999999999</c:v>
                </c:pt>
                <c:pt idx="105">
                  <c:v>2.63239</c:v>
                </c:pt>
                <c:pt idx="106">
                  <c:v>2.64377</c:v>
                </c:pt>
                <c:pt idx="107">
                  <c:v>2.65523</c:v>
                </c:pt>
                <c:pt idx="108">
                  <c:v>2.6664500000000002</c:v>
                </c:pt>
                <c:pt idx="109">
                  <c:v>2.6789899999999998</c:v>
                </c:pt>
                <c:pt idx="110">
                  <c:v>2.6941199999999998</c:v>
                </c:pt>
                <c:pt idx="111">
                  <c:v>2.7095500000000001</c:v>
                </c:pt>
                <c:pt idx="112">
                  <c:v>2.7237899999999997</c:v>
                </c:pt>
                <c:pt idx="113">
                  <c:v>2.7383600000000001</c:v>
                </c:pt>
                <c:pt idx="114">
                  <c:v>2.7535700000000003</c:v>
                </c:pt>
                <c:pt idx="115">
                  <c:v>2.7712700000000003</c:v>
                </c:pt>
                <c:pt idx="116">
                  <c:v>2.79582</c:v>
                </c:pt>
                <c:pt idx="117">
                  <c:v>2.8255699999999999</c:v>
                </c:pt>
                <c:pt idx="118">
                  <c:v>2.8563200000000002</c:v>
                </c:pt>
                <c:pt idx="119">
                  <c:v>2.8874599999999999</c:v>
                </c:pt>
                <c:pt idx="120">
                  <c:v>2.9172500000000001</c:v>
                </c:pt>
                <c:pt idx="121">
                  <c:v>2.9472900000000002</c:v>
                </c:pt>
                <c:pt idx="122">
                  <c:v>2.9770600000000003</c:v>
                </c:pt>
                <c:pt idx="123">
                  <c:v>3.0059900000000002</c:v>
                </c:pt>
                <c:pt idx="124">
                  <c:v>3.0177999999999998</c:v>
                </c:pt>
                <c:pt idx="125">
                  <c:v>3.0314000000000001</c:v>
                </c:pt>
                <c:pt idx="126">
                  <c:v>3.04617</c:v>
                </c:pt>
                <c:pt idx="127">
                  <c:v>3.0627199999999997</c:v>
                </c:pt>
                <c:pt idx="128">
                  <c:v>3.0783800000000001</c:v>
                </c:pt>
                <c:pt idx="129">
                  <c:v>3.09307</c:v>
                </c:pt>
                <c:pt idx="130">
                  <c:v>3.1049100000000003</c:v>
                </c:pt>
                <c:pt idx="131">
                  <c:v>3.1160300000000003</c:v>
                </c:pt>
                <c:pt idx="132">
                  <c:v>3.1269200000000001</c:v>
                </c:pt>
                <c:pt idx="133">
                  <c:v>3.13889</c:v>
                </c:pt>
                <c:pt idx="134">
                  <c:v>3.1519500000000003</c:v>
                </c:pt>
                <c:pt idx="135">
                  <c:v>3.16486</c:v>
                </c:pt>
                <c:pt idx="136">
                  <c:v>3.1783399999999999</c:v>
                </c:pt>
                <c:pt idx="137">
                  <c:v>3.1949300000000003</c:v>
                </c:pt>
                <c:pt idx="138">
                  <c:v>3.2153999999999998</c:v>
                </c:pt>
                <c:pt idx="139">
                  <c:v>3.2386999999999997</c:v>
                </c:pt>
                <c:pt idx="140">
                  <c:v>3.2637800000000001</c:v>
                </c:pt>
                <c:pt idx="141">
                  <c:v>3.2859400000000001</c:v>
                </c:pt>
                <c:pt idx="142">
                  <c:v>3.3051000000000004</c:v>
                </c:pt>
                <c:pt idx="143">
                  <c:v>3.3264</c:v>
                </c:pt>
                <c:pt idx="144">
                  <c:v>3.3482600000000002</c:v>
                </c:pt>
                <c:pt idx="145">
                  <c:v>3.3660600000000001</c:v>
                </c:pt>
                <c:pt idx="146">
                  <c:v>3.3776299999999999</c:v>
                </c:pt>
                <c:pt idx="147">
                  <c:v>3.3742800000000002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30.057600000000001</c:v>
                </c:pt>
                <c:pt idx="2">
                  <c:v>30.642299999999999</c:v>
                </c:pt>
                <c:pt idx="3">
                  <c:v>31.021000000000001</c:v>
                </c:pt>
                <c:pt idx="4">
                  <c:v>31.389299999999999</c:v>
                </c:pt>
                <c:pt idx="5">
                  <c:v>31.763100000000001</c:v>
                </c:pt>
                <c:pt idx="6">
                  <c:v>32.1571</c:v>
                </c:pt>
                <c:pt idx="7">
                  <c:v>32.560099999999998</c:v>
                </c:pt>
                <c:pt idx="8">
                  <c:v>32.9619</c:v>
                </c:pt>
                <c:pt idx="9">
                  <c:v>33.371899999999997</c:v>
                </c:pt>
                <c:pt idx="10">
                  <c:v>33.775799999999997</c:v>
                </c:pt>
                <c:pt idx="11">
                  <c:v>34.181699999999999</c:v>
                </c:pt>
                <c:pt idx="12">
                  <c:v>34.588700000000003</c:v>
                </c:pt>
                <c:pt idx="13">
                  <c:v>34.997399999999999</c:v>
                </c:pt>
                <c:pt idx="14">
                  <c:v>35.401400000000002</c:v>
                </c:pt>
                <c:pt idx="15">
                  <c:v>35.809399999999997</c:v>
                </c:pt>
                <c:pt idx="16">
                  <c:v>36.213200000000001</c:v>
                </c:pt>
                <c:pt idx="17">
                  <c:v>36.623100000000001</c:v>
                </c:pt>
                <c:pt idx="18">
                  <c:v>37.03</c:v>
                </c:pt>
                <c:pt idx="19">
                  <c:v>37.433</c:v>
                </c:pt>
                <c:pt idx="20">
                  <c:v>37.8429</c:v>
                </c:pt>
                <c:pt idx="21">
                  <c:v>38.249699999999997</c:v>
                </c:pt>
                <c:pt idx="22">
                  <c:v>38.659599999999998</c:v>
                </c:pt>
                <c:pt idx="23">
                  <c:v>39.059600000000003</c:v>
                </c:pt>
                <c:pt idx="24">
                  <c:v>39.463900000000002</c:v>
                </c:pt>
                <c:pt idx="25">
                  <c:v>39.871000000000002</c:v>
                </c:pt>
                <c:pt idx="26">
                  <c:v>40.281300000000002</c:v>
                </c:pt>
                <c:pt idx="27">
                  <c:v>40.6873</c:v>
                </c:pt>
                <c:pt idx="28">
                  <c:v>41.093200000000003</c:v>
                </c:pt>
                <c:pt idx="29">
                  <c:v>41.498100000000001</c:v>
                </c:pt>
                <c:pt idx="30">
                  <c:v>41.901400000000002</c:v>
                </c:pt>
                <c:pt idx="31">
                  <c:v>42.308500000000002</c:v>
                </c:pt>
                <c:pt idx="32">
                  <c:v>42.712800000000001</c:v>
                </c:pt>
                <c:pt idx="33">
                  <c:v>43.126800000000003</c:v>
                </c:pt>
                <c:pt idx="34">
                  <c:v>43.525700000000001</c:v>
                </c:pt>
                <c:pt idx="35">
                  <c:v>43.937800000000003</c:v>
                </c:pt>
                <c:pt idx="36">
                  <c:v>44.340899999999998</c:v>
                </c:pt>
                <c:pt idx="37">
                  <c:v>44.746499999999997</c:v>
                </c:pt>
                <c:pt idx="38">
                  <c:v>45.153700000000001</c:v>
                </c:pt>
                <c:pt idx="39">
                  <c:v>45.557200000000002</c:v>
                </c:pt>
                <c:pt idx="40">
                  <c:v>45.9621</c:v>
                </c:pt>
                <c:pt idx="41">
                  <c:v>46.372</c:v>
                </c:pt>
                <c:pt idx="42">
                  <c:v>46.777000000000001</c:v>
                </c:pt>
                <c:pt idx="43">
                  <c:v>47.184199999999997</c:v>
                </c:pt>
                <c:pt idx="44">
                  <c:v>47.588799999999999</c:v>
                </c:pt>
                <c:pt idx="45">
                  <c:v>47.994700000000002</c:v>
                </c:pt>
                <c:pt idx="46">
                  <c:v>48.401000000000003</c:v>
                </c:pt>
                <c:pt idx="47">
                  <c:v>48.807499999999997</c:v>
                </c:pt>
                <c:pt idx="48">
                  <c:v>49.217700000000001</c:v>
                </c:pt>
                <c:pt idx="49">
                  <c:v>49.624299999999998</c:v>
                </c:pt>
                <c:pt idx="50">
                  <c:v>50.027299999999997</c:v>
                </c:pt>
                <c:pt idx="51">
                  <c:v>50.432299999999998</c:v>
                </c:pt>
                <c:pt idx="52">
                  <c:v>50.837200000000003</c:v>
                </c:pt>
                <c:pt idx="53">
                  <c:v>51.246299999999998</c:v>
                </c:pt>
                <c:pt idx="54">
                  <c:v>51.651200000000003</c:v>
                </c:pt>
                <c:pt idx="55">
                  <c:v>52.056899999999999</c:v>
                </c:pt>
                <c:pt idx="56">
                  <c:v>52.465800000000002</c:v>
                </c:pt>
                <c:pt idx="57">
                  <c:v>52.869700000000002</c:v>
                </c:pt>
                <c:pt idx="58">
                  <c:v>53.276600000000002</c:v>
                </c:pt>
                <c:pt idx="59">
                  <c:v>53.687399999999997</c:v>
                </c:pt>
                <c:pt idx="60">
                  <c:v>54.095399999999998</c:v>
                </c:pt>
                <c:pt idx="61">
                  <c:v>54.496400000000001</c:v>
                </c:pt>
                <c:pt idx="62">
                  <c:v>54.902299999999997</c:v>
                </c:pt>
                <c:pt idx="63">
                  <c:v>55.310600000000001</c:v>
                </c:pt>
                <c:pt idx="64">
                  <c:v>55.7151</c:v>
                </c:pt>
                <c:pt idx="65">
                  <c:v>56.122</c:v>
                </c:pt>
                <c:pt idx="66">
                  <c:v>56.527799999999999</c:v>
                </c:pt>
                <c:pt idx="67">
                  <c:v>56.934800000000003</c:v>
                </c:pt>
                <c:pt idx="68">
                  <c:v>57.341700000000003</c:v>
                </c:pt>
                <c:pt idx="69">
                  <c:v>57.746899999999997</c:v>
                </c:pt>
                <c:pt idx="70">
                  <c:v>58.156500000000001</c:v>
                </c:pt>
                <c:pt idx="71">
                  <c:v>58.563400000000001</c:v>
                </c:pt>
                <c:pt idx="72">
                  <c:v>58.967599999999997</c:v>
                </c:pt>
                <c:pt idx="73">
                  <c:v>59.3703</c:v>
                </c:pt>
                <c:pt idx="74">
                  <c:v>59.775300000000001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2.85547</c:v>
                </c:pt>
                <c:pt idx="1">
                  <c:v>2.8545799999999999</c:v>
                </c:pt>
                <c:pt idx="2">
                  <c:v>2.8534300000000004</c:v>
                </c:pt>
                <c:pt idx="3">
                  <c:v>2.8488799999999999</c:v>
                </c:pt>
                <c:pt idx="4">
                  <c:v>2.8426200000000001</c:v>
                </c:pt>
                <c:pt idx="5">
                  <c:v>2.8351999999999999</c:v>
                </c:pt>
                <c:pt idx="6">
                  <c:v>2.8269899999999999</c:v>
                </c:pt>
                <c:pt idx="7">
                  <c:v>2.8196599999999998</c:v>
                </c:pt>
                <c:pt idx="8">
                  <c:v>2.8144200000000001</c:v>
                </c:pt>
                <c:pt idx="9">
                  <c:v>2.8149500000000001</c:v>
                </c:pt>
                <c:pt idx="10">
                  <c:v>2.8168199999999999</c:v>
                </c:pt>
                <c:pt idx="11">
                  <c:v>2.8167399999999998</c:v>
                </c:pt>
                <c:pt idx="12">
                  <c:v>2.8151599999999997</c:v>
                </c:pt>
                <c:pt idx="13">
                  <c:v>2.8116000000000003</c:v>
                </c:pt>
                <c:pt idx="14">
                  <c:v>2.8050899999999999</c:v>
                </c:pt>
                <c:pt idx="15">
                  <c:v>2.79501</c:v>
                </c:pt>
                <c:pt idx="16">
                  <c:v>2.7859299999999996</c:v>
                </c:pt>
                <c:pt idx="17">
                  <c:v>2.7741199999999999</c:v>
                </c:pt>
                <c:pt idx="18">
                  <c:v>2.7572700000000001</c:v>
                </c:pt>
                <c:pt idx="19">
                  <c:v>2.7369599999999998</c:v>
                </c:pt>
                <c:pt idx="20">
                  <c:v>2.7163900000000001</c:v>
                </c:pt>
                <c:pt idx="21">
                  <c:v>2.6966400000000004</c:v>
                </c:pt>
                <c:pt idx="22">
                  <c:v>2.6814200000000001</c:v>
                </c:pt>
                <c:pt idx="23">
                  <c:v>2.6674899999999999</c:v>
                </c:pt>
                <c:pt idx="24">
                  <c:v>2.6576499999999998</c:v>
                </c:pt>
                <c:pt idx="25">
                  <c:v>2.6498200000000001</c:v>
                </c:pt>
                <c:pt idx="26">
                  <c:v>2.64208</c:v>
                </c:pt>
                <c:pt idx="27">
                  <c:v>2.6354699999999998</c:v>
                </c:pt>
                <c:pt idx="28">
                  <c:v>2.6311600000000004</c:v>
                </c:pt>
                <c:pt idx="29">
                  <c:v>2.6271599999999999</c:v>
                </c:pt>
                <c:pt idx="30">
                  <c:v>2.6245000000000003</c:v>
                </c:pt>
                <c:pt idx="31">
                  <c:v>2.6254599999999999</c:v>
                </c:pt>
                <c:pt idx="32">
                  <c:v>2.63239</c:v>
                </c:pt>
                <c:pt idx="33">
                  <c:v>2.64377</c:v>
                </c:pt>
                <c:pt idx="34">
                  <c:v>2.65523</c:v>
                </c:pt>
                <c:pt idx="35">
                  <c:v>2.6664500000000002</c:v>
                </c:pt>
                <c:pt idx="36">
                  <c:v>2.6789899999999998</c:v>
                </c:pt>
                <c:pt idx="37">
                  <c:v>2.6941199999999998</c:v>
                </c:pt>
                <c:pt idx="38">
                  <c:v>2.7095500000000001</c:v>
                </c:pt>
                <c:pt idx="39">
                  <c:v>2.7237899999999997</c:v>
                </c:pt>
                <c:pt idx="40">
                  <c:v>2.7383600000000001</c:v>
                </c:pt>
                <c:pt idx="41">
                  <c:v>2.7535700000000003</c:v>
                </c:pt>
                <c:pt idx="42">
                  <c:v>2.7712700000000003</c:v>
                </c:pt>
                <c:pt idx="43">
                  <c:v>2.79582</c:v>
                </c:pt>
                <c:pt idx="44">
                  <c:v>2.8255699999999999</c:v>
                </c:pt>
                <c:pt idx="45">
                  <c:v>2.8563200000000002</c:v>
                </c:pt>
                <c:pt idx="46">
                  <c:v>2.8874599999999999</c:v>
                </c:pt>
                <c:pt idx="47">
                  <c:v>2.9172500000000001</c:v>
                </c:pt>
                <c:pt idx="48">
                  <c:v>2.9472900000000002</c:v>
                </c:pt>
                <c:pt idx="49">
                  <c:v>2.9770600000000003</c:v>
                </c:pt>
                <c:pt idx="50">
                  <c:v>3.0059900000000002</c:v>
                </c:pt>
                <c:pt idx="51">
                  <c:v>3.0177999999999998</c:v>
                </c:pt>
                <c:pt idx="52">
                  <c:v>3.0314000000000001</c:v>
                </c:pt>
                <c:pt idx="53">
                  <c:v>3.04617</c:v>
                </c:pt>
                <c:pt idx="54">
                  <c:v>3.0627199999999997</c:v>
                </c:pt>
                <c:pt idx="55">
                  <c:v>3.0783800000000001</c:v>
                </c:pt>
                <c:pt idx="56">
                  <c:v>3.09307</c:v>
                </c:pt>
                <c:pt idx="57">
                  <c:v>3.1049100000000003</c:v>
                </c:pt>
                <c:pt idx="58">
                  <c:v>3.1160300000000003</c:v>
                </c:pt>
                <c:pt idx="59">
                  <c:v>3.1269200000000001</c:v>
                </c:pt>
                <c:pt idx="60">
                  <c:v>3.13889</c:v>
                </c:pt>
                <c:pt idx="61">
                  <c:v>3.1519500000000003</c:v>
                </c:pt>
                <c:pt idx="62">
                  <c:v>3.16486</c:v>
                </c:pt>
                <c:pt idx="63">
                  <c:v>3.1783399999999999</c:v>
                </c:pt>
                <c:pt idx="64">
                  <c:v>3.1949300000000003</c:v>
                </c:pt>
                <c:pt idx="65">
                  <c:v>3.2153999999999998</c:v>
                </c:pt>
                <c:pt idx="66">
                  <c:v>3.2386999999999997</c:v>
                </c:pt>
                <c:pt idx="67">
                  <c:v>3.2637800000000001</c:v>
                </c:pt>
                <c:pt idx="68">
                  <c:v>3.2859400000000001</c:v>
                </c:pt>
                <c:pt idx="69">
                  <c:v>3.3051000000000004</c:v>
                </c:pt>
                <c:pt idx="70">
                  <c:v>3.3264</c:v>
                </c:pt>
                <c:pt idx="71">
                  <c:v>3.3482600000000002</c:v>
                </c:pt>
                <c:pt idx="72">
                  <c:v>3.3660600000000001</c:v>
                </c:pt>
                <c:pt idx="73">
                  <c:v>3.3776299999999999</c:v>
                </c:pt>
                <c:pt idx="74">
                  <c:v>3.3742800000000002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14.943825</c:v>
                </c:pt>
                <c:pt idx="1">
                  <c:v>44.831474999999998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2.8720370270270275</c:v>
                </c:pt>
                <c:pt idx="1">
                  <c:v>2.9022816216216212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  <c:pt idx="74">
                  <c:v>30.057600000000001</c:v>
                </c:pt>
                <c:pt idx="75">
                  <c:v>30.642299999999999</c:v>
                </c:pt>
                <c:pt idx="76">
                  <c:v>31.021000000000001</c:v>
                </c:pt>
                <c:pt idx="77">
                  <c:v>31.389299999999999</c:v>
                </c:pt>
                <c:pt idx="78">
                  <c:v>31.763100000000001</c:v>
                </c:pt>
                <c:pt idx="79">
                  <c:v>32.1571</c:v>
                </c:pt>
                <c:pt idx="80">
                  <c:v>32.560099999999998</c:v>
                </c:pt>
                <c:pt idx="81">
                  <c:v>32.9619</c:v>
                </c:pt>
                <c:pt idx="82">
                  <c:v>33.371899999999997</c:v>
                </c:pt>
                <c:pt idx="83">
                  <c:v>33.775799999999997</c:v>
                </c:pt>
                <c:pt idx="84">
                  <c:v>34.181699999999999</c:v>
                </c:pt>
                <c:pt idx="85">
                  <c:v>34.588700000000003</c:v>
                </c:pt>
                <c:pt idx="86">
                  <c:v>34.997399999999999</c:v>
                </c:pt>
                <c:pt idx="87">
                  <c:v>35.401400000000002</c:v>
                </c:pt>
                <c:pt idx="88">
                  <c:v>35.809399999999997</c:v>
                </c:pt>
                <c:pt idx="89">
                  <c:v>36.213200000000001</c:v>
                </c:pt>
                <c:pt idx="90">
                  <c:v>36.623100000000001</c:v>
                </c:pt>
                <c:pt idx="91">
                  <c:v>37.03</c:v>
                </c:pt>
                <c:pt idx="92">
                  <c:v>37.433</c:v>
                </c:pt>
                <c:pt idx="93">
                  <c:v>37.8429</c:v>
                </c:pt>
                <c:pt idx="94">
                  <c:v>38.249699999999997</c:v>
                </c:pt>
                <c:pt idx="95">
                  <c:v>38.659599999999998</c:v>
                </c:pt>
                <c:pt idx="96">
                  <c:v>39.059600000000003</c:v>
                </c:pt>
                <c:pt idx="97">
                  <c:v>39.463900000000002</c:v>
                </c:pt>
                <c:pt idx="98">
                  <c:v>39.871000000000002</c:v>
                </c:pt>
                <c:pt idx="99">
                  <c:v>40.281300000000002</c:v>
                </c:pt>
                <c:pt idx="100">
                  <c:v>40.6873</c:v>
                </c:pt>
                <c:pt idx="101">
                  <c:v>41.093200000000003</c:v>
                </c:pt>
                <c:pt idx="102">
                  <c:v>41.498100000000001</c:v>
                </c:pt>
                <c:pt idx="103">
                  <c:v>41.901400000000002</c:v>
                </c:pt>
                <c:pt idx="104">
                  <c:v>42.308500000000002</c:v>
                </c:pt>
                <c:pt idx="105">
                  <c:v>42.712800000000001</c:v>
                </c:pt>
                <c:pt idx="106">
                  <c:v>43.126800000000003</c:v>
                </c:pt>
                <c:pt idx="107">
                  <c:v>43.525700000000001</c:v>
                </c:pt>
                <c:pt idx="108">
                  <c:v>43.937800000000003</c:v>
                </c:pt>
                <c:pt idx="109">
                  <c:v>44.340899999999998</c:v>
                </c:pt>
                <c:pt idx="110">
                  <c:v>44.746499999999997</c:v>
                </c:pt>
                <c:pt idx="111">
                  <c:v>45.153700000000001</c:v>
                </c:pt>
                <c:pt idx="112">
                  <c:v>45.557200000000002</c:v>
                </c:pt>
                <c:pt idx="113">
                  <c:v>45.9621</c:v>
                </c:pt>
                <c:pt idx="114">
                  <c:v>46.372</c:v>
                </c:pt>
                <c:pt idx="115">
                  <c:v>46.777000000000001</c:v>
                </c:pt>
                <c:pt idx="116">
                  <c:v>47.184199999999997</c:v>
                </c:pt>
                <c:pt idx="117">
                  <c:v>47.588799999999999</c:v>
                </c:pt>
                <c:pt idx="118">
                  <c:v>47.994700000000002</c:v>
                </c:pt>
                <c:pt idx="119">
                  <c:v>48.401000000000003</c:v>
                </c:pt>
                <c:pt idx="120">
                  <c:v>48.807499999999997</c:v>
                </c:pt>
                <c:pt idx="121">
                  <c:v>49.217700000000001</c:v>
                </c:pt>
                <c:pt idx="122">
                  <c:v>49.624299999999998</c:v>
                </c:pt>
                <c:pt idx="123">
                  <c:v>50.027299999999997</c:v>
                </c:pt>
                <c:pt idx="124">
                  <c:v>50.432299999999998</c:v>
                </c:pt>
                <c:pt idx="125">
                  <c:v>50.837200000000003</c:v>
                </c:pt>
                <c:pt idx="126">
                  <c:v>51.246299999999998</c:v>
                </c:pt>
                <c:pt idx="127">
                  <c:v>51.651200000000003</c:v>
                </c:pt>
                <c:pt idx="128">
                  <c:v>52.056899999999999</c:v>
                </c:pt>
                <c:pt idx="129">
                  <c:v>52.465800000000002</c:v>
                </c:pt>
                <c:pt idx="130">
                  <c:v>52.869700000000002</c:v>
                </c:pt>
                <c:pt idx="131">
                  <c:v>53.276600000000002</c:v>
                </c:pt>
                <c:pt idx="132">
                  <c:v>53.687399999999997</c:v>
                </c:pt>
                <c:pt idx="133">
                  <c:v>54.095399999999998</c:v>
                </c:pt>
                <c:pt idx="134">
                  <c:v>54.496400000000001</c:v>
                </c:pt>
                <c:pt idx="135">
                  <c:v>54.902299999999997</c:v>
                </c:pt>
                <c:pt idx="136">
                  <c:v>55.310600000000001</c:v>
                </c:pt>
                <c:pt idx="137">
                  <c:v>55.7151</c:v>
                </c:pt>
                <c:pt idx="138">
                  <c:v>56.122</c:v>
                </c:pt>
                <c:pt idx="139">
                  <c:v>56.527799999999999</c:v>
                </c:pt>
                <c:pt idx="140">
                  <c:v>56.934800000000003</c:v>
                </c:pt>
                <c:pt idx="141">
                  <c:v>57.341700000000003</c:v>
                </c:pt>
                <c:pt idx="142">
                  <c:v>57.746899999999997</c:v>
                </c:pt>
                <c:pt idx="143">
                  <c:v>58.156500000000001</c:v>
                </c:pt>
                <c:pt idx="144">
                  <c:v>58.563400000000001</c:v>
                </c:pt>
                <c:pt idx="145">
                  <c:v>58.967599999999997</c:v>
                </c:pt>
                <c:pt idx="146">
                  <c:v>59.3703</c:v>
                </c:pt>
                <c:pt idx="147">
                  <c:v>59.775300000000001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  <c:pt idx="74">
                  <c:v>38.431199999999997</c:v>
                </c:pt>
                <c:pt idx="75">
                  <c:v>38.116799999999998</c:v>
                </c:pt>
                <c:pt idx="76">
                  <c:v>37.936999999999998</c:v>
                </c:pt>
                <c:pt idx="77">
                  <c:v>37.784199999999998</c:v>
                </c:pt>
                <c:pt idx="78">
                  <c:v>37.801400000000001</c:v>
                </c:pt>
                <c:pt idx="79">
                  <c:v>37.920300000000005</c:v>
                </c:pt>
                <c:pt idx="80">
                  <c:v>38.058799999999998</c:v>
                </c:pt>
                <c:pt idx="81">
                  <c:v>38.199199999999998</c:v>
                </c:pt>
                <c:pt idx="82">
                  <c:v>38.324200000000005</c:v>
                </c:pt>
                <c:pt idx="83">
                  <c:v>38.453600000000002</c:v>
                </c:pt>
                <c:pt idx="84">
                  <c:v>38.654800000000002</c:v>
                </c:pt>
                <c:pt idx="85">
                  <c:v>38.872</c:v>
                </c:pt>
                <c:pt idx="86">
                  <c:v>39.149799999999999</c:v>
                </c:pt>
                <c:pt idx="87">
                  <c:v>39.505800000000001</c:v>
                </c:pt>
                <c:pt idx="88">
                  <c:v>40.000999999999998</c:v>
                </c:pt>
                <c:pt idx="89">
                  <c:v>40.523600000000002</c:v>
                </c:pt>
                <c:pt idx="90">
                  <c:v>41.108600000000003</c:v>
                </c:pt>
                <c:pt idx="91">
                  <c:v>41.740200000000002</c:v>
                </c:pt>
                <c:pt idx="92">
                  <c:v>42.392099999999999</c:v>
                </c:pt>
                <c:pt idx="93">
                  <c:v>43.063800000000001</c:v>
                </c:pt>
                <c:pt idx="94">
                  <c:v>43.855600000000003</c:v>
                </c:pt>
                <c:pt idx="95">
                  <c:v>44.799099999999996</c:v>
                </c:pt>
                <c:pt idx="96">
                  <c:v>45.924900000000001</c:v>
                </c:pt>
                <c:pt idx="97">
                  <c:v>47.020600000000002</c:v>
                </c:pt>
                <c:pt idx="98">
                  <c:v>47.967700000000001</c:v>
                </c:pt>
                <c:pt idx="99">
                  <c:v>48.787000000000006</c:v>
                </c:pt>
                <c:pt idx="100">
                  <c:v>49.490400000000001</c:v>
                </c:pt>
                <c:pt idx="101">
                  <c:v>50.121899999999997</c:v>
                </c:pt>
                <c:pt idx="102">
                  <c:v>50.737900000000003</c:v>
                </c:pt>
                <c:pt idx="103">
                  <c:v>51.173699999999997</c:v>
                </c:pt>
                <c:pt idx="104">
                  <c:v>51.3718</c:v>
                </c:pt>
                <c:pt idx="105">
                  <c:v>51.3645</c:v>
                </c:pt>
                <c:pt idx="106">
                  <c:v>51.228300000000004</c:v>
                </c:pt>
                <c:pt idx="107">
                  <c:v>51.066900000000004</c:v>
                </c:pt>
                <c:pt idx="108">
                  <c:v>50.897999999999996</c:v>
                </c:pt>
                <c:pt idx="109">
                  <c:v>50.679099999999998</c:v>
                </c:pt>
                <c:pt idx="110">
                  <c:v>50.359900000000003</c:v>
                </c:pt>
                <c:pt idx="111">
                  <c:v>50.0246</c:v>
                </c:pt>
                <c:pt idx="112">
                  <c:v>49.6952</c:v>
                </c:pt>
                <c:pt idx="113">
                  <c:v>49.336600000000004</c:v>
                </c:pt>
                <c:pt idx="114">
                  <c:v>48.953400000000002</c:v>
                </c:pt>
                <c:pt idx="115">
                  <c:v>48.540399999999998</c:v>
                </c:pt>
                <c:pt idx="116">
                  <c:v>48.063699999999997</c:v>
                </c:pt>
                <c:pt idx="117">
                  <c:v>47.527099999999997</c:v>
                </c:pt>
                <c:pt idx="118">
                  <c:v>46.993299999999998</c:v>
                </c:pt>
                <c:pt idx="119">
                  <c:v>46.4116</c:v>
                </c:pt>
                <c:pt idx="120">
                  <c:v>45.698699999999995</c:v>
                </c:pt>
                <c:pt idx="121">
                  <c:v>44.956400000000002</c:v>
                </c:pt>
                <c:pt idx="122">
                  <c:v>44.188200000000002</c:v>
                </c:pt>
                <c:pt idx="123">
                  <c:v>43.499500000000005</c:v>
                </c:pt>
                <c:pt idx="124">
                  <c:v>43.242000000000004</c:v>
                </c:pt>
                <c:pt idx="125">
                  <c:v>42.9574</c:v>
                </c:pt>
                <c:pt idx="126">
                  <c:v>42.671399999999998</c:v>
                </c:pt>
                <c:pt idx="127">
                  <c:v>42.414000000000001</c:v>
                </c:pt>
                <c:pt idx="128">
                  <c:v>42.179200000000002</c:v>
                </c:pt>
                <c:pt idx="129">
                  <c:v>41.962899999999998</c:v>
                </c:pt>
                <c:pt idx="130">
                  <c:v>41.737900000000003</c:v>
                </c:pt>
                <c:pt idx="131">
                  <c:v>41.500900000000001</c:v>
                </c:pt>
                <c:pt idx="132">
                  <c:v>41.247699999999995</c:v>
                </c:pt>
                <c:pt idx="133">
                  <c:v>40.963200000000001</c:v>
                </c:pt>
                <c:pt idx="134">
                  <c:v>40.645900000000005</c:v>
                </c:pt>
                <c:pt idx="135">
                  <c:v>40.374900000000004</c:v>
                </c:pt>
                <c:pt idx="136">
                  <c:v>40.098099999999995</c:v>
                </c:pt>
                <c:pt idx="137">
                  <c:v>39.807900000000004</c:v>
                </c:pt>
                <c:pt idx="138">
                  <c:v>39.486900000000006</c:v>
                </c:pt>
                <c:pt idx="139">
                  <c:v>39.119199999999999</c:v>
                </c:pt>
                <c:pt idx="140">
                  <c:v>38.722799999999999</c:v>
                </c:pt>
                <c:pt idx="141">
                  <c:v>38.305399999999999</c:v>
                </c:pt>
                <c:pt idx="142">
                  <c:v>38.001600000000003</c:v>
                </c:pt>
                <c:pt idx="143">
                  <c:v>37.753300000000003</c:v>
                </c:pt>
                <c:pt idx="144">
                  <c:v>37.522299999999994</c:v>
                </c:pt>
                <c:pt idx="145">
                  <c:v>37.482300000000002</c:v>
                </c:pt>
                <c:pt idx="146">
                  <c:v>37.410399999999996</c:v>
                </c:pt>
                <c:pt idx="147">
                  <c:v>37.542400000000001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30.057600000000001</c:v>
                </c:pt>
                <c:pt idx="2">
                  <c:v>30.642299999999999</c:v>
                </c:pt>
                <c:pt idx="3">
                  <c:v>31.021000000000001</c:v>
                </c:pt>
                <c:pt idx="4">
                  <c:v>31.389299999999999</c:v>
                </c:pt>
                <c:pt idx="5">
                  <c:v>31.763100000000001</c:v>
                </c:pt>
                <c:pt idx="6">
                  <c:v>32.1571</c:v>
                </c:pt>
                <c:pt idx="7">
                  <c:v>32.560099999999998</c:v>
                </c:pt>
                <c:pt idx="8">
                  <c:v>32.9619</c:v>
                </c:pt>
                <c:pt idx="9">
                  <c:v>33.371899999999997</c:v>
                </c:pt>
                <c:pt idx="10">
                  <c:v>33.775799999999997</c:v>
                </c:pt>
                <c:pt idx="11">
                  <c:v>34.181699999999999</c:v>
                </c:pt>
                <c:pt idx="12">
                  <c:v>34.588700000000003</c:v>
                </c:pt>
                <c:pt idx="13">
                  <c:v>34.997399999999999</c:v>
                </c:pt>
                <c:pt idx="14">
                  <c:v>35.401400000000002</c:v>
                </c:pt>
                <c:pt idx="15">
                  <c:v>35.809399999999997</c:v>
                </c:pt>
                <c:pt idx="16">
                  <c:v>36.213200000000001</c:v>
                </c:pt>
                <c:pt idx="17">
                  <c:v>36.623100000000001</c:v>
                </c:pt>
                <c:pt idx="18">
                  <c:v>37.03</c:v>
                </c:pt>
                <c:pt idx="19">
                  <c:v>37.433</c:v>
                </c:pt>
                <c:pt idx="20">
                  <c:v>37.8429</c:v>
                </c:pt>
                <c:pt idx="21">
                  <c:v>38.249699999999997</c:v>
                </c:pt>
                <c:pt idx="22">
                  <c:v>38.659599999999998</c:v>
                </c:pt>
                <c:pt idx="23">
                  <c:v>39.059600000000003</c:v>
                </c:pt>
                <c:pt idx="24">
                  <c:v>39.463900000000002</c:v>
                </c:pt>
                <c:pt idx="25">
                  <c:v>39.871000000000002</c:v>
                </c:pt>
                <c:pt idx="26">
                  <c:v>40.281300000000002</c:v>
                </c:pt>
                <c:pt idx="27">
                  <c:v>40.6873</c:v>
                </c:pt>
                <c:pt idx="28">
                  <c:v>41.093200000000003</c:v>
                </c:pt>
                <c:pt idx="29">
                  <c:v>41.498100000000001</c:v>
                </c:pt>
                <c:pt idx="30">
                  <c:v>41.901400000000002</c:v>
                </c:pt>
                <c:pt idx="31">
                  <c:v>42.308500000000002</c:v>
                </c:pt>
                <c:pt idx="32">
                  <c:v>42.712800000000001</c:v>
                </c:pt>
                <c:pt idx="33">
                  <c:v>43.126800000000003</c:v>
                </c:pt>
                <c:pt idx="34">
                  <c:v>43.525700000000001</c:v>
                </c:pt>
                <c:pt idx="35">
                  <c:v>43.937800000000003</c:v>
                </c:pt>
                <c:pt idx="36">
                  <c:v>44.340899999999998</c:v>
                </c:pt>
                <c:pt idx="37">
                  <c:v>44.746499999999997</c:v>
                </c:pt>
                <c:pt idx="38">
                  <c:v>45.153700000000001</c:v>
                </c:pt>
                <c:pt idx="39">
                  <c:v>45.557200000000002</c:v>
                </c:pt>
                <c:pt idx="40">
                  <c:v>45.9621</c:v>
                </c:pt>
                <c:pt idx="41">
                  <c:v>46.372</c:v>
                </c:pt>
                <c:pt idx="42">
                  <c:v>46.777000000000001</c:v>
                </c:pt>
                <c:pt idx="43">
                  <c:v>47.184199999999997</c:v>
                </c:pt>
                <c:pt idx="44">
                  <c:v>47.588799999999999</c:v>
                </c:pt>
                <c:pt idx="45">
                  <c:v>47.994700000000002</c:v>
                </c:pt>
                <c:pt idx="46">
                  <c:v>48.401000000000003</c:v>
                </c:pt>
                <c:pt idx="47">
                  <c:v>48.807499999999997</c:v>
                </c:pt>
                <c:pt idx="48">
                  <c:v>49.217700000000001</c:v>
                </c:pt>
                <c:pt idx="49">
                  <c:v>49.624299999999998</c:v>
                </c:pt>
                <c:pt idx="50">
                  <c:v>50.027299999999997</c:v>
                </c:pt>
                <c:pt idx="51">
                  <c:v>50.432299999999998</c:v>
                </c:pt>
                <c:pt idx="52">
                  <c:v>50.837200000000003</c:v>
                </c:pt>
                <c:pt idx="53">
                  <c:v>51.246299999999998</c:v>
                </c:pt>
                <c:pt idx="54">
                  <c:v>51.651200000000003</c:v>
                </c:pt>
                <c:pt idx="55">
                  <c:v>52.056899999999999</c:v>
                </c:pt>
                <c:pt idx="56">
                  <c:v>52.465800000000002</c:v>
                </c:pt>
                <c:pt idx="57">
                  <c:v>52.869700000000002</c:v>
                </c:pt>
                <c:pt idx="58">
                  <c:v>53.276600000000002</c:v>
                </c:pt>
                <c:pt idx="59">
                  <c:v>53.687399999999997</c:v>
                </c:pt>
                <c:pt idx="60">
                  <c:v>54.095399999999998</c:v>
                </c:pt>
                <c:pt idx="61">
                  <c:v>54.496400000000001</c:v>
                </c:pt>
                <c:pt idx="62">
                  <c:v>54.902299999999997</c:v>
                </c:pt>
                <c:pt idx="63">
                  <c:v>55.310600000000001</c:v>
                </c:pt>
                <c:pt idx="64">
                  <c:v>55.7151</c:v>
                </c:pt>
                <c:pt idx="65">
                  <c:v>56.122</c:v>
                </c:pt>
                <c:pt idx="66">
                  <c:v>56.527799999999999</c:v>
                </c:pt>
                <c:pt idx="67">
                  <c:v>56.934800000000003</c:v>
                </c:pt>
                <c:pt idx="68">
                  <c:v>57.341700000000003</c:v>
                </c:pt>
                <c:pt idx="69">
                  <c:v>57.746899999999997</c:v>
                </c:pt>
                <c:pt idx="70">
                  <c:v>58.156500000000001</c:v>
                </c:pt>
                <c:pt idx="71">
                  <c:v>58.563400000000001</c:v>
                </c:pt>
                <c:pt idx="72">
                  <c:v>58.967599999999997</c:v>
                </c:pt>
                <c:pt idx="73">
                  <c:v>59.3703</c:v>
                </c:pt>
                <c:pt idx="74">
                  <c:v>59.775300000000001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38.911499999999997</c:v>
                </c:pt>
                <c:pt idx="1">
                  <c:v>38.431199999999997</c:v>
                </c:pt>
                <c:pt idx="2">
                  <c:v>38.116799999999998</c:v>
                </c:pt>
                <c:pt idx="3">
                  <c:v>37.936999999999998</c:v>
                </c:pt>
                <c:pt idx="4">
                  <c:v>37.784199999999998</c:v>
                </c:pt>
                <c:pt idx="5">
                  <c:v>37.801400000000001</c:v>
                </c:pt>
                <c:pt idx="6">
                  <c:v>37.920300000000005</c:v>
                </c:pt>
                <c:pt idx="7">
                  <c:v>38.058799999999998</c:v>
                </c:pt>
                <c:pt idx="8">
                  <c:v>38.199199999999998</c:v>
                </c:pt>
                <c:pt idx="9">
                  <c:v>38.324200000000005</c:v>
                </c:pt>
                <c:pt idx="10">
                  <c:v>38.453600000000002</c:v>
                </c:pt>
                <c:pt idx="11">
                  <c:v>38.654800000000002</c:v>
                </c:pt>
                <c:pt idx="12">
                  <c:v>38.872</c:v>
                </c:pt>
                <c:pt idx="13">
                  <c:v>39.149799999999999</c:v>
                </c:pt>
                <c:pt idx="14">
                  <c:v>39.505800000000001</c:v>
                </c:pt>
                <c:pt idx="15">
                  <c:v>40.000999999999998</c:v>
                </c:pt>
                <c:pt idx="16">
                  <c:v>40.523600000000002</c:v>
                </c:pt>
                <c:pt idx="17">
                  <c:v>41.108600000000003</c:v>
                </c:pt>
                <c:pt idx="18">
                  <c:v>41.740200000000002</c:v>
                </c:pt>
                <c:pt idx="19">
                  <c:v>42.392099999999999</c:v>
                </c:pt>
                <c:pt idx="20">
                  <c:v>43.063800000000001</c:v>
                </c:pt>
                <c:pt idx="21">
                  <c:v>43.855600000000003</c:v>
                </c:pt>
                <c:pt idx="22">
                  <c:v>44.799099999999996</c:v>
                </c:pt>
                <c:pt idx="23">
                  <c:v>45.924900000000001</c:v>
                </c:pt>
                <c:pt idx="24">
                  <c:v>47.020600000000002</c:v>
                </c:pt>
                <c:pt idx="25">
                  <c:v>47.967700000000001</c:v>
                </c:pt>
                <c:pt idx="26">
                  <c:v>48.787000000000006</c:v>
                </c:pt>
                <c:pt idx="27">
                  <c:v>49.490400000000001</c:v>
                </c:pt>
                <c:pt idx="28">
                  <c:v>50.121899999999997</c:v>
                </c:pt>
                <c:pt idx="29">
                  <c:v>50.737900000000003</c:v>
                </c:pt>
                <c:pt idx="30">
                  <c:v>51.173699999999997</c:v>
                </c:pt>
                <c:pt idx="31">
                  <c:v>51.3718</c:v>
                </c:pt>
                <c:pt idx="32">
                  <c:v>51.3645</c:v>
                </c:pt>
                <c:pt idx="33">
                  <c:v>51.228300000000004</c:v>
                </c:pt>
                <c:pt idx="34">
                  <c:v>51.066900000000004</c:v>
                </c:pt>
                <c:pt idx="35">
                  <c:v>50.897999999999996</c:v>
                </c:pt>
                <c:pt idx="36">
                  <c:v>50.679099999999998</c:v>
                </c:pt>
                <c:pt idx="37">
                  <c:v>50.359900000000003</c:v>
                </c:pt>
                <c:pt idx="38">
                  <c:v>50.0246</c:v>
                </c:pt>
                <c:pt idx="39">
                  <c:v>49.6952</c:v>
                </c:pt>
                <c:pt idx="40">
                  <c:v>49.336600000000004</c:v>
                </c:pt>
                <c:pt idx="41">
                  <c:v>48.953400000000002</c:v>
                </c:pt>
                <c:pt idx="42">
                  <c:v>48.540399999999998</c:v>
                </c:pt>
                <c:pt idx="43">
                  <c:v>48.063699999999997</c:v>
                </c:pt>
                <c:pt idx="44">
                  <c:v>47.527099999999997</c:v>
                </c:pt>
                <c:pt idx="45">
                  <c:v>46.993299999999998</c:v>
                </c:pt>
                <c:pt idx="46">
                  <c:v>46.4116</c:v>
                </c:pt>
                <c:pt idx="47">
                  <c:v>45.698699999999995</c:v>
                </c:pt>
                <c:pt idx="48">
                  <c:v>44.956400000000002</c:v>
                </c:pt>
                <c:pt idx="49">
                  <c:v>44.188200000000002</c:v>
                </c:pt>
                <c:pt idx="50">
                  <c:v>43.499500000000005</c:v>
                </c:pt>
                <c:pt idx="51">
                  <c:v>43.242000000000004</c:v>
                </c:pt>
                <c:pt idx="52">
                  <c:v>42.9574</c:v>
                </c:pt>
                <c:pt idx="53">
                  <c:v>42.671399999999998</c:v>
                </c:pt>
                <c:pt idx="54">
                  <c:v>42.414000000000001</c:v>
                </c:pt>
                <c:pt idx="55">
                  <c:v>42.179200000000002</c:v>
                </c:pt>
                <c:pt idx="56">
                  <c:v>41.962899999999998</c:v>
                </c:pt>
                <c:pt idx="57">
                  <c:v>41.737900000000003</c:v>
                </c:pt>
                <c:pt idx="58">
                  <c:v>41.500900000000001</c:v>
                </c:pt>
                <c:pt idx="59">
                  <c:v>41.247699999999995</c:v>
                </c:pt>
                <c:pt idx="60">
                  <c:v>40.963200000000001</c:v>
                </c:pt>
                <c:pt idx="61">
                  <c:v>40.645900000000005</c:v>
                </c:pt>
                <c:pt idx="62">
                  <c:v>40.374900000000004</c:v>
                </c:pt>
                <c:pt idx="63">
                  <c:v>40.098099999999995</c:v>
                </c:pt>
                <c:pt idx="64">
                  <c:v>39.807900000000004</c:v>
                </c:pt>
                <c:pt idx="65">
                  <c:v>39.486900000000006</c:v>
                </c:pt>
                <c:pt idx="66">
                  <c:v>39.119199999999999</c:v>
                </c:pt>
                <c:pt idx="67">
                  <c:v>38.722799999999999</c:v>
                </c:pt>
                <c:pt idx="68">
                  <c:v>38.305399999999999</c:v>
                </c:pt>
                <c:pt idx="69">
                  <c:v>38.001600000000003</c:v>
                </c:pt>
                <c:pt idx="70">
                  <c:v>37.753300000000003</c:v>
                </c:pt>
                <c:pt idx="71">
                  <c:v>37.522299999999994</c:v>
                </c:pt>
                <c:pt idx="72">
                  <c:v>37.482300000000002</c:v>
                </c:pt>
                <c:pt idx="73">
                  <c:v>37.410399999999996</c:v>
                </c:pt>
                <c:pt idx="74">
                  <c:v>37.542400000000001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14.943825</c:v>
                </c:pt>
                <c:pt idx="1">
                  <c:v>44.831474999999998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39.129983783783793</c:v>
                </c:pt>
                <c:pt idx="1">
                  <c:v>43.242221621621638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43.448799999999999</c:v>
                </c:pt>
                <c:pt idx="1">
                  <c:v>30.555499999999999</c:v>
                </c:pt>
                <c:pt idx="2">
                  <c:v>28.172499999999999</c:v>
                </c:pt>
                <c:pt idx="3">
                  <c:v>31.704799999999999</c:v>
                </c:pt>
                <c:pt idx="4">
                  <c:v>47.648800000000001</c:v>
                </c:pt>
                <c:pt idx="5">
                  <c:v>71.293899999999994</c:v>
                </c:pt>
                <c:pt idx="6">
                  <c:v>17.710999999999999</c:v>
                </c:pt>
                <c:pt idx="7">
                  <c:v>61.177599999999998</c:v>
                </c:pt>
                <c:pt idx="8">
                  <c:v>18.127199999999998</c:v>
                </c:pt>
                <c:pt idx="9">
                  <c:v>41.215299999999999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39.873100000000001</c:v>
                </c:pt>
                <c:pt idx="1">
                  <c:v>28.833600000000001</c:v>
                </c:pt>
                <c:pt idx="2">
                  <c:v>29.941199999999998</c:v>
                </c:pt>
                <c:pt idx="3">
                  <c:v>32.502899999999997</c:v>
                </c:pt>
                <c:pt idx="4">
                  <c:v>55.893700000000003</c:v>
                </c:pt>
                <c:pt idx="5">
                  <c:v>67.210999999999999</c:v>
                </c:pt>
                <c:pt idx="6">
                  <c:v>16.5442</c:v>
                </c:pt>
                <c:pt idx="7">
                  <c:v>63.288600000000002</c:v>
                </c:pt>
                <c:pt idx="8">
                  <c:v>19.152200000000001</c:v>
                </c:pt>
                <c:pt idx="9">
                  <c:v>43.081899999999997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0.43923672823518939</c:v>
                </c:pt>
                <c:pt idx="1">
                  <c:v>0.2972518299929906</c:v>
                </c:pt>
                <c:pt idx="2">
                  <c:v>0.26351144177182001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7842</c:v>
                </c:pt>
                <c:pt idx="7">
                  <c:v>0</c:v>
                </c:pt>
                <c:pt idx="8">
                  <c:v>15818</c:v>
                </c:pt>
                <c:pt idx="9">
                  <c:v>0</c:v>
                </c:pt>
                <c:pt idx="10">
                  <c:v>0</c:v>
                </c:pt>
                <c:pt idx="11">
                  <c:v>20633</c:v>
                </c:pt>
                <c:pt idx="12">
                  <c:v>0</c:v>
                </c:pt>
                <c:pt idx="13">
                  <c:v>27471</c:v>
                </c:pt>
                <c:pt idx="14">
                  <c:v>0</c:v>
                </c:pt>
                <c:pt idx="15">
                  <c:v>0</c:v>
                </c:pt>
                <c:pt idx="16">
                  <c:v>28074</c:v>
                </c:pt>
                <c:pt idx="17">
                  <c:v>0</c:v>
                </c:pt>
                <c:pt idx="18">
                  <c:v>0</c:v>
                </c:pt>
                <c:pt idx="19">
                  <c:v>40177</c:v>
                </c:pt>
                <c:pt idx="20">
                  <c:v>0</c:v>
                </c:pt>
                <c:pt idx="21">
                  <c:v>49559</c:v>
                </c:pt>
                <c:pt idx="22">
                  <c:v>0</c:v>
                </c:pt>
                <c:pt idx="23">
                  <c:v>0</c:v>
                </c:pt>
                <c:pt idx="24">
                  <c:v>52206</c:v>
                </c:pt>
                <c:pt idx="25">
                  <c:v>0</c:v>
                </c:pt>
                <c:pt idx="26">
                  <c:v>41479</c:v>
                </c:pt>
                <c:pt idx="27">
                  <c:v>0</c:v>
                </c:pt>
                <c:pt idx="28">
                  <c:v>0</c:v>
                </c:pt>
                <c:pt idx="29">
                  <c:v>43670</c:v>
                </c:pt>
                <c:pt idx="30">
                  <c:v>0</c:v>
                </c:pt>
                <c:pt idx="31">
                  <c:v>43053</c:v>
                </c:pt>
                <c:pt idx="32">
                  <c:v>0</c:v>
                </c:pt>
                <c:pt idx="33">
                  <c:v>0</c:v>
                </c:pt>
                <c:pt idx="34">
                  <c:v>45562</c:v>
                </c:pt>
                <c:pt idx="35">
                  <c:v>0</c:v>
                </c:pt>
                <c:pt idx="36">
                  <c:v>0</c:v>
                </c:pt>
                <c:pt idx="37">
                  <c:v>49609</c:v>
                </c:pt>
                <c:pt idx="38">
                  <c:v>0</c:v>
                </c:pt>
                <c:pt idx="39">
                  <c:v>50980</c:v>
                </c:pt>
                <c:pt idx="40">
                  <c:v>0</c:v>
                </c:pt>
                <c:pt idx="41">
                  <c:v>0</c:v>
                </c:pt>
                <c:pt idx="42">
                  <c:v>48859</c:v>
                </c:pt>
                <c:pt idx="43">
                  <c:v>0</c:v>
                </c:pt>
                <c:pt idx="44">
                  <c:v>44571</c:v>
                </c:pt>
                <c:pt idx="45">
                  <c:v>0</c:v>
                </c:pt>
                <c:pt idx="46">
                  <c:v>0</c:v>
                </c:pt>
                <c:pt idx="47">
                  <c:v>44915</c:v>
                </c:pt>
                <c:pt idx="48">
                  <c:v>0</c:v>
                </c:pt>
                <c:pt idx="49">
                  <c:v>39566</c:v>
                </c:pt>
                <c:pt idx="50">
                  <c:v>0</c:v>
                </c:pt>
                <c:pt idx="51">
                  <c:v>0</c:v>
                </c:pt>
                <c:pt idx="52">
                  <c:v>41773</c:v>
                </c:pt>
                <c:pt idx="53">
                  <c:v>0</c:v>
                </c:pt>
                <c:pt idx="54">
                  <c:v>0</c:v>
                </c:pt>
                <c:pt idx="55">
                  <c:v>39835</c:v>
                </c:pt>
                <c:pt idx="56">
                  <c:v>0</c:v>
                </c:pt>
                <c:pt idx="57">
                  <c:v>39371</c:v>
                </c:pt>
                <c:pt idx="58">
                  <c:v>0</c:v>
                </c:pt>
                <c:pt idx="59">
                  <c:v>0</c:v>
                </c:pt>
                <c:pt idx="60">
                  <c:v>43897</c:v>
                </c:pt>
                <c:pt idx="61">
                  <c:v>0</c:v>
                </c:pt>
                <c:pt idx="62">
                  <c:v>43053</c:v>
                </c:pt>
                <c:pt idx="63">
                  <c:v>0</c:v>
                </c:pt>
                <c:pt idx="64">
                  <c:v>0</c:v>
                </c:pt>
                <c:pt idx="65">
                  <c:v>45348</c:v>
                </c:pt>
                <c:pt idx="66">
                  <c:v>0</c:v>
                </c:pt>
                <c:pt idx="67">
                  <c:v>45739</c:v>
                </c:pt>
                <c:pt idx="68">
                  <c:v>0</c:v>
                </c:pt>
                <c:pt idx="69">
                  <c:v>0</c:v>
                </c:pt>
                <c:pt idx="70">
                  <c:v>44311</c:v>
                </c:pt>
                <c:pt idx="71">
                  <c:v>0</c:v>
                </c:pt>
                <c:pt idx="72">
                  <c:v>0</c:v>
                </c:pt>
                <c:pt idx="73">
                  <c:v>42082</c:v>
                </c:pt>
                <c:pt idx="74">
                  <c:v>0</c:v>
                </c:pt>
                <c:pt idx="75">
                  <c:v>42314</c:v>
                </c:pt>
                <c:pt idx="76">
                  <c:v>0</c:v>
                </c:pt>
                <c:pt idx="77">
                  <c:v>0</c:v>
                </c:pt>
                <c:pt idx="78">
                  <c:v>42652</c:v>
                </c:pt>
                <c:pt idx="79">
                  <c:v>0</c:v>
                </c:pt>
                <c:pt idx="80">
                  <c:v>51308</c:v>
                </c:pt>
                <c:pt idx="81">
                  <c:v>0</c:v>
                </c:pt>
                <c:pt idx="82">
                  <c:v>0</c:v>
                </c:pt>
                <c:pt idx="83">
                  <c:v>52057</c:v>
                </c:pt>
                <c:pt idx="84">
                  <c:v>0</c:v>
                </c:pt>
                <c:pt idx="85">
                  <c:v>0</c:v>
                </c:pt>
                <c:pt idx="86">
                  <c:v>53204</c:v>
                </c:pt>
                <c:pt idx="87">
                  <c:v>0</c:v>
                </c:pt>
                <c:pt idx="88">
                  <c:v>54040</c:v>
                </c:pt>
                <c:pt idx="89">
                  <c:v>0</c:v>
                </c:pt>
                <c:pt idx="90">
                  <c:v>0</c:v>
                </c:pt>
                <c:pt idx="91">
                  <c:v>53560</c:v>
                </c:pt>
                <c:pt idx="92">
                  <c:v>0</c:v>
                </c:pt>
                <c:pt idx="93">
                  <c:v>52575</c:v>
                </c:pt>
                <c:pt idx="94">
                  <c:v>0</c:v>
                </c:pt>
                <c:pt idx="95">
                  <c:v>0</c:v>
                </c:pt>
                <c:pt idx="96">
                  <c:v>55207</c:v>
                </c:pt>
                <c:pt idx="97">
                  <c:v>0</c:v>
                </c:pt>
                <c:pt idx="98">
                  <c:v>53296</c:v>
                </c:pt>
                <c:pt idx="99">
                  <c:v>0</c:v>
                </c:pt>
                <c:pt idx="100">
                  <c:v>0</c:v>
                </c:pt>
                <c:pt idx="101">
                  <c:v>50667</c:v>
                </c:pt>
                <c:pt idx="102">
                  <c:v>0</c:v>
                </c:pt>
                <c:pt idx="103">
                  <c:v>0</c:v>
                </c:pt>
                <c:pt idx="104">
                  <c:v>46761</c:v>
                </c:pt>
                <c:pt idx="105">
                  <c:v>0</c:v>
                </c:pt>
                <c:pt idx="106">
                  <c:v>48582</c:v>
                </c:pt>
                <c:pt idx="107">
                  <c:v>0</c:v>
                </c:pt>
                <c:pt idx="108">
                  <c:v>0</c:v>
                </c:pt>
                <c:pt idx="109">
                  <c:v>46778</c:v>
                </c:pt>
                <c:pt idx="110">
                  <c:v>0</c:v>
                </c:pt>
                <c:pt idx="111">
                  <c:v>44102</c:v>
                </c:pt>
                <c:pt idx="112">
                  <c:v>0</c:v>
                </c:pt>
                <c:pt idx="113">
                  <c:v>0</c:v>
                </c:pt>
                <c:pt idx="114">
                  <c:v>46153</c:v>
                </c:pt>
                <c:pt idx="115">
                  <c:v>0</c:v>
                </c:pt>
                <c:pt idx="116">
                  <c:v>38953</c:v>
                </c:pt>
                <c:pt idx="117">
                  <c:v>0</c:v>
                </c:pt>
                <c:pt idx="118">
                  <c:v>0</c:v>
                </c:pt>
                <c:pt idx="119">
                  <c:v>36526</c:v>
                </c:pt>
                <c:pt idx="120">
                  <c:v>0</c:v>
                </c:pt>
                <c:pt idx="121">
                  <c:v>0</c:v>
                </c:pt>
                <c:pt idx="122">
                  <c:v>37853</c:v>
                </c:pt>
                <c:pt idx="123">
                  <c:v>0</c:v>
                </c:pt>
                <c:pt idx="124">
                  <c:v>32884</c:v>
                </c:pt>
                <c:pt idx="125">
                  <c:v>0</c:v>
                </c:pt>
                <c:pt idx="126">
                  <c:v>0</c:v>
                </c:pt>
                <c:pt idx="127">
                  <c:v>31189</c:v>
                </c:pt>
                <c:pt idx="128">
                  <c:v>0</c:v>
                </c:pt>
                <c:pt idx="129">
                  <c:v>22593</c:v>
                </c:pt>
                <c:pt idx="130">
                  <c:v>0</c:v>
                </c:pt>
                <c:pt idx="131">
                  <c:v>0</c:v>
                </c:pt>
                <c:pt idx="132">
                  <c:v>17118</c:v>
                </c:pt>
                <c:pt idx="133">
                  <c:v>0</c:v>
                </c:pt>
                <c:pt idx="134">
                  <c:v>14022</c:v>
                </c:pt>
                <c:pt idx="135">
                  <c:v>0</c:v>
                </c:pt>
                <c:pt idx="136">
                  <c:v>0</c:v>
                </c:pt>
                <c:pt idx="137">
                  <c:v>9656</c:v>
                </c:pt>
                <c:pt idx="138">
                  <c:v>0</c:v>
                </c:pt>
                <c:pt idx="139">
                  <c:v>0</c:v>
                </c:pt>
                <c:pt idx="140">
                  <c:v>7371</c:v>
                </c:pt>
                <c:pt idx="141">
                  <c:v>0</c:v>
                </c:pt>
                <c:pt idx="142">
                  <c:v>4140</c:v>
                </c:pt>
                <c:pt idx="143">
                  <c:v>0</c:v>
                </c:pt>
                <c:pt idx="144">
                  <c:v>0</c:v>
                </c:pt>
                <c:pt idx="145">
                  <c:v>3337</c:v>
                </c:pt>
                <c:pt idx="146">
                  <c:v>0</c:v>
                </c:pt>
                <c:pt idx="147">
                  <c:v>2190</c:v>
                </c:pt>
                <c:pt idx="148">
                  <c:v>0</c:v>
                </c:pt>
                <c:pt idx="149">
                  <c:v>0</c:v>
                </c:pt>
                <c:pt idx="150">
                  <c:v>1414</c:v>
                </c:pt>
                <c:pt idx="151">
                  <c:v>0</c:v>
                </c:pt>
                <c:pt idx="152">
                  <c:v>1033</c:v>
                </c:pt>
                <c:pt idx="153">
                  <c:v>0</c:v>
                </c:pt>
                <c:pt idx="154">
                  <c:v>0</c:v>
                </c:pt>
                <c:pt idx="155">
                  <c:v>476</c:v>
                </c:pt>
                <c:pt idx="156">
                  <c:v>0</c:v>
                </c:pt>
                <c:pt idx="157">
                  <c:v>0</c:v>
                </c:pt>
                <c:pt idx="158">
                  <c:v>312</c:v>
                </c:pt>
                <c:pt idx="159">
                  <c:v>0</c:v>
                </c:pt>
                <c:pt idx="160">
                  <c:v>197</c:v>
                </c:pt>
                <c:pt idx="161">
                  <c:v>0</c:v>
                </c:pt>
                <c:pt idx="162">
                  <c:v>0</c:v>
                </c:pt>
                <c:pt idx="163">
                  <c:v>317</c:v>
                </c:pt>
                <c:pt idx="164">
                  <c:v>0</c:v>
                </c:pt>
                <c:pt idx="165">
                  <c:v>197</c:v>
                </c:pt>
                <c:pt idx="166">
                  <c:v>0</c:v>
                </c:pt>
                <c:pt idx="167">
                  <c:v>0</c:v>
                </c:pt>
                <c:pt idx="168">
                  <c:v>120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3621</c:v>
                </c:pt>
                <c:pt idx="7">
                  <c:v>0</c:v>
                </c:pt>
                <c:pt idx="8">
                  <c:v>6441</c:v>
                </c:pt>
                <c:pt idx="9">
                  <c:v>0</c:v>
                </c:pt>
                <c:pt idx="10">
                  <c:v>0</c:v>
                </c:pt>
                <c:pt idx="11">
                  <c:v>10624</c:v>
                </c:pt>
                <c:pt idx="12">
                  <c:v>0</c:v>
                </c:pt>
                <c:pt idx="13">
                  <c:v>14591</c:v>
                </c:pt>
                <c:pt idx="14">
                  <c:v>0</c:v>
                </c:pt>
                <c:pt idx="15">
                  <c:v>0</c:v>
                </c:pt>
                <c:pt idx="16">
                  <c:v>23057</c:v>
                </c:pt>
                <c:pt idx="17">
                  <c:v>0</c:v>
                </c:pt>
                <c:pt idx="18">
                  <c:v>0</c:v>
                </c:pt>
                <c:pt idx="19">
                  <c:v>30687</c:v>
                </c:pt>
                <c:pt idx="20">
                  <c:v>0</c:v>
                </c:pt>
                <c:pt idx="21">
                  <c:v>44010</c:v>
                </c:pt>
                <c:pt idx="22">
                  <c:v>0</c:v>
                </c:pt>
                <c:pt idx="23">
                  <c:v>0</c:v>
                </c:pt>
                <c:pt idx="24">
                  <c:v>45540</c:v>
                </c:pt>
                <c:pt idx="25">
                  <c:v>0</c:v>
                </c:pt>
                <c:pt idx="26">
                  <c:v>39600</c:v>
                </c:pt>
                <c:pt idx="27">
                  <c:v>0</c:v>
                </c:pt>
                <c:pt idx="28">
                  <c:v>0</c:v>
                </c:pt>
                <c:pt idx="29">
                  <c:v>41225</c:v>
                </c:pt>
                <c:pt idx="30">
                  <c:v>0</c:v>
                </c:pt>
                <c:pt idx="31">
                  <c:v>51545</c:v>
                </c:pt>
                <c:pt idx="32">
                  <c:v>0</c:v>
                </c:pt>
                <c:pt idx="33">
                  <c:v>0</c:v>
                </c:pt>
                <c:pt idx="34">
                  <c:v>46345</c:v>
                </c:pt>
                <c:pt idx="35">
                  <c:v>0</c:v>
                </c:pt>
                <c:pt idx="36">
                  <c:v>0</c:v>
                </c:pt>
                <c:pt idx="37">
                  <c:v>41940</c:v>
                </c:pt>
                <c:pt idx="38">
                  <c:v>0</c:v>
                </c:pt>
                <c:pt idx="39">
                  <c:v>49632</c:v>
                </c:pt>
                <c:pt idx="40">
                  <c:v>0</c:v>
                </c:pt>
                <c:pt idx="41">
                  <c:v>0</c:v>
                </c:pt>
                <c:pt idx="42">
                  <c:v>44832</c:v>
                </c:pt>
                <c:pt idx="43">
                  <c:v>0</c:v>
                </c:pt>
                <c:pt idx="44">
                  <c:v>52710</c:v>
                </c:pt>
                <c:pt idx="45">
                  <c:v>0</c:v>
                </c:pt>
                <c:pt idx="46">
                  <c:v>0</c:v>
                </c:pt>
                <c:pt idx="47">
                  <c:v>50911</c:v>
                </c:pt>
                <c:pt idx="48">
                  <c:v>0</c:v>
                </c:pt>
                <c:pt idx="49">
                  <c:v>49100</c:v>
                </c:pt>
                <c:pt idx="50">
                  <c:v>0</c:v>
                </c:pt>
                <c:pt idx="51">
                  <c:v>0</c:v>
                </c:pt>
                <c:pt idx="52">
                  <c:v>51228</c:v>
                </c:pt>
                <c:pt idx="53">
                  <c:v>0</c:v>
                </c:pt>
                <c:pt idx="54">
                  <c:v>0</c:v>
                </c:pt>
                <c:pt idx="55">
                  <c:v>62454</c:v>
                </c:pt>
                <c:pt idx="56">
                  <c:v>0</c:v>
                </c:pt>
                <c:pt idx="57">
                  <c:v>63497</c:v>
                </c:pt>
                <c:pt idx="58">
                  <c:v>0</c:v>
                </c:pt>
                <c:pt idx="59">
                  <c:v>0</c:v>
                </c:pt>
                <c:pt idx="60">
                  <c:v>71953</c:v>
                </c:pt>
                <c:pt idx="61">
                  <c:v>0</c:v>
                </c:pt>
                <c:pt idx="62">
                  <c:v>82583</c:v>
                </c:pt>
                <c:pt idx="63">
                  <c:v>0</c:v>
                </c:pt>
                <c:pt idx="64">
                  <c:v>0</c:v>
                </c:pt>
                <c:pt idx="65">
                  <c:v>82434</c:v>
                </c:pt>
                <c:pt idx="66">
                  <c:v>0</c:v>
                </c:pt>
                <c:pt idx="67">
                  <c:v>77539</c:v>
                </c:pt>
                <c:pt idx="68">
                  <c:v>0</c:v>
                </c:pt>
                <c:pt idx="69">
                  <c:v>0</c:v>
                </c:pt>
                <c:pt idx="70">
                  <c:v>72657</c:v>
                </c:pt>
                <c:pt idx="71">
                  <c:v>0</c:v>
                </c:pt>
                <c:pt idx="72">
                  <c:v>0</c:v>
                </c:pt>
                <c:pt idx="73">
                  <c:v>76031</c:v>
                </c:pt>
                <c:pt idx="74">
                  <c:v>0</c:v>
                </c:pt>
                <c:pt idx="75">
                  <c:v>72828</c:v>
                </c:pt>
                <c:pt idx="76">
                  <c:v>0</c:v>
                </c:pt>
                <c:pt idx="77">
                  <c:v>0</c:v>
                </c:pt>
                <c:pt idx="78">
                  <c:v>73489</c:v>
                </c:pt>
                <c:pt idx="79">
                  <c:v>0</c:v>
                </c:pt>
                <c:pt idx="80">
                  <c:v>76528</c:v>
                </c:pt>
                <c:pt idx="81">
                  <c:v>0</c:v>
                </c:pt>
                <c:pt idx="82">
                  <c:v>0</c:v>
                </c:pt>
                <c:pt idx="83">
                  <c:v>86559</c:v>
                </c:pt>
                <c:pt idx="84">
                  <c:v>0</c:v>
                </c:pt>
                <c:pt idx="85">
                  <c:v>0</c:v>
                </c:pt>
                <c:pt idx="86">
                  <c:v>90404</c:v>
                </c:pt>
                <c:pt idx="87">
                  <c:v>0</c:v>
                </c:pt>
                <c:pt idx="88">
                  <c:v>89878</c:v>
                </c:pt>
                <c:pt idx="89">
                  <c:v>0</c:v>
                </c:pt>
                <c:pt idx="90">
                  <c:v>0</c:v>
                </c:pt>
                <c:pt idx="91">
                  <c:v>98245</c:v>
                </c:pt>
                <c:pt idx="92">
                  <c:v>0</c:v>
                </c:pt>
                <c:pt idx="93">
                  <c:v>96768</c:v>
                </c:pt>
                <c:pt idx="94">
                  <c:v>0</c:v>
                </c:pt>
                <c:pt idx="95">
                  <c:v>0</c:v>
                </c:pt>
                <c:pt idx="96">
                  <c:v>87413</c:v>
                </c:pt>
                <c:pt idx="97">
                  <c:v>0</c:v>
                </c:pt>
                <c:pt idx="98">
                  <c:v>79176</c:v>
                </c:pt>
                <c:pt idx="99">
                  <c:v>0</c:v>
                </c:pt>
                <c:pt idx="100">
                  <c:v>0</c:v>
                </c:pt>
                <c:pt idx="101">
                  <c:v>75791</c:v>
                </c:pt>
                <c:pt idx="102">
                  <c:v>0</c:v>
                </c:pt>
                <c:pt idx="103">
                  <c:v>0</c:v>
                </c:pt>
                <c:pt idx="104">
                  <c:v>61691</c:v>
                </c:pt>
                <c:pt idx="105">
                  <c:v>0</c:v>
                </c:pt>
                <c:pt idx="106">
                  <c:v>59151</c:v>
                </c:pt>
                <c:pt idx="107">
                  <c:v>0</c:v>
                </c:pt>
                <c:pt idx="108">
                  <c:v>0</c:v>
                </c:pt>
                <c:pt idx="109">
                  <c:v>53316</c:v>
                </c:pt>
                <c:pt idx="110">
                  <c:v>0</c:v>
                </c:pt>
                <c:pt idx="111">
                  <c:v>47767</c:v>
                </c:pt>
                <c:pt idx="112">
                  <c:v>0</c:v>
                </c:pt>
                <c:pt idx="113">
                  <c:v>0</c:v>
                </c:pt>
                <c:pt idx="114">
                  <c:v>42513</c:v>
                </c:pt>
                <c:pt idx="115">
                  <c:v>0</c:v>
                </c:pt>
                <c:pt idx="116">
                  <c:v>34907</c:v>
                </c:pt>
                <c:pt idx="117">
                  <c:v>0</c:v>
                </c:pt>
                <c:pt idx="118">
                  <c:v>0</c:v>
                </c:pt>
                <c:pt idx="119">
                  <c:v>30002</c:v>
                </c:pt>
                <c:pt idx="120">
                  <c:v>0</c:v>
                </c:pt>
                <c:pt idx="121">
                  <c:v>0</c:v>
                </c:pt>
                <c:pt idx="122">
                  <c:v>24643</c:v>
                </c:pt>
                <c:pt idx="123">
                  <c:v>0</c:v>
                </c:pt>
                <c:pt idx="124">
                  <c:v>20275</c:v>
                </c:pt>
                <c:pt idx="125">
                  <c:v>0</c:v>
                </c:pt>
                <c:pt idx="126">
                  <c:v>0</c:v>
                </c:pt>
                <c:pt idx="127">
                  <c:v>15111</c:v>
                </c:pt>
                <c:pt idx="128">
                  <c:v>0</c:v>
                </c:pt>
                <c:pt idx="129">
                  <c:v>10473</c:v>
                </c:pt>
                <c:pt idx="130">
                  <c:v>0</c:v>
                </c:pt>
                <c:pt idx="131">
                  <c:v>0</c:v>
                </c:pt>
                <c:pt idx="132">
                  <c:v>7836</c:v>
                </c:pt>
                <c:pt idx="133">
                  <c:v>0</c:v>
                </c:pt>
                <c:pt idx="134">
                  <c:v>5202</c:v>
                </c:pt>
                <c:pt idx="135">
                  <c:v>0</c:v>
                </c:pt>
                <c:pt idx="136">
                  <c:v>0</c:v>
                </c:pt>
                <c:pt idx="137">
                  <c:v>3989</c:v>
                </c:pt>
                <c:pt idx="138">
                  <c:v>0</c:v>
                </c:pt>
                <c:pt idx="139">
                  <c:v>0</c:v>
                </c:pt>
                <c:pt idx="140">
                  <c:v>2524</c:v>
                </c:pt>
                <c:pt idx="141">
                  <c:v>0</c:v>
                </c:pt>
                <c:pt idx="142">
                  <c:v>1516</c:v>
                </c:pt>
                <c:pt idx="143">
                  <c:v>0</c:v>
                </c:pt>
                <c:pt idx="144">
                  <c:v>0</c:v>
                </c:pt>
                <c:pt idx="145">
                  <c:v>991</c:v>
                </c:pt>
                <c:pt idx="146">
                  <c:v>0</c:v>
                </c:pt>
                <c:pt idx="147">
                  <c:v>625</c:v>
                </c:pt>
                <c:pt idx="148">
                  <c:v>0</c:v>
                </c:pt>
                <c:pt idx="149">
                  <c:v>0</c:v>
                </c:pt>
                <c:pt idx="150">
                  <c:v>305</c:v>
                </c:pt>
                <c:pt idx="151">
                  <c:v>0</c:v>
                </c:pt>
                <c:pt idx="152">
                  <c:v>216</c:v>
                </c:pt>
                <c:pt idx="153">
                  <c:v>0</c:v>
                </c:pt>
                <c:pt idx="154">
                  <c:v>0</c:v>
                </c:pt>
                <c:pt idx="155">
                  <c:v>283</c:v>
                </c:pt>
                <c:pt idx="156">
                  <c:v>0</c:v>
                </c:pt>
                <c:pt idx="157">
                  <c:v>0</c:v>
                </c:pt>
                <c:pt idx="158">
                  <c:v>147</c:v>
                </c:pt>
                <c:pt idx="159">
                  <c:v>0</c:v>
                </c:pt>
                <c:pt idx="160">
                  <c:v>38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0.23022249357058863</c:v>
                </c:pt>
                <c:pt idx="1">
                  <c:v>0.38417434279795043</c:v>
                </c:pt>
                <c:pt idx="2">
                  <c:v>0.38560316363146085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0.44255724212828734</c:v>
                </c:pt>
                <c:pt idx="1">
                  <c:v>0.28600794013387665</c:v>
                </c:pt>
                <c:pt idx="2">
                  <c:v>0.27143481773783601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9.0855025000000005</c:v>
                </c:pt>
                <c:pt idx="1">
                  <c:v>13.581452499999997</c:v>
                </c:pt>
                <c:pt idx="2">
                  <c:v>28.361000000000001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  <c:pt idx="74">
                  <c:v>30.057600000000001</c:v>
                </c:pt>
                <c:pt idx="75">
                  <c:v>30.642299999999999</c:v>
                </c:pt>
                <c:pt idx="76">
                  <c:v>31.021000000000001</c:v>
                </c:pt>
                <c:pt idx="77">
                  <c:v>31.389299999999999</c:v>
                </c:pt>
                <c:pt idx="78">
                  <c:v>31.763100000000001</c:v>
                </c:pt>
                <c:pt idx="79">
                  <c:v>32.1571</c:v>
                </c:pt>
                <c:pt idx="80">
                  <c:v>32.560099999999998</c:v>
                </c:pt>
                <c:pt idx="81">
                  <c:v>32.9619</c:v>
                </c:pt>
                <c:pt idx="82">
                  <c:v>33.371899999999997</c:v>
                </c:pt>
                <c:pt idx="83">
                  <c:v>33.775799999999997</c:v>
                </c:pt>
                <c:pt idx="84">
                  <c:v>34.181699999999999</c:v>
                </c:pt>
                <c:pt idx="85">
                  <c:v>34.588700000000003</c:v>
                </c:pt>
                <c:pt idx="86">
                  <c:v>34.997399999999999</c:v>
                </c:pt>
                <c:pt idx="87">
                  <c:v>35.401400000000002</c:v>
                </c:pt>
                <c:pt idx="88">
                  <c:v>35.809399999999997</c:v>
                </c:pt>
                <c:pt idx="89">
                  <c:v>36.213200000000001</c:v>
                </c:pt>
                <c:pt idx="90">
                  <c:v>36.623100000000001</c:v>
                </c:pt>
                <c:pt idx="91">
                  <c:v>37.03</c:v>
                </c:pt>
                <c:pt idx="92">
                  <c:v>37.433</c:v>
                </c:pt>
                <c:pt idx="93">
                  <c:v>37.8429</c:v>
                </c:pt>
                <c:pt idx="94">
                  <c:v>38.249699999999997</c:v>
                </c:pt>
                <c:pt idx="95">
                  <c:v>38.659599999999998</c:v>
                </c:pt>
                <c:pt idx="96">
                  <c:v>39.059600000000003</c:v>
                </c:pt>
                <c:pt idx="97">
                  <c:v>39.463900000000002</c:v>
                </c:pt>
                <c:pt idx="98">
                  <c:v>39.871000000000002</c:v>
                </c:pt>
                <c:pt idx="99">
                  <c:v>40.281300000000002</c:v>
                </c:pt>
                <c:pt idx="100">
                  <c:v>40.6873</c:v>
                </c:pt>
                <c:pt idx="101">
                  <c:v>41.093200000000003</c:v>
                </c:pt>
                <c:pt idx="102">
                  <c:v>41.498100000000001</c:v>
                </c:pt>
                <c:pt idx="103">
                  <c:v>41.901400000000002</c:v>
                </c:pt>
                <c:pt idx="104">
                  <c:v>42.308500000000002</c:v>
                </c:pt>
                <c:pt idx="105">
                  <c:v>42.712800000000001</c:v>
                </c:pt>
                <c:pt idx="106">
                  <c:v>43.126800000000003</c:v>
                </c:pt>
                <c:pt idx="107">
                  <c:v>43.525700000000001</c:v>
                </c:pt>
                <c:pt idx="108">
                  <c:v>43.937800000000003</c:v>
                </c:pt>
                <c:pt idx="109">
                  <c:v>44.340899999999998</c:v>
                </c:pt>
                <c:pt idx="110">
                  <c:v>44.746499999999997</c:v>
                </c:pt>
                <c:pt idx="111">
                  <c:v>45.153700000000001</c:v>
                </c:pt>
                <c:pt idx="112">
                  <c:v>45.557200000000002</c:v>
                </c:pt>
                <c:pt idx="113">
                  <c:v>45.9621</c:v>
                </c:pt>
                <c:pt idx="114">
                  <c:v>46.372</c:v>
                </c:pt>
                <c:pt idx="115">
                  <c:v>46.777000000000001</c:v>
                </c:pt>
                <c:pt idx="116">
                  <c:v>47.184199999999997</c:v>
                </c:pt>
                <c:pt idx="117">
                  <c:v>47.588799999999999</c:v>
                </c:pt>
                <c:pt idx="118">
                  <c:v>47.994700000000002</c:v>
                </c:pt>
                <c:pt idx="119">
                  <c:v>48.401000000000003</c:v>
                </c:pt>
                <c:pt idx="120">
                  <c:v>48.807499999999997</c:v>
                </c:pt>
                <c:pt idx="121">
                  <c:v>49.217700000000001</c:v>
                </c:pt>
                <c:pt idx="122">
                  <c:v>49.624299999999998</c:v>
                </c:pt>
                <c:pt idx="123">
                  <c:v>50.027299999999997</c:v>
                </c:pt>
                <c:pt idx="124">
                  <c:v>50.432299999999998</c:v>
                </c:pt>
                <c:pt idx="125">
                  <c:v>50.837200000000003</c:v>
                </c:pt>
                <c:pt idx="126">
                  <c:v>51.246299999999998</c:v>
                </c:pt>
                <c:pt idx="127">
                  <c:v>51.651200000000003</c:v>
                </c:pt>
                <c:pt idx="128">
                  <c:v>52.056899999999999</c:v>
                </c:pt>
                <c:pt idx="129">
                  <c:v>52.465800000000002</c:v>
                </c:pt>
                <c:pt idx="130">
                  <c:v>52.869700000000002</c:v>
                </c:pt>
                <c:pt idx="131">
                  <c:v>53.276600000000002</c:v>
                </c:pt>
                <c:pt idx="132">
                  <c:v>53.687399999999997</c:v>
                </c:pt>
                <c:pt idx="133">
                  <c:v>54.095399999999998</c:v>
                </c:pt>
                <c:pt idx="134">
                  <c:v>54.496400000000001</c:v>
                </c:pt>
                <c:pt idx="135">
                  <c:v>54.902299999999997</c:v>
                </c:pt>
                <c:pt idx="136">
                  <c:v>55.310600000000001</c:v>
                </c:pt>
                <c:pt idx="137">
                  <c:v>55.7151</c:v>
                </c:pt>
                <c:pt idx="138">
                  <c:v>56.122</c:v>
                </c:pt>
                <c:pt idx="139">
                  <c:v>56.527799999999999</c:v>
                </c:pt>
                <c:pt idx="140">
                  <c:v>56.934800000000003</c:v>
                </c:pt>
                <c:pt idx="141">
                  <c:v>57.341700000000003</c:v>
                </c:pt>
                <c:pt idx="142">
                  <c:v>57.746899999999997</c:v>
                </c:pt>
                <c:pt idx="143">
                  <c:v>58.156500000000001</c:v>
                </c:pt>
                <c:pt idx="144">
                  <c:v>58.563400000000001</c:v>
                </c:pt>
                <c:pt idx="145">
                  <c:v>58.967599999999997</c:v>
                </c:pt>
                <c:pt idx="146">
                  <c:v>59.3703</c:v>
                </c:pt>
                <c:pt idx="147">
                  <c:v>59.775300000000001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  <c:pt idx="74">
                  <c:v>2.8545799999999999</c:v>
                </c:pt>
                <c:pt idx="75">
                  <c:v>2.8534300000000004</c:v>
                </c:pt>
                <c:pt idx="76">
                  <c:v>2.8488799999999999</c:v>
                </c:pt>
                <c:pt idx="77">
                  <c:v>2.8426200000000001</c:v>
                </c:pt>
                <c:pt idx="78">
                  <c:v>2.8351999999999999</c:v>
                </c:pt>
                <c:pt idx="79">
                  <c:v>2.8269899999999999</c:v>
                </c:pt>
                <c:pt idx="80">
                  <c:v>2.8196599999999998</c:v>
                </c:pt>
                <c:pt idx="81">
                  <c:v>2.8144200000000001</c:v>
                </c:pt>
                <c:pt idx="82">
                  <c:v>2.8149500000000001</c:v>
                </c:pt>
                <c:pt idx="83">
                  <c:v>2.8168199999999999</c:v>
                </c:pt>
                <c:pt idx="84">
                  <c:v>2.8167399999999998</c:v>
                </c:pt>
                <c:pt idx="85">
                  <c:v>2.8151599999999997</c:v>
                </c:pt>
                <c:pt idx="86">
                  <c:v>2.8116000000000003</c:v>
                </c:pt>
                <c:pt idx="87">
                  <c:v>2.8050899999999999</c:v>
                </c:pt>
                <c:pt idx="88">
                  <c:v>2.79501</c:v>
                </c:pt>
                <c:pt idx="89">
                  <c:v>2.7859299999999996</c:v>
                </c:pt>
                <c:pt idx="90">
                  <c:v>2.7741199999999999</c:v>
                </c:pt>
                <c:pt idx="91">
                  <c:v>2.7572700000000001</c:v>
                </c:pt>
                <c:pt idx="92">
                  <c:v>2.7369599999999998</c:v>
                </c:pt>
                <c:pt idx="93">
                  <c:v>2.7163900000000001</c:v>
                </c:pt>
                <c:pt idx="94">
                  <c:v>2.6966400000000004</c:v>
                </c:pt>
                <c:pt idx="95">
                  <c:v>2.6814200000000001</c:v>
                </c:pt>
                <c:pt idx="96">
                  <c:v>2.6674899999999999</c:v>
                </c:pt>
                <c:pt idx="97">
                  <c:v>2.6576499999999998</c:v>
                </c:pt>
                <c:pt idx="98">
                  <c:v>2.6498200000000001</c:v>
                </c:pt>
                <c:pt idx="99">
                  <c:v>2.64208</c:v>
                </c:pt>
                <c:pt idx="100">
                  <c:v>2.6354699999999998</c:v>
                </c:pt>
                <c:pt idx="101">
                  <c:v>2.6311600000000004</c:v>
                </c:pt>
                <c:pt idx="102">
                  <c:v>2.6271599999999999</c:v>
                </c:pt>
                <c:pt idx="103">
                  <c:v>2.6245000000000003</c:v>
                </c:pt>
                <c:pt idx="104">
                  <c:v>2.6254599999999999</c:v>
                </c:pt>
                <c:pt idx="105">
                  <c:v>2.63239</c:v>
                </c:pt>
                <c:pt idx="106">
                  <c:v>2.64377</c:v>
                </c:pt>
                <c:pt idx="107">
                  <c:v>2.65523</c:v>
                </c:pt>
                <c:pt idx="108">
                  <c:v>2.6664500000000002</c:v>
                </c:pt>
                <c:pt idx="109">
                  <c:v>2.6789899999999998</c:v>
                </c:pt>
                <c:pt idx="110">
                  <c:v>2.6941199999999998</c:v>
                </c:pt>
                <c:pt idx="111">
                  <c:v>2.7095500000000001</c:v>
                </c:pt>
                <c:pt idx="112">
                  <c:v>2.7237899999999997</c:v>
                </c:pt>
                <c:pt idx="113">
                  <c:v>2.7383600000000001</c:v>
                </c:pt>
                <c:pt idx="114">
                  <c:v>2.7535700000000003</c:v>
                </c:pt>
                <c:pt idx="115">
                  <c:v>2.7712700000000003</c:v>
                </c:pt>
                <c:pt idx="116">
                  <c:v>2.79582</c:v>
                </c:pt>
                <c:pt idx="117">
                  <c:v>2.8255699999999999</c:v>
                </c:pt>
                <c:pt idx="118">
                  <c:v>2.8563200000000002</c:v>
                </c:pt>
                <c:pt idx="119">
                  <c:v>2.8874599999999999</c:v>
                </c:pt>
                <c:pt idx="120">
                  <c:v>2.9172500000000001</c:v>
                </c:pt>
                <c:pt idx="121">
                  <c:v>2.9472900000000002</c:v>
                </c:pt>
                <c:pt idx="122">
                  <c:v>2.9770600000000003</c:v>
                </c:pt>
                <c:pt idx="123">
                  <c:v>3.0059900000000002</c:v>
                </c:pt>
                <c:pt idx="124">
                  <c:v>3.0177999999999998</c:v>
                </c:pt>
                <c:pt idx="125">
                  <c:v>3.0314000000000001</c:v>
                </c:pt>
                <c:pt idx="126">
                  <c:v>3.04617</c:v>
                </c:pt>
                <c:pt idx="127">
                  <c:v>3.0627199999999997</c:v>
                </c:pt>
                <c:pt idx="128">
                  <c:v>3.0783800000000001</c:v>
                </c:pt>
                <c:pt idx="129">
                  <c:v>3.09307</c:v>
                </c:pt>
                <c:pt idx="130">
                  <c:v>3.1049100000000003</c:v>
                </c:pt>
                <c:pt idx="131">
                  <c:v>3.1160300000000003</c:v>
                </c:pt>
                <c:pt idx="132">
                  <c:v>3.1269200000000001</c:v>
                </c:pt>
                <c:pt idx="133">
                  <c:v>3.13889</c:v>
                </c:pt>
                <c:pt idx="134">
                  <c:v>3.1519500000000003</c:v>
                </c:pt>
                <c:pt idx="135">
                  <c:v>3.16486</c:v>
                </c:pt>
                <c:pt idx="136">
                  <c:v>3.1783399999999999</c:v>
                </c:pt>
                <c:pt idx="137">
                  <c:v>3.1949300000000003</c:v>
                </c:pt>
                <c:pt idx="138">
                  <c:v>3.2153999999999998</c:v>
                </c:pt>
                <c:pt idx="139">
                  <c:v>3.2386999999999997</c:v>
                </c:pt>
                <c:pt idx="140">
                  <c:v>3.2637800000000001</c:v>
                </c:pt>
                <c:pt idx="141">
                  <c:v>3.2859400000000001</c:v>
                </c:pt>
                <c:pt idx="142">
                  <c:v>3.3051000000000004</c:v>
                </c:pt>
                <c:pt idx="143">
                  <c:v>3.3264</c:v>
                </c:pt>
                <c:pt idx="144">
                  <c:v>3.3482600000000002</c:v>
                </c:pt>
                <c:pt idx="145">
                  <c:v>3.3660600000000001</c:v>
                </c:pt>
                <c:pt idx="146">
                  <c:v>3.3776299999999999</c:v>
                </c:pt>
                <c:pt idx="147">
                  <c:v>3.3742800000000002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30.057600000000001</c:v>
                </c:pt>
                <c:pt idx="2">
                  <c:v>30.642299999999999</c:v>
                </c:pt>
                <c:pt idx="3">
                  <c:v>31.021000000000001</c:v>
                </c:pt>
                <c:pt idx="4">
                  <c:v>31.389299999999999</c:v>
                </c:pt>
                <c:pt idx="5">
                  <c:v>31.763100000000001</c:v>
                </c:pt>
                <c:pt idx="6">
                  <c:v>32.1571</c:v>
                </c:pt>
                <c:pt idx="7">
                  <c:v>32.560099999999998</c:v>
                </c:pt>
                <c:pt idx="8">
                  <c:v>32.9619</c:v>
                </c:pt>
                <c:pt idx="9">
                  <c:v>33.371899999999997</c:v>
                </c:pt>
                <c:pt idx="10">
                  <c:v>33.775799999999997</c:v>
                </c:pt>
                <c:pt idx="11">
                  <c:v>34.181699999999999</c:v>
                </c:pt>
                <c:pt idx="12">
                  <c:v>34.588700000000003</c:v>
                </c:pt>
                <c:pt idx="13">
                  <c:v>34.997399999999999</c:v>
                </c:pt>
                <c:pt idx="14">
                  <c:v>35.401400000000002</c:v>
                </c:pt>
                <c:pt idx="15">
                  <c:v>35.809399999999997</c:v>
                </c:pt>
                <c:pt idx="16">
                  <c:v>36.213200000000001</c:v>
                </c:pt>
                <c:pt idx="17">
                  <c:v>36.623100000000001</c:v>
                </c:pt>
                <c:pt idx="18">
                  <c:v>37.03</c:v>
                </c:pt>
                <c:pt idx="19">
                  <c:v>37.433</c:v>
                </c:pt>
                <c:pt idx="20">
                  <c:v>37.8429</c:v>
                </c:pt>
                <c:pt idx="21">
                  <c:v>38.249699999999997</c:v>
                </c:pt>
                <c:pt idx="22">
                  <c:v>38.659599999999998</c:v>
                </c:pt>
                <c:pt idx="23">
                  <c:v>39.059600000000003</c:v>
                </c:pt>
                <c:pt idx="24">
                  <c:v>39.463900000000002</c:v>
                </c:pt>
                <c:pt idx="25">
                  <c:v>39.871000000000002</c:v>
                </c:pt>
                <c:pt idx="26">
                  <c:v>40.281300000000002</c:v>
                </c:pt>
                <c:pt idx="27">
                  <c:v>40.6873</c:v>
                </c:pt>
                <c:pt idx="28">
                  <c:v>41.093200000000003</c:v>
                </c:pt>
                <c:pt idx="29">
                  <c:v>41.498100000000001</c:v>
                </c:pt>
                <c:pt idx="30">
                  <c:v>41.901400000000002</c:v>
                </c:pt>
                <c:pt idx="31">
                  <c:v>42.308500000000002</c:v>
                </c:pt>
                <c:pt idx="32">
                  <c:v>42.712800000000001</c:v>
                </c:pt>
                <c:pt idx="33">
                  <c:v>43.126800000000003</c:v>
                </c:pt>
                <c:pt idx="34">
                  <c:v>43.525700000000001</c:v>
                </c:pt>
                <c:pt idx="35">
                  <c:v>43.937800000000003</c:v>
                </c:pt>
                <c:pt idx="36">
                  <c:v>44.340899999999998</c:v>
                </c:pt>
                <c:pt idx="37">
                  <c:v>44.746499999999997</c:v>
                </c:pt>
                <c:pt idx="38">
                  <c:v>45.153700000000001</c:v>
                </c:pt>
                <c:pt idx="39">
                  <c:v>45.557200000000002</c:v>
                </c:pt>
                <c:pt idx="40">
                  <c:v>45.9621</c:v>
                </c:pt>
                <c:pt idx="41">
                  <c:v>46.372</c:v>
                </c:pt>
                <c:pt idx="42">
                  <c:v>46.777000000000001</c:v>
                </c:pt>
                <c:pt idx="43">
                  <c:v>47.184199999999997</c:v>
                </c:pt>
                <c:pt idx="44">
                  <c:v>47.588799999999999</c:v>
                </c:pt>
                <c:pt idx="45">
                  <c:v>47.994700000000002</c:v>
                </c:pt>
                <c:pt idx="46">
                  <c:v>48.401000000000003</c:v>
                </c:pt>
                <c:pt idx="47">
                  <c:v>48.807499999999997</c:v>
                </c:pt>
                <c:pt idx="48">
                  <c:v>49.217700000000001</c:v>
                </c:pt>
                <c:pt idx="49">
                  <c:v>49.624299999999998</c:v>
                </c:pt>
                <c:pt idx="50">
                  <c:v>50.027299999999997</c:v>
                </c:pt>
                <c:pt idx="51">
                  <c:v>50.432299999999998</c:v>
                </c:pt>
                <c:pt idx="52">
                  <c:v>50.837200000000003</c:v>
                </c:pt>
                <c:pt idx="53">
                  <c:v>51.246299999999998</c:v>
                </c:pt>
                <c:pt idx="54">
                  <c:v>51.651200000000003</c:v>
                </c:pt>
                <c:pt idx="55">
                  <c:v>52.056899999999999</c:v>
                </c:pt>
                <c:pt idx="56">
                  <c:v>52.465800000000002</c:v>
                </c:pt>
                <c:pt idx="57">
                  <c:v>52.869700000000002</c:v>
                </c:pt>
                <c:pt idx="58">
                  <c:v>53.276600000000002</c:v>
                </c:pt>
                <c:pt idx="59">
                  <c:v>53.687399999999997</c:v>
                </c:pt>
                <c:pt idx="60">
                  <c:v>54.095399999999998</c:v>
                </c:pt>
                <c:pt idx="61">
                  <c:v>54.496400000000001</c:v>
                </c:pt>
                <c:pt idx="62">
                  <c:v>54.902299999999997</c:v>
                </c:pt>
                <c:pt idx="63">
                  <c:v>55.310600000000001</c:v>
                </c:pt>
                <c:pt idx="64">
                  <c:v>55.7151</c:v>
                </c:pt>
                <c:pt idx="65">
                  <c:v>56.122</c:v>
                </c:pt>
                <c:pt idx="66">
                  <c:v>56.527799999999999</c:v>
                </c:pt>
                <c:pt idx="67">
                  <c:v>56.934800000000003</c:v>
                </c:pt>
                <c:pt idx="68">
                  <c:v>57.341700000000003</c:v>
                </c:pt>
                <c:pt idx="69">
                  <c:v>57.746899999999997</c:v>
                </c:pt>
                <c:pt idx="70">
                  <c:v>58.156500000000001</c:v>
                </c:pt>
                <c:pt idx="71">
                  <c:v>58.563400000000001</c:v>
                </c:pt>
                <c:pt idx="72">
                  <c:v>58.967599999999997</c:v>
                </c:pt>
                <c:pt idx="73">
                  <c:v>59.3703</c:v>
                </c:pt>
                <c:pt idx="74">
                  <c:v>59.775300000000001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2.85547</c:v>
                </c:pt>
                <c:pt idx="1">
                  <c:v>2.8545799999999999</c:v>
                </c:pt>
                <c:pt idx="2">
                  <c:v>2.8534300000000004</c:v>
                </c:pt>
                <c:pt idx="3">
                  <c:v>2.8488799999999999</c:v>
                </c:pt>
                <c:pt idx="4">
                  <c:v>2.8426200000000001</c:v>
                </c:pt>
                <c:pt idx="5">
                  <c:v>2.8351999999999999</c:v>
                </c:pt>
                <c:pt idx="6">
                  <c:v>2.8269899999999999</c:v>
                </c:pt>
                <c:pt idx="7">
                  <c:v>2.8196599999999998</c:v>
                </c:pt>
                <c:pt idx="8">
                  <c:v>2.8144200000000001</c:v>
                </c:pt>
                <c:pt idx="9">
                  <c:v>2.8149500000000001</c:v>
                </c:pt>
                <c:pt idx="10">
                  <c:v>2.8168199999999999</c:v>
                </c:pt>
                <c:pt idx="11">
                  <c:v>2.8167399999999998</c:v>
                </c:pt>
                <c:pt idx="12">
                  <c:v>2.8151599999999997</c:v>
                </c:pt>
                <c:pt idx="13">
                  <c:v>2.8116000000000003</c:v>
                </c:pt>
                <c:pt idx="14">
                  <c:v>2.8050899999999999</c:v>
                </c:pt>
                <c:pt idx="15">
                  <c:v>2.79501</c:v>
                </c:pt>
                <c:pt idx="16">
                  <c:v>2.7859299999999996</c:v>
                </c:pt>
                <c:pt idx="17">
                  <c:v>2.7741199999999999</c:v>
                </c:pt>
                <c:pt idx="18">
                  <c:v>2.7572700000000001</c:v>
                </c:pt>
                <c:pt idx="19">
                  <c:v>2.7369599999999998</c:v>
                </c:pt>
                <c:pt idx="20">
                  <c:v>2.7163900000000001</c:v>
                </c:pt>
                <c:pt idx="21">
                  <c:v>2.6966400000000004</c:v>
                </c:pt>
                <c:pt idx="22">
                  <c:v>2.6814200000000001</c:v>
                </c:pt>
                <c:pt idx="23">
                  <c:v>2.6674899999999999</c:v>
                </c:pt>
                <c:pt idx="24">
                  <c:v>2.6576499999999998</c:v>
                </c:pt>
                <c:pt idx="25">
                  <c:v>2.6498200000000001</c:v>
                </c:pt>
                <c:pt idx="26">
                  <c:v>2.64208</c:v>
                </c:pt>
                <c:pt idx="27">
                  <c:v>2.6354699999999998</c:v>
                </c:pt>
                <c:pt idx="28">
                  <c:v>2.6311600000000004</c:v>
                </c:pt>
                <c:pt idx="29">
                  <c:v>2.6271599999999999</c:v>
                </c:pt>
                <c:pt idx="30">
                  <c:v>2.6245000000000003</c:v>
                </c:pt>
                <c:pt idx="31">
                  <c:v>2.6254599999999999</c:v>
                </c:pt>
                <c:pt idx="32">
                  <c:v>2.63239</c:v>
                </c:pt>
                <c:pt idx="33">
                  <c:v>2.64377</c:v>
                </c:pt>
                <c:pt idx="34">
                  <c:v>2.65523</c:v>
                </c:pt>
                <c:pt idx="35">
                  <c:v>2.6664500000000002</c:v>
                </c:pt>
                <c:pt idx="36">
                  <c:v>2.6789899999999998</c:v>
                </c:pt>
                <c:pt idx="37">
                  <c:v>2.6941199999999998</c:v>
                </c:pt>
                <c:pt idx="38">
                  <c:v>2.7095500000000001</c:v>
                </c:pt>
                <c:pt idx="39">
                  <c:v>2.7237899999999997</c:v>
                </c:pt>
                <c:pt idx="40">
                  <c:v>2.7383600000000001</c:v>
                </c:pt>
                <c:pt idx="41">
                  <c:v>2.7535700000000003</c:v>
                </c:pt>
                <c:pt idx="42">
                  <c:v>2.7712700000000003</c:v>
                </c:pt>
                <c:pt idx="43">
                  <c:v>2.79582</c:v>
                </c:pt>
                <c:pt idx="44">
                  <c:v>2.8255699999999999</c:v>
                </c:pt>
                <c:pt idx="45">
                  <c:v>2.8563200000000002</c:v>
                </c:pt>
                <c:pt idx="46">
                  <c:v>2.8874599999999999</c:v>
                </c:pt>
                <c:pt idx="47">
                  <c:v>2.9172500000000001</c:v>
                </c:pt>
                <c:pt idx="48">
                  <c:v>2.9472900000000002</c:v>
                </c:pt>
                <c:pt idx="49">
                  <c:v>2.9770600000000003</c:v>
                </c:pt>
                <c:pt idx="50">
                  <c:v>3.0059900000000002</c:v>
                </c:pt>
                <c:pt idx="51">
                  <c:v>3.0177999999999998</c:v>
                </c:pt>
                <c:pt idx="52">
                  <c:v>3.0314000000000001</c:v>
                </c:pt>
                <c:pt idx="53">
                  <c:v>3.04617</c:v>
                </c:pt>
                <c:pt idx="54">
                  <c:v>3.0627199999999997</c:v>
                </c:pt>
                <c:pt idx="55">
                  <c:v>3.0783800000000001</c:v>
                </c:pt>
                <c:pt idx="56">
                  <c:v>3.09307</c:v>
                </c:pt>
                <c:pt idx="57">
                  <c:v>3.1049100000000003</c:v>
                </c:pt>
                <c:pt idx="58">
                  <c:v>3.1160300000000003</c:v>
                </c:pt>
                <c:pt idx="59">
                  <c:v>3.1269200000000001</c:v>
                </c:pt>
                <c:pt idx="60">
                  <c:v>3.13889</c:v>
                </c:pt>
                <c:pt idx="61">
                  <c:v>3.1519500000000003</c:v>
                </c:pt>
                <c:pt idx="62">
                  <c:v>3.16486</c:v>
                </c:pt>
                <c:pt idx="63">
                  <c:v>3.1783399999999999</c:v>
                </c:pt>
                <c:pt idx="64">
                  <c:v>3.1949300000000003</c:v>
                </c:pt>
                <c:pt idx="65">
                  <c:v>3.2153999999999998</c:v>
                </c:pt>
                <c:pt idx="66">
                  <c:v>3.2386999999999997</c:v>
                </c:pt>
                <c:pt idx="67">
                  <c:v>3.2637800000000001</c:v>
                </c:pt>
                <c:pt idx="68">
                  <c:v>3.2859400000000001</c:v>
                </c:pt>
                <c:pt idx="69">
                  <c:v>3.3051000000000004</c:v>
                </c:pt>
                <c:pt idx="70">
                  <c:v>3.3264</c:v>
                </c:pt>
                <c:pt idx="71">
                  <c:v>3.3482600000000002</c:v>
                </c:pt>
                <c:pt idx="72">
                  <c:v>3.3660600000000001</c:v>
                </c:pt>
                <c:pt idx="73">
                  <c:v>3.3776299999999999</c:v>
                </c:pt>
                <c:pt idx="74">
                  <c:v>3.3742800000000002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1.59073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14.943825</c:v>
                </c:pt>
                <c:pt idx="1">
                  <c:v>44.831474999999998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2.8720370270270275</c:v>
                </c:pt>
                <c:pt idx="1">
                  <c:v>2.9022816216216212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  <c:pt idx="74">
                  <c:v>30.057600000000001</c:v>
                </c:pt>
                <c:pt idx="75">
                  <c:v>30.642299999999999</c:v>
                </c:pt>
                <c:pt idx="76">
                  <c:v>31.021000000000001</c:v>
                </c:pt>
                <c:pt idx="77">
                  <c:v>31.389299999999999</c:v>
                </c:pt>
                <c:pt idx="78">
                  <c:v>31.763100000000001</c:v>
                </c:pt>
                <c:pt idx="79">
                  <c:v>32.1571</c:v>
                </c:pt>
                <c:pt idx="80">
                  <c:v>32.560099999999998</c:v>
                </c:pt>
                <c:pt idx="81">
                  <c:v>32.9619</c:v>
                </c:pt>
                <c:pt idx="82">
                  <c:v>33.371899999999997</c:v>
                </c:pt>
                <c:pt idx="83">
                  <c:v>33.775799999999997</c:v>
                </c:pt>
                <c:pt idx="84">
                  <c:v>34.181699999999999</c:v>
                </c:pt>
                <c:pt idx="85">
                  <c:v>34.588700000000003</c:v>
                </c:pt>
                <c:pt idx="86">
                  <c:v>34.997399999999999</c:v>
                </c:pt>
                <c:pt idx="87">
                  <c:v>35.401400000000002</c:v>
                </c:pt>
                <c:pt idx="88">
                  <c:v>35.809399999999997</c:v>
                </c:pt>
                <c:pt idx="89">
                  <c:v>36.213200000000001</c:v>
                </c:pt>
                <c:pt idx="90">
                  <c:v>36.623100000000001</c:v>
                </c:pt>
                <c:pt idx="91">
                  <c:v>37.03</c:v>
                </c:pt>
                <c:pt idx="92">
                  <c:v>37.433</c:v>
                </c:pt>
                <c:pt idx="93">
                  <c:v>37.8429</c:v>
                </c:pt>
                <c:pt idx="94">
                  <c:v>38.249699999999997</c:v>
                </c:pt>
                <c:pt idx="95">
                  <c:v>38.659599999999998</c:v>
                </c:pt>
                <c:pt idx="96">
                  <c:v>39.059600000000003</c:v>
                </c:pt>
                <c:pt idx="97">
                  <c:v>39.463900000000002</c:v>
                </c:pt>
                <c:pt idx="98">
                  <c:v>39.871000000000002</c:v>
                </c:pt>
                <c:pt idx="99">
                  <c:v>40.281300000000002</c:v>
                </c:pt>
                <c:pt idx="100">
                  <c:v>40.6873</c:v>
                </c:pt>
                <c:pt idx="101">
                  <c:v>41.093200000000003</c:v>
                </c:pt>
                <c:pt idx="102">
                  <c:v>41.498100000000001</c:v>
                </c:pt>
                <c:pt idx="103">
                  <c:v>41.901400000000002</c:v>
                </c:pt>
                <c:pt idx="104">
                  <c:v>42.308500000000002</c:v>
                </c:pt>
                <c:pt idx="105">
                  <c:v>42.712800000000001</c:v>
                </c:pt>
                <c:pt idx="106">
                  <c:v>43.126800000000003</c:v>
                </c:pt>
                <c:pt idx="107">
                  <c:v>43.525700000000001</c:v>
                </c:pt>
                <c:pt idx="108">
                  <c:v>43.937800000000003</c:v>
                </c:pt>
                <c:pt idx="109">
                  <c:v>44.340899999999998</c:v>
                </c:pt>
                <c:pt idx="110">
                  <c:v>44.746499999999997</c:v>
                </c:pt>
                <c:pt idx="111">
                  <c:v>45.153700000000001</c:v>
                </c:pt>
                <c:pt idx="112">
                  <c:v>45.557200000000002</c:v>
                </c:pt>
                <c:pt idx="113">
                  <c:v>45.9621</c:v>
                </c:pt>
                <c:pt idx="114">
                  <c:v>46.372</c:v>
                </c:pt>
                <c:pt idx="115">
                  <c:v>46.777000000000001</c:v>
                </c:pt>
                <c:pt idx="116">
                  <c:v>47.184199999999997</c:v>
                </c:pt>
                <c:pt idx="117">
                  <c:v>47.588799999999999</c:v>
                </c:pt>
                <c:pt idx="118">
                  <c:v>47.994700000000002</c:v>
                </c:pt>
                <c:pt idx="119">
                  <c:v>48.401000000000003</c:v>
                </c:pt>
                <c:pt idx="120">
                  <c:v>48.807499999999997</c:v>
                </c:pt>
                <c:pt idx="121">
                  <c:v>49.217700000000001</c:v>
                </c:pt>
                <c:pt idx="122">
                  <c:v>49.624299999999998</c:v>
                </c:pt>
                <c:pt idx="123">
                  <c:v>50.027299999999997</c:v>
                </c:pt>
                <c:pt idx="124">
                  <c:v>50.432299999999998</c:v>
                </c:pt>
                <c:pt idx="125">
                  <c:v>50.837200000000003</c:v>
                </c:pt>
                <c:pt idx="126">
                  <c:v>51.246299999999998</c:v>
                </c:pt>
                <c:pt idx="127">
                  <c:v>51.651200000000003</c:v>
                </c:pt>
                <c:pt idx="128">
                  <c:v>52.056899999999999</c:v>
                </c:pt>
                <c:pt idx="129">
                  <c:v>52.465800000000002</c:v>
                </c:pt>
                <c:pt idx="130">
                  <c:v>52.869700000000002</c:v>
                </c:pt>
                <c:pt idx="131">
                  <c:v>53.276600000000002</c:v>
                </c:pt>
                <c:pt idx="132">
                  <c:v>53.687399999999997</c:v>
                </c:pt>
                <c:pt idx="133">
                  <c:v>54.095399999999998</c:v>
                </c:pt>
                <c:pt idx="134">
                  <c:v>54.496400000000001</c:v>
                </c:pt>
                <c:pt idx="135">
                  <c:v>54.902299999999997</c:v>
                </c:pt>
                <c:pt idx="136">
                  <c:v>55.310600000000001</c:v>
                </c:pt>
                <c:pt idx="137">
                  <c:v>55.7151</c:v>
                </c:pt>
                <c:pt idx="138">
                  <c:v>56.122</c:v>
                </c:pt>
                <c:pt idx="139">
                  <c:v>56.527799999999999</c:v>
                </c:pt>
                <c:pt idx="140">
                  <c:v>56.934800000000003</c:v>
                </c:pt>
                <c:pt idx="141">
                  <c:v>57.341700000000003</c:v>
                </c:pt>
                <c:pt idx="142">
                  <c:v>57.746899999999997</c:v>
                </c:pt>
                <c:pt idx="143">
                  <c:v>58.156500000000001</c:v>
                </c:pt>
                <c:pt idx="144">
                  <c:v>58.563400000000001</c:v>
                </c:pt>
                <c:pt idx="145">
                  <c:v>58.967599999999997</c:v>
                </c:pt>
                <c:pt idx="146">
                  <c:v>59.3703</c:v>
                </c:pt>
                <c:pt idx="147">
                  <c:v>59.775300000000001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  <c:pt idx="74">
                  <c:v>38.431199999999997</c:v>
                </c:pt>
                <c:pt idx="75">
                  <c:v>38.116799999999998</c:v>
                </c:pt>
                <c:pt idx="76">
                  <c:v>37.936999999999998</c:v>
                </c:pt>
                <c:pt idx="77">
                  <c:v>37.784199999999998</c:v>
                </c:pt>
                <c:pt idx="78">
                  <c:v>37.801400000000001</c:v>
                </c:pt>
                <c:pt idx="79">
                  <c:v>37.920300000000005</c:v>
                </c:pt>
                <c:pt idx="80">
                  <c:v>38.058799999999998</c:v>
                </c:pt>
                <c:pt idx="81">
                  <c:v>38.199199999999998</c:v>
                </c:pt>
                <c:pt idx="82">
                  <c:v>38.324200000000005</c:v>
                </c:pt>
                <c:pt idx="83">
                  <c:v>38.453600000000002</c:v>
                </c:pt>
                <c:pt idx="84">
                  <c:v>38.654800000000002</c:v>
                </c:pt>
                <c:pt idx="85">
                  <c:v>38.872</c:v>
                </c:pt>
                <c:pt idx="86">
                  <c:v>39.149799999999999</c:v>
                </c:pt>
                <c:pt idx="87">
                  <c:v>39.505800000000001</c:v>
                </c:pt>
                <c:pt idx="88">
                  <c:v>40.000999999999998</c:v>
                </c:pt>
                <c:pt idx="89">
                  <c:v>40.523600000000002</c:v>
                </c:pt>
                <c:pt idx="90">
                  <c:v>41.108600000000003</c:v>
                </c:pt>
                <c:pt idx="91">
                  <c:v>41.740200000000002</c:v>
                </c:pt>
                <c:pt idx="92">
                  <c:v>42.392099999999999</c:v>
                </c:pt>
                <c:pt idx="93">
                  <c:v>43.063800000000001</c:v>
                </c:pt>
                <c:pt idx="94">
                  <c:v>43.855600000000003</c:v>
                </c:pt>
                <c:pt idx="95">
                  <c:v>44.799099999999996</c:v>
                </c:pt>
                <c:pt idx="96">
                  <c:v>45.924900000000001</c:v>
                </c:pt>
                <c:pt idx="97">
                  <c:v>47.020600000000002</c:v>
                </c:pt>
                <c:pt idx="98">
                  <c:v>47.967700000000001</c:v>
                </c:pt>
                <c:pt idx="99">
                  <c:v>48.787000000000006</c:v>
                </c:pt>
                <c:pt idx="100">
                  <c:v>49.490400000000001</c:v>
                </c:pt>
                <c:pt idx="101">
                  <c:v>50.121899999999997</c:v>
                </c:pt>
                <c:pt idx="102">
                  <c:v>50.737900000000003</c:v>
                </c:pt>
                <c:pt idx="103">
                  <c:v>51.173699999999997</c:v>
                </c:pt>
                <c:pt idx="104">
                  <c:v>51.3718</c:v>
                </c:pt>
                <c:pt idx="105">
                  <c:v>51.3645</c:v>
                </c:pt>
                <c:pt idx="106">
                  <c:v>51.228300000000004</c:v>
                </c:pt>
                <c:pt idx="107">
                  <c:v>51.066900000000004</c:v>
                </c:pt>
                <c:pt idx="108">
                  <c:v>50.897999999999996</c:v>
                </c:pt>
                <c:pt idx="109">
                  <c:v>50.679099999999998</c:v>
                </c:pt>
                <c:pt idx="110">
                  <c:v>50.359900000000003</c:v>
                </c:pt>
                <c:pt idx="111">
                  <c:v>50.0246</c:v>
                </c:pt>
                <c:pt idx="112">
                  <c:v>49.6952</c:v>
                </c:pt>
                <c:pt idx="113">
                  <c:v>49.336600000000004</c:v>
                </c:pt>
                <c:pt idx="114">
                  <c:v>48.953400000000002</c:v>
                </c:pt>
                <c:pt idx="115">
                  <c:v>48.540399999999998</c:v>
                </c:pt>
                <c:pt idx="116">
                  <c:v>48.063699999999997</c:v>
                </c:pt>
                <c:pt idx="117">
                  <c:v>47.527099999999997</c:v>
                </c:pt>
                <c:pt idx="118">
                  <c:v>46.993299999999998</c:v>
                </c:pt>
                <c:pt idx="119">
                  <c:v>46.4116</c:v>
                </c:pt>
                <c:pt idx="120">
                  <c:v>45.698699999999995</c:v>
                </c:pt>
                <c:pt idx="121">
                  <c:v>44.956400000000002</c:v>
                </c:pt>
                <c:pt idx="122">
                  <c:v>44.188200000000002</c:v>
                </c:pt>
                <c:pt idx="123">
                  <c:v>43.499500000000005</c:v>
                </c:pt>
                <c:pt idx="124">
                  <c:v>43.242000000000004</c:v>
                </c:pt>
                <c:pt idx="125">
                  <c:v>42.9574</c:v>
                </c:pt>
                <c:pt idx="126">
                  <c:v>42.671399999999998</c:v>
                </c:pt>
                <c:pt idx="127">
                  <c:v>42.414000000000001</c:v>
                </c:pt>
                <c:pt idx="128">
                  <c:v>42.179200000000002</c:v>
                </c:pt>
                <c:pt idx="129">
                  <c:v>41.962899999999998</c:v>
                </c:pt>
                <c:pt idx="130">
                  <c:v>41.737900000000003</c:v>
                </c:pt>
                <c:pt idx="131">
                  <c:v>41.500900000000001</c:v>
                </c:pt>
                <c:pt idx="132">
                  <c:v>41.247699999999995</c:v>
                </c:pt>
                <c:pt idx="133">
                  <c:v>40.963200000000001</c:v>
                </c:pt>
                <c:pt idx="134">
                  <c:v>40.645900000000005</c:v>
                </c:pt>
                <c:pt idx="135">
                  <c:v>40.374900000000004</c:v>
                </c:pt>
                <c:pt idx="136">
                  <c:v>40.098099999999995</c:v>
                </c:pt>
                <c:pt idx="137">
                  <c:v>39.807900000000004</c:v>
                </c:pt>
                <c:pt idx="138">
                  <c:v>39.486900000000006</c:v>
                </c:pt>
                <c:pt idx="139">
                  <c:v>39.119199999999999</c:v>
                </c:pt>
                <c:pt idx="140">
                  <c:v>38.722799999999999</c:v>
                </c:pt>
                <c:pt idx="141">
                  <c:v>38.305399999999999</c:v>
                </c:pt>
                <c:pt idx="142">
                  <c:v>38.001600000000003</c:v>
                </c:pt>
                <c:pt idx="143">
                  <c:v>37.753300000000003</c:v>
                </c:pt>
                <c:pt idx="144">
                  <c:v>37.522299999999994</c:v>
                </c:pt>
                <c:pt idx="145">
                  <c:v>37.482300000000002</c:v>
                </c:pt>
                <c:pt idx="146">
                  <c:v>37.410399999999996</c:v>
                </c:pt>
                <c:pt idx="147">
                  <c:v>37.542400000000001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0.40489900000000001</c:v>
                </c:pt>
                <c:pt idx="2">
                  <c:v>0.80988499999999997</c:v>
                </c:pt>
                <c:pt idx="3">
                  <c:v>1.2148000000000001</c:v>
                </c:pt>
                <c:pt idx="4">
                  <c:v>1.6207100000000001</c:v>
                </c:pt>
                <c:pt idx="5">
                  <c:v>2.0267400000000002</c:v>
                </c:pt>
                <c:pt idx="6">
                  <c:v>2.4355899999999999</c:v>
                </c:pt>
                <c:pt idx="7">
                  <c:v>2.8423600000000002</c:v>
                </c:pt>
                <c:pt idx="8">
                  <c:v>3.2453400000000001</c:v>
                </c:pt>
                <c:pt idx="9">
                  <c:v>3.6532100000000001</c:v>
                </c:pt>
                <c:pt idx="10">
                  <c:v>4.0582000000000003</c:v>
                </c:pt>
                <c:pt idx="11">
                  <c:v>4.4653099999999997</c:v>
                </c:pt>
                <c:pt idx="12">
                  <c:v>4.8730500000000001</c:v>
                </c:pt>
                <c:pt idx="13">
                  <c:v>5.2799699999999996</c:v>
                </c:pt>
                <c:pt idx="14">
                  <c:v>5.6848299999999998</c:v>
                </c:pt>
                <c:pt idx="15">
                  <c:v>6.0877499999999998</c:v>
                </c:pt>
                <c:pt idx="16">
                  <c:v>6.4948300000000003</c:v>
                </c:pt>
                <c:pt idx="17">
                  <c:v>6.9025499999999997</c:v>
                </c:pt>
                <c:pt idx="18">
                  <c:v>7.3094900000000003</c:v>
                </c:pt>
                <c:pt idx="19">
                  <c:v>7.7154199999999999</c:v>
                </c:pt>
                <c:pt idx="20">
                  <c:v>8.1183899999999998</c:v>
                </c:pt>
                <c:pt idx="21">
                  <c:v>8.5266099999999998</c:v>
                </c:pt>
                <c:pt idx="22">
                  <c:v>8.9344000000000001</c:v>
                </c:pt>
                <c:pt idx="23">
                  <c:v>9.3422400000000003</c:v>
                </c:pt>
                <c:pt idx="24">
                  <c:v>9.7469300000000008</c:v>
                </c:pt>
                <c:pt idx="25">
                  <c:v>10.1549</c:v>
                </c:pt>
                <c:pt idx="26">
                  <c:v>10.555899999999999</c:v>
                </c:pt>
                <c:pt idx="27">
                  <c:v>10.964700000000001</c:v>
                </c:pt>
                <c:pt idx="28">
                  <c:v>11.373699999999999</c:v>
                </c:pt>
                <c:pt idx="29">
                  <c:v>11.7775</c:v>
                </c:pt>
                <c:pt idx="30">
                  <c:v>12.183400000000001</c:v>
                </c:pt>
                <c:pt idx="31">
                  <c:v>12.5884</c:v>
                </c:pt>
                <c:pt idx="32">
                  <c:v>12.996499999999999</c:v>
                </c:pt>
                <c:pt idx="33">
                  <c:v>13.404299999999999</c:v>
                </c:pt>
                <c:pt idx="34">
                  <c:v>13.8081</c:v>
                </c:pt>
                <c:pt idx="35">
                  <c:v>14.2181</c:v>
                </c:pt>
                <c:pt idx="36">
                  <c:v>14.621</c:v>
                </c:pt>
                <c:pt idx="37">
                  <c:v>15.0253</c:v>
                </c:pt>
                <c:pt idx="38">
                  <c:v>15.4339</c:v>
                </c:pt>
                <c:pt idx="39">
                  <c:v>15.8407</c:v>
                </c:pt>
                <c:pt idx="40">
                  <c:v>16.244599999999998</c:v>
                </c:pt>
                <c:pt idx="41">
                  <c:v>16.650700000000001</c:v>
                </c:pt>
                <c:pt idx="42">
                  <c:v>17.057500000000001</c:v>
                </c:pt>
                <c:pt idx="43">
                  <c:v>17.465299999999999</c:v>
                </c:pt>
                <c:pt idx="44">
                  <c:v>17.872199999999999</c:v>
                </c:pt>
                <c:pt idx="45">
                  <c:v>18.277200000000001</c:v>
                </c:pt>
                <c:pt idx="46">
                  <c:v>18.686299999999999</c:v>
                </c:pt>
                <c:pt idx="47">
                  <c:v>19.090900000000001</c:v>
                </c:pt>
                <c:pt idx="48">
                  <c:v>19.4968</c:v>
                </c:pt>
                <c:pt idx="49">
                  <c:v>19.901</c:v>
                </c:pt>
                <c:pt idx="50">
                  <c:v>20.3096</c:v>
                </c:pt>
                <c:pt idx="51">
                  <c:v>20.715599999999998</c:v>
                </c:pt>
                <c:pt idx="52">
                  <c:v>21.1205</c:v>
                </c:pt>
                <c:pt idx="53">
                  <c:v>21.526499999999999</c:v>
                </c:pt>
                <c:pt idx="54">
                  <c:v>21.933199999999999</c:v>
                </c:pt>
                <c:pt idx="55">
                  <c:v>22.3353</c:v>
                </c:pt>
                <c:pt idx="56">
                  <c:v>22.743200000000002</c:v>
                </c:pt>
                <c:pt idx="57">
                  <c:v>23.155100000000001</c:v>
                </c:pt>
                <c:pt idx="58">
                  <c:v>23.556999999999999</c:v>
                </c:pt>
                <c:pt idx="59">
                  <c:v>23.962900000000001</c:v>
                </c:pt>
                <c:pt idx="60">
                  <c:v>24.375900000000001</c:v>
                </c:pt>
                <c:pt idx="61">
                  <c:v>24.778700000000001</c:v>
                </c:pt>
                <c:pt idx="62">
                  <c:v>25.184699999999999</c:v>
                </c:pt>
                <c:pt idx="63">
                  <c:v>25.589600000000001</c:v>
                </c:pt>
                <c:pt idx="64">
                  <c:v>25.9925</c:v>
                </c:pt>
                <c:pt idx="65">
                  <c:v>26.400700000000001</c:v>
                </c:pt>
                <c:pt idx="66">
                  <c:v>26.808199999999999</c:v>
                </c:pt>
                <c:pt idx="67">
                  <c:v>27.215199999999999</c:v>
                </c:pt>
                <c:pt idx="68">
                  <c:v>27.6221</c:v>
                </c:pt>
                <c:pt idx="69">
                  <c:v>28.027000000000001</c:v>
                </c:pt>
                <c:pt idx="70">
                  <c:v>28.433599999999998</c:v>
                </c:pt>
                <c:pt idx="71">
                  <c:v>28.840800000000002</c:v>
                </c:pt>
                <c:pt idx="72">
                  <c:v>29.2468</c:v>
                </c:pt>
                <c:pt idx="73">
                  <c:v>29.652799999999999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29.652799999999999</c:v>
                </c:pt>
                <c:pt idx="1">
                  <c:v>30.057600000000001</c:v>
                </c:pt>
                <c:pt idx="2">
                  <c:v>30.642299999999999</c:v>
                </c:pt>
                <c:pt idx="3">
                  <c:v>31.021000000000001</c:v>
                </c:pt>
                <c:pt idx="4">
                  <c:v>31.389299999999999</c:v>
                </c:pt>
                <c:pt idx="5">
                  <c:v>31.763100000000001</c:v>
                </c:pt>
                <c:pt idx="6">
                  <c:v>32.1571</c:v>
                </c:pt>
                <c:pt idx="7">
                  <c:v>32.560099999999998</c:v>
                </c:pt>
                <c:pt idx="8">
                  <c:v>32.9619</c:v>
                </c:pt>
                <c:pt idx="9">
                  <c:v>33.371899999999997</c:v>
                </c:pt>
                <c:pt idx="10">
                  <c:v>33.775799999999997</c:v>
                </c:pt>
                <c:pt idx="11">
                  <c:v>34.181699999999999</c:v>
                </c:pt>
                <c:pt idx="12">
                  <c:v>34.588700000000003</c:v>
                </c:pt>
                <c:pt idx="13">
                  <c:v>34.997399999999999</c:v>
                </c:pt>
                <c:pt idx="14">
                  <c:v>35.401400000000002</c:v>
                </c:pt>
                <c:pt idx="15">
                  <c:v>35.809399999999997</c:v>
                </c:pt>
                <c:pt idx="16">
                  <c:v>36.213200000000001</c:v>
                </c:pt>
                <c:pt idx="17">
                  <c:v>36.623100000000001</c:v>
                </c:pt>
                <c:pt idx="18">
                  <c:v>37.03</c:v>
                </c:pt>
                <c:pt idx="19">
                  <c:v>37.433</c:v>
                </c:pt>
                <c:pt idx="20">
                  <c:v>37.8429</c:v>
                </c:pt>
                <c:pt idx="21">
                  <c:v>38.249699999999997</c:v>
                </c:pt>
                <c:pt idx="22">
                  <c:v>38.659599999999998</c:v>
                </c:pt>
                <c:pt idx="23">
                  <c:v>39.059600000000003</c:v>
                </c:pt>
                <c:pt idx="24">
                  <c:v>39.463900000000002</c:v>
                </c:pt>
                <c:pt idx="25">
                  <c:v>39.871000000000002</c:v>
                </c:pt>
                <c:pt idx="26">
                  <c:v>40.281300000000002</c:v>
                </c:pt>
                <c:pt idx="27">
                  <c:v>40.6873</c:v>
                </c:pt>
                <c:pt idx="28">
                  <c:v>41.093200000000003</c:v>
                </c:pt>
                <c:pt idx="29">
                  <c:v>41.498100000000001</c:v>
                </c:pt>
                <c:pt idx="30">
                  <c:v>41.901400000000002</c:v>
                </c:pt>
                <c:pt idx="31">
                  <c:v>42.308500000000002</c:v>
                </c:pt>
                <c:pt idx="32">
                  <c:v>42.712800000000001</c:v>
                </c:pt>
                <c:pt idx="33">
                  <c:v>43.126800000000003</c:v>
                </c:pt>
                <c:pt idx="34">
                  <c:v>43.525700000000001</c:v>
                </c:pt>
                <c:pt idx="35">
                  <c:v>43.937800000000003</c:v>
                </c:pt>
                <c:pt idx="36">
                  <c:v>44.340899999999998</c:v>
                </c:pt>
                <c:pt idx="37">
                  <c:v>44.746499999999997</c:v>
                </c:pt>
                <c:pt idx="38">
                  <c:v>45.153700000000001</c:v>
                </c:pt>
                <c:pt idx="39">
                  <c:v>45.557200000000002</c:v>
                </c:pt>
                <c:pt idx="40">
                  <c:v>45.9621</c:v>
                </c:pt>
                <c:pt idx="41">
                  <c:v>46.372</c:v>
                </c:pt>
                <c:pt idx="42">
                  <c:v>46.777000000000001</c:v>
                </c:pt>
                <c:pt idx="43">
                  <c:v>47.184199999999997</c:v>
                </c:pt>
                <c:pt idx="44">
                  <c:v>47.588799999999999</c:v>
                </c:pt>
                <c:pt idx="45">
                  <c:v>47.994700000000002</c:v>
                </c:pt>
                <c:pt idx="46">
                  <c:v>48.401000000000003</c:v>
                </c:pt>
                <c:pt idx="47">
                  <c:v>48.807499999999997</c:v>
                </c:pt>
                <c:pt idx="48">
                  <c:v>49.217700000000001</c:v>
                </c:pt>
                <c:pt idx="49">
                  <c:v>49.624299999999998</c:v>
                </c:pt>
                <c:pt idx="50">
                  <c:v>50.027299999999997</c:v>
                </c:pt>
                <c:pt idx="51">
                  <c:v>50.432299999999998</c:v>
                </c:pt>
                <c:pt idx="52">
                  <c:v>50.837200000000003</c:v>
                </c:pt>
                <c:pt idx="53">
                  <c:v>51.246299999999998</c:v>
                </c:pt>
                <c:pt idx="54">
                  <c:v>51.651200000000003</c:v>
                </c:pt>
                <c:pt idx="55">
                  <c:v>52.056899999999999</c:v>
                </c:pt>
                <c:pt idx="56">
                  <c:v>52.465800000000002</c:v>
                </c:pt>
                <c:pt idx="57">
                  <c:v>52.869700000000002</c:v>
                </c:pt>
                <c:pt idx="58">
                  <c:v>53.276600000000002</c:v>
                </c:pt>
                <c:pt idx="59">
                  <c:v>53.687399999999997</c:v>
                </c:pt>
                <c:pt idx="60">
                  <c:v>54.095399999999998</c:v>
                </c:pt>
                <c:pt idx="61">
                  <c:v>54.496400000000001</c:v>
                </c:pt>
                <c:pt idx="62">
                  <c:v>54.902299999999997</c:v>
                </c:pt>
                <c:pt idx="63">
                  <c:v>55.310600000000001</c:v>
                </c:pt>
                <c:pt idx="64">
                  <c:v>55.7151</c:v>
                </c:pt>
                <c:pt idx="65">
                  <c:v>56.122</c:v>
                </c:pt>
                <c:pt idx="66">
                  <c:v>56.527799999999999</c:v>
                </c:pt>
                <c:pt idx="67">
                  <c:v>56.934800000000003</c:v>
                </c:pt>
                <c:pt idx="68">
                  <c:v>57.341700000000003</c:v>
                </c:pt>
                <c:pt idx="69">
                  <c:v>57.746899999999997</c:v>
                </c:pt>
                <c:pt idx="70">
                  <c:v>58.156500000000001</c:v>
                </c:pt>
                <c:pt idx="71">
                  <c:v>58.563400000000001</c:v>
                </c:pt>
                <c:pt idx="72">
                  <c:v>58.967599999999997</c:v>
                </c:pt>
                <c:pt idx="73">
                  <c:v>59.3703</c:v>
                </c:pt>
                <c:pt idx="74">
                  <c:v>59.775300000000001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38.911499999999997</c:v>
                </c:pt>
                <c:pt idx="1">
                  <c:v>38.431199999999997</c:v>
                </c:pt>
                <c:pt idx="2">
                  <c:v>38.116799999999998</c:v>
                </c:pt>
                <c:pt idx="3">
                  <c:v>37.936999999999998</c:v>
                </c:pt>
                <c:pt idx="4">
                  <c:v>37.784199999999998</c:v>
                </c:pt>
                <c:pt idx="5">
                  <c:v>37.801400000000001</c:v>
                </c:pt>
                <c:pt idx="6">
                  <c:v>37.920300000000005</c:v>
                </c:pt>
                <c:pt idx="7">
                  <c:v>38.058799999999998</c:v>
                </c:pt>
                <c:pt idx="8">
                  <c:v>38.199199999999998</c:v>
                </c:pt>
                <c:pt idx="9">
                  <c:v>38.324200000000005</c:v>
                </c:pt>
                <c:pt idx="10">
                  <c:v>38.453600000000002</c:v>
                </c:pt>
                <c:pt idx="11">
                  <c:v>38.654800000000002</c:v>
                </c:pt>
                <c:pt idx="12">
                  <c:v>38.872</c:v>
                </c:pt>
                <c:pt idx="13">
                  <c:v>39.149799999999999</c:v>
                </c:pt>
                <c:pt idx="14">
                  <c:v>39.505800000000001</c:v>
                </c:pt>
                <c:pt idx="15">
                  <c:v>40.000999999999998</c:v>
                </c:pt>
                <c:pt idx="16">
                  <c:v>40.523600000000002</c:v>
                </c:pt>
                <c:pt idx="17">
                  <c:v>41.108600000000003</c:v>
                </c:pt>
                <c:pt idx="18">
                  <c:v>41.740200000000002</c:v>
                </c:pt>
                <c:pt idx="19">
                  <c:v>42.392099999999999</c:v>
                </c:pt>
                <c:pt idx="20">
                  <c:v>43.063800000000001</c:v>
                </c:pt>
                <c:pt idx="21">
                  <c:v>43.855600000000003</c:v>
                </c:pt>
                <c:pt idx="22">
                  <c:v>44.799099999999996</c:v>
                </c:pt>
                <c:pt idx="23">
                  <c:v>45.924900000000001</c:v>
                </c:pt>
                <c:pt idx="24">
                  <c:v>47.020600000000002</c:v>
                </c:pt>
                <c:pt idx="25">
                  <c:v>47.967700000000001</c:v>
                </c:pt>
                <c:pt idx="26">
                  <c:v>48.787000000000006</c:v>
                </c:pt>
                <c:pt idx="27">
                  <c:v>49.490400000000001</c:v>
                </c:pt>
                <c:pt idx="28">
                  <c:v>50.121899999999997</c:v>
                </c:pt>
                <c:pt idx="29">
                  <c:v>50.737900000000003</c:v>
                </c:pt>
                <c:pt idx="30">
                  <c:v>51.173699999999997</c:v>
                </c:pt>
                <c:pt idx="31">
                  <c:v>51.3718</c:v>
                </c:pt>
                <c:pt idx="32">
                  <c:v>51.3645</c:v>
                </c:pt>
                <c:pt idx="33">
                  <c:v>51.228300000000004</c:v>
                </c:pt>
                <c:pt idx="34">
                  <c:v>51.066900000000004</c:v>
                </c:pt>
                <c:pt idx="35">
                  <c:v>50.897999999999996</c:v>
                </c:pt>
                <c:pt idx="36">
                  <c:v>50.679099999999998</c:v>
                </c:pt>
                <c:pt idx="37">
                  <c:v>50.359900000000003</c:v>
                </c:pt>
                <c:pt idx="38">
                  <c:v>50.0246</c:v>
                </c:pt>
                <c:pt idx="39">
                  <c:v>49.6952</c:v>
                </c:pt>
                <c:pt idx="40">
                  <c:v>49.336600000000004</c:v>
                </c:pt>
                <c:pt idx="41">
                  <c:v>48.953400000000002</c:v>
                </c:pt>
                <c:pt idx="42">
                  <c:v>48.540399999999998</c:v>
                </c:pt>
                <c:pt idx="43">
                  <c:v>48.063699999999997</c:v>
                </c:pt>
                <c:pt idx="44">
                  <c:v>47.527099999999997</c:v>
                </c:pt>
                <c:pt idx="45">
                  <c:v>46.993299999999998</c:v>
                </c:pt>
                <c:pt idx="46">
                  <c:v>46.4116</c:v>
                </c:pt>
                <c:pt idx="47">
                  <c:v>45.698699999999995</c:v>
                </c:pt>
                <c:pt idx="48">
                  <c:v>44.956400000000002</c:v>
                </c:pt>
                <c:pt idx="49">
                  <c:v>44.188200000000002</c:v>
                </c:pt>
                <c:pt idx="50">
                  <c:v>43.499500000000005</c:v>
                </c:pt>
                <c:pt idx="51">
                  <c:v>43.242000000000004</c:v>
                </c:pt>
                <c:pt idx="52">
                  <c:v>42.9574</c:v>
                </c:pt>
                <c:pt idx="53">
                  <c:v>42.671399999999998</c:v>
                </c:pt>
                <c:pt idx="54">
                  <c:v>42.414000000000001</c:v>
                </c:pt>
                <c:pt idx="55">
                  <c:v>42.179200000000002</c:v>
                </c:pt>
                <c:pt idx="56">
                  <c:v>41.962899999999998</c:v>
                </c:pt>
                <c:pt idx="57">
                  <c:v>41.737900000000003</c:v>
                </c:pt>
                <c:pt idx="58">
                  <c:v>41.500900000000001</c:v>
                </c:pt>
                <c:pt idx="59">
                  <c:v>41.247699999999995</c:v>
                </c:pt>
                <c:pt idx="60">
                  <c:v>40.963200000000001</c:v>
                </c:pt>
                <c:pt idx="61">
                  <c:v>40.645900000000005</c:v>
                </c:pt>
                <c:pt idx="62">
                  <c:v>40.374900000000004</c:v>
                </c:pt>
                <c:pt idx="63">
                  <c:v>40.098099999999995</c:v>
                </c:pt>
                <c:pt idx="64">
                  <c:v>39.807900000000004</c:v>
                </c:pt>
                <c:pt idx="65">
                  <c:v>39.486900000000006</c:v>
                </c:pt>
                <c:pt idx="66">
                  <c:v>39.119199999999999</c:v>
                </c:pt>
                <c:pt idx="67">
                  <c:v>38.722799999999999</c:v>
                </c:pt>
                <c:pt idx="68">
                  <c:v>38.305399999999999</c:v>
                </c:pt>
                <c:pt idx="69">
                  <c:v>38.001600000000003</c:v>
                </c:pt>
                <c:pt idx="70">
                  <c:v>37.753300000000003</c:v>
                </c:pt>
                <c:pt idx="71">
                  <c:v>37.522299999999994</c:v>
                </c:pt>
                <c:pt idx="72">
                  <c:v>37.482300000000002</c:v>
                </c:pt>
                <c:pt idx="73">
                  <c:v>37.410399999999996</c:v>
                </c:pt>
                <c:pt idx="74">
                  <c:v>37.542400000000001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14.943825</c:v>
                </c:pt>
                <c:pt idx="1">
                  <c:v>44.831474999999998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39.129983783783793</c:v>
                </c:pt>
                <c:pt idx="1">
                  <c:v>43.242221621621638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  <c:pt idx="74">
                  <c:v>2.8545799999999999</c:v>
                </c:pt>
                <c:pt idx="75">
                  <c:v>2.8534300000000004</c:v>
                </c:pt>
                <c:pt idx="76">
                  <c:v>2.8488799999999999</c:v>
                </c:pt>
                <c:pt idx="77">
                  <c:v>2.8426200000000001</c:v>
                </c:pt>
                <c:pt idx="78">
                  <c:v>2.8351999999999999</c:v>
                </c:pt>
                <c:pt idx="79">
                  <c:v>2.8269899999999999</c:v>
                </c:pt>
                <c:pt idx="80">
                  <c:v>2.8196599999999998</c:v>
                </c:pt>
                <c:pt idx="81">
                  <c:v>2.8144200000000001</c:v>
                </c:pt>
                <c:pt idx="82">
                  <c:v>2.8149500000000001</c:v>
                </c:pt>
                <c:pt idx="83">
                  <c:v>2.8168199999999999</c:v>
                </c:pt>
                <c:pt idx="84">
                  <c:v>2.8167399999999998</c:v>
                </c:pt>
                <c:pt idx="85">
                  <c:v>2.8151599999999997</c:v>
                </c:pt>
                <c:pt idx="86">
                  <c:v>2.8116000000000003</c:v>
                </c:pt>
                <c:pt idx="87">
                  <c:v>2.8050899999999999</c:v>
                </c:pt>
                <c:pt idx="88">
                  <c:v>2.79501</c:v>
                </c:pt>
                <c:pt idx="89">
                  <c:v>2.7859299999999996</c:v>
                </c:pt>
                <c:pt idx="90">
                  <c:v>2.7741199999999999</c:v>
                </c:pt>
                <c:pt idx="91">
                  <c:v>2.7572700000000001</c:v>
                </c:pt>
                <c:pt idx="92">
                  <c:v>2.7369599999999998</c:v>
                </c:pt>
                <c:pt idx="93">
                  <c:v>2.7163900000000001</c:v>
                </c:pt>
                <c:pt idx="94">
                  <c:v>2.6966400000000004</c:v>
                </c:pt>
                <c:pt idx="95">
                  <c:v>2.6814200000000001</c:v>
                </c:pt>
                <c:pt idx="96">
                  <c:v>2.6674899999999999</c:v>
                </c:pt>
                <c:pt idx="97">
                  <c:v>2.6576499999999998</c:v>
                </c:pt>
                <c:pt idx="98">
                  <c:v>2.6498200000000001</c:v>
                </c:pt>
                <c:pt idx="99">
                  <c:v>2.64208</c:v>
                </c:pt>
                <c:pt idx="100">
                  <c:v>2.6354699999999998</c:v>
                </c:pt>
                <c:pt idx="101">
                  <c:v>2.6311600000000004</c:v>
                </c:pt>
                <c:pt idx="102">
                  <c:v>2.6271599999999999</c:v>
                </c:pt>
                <c:pt idx="103">
                  <c:v>2.6245000000000003</c:v>
                </c:pt>
                <c:pt idx="104">
                  <c:v>2.6254599999999999</c:v>
                </c:pt>
                <c:pt idx="105">
                  <c:v>2.63239</c:v>
                </c:pt>
                <c:pt idx="106">
                  <c:v>2.64377</c:v>
                </c:pt>
                <c:pt idx="107">
                  <c:v>2.65523</c:v>
                </c:pt>
                <c:pt idx="108">
                  <c:v>2.6664500000000002</c:v>
                </c:pt>
                <c:pt idx="109">
                  <c:v>2.6789899999999998</c:v>
                </c:pt>
                <c:pt idx="110">
                  <c:v>2.6941199999999998</c:v>
                </c:pt>
                <c:pt idx="111">
                  <c:v>2.7095500000000001</c:v>
                </c:pt>
                <c:pt idx="112">
                  <c:v>2.7237899999999997</c:v>
                </c:pt>
                <c:pt idx="113">
                  <c:v>2.7383600000000001</c:v>
                </c:pt>
                <c:pt idx="114">
                  <c:v>2.7535700000000003</c:v>
                </c:pt>
                <c:pt idx="115">
                  <c:v>2.7712700000000003</c:v>
                </c:pt>
                <c:pt idx="116">
                  <c:v>2.79582</c:v>
                </c:pt>
                <c:pt idx="117">
                  <c:v>2.8255699999999999</c:v>
                </c:pt>
                <c:pt idx="118">
                  <c:v>2.8563200000000002</c:v>
                </c:pt>
                <c:pt idx="119">
                  <c:v>2.8874599999999999</c:v>
                </c:pt>
                <c:pt idx="120">
                  <c:v>2.9172500000000001</c:v>
                </c:pt>
                <c:pt idx="121">
                  <c:v>2.9472900000000002</c:v>
                </c:pt>
                <c:pt idx="122">
                  <c:v>2.9770600000000003</c:v>
                </c:pt>
                <c:pt idx="123">
                  <c:v>3.0059900000000002</c:v>
                </c:pt>
                <c:pt idx="124">
                  <c:v>3.0177999999999998</c:v>
                </c:pt>
                <c:pt idx="125">
                  <c:v>3.0314000000000001</c:v>
                </c:pt>
                <c:pt idx="126">
                  <c:v>3.04617</c:v>
                </c:pt>
                <c:pt idx="127">
                  <c:v>3.0627199999999997</c:v>
                </c:pt>
                <c:pt idx="128">
                  <c:v>3.0783800000000001</c:v>
                </c:pt>
                <c:pt idx="129">
                  <c:v>3.09307</c:v>
                </c:pt>
                <c:pt idx="130">
                  <c:v>3.1049100000000003</c:v>
                </c:pt>
                <c:pt idx="131">
                  <c:v>3.1160300000000003</c:v>
                </c:pt>
                <c:pt idx="132">
                  <c:v>3.1269200000000001</c:v>
                </c:pt>
                <c:pt idx="133">
                  <c:v>3.13889</c:v>
                </c:pt>
                <c:pt idx="134">
                  <c:v>3.1519500000000003</c:v>
                </c:pt>
                <c:pt idx="135">
                  <c:v>3.16486</c:v>
                </c:pt>
                <c:pt idx="136">
                  <c:v>3.1783399999999999</c:v>
                </c:pt>
                <c:pt idx="137">
                  <c:v>3.1949300000000003</c:v>
                </c:pt>
                <c:pt idx="138">
                  <c:v>3.2153999999999998</c:v>
                </c:pt>
                <c:pt idx="139">
                  <c:v>3.2386999999999997</c:v>
                </c:pt>
                <c:pt idx="140">
                  <c:v>3.2637800000000001</c:v>
                </c:pt>
                <c:pt idx="141">
                  <c:v>3.2859400000000001</c:v>
                </c:pt>
                <c:pt idx="142">
                  <c:v>3.3051000000000004</c:v>
                </c:pt>
                <c:pt idx="143">
                  <c:v>3.3264</c:v>
                </c:pt>
                <c:pt idx="144">
                  <c:v>3.3482600000000002</c:v>
                </c:pt>
                <c:pt idx="145">
                  <c:v>3.3660600000000001</c:v>
                </c:pt>
                <c:pt idx="146">
                  <c:v>3.3776299999999999</c:v>
                </c:pt>
                <c:pt idx="147">
                  <c:v>3.3742800000000002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  <c:pt idx="74">
                  <c:v>38.431199999999997</c:v>
                </c:pt>
                <c:pt idx="75">
                  <c:v>38.116799999999998</c:v>
                </c:pt>
                <c:pt idx="76">
                  <c:v>37.936999999999998</c:v>
                </c:pt>
                <c:pt idx="77">
                  <c:v>37.784199999999998</c:v>
                </c:pt>
                <c:pt idx="78">
                  <c:v>37.801400000000001</c:v>
                </c:pt>
                <c:pt idx="79">
                  <c:v>37.920300000000005</c:v>
                </c:pt>
                <c:pt idx="80">
                  <c:v>38.058799999999998</c:v>
                </c:pt>
                <c:pt idx="81">
                  <c:v>38.199199999999998</c:v>
                </c:pt>
                <c:pt idx="82">
                  <c:v>38.324200000000005</c:v>
                </c:pt>
                <c:pt idx="83">
                  <c:v>38.453600000000002</c:v>
                </c:pt>
                <c:pt idx="84">
                  <c:v>38.654800000000002</c:v>
                </c:pt>
                <c:pt idx="85">
                  <c:v>38.872</c:v>
                </c:pt>
                <c:pt idx="86">
                  <c:v>39.149799999999999</c:v>
                </c:pt>
                <c:pt idx="87">
                  <c:v>39.505800000000001</c:v>
                </c:pt>
                <c:pt idx="88">
                  <c:v>40.000999999999998</c:v>
                </c:pt>
                <c:pt idx="89">
                  <c:v>40.523600000000002</c:v>
                </c:pt>
                <c:pt idx="90">
                  <c:v>41.108600000000003</c:v>
                </c:pt>
                <c:pt idx="91">
                  <c:v>41.740200000000002</c:v>
                </c:pt>
                <c:pt idx="92">
                  <c:v>42.392099999999999</c:v>
                </c:pt>
                <c:pt idx="93">
                  <c:v>43.063800000000001</c:v>
                </c:pt>
                <c:pt idx="94">
                  <c:v>43.855600000000003</c:v>
                </c:pt>
                <c:pt idx="95">
                  <c:v>44.799099999999996</c:v>
                </c:pt>
                <c:pt idx="96">
                  <c:v>45.924900000000001</c:v>
                </c:pt>
                <c:pt idx="97">
                  <c:v>47.020600000000002</c:v>
                </c:pt>
                <c:pt idx="98">
                  <c:v>47.967700000000001</c:v>
                </c:pt>
                <c:pt idx="99">
                  <c:v>48.787000000000006</c:v>
                </c:pt>
                <c:pt idx="100">
                  <c:v>49.490400000000001</c:v>
                </c:pt>
                <c:pt idx="101">
                  <c:v>50.121899999999997</c:v>
                </c:pt>
                <c:pt idx="102">
                  <c:v>50.737900000000003</c:v>
                </c:pt>
                <c:pt idx="103">
                  <c:v>51.173699999999997</c:v>
                </c:pt>
                <c:pt idx="104">
                  <c:v>51.3718</c:v>
                </c:pt>
                <c:pt idx="105">
                  <c:v>51.3645</c:v>
                </c:pt>
                <c:pt idx="106">
                  <c:v>51.228300000000004</c:v>
                </c:pt>
                <c:pt idx="107">
                  <c:v>51.066900000000004</c:v>
                </c:pt>
                <c:pt idx="108">
                  <c:v>50.897999999999996</c:v>
                </c:pt>
                <c:pt idx="109">
                  <c:v>50.679099999999998</c:v>
                </c:pt>
                <c:pt idx="110">
                  <c:v>50.359900000000003</c:v>
                </c:pt>
                <c:pt idx="111">
                  <c:v>50.0246</c:v>
                </c:pt>
                <c:pt idx="112">
                  <c:v>49.6952</c:v>
                </c:pt>
                <c:pt idx="113">
                  <c:v>49.336600000000004</c:v>
                </c:pt>
                <c:pt idx="114">
                  <c:v>48.953400000000002</c:v>
                </c:pt>
                <c:pt idx="115">
                  <c:v>48.540399999999998</c:v>
                </c:pt>
                <c:pt idx="116">
                  <c:v>48.063699999999997</c:v>
                </c:pt>
                <c:pt idx="117">
                  <c:v>47.527099999999997</c:v>
                </c:pt>
                <c:pt idx="118">
                  <c:v>46.993299999999998</c:v>
                </c:pt>
                <c:pt idx="119">
                  <c:v>46.4116</c:v>
                </c:pt>
                <c:pt idx="120">
                  <c:v>45.698699999999995</c:v>
                </c:pt>
                <c:pt idx="121">
                  <c:v>44.956400000000002</c:v>
                </c:pt>
                <c:pt idx="122">
                  <c:v>44.188200000000002</c:v>
                </c:pt>
                <c:pt idx="123">
                  <c:v>43.499500000000005</c:v>
                </c:pt>
                <c:pt idx="124">
                  <c:v>43.242000000000004</c:v>
                </c:pt>
                <c:pt idx="125">
                  <c:v>42.9574</c:v>
                </c:pt>
                <c:pt idx="126">
                  <c:v>42.671399999999998</c:v>
                </c:pt>
                <c:pt idx="127">
                  <c:v>42.414000000000001</c:v>
                </c:pt>
                <c:pt idx="128">
                  <c:v>42.179200000000002</c:v>
                </c:pt>
                <c:pt idx="129">
                  <c:v>41.962899999999998</c:v>
                </c:pt>
                <c:pt idx="130">
                  <c:v>41.737900000000003</c:v>
                </c:pt>
                <c:pt idx="131">
                  <c:v>41.500900000000001</c:v>
                </c:pt>
                <c:pt idx="132">
                  <c:v>41.247699999999995</c:v>
                </c:pt>
                <c:pt idx="133">
                  <c:v>40.963200000000001</c:v>
                </c:pt>
                <c:pt idx="134">
                  <c:v>40.645900000000005</c:v>
                </c:pt>
                <c:pt idx="135">
                  <c:v>40.374900000000004</c:v>
                </c:pt>
                <c:pt idx="136">
                  <c:v>40.098099999999995</c:v>
                </c:pt>
                <c:pt idx="137">
                  <c:v>39.807900000000004</c:v>
                </c:pt>
                <c:pt idx="138">
                  <c:v>39.486900000000006</c:v>
                </c:pt>
                <c:pt idx="139">
                  <c:v>39.119199999999999</c:v>
                </c:pt>
                <c:pt idx="140">
                  <c:v>38.722799999999999</c:v>
                </c:pt>
                <c:pt idx="141">
                  <c:v>38.305399999999999</c:v>
                </c:pt>
                <c:pt idx="142">
                  <c:v>38.001600000000003</c:v>
                </c:pt>
                <c:pt idx="143">
                  <c:v>37.753300000000003</c:v>
                </c:pt>
                <c:pt idx="144">
                  <c:v>37.522299999999994</c:v>
                </c:pt>
                <c:pt idx="145">
                  <c:v>37.482300000000002</c:v>
                </c:pt>
                <c:pt idx="146">
                  <c:v>37.410399999999996</c:v>
                </c:pt>
                <c:pt idx="147">
                  <c:v>37.542400000000001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1.59073</c:v>
                </c:pt>
                <c:pt idx="1">
                  <c:v>1.6559199999999998</c:v>
                </c:pt>
                <c:pt idx="2">
                  <c:v>1.7235400000000001</c:v>
                </c:pt>
                <c:pt idx="3">
                  <c:v>1.79226</c:v>
                </c:pt>
                <c:pt idx="4">
                  <c:v>1.8583099999999999</c:v>
                </c:pt>
                <c:pt idx="5">
                  <c:v>1.9249399999999999</c:v>
                </c:pt>
                <c:pt idx="6">
                  <c:v>1.99505</c:v>
                </c:pt>
                <c:pt idx="7">
                  <c:v>2.0653800000000002</c:v>
                </c:pt>
                <c:pt idx="8">
                  <c:v>2.1387</c:v>
                </c:pt>
                <c:pt idx="9">
                  <c:v>2.2069000000000001</c:v>
                </c:pt>
                <c:pt idx="10">
                  <c:v>2.2732700000000001</c:v>
                </c:pt>
                <c:pt idx="11">
                  <c:v>2.3378999999999999</c:v>
                </c:pt>
                <c:pt idx="12">
                  <c:v>2.3986900000000002</c:v>
                </c:pt>
                <c:pt idx="13">
                  <c:v>2.4589400000000001</c:v>
                </c:pt>
                <c:pt idx="14">
                  <c:v>2.5206600000000003</c:v>
                </c:pt>
                <c:pt idx="15">
                  <c:v>2.5835599999999999</c:v>
                </c:pt>
                <c:pt idx="16">
                  <c:v>2.64594</c:v>
                </c:pt>
                <c:pt idx="17">
                  <c:v>2.70634</c:v>
                </c:pt>
                <c:pt idx="18">
                  <c:v>2.76342</c:v>
                </c:pt>
                <c:pt idx="19">
                  <c:v>2.8173599999999999</c:v>
                </c:pt>
                <c:pt idx="20">
                  <c:v>2.8667599999999998</c:v>
                </c:pt>
                <c:pt idx="21">
                  <c:v>2.91398</c:v>
                </c:pt>
                <c:pt idx="22">
                  <c:v>2.9593399999999996</c:v>
                </c:pt>
                <c:pt idx="23">
                  <c:v>2.9939999999999998</c:v>
                </c:pt>
                <c:pt idx="24">
                  <c:v>3.0230000000000001</c:v>
                </c:pt>
                <c:pt idx="25">
                  <c:v>3.0525500000000001</c:v>
                </c:pt>
                <c:pt idx="26">
                  <c:v>3.0826599999999997</c:v>
                </c:pt>
                <c:pt idx="27">
                  <c:v>3.11212</c:v>
                </c:pt>
                <c:pt idx="28">
                  <c:v>3.1430699999999998</c:v>
                </c:pt>
                <c:pt idx="29">
                  <c:v>3.1747999999999998</c:v>
                </c:pt>
                <c:pt idx="30">
                  <c:v>3.2019900000000003</c:v>
                </c:pt>
                <c:pt idx="31">
                  <c:v>3.22403</c:v>
                </c:pt>
                <c:pt idx="32">
                  <c:v>3.2446399999999995</c:v>
                </c:pt>
                <c:pt idx="33">
                  <c:v>3.25943</c:v>
                </c:pt>
                <c:pt idx="34">
                  <c:v>3.2715300000000003</c:v>
                </c:pt>
                <c:pt idx="35">
                  <c:v>3.2834400000000001</c:v>
                </c:pt>
                <c:pt idx="36">
                  <c:v>3.2915299999999998</c:v>
                </c:pt>
                <c:pt idx="37">
                  <c:v>3.2983099999999999</c:v>
                </c:pt>
                <c:pt idx="38">
                  <c:v>3.3007199999999997</c:v>
                </c:pt>
                <c:pt idx="39">
                  <c:v>3.3000000000000003</c:v>
                </c:pt>
                <c:pt idx="40">
                  <c:v>3.2972400000000004</c:v>
                </c:pt>
                <c:pt idx="41">
                  <c:v>3.2915399999999999</c:v>
                </c:pt>
                <c:pt idx="42">
                  <c:v>3.2860099999999997</c:v>
                </c:pt>
                <c:pt idx="43">
                  <c:v>3.2821299999999995</c:v>
                </c:pt>
                <c:pt idx="44">
                  <c:v>3.2776699999999996</c:v>
                </c:pt>
                <c:pt idx="45">
                  <c:v>3.2713999999999999</c:v>
                </c:pt>
                <c:pt idx="46">
                  <c:v>3.2610299999999999</c:v>
                </c:pt>
                <c:pt idx="47">
                  <c:v>3.2448199999999998</c:v>
                </c:pt>
                <c:pt idx="48">
                  <c:v>3.2317400000000003</c:v>
                </c:pt>
                <c:pt idx="49">
                  <c:v>3.22323</c:v>
                </c:pt>
                <c:pt idx="50">
                  <c:v>3.22051</c:v>
                </c:pt>
                <c:pt idx="51">
                  <c:v>3.20913</c:v>
                </c:pt>
                <c:pt idx="52">
                  <c:v>3.19468</c:v>
                </c:pt>
                <c:pt idx="53">
                  <c:v>3.1781600000000001</c:v>
                </c:pt>
                <c:pt idx="54">
                  <c:v>3.1596899999999999</c:v>
                </c:pt>
                <c:pt idx="55">
                  <c:v>3.1418499999999998</c:v>
                </c:pt>
                <c:pt idx="56">
                  <c:v>3.1205500000000002</c:v>
                </c:pt>
                <c:pt idx="57">
                  <c:v>3.0956000000000001</c:v>
                </c:pt>
                <c:pt idx="58">
                  <c:v>3.0703999999999998</c:v>
                </c:pt>
                <c:pt idx="59">
                  <c:v>3.0475600000000003</c:v>
                </c:pt>
                <c:pt idx="60">
                  <c:v>3.0238800000000001</c:v>
                </c:pt>
                <c:pt idx="61">
                  <c:v>3.0028800000000002</c:v>
                </c:pt>
                <c:pt idx="62">
                  <c:v>2.9859799999999996</c:v>
                </c:pt>
                <c:pt idx="63">
                  <c:v>2.97309</c:v>
                </c:pt>
                <c:pt idx="64">
                  <c:v>2.9603200000000003</c:v>
                </c:pt>
                <c:pt idx="65">
                  <c:v>2.94624</c:v>
                </c:pt>
                <c:pt idx="66">
                  <c:v>2.9335499999999999</c:v>
                </c:pt>
                <c:pt idx="67">
                  <c:v>2.9179300000000001</c:v>
                </c:pt>
                <c:pt idx="68">
                  <c:v>2.9006599999999998</c:v>
                </c:pt>
                <c:pt idx="69">
                  <c:v>2.8836599999999999</c:v>
                </c:pt>
                <c:pt idx="70">
                  <c:v>2.8699999999999997</c:v>
                </c:pt>
                <c:pt idx="71">
                  <c:v>2.8603000000000001</c:v>
                </c:pt>
                <c:pt idx="72">
                  <c:v>2.8561300000000003</c:v>
                </c:pt>
                <c:pt idx="73">
                  <c:v>2.85547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59.508399999999995</c:v>
                </c:pt>
                <c:pt idx="1">
                  <c:v>58.718699999999998</c:v>
                </c:pt>
                <c:pt idx="2">
                  <c:v>57.749099999999999</c:v>
                </c:pt>
                <c:pt idx="3">
                  <c:v>56.622799999999998</c:v>
                </c:pt>
                <c:pt idx="4">
                  <c:v>55.663600000000002</c:v>
                </c:pt>
                <c:pt idx="5">
                  <c:v>54.613999999999997</c:v>
                </c:pt>
                <c:pt idx="6">
                  <c:v>53.4328</c:v>
                </c:pt>
                <c:pt idx="7">
                  <c:v>52.179200000000002</c:v>
                </c:pt>
                <c:pt idx="8">
                  <c:v>50.770400000000002</c:v>
                </c:pt>
                <c:pt idx="9">
                  <c:v>49.575399999999995</c:v>
                </c:pt>
                <c:pt idx="10">
                  <c:v>48.465299999999999</c:v>
                </c:pt>
                <c:pt idx="11">
                  <c:v>47.460299999999997</c:v>
                </c:pt>
                <c:pt idx="12">
                  <c:v>46.556799999999996</c:v>
                </c:pt>
                <c:pt idx="13">
                  <c:v>45.544499999999999</c:v>
                </c:pt>
                <c:pt idx="14">
                  <c:v>44.4178</c:v>
                </c:pt>
                <c:pt idx="15">
                  <c:v>43.354599999999998</c:v>
                </c:pt>
                <c:pt idx="16">
                  <c:v>42.323699999999995</c:v>
                </c:pt>
                <c:pt idx="17">
                  <c:v>41.302699999999994</c:v>
                </c:pt>
                <c:pt idx="18">
                  <c:v>40.4589</c:v>
                </c:pt>
                <c:pt idx="19">
                  <c:v>39.695</c:v>
                </c:pt>
                <c:pt idx="20">
                  <c:v>38.972200000000001</c:v>
                </c:pt>
                <c:pt idx="21">
                  <c:v>38.305</c:v>
                </c:pt>
                <c:pt idx="22">
                  <c:v>37.541799999999995</c:v>
                </c:pt>
                <c:pt idx="23">
                  <c:v>36.905200000000001</c:v>
                </c:pt>
                <c:pt idx="24">
                  <c:v>36.164499999999997</c:v>
                </c:pt>
                <c:pt idx="25">
                  <c:v>35.322400000000002</c:v>
                </c:pt>
                <c:pt idx="26">
                  <c:v>34.529499999999999</c:v>
                </c:pt>
                <c:pt idx="27">
                  <c:v>33.733600000000003</c:v>
                </c:pt>
                <c:pt idx="28">
                  <c:v>32.947700000000005</c:v>
                </c:pt>
                <c:pt idx="29">
                  <c:v>32.255699999999997</c:v>
                </c:pt>
                <c:pt idx="30">
                  <c:v>31.696600000000004</c:v>
                </c:pt>
                <c:pt idx="31">
                  <c:v>31.208599999999997</c:v>
                </c:pt>
                <c:pt idx="32">
                  <c:v>30.771500000000003</c:v>
                </c:pt>
                <c:pt idx="33">
                  <c:v>30.408300000000001</c:v>
                </c:pt>
                <c:pt idx="34">
                  <c:v>30.104599999999998</c:v>
                </c:pt>
                <c:pt idx="35">
                  <c:v>29.842400000000001</c:v>
                </c:pt>
                <c:pt idx="36">
                  <c:v>29.671300000000002</c:v>
                </c:pt>
                <c:pt idx="37">
                  <c:v>29.593000000000004</c:v>
                </c:pt>
                <c:pt idx="38">
                  <c:v>29.648999999999997</c:v>
                </c:pt>
                <c:pt idx="39">
                  <c:v>29.775500000000001</c:v>
                </c:pt>
                <c:pt idx="40">
                  <c:v>29.909099999999999</c:v>
                </c:pt>
                <c:pt idx="41">
                  <c:v>30.122700000000002</c:v>
                </c:pt>
                <c:pt idx="42">
                  <c:v>30.367100000000001</c:v>
                </c:pt>
                <c:pt idx="43">
                  <c:v>30.590299999999999</c:v>
                </c:pt>
                <c:pt idx="44">
                  <c:v>30.830800000000004</c:v>
                </c:pt>
                <c:pt idx="45">
                  <c:v>31.108799999999999</c:v>
                </c:pt>
                <c:pt idx="46">
                  <c:v>31.464500000000001</c:v>
                </c:pt>
                <c:pt idx="47">
                  <c:v>32.0533</c:v>
                </c:pt>
                <c:pt idx="48">
                  <c:v>32.701999999999998</c:v>
                </c:pt>
                <c:pt idx="49">
                  <c:v>33.441099999999999</c:v>
                </c:pt>
                <c:pt idx="50">
                  <c:v>34.122599999999998</c:v>
                </c:pt>
                <c:pt idx="51">
                  <c:v>34.8765</c:v>
                </c:pt>
                <c:pt idx="52">
                  <c:v>35.618699999999997</c:v>
                </c:pt>
                <c:pt idx="53">
                  <c:v>36.346600000000002</c:v>
                </c:pt>
                <c:pt idx="54">
                  <c:v>37.046300000000002</c:v>
                </c:pt>
                <c:pt idx="55">
                  <c:v>37.684200000000004</c:v>
                </c:pt>
                <c:pt idx="56">
                  <c:v>38.238399999999999</c:v>
                </c:pt>
                <c:pt idx="57">
                  <c:v>38.788899999999998</c:v>
                </c:pt>
                <c:pt idx="58">
                  <c:v>39.249400000000001</c:v>
                </c:pt>
                <c:pt idx="59">
                  <c:v>39.663800000000002</c:v>
                </c:pt>
                <c:pt idx="60">
                  <c:v>40.075899999999997</c:v>
                </c:pt>
                <c:pt idx="61">
                  <c:v>40.377499999999998</c:v>
                </c:pt>
                <c:pt idx="62">
                  <c:v>40.551700000000004</c:v>
                </c:pt>
                <c:pt idx="63">
                  <c:v>40.593600000000002</c:v>
                </c:pt>
                <c:pt idx="64">
                  <c:v>40.590399999999995</c:v>
                </c:pt>
                <c:pt idx="65">
                  <c:v>40.589799999999997</c:v>
                </c:pt>
                <c:pt idx="66">
                  <c:v>40.5199</c:v>
                </c:pt>
                <c:pt idx="67">
                  <c:v>40.4756</c:v>
                </c:pt>
                <c:pt idx="68">
                  <c:v>40.4848</c:v>
                </c:pt>
                <c:pt idx="69">
                  <c:v>40.490099999999998</c:v>
                </c:pt>
                <c:pt idx="70">
                  <c:v>40.383000000000003</c:v>
                </c:pt>
                <c:pt idx="71">
                  <c:v>40.037800000000004</c:v>
                </c:pt>
                <c:pt idx="72">
                  <c:v>39.499699999999997</c:v>
                </c:pt>
                <c:pt idx="73">
                  <c:v>38.911499999999997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2.85547</c:v>
                </c:pt>
                <c:pt idx="1">
                  <c:v>2.8545799999999999</c:v>
                </c:pt>
                <c:pt idx="2">
                  <c:v>2.8534300000000004</c:v>
                </c:pt>
                <c:pt idx="3">
                  <c:v>2.8488799999999999</c:v>
                </c:pt>
                <c:pt idx="4">
                  <c:v>2.8426200000000001</c:v>
                </c:pt>
                <c:pt idx="5">
                  <c:v>2.8351999999999999</c:v>
                </c:pt>
                <c:pt idx="6">
                  <c:v>2.8269899999999999</c:v>
                </c:pt>
                <c:pt idx="7">
                  <c:v>2.8196599999999998</c:v>
                </c:pt>
                <c:pt idx="8">
                  <c:v>2.8144200000000001</c:v>
                </c:pt>
                <c:pt idx="9">
                  <c:v>2.8149500000000001</c:v>
                </c:pt>
                <c:pt idx="10">
                  <c:v>2.8168199999999999</c:v>
                </c:pt>
                <c:pt idx="11">
                  <c:v>2.8167399999999998</c:v>
                </c:pt>
                <c:pt idx="12">
                  <c:v>2.8151599999999997</c:v>
                </c:pt>
                <c:pt idx="13">
                  <c:v>2.8116000000000003</c:v>
                </c:pt>
                <c:pt idx="14">
                  <c:v>2.8050899999999999</c:v>
                </c:pt>
                <c:pt idx="15">
                  <c:v>2.79501</c:v>
                </c:pt>
                <c:pt idx="16">
                  <c:v>2.7859299999999996</c:v>
                </c:pt>
                <c:pt idx="17">
                  <c:v>2.7741199999999999</c:v>
                </c:pt>
                <c:pt idx="18">
                  <c:v>2.7572700000000001</c:v>
                </c:pt>
                <c:pt idx="19">
                  <c:v>2.7369599999999998</c:v>
                </c:pt>
                <c:pt idx="20">
                  <c:v>2.7163900000000001</c:v>
                </c:pt>
                <c:pt idx="21">
                  <c:v>2.6966400000000004</c:v>
                </c:pt>
                <c:pt idx="22">
                  <c:v>2.6814200000000001</c:v>
                </c:pt>
                <c:pt idx="23">
                  <c:v>2.6674899999999999</c:v>
                </c:pt>
                <c:pt idx="24">
                  <c:v>2.6576499999999998</c:v>
                </c:pt>
                <c:pt idx="25">
                  <c:v>2.6498200000000001</c:v>
                </c:pt>
                <c:pt idx="26">
                  <c:v>2.64208</c:v>
                </c:pt>
                <c:pt idx="27">
                  <c:v>2.6354699999999998</c:v>
                </c:pt>
                <c:pt idx="28">
                  <c:v>2.6311600000000004</c:v>
                </c:pt>
                <c:pt idx="29">
                  <c:v>2.6271599999999999</c:v>
                </c:pt>
                <c:pt idx="30">
                  <c:v>2.6245000000000003</c:v>
                </c:pt>
                <c:pt idx="31">
                  <c:v>2.6254599999999999</c:v>
                </c:pt>
                <c:pt idx="32">
                  <c:v>2.63239</c:v>
                </c:pt>
                <c:pt idx="33">
                  <c:v>2.64377</c:v>
                </c:pt>
                <c:pt idx="34">
                  <c:v>2.65523</c:v>
                </c:pt>
                <c:pt idx="35">
                  <c:v>2.6664500000000002</c:v>
                </c:pt>
                <c:pt idx="36">
                  <c:v>2.6789899999999998</c:v>
                </c:pt>
                <c:pt idx="37">
                  <c:v>2.6941199999999998</c:v>
                </c:pt>
                <c:pt idx="38">
                  <c:v>2.7095500000000001</c:v>
                </c:pt>
                <c:pt idx="39">
                  <c:v>2.7237899999999997</c:v>
                </c:pt>
                <c:pt idx="40">
                  <c:v>2.7383600000000001</c:v>
                </c:pt>
                <c:pt idx="41">
                  <c:v>2.7535700000000003</c:v>
                </c:pt>
                <c:pt idx="42">
                  <c:v>2.7712700000000003</c:v>
                </c:pt>
                <c:pt idx="43">
                  <c:v>2.79582</c:v>
                </c:pt>
                <c:pt idx="44">
                  <c:v>2.8255699999999999</c:v>
                </c:pt>
                <c:pt idx="45">
                  <c:v>2.8563200000000002</c:v>
                </c:pt>
                <c:pt idx="46">
                  <c:v>2.8874599999999999</c:v>
                </c:pt>
                <c:pt idx="47">
                  <c:v>2.9172500000000001</c:v>
                </c:pt>
                <c:pt idx="48">
                  <c:v>2.9472900000000002</c:v>
                </c:pt>
                <c:pt idx="49">
                  <c:v>2.9770600000000003</c:v>
                </c:pt>
                <c:pt idx="50">
                  <c:v>3.0059900000000002</c:v>
                </c:pt>
                <c:pt idx="51">
                  <c:v>3.0177999999999998</c:v>
                </c:pt>
                <c:pt idx="52">
                  <c:v>3.0314000000000001</c:v>
                </c:pt>
                <c:pt idx="53">
                  <c:v>3.04617</c:v>
                </c:pt>
                <c:pt idx="54">
                  <c:v>3.0627199999999997</c:v>
                </c:pt>
                <c:pt idx="55">
                  <c:v>3.0783800000000001</c:v>
                </c:pt>
                <c:pt idx="56">
                  <c:v>3.09307</c:v>
                </c:pt>
                <c:pt idx="57">
                  <c:v>3.1049100000000003</c:v>
                </c:pt>
                <c:pt idx="58">
                  <c:v>3.1160300000000003</c:v>
                </c:pt>
                <c:pt idx="59">
                  <c:v>3.1269200000000001</c:v>
                </c:pt>
                <c:pt idx="60">
                  <c:v>3.13889</c:v>
                </c:pt>
                <c:pt idx="61">
                  <c:v>3.1519500000000003</c:v>
                </c:pt>
                <c:pt idx="62">
                  <c:v>3.16486</c:v>
                </c:pt>
                <c:pt idx="63">
                  <c:v>3.1783399999999999</c:v>
                </c:pt>
                <c:pt idx="64">
                  <c:v>3.1949300000000003</c:v>
                </c:pt>
                <c:pt idx="65">
                  <c:v>3.2153999999999998</c:v>
                </c:pt>
                <c:pt idx="66">
                  <c:v>3.2386999999999997</c:v>
                </c:pt>
                <c:pt idx="67">
                  <c:v>3.2637800000000001</c:v>
                </c:pt>
                <c:pt idx="68">
                  <c:v>3.2859400000000001</c:v>
                </c:pt>
                <c:pt idx="69">
                  <c:v>3.3051000000000004</c:v>
                </c:pt>
                <c:pt idx="70">
                  <c:v>3.3264</c:v>
                </c:pt>
                <c:pt idx="71">
                  <c:v>3.3482600000000002</c:v>
                </c:pt>
                <c:pt idx="72">
                  <c:v>3.3660600000000001</c:v>
                </c:pt>
                <c:pt idx="73">
                  <c:v>3.3776299999999999</c:v>
                </c:pt>
                <c:pt idx="74">
                  <c:v>3.3742800000000002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38.911499999999997</c:v>
                </c:pt>
                <c:pt idx="1">
                  <c:v>38.431199999999997</c:v>
                </c:pt>
                <c:pt idx="2">
                  <c:v>38.116799999999998</c:v>
                </c:pt>
                <c:pt idx="3">
                  <c:v>37.936999999999998</c:v>
                </c:pt>
                <c:pt idx="4">
                  <c:v>37.784199999999998</c:v>
                </c:pt>
                <c:pt idx="5">
                  <c:v>37.801400000000001</c:v>
                </c:pt>
                <c:pt idx="6">
                  <c:v>37.920300000000005</c:v>
                </c:pt>
                <c:pt idx="7">
                  <c:v>38.058799999999998</c:v>
                </c:pt>
                <c:pt idx="8">
                  <c:v>38.199199999999998</c:v>
                </c:pt>
                <c:pt idx="9">
                  <c:v>38.324200000000005</c:v>
                </c:pt>
                <c:pt idx="10">
                  <c:v>38.453600000000002</c:v>
                </c:pt>
                <c:pt idx="11">
                  <c:v>38.654800000000002</c:v>
                </c:pt>
                <c:pt idx="12">
                  <c:v>38.872</c:v>
                </c:pt>
                <c:pt idx="13">
                  <c:v>39.149799999999999</c:v>
                </c:pt>
                <c:pt idx="14">
                  <c:v>39.505800000000001</c:v>
                </c:pt>
                <c:pt idx="15">
                  <c:v>40.000999999999998</c:v>
                </c:pt>
                <c:pt idx="16">
                  <c:v>40.523600000000002</c:v>
                </c:pt>
                <c:pt idx="17">
                  <c:v>41.108600000000003</c:v>
                </c:pt>
                <c:pt idx="18">
                  <c:v>41.740200000000002</c:v>
                </c:pt>
                <c:pt idx="19">
                  <c:v>42.392099999999999</c:v>
                </c:pt>
                <c:pt idx="20">
                  <c:v>43.063800000000001</c:v>
                </c:pt>
                <c:pt idx="21">
                  <c:v>43.855600000000003</c:v>
                </c:pt>
                <c:pt idx="22">
                  <c:v>44.799099999999996</c:v>
                </c:pt>
                <c:pt idx="23">
                  <c:v>45.924900000000001</c:v>
                </c:pt>
                <c:pt idx="24">
                  <c:v>47.020600000000002</c:v>
                </c:pt>
                <c:pt idx="25">
                  <c:v>47.967700000000001</c:v>
                </c:pt>
                <c:pt idx="26">
                  <c:v>48.787000000000006</c:v>
                </c:pt>
                <c:pt idx="27">
                  <c:v>49.490400000000001</c:v>
                </c:pt>
                <c:pt idx="28">
                  <c:v>50.121899999999997</c:v>
                </c:pt>
                <c:pt idx="29">
                  <c:v>50.737900000000003</c:v>
                </c:pt>
                <c:pt idx="30">
                  <c:v>51.173699999999997</c:v>
                </c:pt>
                <c:pt idx="31">
                  <c:v>51.3718</c:v>
                </c:pt>
                <c:pt idx="32">
                  <c:v>51.3645</c:v>
                </c:pt>
                <c:pt idx="33">
                  <c:v>51.228300000000004</c:v>
                </c:pt>
                <c:pt idx="34">
                  <c:v>51.066900000000004</c:v>
                </c:pt>
                <c:pt idx="35">
                  <c:v>50.897999999999996</c:v>
                </c:pt>
                <c:pt idx="36">
                  <c:v>50.679099999999998</c:v>
                </c:pt>
                <c:pt idx="37">
                  <c:v>50.359900000000003</c:v>
                </c:pt>
                <c:pt idx="38">
                  <c:v>50.0246</c:v>
                </c:pt>
                <c:pt idx="39">
                  <c:v>49.6952</c:v>
                </c:pt>
                <c:pt idx="40">
                  <c:v>49.336600000000004</c:v>
                </c:pt>
                <c:pt idx="41">
                  <c:v>48.953400000000002</c:v>
                </c:pt>
                <c:pt idx="42">
                  <c:v>48.540399999999998</c:v>
                </c:pt>
                <c:pt idx="43">
                  <c:v>48.063699999999997</c:v>
                </c:pt>
                <c:pt idx="44">
                  <c:v>47.527099999999997</c:v>
                </c:pt>
                <c:pt idx="45">
                  <c:v>46.993299999999998</c:v>
                </c:pt>
                <c:pt idx="46">
                  <c:v>46.4116</c:v>
                </c:pt>
                <c:pt idx="47">
                  <c:v>45.698699999999995</c:v>
                </c:pt>
                <c:pt idx="48">
                  <c:v>44.956400000000002</c:v>
                </c:pt>
                <c:pt idx="49">
                  <c:v>44.188200000000002</c:v>
                </c:pt>
                <c:pt idx="50">
                  <c:v>43.499500000000005</c:v>
                </c:pt>
                <c:pt idx="51">
                  <c:v>43.242000000000004</c:v>
                </c:pt>
                <c:pt idx="52">
                  <c:v>42.9574</c:v>
                </c:pt>
                <c:pt idx="53">
                  <c:v>42.671399999999998</c:v>
                </c:pt>
                <c:pt idx="54">
                  <c:v>42.414000000000001</c:v>
                </c:pt>
                <c:pt idx="55">
                  <c:v>42.179200000000002</c:v>
                </c:pt>
                <c:pt idx="56">
                  <c:v>41.962899999999998</c:v>
                </c:pt>
                <c:pt idx="57">
                  <c:v>41.737900000000003</c:v>
                </c:pt>
                <c:pt idx="58">
                  <c:v>41.500900000000001</c:v>
                </c:pt>
                <c:pt idx="59">
                  <c:v>41.247699999999995</c:v>
                </c:pt>
                <c:pt idx="60">
                  <c:v>40.963200000000001</c:v>
                </c:pt>
                <c:pt idx="61">
                  <c:v>40.645900000000005</c:v>
                </c:pt>
                <c:pt idx="62">
                  <c:v>40.374900000000004</c:v>
                </c:pt>
                <c:pt idx="63">
                  <c:v>40.098099999999995</c:v>
                </c:pt>
                <c:pt idx="64">
                  <c:v>39.807900000000004</c:v>
                </c:pt>
                <c:pt idx="65">
                  <c:v>39.486900000000006</c:v>
                </c:pt>
                <c:pt idx="66">
                  <c:v>39.119199999999999</c:v>
                </c:pt>
                <c:pt idx="67">
                  <c:v>38.722799999999999</c:v>
                </c:pt>
                <c:pt idx="68">
                  <c:v>38.305399999999999</c:v>
                </c:pt>
                <c:pt idx="69">
                  <c:v>38.001600000000003</c:v>
                </c:pt>
                <c:pt idx="70">
                  <c:v>37.753300000000003</c:v>
                </c:pt>
                <c:pt idx="71">
                  <c:v>37.522299999999994</c:v>
                </c:pt>
                <c:pt idx="72">
                  <c:v>37.482300000000002</c:v>
                </c:pt>
                <c:pt idx="73">
                  <c:v>37.410399999999996</c:v>
                </c:pt>
                <c:pt idx="74">
                  <c:v>37.542400000000001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1.59073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59.508399999999995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2.8720370270270275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39.129983783783793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2.9022816216216212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43.242221621621638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2.9022816216216212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43.242221621621638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7" t="s">
        <v>572</v>
      </c>
      <c r="D5" s="151"/>
      <c r="E5" s="151"/>
      <c r="F5" s="152"/>
      <c r="G5" s="48" t="str">
        <f>lang!B27</f>
        <v>编号</v>
      </c>
      <c r="H5" s="150">
        <v>27</v>
      </c>
      <c r="I5" s="151"/>
      <c r="J5" s="151"/>
      <c r="K5" s="153"/>
    </row>
    <row r="6" spans="2:21" ht="17.25" customHeight="1">
      <c r="B6" s="46" t="str">
        <f>lang!B25</f>
        <v>性别</v>
      </c>
      <c r="C6" s="198" t="s">
        <v>571</v>
      </c>
      <c r="D6" s="188"/>
      <c r="E6" s="188"/>
      <c r="F6" s="189"/>
      <c r="G6" s="49" t="str">
        <f>lang!B28</f>
        <v xml:space="preserve"> 日期</v>
      </c>
      <c r="H6" s="172">
        <f>FH_info!A2</f>
        <v>43607.443819444445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56</v>
      </c>
      <c r="D7" s="191"/>
      <c r="E7" s="191"/>
      <c r="F7" s="192"/>
      <c r="G7" s="50" t="str">
        <f>lang!B29</f>
        <v>误差率（%）</v>
      </c>
      <c r="H7" s="175">
        <f>M!B17*1</f>
        <v>19.512799999999999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40.887500000000003</v>
      </c>
      <c r="O8" s="59">
        <f>M!C5*1</f>
        <v>10.9733</v>
      </c>
      <c r="P8" s="59">
        <f>M!D5*1</f>
        <v>26.837800000000001</v>
      </c>
      <c r="Q8" s="59">
        <f>M!E5*1</f>
        <v>20</v>
      </c>
      <c r="R8" s="59">
        <f>M!F5*1</f>
        <v>6.2961299999999998</v>
      </c>
      <c r="S8" s="59">
        <f>M!G5*1</f>
        <v>50</v>
      </c>
      <c r="T8" s="59">
        <f>M!H5*1</f>
        <v>58.327300000000001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29.0045</v>
      </c>
      <c r="O9" s="59">
        <f>M!C6*1</f>
        <v>3.65124</v>
      </c>
      <c r="P9" s="59">
        <f>M!D6*1</f>
        <v>12.5885</v>
      </c>
      <c r="Q9" s="59">
        <f>M!E6*1</f>
        <v>20</v>
      </c>
      <c r="R9" s="59">
        <f>M!F6*1</f>
        <v>22.6236</v>
      </c>
      <c r="S9" s="59">
        <f>M!G6*1</f>
        <v>40</v>
      </c>
      <c r="T9" s="59">
        <f>M!H6*1</f>
        <v>40.176499999999997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6.2961299999999998</v>
      </c>
      <c r="D10" s="99">
        <f>N8</f>
        <v>40.887500000000003</v>
      </c>
      <c r="E10" s="100">
        <f>T8</f>
        <v>58.327300000000001</v>
      </c>
      <c r="F10" s="91">
        <f>P8</f>
        <v>26.837800000000001</v>
      </c>
      <c r="G10" s="81" t="str">
        <f>CONCATENATE(M9,"
(20 ~ 40)")</f>
        <v>压力
(20 ~ 40)</v>
      </c>
      <c r="H10" s="98">
        <f>R9</f>
        <v>22.6236</v>
      </c>
      <c r="I10" s="108">
        <f>N9</f>
        <v>29.0045</v>
      </c>
      <c r="J10" s="98">
        <f>T9</f>
        <v>40.176499999999997</v>
      </c>
      <c r="K10" s="92">
        <f>P9</f>
        <v>12.5885</v>
      </c>
      <c r="L10" s="6"/>
      <c r="M10" s="27" t="str">
        <f>lang!B16</f>
        <v>焦虑</v>
      </c>
      <c r="N10" s="59">
        <f>M!B7*1</f>
        <v>28.190200000000001</v>
      </c>
      <c r="O10" s="59">
        <f>M!C7*1</f>
        <v>9.2510399999999997</v>
      </c>
      <c r="P10" s="59">
        <f>M!D7*1</f>
        <v>32.816499999999998</v>
      </c>
      <c r="Q10" s="59">
        <f>M!E7*1</f>
        <v>15</v>
      </c>
      <c r="R10" s="59">
        <f>M!F7*1</f>
        <v>3.8946800000000001</v>
      </c>
      <c r="S10" s="59">
        <f>M!G7*1</f>
        <v>40</v>
      </c>
      <c r="T10" s="59">
        <f>M!H7*1</f>
        <v>50.013100000000001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3.8946800000000001</v>
      </c>
      <c r="D11" s="102">
        <f>N10</f>
        <v>28.190200000000001</v>
      </c>
      <c r="E11" s="103">
        <f>T10</f>
        <v>50.013100000000001</v>
      </c>
      <c r="F11" s="94">
        <f>P10</f>
        <v>32.816499999999998</v>
      </c>
      <c r="G11" s="52" t="str">
        <f>CONCATENATE(M11,"
(20 ~ 50)")</f>
        <v>可疑
(20 ~ 50)</v>
      </c>
      <c r="H11" s="101">
        <f>R11</f>
        <v>20.6983</v>
      </c>
      <c r="I11" s="104">
        <f>N11</f>
        <v>31.984300000000001</v>
      </c>
      <c r="J11" s="101">
        <f>T11</f>
        <v>40.471499999999999</v>
      </c>
      <c r="K11" s="95">
        <f>P11</f>
        <v>12.7561</v>
      </c>
      <c r="L11" s="4"/>
      <c r="M11" s="27" t="str">
        <f>lang!B17</f>
        <v>可疑</v>
      </c>
      <c r="N11" s="59">
        <f>M!B8*1</f>
        <v>31.984300000000001</v>
      </c>
      <c r="O11" s="59">
        <f>M!C8*1</f>
        <v>4.0799500000000002</v>
      </c>
      <c r="P11" s="59">
        <f>M!D8*1</f>
        <v>12.7561</v>
      </c>
      <c r="Q11" s="59">
        <f>M!E8*1</f>
        <v>20</v>
      </c>
      <c r="R11" s="59">
        <f>M!F8*1</f>
        <v>20.6983</v>
      </c>
      <c r="S11" s="59">
        <f>M!G8*1</f>
        <v>50</v>
      </c>
      <c r="T11" s="59">
        <f>M!H8*1</f>
        <v>40.471499999999999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36.802700000000002</v>
      </c>
      <c r="D12" s="104">
        <f>N12</f>
        <v>51.759799999999998</v>
      </c>
      <c r="E12" s="101">
        <f>T12</f>
        <v>82.490700000000004</v>
      </c>
      <c r="F12" s="93">
        <f>P12</f>
        <v>14.482699999999999</v>
      </c>
      <c r="G12" s="52" t="str">
        <f>CONCATENATE(M13,"
(40 ~ 100)")</f>
        <v>自信
(40 ~ 100)</v>
      </c>
      <c r="H12" s="101">
        <f>R13</f>
        <v>49.080300000000001</v>
      </c>
      <c r="I12" s="104">
        <f>N13</f>
        <v>69.613399999999999</v>
      </c>
      <c r="J12" s="101">
        <f>T13</f>
        <v>82.696899999999999</v>
      </c>
      <c r="K12" s="95">
        <f>P13</f>
        <v>10.5397</v>
      </c>
      <c r="L12" s="4"/>
      <c r="M12" s="27" t="str">
        <f>lang!B18</f>
        <v>平衡</v>
      </c>
      <c r="N12" s="59">
        <f>M!B9*1</f>
        <v>51.759799999999998</v>
      </c>
      <c r="O12" s="59">
        <f>M!C9*1</f>
        <v>7.4962299999999997</v>
      </c>
      <c r="P12" s="59">
        <f>M!D9*1</f>
        <v>14.482699999999999</v>
      </c>
      <c r="Q12" s="59">
        <f>M!E9*1</f>
        <v>50</v>
      </c>
      <c r="R12" s="59">
        <f>M!F9*1</f>
        <v>36.802700000000002</v>
      </c>
      <c r="S12" s="59">
        <f>M!G9*1</f>
        <v>100</v>
      </c>
      <c r="T12" s="59">
        <f>M!H9*1</f>
        <v>82.490700000000004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3.4053399999999998</v>
      </c>
      <c r="D13" s="102">
        <f>N14</f>
        <v>16.790600000000001</v>
      </c>
      <c r="E13" s="103">
        <f>T14</f>
        <v>21.225000000000001</v>
      </c>
      <c r="F13" s="94">
        <f>P14</f>
        <v>23.0489</v>
      </c>
      <c r="G13" s="52" t="str">
        <f>CONCATENATE(M15,"
(50 ~ 100)")</f>
        <v>自我调节
(50 ~ 100)</v>
      </c>
      <c r="H13" s="101">
        <f>R15</f>
        <v>54.9544</v>
      </c>
      <c r="I13" s="104">
        <f>N15</f>
        <v>62.220199999999998</v>
      </c>
      <c r="J13" s="101">
        <f>T15</f>
        <v>71.213499999999996</v>
      </c>
      <c r="K13" s="95">
        <f>P15</f>
        <v>6.4051799999999997</v>
      </c>
      <c r="L13" s="4"/>
      <c r="M13" s="27" t="str">
        <f>lang!B19</f>
        <v>自信</v>
      </c>
      <c r="N13" s="59">
        <f>M!B10*1</f>
        <v>69.613399999999999</v>
      </c>
      <c r="O13" s="59">
        <f>M!C10*1</f>
        <v>7.3370699999999998</v>
      </c>
      <c r="P13" s="59">
        <f>M!D10*1</f>
        <v>10.5397</v>
      </c>
      <c r="Q13" s="59">
        <f>M!E10*1</f>
        <v>40</v>
      </c>
      <c r="R13" s="59">
        <f>M!F10*1</f>
        <v>49.080300000000001</v>
      </c>
      <c r="S13" s="59">
        <f>M!G10*1</f>
        <v>100</v>
      </c>
      <c r="T13" s="59">
        <f>M!H10*1</f>
        <v>82.696899999999999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13.187099999999999</v>
      </c>
      <c r="D14" s="106">
        <f>N16</f>
        <v>18.446300000000001</v>
      </c>
      <c r="E14" s="107">
        <f>T16</f>
        <v>34.368299999999998</v>
      </c>
      <c r="F14" s="96">
        <f>P16</f>
        <v>22.960999999999999</v>
      </c>
      <c r="G14" s="112" t="str">
        <f>CONCATENATE(M17,"
(10 ~ 50)")</f>
        <v>神经质
(10 ~ 50)</v>
      </c>
      <c r="H14" s="105">
        <f>R17</f>
        <v>1.74597</v>
      </c>
      <c r="I14" s="106">
        <f>N17</f>
        <v>42.354500000000002</v>
      </c>
      <c r="J14" s="107">
        <f>T17</f>
        <v>57.473300000000002</v>
      </c>
      <c r="K14" s="97">
        <f>P17</f>
        <v>32.692</v>
      </c>
      <c r="M14" s="27" t="str">
        <f>lang!B20</f>
        <v>活力</v>
      </c>
      <c r="N14" s="59">
        <f>M!B11*1</f>
        <v>16.790600000000001</v>
      </c>
      <c r="O14" s="59">
        <f>M!C11*1</f>
        <v>3.8700299999999999</v>
      </c>
      <c r="P14" s="59">
        <f>M!D11*1</f>
        <v>23.0489</v>
      </c>
      <c r="Q14" s="59">
        <f>M!E11*1</f>
        <v>10</v>
      </c>
      <c r="R14" s="59">
        <f>M!F11*1</f>
        <v>3.4053399999999998</v>
      </c>
      <c r="S14" s="59">
        <f>M!G11*1</f>
        <v>50</v>
      </c>
      <c r="T14" s="59">
        <f>M!H11*1</f>
        <v>21.225000000000001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62.220199999999998</v>
      </c>
      <c r="O15" s="59">
        <f>M!C12*1</f>
        <v>3.9853100000000001</v>
      </c>
      <c r="P15" s="59">
        <f>M!D12*1</f>
        <v>6.4051799999999997</v>
      </c>
      <c r="Q15" s="59">
        <f>M!E12*1</f>
        <v>50</v>
      </c>
      <c r="R15" s="59">
        <f>M!F12*1</f>
        <v>54.9544</v>
      </c>
      <c r="S15" s="59">
        <f>M!G12*1</f>
        <v>100</v>
      </c>
      <c r="T15" s="59">
        <f>M!H12*1</f>
        <v>71.213499999999996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18.446300000000001</v>
      </c>
      <c r="O16" s="59">
        <f>M!C13*1</f>
        <v>4.2354500000000002</v>
      </c>
      <c r="P16" s="59">
        <f>M!D13*1</f>
        <v>22.960999999999999</v>
      </c>
      <c r="Q16" s="59">
        <f>M!E13*1</f>
        <v>10</v>
      </c>
      <c r="R16" s="59">
        <f>M!F13*1</f>
        <v>13.187099999999999</v>
      </c>
      <c r="S16" s="59">
        <f>M!G13*1</f>
        <v>25</v>
      </c>
      <c r="T16" s="59">
        <f>M!H13*1</f>
        <v>34.368299999999998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42.354500000000002</v>
      </c>
      <c r="O17" s="59">
        <f>M!C14*1</f>
        <v>13.846500000000001</v>
      </c>
      <c r="P17" s="59">
        <f>M!D14*1</f>
        <v>32.692</v>
      </c>
      <c r="Q17" s="59">
        <f>M!E14*1</f>
        <v>10</v>
      </c>
      <c r="R17" s="59">
        <f>M!F14*1</f>
        <v>1.74597</v>
      </c>
      <c r="S17" s="59">
        <f>M!G14*1</f>
        <v>50</v>
      </c>
      <c r="T17" s="59">
        <f>M!H14*1</f>
        <v>57.473300000000002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50.096000000000004</v>
      </c>
      <c r="O18" s="22">
        <f>N18/(N18+N19+N20)</f>
        <v>0.44327633916533071</v>
      </c>
      <c r="P18" s="65">
        <f>SUM(P12:P15)/4</f>
        <v>13.619119999999999</v>
      </c>
      <c r="Q18" s="22">
        <f>P18/(P18+P19+P20)</f>
        <v>0.2172269727521238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32.516624999999998</v>
      </c>
      <c r="O19" s="22">
        <f>N19/(N18+N19+N20)</f>
        <v>0.28772457864923084</v>
      </c>
      <c r="P19" s="18">
        <f>SUM(P8:P11)/4</f>
        <v>21.249724999999998</v>
      </c>
      <c r="Q19" s="22">
        <f>P19/(P18+P19+P20)</f>
        <v>0.33893624797821914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30.400400000000001</v>
      </c>
      <c r="O20" s="22">
        <f>N20/(N18+N19+N20)</f>
        <v>0.26899908218543833</v>
      </c>
      <c r="P20" s="18">
        <f>(P16+P17)/2</f>
        <v>27.826499999999999</v>
      </c>
      <c r="Q20" s="22">
        <f>P20/(P18+P19+P20)</f>
        <v>0.44383677926965714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3.809791891891906E-2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1.3953233040764192</v>
      </c>
      <c r="D25" s="44" t="str">
        <f>lang!B11</f>
        <v>频率方差</v>
      </c>
      <c r="E25" s="142">
        <f ca="1">FH!L3</f>
        <v>0.61581313304937102</v>
      </c>
      <c r="F25" s="143"/>
      <c r="G25" s="134" t="str">
        <f>lang!B12</f>
        <v>生理变化率</v>
      </c>
      <c r="H25" s="135"/>
      <c r="I25" s="62" t="str">
        <f ca="1">CONCATENATE(info!M7,"-",info!M8)</f>
        <v>29.6-59.5</v>
      </c>
      <c r="J25" s="42" t="str">
        <f>lang!B13</f>
        <v>千卡l/分钟</v>
      </c>
      <c r="K25" s="41" t="str">
        <f ca="1">CONCATENATE(info!M5,"-",info!M6)</f>
        <v>1.6-3.4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44.134799999999998</v>
      </c>
      <c r="F28" s="164"/>
      <c r="G28" s="178" t="str">
        <f>lang!B33</f>
        <v>稳定性</v>
      </c>
      <c r="H28" s="179"/>
      <c r="I28" s="180"/>
      <c r="J28" s="181">
        <f>M!B19*100</f>
        <v>58.280699999999996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43607.443819444445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-3.5756999999999977</v>
      </c>
      <c r="O7" s="59">
        <f t="shared" ref="O7:T7" si="2">AG7-X7</f>
        <v>-9.7933699999999995</v>
      </c>
      <c r="P7" s="59">
        <f t="shared" si="2"/>
        <v>-21.527099999999997</v>
      </c>
      <c r="Q7" s="59">
        <f t="shared" si="2"/>
        <v>0</v>
      </c>
      <c r="R7" s="59">
        <f t="shared" si="2"/>
        <v>22.51587</v>
      </c>
      <c r="S7" s="59">
        <f t="shared" si="2"/>
        <v>0</v>
      </c>
      <c r="T7" s="59">
        <f t="shared" si="2"/>
        <v>-11.252600000000001</v>
      </c>
      <c r="U7" s="14"/>
      <c r="V7" s="27" t="str">
        <f>M7</f>
        <v>攻击性</v>
      </c>
      <c r="W7" s="59">
        <f>'M1'!B5*1</f>
        <v>43.448799999999999</v>
      </c>
      <c r="X7" s="59">
        <f>'M1'!C5*1</f>
        <v>14.700699999999999</v>
      </c>
      <c r="Y7" s="59">
        <f>'M1'!D5*1</f>
        <v>33.834499999999998</v>
      </c>
      <c r="Z7" s="59">
        <f>'M1'!E5*1</f>
        <v>20</v>
      </c>
      <c r="AA7" s="59">
        <f>'M1'!F5*1</f>
        <v>6.2961299999999998</v>
      </c>
      <c r="AB7" s="59">
        <f>'M1'!G5*1</f>
        <v>50</v>
      </c>
      <c r="AC7" s="59">
        <f>'M1'!H5*1</f>
        <v>58.327300000000001</v>
      </c>
      <c r="AE7" s="27" t="str">
        <f>V7</f>
        <v>攻击性</v>
      </c>
      <c r="AF7" s="59">
        <f>'M2'!B5*1</f>
        <v>39.873100000000001</v>
      </c>
      <c r="AG7" s="59">
        <f>'M2'!C5*1</f>
        <v>4.90733</v>
      </c>
      <c r="AH7" s="59">
        <f>'M2'!D5*1</f>
        <v>12.307399999999999</v>
      </c>
      <c r="AI7" s="59">
        <f>'M2'!E5*1</f>
        <v>20</v>
      </c>
      <c r="AJ7" s="59">
        <f>'M2'!F5*1</f>
        <v>28.812000000000001</v>
      </c>
      <c r="AK7" s="59">
        <f>'M2'!G5*1</f>
        <v>50</v>
      </c>
      <c r="AL7" s="59">
        <f>'M2'!H5*1</f>
        <v>47.0747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-1.721899999999998</v>
      </c>
      <c r="O8" s="59">
        <f t="shared" ref="O8:O16" si="5">AG8-X8</f>
        <v>-0.97462999999999989</v>
      </c>
      <c r="P8" s="59">
        <f t="shared" ref="P8:P16" si="6">AH8-Y8</f>
        <v>-2.577300000000001</v>
      </c>
      <c r="Q8" s="59">
        <f t="shared" ref="Q8:Q16" si="7">AI8-Z8</f>
        <v>0</v>
      </c>
      <c r="R8" s="59">
        <f t="shared" ref="R8:R16" si="8">AJ8-AA8</f>
        <v>1.778100000000002</v>
      </c>
      <c r="S8" s="59">
        <f t="shared" ref="S8:S16" si="9">AK8-AB8</f>
        <v>0</v>
      </c>
      <c r="T8" s="59">
        <f t="shared" ref="T8:T16" si="10">AL8-AC8</f>
        <v>4.1041999999999987</v>
      </c>
      <c r="U8" s="15"/>
      <c r="V8" s="27" t="str">
        <f t="shared" ref="V8:V16" si="11">M8</f>
        <v>压力</v>
      </c>
      <c r="W8" s="59">
        <f>'M1'!B6*1</f>
        <v>30.555499999999999</v>
      </c>
      <c r="X8" s="59">
        <f>'M1'!C6*1</f>
        <v>4.1079499999999998</v>
      </c>
      <c r="Y8" s="59">
        <f>'M1'!D6*1</f>
        <v>13.4442</v>
      </c>
      <c r="Z8" s="59">
        <f>'M1'!E6*1</f>
        <v>20</v>
      </c>
      <c r="AA8" s="59">
        <f>'M1'!F6*1</f>
        <v>22.6236</v>
      </c>
      <c r="AB8" s="59">
        <f>'M1'!G6*1</f>
        <v>40</v>
      </c>
      <c r="AC8" s="59">
        <f>'M1'!H6*1</f>
        <v>36.072299999999998</v>
      </c>
      <c r="AE8" s="27" t="str">
        <f t="shared" ref="AE8:AE16" si="12">V8</f>
        <v>压力</v>
      </c>
      <c r="AF8" s="59">
        <f>'M2'!B6*1</f>
        <v>28.833600000000001</v>
      </c>
      <c r="AG8" s="59">
        <f>'M2'!C6*1</f>
        <v>3.1333199999999999</v>
      </c>
      <c r="AH8" s="59">
        <f>'M2'!D6*1</f>
        <v>10.866899999999999</v>
      </c>
      <c r="AI8" s="59">
        <f>'M2'!E6*1</f>
        <v>20</v>
      </c>
      <c r="AJ8" s="59">
        <f>'M2'!F6*1</f>
        <v>24.401700000000002</v>
      </c>
      <c r="AK8" s="59">
        <f>'M2'!G6*1</f>
        <v>40</v>
      </c>
      <c r="AL8" s="59">
        <f>'M2'!H6*1</f>
        <v>40.176499999999997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22.51587</v>
      </c>
      <c r="D9" s="78">
        <f>N7</f>
        <v>-3.5756999999999977</v>
      </c>
      <c r="E9" s="79">
        <f>T7</f>
        <v>-11.252600000000001</v>
      </c>
      <c r="F9" s="79">
        <f>P7</f>
        <v>-21.527099999999997</v>
      </c>
      <c r="G9" s="80" t="str">
        <f>CONCATENATE(M8,"
(20 ~ 40)")</f>
        <v>压力
(20 ~ 40)</v>
      </c>
      <c r="H9" s="77">
        <f>R8</f>
        <v>1.778100000000002</v>
      </c>
      <c r="I9" s="81">
        <f>N8</f>
        <v>-1.721899999999998</v>
      </c>
      <c r="J9" s="77">
        <f>T8</f>
        <v>4.1041999999999987</v>
      </c>
      <c r="K9" s="82">
        <f>P8</f>
        <v>-2.577300000000001</v>
      </c>
      <c r="L9" s="6"/>
      <c r="M9" s="27" t="str">
        <f>lang!B16</f>
        <v>焦虑</v>
      </c>
      <c r="N9" s="59">
        <f t="shared" si="4"/>
        <v>1.7686999999999991</v>
      </c>
      <c r="O9" s="59">
        <f t="shared" si="5"/>
        <v>-4.6590100000000003</v>
      </c>
      <c r="P9" s="59">
        <f t="shared" si="6"/>
        <v>-17.9026</v>
      </c>
      <c r="Q9" s="59">
        <f t="shared" si="7"/>
        <v>0</v>
      </c>
      <c r="R9" s="59">
        <f t="shared" si="8"/>
        <v>11.864920000000001</v>
      </c>
      <c r="S9" s="59">
        <f t="shared" si="9"/>
        <v>0</v>
      </c>
      <c r="T9" s="59">
        <f t="shared" si="10"/>
        <v>-0.32399999999999807</v>
      </c>
      <c r="U9" s="14"/>
      <c r="V9" s="27" t="str">
        <f t="shared" si="11"/>
        <v>焦虑</v>
      </c>
      <c r="W9" s="59">
        <f>'M1'!B7*1</f>
        <v>28.172499999999999</v>
      </c>
      <c r="X9" s="59">
        <f>'M1'!C7*1</f>
        <v>11.1691</v>
      </c>
      <c r="Y9" s="59">
        <f>'M1'!D7*1</f>
        <v>39.645499999999998</v>
      </c>
      <c r="Z9" s="59">
        <f>'M1'!E7*1</f>
        <v>15</v>
      </c>
      <c r="AA9" s="59">
        <f>'M1'!F7*1</f>
        <v>3.8946800000000001</v>
      </c>
      <c r="AB9" s="59">
        <f>'M1'!G7*1</f>
        <v>40</v>
      </c>
      <c r="AC9" s="59">
        <f>'M1'!H7*1</f>
        <v>50.013100000000001</v>
      </c>
      <c r="AE9" s="27" t="str">
        <f t="shared" si="12"/>
        <v>焦虑</v>
      </c>
      <c r="AF9" s="59">
        <f>'M2'!B7*1</f>
        <v>29.941199999999998</v>
      </c>
      <c r="AG9" s="59">
        <f>'M2'!C7*1</f>
        <v>6.5100899999999999</v>
      </c>
      <c r="AH9" s="59">
        <f>'M2'!D7*1</f>
        <v>21.742899999999999</v>
      </c>
      <c r="AI9" s="59">
        <f>'M2'!E7*1</f>
        <v>15</v>
      </c>
      <c r="AJ9" s="59">
        <f>'M2'!F7*1</f>
        <v>15.759600000000001</v>
      </c>
      <c r="AK9" s="59">
        <f>'M2'!G7*1</f>
        <v>40</v>
      </c>
      <c r="AL9" s="59">
        <f>'M2'!H7*1</f>
        <v>49.689100000000003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11.864920000000001</v>
      </c>
      <c r="D10" s="51">
        <f>N9</f>
        <v>1.7686999999999991</v>
      </c>
      <c r="E10" s="53">
        <f>T9</f>
        <v>-0.32399999999999807</v>
      </c>
      <c r="F10" s="53">
        <f>P9</f>
        <v>-17.9026</v>
      </c>
      <c r="G10" s="73" t="str">
        <f>CONCATENATE(M10,"
(20 ~ 50)")</f>
        <v>可疑
(20 ~ 50)</v>
      </c>
      <c r="H10" s="24">
        <f>R10</f>
        <v>5.7774000000000001</v>
      </c>
      <c r="I10" s="52">
        <f>N10</f>
        <v>0.79809999999999803</v>
      </c>
      <c r="J10" s="24">
        <f>T10</f>
        <v>-1.808099999999996</v>
      </c>
      <c r="K10" s="25">
        <f>P10</f>
        <v>-5.7052899999999998</v>
      </c>
      <c r="L10" s="4"/>
      <c r="M10" s="27" t="str">
        <f>lang!B17</f>
        <v>可疑</v>
      </c>
      <c r="N10" s="59">
        <f t="shared" si="4"/>
        <v>0.79809999999999803</v>
      </c>
      <c r="O10" s="59">
        <f t="shared" si="5"/>
        <v>-1.7337500000000006</v>
      </c>
      <c r="P10" s="59">
        <f t="shared" si="6"/>
        <v>-5.7052899999999998</v>
      </c>
      <c r="Q10" s="59">
        <f t="shared" si="7"/>
        <v>0</v>
      </c>
      <c r="R10" s="59">
        <f t="shared" si="8"/>
        <v>5.7774000000000001</v>
      </c>
      <c r="S10" s="59">
        <f t="shared" si="9"/>
        <v>0</v>
      </c>
      <c r="T10" s="59">
        <f t="shared" si="10"/>
        <v>-1.808099999999996</v>
      </c>
      <c r="U10" s="14"/>
      <c r="V10" s="27" t="str">
        <f t="shared" si="11"/>
        <v>可疑</v>
      </c>
      <c r="W10" s="59">
        <f>'M1'!B8*1</f>
        <v>31.704799999999999</v>
      </c>
      <c r="X10" s="59">
        <f>'M1'!C8*1</f>
        <v>4.7918200000000004</v>
      </c>
      <c r="Y10" s="59">
        <f>'M1'!D8*1</f>
        <v>15.113899999999999</v>
      </c>
      <c r="Z10" s="59">
        <f>'M1'!E8*1</f>
        <v>20</v>
      </c>
      <c r="AA10" s="59">
        <f>'M1'!F8*1</f>
        <v>20.6983</v>
      </c>
      <c r="AB10" s="59">
        <f>'M1'!G8*1</f>
        <v>50</v>
      </c>
      <c r="AC10" s="59">
        <f>'M1'!H8*1</f>
        <v>40.471499999999999</v>
      </c>
      <c r="AE10" s="27" t="str">
        <f t="shared" si="12"/>
        <v>可疑</v>
      </c>
      <c r="AF10" s="59">
        <f>'M2'!B8*1</f>
        <v>32.502899999999997</v>
      </c>
      <c r="AG10" s="59">
        <f>'M2'!C8*1</f>
        <v>3.0580699999999998</v>
      </c>
      <c r="AH10" s="59">
        <f>'M2'!D8*1</f>
        <v>9.4086099999999995</v>
      </c>
      <c r="AI10" s="59">
        <f>'M2'!E8*1</f>
        <v>20</v>
      </c>
      <c r="AJ10" s="59">
        <f>'M2'!F8*1</f>
        <v>26.4757</v>
      </c>
      <c r="AK10" s="59">
        <f>'M2'!G8*1</f>
        <v>50</v>
      </c>
      <c r="AL10" s="59">
        <f>'M2'!H8*1</f>
        <v>38.663400000000003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9.1222999999999956</v>
      </c>
      <c r="D11" s="52">
        <f>N11</f>
        <v>8.2449000000000012</v>
      </c>
      <c r="E11" s="24">
        <f>T11</f>
        <v>-16.653800000000004</v>
      </c>
      <c r="F11" s="24">
        <f>P11</f>
        <v>-7.96462</v>
      </c>
      <c r="G11" s="73" t="str">
        <f>CONCATENATE(M12,"
(40 ~ 100)")</f>
        <v>自信
(40 ~ 100)</v>
      </c>
      <c r="H11" s="24">
        <f>R12</f>
        <v>12.776299999999999</v>
      </c>
      <c r="I11" s="52">
        <f>N12</f>
        <v>-4.0828999999999951</v>
      </c>
      <c r="J11" s="24">
        <f>T12</f>
        <v>-1.7099999999999227E-2</v>
      </c>
      <c r="K11" s="25">
        <f>P12</f>
        <v>0.51320000000000121</v>
      </c>
      <c r="L11" s="4"/>
      <c r="M11" s="27" t="str">
        <f>lang!B18</f>
        <v>平衡</v>
      </c>
      <c r="N11" s="59">
        <f t="shared" si="4"/>
        <v>8.2449000000000012</v>
      </c>
      <c r="O11" s="59">
        <f t="shared" si="5"/>
        <v>-3.0378100000000003</v>
      </c>
      <c r="P11" s="59">
        <f t="shared" si="6"/>
        <v>-7.96462</v>
      </c>
      <c r="Q11" s="59">
        <f t="shared" si="7"/>
        <v>0</v>
      </c>
      <c r="R11" s="59">
        <f t="shared" si="8"/>
        <v>9.1222999999999956</v>
      </c>
      <c r="S11" s="59">
        <f t="shared" si="9"/>
        <v>0</v>
      </c>
      <c r="T11" s="59">
        <f t="shared" si="10"/>
        <v>-16.653800000000004</v>
      </c>
      <c r="U11" s="14"/>
      <c r="V11" s="27" t="str">
        <f t="shared" si="11"/>
        <v>平衡</v>
      </c>
      <c r="W11" s="59">
        <f>'M1'!B9*1</f>
        <v>47.648800000000001</v>
      </c>
      <c r="X11" s="59">
        <f>'M1'!C9*1</f>
        <v>8.1713000000000005</v>
      </c>
      <c r="Y11" s="59">
        <f>'M1'!D9*1</f>
        <v>17.149000000000001</v>
      </c>
      <c r="Z11" s="59">
        <f>'M1'!E9*1</f>
        <v>50</v>
      </c>
      <c r="AA11" s="59">
        <f>'M1'!F9*1</f>
        <v>36.802700000000002</v>
      </c>
      <c r="AB11" s="59">
        <f>'M1'!G9*1</f>
        <v>100</v>
      </c>
      <c r="AC11" s="59">
        <f>'M1'!H9*1</f>
        <v>82.490700000000004</v>
      </c>
      <c r="AE11" s="27" t="str">
        <f t="shared" si="12"/>
        <v>平衡</v>
      </c>
      <c r="AF11" s="59">
        <f>'M2'!B9*1</f>
        <v>55.893700000000003</v>
      </c>
      <c r="AG11" s="59">
        <f>'M2'!C9*1</f>
        <v>5.1334900000000001</v>
      </c>
      <c r="AH11" s="59">
        <f>'M2'!D9*1</f>
        <v>9.1843800000000009</v>
      </c>
      <c r="AI11" s="59">
        <f>'M2'!E9*1</f>
        <v>50</v>
      </c>
      <c r="AJ11" s="59">
        <f>'M2'!F9*1</f>
        <v>45.924999999999997</v>
      </c>
      <c r="AK11" s="59">
        <f>'M2'!G9*1</f>
        <v>100</v>
      </c>
      <c r="AL11" s="59">
        <f>'M2'!H9*1</f>
        <v>65.8369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11.063459999999999</v>
      </c>
      <c r="D12" s="51">
        <f>N13</f>
        <v>-1.1667999999999985</v>
      </c>
      <c r="E12" s="53">
        <f>T13</f>
        <v>0.43060000000000187</v>
      </c>
      <c r="F12" s="53">
        <f>P13</f>
        <v>-19.264569999999999</v>
      </c>
      <c r="G12" s="73" t="str">
        <f>CONCATENATE(M14,"
(50 ~ 100)")</f>
        <v>自我调节
(50 ~ 100)</v>
      </c>
      <c r="H12" s="24">
        <f>R14</f>
        <v>1.0435999999999979</v>
      </c>
      <c r="I12" s="52">
        <f>N14</f>
        <v>2.1110000000000042</v>
      </c>
      <c r="J12" s="24">
        <f>T14</f>
        <v>-0.72669999999999391</v>
      </c>
      <c r="K12" s="25">
        <f>P14</f>
        <v>1.9100700000000002</v>
      </c>
      <c r="L12" s="4"/>
      <c r="M12" s="27" t="str">
        <f>lang!B19</f>
        <v>自信</v>
      </c>
      <c r="N12" s="59">
        <f t="shared" si="4"/>
        <v>-4.0828999999999951</v>
      </c>
      <c r="O12" s="59">
        <f t="shared" si="5"/>
        <v>-7.1730000000000516E-2</v>
      </c>
      <c r="P12" s="59">
        <f t="shared" si="6"/>
        <v>0.51320000000000121</v>
      </c>
      <c r="Q12" s="59">
        <f t="shared" si="7"/>
        <v>0</v>
      </c>
      <c r="R12" s="59">
        <f t="shared" si="8"/>
        <v>12.776299999999999</v>
      </c>
      <c r="S12" s="59">
        <f t="shared" si="9"/>
        <v>0</v>
      </c>
      <c r="T12" s="59">
        <f t="shared" si="10"/>
        <v>-1.7099999999999227E-2</v>
      </c>
      <c r="U12" s="15"/>
      <c r="V12" s="27" t="str">
        <f t="shared" si="11"/>
        <v>自信</v>
      </c>
      <c r="W12" s="59">
        <f>'M1'!B10*1</f>
        <v>71.293899999999994</v>
      </c>
      <c r="X12" s="59">
        <f>'M1'!C10*1</f>
        <v>7.2756600000000002</v>
      </c>
      <c r="Y12" s="59">
        <f>'M1'!D10*1</f>
        <v>10.2052</v>
      </c>
      <c r="Z12" s="59">
        <f>'M1'!E10*1</f>
        <v>40</v>
      </c>
      <c r="AA12" s="59">
        <f>'M1'!F10*1</f>
        <v>49.080300000000001</v>
      </c>
      <c r="AB12" s="59">
        <f>'M1'!G10*1</f>
        <v>100</v>
      </c>
      <c r="AC12" s="59">
        <f>'M1'!H10*1</f>
        <v>82.696899999999999</v>
      </c>
      <c r="AE12" s="27" t="str">
        <f t="shared" si="12"/>
        <v>自信</v>
      </c>
      <c r="AF12" s="59">
        <f>'M2'!B10*1</f>
        <v>67.210999999999999</v>
      </c>
      <c r="AG12" s="59">
        <f>'M2'!C10*1</f>
        <v>7.2039299999999997</v>
      </c>
      <c r="AH12" s="59">
        <f>'M2'!D10*1</f>
        <v>10.718400000000001</v>
      </c>
      <c r="AI12" s="59">
        <f>'M2'!E10*1</f>
        <v>40</v>
      </c>
      <c r="AJ12" s="59">
        <f>'M2'!F10*1</f>
        <v>61.8566</v>
      </c>
      <c r="AK12" s="59">
        <f>'M2'!G10*1</f>
        <v>100</v>
      </c>
      <c r="AL12" s="59">
        <f>'M2'!H10*1</f>
        <v>82.6798</v>
      </c>
    </row>
    <row r="13" spans="2:38" ht="25.5" customHeight="1" thickBot="1">
      <c r="B13" s="72" t="str">
        <f>CONCATENATE(M15,"
(10 ~ 25)")</f>
        <v>抑郁
(10 ~ 25)</v>
      </c>
      <c r="C13" s="54">
        <f>R15</f>
        <v>0.59180000000000099</v>
      </c>
      <c r="D13" s="55">
        <f>N15</f>
        <v>1.0250000000000021</v>
      </c>
      <c r="E13" s="56">
        <f>T15</f>
        <v>1.5930999999999997</v>
      </c>
      <c r="F13" s="56">
        <f>P15</f>
        <v>-0.24230000000000018</v>
      </c>
      <c r="G13" s="74" t="str">
        <f>CONCATENATE(M16,"
(10 ~ 50)")</f>
        <v>神经质
(10 ~ 50)</v>
      </c>
      <c r="H13" s="54">
        <f>R16</f>
        <v>1.1171499999999999</v>
      </c>
      <c r="I13" s="55">
        <f>N16</f>
        <v>1.8665999999999983</v>
      </c>
      <c r="J13" s="56">
        <f>T16</f>
        <v>4.2762999999999991</v>
      </c>
      <c r="K13" s="57">
        <f>P16</f>
        <v>5.7555000000000014</v>
      </c>
      <c r="M13" s="27" t="str">
        <f>lang!B20</f>
        <v>活力</v>
      </c>
      <c r="N13" s="59">
        <f t="shared" si="4"/>
        <v>-1.1667999999999985</v>
      </c>
      <c r="O13" s="59">
        <f t="shared" si="5"/>
        <v>-3.5210300000000001</v>
      </c>
      <c r="P13" s="59">
        <f t="shared" si="6"/>
        <v>-19.264569999999999</v>
      </c>
      <c r="Q13" s="59">
        <f t="shared" si="7"/>
        <v>0</v>
      </c>
      <c r="R13" s="59">
        <f t="shared" si="8"/>
        <v>11.063459999999999</v>
      </c>
      <c r="S13" s="59">
        <f t="shared" si="9"/>
        <v>0</v>
      </c>
      <c r="T13" s="59">
        <f t="shared" si="10"/>
        <v>0.43060000000000187</v>
      </c>
      <c r="U13" s="14"/>
      <c r="V13" s="27" t="str">
        <f t="shared" si="11"/>
        <v>活力</v>
      </c>
      <c r="W13" s="59">
        <f>'M1'!B11*1</f>
        <v>17.710999999999999</v>
      </c>
      <c r="X13" s="59">
        <f>'M1'!C11*1</f>
        <v>5.06799</v>
      </c>
      <c r="Y13" s="59">
        <f>'M1'!D11*1</f>
        <v>28.614999999999998</v>
      </c>
      <c r="Z13" s="59">
        <f>'M1'!E11*1</f>
        <v>10</v>
      </c>
      <c r="AA13" s="59">
        <f>'M1'!F11*1</f>
        <v>3.4053399999999998</v>
      </c>
      <c r="AB13" s="59">
        <f>'M1'!G11*1</f>
        <v>50</v>
      </c>
      <c r="AC13" s="59">
        <f>'M1'!H11*1</f>
        <v>20.771699999999999</v>
      </c>
      <c r="AE13" s="27" t="str">
        <f t="shared" si="12"/>
        <v>活力</v>
      </c>
      <c r="AF13" s="59">
        <f>'M2'!B11*1</f>
        <v>16.5442</v>
      </c>
      <c r="AG13" s="59">
        <f>'M2'!C11*1</f>
        <v>1.5469599999999999</v>
      </c>
      <c r="AH13" s="59">
        <f>'M2'!D11*1</f>
        <v>9.3504299999999994</v>
      </c>
      <c r="AI13" s="59">
        <f>'M2'!E11*1</f>
        <v>10</v>
      </c>
      <c r="AJ13" s="59">
        <f>'M2'!F11*1</f>
        <v>14.4688</v>
      </c>
      <c r="AK13" s="59">
        <f>'M2'!G11*1</f>
        <v>50</v>
      </c>
      <c r="AL13" s="59">
        <f>'M2'!H11*1</f>
        <v>21.202300000000001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2.1110000000000042</v>
      </c>
      <c r="O14" s="59">
        <f t="shared" si="5"/>
        <v>1.3181799999999999</v>
      </c>
      <c r="P14" s="59">
        <f t="shared" si="6"/>
        <v>1.9100700000000002</v>
      </c>
      <c r="Q14" s="59">
        <f t="shared" si="7"/>
        <v>0</v>
      </c>
      <c r="R14" s="59">
        <f t="shared" si="8"/>
        <v>1.0435999999999979</v>
      </c>
      <c r="S14" s="59">
        <f t="shared" si="9"/>
        <v>0</v>
      </c>
      <c r="T14" s="59">
        <f t="shared" si="10"/>
        <v>-0.72669999999999391</v>
      </c>
      <c r="U14" s="14"/>
      <c r="V14" s="27" t="str">
        <f t="shared" si="11"/>
        <v>自我调节</v>
      </c>
      <c r="W14" s="59">
        <f>'M1'!B12*1</f>
        <v>61.177599999999998</v>
      </c>
      <c r="X14" s="59">
        <f>'M1'!C12*1</f>
        <v>3.1682199999999998</v>
      </c>
      <c r="Y14" s="59">
        <f>'M1'!D12*1</f>
        <v>5.1787299999999998</v>
      </c>
      <c r="Z14" s="59">
        <f>'M1'!E12*1</f>
        <v>50</v>
      </c>
      <c r="AA14" s="59">
        <f>'M1'!F12*1</f>
        <v>54.9544</v>
      </c>
      <c r="AB14" s="59">
        <f>'M1'!G12*1</f>
        <v>100</v>
      </c>
      <c r="AC14" s="59">
        <f>'M1'!H12*1</f>
        <v>71.213499999999996</v>
      </c>
      <c r="AE14" s="27" t="str">
        <f t="shared" si="12"/>
        <v>自我调节</v>
      </c>
      <c r="AF14" s="59">
        <f>'M2'!B12*1</f>
        <v>63.288600000000002</v>
      </c>
      <c r="AG14" s="59">
        <f>'M2'!C12*1</f>
        <v>4.4863999999999997</v>
      </c>
      <c r="AH14" s="59">
        <f>'M2'!D12*1</f>
        <v>7.0888</v>
      </c>
      <c r="AI14" s="59">
        <f>'M2'!E12*1</f>
        <v>50</v>
      </c>
      <c r="AJ14" s="59">
        <f>'M2'!F12*1</f>
        <v>55.997999999999998</v>
      </c>
      <c r="AK14" s="59">
        <f>'M2'!G12*1</f>
        <v>100</v>
      </c>
      <c r="AL14" s="59">
        <f>'M2'!H12*1</f>
        <v>70.486800000000002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1.0250000000000021</v>
      </c>
      <c r="O15" s="59">
        <f t="shared" si="5"/>
        <v>0.18665999999999983</v>
      </c>
      <c r="P15" s="59">
        <f t="shared" si="6"/>
        <v>-0.24230000000000018</v>
      </c>
      <c r="Q15" s="59">
        <f t="shared" si="7"/>
        <v>0</v>
      </c>
      <c r="R15" s="59">
        <f t="shared" si="8"/>
        <v>0.59180000000000099</v>
      </c>
      <c r="S15" s="59">
        <f t="shared" si="9"/>
        <v>0</v>
      </c>
      <c r="T15" s="59">
        <f t="shared" si="10"/>
        <v>1.5930999999999997</v>
      </c>
      <c r="U15" s="14"/>
      <c r="V15" s="27" t="str">
        <f t="shared" si="11"/>
        <v>抑郁</v>
      </c>
      <c r="W15" s="59">
        <f>'M1'!B13*1</f>
        <v>18.127199999999998</v>
      </c>
      <c r="X15" s="59">
        <f>'M1'!C13*1</f>
        <v>4.1215299999999999</v>
      </c>
      <c r="Y15" s="59">
        <f>'M1'!D13*1</f>
        <v>22.736699999999999</v>
      </c>
      <c r="Z15" s="59">
        <f>'M1'!E13*1</f>
        <v>10</v>
      </c>
      <c r="AA15" s="59">
        <f>'M1'!F13*1</f>
        <v>13.187099999999999</v>
      </c>
      <c r="AB15" s="59">
        <f>'M1'!G13*1</f>
        <v>25</v>
      </c>
      <c r="AC15" s="59">
        <f>'M1'!H13*1</f>
        <v>32.775199999999998</v>
      </c>
      <c r="AE15" s="27" t="str">
        <f t="shared" si="12"/>
        <v>抑郁</v>
      </c>
      <c r="AF15" s="59">
        <f>'M2'!B13*1</f>
        <v>19.152200000000001</v>
      </c>
      <c r="AG15" s="59">
        <f>'M2'!C13*1</f>
        <v>4.3081899999999997</v>
      </c>
      <c r="AH15" s="59">
        <f>'M2'!D13*1</f>
        <v>22.494399999999999</v>
      </c>
      <c r="AI15" s="59">
        <f>'M2'!E13*1</f>
        <v>10</v>
      </c>
      <c r="AJ15" s="59">
        <f>'M2'!F13*1</f>
        <v>13.7789</v>
      </c>
      <c r="AK15" s="59">
        <f>'M2'!G13*1</f>
        <v>25</v>
      </c>
      <c r="AL15" s="59">
        <f>'M2'!H13*1</f>
        <v>34.368299999999998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1.8665999999999983</v>
      </c>
      <c r="O16" s="59">
        <f t="shared" si="5"/>
        <v>3.011000000000001</v>
      </c>
      <c r="P16" s="59">
        <f t="shared" si="6"/>
        <v>5.7555000000000014</v>
      </c>
      <c r="Q16" s="59">
        <f t="shared" si="7"/>
        <v>0</v>
      </c>
      <c r="R16" s="59">
        <f t="shared" si="8"/>
        <v>1.1171499999999999</v>
      </c>
      <c r="S16" s="59">
        <f t="shared" si="9"/>
        <v>0</v>
      </c>
      <c r="T16" s="59">
        <f t="shared" si="10"/>
        <v>4.2762999999999991</v>
      </c>
      <c r="U16" s="15"/>
      <c r="V16" s="27" t="str">
        <f t="shared" si="11"/>
        <v>神经质</v>
      </c>
      <c r="W16" s="59">
        <f>'M1'!B14*1</f>
        <v>41.215299999999999</v>
      </c>
      <c r="X16" s="59">
        <f>'M1'!C14*1</f>
        <v>11.7349</v>
      </c>
      <c r="Y16" s="59">
        <f>'M1'!D14*1</f>
        <v>28.472100000000001</v>
      </c>
      <c r="Z16" s="59">
        <f>'M1'!E14*1</f>
        <v>10</v>
      </c>
      <c r="AA16" s="59">
        <f>'M1'!F14*1</f>
        <v>1.74597</v>
      </c>
      <c r="AB16" s="59">
        <f>'M1'!G14*1</f>
        <v>50</v>
      </c>
      <c r="AC16" s="59">
        <f>'M1'!H14*1</f>
        <v>53.197000000000003</v>
      </c>
      <c r="AE16" s="27" t="str">
        <f t="shared" si="12"/>
        <v>神经质</v>
      </c>
      <c r="AF16" s="59">
        <f>'M2'!B14*1</f>
        <v>43.081899999999997</v>
      </c>
      <c r="AG16" s="59">
        <f>'M2'!C14*1</f>
        <v>14.745900000000001</v>
      </c>
      <c r="AH16" s="59">
        <f>'M2'!D14*1</f>
        <v>34.227600000000002</v>
      </c>
      <c r="AI16" s="59">
        <f>'M2'!E14*1</f>
        <v>10</v>
      </c>
      <c r="AJ16" s="59">
        <f>'M2'!F14*1</f>
        <v>2.8631199999999999</v>
      </c>
      <c r="AK16" s="59">
        <f>'M2'!G14*1</f>
        <v>50</v>
      </c>
      <c r="AL16" s="59">
        <f>'M2'!H14*1</f>
        <v>57.473300000000002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1.276550000000003</v>
      </c>
      <c r="O17" s="22">
        <f>N17/(N17+N18+N19)</f>
        <v>0.62586718309513922</v>
      </c>
      <c r="P17" s="65">
        <f>SUM(P11:P14)/4</f>
        <v>-6.2014799999999992</v>
      </c>
      <c r="Q17" s="22">
        <f>P17/(P17+P18+P19)</f>
        <v>0.40340201402430664</v>
      </c>
      <c r="R17" s="14"/>
      <c r="S17" s="14"/>
      <c r="T17" s="14"/>
      <c r="U17" s="14"/>
      <c r="V17" s="21" t="str">
        <f>M17</f>
        <v>Positive</v>
      </c>
      <c r="W17" s="65">
        <f>SUM(W11:W14)/4</f>
        <v>49.457825</v>
      </c>
      <c r="X17" s="22">
        <f>W17/(W17+W18+W19)</f>
        <v>0.43923672823518939</v>
      </c>
      <c r="Y17" s="65">
        <f>SUM(Y11:Y14)/4</f>
        <v>15.286982500000001</v>
      </c>
      <c r="Z17" s="22">
        <f>Y17/(Y17+Y18+Y19)</f>
        <v>0.23022249357058863</v>
      </c>
      <c r="AA17" s="14"/>
      <c r="AB17" s="14"/>
      <c r="AC17" s="14"/>
      <c r="AE17" s="21" t="str">
        <f>V17</f>
        <v>Positive</v>
      </c>
      <c r="AF17" s="65">
        <f>SUM(AF11:AF14)/4</f>
        <v>50.734375</v>
      </c>
      <c r="AG17" s="22">
        <f>AF17/(AF17+AF18+AF19)</f>
        <v>0.44255724212828734</v>
      </c>
      <c r="AH17" s="65">
        <f>SUM(AH11:AH14)/4</f>
        <v>9.0855025000000005</v>
      </c>
      <c r="AI17" s="22">
        <f>AH17/(AH17+AH18+AH19)</f>
        <v>0.17804951227224372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-0.68269999999999964</v>
      </c>
      <c r="O18" s="22">
        <f>N18/(N17+N18+N19)</f>
        <v>-0.33471428921628638</v>
      </c>
      <c r="P18" s="18">
        <f>SUM(P7:P10)/4</f>
        <v>-11.928072499999999</v>
      </c>
      <c r="Q18" s="22">
        <f>P18/(P17+P18+P19)</f>
        <v>0.7759129223875505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33.470399999999998</v>
      </c>
      <c r="X18" s="22">
        <f>W18/(W17+W18+W19)</f>
        <v>0.2972518299929906</v>
      </c>
      <c r="Y18" s="18">
        <f>SUM(Y7:Y10)/4</f>
        <v>25.509525</v>
      </c>
      <c r="Z18" s="22">
        <f>Y18/(Y17+Y18+Y19)</f>
        <v>0.38417434279795043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32.787700000000001</v>
      </c>
      <c r="AG18" s="22">
        <f>AF18/(AF17+AF18+AF19)</f>
        <v>0.28600794013387665</v>
      </c>
      <c r="AH18" s="18">
        <f>SUM(AH7:AH10)/4</f>
        <v>13.581452499999997</v>
      </c>
      <c r="AI18" s="22">
        <f>AH18/(AH17+AH18+AH19)</f>
        <v>0.26615709957414513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1.4458000000000002</v>
      </c>
      <c r="O19" s="22">
        <f>N19/(N17+N18+N19)</f>
        <v>0.7088471061211471</v>
      </c>
      <c r="P19" s="18">
        <f>(P15+P16)/2</f>
        <v>2.7566000000000006</v>
      </c>
      <c r="Q19" s="22">
        <f>P19/(P17+P18+P19)</f>
        <v>-0.17931493641185717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29.671250000000001</v>
      </c>
      <c r="X19" s="22">
        <f>W19/(W17+W18+W19)</f>
        <v>0.26351144177182001</v>
      </c>
      <c r="Y19" s="18">
        <f>(Y15+Y16)/2</f>
        <v>25.604399999999998</v>
      </c>
      <c r="Z19" s="22">
        <f>Y19/(Y17+Y18+Y19)</f>
        <v>0.38560316363146085</v>
      </c>
      <c r="AA19" s="14"/>
      <c r="AB19" s="14"/>
      <c r="AC19" s="14"/>
      <c r="AE19" s="21" t="str">
        <f t="shared" si="14"/>
        <v>Physiological</v>
      </c>
      <c r="AF19" s="18">
        <f>(AF15+AF16)/2</f>
        <v>31.117049999999999</v>
      </c>
      <c r="AG19" s="22">
        <f>AF19/(AF17+AF18+AF19)</f>
        <v>0.27143481773783601</v>
      </c>
      <c r="AH19" s="18">
        <f>(AH15+AH16)/2</f>
        <v>28.361000000000001</v>
      </c>
      <c r="AI19" s="22">
        <f>AH19/(AH17+AH18+AH19)</f>
        <v>0.55579338815361112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1.39/1.4</v>
      </c>
      <c r="D24" s="44" t="str">
        <f>lang!B11</f>
        <v>频率方差</v>
      </c>
      <c r="E24" s="142" t="str">
        <f ca="1">CONCATENATE(ROUND('FH1'!L3,2),"/",ROUND('FH2'!L3,2))</f>
        <v>0.67/0.56</v>
      </c>
      <c r="F24" s="143"/>
      <c r="G24" s="134" t="str">
        <f>lang!B12</f>
        <v>生理变化率</v>
      </c>
      <c r="H24" s="135"/>
      <c r="I24" s="62" t="str">
        <f ca="1">CONCATENATE(info!M7,"-",info!M8)</f>
        <v>29.6-59.5</v>
      </c>
      <c r="J24" s="42" t="str">
        <f>lang!B13</f>
        <v>千卡l/分钟</v>
      </c>
      <c r="K24" s="41" t="str">
        <f ca="1">CONCATENATE(info!M5,"-",info!M6)</f>
        <v>1.6-3.4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-9.7851999999999997</v>
      </c>
      <c r="F27" s="164"/>
      <c r="G27" s="178" t="str">
        <f>lang!B33</f>
        <v>稳定性</v>
      </c>
      <c r="H27" s="179"/>
      <c r="I27" s="180"/>
      <c r="J27" s="181">
        <f>dM!B19*100</f>
        <v>-5.4561000000000082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-0.97320522976172252</v>
      </c>
      <c r="C2">
        <f t="array" aca="1" ref="C2" ca="1">CORREL(FT_E02,FT_PH02)</f>
        <v>-0.65542294083664276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1.59073</v>
      </c>
      <c r="G2" s="61">
        <f>IF(FT!B2&lt;&gt;"",FT!B2*100,"")</f>
        <v>59.508399999999995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1.6559199999999998</v>
      </c>
      <c r="G3" s="61">
        <f>IF(FT!B3&lt;&gt;"",FT!B3*100,"")</f>
        <v>58.718699999999998</v>
      </c>
      <c r="H3" s="61">
        <f t="shared" ref="H3:H66" si="1">(IF(F3&lt;&gt;"",1,""))</f>
        <v>1</v>
      </c>
      <c r="I3" t="str">
        <f>IF(FT!B3&lt;&gt;"",FT!E3,"")</f>
        <v>1 [0.404899]</v>
      </c>
      <c r="J3">
        <f>IF(FT!B3&lt;&gt;"",FT!C3,"")</f>
        <v>0.40489900000000001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0.39129983783783789</v>
      </c>
      <c r="V3">
        <f ca="1">AVERAGE(OFFSET(FT!B2,info!$L$3/2,0,info!$L$3/2,1))</f>
        <v>0.43242221621621635</v>
      </c>
      <c r="W3">
        <f ca="1">AVERAGE(OFFSET(FT!A2,0,0,info!$L$3/2,1))</f>
        <v>0.28720370270270273</v>
      </c>
      <c r="X3">
        <f ca="1">AVERAGE(OFFSET(FT!A2,info!$L$3/2,0,info!$L$3/2,1))</f>
        <v>0.29022816216216213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1.7235400000000001</v>
      </c>
      <c r="G4" s="61">
        <f>IF(FT!B4&lt;&gt;"",FT!B4*100,"")</f>
        <v>57.749099999999999</v>
      </c>
      <c r="H4" s="61">
        <f t="shared" si="1"/>
        <v>1</v>
      </c>
      <c r="I4" t="str">
        <f>IF(FT!B4&lt;&gt;"",FT!E4,"")</f>
        <v>1 [0.809885]</v>
      </c>
      <c r="J4">
        <f>IF(FT!B4&lt;&gt;"",FT!C4,"")</f>
        <v>0.80988499999999997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14.943825</v>
      </c>
      <c r="V4">
        <f>U4*3</f>
        <v>44.831474999999998</v>
      </c>
      <c r="W4">
        <f>U4</f>
        <v>14.943825</v>
      </c>
      <c r="X4">
        <f>V4</f>
        <v>44.831474999999998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1.79226</v>
      </c>
      <c r="G5" s="61">
        <f>IF(FT!B5&lt;&gt;"",FT!B5*100,"")</f>
        <v>56.622799999999998</v>
      </c>
      <c r="H5" s="61">
        <f t="shared" si="1"/>
        <v>1</v>
      </c>
      <c r="I5" t="str">
        <f>IF(FT!B5&lt;&gt;"",FT!E5,"")</f>
        <v>1 [1.214800]</v>
      </c>
      <c r="J5">
        <f>IF(FT!B5&lt;&gt;"",FT!C5,"")</f>
        <v>1.2148000000000001</v>
      </c>
      <c r="K5" t="s">
        <v>53</v>
      </c>
      <c r="L5" s="63">
        <f ca="1">MIN(FT_E)</f>
        <v>1.59073</v>
      </c>
      <c r="M5" s="63">
        <f ca="1">ROUND(L5,1)</f>
        <v>1.6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39.129983783783793</v>
      </c>
      <c r="V5">
        <f ca="1">V3*100</f>
        <v>43.242221621621638</v>
      </c>
      <c r="W5">
        <f ca="1">W3*10</f>
        <v>2.8720370270270275</v>
      </c>
      <c r="X5">
        <f ca="1">X3*10</f>
        <v>2.9022816216216212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1.8583099999999999</v>
      </c>
      <c r="G6" s="61">
        <f>IF(FT!B6&lt;&gt;"",FT!B6*100,"")</f>
        <v>55.663600000000002</v>
      </c>
      <c r="H6" s="61">
        <f t="shared" si="1"/>
        <v>1</v>
      </c>
      <c r="I6" t="str">
        <f>IF(FT!B6&lt;&gt;"",FT!E6,"")</f>
        <v>1 [1.620713]</v>
      </c>
      <c r="J6">
        <f>IF(FT!B6&lt;&gt;"",FT!C6,"")</f>
        <v>1.6207100000000001</v>
      </c>
      <c r="K6" t="s">
        <v>54</v>
      </c>
      <c r="L6" s="63">
        <f ca="1">MAX(FT_E)</f>
        <v>3.3776299999999999</v>
      </c>
      <c r="M6" s="63">
        <f ca="1">ROUND(L6,1)</f>
        <v>3.4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1.9249399999999999</v>
      </c>
      <c r="G7" s="61">
        <f>IF(FT!B7&lt;&gt;"",FT!B7*100,"")</f>
        <v>54.613999999999997</v>
      </c>
      <c r="H7" s="61">
        <f t="shared" si="1"/>
        <v>1</v>
      </c>
      <c r="I7" t="str">
        <f>IF(FT!B7&lt;&gt;"",FT!E7,"")</f>
        <v>1 [2.026741]</v>
      </c>
      <c r="J7">
        <f>IF(FT!B7&lt;&gt;"",FT!C7,"")</f>
        <v>2.0267400000000002</v>
      </c>
      <c r="K7" t="s">
        <v>55</v>
      </c>
      <c r="L7" s="63">
        <f ca="1">MIN(FT_PH)</f>
        <v>29.593000000000004</v>
      </c>
      <c r="M7" s="63">
        <f ca="1">ROUND(L7,1)</f>
        <v>29.6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11433</v>
      </c>
      <c r="D8" s="61">
        <f>FH!B8*1</f>
        <v>11433</v>
      </c>
      <c r="E8">
        <f t="shared" si="3"/>
        <v>6</v>
      </c>
      <c r="F8" s="61">
        <f>IF(FT!A8&lt;&gt;"",FT!A8*10,"")</f>
        <v>1.99505</v>
      </c>
      <c r="G8" s="61">
        <f>IF(FT!B8&lt;&gt;"",FT!B8*100,"")</f>
        <v>53.4328</v>
      </c>
      <c r="H8" s="61">
        <f t="shared" si="1"/>
        <v>1</v>
      </c>
      <c r="I8" t="str">
        <f>IF(FT!B8&lt;&gt;"",FT!E8,"")</f>
        <v>1 [2.435587]</v>
      </c>
      <c r="J8">
        <f>IF(FT!B8&lt;&gt;"",FT!C8,"")</f>
        <v>2.4355899999999999</v>
      </c>
      <c r="K8" t="s">
        <v>56</v>
      </c>
      <c r="L8" s="63">
        <f ca="1">MAX(FT_PH)</f>
        <v>59.508399999999995</v>
      </c>
      <c r="M8" s="63">
        <f ca="1">ROUND(L8,1)</f>
        <v>59.5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2.0653800000000002</v>
      </c>
      <c r="G9" s="61">
        <f>IF(FT!B9&lt;&gt;"",FT!B9*100,"")</f>
        <v>52.179200000000002</v>
      </c>
      <c r="H9" s="61">
        <f t="shared" si="1"/>
        <v>1</v>
      </c>
      <c r="I9" t="str">
        <f>IF(FT!B9&lt;&gt;"",FT!E9,"")</f>
        <v>1 [2.842359]</v>
      </c>
      <c r="J9">
        <f>IF(FT!B9&lt;&gt;"",FT!C9,"")</f>
        <v>2.8423600000000002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22259</v>
      </c>
      <c r="D10" s="61">
        <f>FH!B10*1</f>
        <v>22259</v>
      </c>
      <c r="E10">
        <f t="shared" si="3"/>
        <v>8</v>
      </c>
      <c r="F10" s="61">
        <f>IF(FT!A10&lt;&gt;"",FT!A10*10,"")</f>
        <v>2.1387</v>
      </c>
      <c r="G10" s="61">
        <f>IF(FT!B10&lt;&gt;"",FT!B10*100,"")</f>
        <v>50.770400000000002</v>
      </c>
      <c r="H10" s="61">
        <f t="shared" si="1"/>
        <v>1</v>
      </c>
      <c r="I10" t="str">
        <f>IF(FT!B10&lt;&gt;"",FT!E10,"")</f>
        <v>1 [3.245339]</v>
      </c>
      <c r="J10">
        <f>IF(FT!B10&lt;&gt;"",FT!C10,"")</f>
        <v>3.2453400000000001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2.2069000000000001</v>
      </c>
      <c r="G11" s="61">
        <f>IF(FT!B11&lt;&gt;"",FT!B11*100,"")</f>
        <v>49.575399999999995</v>
      </c>
      <c r="H11" s="61">
        <f t="shared" si="1"/>
        <v>1</v>
      </c>
      <c r="I11" t="str">
        <f>IF(FT!B11&lt;&gt;"",FT!E11,"")</f>
        <v>1 [3.653208]</v>
      </c>
      <c r="J11">
        <f>IF(FT!B11&lt;&gt;"",FT!C11,"")</f>
        <v>3.6532100000000001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2.2732700000000001</v>
      </c>
      <c r="G12" s="61">
        <f>IF(FT!B12&lt;&gt;"",FT!B12*100,"")</f>
        <v>48.465299999999999</v>
      </c>
      <c r="H12" s="61">
        <f t="shared" si="1"/>
        <v>1</v>
      </c>
      <c r="I12" t="str">
        <f>IF(FT!B12&lt;&gt;"",FT!E12,"")</f>
        <v>1 [4.058204]</v>
      </c>
      <c r="J12">
        <f>IF(FT!B12&lt;&gt;"",FT!C12,"")</f>
        <v>4.0582000000000003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31222</v>
      </c>
      <c r="D13" s="61">
        <f>FH!B13*1</f>
        <v>31222</v>
      </c>
      <c r="E13">
        <f t="shared" si="3"/>
        <v>11</v>
      </c>
      <c r="F13" s="61">
        <f>IF(FT!A13&lt;&gt;"",FT!A13*10,"")</f>
        <v>2.3378999999999999</v>
      </c>
      <c r="G13" s="61">
        <f>IF(FT!B13&lt;&gt;"",FT!B13*100,"")</f>
        <v>47.460299999999997</v>
      </c>
      <c r="H13" s="61">
        <f t="shared" si="1"/>
        <v>1</v>
      </c>
      <c r="I13" t="str">
        <f>IF(FT!B13&lt;&gt;"",FT!E13,"")</f>
        <v>1 [4.465308]</v>
      </c>
      <c r="J13">
        <f>IF(FT!B13&lt;&gt;"",FT!C13,"")</f>
        <v>4.4653099999999997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2.3986900000000002</v>
      </c>
      <c r="G14" s="61">
        <f>IF(FT!B14&lt;&gt;"",FT!B14*100,"")</f>
        <v>46.556799999999996</v>
      </c>
      <c r="H14" s="61">
        <f t="shared" si="1"/>
        <v>1</v>
      </c>
      <c r="I14" t="str">
        <f>IF(FT!B14&lt;&gt;"",FT!E14,"")</f>
        <v>1 [4.873055]</v>
      </c>
      <c r="J14">
        <f>IF(FT!B14&lt;&gt;"",FT!C14,"")</f>
        <v>4.8730500000000001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41952</v>
      </c>
      <c r="D15" s="61">
        <f>FH!B15*1</f>
        <v>41952</v>
      </c>
      <c r="E15">
        <f t="shared" si="3"/>
        <v>13</v>
      </c>
      <c r="F15" s="61">
        <f>IF(FT!A15&lt;&gt;"",FT!A15*10,"")</f>
        <v>2.4589400000000001</v>
      </c>
      <c r="G15" s="61">
        <f>IF(FT!B15&lt;&gt;"",FT!B15*100,"")</f>
        <v>45.544499999999999</v>
      </c>
      <c r="H15" s="61">
        <f t="shared" si="1"/>
        <v>1</v>
      </c>
      <c r="I15" t="str">
        <f>IF(FT!B15&lt;&gt;"",FT!E15,"")</f>
        <v>1 [5.279972]</v>
      </c>
      <c r="J15">
        <f>IF(FT!B15&lt;&gt;"",FT!C15,"")</f>
        <v>5.2799699999999996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2.5206600000000003</v>
      </c>
      <c r="G16" s="61">
        <f>IF(FT!B16&lt;&gt;"",FT!B16*100,"")</f>
        <v>44.4178</v>
      </c>
      <c r="H16" s="61">
        <f t="shared" si="1"/>
        <v>1</v>
      </c>
      <c r="I16" t="str">
        <f>IF(FT!B16&lt;&gt;"",FT!E16,"")</f>
        <v>1 [5.684830]</v>
      </c>
      <c r="J16">
        <f>IF(FT!B16&lt;&gt;"",FT!C16,"")</f>
        <v>5.6848299999999998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2.5835599999999999</v>
      </c>
      <c r="G17" s="61">
        <f>IF(FT!B17&lt;&gt;"",FT!B17*100,"")</f>
        <v>43.354599999999998</v>
      </c>
      <c r="H17" s="61">
        <f t="shared" si="1"/>
        <v>1</v>
      </c>
      <c r="I17" t="str">
        <f>IF(FT!B17&lt;&gt;"",FT!E17,"")</f>
        <v>1 [6.087749]</v>
      </c>
      <c r="J17">
        <f>IF(FT!B17&lt;&gt;"",FT!C17,"")</f>
        <v>6.0877499999999998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50981</v>
      </c>
      <c r="D18" s="61">
        <f>FH!B18*1</f>
        <v>50981</v>
      </c>
      <c r="E18">
        <f t="shared" si="3"/>
        <v>16</v>
      </c>
      <c r="F18" s="61">
        <f>IF(FT!A18&lt;&gt;"",FT!A18*10,"")</f>
        <v>2.64594</v>
      </c>
      <c r="G18" s="61">
        <f>IF(FT!B18&lt;&gt;"",FT!B18*100,"")</f>
        <v>42.323699999999995</v>
      </c>
      <c r="H18" s="61">
        <f t="shared" si="1"/>
        <v>1</v>
      </c>
      <c r="I18" t="str">
        <f>IF(FT!B18&lt;&gt;"",FT!E18,"")</f>
        <v>1 [6.494829]</v>
      </c>
      <c r="J18">
        <f>IF(FT!B18&lt;&gt;"",FT!C18,"")</f>
        <v>6.4948300000000003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2.70634</v>
      </c>
      <c r="G19" s="61">
        <f>IF(FT!B19&lt;&gt;"",FT!B19*100,"")</f>
        <v>41.302699999999994</v>
      </c>
      <c r="H19" s="61">
        <f t="shared" si="1"/>
        <v>1</v>
      </c>
      <c r="I19" t="str">
        <f>IF(FT!B19&lt;&gt;"",FT!E19,"")</f>
        <v>1 [6.902554]</v>
      </c>
      <c r="J19">
        <f>IF(FT!B19&lt;&gt;"",FT!C19,"")</f>
        <v>6.9025499999999997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2.76342</v>
      </c>
      <c r="G20" s="61">
        <f>IF(FT!B20&lt;&gt;"",FT!B20*100,"")</f>
        <v>40.4589</v>
      </c>
      <c r="H20" s="61">
        <f t="shared" si="1"/>
        <v>1</v>
      </c>
      <c r="I20" t="str">
        <f>IF(FT!B20&lt;&gt;"",FT!E20,"")</f>
        <v>1 [7.309485]</v>
      </c>
      <c r="J20">
        <f>IF(FT!B20&lt;&gt;"",FT!C20,"")</f>
        <v>7.3094900000000003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70069</v>
      </c>
      <c r="D21" s="61">
        <f>FH!B21*1</f>
        <v>70069</v>
      </c>
      <c r="E21">
        <f t="shared" si="3"/>
        <v>19</v>
      </c>
      <c r="F21" s="61">
        <f>IF(FT!A21&lt;&gt;"",FT!A21*10,"")</f>
        <v>2.8173599999999999</v>
      </c>
      <c r="G21" s="61">
        <f>IF(FT!B21&lt;&gt;"",FT!B21*100,"")</f>
        <v>39.695</v>
      </c>
      <c r="H21" s="61">
        <f t="shared" si="1"/>
        <v>1</v>
      </c>
      <c r="I21" t="str">
        <f>IF(FT!B21&lt;&gt;"",FT!E21,"")</f>
        <v>1 [7.715423]</v>
      </c>
      <c r="J21">
        <f>IF(FT!B21&lt;&gt;"",FT!C21,"")</f>
        <v>7.7154199999999999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2.8667599999999998</v>
      </c>
      <c r="G22" s="61">
        <f>IF(FT!B22&lt;&gt;"",FT!B22*100,"")</f>
        <v>38.972200000000001</v>
      </c>
      <c r="H22" s="61">
        <f t="shared" si="1"/>
        <v>1</v>
      </c>
      <c r="I22" t="str">
        <f>IF(FT!B22&lt;&gt;"",FT!E22,"")</f>
        <v>1 [8.118388]</v>
      </c>
      <c r="J22">
        <f>IF(FT!B22&lt;&gt;"",FT!C22,"")</f>
        <v>8.1183899999999998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91925</v>
      </c>
      <c r="D23" s="61">
        <f>FH!B23*1</f>
        <v>91925</v>
      </c>
      <c r="E23">
        <f t="shared" si="3"/>
        <v>21</v>
      </c>
      <c r="F23" s="61">
        <f>IF(FT!A23&lt;&gt;"",FT!A23*10,"")</f>
        <v>2.91398</v>
      </c>
      <c r="G23" s="61">
        <f>IF(FT!B23&lt;&gt;"",FT!B23*100,"")</f>
        <v>38.305</v>
      </c>
      <c r="H23" s="61">
        <f t="shared" si="1"/>
        <v>1</v>
      </c>
      <c r="I23" t="str">
        <f>IF(FT!B23&lt;&gt;"",FT!E23,"")</f>
        <v>1 [8.526606]</v>
      </c>
      <c r="J23">
        <f>IF(FT!B23&lt;&gt;"",FT!C23,"")</f>
        <v>8.5266099999999998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2.9593399999999996</v>
      </c>
      <c r="G24" s="61">
        <f>IF(FT!B24&lt;&gt;"",FT!B24*100,"")</f>
        <v>37.541799999999995</v>
      </c>
      <c r="H24" s="61">
        <f t="shared" si="1"/>
        <v>1</v>
      </c>
      <c r="I24" t="str">
        <f>IF(FT!B24&lt;&gt;"",FT!E24,"")</f>
        <v>1 [8.934400]</v>
      </c>
      <c r="J24">
        <f>IF(FT!B24&lt;&gt;"",FT!C24,"")</f>
        <v>8.9344000000000001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2.9939999999999998</v>
      </c>
      <c r="G25" s="61">
        <f>IF(FT!B25&lt;&gt;"",FT!B25*100,"")</f>
        <v>36.905200000000001</v>
      </c>
      <c r="H25" s="61">
        <f t="shared" si="1"/>
        <v>1</v>
      </c>
      <c r="I25" t="str">
        <f>IF(FT!B25&lt;&gt;"",FT!E25,"")</f>
        <v>1 [9.342237]</v>
      </c>
      <c r="J25">
        <f>IF(FT!B25&lt;&gt;"",FT!C25,"")</f>
        <v>9.3422400000000003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95464</v>
      </c>
      <c r="D26" s="61">
        <f>FH!B26*1</f>
        <v>95464</v>
      </c>
      <c r="E26">
        <f t="shared" si="3"/>
        <v>24</v>
      </c>
      <c r="F26" s="61">
        <f>IF(FT!A26&lt;&gt;"",FT!A26*10,"")</f>
        <v>3.0230000000000001</v>
      </c>
      <c r="G26" s="61">
        <f>IF(FT!B26&lt;&gt;"",FT!B26*100,"")</f>
        <v>36.164499999999997</v>
      </c>
      <c r="H26" s="61">
        <f t="shared" si="1"/>
        <v>1</v>
      </c>
      <c r="I26" t="str">
        <f>IF(FT!B26&lt;&gt;"",FT!E26,"")</f>
        <v>1 [9.746930]</v>
      </c>
      <c r="J26">
        <f>IF(FT!B26&lt;&gt;"",FT!C26,"")</f>
        <v>9.7469300000000008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3.0525500000000001</v>
      </c>
      <c r="G27" s="61">
        <f>IF(FT!B27&lt;&gt;"",FT!B27*100,"")</f>
        <v>35.322400000000002</v>
      </c>
      <c r="H27" s="61">
        <f t="shared" si="1"/>
        <v>1</v>
      </c>
      <c r="I27" t="str">
        <f>IF(FT!B27&lt;&gt;"",FT!E27,"")</f>
        <v>1 [10.154864]</v>
      </c>
      <c r="J27">
        <f>IF(FT!B27&lt;&gt;"",FT!C27,"")</f>
        <v>10.1549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79858</v>
      </c>
      <c r="D28" s="61">
        <f>FH!B28*1</f>
        <v>79858</v>
      </c>
      <c r="E28">
        <f t="shared" si="3"/>
        <v>26</v>
      </c>
      <c r="F28" s="61">
        <f>IF(FT!A28&lt;&gt;"",FT!A28*10,"")</f>
        <v>3.0826599999999997</v>
      </c>
      <c r="G28" s="61">
        <f>IF(FT!B28&lt;&gt;"",FT!B28*100,"")</f>
        <v>34.529499999999999</v>
      </c>
      <c r="H28" s="61">
        <f t="shared" si="1"/>
        <v>1</v>
      </c>
      <c r="I28" t="str">
        <f>IF(FT!B28&lt;&gt;"",FT!E28,"")</f>
        <v>1 [10.555868]</v>
      </c>
      <c r="J28">
        <f>IF(FT!B28&lt;&gt;"",FT!C28,"")</f>
        <v>10.555899999999999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3.11212</v>
      </c>
      <c r="G29" s="61">
        <f>IF(FT!B29&lt;&gt;"",FT!B29*100,"")</f>
        <v>33.733600000000003</v>
      </c>
      <c r="H29" s="61">
        <f t="shared" si="1"/>
        <v>1</v>
      </c>
      <c r="I29" t="str">
        <f>IF(FT!B29&lt;&gt;"",FT!E29,"")</f>
        <v>1 [10.964664]</v>
      </c>
      <c r="J29">
        <f>IF(FT!B29&lt;&gt;"",FT!C29,"")</f>
        <v>10.964700000000001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3.1430699999999998</v>
      </c>
      <c r="G30" s="61">
        <f>IF(FT!B30&lt;&gt;"",FT!B30*100,"")</f>
        <v>32.947700000000005</v>
      </c>
      <c r="H30" s="61">
        <f t="shared" si="1"/>
        <v>1</v>
      </c>
      <c r="I30" t="str">
        <f>IF(FT!B30&lt;&gt;"",FT!E30,"")</f>
        <v>1 [11.373678]</v>
      </c>
      <c r="J30">
        <f>IF(FT!B30&lt;&gt;"",FT!C30,"")</f>
        <v>11.373699999999999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83384</v>
      </c>
      <c r="D31" s="61">
        <f>FH!B31*1</f>
        <v>83384</v>
      </c>
      <c r="E31">
        <f t="shared" si="3"/>
        <v>29</v>
      </c>
      <c r="F31" s="61">
        <f>IF(FT!A31&lt;&gt;"",FT!A31*10,"")</f>
        <v>3.1747999999999998</v>
      </c>
      <c r="G31" s="61">
        <f>IF(FT!B31&lt;&gt;"",FT!B31*100,"")</f>
        <v>32.255699999999997</v>
      </c>
      <c r="H31" s="61">
        <f t="shared" si="1"/>
        <v>1</v>
      </c>
      <c r="I31" t="str">
        <f>IF(FT!B31&lt;&gt;"",FT!E31,"")</f>
        <v>1 [11.777537]</v>
      </c>
      <c r="J31">
        <f>IF(FT!B31&lt;&gt;"",FT!C31,"")</f>
        <v>11.7775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3.2019900000000003</v>
      </c>
      <c r="G32" s="61">
        <f>IF(FT!B32&lt;&gt;"",FT!B32*100,"")</f>
        <v>31.696600000000004</v>
      </c>
      <c r="H32" s="61">
        <f t="shared" si="1"/>
        <v>1</v>
      </c>
      <c r="I32" t="str">
        <f>IF(FT!B32&lt;&gt;"",FT!E32,"")</f>
        <v>1 [12.183449]</v>
      </c>
      <c r="J32">
        <f>IF(FT!B32&lt;&gt;"",FT!C32,"")</f>
        <v>12.183400000000001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93019</v>
      </c>
      <c r="D33" s="61">
        <f>FH!B33*1</f>
        <v>93019</v>
      </c>
      <c r="E33">
        <f t="shared" si="3"/>
        <v>31</v>
      </c>
      <c r="F33" s="61">
        <f>IF(FT!A33&lt;&gt;"",FT!A33*10,"")</f>
        <v>3.22403</v>
      </c>
      <c r="G33" s="61">
        <f>IF(FT!B33&lt;&gt;"",FT!B33*100,"")</f>
        <v>31.208599999999997</v>
      </c>
      <c r="H33" s="61">
        <f t="shared" si="1"/>
        <v>1</v>
      </c>
      <c r="I33" t="str">
        <f>IF(FT!B33&lt;&gt;"",FT!E33,"")</f>
        <v>1 [12.588402]</v>
      </c>
      <c r="J33">
        <f>IF(FT!B33&lt;&gt;"",FT!C33,"")</f>
        <v>12.5884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3.2446399999999995</v>
      </c>
      <c r="G34" s="61">
        <f>IF(FT!B34&lt;&gt;"",FT!B34*100,"")</f>
        <v>30.771500000000003</v>
      </c>
      <c r="H34" s="61">
        <f t="shared" si="1"/>
        <v>1</v>
      </c>
      <c r="I34" t="str">
        <f>IF(FT!B34&lt;&gt;"",FT!E34,"")</f>
        <v>1 [12.996477]</v>
      </c>
      <c r="J34">
        <f>IF(FT!B34&lt;&gt;"",FT!C34,"")</f>
        <v>12.996499999999999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3.25943</v>
      </c>
      <c r="G35" s="61">
        <f>IF(FT!B35&lt;&gt;"",FT!B35*100,"")</f>
        <v>30.408300000000001</v>
      </c>
      <c r="H35" s="61">
        <f t="shared" si="1"/>
        <v>1</v>
      </c>
      <c r="I35" t="str">
        <f>IF(FT!B35&lt;&gt;"",FT!E35,"")</f>
        <v>1 [13.404251]</v>
      </c>
      <c r="J35">
        <f>IF(FT!B35&lt;&gt;"",FT!C35,"")</f>
        <v>13.404299999999999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90080</v>
      </c>
      <c r="D36" s="61">
        <f>FH!B36*1</f>
        <v>90080</v>
      </c>
      <c r="E36">
        <f t="shared" si="3"/>
        <v>34</v>
      </c>
      <c r="F36" s="61">
        <f>IF(FT!A36&lt;&gt;"",FT!A36*10,"")</f>
        <v>3.2715300000000003</v>
      </c>
      <c r="G36" s="61">
        <f>IF(FT!B36&lt;&gt;"",FT!B36*100,"")</f>
        <v>30.104599999999998</v>
      </c>
      <c r="H36" s="61">
        <f t="shared" si="1"/>
        <v>1</v>
      </c>
      <c r="I36" t="str">
        <f>IF(FT!B36&lt;&gt;"",FT!E36,"")</f>
        <v>1 [13.808054]</v>
      </c>
      <c r="J36">
        <f>IF(FT!B36&lt;&gt;"",FT!C36,"")</f>
        <v>13.8081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3.2834400000000001</v>
      </c>
      <c r="G37" s="61">
        <f>IF(FT!B37&lt;&gt;"",FT!B37*100,"")</f>
        <v>29.842400000000001</v>
      </c>
      <c r="H37" s="61">
        <f t="shared" si="1"/>
        <v>1</v>
      </c>
      <c r="I37" t="str">
        <f>IF(FT!B37&lt;&gt;"",FT!E37,"")</f>
        <v>1 [14.218143]</v>
      </c>
      <c r="J37">
        <f>IF(FT!B37&lt;&gt;"",FT!C37,"")</f>
        <v>14.2181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3.2915299999999998</v>
      </c>
      <c r="G38" s="61">
        <f>IF(FT!B38&lt;&gt;"",FT!B38*100,"")</f>
        <v>29.671300000000002</v>
      </c>
      <c r="H38" s="61">
        <f t="shared" si="1"/>
        <v>1</v>
      </c>
      <c r="I38" t="str">
        <f>IF(FT!B38&lt;&gt;"",FT!E38,"")</f>
        <v>1 [14.620979]</v>
      </c>
      <c r="J38">
        <f>IF(FT!B38&lt;&gt;"",FT!C38,"")</f>
        <v>14.621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89339</v>
      </c>
      <c r="D39" s="61">
        <f>FH!B39*1</f>
        <v>89339</v>
      </c>
      <c r="E39">
        <f t="shared" si="3"/>
        <v>37</v>
      </c>
      <c r="F39" s="61">
        <f>IF(FT!A39&lt;&gt;"",FT!A39*10,"")</f>
        <v>3.2983099999999999</v>
      </c>
      <c r="G39" s="61">
        <f>IF(FT!B39&lt;&gt;"",FT!B39*100,"")</f>
        <v>29.593000000000004</v>
      </c>
      <c r="H39" s="61">
        <f t="shared" si="1"/>
        <v>1</v>
      </c>
      <c r="I39" t="str">
        <f>IF(FT!B39&lt;&gt;"",FT!E39,"")</f>
        <v>1 [15.025272]</v>
      </c>
      <c r="J39">
        <f>IF(FT!B39&lt;&gt;"",FT!C39,"")</f>
        <v>15.0253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3.3007199999999997</v>
      </c>
      <c r="G40" s="61">
        <f>IF(FT!B40&lt;&gt;"",FT!B40*100,"")</f>
        <v>29.648999999999997</v>
      </c>
      <c r="H40" s="61">
        <f t="shared" si="1"/>
        <v>1</v>
      </c>
      <c r="I40" t="str">
        <f>IF(FT!B40&lt;&gt;"",FT!E40,"")</f>
        <v>1 [15.433893]</v>
      </c>
      <c r="J40">
        <f>IF(FT!B40&lt;&gt;"",FT!C40,"")</f>
        <v>15.4339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98006</v>
      </c>
      <c r="D41" s="61">
        <f>FH!B41*1</f>
        <v>98006</v>
      </c>
      <c r="E41">
        <f t="shared" si="3"/>
        <v>39</v>
      </c>
      <c r="F41" s="61">
        <f>IF(FT!A41&lt;&gt;"",FT!A41*10,"")</f>
        <v>3.3000000000000003</v>
      </c>
      <c r="G41" s="61">
        <f>IF(FT!B41&lt;&gt;"",FT!B41*100,"")</f>
        <v>29.775500000000001</v>
      </c>
      <c r="H41" s="61">
        <f t="shared" si="1"/>
        <v>1</v>
      </c>
      <c r="I41" t="str">
        <f>IF(FT!B41&lt;&gt;"",FT!E41,"")</f>
        <v>1 [15.840696]</v>
      </c>
      <c r="J41">
        <f>IF(FT!B41&lt;&gt;"",FT!C41,"")</f>
        <v>15.8407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3.2972400000000004</v>
      </c>
      <c r="G42" s="61">
        <f>IF(FT!B42&lt;&gt;"",FT!B42*100,"")</f>
        <v>29.909099999999999</v>
      </c>
      <c r="H42" s="61">
        <f t="shared" si="1"/>
        <v>1</v>
      </c>
      <c r="I42" t="str">
        <f>IF(FT!B42&lt;&gt;"",FT!E42,"")</f>
        <v>1 [16.244632]</v>
      </c>
      <c r="J42">
        <f>IF(FT!B42&lt;&gt;"",FT!C42,"")</f>
        <v>16.244599999999998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3.2915399999999999</v>
      </c>
      <c r="G43" s="61">
        <f>IF(FT!B43&lt;&gt;"",FT!B43*100,"")</f>
        <v>30.122700000000002</v>
      </c>
      <c r="H43" s="61">
        <f t="shared" si="1"/>
        <v>1</v>
      </c>
      <c r="I43" t="str">
        <f>IF(FT!B43&lt;&gt;"",FT!E43,"")</f>
        <v>1 [16.650729]</v>
      </c>
      <c r="J43">
        <f>IF(FT!B43&lt;&gt;"",FT!C43,"")</f>
        <v>16.650700000000001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92570</v>
      </c>
      <c r="D44" s="61">
        <f>FH!B44*1</f>
        <v>92570</v>
      </c>
      <c r="E44">
        <f t="shared" si="3"/>
        <v>42</v>
      </c>
      <c r="F44" s="61">
        <f>IF(FT!A44&lt;&gt;"",FT!A44*10,"")</f>
        <v>3.2860099999999997</v>
      </c>
      <c r="G44" s="61">
        <f>IF(FT!B44&lt;&gt;"",FT!B44*100,"")</f>
        <v>30.367100000000001</v>
      </c>
      <c r="H44" s="61">
        <f t="shared" si="1"/>
        <v>1</v>
      </c>
      <c r="I44" t="str">
        <f>IF(FT!B44&lt;&gt;"",FT!E44,"")</f>
        <v>1 [17.057550]</v>
      </c>
      <c r="J44">
        <f>IF(FT!B44&lt;&gt;"",FT!C44,"")</f>
        <v>17.057500000000001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3.2821299999999995</v>
      </c>
      <c r="G45" s="61">
        <f>IF(FT!B45&lt;&gt;"",FT!B45*100,"")</f>
        <v>30.590299999999999</v>
      </c>
      <c r="H45" s="61">
        <f t="shared" si="1"/>
        <v>1</v>
      </c>
      <c r="I45" t="str">
        <f>IF(FT!B45&lt;&gt;"",FT!E45,"")</f>
        <v>1 [17.465308]</v>
      </c>
      <c r="J45">
        <f>IF(FT!B45&lt;&gt;"",FT!C45,"")</f>
        <v>17.465299999999999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95841</v>
      </c>
      <c r="D46" s="61">
        <f>FH!B46*1</f>
        <v>95841</v>
      </c>
      <c r="E46">
        <f t="shared" si="3"/>
        <v>44</v>
      </c>
      <c r="F46" s="61">
        <f>IF(FT!A46&lt;&gt;"",FT!A46*10,"")</f>
        <v>3.2776699999999996</v>
      </c>
      <c r="G46" s="61">
        <f>IF(FT!B46&lt;&gt;"",FT!B46*100,"")</f>
        <v>30.830800000000004</v>
      </c>
      <c r="H46" s="61">
        <f t="shared" si="1"/>
        <v>1</v>
      </c>
      <c r="I46" t="str">
        <f>IF(FT!B46&lt;&gt;"",FT!E46,"")</f>
        <v>1 [17.872191]</v>
      </c>
      <c r="J46">
        <f>IF(FT!B46&lt;&gt;"",FT!C46,"")</f>
        <v>17.872199999999999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3.2713999999999999</v>
      </c>
      <c r="G47" s="61">
        <f>IF(FT!B47&lt;&gt;"",FT!B47*100,"")</f>
        <v>31.108799999999999</v>
      </c>
      <c r="H47" s="61">
        <f t="shared" si="1"/>
        <v>1</v>
      </c>
      <c r="I47" t="str">
        <f>IF(FT!B47&lt;&gt;"",FT!E47,"")</f>
        <v>1 [18.277188]</v>
      </c>
      <c r="J47">
        <f>IF(FT!B47&lt;&gt;"",FT!C47,"")</f>
        <v>18.277200000000001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3.2610299999999999</v>
      </c>
      <c r="G48" s="61">
        <f>IF(FT!B48&lt;&gt;"",FT!B48*100,"")</f>
        <v>31.464500000000001</v>
      </c>
      <c r="H48" s="61">
        <f t="shared" si="1"/>
        <v>1</v>
      </c>
      <c r="I48" t="str">
        <f>IF(FT!B48&lt;&gt;"",FT!E48,"")</f>
        <v>1 [18.686271]</v>
      </c>
      <c r="J48">
        <f>IF(FT!B48&lt;&gt;"",FT!C48,"")</f>
        <v>18.686299999999999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94769</v>
      </c>
      <c r="D49" s="61">
        <f>FH!B49*1</f>
        <v>94769</v>
      </c>
      <c r="E49">
        <f t="shared" si="3"/>
        <v>47</v>
      </c>
      <c r="F49" s="61">
        <f>IF(FT!A49&lt;&gt;"",FT!A49*10,"")</f>
        <v>3.2448199999999998</v>
      </c>
      <c r="G49" s="61">
        <f>IF(FT!B49&lt;&gt;"",FT!B49*100,"")</f>
        <v>32.0533</v>
      </c>
      <c r="H49" s="61">
        <f t="shared" si="1"/>
        <v>1</v>
      </c>
      <c r="I49" t="str">
        <f>IF(FT!B49&lt;&gt;"",FT!E49,"")</f>
        <v>1 [19.090931]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3.2317400000000003</v>
      </c>
      <c r="G50" s="61">
        <f>IF(FT!B50&lt;&gt;"",FT!B50*100,"")</f>
        <v>32.701999999999998</v>
      </c>
      <c r="H50" s="61">
        <f t="shared" si="1"/>
        <v>1</v>
      </c>
      <c r="I50" t="str">
        <f>IF(FT!B50&lt;&gt;"",FT!E50,"")</f>
        <v>1 [19.496791]</v>
      </c>
      <c r="J50">
        <f>IF(FT!B50&lt;&gt;"",FT!C50,"")</f>
        <v>19.4968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87461</v>
      </c>
      <c r="D51" s="61">
        <f>FH!B51*1</f>
        <v>87461</v>
      </c>
      <c r="E51">
        <f t="shared" si="3"/>
        <v>49</v>
      </c>
      <c r="F51" s="61">
        <f>IF(FT!A51&lt;&gt;"",FT!A51*10,"")</f>
        <v>3.22323</v>
      </c>
      <c r="G51" s="61">
        <f>IF(FT!B51&lt;&gt;"",FT!B51*100,"")</f>
        <v>33.441099999999999</v>
      </c>
      <c r="H51" s="61">
        <f t="shared" si="1"/>
        <v>1</v>
      </c>
      <c r="I51" t="str">
        <f>IF(FT!B51&lt;&gt;"",FT!E51,"")</f>
        <v>1 [19.901011]</v>
      </c>
      <c r="J51">
        <f>IF(FT!B51&lt;&gt;"",FT!C51,"")</f>
        <v>19.901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3.22051</v>
      </c>
      <c r="G52" s="61">
        <f>IF(FT!B52&lt;&gt;"",FT!B52*100,"")</f>
        <v>34.122599999999998</v>
      </c>
      <c r="H52" s="61">
        <f t="shared" si="1"/>
        <v>1</v>
      </c>
      <c r="I52" t="str">
        <f>IF(FT!B52&lt;&gt;"",FT!E52,"")</f>
        <v>1 [20.309628]</v>
      </c>
      <c r="J52">
        <f>IF(FT!B52&lt;&gt;"",FT!C52,"")</f>
        <v>20.3096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3.20913</v>
      </c>
      <c r="G53" s="61">
        <f>IF(FT!B53&lt;&gt;"",FT!B53*100,"")</f>
        <v>34.8765</v>
      </c>
      <c r="H53" s="61">
        <f t="shared" si="1"/>
        <v>1</v>
      </c>
      <c r="I53" t="str">
        <f>IF(FT!B53&lt;&gt;"",FT!E53,"")</f>
        <v>1 [20.715554]</v>
      </c>
      <c r="J53">
        <f>IF(FT!B53&lt;&gt;"",FT!C53,"")</f>
        <v>20.715599999999998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90995</v>
      </c>
      <c r="D54" s="61">
        <f>FH!B54*1</f>
        <v>90995</v>
      </c>
      <c r="E54">
        <f t="shared" si="3"/>
        <v>52</v>
      </c>
      <c r="F54" s="61">
        <f>IF(FT!A54&lt;&gt;"",FT!A54*10,"")</f>
        <v>3.19468</v>
      </c>
      <c r="G54" s="61">
        <f>IF(FT!B54&lt;&gt;"",FT!B54*100,"")</f>
        <v>35.618699999999997</v>
      </c>
      <c r="H54" s="61">
        <f t="shared" si="1"/>
        <v>1</v>
      </c>
      <c r="I54" t="str">
        <f>IF(FT!B54&lt;&gt;"",FT!E54,"")</f>
        <v>1 [21.120476]</v>
      </c>
      <c r="J54">
        <f>IF(FT!B54&lt;&gt;"",FT!C54,"")</f>
        <v>21.1205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3.1781600000000001</v>
      </c>
      <c r="G55" s="61">
        <f>IF(FT!B55&lt;&gt;"",FT!B55*100,"")</f>
        <v>36.346600000000002</v>
      </c>
      <c r="H55" s="61">
        <f t="shared" si="1"/>
        <v>1</v>
      </c>
      <c r="I55" t="str">
        <f>IF(FT!B55&lt;&gt;"",FT!E55,"")</f>
        <v>1 [21.526479]</v>
      </c>
      <c r="J55">
        <f>IF(FT!B55&lt;&gt;"",FT!C55,"")</f>
        <v>21.526499999999999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3.1596899999999999</v>
      </c>
      <c r="G56" s="61">
        <f>IF(FT!B56&lt;&gt;"",FT!B56*100,"")</f>
        <v>37.046300000000002</v>
      </c>
      <c r="H56" s="61">
        <f t="shared" si="1"/>
        <v>1</v>
      </c>
      <c r="I56" t="str">
        <f>IF(FT!B56&lt;&gt;"",FT!E56,"")</f>
        <v>1 [21.933248]</v>
      </c>
      <c r="J56">
        <f>IF(FT!B56&lt;&gt;"",FT!C56,"")</f>
        <v>21.933199999999999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100428</v>
      </c>
      <c r="D57" s="61">
        <f>FH!B57*1</f>
        <v>100428</v>
      </c>
      <c r="E57">
        <f t="shared" si="3"/>
        <v>55</v>
      </c>
      <c r="F57" s="61">
        <f>IF(FT!A57&lt;&gt;"",FT!A57*10,"")</f>
        <v>3.1418499999999998</v>
      </c>
      <c r="G57" s="61">
        <f>IF(FT!B57&lt;&gt;"",FT!B57*100,"")</f>
        <v>37.684200000000004</v>
      </c>
      <c r="H57" s="61">
        <f t="shared" si="1"/>
        <v>1</v>
      </c>
      <c r="I57" t="str">
        <f>IF(FT!B57&lt;&gt;"",FT!E57,"")</f>
        <v>1 [22.335268]</v>
      </c>
      <c r="J57">
        <f>IF(FT!B57&lt;&gt;"",FT!C57,"")</f>
        <v>22.3353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3.1205500000000002</v>
      </c>
      <c r="G58" s="61">
        <f>IF(FT!B58&lt;&gt;"",FT!B58*100,"")</f>
        <v>38.238399999999999</v>
      </c>
      <c r="H58" s="61">
        <f t="shared" si="1"/>
        <v>1</v>
      </c>
      <c r="I58" t="str">
        <f>IF(FT!B58&lt;&gt;"",FT!E58,"")</f>
        <v>1 [22.743197]</v>
      </c>
      <c r="J58">
        <f>IF(FT!B58&lt;&gt;"",FT!C58,"")</f>
        <v>22.743200000000002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101314</v>
      </c>
      <c r="D59" s="61">
        <f>FH!B59*1</f>
        <v>101314</v>
      </c>
      <c r="E59">
        <f t="shared" si="3"/>
        <v>57</v>
      </c>
      <c r="F59" s="61">
        <f>IF(FT!A59&lt;&gt;"",FT!A59*10,"")</f>
        <v>3.0956000000000001</v>
      </c>
      <c r="G59" s="61">
        <f>IF(FT!B59&lt;&gt;"",FT!B59*100,"")</f>
        <v>38.788899999999998</v>
      </c>
      <c r="H59" s="61">
        <f t="shared" si="1"/>
        <v>1</v>
      </c>
      <c r="I59" t="str">
        <f>IF(FT!B59&lt;&gt;"",FT!E59,"")</f>
        <v>1 [23.155111]</v>
      </c>
      <c r="J59">
        <f>IF(FT!B59&lt;&gt;"",FT!C59,"")</f>
        <v>23.155100000000001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3.0703999999999998</v>
      </c>
      <c r="G60" s="61">
        <f>IF(FT!B60&lt;&gt;"",FT!B60*100,"")</f>
        <v>39.249400000000001</v>
      </c>
      <c r="H60" s="61">
        <f t="shared" si="1"/>
        <v>1</v>
      </c>
      <c r="I60" t="str">
        <f>IF(FT!B60&lt;&gt;"",FT!E60,"")</f>
        <v>1 [23.556989]</v>
      </c>
      <c r="J60">
        <f>IF(FT!B60&lt;&gt;"",FT!C60,"")</f>
        <v>23.556999999999999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3.0475600000000003</v>
      </c>
      <c r="G61" s="61">
        <f>IF(FT!B61&lt;&gt;"",FT!B61*100,"")</f>
        <v>39.663800000000002</v>
      </c>
      <c r="H61" s="61">
        <f t="shared" si="1"/>
        <v>1</v>
      </c>
      <c r="I61" t="str">
        <f>IF(FT!B61&lt;&gt;"",FT!E61,"")</f>
        <v>1 [23.962942]</v>
      </c>
      <c r="J61">
        <f>IF(FT!B61&lt;&gt;"",FT!C61,"")</f>
        <v>23.962900000000001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114860</v>
      </c>
      <c r="D62" s="61">
        <f>FH!B62*1</f>
        <v>114860</v>
      </c>
      <c r="E62">
        <f t="shared" si="3"/>
        <v>60</v>
      </c>
      <c r="F62" s="61">
        <f>IF(FT!A62&lt;&gt;"",FT!A62*10,"")</f>
        <v>3.0238800000000001</v>
      </c>
      <c r="G62" s="61">
        <f>IF(FT!B62&lt;&gt;"",FT!B62*100,"")</f>
        <v>40.075899999999997</v>
      </c>
      <c r="H62" s="61">
        <f t="shared" si="1"/>
        <v>1</v>
      </c>
      <c r="I62" t="str">
        <f>IF(FT!B62&lt;&gt;"",FT!E62,"")</f>
        <v>1 [24.375929]</v>
      </c>
      <c r="J62">
        <f>IF(FT!B62&lt;&gt;"",FT!C62,"")</f>
        <v>24.375900000000001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3.0028800000000002</v>
      </c>
      <c r="G63" s="61">
        <f>IF(FT!B63&lt;&gt;"",FT!B63*100,"")</f>
        <v>40.377499999999998</v>
      </c>
      <c r="H63" s="61">
        <f t="shared" si="1"/>
        <v>1</v>
      </c>
      <c r="I63" t="str">
        <f>IF(FT!B63&lt;&gt;"",FT!E63,"")</f>
        <v>1 [24.778675]</v>
      </c>
      <c r="J63">
        <f>IF(FT!B63&lt;&gt;"",FT!C63,"")</f>
        <v>24.778700000000001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124708</v>
      </c>
      <c r="D64" s="61">
        <f>FH!B64*1</f>
        <v>124708</v>
      </c>
      <c r="E64">
        <f t="shared" si="3"/>
        <v>62</v>
      </c>
      <c r="F64" s="61">
        <f>IF(FT!A64&lt;&gt;"",FT!A64*10,"")</f>
        <v>2.9859799999999996</v>
      </c>
      <c r="G64" s="61">
        <f>IF(FT!B64&lt;&gt;"",FT!B64*100,"")</f>
        <v>40.551700000000004</v>
      </c>
      <c r="H64" s="61">
        <f t="shared" si="1"/>
        <v>1</v>
      </c>
      <c r="I64" t="str">
        <f>IF(FT!B64&lt;&gt;"",FT!E64,"")</f>
        <v>1 [25.184701]</v>
      </c>
      <c r="J64">
        <f>IF(FT!B64&lt;&gt;"",FT!C64,"")</f>
        <v>25.184699999999999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2.97309</v>
      </c>
      <c r="G65" s="61">
        <f>IF(FT!B65&lt;&gt;"",FT!B65*100,"")</f>
        <v>40.593600000000002</v>
      </c>
      <c r="H65" s="61">
        <f t="shared" si="1"/>
        <v>1</v>
      </c>
      <c r="I65" t="str">
        <f>IF(FT!B65&lt;&gt;"",FT!E65,"")</f>
        <v>1 [25.589607]</v>
      </c>
      <c r="J65">
        <f>IF(FT!B65&lt;&gt;"",FT!C65,"")</f>
        <v>25.589600000000001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2.9603200000000003</v>
      </c>
      <c r="G66" s="61">
        <f>IF(FT!B66&lt;&gt;"",FT!B66*100,"")</f>
        <v>40.590399999999995</v>
      </c>
      <c r="H66" s="61">
        <f t="shared" si="1"/>
        <v>1</v>
      </c>
      <c r="I66" t="str">
        <f>IF(FT!B66&lt;&gt;"",FT!E66,"")</f>
        <v>1 [25.992480]</v>
      </c>
      <c r="J66">
        <f>IF(FT!B66&lt;&gt;"",FT!C66,"")</f>
        <v>25.9925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126591</v>
      </c>
      <c r="D67" s="61">
        <f>FH!B67*1</f>
        <v>126591</v>
      </c>
      <c r="E67">
        <f t="shared" si="3"/>
        <v>65</v>
      </c>
      <c r="F67" s="61">
        <f>IF(FT!A67&lt;&gt;"",FT!A67*10,"")</f>
        <v>2.94624</v>
      </c>
      <c r="G67" s="61">
        <f>IF(FT!B67&lt;&gt;"",FT!B67*100,"")</f>
        <v>40.589799999999997</v>
      </c>
      <c r="H67" s="61">
        <f t="shared" ref="H67:H130" si="9">(IF(F67&lt;&gt;"",1,""))</f>
        <v>1</v>
      </c>
      <c r="I67" t="str">
        <f>IF(FT!B67&lt;&gt;"",FT!E67,"")</f>
        <v>1 [26.400747]</v>
      </c>
      <c r="J67">
        <f>IF(FT!B67&lt;&gt;"",FT!C67,"")</f>
        <v>26.400700000000001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2.9335499999999999</v>
      </c>
      <c r="G68" s="61">
        <f>IF(FT!B68&lt;&gt;"",FT!B68*100,"")</f>
        <v>40.5199</v>
      </c>
      <c r="H68" s="61">
        <f t="shared" si="9"/>
        <v>1</v>
      </c>
      <c r="I68" t="str">
        <f>IF(FT!B68&lt;&gt;"",FT!E68,"")</f>
        <v>1 [26.808207]</v>
      </c>
      <c r="J68">
        <f>IF(FT!B68&lt;&gt;"",FT!C68,"")</f>
        <v>26.808199999999999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122244</v>
      </c>
      <c r="D69" s="61">
        <f>FH!B69*1</f>
        <v>122244</v>
      </c>
      <c r="E69">
        <f t="shared" si="11"/>
        <v>67</v>
      </c>
      <c r="F69" s="61">
        <f>IF(FT!A69&lt;&gt;"",FT!A69*10,"")</f>
        <v>2.9179300000000001</v>
      </c>
      <c r="G69" s="61">
        <f>IF(FT!B69&lt;&gt;"",FT!B69*100,"")</f>
        <v>40.4756</v>
      </c>
      <c r="H69" s="61">
        <f t="shared" si="9"/>
        <v>1</v>
      </c>
      <c r="I69" t="str">
        <f>IF(FT!B69&lt;&gt;"",FT!E69,"")</f>
        <v>1 [27.215203]</v>
      </c>
      <c r="J69">
        <f>IF(FT!B69&lt;&gt;"",FT!C69,"")</f>
        <v>27.215199999999999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2.9006599999999998</v>
      </c>
      <c r="G70" s="61">
        <f>IF(FT!B70&lt;&gt;"",FT!B70*100,"")</f>
        <v>40.4848</v>
      </c>
      <c r="H70" s="61">
        <f t="shared" si="9"/>
        <v>1</v>
      </c>
      <c r="I70" t="str">
        <f>IF(FT!B70&lt;&gt;"",FT!E70,"")</f>
        <v>1 [27.622099]</v>
      </c>
      <c r="J70">
        <f>IF(FT!B70&lt;&gt;"",FT!C70,"")</f>
        <v>27.6221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2.8836599999999999</v>
      </c>
      <c r="G71" s="61">
        <f>IF(FT!B71&lt;&gt;"",FT!B71*100,"")</f>
        <v>40.490099999999998</v>
      </c>
      <c r="H71" s="61">
        <f t="shared" si="9"/>
        <v>1</v>
      </c>
      <c r="I71" t="str">
        <f>IF(FT!B71&lt;&gt;"",FT!E71,"")</f>
        <v>1 [28.027001]</v>
      </c>
      <c r="J71">
        <f>IF(FT!B71&lt;&gt;"",FT!C71,"")</f>
        <v>28.027000000000001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115523</v>
      </c>
      <c r="D72" s="61">
        <f>FH!B72*1</f>
        <v>115523</v>
      </c>
      <c r="E72">
        <f t="shared" si="11"/>
        <v>70</v>
      </c>
      <c r="F72" s="61">
        <f>IF(FT!A72&lt;&gt;"",FT!A72*10,"")</f>
        <v>2.8699999999999997</v>
      </c>
      <c r="G72" s="61">
        <f>IF(FT!B72&lt;&gt;"",FT!B72*100,"")</f>
        <v>40.383000000000003</v>
      </c>
      <c r="H72" s="61">
        <f t="shared" si="9"/>
        <v>1</v>
      </c>
      <c r="I72" t="str">
        <f>IF(FT!B72&lt;&gt;"",FT!E72,"")</f>
        <v>1 [28.433620]</v>
      </c>
      <c r="J72">
        <f>IF(FT!B72&lt;&gt;"",FT!C72,"")</f>
        <v>28.433599999999998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2.8603000000000001</v>
      </c>
      <c r="G73" s="61">
        <f>IF(FT!B73&lt;&gt;"",FT!B73*100,"")</f>
        <v>40.037800000000004</v>
      </c>
      <c r="H73" s="61">
        <f t="shared" si="9"/>
        <v>1</v>
      </c>
      <c r="I73" t="str">
        <f>IF(FT!B73&lt;&gt;"",FT!E73,"")</f>
        <v>1 [28.840848]</v>
      </c>
      <c r="J73">
        <f>IF(FT!B73&lt;&gt;"",FT!C73,"")</f>
        <v>28.840800000000002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2.8561300000000003</v>
      </c>
      <c r="G74" s="61">
        <f>IF(FT!B74&lt;&gt;"",FT!B74*100,"")</f>
        <v>39.499699999999997</v>
      </c>
      <c r="H74" s="61">
        <f t="shared" si="9"/>
        <v>1</v>
      </c>
      <c r="I74" t="str">
        <f>IF(FT!B74&lt;&gt;"",FT!E74,"")</f>
        <v>1 [29.246839]</v>
      </c>
      <c r="J74">
        <f>IF(FT!B74&lt;&gt;"",FT!C74,"")</f>
        <v>29.2468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116220</v>
      </c>
      <c r="D75" s="61">
        <f>FH!B75*1</f>
        <v>116220</v>
      </c>
      <c r="E75">
        <f t="shared" si="11"/>
        <v>73</v>
      </c>
      <c r="F75" s="61">
        <f>IF(FT!A75&lt;&gt;"",FT!A75*10,"")</f>
        <v>2.85547</v>
      </c>
      <c r="G75" s="61">
        <f>IF(FT!B75&lt;&gt;"",FT!B75*100,"")</f>
        <v>38.911499999999997</v>
      </c>
      <c r="H75" s="61">
        <f t="shared" si="9"/>
        <v>1</v>
      </c>
      <c r="I75" t="str">
        <f>IF(FT!B75&lt;&gt;"",FT!E75,"")</f>
        <v>1 [29.652781]</v>
      </c>
      <c r="J75">
        <f>IF(FT!B75&lt;&gt;"",FT!C75,"")</f>
        <v>29.652799999999999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2.8545799999999999</v>
      </c>
      <c r="G76" s="61">
        <f>IF(FT!B76&lt;&gt;"",FT!B76*100,"")</f>
        <v>38.431199999999997</v>
      </c>
      <c r="H76" s="61">
        <f t="shared" si="9"/>
        <v>1</v>
      </c>
      <c r="I76" t="str">
        <f>IF(FT!B76&lt;&gt;"",FT!E76,"")</f>
        <v>2 [30.057620]</v>
      </c>
      <c r="J76">
        <f>IF(FT!B76&lt;&gt;"",FT!C76,"")</f>
        <v>30.057600000000001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112883</v>
      </c>
      <c r="D77" s="61">
        <f>FH!B77*1</f>
        <v>112883</v>
      </c>
      <c r="E77">
        <f t="shared" si="11"/>
        <v>75</v>
      </c>
      <c r="F77" s="61">
        <f>IF(FT!A77&lt;&gt;"",FT!A77*10,"")</f>
        <v>2.8534300000000004</v>
      </c>
      <c r="G77" s="61">
        <f>IF(FT!B77&lt;&gt;"",FT!B77*100,"")</f>
        <v>38.116799999999998</v>
      </c>
      <c r="H77" s="61">
        <f t="shared" si="9"/>
        <v>1</v>
      </c>
      <c r="I77" t="str">
        <f>IF(FT!B77&lt;&gt;"",FT!E77,"")</f>
        <v>2 [30.642314]</v>
      </c>
      <c r="J77">
        <f>IF(FT!B77&lt;&gt;"",FT!C77,"")</f>
        <v>30.642299999999999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2.8488799999999999</v>
      </c>
      <c r="G78" s="61">
        <f>IF(FT!B78&lt;&gt;"",FT!B78*100,"")</f>
        <v>37.936999999999998</v>
      </c>
      <c r="H78" s="61">
        <f t="shared" si="9"/>
        <v>1</v>
      </c>
      <c r="I78" t="str">
        <f>IF(FT!B78&lt;&gt;"",FT!E78,"")</f>
        <v>2 [31.020977]</v>
      </c>
      <c r="J78">
        <f>IF(FT!B78&lt;&gt;"",FT!C78,"")</f>
        <v>31.021000000000001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2.8426200000000001</v>
      </c>
      <c r="G79" s="61">
        <f>IF(FT!B79&lt;&gt;"",FT!B79*100,"")</f>
        <v>37.784199999999998</v>
      </c>
      <c r="H79" s="61">
        <f t="shared" si="9"/>
        <v>1</v>
      </c>
      <c r="I79" t="str">
        <f>IF(FT!B79&lt;&gt;"",FT!E79,"")</f>
        <v>2 [31.389293]</v>
      </c>
      <c r="J79">
        <f>IF(FT!B79&lt;&gt;"",FT!C79,"")</f>
        <v>31.389299999999999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113711</v>
      </c>
      <c r="D80" s="61">
        <f>FH!B80*1</f>
        <v>113711</v>
      </c>
      <c r="E80">
        <f t="shared" si="11"/>
        <v>78</v>
      </c>
      <c r="F80" s="61">
        <f>IF(FT!A80&lt;&gt;"",FT!A80*10,"")</f>
        <v>2.8351999999999999</v>
      </c>
      <c r="G80" s="61">
        <f>IF(FT!B80&lt;&gt;"",FT!B80*100,"")</f>
        <v>37.801400000000001</v>
      </c>
      <c r="H80" s="61">
        <f t="shared" si="9"/>
        <v>1</v>
      </c>
      <c r="I80" t="str">
        <f>IF(FT!B80&lt;&gt;"",FT!E80,"")</f>
        <v>2 [31.763109]</v>
      </c>
      <c r="J80">
        <f>IF(FT!B80&lt;&gt;"",FT!C80,"")</f>
        <v>31.763100000000001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2.8269899999999999</v>
      </c>
      <c r="G81" s="61">
        <f>IF(FT!B81&lt;&gt;"",FT!B81*100,"")</f>
        <v>37.920300000000005</v>
      </c>
      <c r="H81" s="61">
        <f t="shared" si="9"/>
        <v>1</v>
      </c>
      <c r="I81" t="str">
        <f>IF(FT!B81&lt;&gt;"",FT!E81,"")</f>
        <v>2 [32.157138]</v>
      </c>
      <c r="J81">
        <f>IF(FT!B81&lt;&gt;"",FT!C81,"")</f>
        <v>32.1571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124500</v>
      </c>
      <c r="D82" s="61">
        <f>FH!B82*1</f>
        <v>124500</v>
      </c>
      <c r="E82">
        <f t="shared" si="11"/>
        <v>80</v>
      </c>
      <c r="F82" s="61">
        <f>IF(FT!A82&lt;&gt;"",FT!A82*10,"")</f>
        <v>2.8196599999999998</v>
      </c>
      <c r="G82" s="61">
        <f>IF(FT!B82&lt;&gt;"",FT!B82*100,"")</f>
        <v>38.058799999999998</v>
      </c>
      <c r="H82" s="61">
        <f t="shared" si="9"/>
        <v>1</v>
      </c>
      <c r="I82" t="str">
        <f>IF(FT!B82&lt;&gt;"",FT!E82,"")</f>
        <v>2 [32.560094]</v>
      </c>
      <c r="J82">
        <f>IF(FT!B82&lt;&gt;"",FT!C82,"")</f>
        <v>32.560099999999998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2.8144200000000001</v>
      </c>
      <c r="G83" s="61">
        <f>IF(FT!B83&lt;&gt;"",FT!B83*100,"")</f>
        <v>38.199199999999998</v>
      </c>
      <c r="H83" s="61">
        <f t="shared" si="9"/>
        <v>1</v>
      </c>
      <c r="I83" t="str">
        <f>IF(FT!B83&lt;&gt;"",FT!E83,"")</f>
        <v>2 [32.961917]</v>
      </c>
      <c r="J83">
        <f>IF(FT!B83&lt;&gt;"",FT!C83,"")</f>
        <v>32.9619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2.8149500000000001</v>
      </c>
      <c r="G84" s="61">
        <f>IF(FT!B84&lt;&gt;"",FT!B84*100,"")</f>
        <v>38.324200000000005</v>
      </c>
      <c r="H84" s="61">
        <f t="shared" si="9"/>
        <v>1</v>
      </c>
      <c r="I84" t="str">
        <f>IF(FT!B84&lt;&gt;"",FT!E84,"")</f>
        <v>2 [33.371882]</v>
      </c>
      <c r="J84">
        <f>IF(FT!B84&lt;&gt;"",FT!C84,"")</f>
        <v>33.371899999999997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135064</v>
      </c>
      <c r="D85" s="61">
        <f>FH!B85*1</f>
        <v>135064</v>
      </c>
      <c r="E85">
        <f t="shared" si="11"/>
        <v>83</v>
      </c>
      <c r="F85" s="61">
        <f>IF(FT!A85&lt;&gt;"",FT!A85*10,"")</f>
        <v>2.8168199999999999</v>
      </c>
      <c r="G85" s="61">
        <f>IF(FT!B85&lt;&gt;"",FT!B85*100,"")</f>
        <v>38.453600000000002</v>
      </c>
      <c r="H85" s="61">
        <f t="shared" si="9"/>
        <v>1</v>
      </c>
      <c r="I85" t="str">
        <f>IF(FT!B85&lt;&gt;"",FT!E85,"")</f>
        <v>2 [33.775844]</v>
      </c>
      <c r="J85">
        <f>IF(FT!B85&lt;&gt;"",FT!C85,"")</f>
        <v>33.775799999999997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2.8167399999999998</v>
      </c>
      <c r="G86" s="61">
        <f>IF(FT!B86&lt;&gt;"",FT!B86*100,"")</f>
        <v>38.654800000000002</v>
      </c>
      <c r="H86" s="61">
        <f t="shared" si="9"/>
        <v>1</v>
      </c>
      <c r="I86" t="str">
        <f>IF(FT!B86&lt;&gt;"",FT!E86,"")</f>
        <v>2 [34.181735]</v>
      </c>
      <c r="J86">
        <f>IF(FT!B86&lt;&gt;"",FT!C86,"")</f>
        <v>34.181699999999999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2.8151599999999997</v>
      </c>
      <c r="G87" s="61">
        <f>IF(FT!B87&lt;&gt;"",FT!B87*100,"")</f>
        <v>38.872</v>
      </c>
      <c r="H87" s="61">
        <f t="shared" si="9"/>
        <v>1</v>
      </c>
      <c r="I87" t="str">
        <f>IF(FT!B87&lt;&gt;"",FT!E87,"")</f>
        <v>2 [34.588692]</v>
      </c>
      <c r="J87">
        <f>IF(FT!B87&lt;&gt;"",FT!C87,"")</f>
        <v>34.588700000000003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140266</v>
      </c>
      <c r="D88" s="61">
        <f>FH!B88*1</f>
        <v>140266</v>
      </c>
      <c r="E88">
        <f t="shared" si="11"/>
        <v>86</v>
      </c>
      <c r="F88" s="61">
        <f>IF(FT!A88&lt;&gt;"",FT!A88*10,"")</f>
        <v>2.8116000000000003</v>
      </c>
      <c r="G88" s="61">
        <f>IF(FT!B88&lt;&gt;"",FT!B88*100,"")</f>
        <v>39.149799999999999</v>
      </c>
      <c r="H88" s="61">
        <f t="shared" si="9"/>
        <v>1</v>
      </c>
      <c r="I88" t="str">
        <f>IF(FT!B88&lt;&gt;"",FT!E88,"")</f>
        <v>2 [34.997417]</v>
      </c>
      <c r="J88">
        <f>IF(FT!B88&lt;&gt;"",FT!C88,"")</f>
        <v>34.997399999999999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2.8050899999999999</v>
      </c>
      <c r="G89" s="61">
        <f>IF(FT!B89&lt;&gt;"",FT!B89*100,"")</f>
        <v>39.505800000000001</v>
      </c>
      <c r="H89" s="61">
        <f t="shared" si="9"/>
        <v>1</v>
      </c>
      <c r="I89" t="str">
        <f>IF(FT!B89&lt;&gt;"",FT!E89,"")</f>
        <v>2 [35.401403]</v>
      </c>
      <c r="J89">
        <f>IF(FT!B89&lt;&gt;"",FT!C89,"")</f>
        <v>35.401400000000002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140546</v>
      </c>
      <c r="D90" s="61">
        <f>FH!B90*1</f>
        <v>140546</v>
      </c>
      <c r="E90">
        <f t="shared" si="11"/>
        <v>88</v>
      </c>
      <c r="F90" s="61">
        <f>IF(FT!A90&lt;&gt;"",FT!A90*10,"")</f>
        <v>2.79501</v>
      </c>
      <c r="G90" s="61">
        <f>IF(FT!B90&lt;&gt;"",FT!B90*100,"")</f>
        <v>40.000999999999998</v>
      </c>
      <c r="H90" s="61">
        <f t="shared" si="9"/>
        <v>1</v>
      </c>
      <c r="I90" t="str">
        <f>IF(FT!B90&lt;&gt;"",FT!E90,"")</f>
        <v>2 [35.809440]</v>
      </c>
      <c r="J90">
        <f>IF(FT!B90&lt;&gt;"",FT!C90,"")</f>
        <v>35.809399999999997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2.7859299999999996</v>
      </c>
      <c r="G91" s="61">
        <f>IF(FT!B91&lt;&gt;"",FT!B91*100,"")</f>
        <v>40.523600000000002</v>
      </c>
      <c r="H91" s="61">
        <f t="shared" si="9"/>
        <v>1</v>
      </c>
      <c r="I91" t="str">
        <f>IF(FT!B91&lt;&gt;"",FT!E91,"")</f>
        <v>2 [36.213224]</v>
      </c>
      <c r="J91">
        <f>IF(FT!B91&lt;&gt;"",FT!C91,"")</f>
        <v>36.213200000000001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2.7741199999999999</v>
      </c>
      <c r="G92" s="61">
        <f>IF(FT!B92&lt;&gt;"",FT!B92*100,"")</f>
        <v>41.108600000000003</v>
      </c>
      <c r="H92" s="61">
        <f t="shared" si="9"/>
        <v>1</v>
      </c>
      <c r="I92" t="str">
        <f>IF(FT!B92&lt;&gt;"",FT!E92,"")</f>
        <v>2 [36.623078]</v>
      </c>
      <c r="J92">
        <f>IF(FT!B92&lt;&gt;"",FT!C92,"")</f>
        <v>36.623100000000001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147088</v>
      </c>
      <c r="D93" s="61">
        <f>FH!B93*1</f>
        <v>147088</v>
      </c>
      <c r="E93">
        <f t="shared" si="11"/>
        <v>91</v>
      </c>
      <c r="F93" s="61">
        <f>IF(FT!A93&lt;&gt;"",FT!A93*10,"")</f>
        <v>2.7572700000000001</v>
      </c>
      <c r="G93" s="61">
        <f>IF(FT!B93&lt;&gt;"",FT!B93*100,"")</f>
        <v>41.740200000000002</v>
      </c>
      <c r="H93" s="61">
        <f t="shared" si="9"/>
        <v>1</v>
      </c>
      <c r="I93" t="str">
        <f>IF(FT!B93&lt;&gt;"",FT!E93,"")</f>
        <v>2 [37.030022]</v>
      </c>
      <c r="J93">
        <f>IF(FT!B93&lt;&gt;"",FT!C93,"")</f>
        <v>37.03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2.7369599999999998</v>
      </c>
      <c r="G94" s="61">
        <f>IF(FT!B94&lt;&gt;"",FT!B94*100,"")</f>
        <v>42.392099999999999</v>
      </c>
      <c r="H94" s="61">
        <f t="shared" si="9"/>
        <v>1</v>
      </c>
      <c r="I94" t="str">
        <f>IF(FT!B94&lt;&gt;"",FT!E94,"")</f>
        <v>2 [37.432983]</v>
      </c>
      <c r="J94">
        <f>IF(FT!B94&lt;&gt;"",FT!C94,"")</f>
        <v>37.433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144735</v>
      </c>
      <c r="D95" s="61">
        <f>FH!B95*1</f>
        <v>144735</v>
      </c>
      <c r="E95">
        <f t="shared" si="11"/>
        <v>93</v>
      </c>
      <c r="F95" s="61">
        <f>IF(FT!A95&lt;&gt;"",FT!A95*10,"")</f>
        <v>2.7163900000000001</v>
      </c>
      <c r="G95" s="61">
        <f>IF(FT!B95&lt;&gt;"",FT!B95*100,"")</f>
        <v>43.063800000000001</v>
      </c>
      <c r="H95" s="61">
        <f t="shared" si="9"/>
        <v>1</v>
      </c>
      <c r="I95" t="str">
        <f>IF(FT!B95&lt;&gt;"",FT!E95,"")</f>
        <v>2 [37.842909]</v>
      </c>
      <c r="J95">
        <f>IF(FT!B95&lt;&gt;"",FT!C95,"")</f>
        <v>37.8429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2.6966400000000004</v>
      </c>
      <c r="G96" s="61">
        <f>IF(FT!B96&lt;&gt;"",FT!B96*100,"")</f>
        <v>43.855600000000003</v>
      </c>
      <c r="H96" s="61">
        <f t="shared" si="9"/>
        <v>1</v>
      </c>
      <c r="I96" t="str">
        <f>IF(FT!B96&lt;&gt;"",FT!E96,"")</f>
        <v>2 [38.249732]</v>
      </c>
      <c r="J96">
        <f>IF(FT!B96&lt;&gt;"",FT!C96,"")</f>
        <v>38.249699999999997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2.6814200000000001</v>
      </c>
      <c r="G97" s="61">
        <f>IF(FT!B97&lt;&gt;"",FT!B97*100,"")</f>
        <v>44.799099999999996</v>
      </c>
      <c r="H97" s="61">
        <f t="shared" si="9"/>
        <v>1</v>
      </c>
      <c r="I97" t="str">
        <f>IF(FT!B97&lt;&gt;"",FT!E97,"")</f>
        <v>2 [38.659579]</v>
      </c>
      <c r="J97">
        <f>IF(FT!B97&lt;&gt;"",FT!C97,"")</f>
        <v>38.659599999999998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137747</v>
      </c>
      <c r="D98" s="61">
        <f>FH!B98*1</f>
        <v>137747</v>
      </c>
      <c r="E98">
        <f t="shared" si="11"/>
        <v>96</v>
      </c>
      <c r="F98" s="61">
        <f>IF(FT!A98&lt;&gt;"",FT!A98*10,"")</f>
        <v>2.6674899999999999</v>
      </c>
      <c r="G98" s="61">
        <f>IF(FT!B98&lt;&gt;"",FT!B98*100,"")</f>
        <v>45.924900000000001</v>
      </c>
      <c r="H98" s="61">
        <f t="shared" si="9"/>
        <v>1</v>
      </c>
      <c r="I98" t="str">
        <f>IF(FT!B98&lt;&gt;"",FT!E98,"")</f>
        <v>2 [39.059622]</v>
      </c>
      <c r="J98">
        <f>IF(FT!B98&lt;&gt;"",FT!C98,"")</f>
        <v>39.059600000000003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2.6576499999999998</v>
      </c>
      <c r="G99" s="61">
        <f>IF(FT!B99&lt;&gt;"",FT!B99*100,"")</f>
        <v>47.020600000000002</v>
      </c>
      <c r="H99" s="61">
        <f t="shared" si="9"/>
        <v>1</v>
      </c>
      <c r="I99" t="str">
        <f>IF(FT!B99&lt;&gt;"",FT!E99,"")</f>
        <v>2 [39.463892]</v>
      </c>
      <c r="J99">
        <f>IF(FT!B99&lt;&gt;"",FT!C99,"")</f>
        <v>39.463900000000002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128896</v>
      </c>
      <c r="D100" s="61">
        <f>FH!B100*1</f>
        <v>128896</v>
      </c>
      <c r="E100">
        <f t="shared" si="11"/>
        <v>98</v>
      </c>
      <c r="F100" s="61">
        <f>IF(FT!A100&lt;&gt;"",FT!A100*10,"")</f>
        <v>2.6498200000000001</v>
      </c>
      <c r="G100" s="61">
        <f>IF(FT!B100&lt;&gt;"",FT!B100*100,"")</f>
        <v>47.967700000000001</v>
      </c>
      <c r="H100" s="61">
        <f t="shared" si="9"/>
        <v>1</v>
      </c>
      <c r="I100" t="str">
        <f>IF(FT!B100&lt;&gt;"",FT!E100,"")</f>
        <v>2 [39.870960]</v>
      </c>
      <c r="J100">
        <f>IF(FT!B100&lt;&gt;"",FT!C100,"")</f>
        <v>39.871000000000002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2.64208</v>
      </c>
      <c r="G101" s="61">
        <f>IF(FT!B101&lt;&gt;"",FT!B101*100,"")</f>
        <v>48.787000000000006</v>
      </c>
      <c r="H101" s="61">
        <f t="shared" si="9"/>
        <v>1</v>
      </c>
      <c r="I101" t="str">
        <f>IF(FT!B101&lt;&gt;"",FT!E101,"")</f>
        <v>2 [40.281295]</v>
      </c>
      <c r="J101">
        <f>IF(FT!B101&lt;&gt;"",FT!C101,"")</f>
        <v>40.281300000000002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2.6354699999999998</v>
      </c>
      <c r="G102" s="61">
        <f>IF(FT!B102&lt;&gt;"",FT!B102*100,"")</f>
        <v>49.490400000000001</v>
      </c>
      <c r="H102" s="61">
        <f t="shared" si="9"/>
        <v>1</v>
      </c>
      <c r="I102" t="str">
        <f>IF(FT!B102&lt;&gt;"",FT!E102,"")</f>
        <v>2 [40.687256]</v>
      </c>
      <c r="J102">
        <f>IF(FT!B102&lt;&gt;"",FT!C102,"")</f>
        <v>40.6873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122539</v>
      </c>
      <c r="D103" s="61">
        <f>FH!B103*1</f>
        <v>122539</v>
      </c>
      <c r="E103">
        <f t="shared" si="11"/>
        <v>101</v>
      </c>
      <c r="F103" s="61">
        <f>IF(FT!A103&lt;&gt;"",FT!A103*10,"")</f>
        <v>2.6311600000000004</v>
      </c>
      <c r="G103" s="61">
        <f>IF(FT!B103&lt;&gt;"",FT!B103*100,"")</f>
        <v>50.121899999999997</v>
      </c>
      <c r="H103" s="61">
        <f t="shared" si="9"/>
        <v>1</v>
      </c>
      <c r="I103" t="str">
        <f>IF(FT!B103&lt;&gt;"",FT!E103,"")</f>
        <v>2 [41.093229]</v>
      </c>
      <c r="J103">
        <f>IF(FT!B103&lt;&gt;"",FT!C103,"")</f>
        <v>41.093200000000003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2.6271599999999999</v>
      </c>
      <c r="G104" s="61">
        <f>IF(FT!B104&lt;&gt;"",FT!B104*100,"")</f>
        <v>50.737900000000003</v>
      </c>
      <c r="H104" s="61">
        <f t="shared" si="9"/>
        <v>1</v>
      </c>
      <c r="I104" t="str">
        <f>IF(FT!B104&lt;&gt;"",FT!E104,"")</f>
        <v>2 [41.498109]</v>
      </c>
      <c r="J104">
        <f>IF(FT!B104&lt;&gt;"",FT!C104,"")</f>
        <v>41.498100000000001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2.6245000000000003</v>
      </c>
      <c r="G105" s="61">
        <f>IF(FT!B105&lt;&gt;"",FT!B105*100,"")</f>
        <v>51.173699999999997</v>
      </c>
      <c r="H105" s="61">
        <f t="shared" si="9"/>
        <v>1</v>
      </c>
      <c r="I105" t="str">
        <f>IF(FT!B105&lt;&gt;"",FT!E105,"")</f>
        <v>2 [41.901433]</v>
      </c>
      <c r="J105">
        <f>IF(FT!B105&lt;&gt;"",FT!C105,"")</f>
        <v>41.901400000000002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106336</v>
      </c>
      <c r="D106" s="61">
        <f>FH!B106*1</f>
        <v>106336</v>
      </c>
      <c r="E106">
        <f t="shared" si="11"/>
        <v>104</v>
      </c>
      <c r="F106" s="61">
        <f>IF(FT!A106&lt;&gt;"",FT!A106*10,"")</f>
        <v>2.6254599999999999</v>
      </c>
      <c r="G106" s="61">
        <f>IF(FT!B106&lt;&gt;"",FT!B106*100,"")</f>
        <v>51.3718</v>
      </c>
      <c r="H106" s="61">
        <f t="shared" si="9"/>
        <v>1</v>
      </c>
      <c r="I106" t="str">
        <f>IF(FT!B106&lt;&gt;"",FT!E106,"")</f>
        <v>2 [42.308493]</v>
      </c>
      <c r="J106">
        <f>IF(FT!B106&lt;&gt;"",FT!C106,"")</f>
        <v>42.308500000000002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2.63239</v>
      </c>
      <c r="G107" s="61">
        <f>IF(FT!B107&lt;&gt;"",FT!B107*100,"")</f>
        <v>51.3645</v>
      </c>
      <c r="H107" s="61">
        <f t="shared" si="9"/>
        <v>1</v>
      </c>
      <c r="I107" t="str">
        <f>IF(FT!B107&lt;&gt;"",FT!E107,"")</f>
        <v>2 [42.712817]</v>
      </c>
      <c r="J107">
        <f>IF(FT!B107&lt;&gt;"",FT!C107,"")</f>
        <v>42.712800000000001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105359</v>
      </c>
      <c r="D108" s="61">
        <f>FH!B108*1</f>
        <v>105359</v>
      </c>
      <c r="E108">
        <f t="shared" si="11"/>
        <v>106</v>
      </c>
      <c r="F108" s="61">
        <f>IF(FT!A108&lt;&gt;"",FT!A108*10,"")</f>
        <v>2.64377</v>
      </c>
      <c r="G108" s="61">
        <f>IF(FT!B108&lt;&gt;"",FT!B108*100,"")</f>
        <v>51.228300000000004</v>
      </c>
      <c r="H108" s="61">
        <f t="shared" si="9"/>
        <v>1</v>
      </c>
      <c r="I108" t="str">
        <f>IF(FT!B108&lt;&gt;"",FT!E108,"")</f>
        <v>2 [43.126780]</v>
      </c>
      <c r="J108">
        <f>IF(FT!B108&lt;&gt;"",FT!C108,"")</f>
        <v>43.126800000000003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2.65523</v>
      </c>
      <c r="G109" s="61">
        <f>IF(FT!B109&lt;&gt;"",FT!B109*100,"")</f>
        <v>51.066900000000004</v>
      </c>
      <c r="H109" s="61">
        <f t="shared" si="9"/>
        <v>1</v>
      </c>
      <c r="I109" t="str">
        <f>IF(FT!B109&lt;&gt;"",FT!E109,"")</f>
        <v>2 [43.525660]</v>
      </c>
      <c r="J109">
        <f>IF(FT!B109&lt;&gt;"",FT!C109,"")</f>
        <v>43.525700000000001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2.6664500000000002</v>
      </c>
      <c r="G110" s="61">
        <f>IF(FT!B110&lt;&gt;"",FT!B110*100,"")</f>
        <v>50.897999999999996</v>
      </c>
      <c r="H110" s="61">
        <f t="shared" si="9"/>
        <v>1</v>
      </c>
      <c r="I110" t="str">
        <f>IF(FT!B110&lt;&gt;"",FT!E110,"")</f>
        <v>2 [43.937776]</v>
      </c>
      <c r="J110">
        <f>IF(FT!B110&lt;&gt;"",FT!C110,"")</f>
        <v>43.937800000000003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97830</v>
      </c>
      <c r="D111" s="61">
        <f>FH!B111*1</f>
        <v>97830</v>
      </c>
      <c r="E111">
        <f t="shared" si="11"/>
        <v>109</v>
      </c>
      <c r="F111" s="61">
        <f>IF(FT!A111&lt;&gt;"",FT!A111*10,"")</f>
        <v>2.6789899999999998</v>
      </c>
      <c r="G111" s="61">
        <f>IF(FT!B111&lt;&gt;"",FT!B111*100,"")</f>
        <v>50.679099999999998</v>
      </c>
      <c r="H111" s="61">
        <f t="shared" si="9"/>
        <v>1</v>
      </c>
      <c r="I111" t="str">
        <f>IF(FT!B111&lt;&gt;"",FT!E111,"")</f>
        <v>2 [44.340933]</v>
      </c>
      <c r="J111">
        <f>IF(FT!B111&lt;&gt;"",FT!C111,"")</f>
        <v>44.340899999999998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2.6941199999999998</v>
      </c>
      <c r="G112" s="61">
        <f>IF(FT!B112&lt;&gt;"",FT!B112*100,"")</f>
        <v>50.359900000000003</v>
      </c>
      <c r="H112" s="61">
        <f t="shared" si="9"/>
        <v>1</v>
      </c>
      <c r="I112" t="str">
        <f>IF(FT!B112&lt;&gt;"",FT!E112,"")</f>
        <v>2 [44.746517]</v>
      </c>
      <c r="J112">
        <f>IF(FT!B112&lt;&gt;"",FT!C112,"")</f>
        <v>44.746499999999997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90142</v>
      </c>
      <c r="D113" s="61">
        <f>FH!B113*1</f>
        <v>90142</v>
      </c>
      <c r="E113">
        <f t="shared" si="11"/>
        <v>111</v>
      </c>
      <c r="F113" s="61">
        <f>IF(FT!A113&lt;&gt;"",FT!A113*10,"")</f>
        <v>2.7095500000000001</v>
      </c>
      <c r="G113" s="61">
        <f>IF(FT!B113&lt;&gt;"",FT!B113*100,"")</f>
        <v>50.0246</v>
      </c>
      <c r="H113" s="61">
        <f t="shared" si="9"/>
        <v>1</v>
      </c>
      <c r="I113" t="str">
        <f>IF(FT!B113&lt;&gt;"",FT!E113,"")</f>
        <v>2 [45.153699]</v>
      </c>
      <c r="J113">
        <f>IF(FT!B113&lt;&gt;"",FT!C113,"")</f>
        <v>45.153700000000001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2.7237899999999997</v>
      </c>
      <c r="G114" s="61">
        <f>IF(FT!B114&lt;&gt;"",FT!B114*100,"")</f>
        <v>49.6952</v>
      </c>
      <c r="H114" s="61">
        <f t="shared" si="9"/>
        <v>1</v>
      </c>
      <c r="I114" t="str">
        <f>IF(FT!B114&lt;&gt;"",FT!E114,"")</f>
        <v>2 [45.557231]</v>
      </c>
      <c r="J114">
        <f>IF(FT!B114&lt;&gt;"",FT!C114,"")</f>
        <v>45.557200000000002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2.7383600000000001</v>
      </c>
      <c r="G115" s="61">
        <f>IF(FT!B115&lt;&gt;"",FT!B115*100,"")</f>
        <v>49.336600000000004</v>
      </c>
      <c r="H115" s="61">
        <f t="shared" si="9"/>
        <v>1</v>
      </c>
      <c r="I115" t="str">
        <f>IF(FT!B115&lt;&gt;"",FT!E115,"")</f>
        <v>2 [45.962133]</v>
      </c>
      <c r="J115">
        <f>IF(FT!B115&lt;&gt;"",FT!C115,"")</f>
        <v>45.9621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87043</v>
      </c>
      <c r="D116" s="61">
        <f>FH!B116*1</f>
        <v>87043</v>
      </c>
      <c r="E116">
        <f t="shared" si="11"/>
        <v>114</v>
      </c>
      <c r="F116" s="61">
        <f>IF(FT!A116&lt;&gt;"",FT!A116*10,"")</f>
        <v>2.7535700000000003</v>
      </c>
      <c r="G116" s="61">
        <f>IF(FT!B116&lt;&gt;"",FT!B116*100,"")</f>
        <v>48.953400000000002</v>
      </c>
      <c r="H116" s="61">
        <f t="shared" si="9"/>
        <v>1</v>
      </c>
      <c r="I116" t="str">
        <f>IF(FT!B116&lt;&gt;"",FT!E116,"")</f>
        <v>2 [46.372027]</v>
      </c>
      <c r="J116">
        <f>IF(FT!B116&lt;&gt;"",FT!C116,"")</f>
        <v>46.372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2.7712700000000003</v>
      </c>
      <c r="G117" s="61">
        <f>IF(FT!B117&lt;&gt;"",FT!B117*100,"")</f>
        <v>48.540399999999998</v>
      </c>
      <c r="H117" s="61">
        <f t="shared" si="9"/>
        <v>1</v>
      </c>
      <c r="I117" t="str">
        <f>IF(FT!B117&lt;&gt;"",FT!E117,"")</f>
        <v>2 [46.777038]</v>
      </c>
      <c r="J117">
        <f>IF(FT!B117&lt;&gt;"",FT!C117,"")</f>
        <v>46.777000000000001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72929</v>
      </c>
      <c r="D118" s="61">
        <f>FH!B118*1</f>
        <v>72929</v>
      </c>
      <c r="E118">
        <f t="shared" si="11"/>
        <v>116</v>
      </c>
      <c r="F118" s="61">
        <f>IF(FT!A118&lt;&gt;"",FT!A118*10,"")</f>
        <v>2.79582</v>
      </c>
      <c r="G118" s="61">
        <f>IF(FT!B118&lt;&gt;"",FT!B118*100,"")</f>
        <v>48.063699999999997</v>
      </c>
      <c r="H118" s="61">
        <f t="shared" si="9"/>
        <v>1</v>
      </c>
      <c r="I118" t="str">
        <f>IF(FT!B118&lt;&gt;"",FT!E118,"")</f>
        <v>2 [47.184200]</v>
      </c>
      <c r="J118">
        <f>IF(FT!B118&lt;&gt;"",FT!C118,"")</f>
        <v>47.184199999999997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2.8255699999999999</v>
      </c>
      <c r="G119" s="61">
        <f>IF(FT!B119&lt;&gt;"",FT!B119*100,"")</f>
        <v>47.527099999999997</v>
      </c>
      <c r="H119" s="61">
        <f t="shared" si="9"/>
        <v>1</v>
      </c>
      <c r="I119" t="str">
        <f>IF(FT!B119&lt;&gt;"",FT!E119,"")</f>
        <v>2 [47.588827]</v>
      </c>
      <c r="J119">
        <f>IF(FT!B119&lt;&gt;"",FT!C119,"")</f>
        <v>47.588799999999999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2.8563200000000002</v>
      </c>
      <c r="G120" s="61">
        <f>IF(FT!B120&lt;&gt;"",FT!B120*100,"")</f>
        <v>46.993299999999998</v>
      </c>
      <c r="H120" s="61">
        <f t="shared" si="9"/>
        <v>1</v>
      </c>
      <c r="I120" t="str">
        <f>IF(FT!B120&lt;&gt;"",FT!E120,"")</f>
        <v>2 [47.994718]</v>
      </c>
      <c r="J120">
        <f>IF(FT!B120&lt;&gt;"",FT!C120,"")</f>
        <v>47.994700000000002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65839</v>
      </c>
      <c r="D121" s="61">
        <f>FH!B121*1</f>
        <v>65839</v>
      </c>
      <c r="E121">
        <f t="shared" si="11"/>
        <v>119</v>
      </c>
      <c r="F121" s="61">
        <f>IF(FT!A121&lt;&gt;"",FT!A121*10,"")</f>
        <v>2.8874599999999999</v>
      </c>
      <c r="G121" s="61">
        <f>IF(FT!B121&lt;&gt;"",FT!B121*100,"")</f>
        <v>46.4116</v>
      </c>
      <c r="H121" s="61">
        <f t="shared" si="9"/>
        <v>1</v>
      </c>
      <c r="I121" t="str">
        <f>IF(FT!B121&lt;&gt;"",FT!E121,"")</f>
        <v>2 [48.401012]</v>
      </c>
      <c r="J121">
        <f>IF(FT!B121&lt;&gt;"",FT!C121,"")</f>
        <v>48.401000000000003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2.9172500000000001</v>
      </c>
      <c r="G122" s="61">
        <f>IF(FT!B122&lt;&gt;"",FT!B122*100,"")</f>
        <v>45.698699999999995</v>
      </c>
      <c r="H122" s="61">
        <f t="shared" si="9"/>
        <v>1</v>
      </c>
      <c r="I122" t="str">
        <f>IF(FT!B122&lt;&gt;"",FT!E122,"")</f>
        <v>2 [48.807461]</v>
      </c>
      <c r="J122">
        <f>IF(FT!B122&lt;&gt;"",FT!C122,"")</f>
        <v>48.807499999999997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2.9472900000000002</v>
      </c>
      <c r="G123" s="61">
        <f>IF(FT!B123&lt;&gt;"",FT!B123*100,"")</f>
        <v>44.956400000000002</v>
      </c>
      <c r="H123" s="61">
        <f t="shared" si="9"/>
        <v>1</v>
      </c>
      <c r="I123" t="str">
        <f>IF(FT!B123&lt;&gt;"",FT!E123,"")</f>
        <v>2 [49.217697]</v>
      </c>
      <c r="J123">
        <f>IF(FT!B123&lt;&gt;"",FT!C123,"")</f>
        <v>49.217700000000001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62094</v>
      </c>
      <c r="D124" s="61">
        <f>FH!B124*1</f>
        <v>62094</v>
      </c>
      <c r="E124">
        <f t="shared" si="11"/>
        <v>122</v>
      </c>
      <c r="F124" s="61">
        <f>IF(FT!A124&lt;&gt;"",FT!A124*10,"")</f>
        <v>2.9770600000000003</v>
      </c>
      <c r="G124" s="61">
        <f>IF(FT!B124&lt;&gt;"",FT!B124*100,"")</f>
        <v>44.188200000000002</v>
      </c>
      <c r="H124" s="61">
        <f t="shared" si="9"/>
        <v>1</v>
      </c>
      <c r="I124" t="str">
        <f>IF(FT!B124&lt;&gt;"",FT!E124,"")</f>
        <v>2 [49.624323]</v>
      </c>
      <c r="J124">
        <f>IF(FT!B124&lt;&gt;"",FT!C124,"")</f>
        <v>49.624299999999998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3.0059900000000002</v>
      </c>
      <c r="G125" s="61">
        <f>IF(FT!B125&lt;&gt;"",FT!B125*100,"")</f>
        <v>43.499500000000005</v>
      </c>
      <c r="H125" s="61">
        <f t="shared" si="9"/>
        <v>1</v>
      </c>
      <c r="I125" t="str">
        <f>IF(FT!B125&lt;&gt;"",FT!E125,"")</f>
        <v>2 [50.027281]</v>
      </c>
      <c r="J125">
        <f>IF(FT!B125&lt;&gt;"",FT!C125,"")</f>
        <v>50.027299999999997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52805</v>
      </c>
      <c r="D126" s="61">
        <f>FH!B126*1</f>
        <v>52805</v>
      </c>
      <c r="E126">
        <f t="shared" si="11"/>
        <v>124</v>
      </c>
      <c r="F126" s="61">
        <f>IF(FT!A126&lt;&gt;"",FT!A126*10,"")</f>
        <v>3.0177999999999998</v>
      </c>
      <c r="G126" s="61">
        <f>IF(FT!B126&lt;&gt;"",FT!B126*100,"")</f>
        <v>43.242000000000004</v>
      </c>
      <c r="H126" s="61">
        <f t="shared" si="9"/>
        <v>1</v>
      </c>
      <c r="I126" t="str">
        <f>IF(FT!B126&lt;&gt;"",FT!E126,"")</f>
        <v>2 [50.432252]</v>
      </c>
      <c r="J126">
        <f>IF(FT!B126&lt;&gt;"",FT!C126,"")</f>
        <v>50.432299999999998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3.0314000000000001</v>
      </c>
      <c r="G127" s="61">
        <f>IF(FT!B127&lt;&gt;"",FT!B127*100,"")</f>
        <v>42.9574</v>
      </c>
      <c r="H127" s="61">
        <f t="shared" si="9"/>
        <v>1</v>
      </c>
      <c r="I127" t="str">
        <f>IF(FT!B127&lt;&gt;"",FT!E127,"")</f>
        <v>2 [50.837167]</v>
      </c>
      <c r="J127">
        <f>IF(FT!B127&lt;&gt;"",FT!C127,"")</f>
        <v>50.837200000000003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3.04617</v>
      </c>
      <c r="G128" s="61">
        <f>IF(FT!B128&lt;&gt;"",FT!B128*100,"")</f>
        <v>42.671399999999998</v>
      </c>
      <c r="H128" s="61">
        <f t="shared" si="9"/>
        <v>1</v>
      </c>
      <c r="I128" t="str">
        <f>IF(FT!B128&lt;&gt;"",FT!E128,"")</f>
        <v>2 [51.246330]</v>
      </c>
      <c r="J128">
        <f>IF(FT!B128&lt;&gt;"",FT!C128,"")</f>
        <v>51.246299999999998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46238</v>
      </c>
      <c r="D129" s="61">
        <f>FH!B129*1</f>
        <v>46238</v>
      </c>
      <c r="E129">
        <f t="shared" si="11"/>
        <v>127</v>
      </c>
      <c r="F129" s="61">
        <f>IF(FT!A129&lt;&gt;"",FT!A129*10,"")</f>
        <v>3.0627199999999997</v>
      </c>
      <c r="G129" s="61">
        <f>IF(FT!B129&lt;&gt;"",FT!B129*100,"")</f>
        <v>42.414000000000001</v>
      </c>
      <c r="H129" s="61">
        <f t="shared" si="9"/>
        <v>1</v>
      </c>
      <c r="I129" t="str">
        <f>IF(FT!B129&lt;&gt;"",FT!E129,"")</f>
        <v>2 [51.651245]</v>
      </c>
      <c r="J129">
        <f>IF(FT!B129&lt;&gt;"",FT!C129,"")</f>
        <v>51.651200000000003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3.0783800000000001</v>
      </c>
      <c r="G130" s="61">
        <f>IF(FT!B130&lt;&gt;"",FT!B130*100,"")</f>
        <v>42.179200000000002</v>
      </c>
      <c r="H130" s="61">
        <f t="shared" si="9"/>
        <v>1</v>
      </c>
      <c r="I130" t="str">
        <f>IF(FT!B130&lt;&gt;"",FT!E130,"")</f>
        <v>2 [52.056903]</v>
      </c>
      <c r="J130">
        <f>IF(FT!B130&lt;&gt;"",FT!C130,"")</f>
        <v>52.056899999999999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33066</v>
      </c>
      <c r="D131" s="61">
        <f>FH!B131*1</f>
        <v>33066</v>
      </c>
      <c r="E131">
        <f t="shared" si="11"/>
        <v>129</v>
      </c>
      <c r="F131" s="61">
        <f>IF(FT!A131&lt;&gt;"",FT!A131*10,"")</f>
        <v>3.09307</v>
      </c>
      <c r="G131" s="61">
        <f>IF(FT!B131&lt;&gt;"",FT!B131*100,"")</f>
        <v>41.962899999999998</v>
      </c>
      <c r="H131" s="61">
        <f t="shared" ref="H131:H194" si="13">(IF(F131&lt;&gt;"",1,""))</f>
        <v>1</v>
      </c>
      <c r="I131" t="str">
        <f>IF(FT!B131&lt;&gt;"",FT!E131,"")</f>
        <v>2 [52.465763]</v>
      </c>
      <c r="J131">
        <f>IF(FT!B131&lt;&gt;"",FT!C131,"")</f>
        <v>52.465800000000002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3.1049100000000003</v>
      </c>
      <c r="G132" s="61">
        <f>IF(FT!B132&lt;&gt;"",FT!B132*100,"")</f>
        <v>41.737900000000003</v>
      </c>
      <c r="H132" s="61">
        <f t="shared" si="13"/>
        <v>1</v>
      </c>
      <c r="I132" t="str">
        <f>IF(FT!B132&lt;&gt;"",FT!E132,"")</f>
        <v>2 [52.869707]</v>
      </c>
      <c r="J132">
        <f>IF(FT!B132&lt;&gt;"",FT!C132,"")</f>
        <v>52.869700000000002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3.1160300000000003</v>
      </c>
      <c r="G133" s="61">
        <f>IF(FT!B133&lt;&gt;"",FT!B133*100,"")</f>
        <v>41.500900000000001</v>
      </c>
      <c r="H133" s="61">
        <f t="shared" si="13"/>
        <v>1</v>
      </c>
      <c r="I133" t="str">
        <f>IF(FT!B133&lt;&gt;"",FT!E133,"")</f>
        <v>2 [53.276584]</v>
      </c>
      <c r="J133">
        <f>IF(FT!B133&lt;&gt;"",FT!C133,"")</f>
        <v>53.276600000000002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24662</v>
      </c>
      <c r="D134" s="61">
        <f>FH!B134*1</f>
        <v>24662</v>
      </c>
      <c r="E134">
        <f t="shared" si="15"/>
        <v>132</v>
      </c>
      <c r="F134" s="61">
        <f>IF(FT!A134&lt;&gt;"",FT!A134*10,"")</f>
        <v>3.1269200000000001</v>
      </c>
      <c r="G134" s="61">
        <f>IF(FT!B134&lt;&gt;"",FT!B134*100,"")</f>
        <v>41.247699999999995</v>
      </c>
      <c r="H134" s="61">
        <f t="shared" si="13"/>
        <v>1</v>
      </c>
      <c r="I134" t="str">
        <f>IF(FT!B134&lt;&gt;"",FT!E134,"")</f>
        <v>2 [53.687444]</v>
      </c>
      <c r="J134">
        <f>IF(FT!B134&lt;&gt;"",FT!C134,"")</f>
        <v>53.687399999999997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3.13889</v>
      </c>
      <c r="G135" s="61">
        <f>IF(FT!B135&lt;&gt;"",FT!B135*100,"")</f>
        <v>40.963200000000001</v>
      </c>
      <c r="H135" s="61">
        <f t="shared" si="13"/>
        <v>1</v>
      </c>
      <c r="I135" t="str">
        <f>IF(FT!B135&lt;&gt;"",FT!E135,"")</f>
        <v>2 [54.095386]</v>
      </c>
      <c r="J135">
        <f>IF(FT!B135&lt;&gt;"",FT!C135,"")</f>
        <v>54.095399999999998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19010</v>
      </c>
      <c r="D136" s="61">
        <f>FH!B136*1</f>
        <v>19010</v>
      </c>
      <c r="E136">
        <f t="shared" si="15"/>
        <v>134</v>
      </c>
      <c r="F136" s="61">
        <f>IF(FT!A136&lt;&gt;"",FT!A136*10,"")</f>
        <v>3.1519500000000003</v>
      </c>
      <c r="G136" s="61">
        <f>IF(FT!B136&lt;&gt;"",FT!B136*100,"")</f>
        <v>40.645900000000005</v>
      </c>
      <c r="H136" s="61">
        <f t="shared" si="13"/>
        <v>1</v>
      </c>
      <c r="I136" t="str">
        <f>IF(FT!B136&lt;&gt;"",FT!E136,"")</f>
        <v>2 [54.496429]</v>
      </c>
      <c r="J136">
        <f>IF(FT!B136&lt;&gt;"",FT!C136,"")</f>
        <v>54.496400000000001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3.16486</v>
      </c>
      <c r="G137" s="61">
        <f>IF(FT!B137&lt;&gt;"",FT!B137*100,"")</f>
        <v>40.374900000000004</v>
      </c>
      <c r="H137" s="61">
        <f t="shared" si="13"/>
        <v>1</v>
      </c>
      <c r="I137" t="str">
        <f>IF(FT!B137&lt;&gt;"",FT!E137,"")</f>
        <v>2 [54.902272]</v>
      </c>
      <c r="J137">
        <f>IF(FT!B137&lt;&gt;"",FT!C137,"")</f>
        <v>54.902299999999997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3.1783399999999999</v>
      </c>
      <c r="G138" s="61">
        <f>IF(FT!B138&lt;&gt;"",FT!B138*100,"")</f>
        <v>40.098099999999995</v>
      </c>
      <c r="H138" s="61">
        <f t="shared" si="13"/>
        <v>1</v>
      </c>
      <c r="I138" t="str">
        <f>IF(FT!B138&lt;&gt;"",FT!E138,"")</f>
        <v>2 [55.310602]</v>
      </c>
      <c r="J138">
        <f>IF(FT!B138&lt;&gt;"",FT!C138,"")</f>
        <v>55.310600000000001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13436</v>
      </c>
      <c r="D139" s="61">
        <f>FH!B139*1</f>
        <v>13436</v>
      </c>
      <c r="E139">
        <f t="shared" si="15"/>
        <v>137</v>
      </c>
      <c r="F139" s="61">
        <f>IF(FT!A139&lt;&gt;"",FT!A139*10,"")</f>
        <v>3.1949300000000003</v>
      </c>
      <c r="G139" s="61">
        <f>IF(FT!B139&lt;&gt;"",FT!B139*100,"")</f>
        <v>39.807900000000004</v>
      </c>
      <c r="H139" s="61">
        <f t="shared" si="13"/>
        <v>1</v>
      </c>
      <c r="I139" t="str">
        <f>IF(FT!B139&lt;&gt;"",FT!E139,"")</f>
        <v>2 [55.715105]</v>
      </c>
      <c r="J139">
        <f>IF(FT!B139&lt;&gt;"",FT!C139,"")</f>
        <v>55.7151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3.2153999999999998</v>
      </c>
      <c r="G140" s="61">
        <f>IF(FT!B140&lt;&gt;"",FT!B140*100,"")</f>
        <v>39.486900000000006</v>
      </c>
      <c r="H140" s="61">
        <f t="shared" si="13"/>
        <v>1</v>
      </c>
      <c r="I140" t="str">
        <f>IF(FT!B140&lt;&gt;"",FT!E140,"")</f>
        <v>2 [56.121960]</v>
      </c>
      <c r="J140">
        <f>IF(FT!B140&lt;&gt;"",FT!C140,"")</f>
        <v>56.122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3.2386999999999997</v>
      </c>
      <c r="G141" s="61">
        <f>IF(FT!B141&lt;&gt;"",FT!B141*100,"")</f>
        <v>39.119199999999999</v>
      </c>
      <c r="H141" s="61">
        <f t="shared" si="13"/>
        <v>1</v>
      </c>
      <c r="I141" t="str">
        <f>IF(FT!B141&lt;&gt;"",FT!E141,"")</f>
        <v>2 [56.527833]</v>
      </c>
      <c r="J141">
        <f>IF(FT!B141&lt;&gt;"",FT!C141,"")</f>
        <v>56.527799999999999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9647</v>
      </c>
      <c r="D142" s="61">
        <f>FH!B142*1</f>
        <v>9647</v>
      </c>
      <c r="E142">
        <f t="shared" si="15"/>
        <v>140</v>
      </c>
      <c r="F142" s="61">
        <f>IF(FT!A142&lt;&gt;"",FT!A142*10,"")</f>
        <v>3.2637800000000001</v>
      </c>
      <c r="G142" s="61">
        <f>IF(FT!B142&lt;&gt;"",FT!B142*100,"")</f>
        <v>38.722799999999999</v>
      </c>
      <c r="H142" s="61">
        <f t="shared" si="13"/>
        <v>1</v>
      </c>
      <c r="I142" t="str">
        <f>IF(FT!B142&lt;&gt;"",FT!E142,"")</f>
        <v>2 [56.934825]</v>
      </c>
      <c r="J142">
        <f>IF(FT!B142&lt;&gt;"",FT!C142,"")</f>
        <v>56.934800000000003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3.2859400000000001</v>
      </c>
      <c r="G143" s="61">
        <f>IF(FT!B143&lt;&gt;"",FT!B143*100,"")</f>
        <v>38.305399999999999</v>
      </c>
      <c r="H143" s="61">
        <f t="shared" si="13"/>
        <v>1</v>
      </c>
      <c r="I143" t="str">
        <f>IF(FT!B143&lt;&gt;"",FT!E143,"")</f>
        <v>2 [57.341675]</v>
      </c>
      <c r="J143">
        <f>IF(FT!B143&lt;&gt;"",FT!C143,"")</f>
        <v>57.341700000000003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5574</v>
      </c>
      <c r="D144" s="61">
        <f>FH!B144*1</f>
        <v>5574</v>
      </c>
      <c r="E144">
        <f t="shared" si="15"/>
        <v>142</v>
      </c>
      <c r="F144" s="61">
        <f>IF(FT!A144&lt;&gt;"",FT!A144*10,"")</f>
        <v>3.3051000000000004</v>
      </c>
      <c r="G144" s="61">
        <f>IF(FT!B144&lt;&gt;"",FT!B144*100,"")</f>
        <v>38.001600000000003</v>
      </c>
      <c r="H144" s="61">
        <f t="shared" si="13"/>
        <v>1</v>
      </c>
      <c r="I144" t="str">
        <f>IF(FT!B144&lt;&gt;"",FT!E144,"")</f>
        <v>2 [57.746910]</v>
      </c>
      <c r="J144">
        <f>IF(FT!B144&lt;&gt;"",FT!C144,"")</f>
        <v>57.746899999999997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3.3264</v>
      </c>
      <c r="G145" s="61">
        <f>IF(FT!B145&lt;&gt;"",FT!B145*100,"")</f>
        <v>37.753300000000003</v>
      </c>
      <c r="H145" s="61">
        <f t="shared" si="13"/>
        <v>1</v>
      </c>
      <c r="I145" t="str">
        <f>IF(FT!B145&lt;&gt;"",FT!E145,"")</f>
        <v>2 [58.156502]</v>
      </c>
      <c r="J145">
        <f>IF(FT!B145&lt;&gt;"",FT!C145,"")</f>
        <v>58.156500000000001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3.3482600000000002</v>
      </c>
      <c r="G146" s="61">
        <f>IF(FT!B146&lt;&gt;"",FT!B146*100,"")</f>
        <v>37.522299999999994</v>
      </c>
      <c r="H146" s="61">
        <f t="shared" si="13"/>
        <v>1</v>
      </c>
      <c r="I146" t="str">
        <f>IF(FT!B146&lt;&gt;"",FT!E146,"")</f>
        <v>2 [58.563393]</v>
      </c>
      <c r="J146">
        <f>IF(FT!B146&lt;&gt;"",FT!C146,"")</f>
        <v>58.563400000000001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4328</v>
      </c>
      <c r="D147" s="61">
        <f>FH!B147*1</f>
        <v>4328</v>
      </c>
      <c r="E147">
        <f t="shared" si="15"/>
        <v>145</v>
      </c>
      <c r="F147" s="61">
        <f>IF(FT!A147&lt;&gt;"",FT!A147*10,"")</f>
        <v>3.3660600000000001</v>
      </c>
      <c r="G147" s="61">
        <f>IF(FT!B147&lt;&gt;"",FT!B147*100,"")</f>
        <v>37.482300000000002</v>
      </c>
      <c r="H147" s="61">
        <f t="shared" si="13"/>
        <v>1</v>
      </c>
      <c r="I147" t="str">
        <f>IF(FT!B147&lt;&gt;"",FT!E147,"")</f>
        <v>2 [58.967627]</v>
      </c>
      <c r="J147">
        <f>IF(FT!B147&lt;&gt;"",FT!C147,"")</f>
        <v>58.967599999999997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3.3776299999999999</v>
      </c>
      <c r="G148" s="61">
        <f>IF(FT!B148&lt;&gt;"",FT!B148*100,"")</f>
        <v>37.410399999999996</v>
      </c>
      <c r="H148" s="61">
        <f t="shared" si="13"/>
        <v>1</v>
      </c>
      <c r="I148" t="str">
        <f>IF(FT!B148&lt;&gt;"",FT!E148,"")</f>
        <v>2 [59.370335]</v>
      </c>
      <c r="J148">
        <f>IF(FT!B148&lt;&gt;"",FT!C148,"")</f>
        <v>59.3703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2815</v>
      </c>
      <c r="D149" s="61">
        <f>FH!B149*1</f>
        <v>2815</v>
      </c>
      <c r="E149">
        <f t="shared" si="15"/>
        <v>147</v>
      </c>
      <c r="F149" s="61">
        <f>IF(FT!A149&lt;&gt;"",FT!A149*10,"")</f>
        <v>3.3742800000000002</v>
      </c>
      <c r="G149" s="61">
        <f>IF(FT!B149&lt;&gt;"",FT!B149*100,"")</f>
        <v>37.542400000000001</v>
      </c>
      <c r="H149" s="61">
        <f t="shared" si="13"/>
        <v>1</v>
      </c>
      <c r="I149" t="str">
        <f>IF(FT!B149&lt;&gt;"",FT!E149,"")</f>
        <v>2 [59.775279]</v>
      </c>
      <c r="J149">
        <f>IF(FT!B149&lt;&gt;"",FT!C149,"")</f>
        <v>59.775300000000001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1719</v>
      </c>
      <c r="D152" s="61">
        <f>FH!B152*1</f>
        <v>1719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1249</v>
      </c>
      <c r="D154" s="61">
        <f>FH!B154*1</f>
        <v>1249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759</v>
      </c>
      <c r="D157" s="61">
        <f>FH!B157*1</f>
        <v>759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459</v>
      </c>
      <c r="D160" s="61">
        <f>FH!B160*1</f>
        <v>459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235</v>
      </c>
      <c r="D162" s="61">
        <f>FH!B162*1</f>
        <v>235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317</v>
      </c>
      <c r="D165" s="61">
        <f>FH!B165*1</f>
        <v>317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197</v>
      </c>
      <c r="D167" s="61">
        <f>FH!B167*1</f>
        <v>197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120</v>
      </c>
      <c r="D170" s="61">
        <f>FH!B170*1</f>
        <v>120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40.887500000000003</v>
      </c>
      <c r="C5" s="66">
        <v>10.9733</v>
      </c>
      <c r="D5" s="66">
        <v>26.837800000000001</v>
      </c>
      <c r="E5" s="66">
        <v>20</v>
      </c>
      <c r="F5" s="66">
        <v>6.2961299999999998</v>
      </c>
      <c r="G5" s="66">
        <v>50</v>
      </c>
      <c r="H5" s="66">
        <v>58.327300000000001</v>
      </c>
    </row>
    <row r="6" spans="1:8">
      <c r="A6" s="58" t="s">
        <v>303</v>
      </c>
      <c r="B6" s="66">
        <v>29.0045</v>
      </c>
      <c r="C6" s="66">
        <v>3.65124</v>
      </c>
      <c r="D6" s="66">
        <v>12.5885</v>
      </c>
      <c r="E6" s="66">
        <v>20</v>
      </c>
      <c r="F6" s="66">
        <v>22.6236</v>
      </c>
      <c r="G6" s="66">
        <v>40</v>
      </c>
      <c r="H6" s="66">
        <v>40.176499999999997</v>
      </c>
    </row>
    <row r="7" spans="1:8">
      <c r="A7" s="58" t="s">
        <v>304</v>
      </c>
      <c r="B7" s="66">
        <v>28.190200000000001</v>
      </c>
      <c r="C7" s="66">
        <v>9.2510399999999997</v>
      </c>
      <c r="D7" s="66">
        <v>32.816499999999998</v>
      </c>
      <c r="E7" s="66">
        <v>15</v>
      </c>
      <c r="F7" s="66">
        <v>3.8946800000000001</v>
      </c>
      <c r="G7" s="66">
        <v>40</v>
      </c>
      <c r="H7" s="66">
        <v>50.013100000000001</v>
      </c>
    </row>
    <row r="8" spans="1:8">
      <c r="A8" s="58" t="s">
        <v>305</v>
      </c>
      <c r="B8" s="66">
        <v>31.984300000000001</v>
      </c>
      <c r="C8" s="66">
        <v>4.0799500000000002</v>
      </c>
      <c r="D8" s="66">
        <v>12.7561</v>
      </c>
      <c r="E8" s="66">
        <v>20</v>
      </c>
      <c r="F8" s="66">
        <v>20.6983</v>
      </c>
      <c r="G8" s="66">
        <v>50</v>
      </c>
      <c r="H8" s="66">
        <v>40.471499999999999</v>
      </c>
    </row>
    <row r="9" spans="1:8">
      <c r="A9" s="58" t="s">
        <v>306</v>
      </c>
      <c r="B9" s="66">
        <v>51.759799999999998</v>
      </c>
      <c r="C9" s="66">
        <v>7.4962299999999997</v>
      </c>
      <c r="D9" s="66">
        <v>14.482699999999999</v>
      </c>
      <c r="E9" s="66">
        <v>50</v>
      </c>
      <c r="F9" s="66">
        <v>36.802700000000002</v>
      </c>
      <c r="G9" s="66">
        <v>100</v>
      </c>
      <c r="H9" s="66">
        <v>82.490700000000004</v>
      </c>
    </row>
    <row r="10" spans="1:8">
      <c r="A10" s="58" t="s">
        <v>307</v>
      </c>
      <c r="B10" s="66">
        <v>69.613399999999999</v>
      </c>
      <c r="C10" s="66">
        <v>7.3370699999999998</v>
      </c>
      <c r="D10" s="66">
        <v>10.5397</v>
      </c>
      <c r="E10" s="66">
        <v>40</v>
      </c>
      <c r="F10" s="66">
        <v>49.080300000000001</v>
      </c>
      <c r="G10" s="66">
        <v>100</v>
      </c>
      <c r="H10" s="66">
        <v>82.696899999999999</v>
      </c>
    </row>
    <row r="11" spans="1:8">
      <c r="A11" s="58" t="s">
        <v>308</v>
      </c>
      <c r="B11" s="66">
        <v>16.790600000000001</v>
      </c>
      <c r="C11" s="66">
        <v>3.8700299999999999</v>
      </c>
      <c r="D11" s="66">
        <v>23.0489</v>
      </c>
      <c r="E11" s="66">
        <v>10</v>
      </c>
      <c r="F11" s="66">
        <v>3.4053399999999998</v>
      </c>
      <c r="G11" s="66">
        <v>50</v>
      </c>
      <c r="H11" s="66">
        <v>21.225000000000001</v>
      </c>
    </row>
    <row r="12" spans="1:8">
      <c r="A12" s="58" t="s">
        <v>309</v>
      </c>
      <c r="B12" s="66">
        <v>62.220199999999998</v>
      </c>
      <c r="C12" s="66">
        <v>3.9853100000000001</v>
      </c>
      <c r="D12" s="66">
        <v>6.4051799999999997</v>
      </c>
      <c r="E12" s="66">
        <v>50</v>
      </c>
      <c r="F12" s="66">
        <v>54.9544</v>
      </c>
      <c r="G12" s="66">
        <v>100</v>
      </c>
      <c r="H12" s="66">
        <v>71.213499999999996</v>
      </c>
    </row>
    <row r="13" spans="1:8">
      <c r="A13" s="58" t="s">
        <v>310</v>
      </c>
      <c r="B13" s="66">
        <v>18.446300000000001</v>
      </c>
      <c r="C13" s="66">
        <v>4.2354500000000002</v>
      </c>
      <c r="D13" s="66">
        <v>22.960999999999999</v>
      </c>
      <c r="E13" s="66">
        <v>10</v>
      </c>
      <c r="F13" s="66">
        <v>13.187099999999999</v>
      </c>
      <c r="G13" s="66">
        <v>25</v>
      </c>
      <c r="H13" s="66">
        <v>34.368299999999998</v>
      </c>
    </row>
    <row r="14" spans="1:8">
      <c r="A14" s="58" t="s">
        <v>311</v>
      </c>
      <c r="B14" s="66">
        <v>42.354500000000002</v>
      </c>
      <c r="C14" s="66">
        <v>13.846500000000001</v>
      </c>
      <c r="D14" s="66">
        <v>32.692</v>
      </c>
      <c r="E14" s="66">
        <v>10</v>
      </c>
      <c r="F14" s="66">
        <v>1.74597</v>
      </c>
      <c r="G14" s="66">
        <v>50</v>
      </c>
      <c r="H14" s="66">
        <v>57.473300000000002</v>
      </c>
    </row>
    <row r="15" spans="1:8">
      <c r="A15" s="58" t="s">
        <v>312</v>
      </c>
      <c r="B15" s="66">
        <v>6.8385000000000001E-2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0.133879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19.512799999999999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0.44134800000000002</v>
      </c>
      <c r="C18" s="66">
        <v>5.0193000000000002E-2</v>
      </c>
      <c r="D18" s="66">
        <v>0.11372699999999999</v>
      </c>
      <c r="E18" s="66">
        <v>0</v>
      </c>
      <c r="F18" s="66">
        <v>0.391154</v>
      </c>
      <c r="G18" s="66">
        <v>0</v>
      </c>
      <c r="H18" s="66">
        <v>0.49154100000000001</v>
      </c>
    </row>
    <row r="19" spans="1:8">
      <c r="A19" s="58" t="s">
        <v>316</v>
      </c>
      <c r="B19" s="66">
        <v>0.58280699999999996</v>
      </c>
      <c r="C19" s="66">
        <v>5.3395100000000001E-2</v>
      </c>
      <c r="D19" s="66">
        <v>9.1617100000000007E-2</v>
      </c>
      <c r="E19" s="66">
        <v>0</v>
      </c>
      <c r="F19" s="66">
        <v>0.52941199999999999</v>
      </c>
      <c r="G19" s="66">
        <v>0</v>
      </c>
      <c r="H19" s="66">
        <v>0.63620200000000005</v>
      </c>
    </row>
    <row r="20" spans="1:8">
      <c r="A20" s="58" t="s">
        <v>317</v>
      </c>
      <c r="B20" s="196">
        <v>2.4175100000000002E-5</v>
      </c>
      <c r="C20" s="66">
        <v>5.0495999999999999E-2</v>
      </c>
      <c r="D20" s="66">
        <v>2088.7600000000002</v>
      </c>
      <c r="E20" s="66">
        <v>0</v>
      </c>
      <c r="F20" s="66">
        <v>0</v>
      </c>
      <c r="G20" s="66">
        <v>0</v>
      </c>
      <c r="H20" s="66">
        <v>0.57776099999999997</v>
      </c>
    </row>
    <row r="21" spans="1:8">
      <c r="A21" s="58" t="s">
        <v>318</v>
      </c>
      <c r="B21" s="66">
        <v>3.6911399999999997E-2</v>
      </c>
      <c r="C21" s="66">
        <v>0.62077499999999997</v>
      </c>
      <c r="D21" s="66">
        <v>16.818000000000001</v>
      </c>
      <c r="E21" s="66">
        <v>0</v>
      </c>
      <c r="F21" s="66">
        <v>0</v>
      </c>
      <c r="G21" s="66">
        <v>0</v>
      </c>
      <c r="H21" s="66">
        <v>6.2107999999999999</v>
      </c>
    </row>
    <row r="22" spans="1:8">
      <c r="A22" s="58" t="s">
        <v>319</v>
      </c>
      <c r="B22" s="66">
        <v>30.319600000000001</v>
      </c>
      <c r="C22" s="66">
        <v>20.500299999999999</v>
      </c>
      <c r="D22" s="66">
        <v>0.67613999999999996</v>
      </c>
      <c r="E22" s="66">
        <v>0</v>
      </c>
      <c r="F22" s="66">
        <v>8.9518699999999995</v>
      </c>
      <c r="G22" s="66">
        <v>0</v>
      </c>
      <c r="H22" s="66">
        <v>148.88900000000001</v>
      </c>
    </row>
    <row r="23" spans="1:8">
      <c r="A23" s="58" t="s">
        <v>320</v>
      </c>
      <c r="B23" s="66">
        <v>14.148400000000001</v>
      </c>
      <c r="C23" s="66">
        <v>4.2812299999999999</v>
      </c>
      <c r="D23" s="66">
        <v>0.30259399999999997</v>
      </c>
      <c r="E23" s="66">
        <v>0</v>
      </c>
      <c r="F23" s="66">
        <v>4.23726</v>
      </c>
      <c r="G23" s="66">
        <v>0</v>
      </c>
      <c r="H23" s="66">
        <v>20.453199999999999</v>
      </c>
    </row>
    <row r="24" spans="1:8">
      <c r="A24" s="58" t="s">
        <v>321</v>
      </c>
      <c r="B24" s="196">
        <v>4.1264199999999997E-5</v>
      </c>
      <c r="C24" s="66">
        <v>4.3798700000000003E-2</v>
      </c>
      <c r="D24" s="66">
        <v>1061.42</v>
      </c>
      <c r="E24" s="66">
        <v>0</v>
      </c>
      <c r="F24" s="196">
        <v>1.33291E-8</v>
      </c>
      <c r="G24" s="66">
        <v>0</v>
      </c>
      <c r="H24" s="66">
        <v>0.48122999999999999</v>
      </c>
    </row>
    <row r="25" spans="1:8">
      <c r="A25" s="58" t="s">
        <v>322</v>
      </c>
      <c r="B25" s="66">
        <v>6.0851599999999999E-2</v>
      </c>
      <c r="C25" s="66">
        <v>0.47441699999999998</v>
      </c>
      <c r="D25" s="66">
        <v>7.7962999999999996</v>
      </c>
      <c r="E25" s="66">
        <v>0</v>
      </c>
      <c r="F25" s="66">
        <v>1.1168199999999999E-3</v>
      </c>
      <c r="G25" s="66">
        <v>0</v>
      </c>
      <c r="H25" s="66">
        <v>3.0182199999999999</v>
      </c>
    </row>
    <row r="26" spans="1:8">
      <c r="A26" s="58" t="s">
        <v>323</v>
      </c>
      <c r="B26" s="196">
        <v>9.8476899999999999E-6</v>
      </c>
      <c r="C26" s="66">
        <v>5.90144E-3</v>
      </c>
      <c r="D26" s="66">
        <v>599.27200000000005</v>
      </c>
      <c r="E26" s="66">
        <v>0</v>
      </c>
      <c r="F26" s="66">
        <v>0</v>
      </c>
      <c r="G26" s="66">
        <v>0</v>
      </c>
      <c r="H26" s="66">
        <v>6.2811800000000001E-2</v>
      </c>
    </row>
    <row r="27" spans="1:8">
      <c r="A27" s="58" t="s">
        <v>324</v>
      </c>
      <c r="B27" s="66">
        <v>0</v>
      </c>
      <c r="C27" s="66">
        <v>1.25223E-3</v>
      </c>
      <c r="D27" s="66">
        <v>0</v>
      </c>
      <c r="E27" s="66">
        <v>0</v>
      </c>
      <c r="F27" s="66">
        <v>-1.34191E-2</v>
      </c>
      <c r="G27" s="66">
        <v>0</v>
      </c>
      <c r="H27" s="66">
        <v>1.5838399999999999E-2</v>
      </c>
    </row>
    <row r="28" spans="1:8">
      <c r="A28" s="58" t="s">
        <v>325</v>
      </c>
      <c r="B28" s="66">
        <v>8.2828799999999994E-3</v>
      </c>
      <c r="C28" s="66">
        <v>3.0712699999999999E-2</v>
      </c>
      <c r="D28" s="66">
        <v>3.7079800000000001</v>
      </c>
      <c r="E28" s="66">
        <v>0</v>
      </c>
      <c r="F28" s="66">
        <v>0</v>
      </c>
      <c r="G28" s="66">
        <v>0</v>
      </c>
      <c r="H28" s="66">
        <v>0.24296499999999999</v>
      </c>
    </row>
    <row r="29" spans="1:8">
      <c r="A29" s="58" t="s">
        <v>326</v>
      </c>
      <c r="B29" s="66">
        <v>71.585400000000007</v>
      </c>
      <c r="C29" s="66">
        <v>16.450600000000001</v>
      </c>
      <c r="D29" s="66">
        <v>0.22980400000000001</v>
      </c>
      <c r="E29" s="66">
        <v>0</v>
      </c>
      <c r="F29" s="66">
        <v>30.884899999999998</v>
      </c>
      <c r="G29" s="66">
        <v>0</v>
      </c>
      <c r="H29" s="66">
        <v>123.31699999999999</v>
      </c>
    </row>
    <row r="30" spans="1:8">
      <c r="A30" s="58" t="s">
        <v>327</v>
      </c>
      <c r="B30" s="66">
        <v>21.168600000000001</v>
      </c>
      <c r="C30" s="66">
        <v>5.8546399999999998</v>
      </c>
      <c r="D30" s="66">
        <v>0.27657100000000001</v>
      </c>
      <c r="E30" s="66">
        <v>0</v>
      </c>
      <c r="F30" s="66">
        <v>7.5814399999999997</v>
      </c>
      <c r="G30" s="66">
        <v>0</v>
      </c>
      <c r="H30" s="66">
        <v>33.737699999999997</v>
      </c>
    </row>
    <row r="31" spans="1:8">
      <c r="A31" s="58" t="s">
        <v>328</v>
      </c>
      <c r="B31" s="66">
        <v>96.854900000000001</v>
      </c>
      <c r="C31" s="66">
        <v>43.503799999999998</v>
      </c>
      <c r="D31" s="66">
        <v>0.44916499999999998</v>
      </c>
      <c r="E31" s="66">
        <v>0</v>
      </c>
      <c r="F31" s="66">
        <v>10.497999999999999</v>
      </c>
      <c r="G31" s="66">
        <v>0</v>
      </c>
      <c r="H31" s="66">
        <v>186.42</v>
      </c>
    </row>
    <row r="32" spans="1:8">
      <c r="A32" s="58" t="s">
        <v>329</v>
      </c>
      <c r="B32" s="66">
        <v>0.28190199999999999</v>
      </c>
      <c r="C32" s="66">
        <v>9.2510400000000007E-2</v>
      </c>
      <c r="D32" s="66">
        <v>0.32816499999999998</v>
      </c>
      <c r="E32" s="66">
        <v>0.15</v>
      </c>
      <c r="F32" s="66">
        <v>3.8946799999999997E-2</v>
      </c>
      <c r="G32" s="66">
        <v>0.4</v>
      </c>
      <c r="H32" s="66">
        <v>0.50013099999999999</v>
      </c>
    </row>
    <row r="33" spans="1:8">
      <c r="A33" s="58" t="s">
        <v>330</v>
      </c>
      <c r="B33" s="66">
        <v>0.349192</v>
      </c>
      <c r="C33" s="66">
        <v>0.107933</v>
      </c>
      <c r="D33" s="66">
        <v>0.30909399999999998</v>
      </c>
      <c r="E33" s="66">
        <v>0</v>
      </c>
      <c r="F33" s="66">
        <v>0.168296</v>
      </c>
      <c r="G33" s="66">
        <v>0</v>
      </c>
      <c r="H33" s="66">
        <v>0.44872099999999998</v>
      </c>
    </row>
    <row r="34" spans="1:8">
      <c r="A34" s="58" t="s">
        <v>331</v>
      </c>
      <c r="B34" s="66">
        <v>0.18446299999999999</v>
      </c>
      <c r="C34" s="66">
        <v>4.2354500000000003E-2</v>
      </c>
      <c r="D34" s="66">
        <v>0.22961000000000001</v>
      </c>
      <c r="E34" s="66">
        <v>0.1</v>
      </c>
      <c r="F34" s="66">
        <v>0.13187099999999999</v>
      </c>
      <c r="G34" s="66">
        <v>0.25</v>
      </c>
      <c r="H34" s="66">
        <v>0.34368300000000002</v>
      </c>
    </row>
    <row r="35" spans="1:8">
      <c r="A35" s="58" t="s">
        <v>332</v>
      </c>
      <c r="B35" s="66">
        <v>8.7684200000000004E-2</v>
      </c>
      <c r="C35" s="66">
        <v>2.8438499999999999E-2</v>
      </c>
      <c r="D35" s="66">
        <v>0.32432899999999998</v>
      </c>
      <c r="E35" s="66">
        <v>0</v>
      </c>
      <c r="F35" s="66">
        <v>3.5441300000000002E-2</v>
      </c>
      <c r="G35" s="66">
        <v>0</v>
      </c>
      <c r="H35" s="66">
        <v>0.194717</v>
      </c>
    </row>
    <row r="36" spans="1:8">
      <c r="A36" s="58" t="s">
        <v>333</v>
      </c>
      <c r="B36" s="66">
        <v>0.15845699999999999</v>
      </c>
      <c r="C36" s="66">
        <v>0.105102</v>
      </c>
      <c r="D36" s="66">
        <v>0.66328100000000001</v>
      </c>
      <c r="E36" s="66">
        <v>0</v>
      </c>
      <c r="F36" s="66">
        <v>4.5873999999999998E-2</v>
      </c>
      <c r="G36" s="66">
        <v>0</v>
      </c>
      <c r="H36" s="66">
        <v>0.60168500000000003</v>
      </c>
    </row>
    <row r="37" spans="1:8">
      <c r="A37" s="58" t="s">
        <v>334</v>
      </c>
      <c r="B37" s="66">
        <v>0.423545</v>
      </c>
      <c r="C37" s="66">
        <v>0.138465</v>
      </c>
      <c r="D37" s="66">
        <v>0.32691999999999999</v>
      </c>
      <c r="E37" s="66">
        <v>0.1</v>
      </c>
      <c r="F37" s="66">
        <v>1.7459700000000002E-2</v>
      </c>
      <c r="G37" s="66">
        <v>0.5</v>
      </c>
      <c r="H37" s="66">
        <v>0.57473300000000005</v>
      </c>
    </row>
    <row r="38" spans="1:8">
      <c r="A38" s="58" t="s">
        <v>335</v>
      </c>
      <c r="B38" s="66">
        <v>0</v>
      </c>
      <c r="C38" s="66">
        <v>53.161700000000003</v>
      </c>
      <c r="D38" s="66">
        <v>0</v>
      </c>
      <c r="E38" s="66">
        <v>0</v>
      </c>
      <c r="F38" s="66">
        <v>-98.752799999999993</v>
      </c>
      <c r="G38" s="66">
        <v>0</v>
      </c>
      <c r="H38" s="66">
        <v>438.75299999999999</v>
      </c>
    </row>
    <row r="39" spans="1:8">
      <c r="A39" s="58" t="s">
        <v>336</v>
      </c>
      <c r="B39" s="66">
        <v>-1.1378200000000001</v>
      </c>
      <c r="C39" s="66">
        <v>9.4738699999999998</v>
      </c>
      <c r="D39" s="66">
        <v>-8.3263300000000005</v>
      </c>
      <c r="E39" s="66">
        <v>0</v>
      </c>
      <c r="F39" s="66">
        <v>-24.1037</v>
      </c>
      <c r="G39" s="66">
        <v>0</v>
      </c>
      <c r="H39" s="66">
        <v>63.640700000000002</v>
      </c>
    </row>
    <row r="40" spans="1:8">
      <c r="A40" s="58" t="s">
        <v>337</v>
      </c>
      <c r="B40" s="66">
        <v>-1.36843</v>
      </c>
      <c r="C40" s="66">
        <v>0.91785499999999998</v>
      </c>
      <c r="D40" s="66">
        <v>-0.67073400000000005</v>
      </c>
      <c r="E40" s="66">
        <v>0</v>
      </c>
      <c r="F40" s="66">
        <v>-3.0796199999999998</v>
      </c>
      <c r="G40" s="66">
        <v>0</v>
      </c>
      <c r="H40" s="66">
        <v>0.46351700000000001</v>
      </c>
    </row>
    <row r="41" spans="1:8">
      <c r="A41" s="58" t="s">
        <v>338</v>
      </c>
      <c r="B41" s="66">
        <v>-8.5648500000000006E-3</v>
      </c>
      <c r="C41" s="66">
        <v>0.44466600000000001</v>
      </c>
      <c r="D41" s="66">
        <v>-51.917499999999997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-6.9936399999999996E-2</v>
      </c>
      <c r="C42" s="66">
        <v>0.18632899999999999</v>
      </c>
      <c r="D42" s="66">
        <v>-2.6642600000000001</v>
      </c>
      <c r="E42" s="66">
        <v>0</v>
      </c>
      <c r="F42" s="66">
        <v>-0.609626</v>
      </c>
      <c r="G42" s="66">
        <v>0</v>
      </c>
      <c r="H42" s="66">
        <v>0.88759999999999994</v>
      </c>
    </row>
    <row r="43" spans="1:8">
      <c r="A43" s="58" t="s">
        <v>340</v>
      </c>
      <c r="B43" s="66">
        <v>-7.8259700000000001E-2</v>
      </c>
      <c r="C43" s="66">
        <v>5.3245300000000002E-2</v>
      </c>
      <c r="D43" s="66">
        <v>-0.68036700000000006</v>
      </c>
      <c r="E43" s="66">
        <v>0</v>
      </c>
      <c r="F43" s="66">
        <v>-0.30744899999999997</v>
      </c>
      <c r="G43" s="66">
        <v>0</v>
      </c>
      <c r="H43" s="66">
        <v>5.09738E-2</v>
      </c>
    </row>
    <row r="44" spans="1:8">
      <c r="A44" s="58" t="s">
        <v>341</v>
      </c>
      <c r="B44" s="66">
        <v>-7.2210799999999997</v>
      </c>
      <c r="C44" s="66">
        <v>11.1778</v>
      </c>
      <c r="D44" s="66">
        <v>-1.5479400000000001</v>
      </c>
      <c r="E44" s="66">
        <v>0</v>
      </c>
      <c r="F44" s="66">
        <v>-27.944400000000002</v>
      </c>
      <c r="G44" s="66">
        <v>0</v>
      </c>
      <c r="H44" s="66">
        <v>17.744199999999999</v>
      </c>
    </row>
    <row r="45" spans="1:8">
      <c r="A45" s="58" t="s">
        <v>342</v>
      </c>
      <c r="B45" s="66">
        <v>53.324100000000001</v>
      </c>
      <c r="C45" s="66">
        <v>11.8492</v>
      </c>
      <c r="D45" s="66">
        <v>0.22221199999999999</v>
      </c>
      <c r="E45" s="66">
        <v>0</v>
      </c>
      <c r="F45" s="66">
        <v>17.9435</v>
      </c>
      <c r="G45" s="66">
        <v>0</v>
      </c>
      <c r="H45" s="66">
        <v>80.519000000000005</v>
      </c>
    </row>
    <row r="46" spans="1:8">
      <c r="A46" s="58" t="s">
        <v>343</v>
      </c>
      <c r="B46" s="66">
        <v>32.1614</v>
      </c>
      <c r="C46" s="66">
        <v>7.2888500000000001</v>
      </c>
      <c r="D46" s="66">
        <v>0.226633</v>
      </c>
      <c r="E46" s="66">
        <v>0</v>
      </c>
      <c r="F46" s="66">
        <v>6.3920899999999996</v>
      </c>
      <c r="G46" s="66">
        <v>0</v>
      </c>
      <c r="H46" s="66">
        <v>40.638599999999997</v>
      </c>
    </row>
    <row r="47" spans="1:8">
      <c r="A47" s="58" t="s">
        <v>344</v>
      </c>
      <c r="B47" s="66">
        <v>0.79680200000000001</v>
      </c>
      <c r="C47" s="66">
        <v>0.79872799999999999</v>
      </c>
      <c r="D47" s="66">
        <v>1.0024200000000001</v>
      </c>
      <c r="E47" s="66">
        <v>0</v>
      </c>
      <c r="F47" s="66">
        <v>0.124282</v>
      </c>
      <c r="G47" s="66">
        <v>0</v>
      </c>
      <c r="H47" s="66">
        <v>8.5135500000000004</v>
      </c>
    </row>
    <row r="48" spans="1:8">
      <c r="A48" s="58" t="s">
        <v>345</v>
      </c>
      <c r="B48" s="66">
        <v>0.78100899999999995</v>
      </c>
      <c r="C48" s="66">
        <v>7.0675100000000005E-2</v>
      </c>
      <c r="D48" s="66">
        <v>9.0492000000000003E-2</v>
      </c>
      <c r="E48" s="66">
        <v>0</v>
      </c>
      <c r="F48" s="66">
        <v>0.580735</v>
      </c>
      <c r="G48" s="66">
        <v>0</v>
      </c>
      <c r="H48" s="66">
        <v>0.89982200000000001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-3.5756999999999977</v>
      </c>
      <c r="C5" s="66">
        <f>'M2'!C5-'M1'!C5</f>
        <v>-9.7933699999999995</v>
      </c>
      <c r="D5" s="66">
        <f>'M2'!D5-'M1'!D5</f>
        <v>-21.527099999999997</v>
      </c>
      <c r="E5" s="66">
        <f>'M2'!E5-'M1'!E5</f>
        <v>0</v>
      </c>
      <c r="F5" s="66">
        <f>'M2'!F5-'M1'!F5</f>
        <v>22.51587</v>
      </c>
      <c r="G5" s="66">
        <f>'M2'!G5-'M1'!G5</f>
        <v>0</v>
      </c>
      <c r="H5" s="66">
        <f>'M2'!H5-'M1'!H5</f>
        <v>-11.252600000000001</v>
      </c>
    </row>
    <row r="6" spans="1:8">
      <c r="A6" s="66" t="s">
        <v>244</v>
      </c>
      <c r="B6" s="66">
        <f>'M2'!B6-'M1'!B6</f>
        <v>-1.721899999999998</v>
      </c>
      <c r="C6" s="66">
        <f>'M2'!C6-'M1'!C6</f>
        <v>-0.97462999999999989</v>
      </c>
      <c r="D6" s="66">
        <f>'M2'!D6-'M1'!D6</f>
        <v>-2.577300000000001</v>
      </c>
      <c r="E6" s="66">
        <f>'M2'!E6-'M1'!E6</f>
        <v>0</v>
      </c>
      <c r="F6" s="66">
        <f>'M2'!F6-'M1'!F6</f>
        <v>1.778100000000002</v>
      </c>
      <c r="G6" s="66">
        <f>'M2'!G6-'M1'!G6</f>
        <v>0</v>
      </c>
      <c r="H6" s="66">
        <f>'M2'!H6-'M1'!H6</f>
        <v>4.1041999999999987</v>
      </c>
    </row>
    <row r="7" spans="1:8">
      <c r="A7" s="66" t="s">
        <v>245</v>
      </c>
      <c r="B7" s="66">
        <f>'M2'!B7-'M1'!B7</f>
        <v>1.7686999999999991</v>
      </c>
      <c r="C7" s="66">
        <f>'M2'!C7-'M1'!C7</f>
        <v>-4.6590100000000003</v>
      </c>
      <c r="D7" s="66">
        <f>'M2'!D7-'M1'!D7</f>
        <v>-17.9026</v>
      </c>
      <c r="E7" s="66">
        <f>'M2'!E7-'M1'!E7</f>
        <v>0</v>
      </c>
      <c r="F7" s="66">
        <f>'M2'!F7-'M1'!F7</f>
        <v>11.864920000000001</v>
      </c>
      <c r="G7" s="66">
        <f>'M2'!G7-'M1'!G7</f>
        <v>0</v>
      </c>
      <c r="H7" s="66">
        <f>'M2'!H7-'M1'!H7</f>
        <v>-0.32399999999999807</v>
      </c>
    </row>
    <row r="8" spans="1:8">
      <c r="A8" s="66" t="s">
        <v>246</v>
      </c>
      <c r="B8" s="66">
        <f>'M2'!B8-'M1'!B8</f>
        <v>0.79809999999999803</v>
      </c>
      <c r="C8" s="66">
        <f>'M2'!C8-'M1'!C8</f>
        <v>-1.7337500000000006</v>
      </c>
      <c r="D8" s="66">
        <f>'M2'!D8-'M1'!D8</f>
        <v>-5.7052899999999998</v>
      </c>
      <c r="E8" s="66">
        <f>'M2'!E8-'M1'!E8</f>
        <v>0</v>
      </c>
      <c r="F8" s="66">
        <f>'M2'!F8-'M1'!F8</f>
        <v>5.7774000000000001</v>
      </c>
      <c r="G8" s="66">
        <f>'M2'!G8-'M1'!G8</f>
        <v>0</v>
      </c>
      <c r="H8" s="66">
        <f>'M2'!H8-'M1'!H8</f>
        <v>-1.808099999999996</v>
      </c>
    </row>
    <row r="9" spans="1:8">
      <c r="A9" s="66" t="s">
        <v>247</v>
      </c>
      <c r="B9" s="66">
        <f>'M2'!B9-'M1'!B9</f>
        <v>8.2449000000000012</v>
      </c>
      <c r="C9" s="66">
        <f>'M2'!C9-'M1'!C9</f>
        <v>-3.0378100000000003</v>
      </c>
      <c r="D9" s="66">
        <f>'M2'!D9-'M1'!D9</f>
        <v>-7.96462</v>
      </c>
      <c r="E9" s="66">
        <f>'M2'!E9-'M1'!E9</f>
        <v>0</v>
      </c>
      <c r="F9" s="66">
        <f>'M2'!F9-'M1'!F9</f>
        <v>9.1222999999999956</v>
      </c>
      <c r="G9" s="66">
        <f>'M2'!G9-'M1'!G9</f>
        <v>0</v>
      </c>
      <c r="H9" s="66">
        <f>'M2'!H9-'M1'!H9</f>
        <v>-16.653800000000004</v>
      </c>
    </row>
    <row r="10" spans="1:8">
      <c r="A10" s="66" t="s">
        <v>248</v>
      </c>
      <c r="B10" s="66">
        <f>'M2'!B10-'M1'!B10</f>
        <v>-4.0828999999999951</v>
      </c>
      <c r="C10" s="66">
        <f>'M2'!C10-'M1'!C10</f>
        <v>-7.1730000000000516E-2</v>
      </c>
      <c r="D10" s="66">
        <f>'M2'!D10-'M1'!D10</f>
        <v>0.51320000000000121</v>
      </c>
      <c r="E10" s="66">
        <f>'M2'!E10-'M1'!E10</f>
        <v>0</v>
      </c>
      <c r="F10" s="66">
        <f>'M2'!F10-'M1'!F10</f>
        <v>12.776299999999999</v>
      </c>
      <c r="G10" s="66">
        <f>'M2'!G10-'M1'!G10</f>
        <v>0</v>
      </c>
      <c r="H10" s="66">
        <f>'M2'!H10-'M1'!H10</f>
        <v>-1.7099999999999227E-2</v>
      </c>
    </row>
    <row r="11" spans="1:8">
      <c r="A11" s="66" t="s">
        <v>249</v>
      </c>
      <c r="B11" s="66">
        <f>'M2'!B11-'M1'!B11</f>
        <v>-1.1667999999999985</v>
      </c>
      <c r="C11" s="66">
        <f>'M2'!C11-'M1'!C11</f>
        <v>-3.5210300000000001</v>
      </c>
      <c r="D11" s="66">
        <f>'M2'!D11-'M1'!D11</f>
        <v>-19.264569999999999</v>
      </c>
      <c r="E11" s="66">
        <f>'M2'!E11-'M1'!E11</f>
        <v>0</v>
      </c>
      <c r="F11" s="66">
        <f>'M2'!F11-'M1'!F11</f>
        <v>11.063459999999999</v>
      </c>
      <c r="G11" s="66">
        <f>'M2'!G11-'M1'!G11</f>
        <v>0</v>
      </c>
      <c r="H11" s="66">
        <f>'M2'!H11-'M1'!H11</f>
        <v>0.43060000000000187</v>
      </c>
    </row>
    <row r="12" spans="1:8">
      <c r="A12" s="66" t="s">
        <v>250</v>
      </c>
      <c r="B12" s="66">
        <f>'M2'!B12-'M1'!B12</f>
        <v>2.1110000000000042</v>
      </c>
      <c r="C12" s="66">
        <f>'M2'!C12-'M1'!C12</f>
        <v>1.3181799999999999</v>
      </c>
      <c r="D12" s="66">
        <f>'M2'!D12-'M1'!D12</f>
        <v>1.9100700000000002</v>
      </c>
      <c r="E12" s="66">
        <f>'M2'!E12-'M1'!E12</f>
        <v>0</v>
      </c>
      <c r="F12" s="66">
        <f>'M2'!F12-'M1'!F12</f>
        <v>1.0435999999999979</v>
      </c>
      <c r="G12" s="66">
        <f>'M2'!G12-'M1'!G12</f>
        <v>0</v>
      </c>
      <c r="H12" s="66">
        <f>'M2'!H12-'M1'!H12</f>
        <v>-0.72669999999999391</v>
      </c>
    </row>
    <row r="13" spans="1:8">
      <c r="A13" s="66" t="s">
        <v>251</v>
      </c>
      <c r="B13" s="66">
        <f>'M2'!B13-'M1'!B13</f>
        <v>1.0250000000000021</v>
      </c>
      <c r="C13" s="66">
        <f>'M2'!C13-'M1'!C13</f>
        <v>0.18665999999999983</v>
      </c>
      <c r="D13" s="66">
        <f>'M2'!D13-'M1'!D13</f>
        <v>-0.24230000000000018</v>
      </c>
      <c r="E13" s="66">
        <f>'M2'!E13-'M1'!E13</f>
        <v>0</v>
      </c>
      <c r="F13" s="66">
        <f>'M2'!F13-'M1'!F13</f>
        <v>0.59180000000000099</v>
      </c>
      <c r="G13" s="66">
        <f>'M2'!G13-'M1'!G13</f>
        <v>0</v>
      </c>
      <c r="H13" s="66">
        <f>'M2'!H13-'M1'!H13</f>
        <v>1.5930999999999997</v>
      </c>
    </row>
    <row r="14" spans="1:8">
      <c r="A14" s="66" t="s">
        <v>252</v>
      </c>
      <c r="B14" s="66">
        <f>'M2'!B14-'M1'!B14</f>
        <v>1.8665999999999983</v>
      </c>
      <c r="C14" s="66">
        <f>'M2'!C14-'M1'!C14</f>
        <v>3.011000000000001</v>
      </c>
      <c r="D14" s="66">
        <f>'M2'!D14-'M1'!D14</f>
        <v>5.7555000000000014</v>
      </c>
      <c r="E14" s="66">
        <f>'M2'!E14-'M1'!E14</f>
        <v>0</v>
      </c>
      <c r="F14" s="66">
        <f>'M2'!F14-'M1'!F14</f>
        <v>1.1171499999999999</v>
      </c>
      <c r="G14" s="66">
        <f>'M2'!G14-'M1'!G14</f>
        <v>0</v>
      </c>
      <c r="H14" s="66">
        <f>'M2'!H14-'M1'!H14</f>
        <v>4.2762999999999991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-9.7851999999999995E-2</v>
      </c>
      <c r="C18" s="66">
        <f>'M2'!C18-'M1'!C18</f>
        <v>5.0193000000000002E-2</v>
      </c>
      <c r="D18" s="66">
        <f>'M2'!D18-'M1'!D18</f>
        <v>0.11372699999999999</v>
      </c>
      <c r="E18" s="66">
        <f>'M2'!E18-'M1'!E18</f>
        <v>0</v>
      </c>
      <c r="F18" s="66">
        <f>'M2'!F18-'M1'!F18</f>
        <v>0.391154</v>
      </c>
      <c r="G18" s="66">
        <f>'M2'!G18-'M1'!G18</f>
        <v>0</v>
      </c>
      <c r="H18" s="66">
        <f>'M2'!H18-'M1'!H18</f>
        <v>0.49154100000000001</v>
      </c>
    </row>
    <row r="19" spans="1:8">
      <c r="A19" s="66" t="s">
        <v>256</v>
      </c>
      <c r="B19" s="66">
        <f>'M2'!B19-'M1'!B19</f>
        <v>-5.4561000000000082E-2</v>
      </c>
      <c r="C19" s="66">
        <f>'M2'!C19-'M1'!C19</f>
        <v>5.3395100000000001E-2</v>
      </c>
      <c r="D19" s="66">
        <f>'M2'!D19-'M1'!D19</f>
        <v>9.1617100000000007E-2</v>
      </c>
      <c r="E19" s="66">
        <f>'M2'!E19-'M1'!E19</f>
        <v>0</v>
      </c>
      <c r="F19" s="66">
        <f>'M2'!F19-'M1'!F19</f>
        <v>0.52941199999999999</v>
      </c>
      <c r="G19" s="66">
        <f>'M2'!G19-'M1'!G19</f>
        <v>0</v>
      </c>
      <c r="H19" s="66">
        <f>'M2'!H19-'M1'!H19</f>
        <v>0.63620200000000005</v>
      </c>
    </row>
    <row r="20" spans="1:8">
      <c r="A20" s="66" t="s">
        <v>63</v>
      </c>
      <c r="B20" s="66">
        <f>'M2'!B20-'M1'!B20</f>
        <v>-4.8143999999999992E-6</v>
      </c>
      <c r="C20" s="66">
        <f>'M2'!C20-'M1'!C20</f>
        <v>-4.7460399999999993E-2</v>
      </c>
      <c r="D20" s="66">
        <f>'M2'!D20-'M1'!D20</f>
        <v>-1623.2359999999999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-0.39324899999999996</v>
      </c>
    </row>
    <row r="21" spans="1:8">
      <c r="A21" s="66" t="s">
        <v>64</v>
      </c>
      <c r="B21" s="66">
        <f>'M2'!B21-'M1'!B21</f>
        <v>3.8550000000000043E-3</v>
      </c>
      <c r="C21" s="66">
        <f>'M2'!C21-'M1'!C21</f>
        <v>-0.78250019999999998</v>
      </c>
      <c r="D21" s="66">
        <f>'M2'!D21-'M1'!D21</f>
        <v>-21.48122</v>
      </c>
      <c r="E21" s="66">
        <f>'M2'!E21-'M1'!E21</f>
        <v>0</v>
      </c>
      <c r="F21" s="66">
        <f>'M2'!F21-'M1'!F21</f>
        <v>1.75654E-5</v>
      </c>
      <c r="G21" s="66">
        <f>'M2'!G21-'M1'!G21</f>
        <v>0</v>
      </c>
      <c r="H21" s="66">
        <f>'M2'!H21-'M1'!H21</f>
        <v>-5.8556499999999998</v>
      </c>
    </row>
    <row r="22" spans="1:8">
      <c r="A22" s="66" t="s">
        <v>65</v>
      </c>
      <c r="B22" s="66">
        <f>'M2'!B22-'M1'!B22</f>
        <v>1.7104999999999997</v>
      </c>
      <c r="C22" s="66">
        <f>'M2'!C22-'M1'!C22</f>
        <v>-19.103560000000002</v>
      </c>
      <c r="D22" s="66">
        <f>'M2'!D22-'M1'!D22</f>
        <v>-0.683508</v>
      </c>
      <c r="E22" s="66">
        <f>'M2'!E22-'M1'!E22</f>
        <v>0</v>
      </c>
      <c r="F22" s="66">
        <f>'M2'!F22-'M1'!F22</f>
        <v>1.2034300000000009</v>
      </c>
      <c r="G22" s="66">
        <f>'M2'!G22-'M1'!G22</f>
        <v>0</v>
      </c>
      <c r="H22" s="66">
        <f>'M2'!H22-'M1'!H22</f>
        <v>-104.86600000000001</v>
      </c>
    </row>
    <row r="23" spans="1:8">
      <c r="A23" s="66" t="s">
        <v>66</v>
      </c>
      <c r="B23" s="66">
        <f>'M2'!B23-'M1'!B23</f>
        <v>1.4778000000000002</v>
      </c>
      <c r="C23" s="66">
        <f>'M2'!C23-'M1'!C23</f>
        <v>-2.6659599999999997</v>
      </c>
      <c r="D23" s="66">
        <f>'M2'!D23-'M1'!D23</f>
        <v>-0.21970100000000001</v>
      </c>
      <c r="E23" s="66">
        <f>'M2'!E23-'M1'!E23</f>
        <v>0</v>
      </c>
      <c r="F23" s="66">
        <f>'M2'!F23-'M1'!F23</f>
        <v>8.0927399999999992</v>
      </c>
      <c r="G23" s="66">
        <f>'M2'!G23-'M1'!G23</f>
        <v>0</v>
      </c>
      <c r="H23" s="66">
        <f>'M2'!H23-'M1'!H23</f>
        <v>-0.49099999999999966</v>
      </c>
    </row>
    <row r="24" spans="1:8">
      <c r="A24" s="66" t="s">
        <v>67</v>
      </c>
      <c r="B24" s="66">
        <f>'M2'!B24-'M1'!B24</f>
        <v>4.0822999999999999E-6</v>
      </c>
      <c r="C24" s="66">
        <f>'M2'!C24-'M1'!C24</f>
        <v>-4.81322E-2</v>
      </c>
      <c r="D24" s="66">
        <f>'M2'!D24-'M1'!D24</f>
        <v>-1300.634</v>
      </c>
      <c r="E24" s="66">
        <f>'M2'!E24-'M1'!E24</f>
        <v>0</v>
      </c>
      <c r="F24" s="66">
        <f>'M2'!F24-'M1'!F24</f>
        <v>9.510598999999999E-7</v>
      </c>
      <c r="G24" s="66">
        <f>'M2'!G24-'M1'!G24</f>
        <v>0</v>
      </c>
      <c r="H24" s="66">
        <f>'M2'!H24-'M1'!H24</f>
        <v>-0.42894929999999998</v>
      </c>
    </row>
    <row r="25" spans="1:8">
      <c r="A25" s="66" t="s">
        <v>68</v>
      </c>
      <c r="B25" s="66">
        <f>'M2'!B25-'M1'!B25</f>
        <v>8.4790999999999964E-3</v>
      </c>
      <c r="C25" s="66">
        <f>'M2'!C25-'M1'!C25</f>
        <v>-0.61885049999999997</v>
      </c>
      <c r="D25" s="66">
        <f>'M2'!D25-'M1'!D25</f>
        <v>-11.106577</v>
      </c>
      <c r="E25" s="66">
        <f>'M2'!E25-'M1'!E25</f>
        <v>0</v>
      </c>
      <c r="F25" s="66">
        <f>'M2'!F25-'M1'!F25</f>
        <v>-7.1208500000000006E-3</v>
      </c>
      <c r="G25" s="66">
        <f>'M2'!G25-'M1'!G25</f>
        <v>0</v>
      </c>
      <c r="H25" s="66">
        <f>'M2'!H25-'M1'!H25</f>
        <v>-2.8834219999999999</v>
      </c>
    </row>
    <row r="26" spans="1:8">
      <c r="A26" s="66" t="s">
        <v>69</v>
      </c>
      <c r="B26" s="66">
        <f>'M2'!B26-'M1'!B26</f>
        <v>0</v>
      </c>
      <c r="C26" s="66">
        <f>'M2'!C26-'M1'!C26</f>
        <v>-7.1026200000000005E-3</v>
      </c>
      <c r="D26" s="66">
        <f>'M2'!D26-'M1'!D26</f>
        <v>-721.24800000000005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-5.532099E-2</v>
      </c>
    </row>
    <row r="27" spans="1:8">
      <c r="A27" s="66" t="s">
        <v>70</v>
      </c>
      <c r="B27" s="66">
        <f>'M2'!B27-'M1'!B27</f>
        <v>0</v>
      </c>
      <c r="C27" s="66">
        <f>'M2'!C27-'M1'!C27</f>
        <v>-7.9857399999999992E-4</v>
      </c>
      <c r="D27" s="66">
        <f>'M2'!D27-'M1'!D27</f>
        <v>0</v>
      </c>
      <c r="E27" s="66">
        <f>'M2'!E27-'M1'!E27</f>
        <v>0</v>
      </c>
      <c r="F27" s="66">
        <f>'M2'!F27-'M1'!F27</f>
        <v>6.4239599999999994E-3</v>
      </c>
      <c r="G27" s="66">
        <f>'M2'!G27-'M1'!G27</f>
        <v>0</v>
      </c>
      <c r="H27" s="66">
        <f>'M2'!H27-'M1'!H27</f>
        <v>-1.0189109999999998E-2</v>
      </c>
    </row>
    <row r="28" spans="1:8">
      <c r="A28" s="66" t="s">
        <v>71</v>
      </c>
      <c r="B28" s="66">
        <f>'M2'!B28-'M1'!B28</f>
        <v>-4.7037999999999941E-4</v>
      </c>
      <c r="C28" s="66">
        <f>'M2'!C28-'M1'!C28</f>
        <v>-3.0859899999999996E-2</v>
      </c>
      <c r="D28" s="66">
        <f>'M2'!D28-'M1'!D28</f>
        <v>-3.5203299999999995</v>
      </c>
      <c r="E28" s="66">
        <f>'M2'!E28-'M1'!E28</f>
        <v>0</v>
      </c>
      <c r="F28" s="66">
        <f>'M2'!F28-'M1'!F28</f>
        <v>9.7656199999999999E-6</v>
      </c>
      <c r="G28" s="66">
        <f>'M2'!G28-'M1'!G28</f>
        <v>0</v>
      </c>
      <c r="H28" s="66">
        <f>'M2'!H28-'M1'!H28</f>
        <v>-0.19684199999999999</v>
      </c>
    </row>
    <row r="29" spans="1:8">
      <c r="A29" s="66" t="s">
        <v>72</v>
      </c>
      <c r="B29" s="66">
        <f>'M2'!B29-'M1'!B29</f>
        <v>0.49019999999998731</v>
      </c>
      <c r="C29" s="66">
        <f>'M2'!C29-'M1'!C29</f>
        <v>0.37090000000000245</v>
      </c>
      <c r="D29" s="66">
        <f>'M2'!D29-'M1'!D29</f>
        <v>3.6090000000000011E-3</v>
      </c>
      <c r="E29" s="66">
        <f>'M2'!E29-'M1'!E29</f>
        <v>0</v>
      </c>
      <c r="F29" s="66">
        <f>'M2'!F29-'M1'!F29</f>
        <v>-3.8463999999999992</v>
      </c>
      <c r="G29" s="66">
        <f>'M2'!G29-'M1'!G29</f>
        <v>0</v>
      </c>
      <c r="H29" s="66">
        <f>'M2'!H29-'M1'!H29</f>
        <v>-13.503999999999991</v>
      </c>
    </row>
    <row r="30" spans="1:8">
      <c r="A30" s="66" t="s">
        <v>73</v>
      </c>
      <c r="B30" s="66">
        <f>'M2'!B30-'M1'!B30</f>
        <v>5.5590999999999973</v>
      </c>
      <c r="C30" s="66">
        <f>'M2'!C30-'M1'!C30</f>
        <v>5.3659999999999819E-2</v>
      </c>
      <c r="D30" s="66">
        <f>'M2'!D30-'M1'!D30</f>
        <v>-5.0919999999999965E-2</v>
      </c>
      <c r="E30" s="66">
        <f>'M2'!E30-'M1'!E30</f>
        <v>0</v>
      </c>
      <c r="F30" s="66">
        <f>'M2'!F30-'M1'!F30</f>
        <v>6.6242600000000005</v>
      </c>
      <c r="G30" s="66">
        <f>'M2'!G30-'M1'!G30</f>
        <v>0</v>
      </c>
      <c r="H30" s="66">
        <f>'M2'!H30-'M1'!H30</f>
        <v>4.7532999999999959</v>
      </c>
    </row>
    <row r="31" spans="1:8">
      <c r="A31" s="66" t="s">
        <v>74</v>
      </c>
      <c r="B31" s="66">
        <f>'M2'!B31-'M1'!B31</f>
        <v>-3.3369</v>
      </c>
      <c r="C31" s="66">
        <f>'M2'!C31-'M1'!C31</f>
        <v>-26.167300000000001</v>
      </c>
      <c r="D31" s="66">
        <f>'M2'!D31-'M1'!D31</f>
        <v>-0.25977799999999995</v>
      </c>
      <c r="E31" s="66">
        <f>'M2'!E31-'M1'!E31</f>
        <v>0</v>
      </c>
      <c r="F31" s="66">
        <f>'M2'!F31-'M1'!F31</f>
        <v>56.035199999999996</v>
      </c>
      <c r="G31" s="66">
        <f>'M2'!G31-'M1'!G31</f>
        <v>0</v>
      </c>
      <c r="H31" s="66">
        <f>'M2'!H31-'M1'!H31</f>
        <v>-27.119999999999976</v>
      </c>
    </row>
    <row r="32" spans="1:8">
      <c r="A32" s="66" t="s">
        <v>75</v>
      </c>
      <c r="B32" s="66">
        <f>'M2'!B32-'M1'!B32</f>
        <v>1.7687000000000008E-2</v>
      </c>
      <c r="C32" s="66">
        <f>'M2'!C32-'M1'!C32</f>
        <v>-4.6590099999999995E-2</v>
      </c>
      <c r="D32" s="66">
        <f>'M2'!D32-'M1'!D32</f>
        <v>-0.17902599999999999</v>
      </c>
      <c r="E32" s="66">
        <f>'M2'!E32-'M1'!E32</f>
        <v>0</v>
      </c>
      <c r="F32" s="66">
        <f>'M2'!F32-'M1'!F32</f>
        <v>0.11864920000000001</v>
      </c>
      <c r="G32" s="66">
        <f>'M2'!G32-'M1'!G32</f>
        <v>0</v>
      </c>
      <c r="H32" s="66">
        <f>'M2'!H32-'M1'!H32</f>
        <v>-3.2399999999999651E-3</v>
      </c>
    </row>
    <row r="33" spans="1:8">
      <c r="A33" s="66" t="s">
        <v>76</v>
      </c>
      <c r="B33" s="66">
        <f>'M2'!B33-'M1'!B33</f>
        <v>-0.16301099999999996</v>
      </c>
      <c r="C33" s="66">
        <f>'M2'!C33-'M1'!C33</f>
        <v>2.4038000000000004E-2</v>
      </c>
      <c r="D33" s="66">
        <f>'M2'!D33-'M1'!D33</f>
        <v>0.35926599999999997</v>
      </c>
      <c r="E33" s="66">
        <f>'M2'!E33-'M1'!E33</f>
        <v>0</v>
      </c>
      <c r="F33" s="66">
        <f>'M2'!F33-'M1'!F33</f>
        <v>-3.2580000000000109E-3</v>
      </c>
      <c r="G33" s="66">
        <f>'M2'!G33-'M1'!G33</f>
        <v>0</v>
      </c>
      <c r="H33" s="66">
        <f>'M2'!H33-'M1'!H33</f>
        <v>1.3870999999999967E-2</v>
      </c>
    </row>
    <row r="34" spans="1:8">
      <c r="A34" s="66" t="s">
        <v>77</v>
      </c>
      <c r="B34" s="66">
        <f>'M2'!B34-'M1'!B34</f>
        <v>1.0250000000000009E-2</v>
      </c>
      <c r="C34" s="66">
        <f>'M2'!C34-'M1'!C34</f>
        <v>1.866599999999996E-3</v>
      </c>
      <c r="D34" s="66">
        <f>'M2'!D34-'M1'!D34</f>
        <v>-2.4230000000000085E-3</v>
      </c>
      <c r="E34" s="66">
        <f>'M2'!E34-'M1'!E34</f>
        <v>0</v>
      </c>
      <c r="F34" s="66">
        <f>'M2'!F34-'M1'!F34</f>
        <v>5.9180000000000066E-3</v>
      </c>
      <c r="G34" s="66">
        <f>'M2'!G34-'M1'!G34</f>
        <v>0</v>
      </c>
      <c r="H34" s="66">
        <f>'M2'!H34-'M1'!H34</f>
        <v>1.5931000000000028E-2</v>
      </c>
    </row>
    <row r="35" spans="1:8">
      <c r="A35" s="66" t="s">
        <v>78</v>
      </c>
      <c r="B35" s="66">
        <f>'M2'!B35-'M1'!B35</f>
        <v>8.6629000000000012E-3</v>
      </c>
      <c r="C35" s="66">
        <f>'M2'!C35-'M1'!C35</f>
        <v>-4.8693999999999994E-3</v>
      </c>
      <c r="D35" s="66">
        <f>'M2'!D35-'M1'!D35</f>
        <v>-8.8440000000000019E-2</v>
      </c>
      <c r="E35" s="66">
        <f>'M2'!E35-'M1'!E35</f>
        <v>0</v>
      </c>
      <c r="F35" s="66">
        <f>'M2'!F35-'M1'!F35</f>
        <v>9.4930000000000014E-3</v>
      </c>
      <c r="G35" s="66">
        <f>'M2'!G35-'M1'!G35</f>
        <v>0</v>
      </c>
      <c r="H35" s="66">
        <f>'M2'!H35-'M1'!H35</f>
        <v>-3.0345000000000011E-2</v>
      </c>
    </row>
    <row r="36" spans="1:8">
      <c r="A36" s="66" t="s">
        <v>79</v>
      </c>
      <c r="B36" s="66">
        <f>'M2'!B36-'M1'!B36</f>
        <v>8.5999999999999965E-4</v>
      </c>
      <c r="C36" s="66">
        <f>'M2'!C36-'M1'!C36</f>
        <v>1.1171300000000009E-2</v>
      </c>
      <c r="D36" s="66">
        <f>'M2'!D36-'M1'!D36</f>
        <v>6.6771999999999943E-2</v>
      </c>
      <c r="E36" s="66">
        <f>'M2'!E36-'M1'!E36</f>
        <v>0</v>
      </c>
      <c r="F36" s="66">
        <f>'M2'!F36-'M1'!F36</f>
        <v>9.6879999999999883E-4</v>
      </c>
      <c r="G36" s="66">
        <f>'M2'!G36-'M1'!G36</f>
        <v>0</v>
      </c>
      <c r="H36" s="66">
        <f>'M2'!H36-'M1'!H36</f>
        <v>-4.6928999999999998E-2</v>
      </c>
    </row>
    <row r="37" spans="1:8">
      <c r="A37" s="66" t="s">
        <v>80</v>
      </c>
      <c r="B37" s="66">
        <f>'M2'!B37-'M1'!B37</f>
        <v>1.8666000000000016E-2</v>
      </c>
      <c r="C37" s="66">
        <f>'M2'!C37-'M1'!C37</f>
        <v>3.0110000000000012E-2</v>
      </c>
      <c r="D37" s="66">
        <f>'M2'!D37-'M1'!D37</f>
        <v>5.7555000000000023E-2</v>
      </c>
      <c r="E37" s="66">
        <f>'M2'!E37-'M1'!E37</f>
        <v>0</v>
      </c>
      <c r="F37" s="66">
        <f>'M2'!F37-'M1'!F37</f>
        <v>1.1171499999999997E-2</v>
      </c>
      <c r="G37" s="66">
        <f>'M2'!G37-'M1'!G37</f>
        <v>0</v>
      </c>
      <c r="H37" s="66">
        <f>'M2'!H37-'M1'!H37</f>
        <v>4.2762999999999995E-2</v>
      </c>
    </row>
    <row r="38" spans="1:8">
      <c r="A38" s="66" t="s">
        <v>81</v>
      </c>
      <c r="B38" s="66">
        <f>'M2'!B38-'M1'!B38</f>
        <v>9.2442499999999992</v>
      </c>
      <c r="C38" s="66">
        <f>'M2'!C38-'M1'!C38</f>
        <v>5.0899999999998613E-2</v>
      </c>
      <c r="D38" s="66">
        <f>'M2'!D38-'M1'!D38</f>
        <v>23.29645</v>
      </c>
      <c r="E38" s="66">
        <f>'M2'!E38-'M1'!E38</f>
        <v>0</v>
      </c>
      <c r="F38" s="66">
        <f>'M2'!F38-'M1'!F38</f>
        <v>-15.144099999999995</v>
      </c>
      <c r="G38" s="66">
        <f>'M2'!G38-'M1'!G38</f>
        <v>0</v>
      </c>
      <c r="H38" s="66">
        <f>'M2'!H38-'M1'!H38</f>
        <v>-138.32999999999998</v>
      </c>
    </row>
    <row r="39" spans="1:8">
      <c r="A39" s="66" t="s">
        <v>82</v>
      </c>
      <c r="B39" s="66">
        <f>'M2'!B39-'M1'!B39</f>
        <v>2.7744300000000002</v>
      </c>
      <c r="C39" s="66">
        <f>'M2'!C39-'M1'!C39</f>
        <v>-2.9995000000000003</v>
      </c>
      <c r="D39" s="66">
        <f>'M2'!D39-'M1'!D39</f>
        <v>29.265940000000001</v>
      </c>
      <c r="E39" s="66">
        <f>'M2'!E39-'M1'!E39</f>
        <v>0</v>
      </c>
      <c r="F39" s="66">
        <f>'M2'!F39-'M1'!F39</f>
        <v>12.6432</v>
      </c>
      <c r="G39" s="66">
        <f>'M2'!G39-'M1'!G39</f>
        <v>0</v>
      </c>
      <c r="H39" s="66">
        <f>'M2'!H39-'M1'!H39</f>
        <v>-31.593400000000003</v>
      </c>
    </row>
    <row r="40" spans="1:8">
      <c r="A40" s="66" t="s">
        <v>83</v>
      </c>
      <c r="B40" s="66">
        <f>'M2'!B40-'M1'!B40</f>
        <v>0.39388000000000001</v>
      </c>
      <c r="C40" s="66">
        <f>'M2'!C40-'M1'!C40</f>
        <v>0.16043300000000005</v>
      </c>
      <c r="D40" s="66">
        <f>'M2'!D40-'M1'!D40</f>
        <v>-0.32698099999999997</v>
      </c>
      <c r="E40" s="66">
        <f>'M2'!E40-'M1'!E40</f>
        <v>0</v>
      </c>
      <c r="F40" s="66">
        <f>'M2'!F40-'M1'!F40</f>
        <v>0.29916999999999971</v>
      </c>
      <c r="G40" s="66">
        <f>'M2'!G40-'M1'!G40</f>
        <v>0</v>
      </c>
      <c r="H40" s="66">
        <f>'M2'!H40-'M1'!H40</f>
        <v>0.34671600000000002</v>
      </c>
    </row>
    <row r="41" spans="1:8">
      <c r="A41" s="66" t="s">
        <v>84</v>
      </c>
      <c r="B41" s="66">
        <f>'M2'!B41-'M1'!B41</f>
        <v>6.5797400000000006E-2</v>
      </c>
      <c r="C41" s="66">
        <f>'M2'!C41-'M1'!C41</f>
        <v>4.4991000000000003E-2</v>
      </c>
      <c r="D41" s="66">
        <f>'M2'!D41-'M1'!D41</f>
        <v>6.2745800000000003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3.1469400000000008E-2</v>
      </c>
      <c r="C42" s="66">
        <f>'M2'!C42-'M1'!C42</f>
        <v>1.2167999999999984E-2</v>
      </c>
      <c r="D42" s="66">
        <f>'M2'!D42-'M1'!D42</f>
        <v>-1.4845999999999999</v>
      </c>
      <c r="E42" s="66">
        <f>'M2'!E42-'M1'!E42</f>
        <v>0</v>
      </c>
      <c r="F42" s="66">
        <f>'M2'!F42-'M1'!F42</f>
        <v>5.1934000000000036E-2</v>
      </c>
      <c r="G42" s="66">
        <f>'M2'!G42-'M1'!G42</f>
        <v>0</v>
      </c>
      <c r="H42" s="66">
        <f>'M2'!H42-'M1'!H42</f>
        <v>0.140347</v>
      </c>
    </row>
    <row r="43" spans="1:8">
      <c r="A43" s="66" t="s">
        <v>86</v>
      </c>
      <c r="B43" s="66">
        <f>'M2'!B43-'M1'!B43</f>
        <v>3.4394800000000003E-2</v>
      </c>
      <c r="C43" s="66">
        <f>'M2'!C43-'M1'!C43</f>
        <v>-8.7638000000000021E-3</v>
      </c>
      <c r="D43" s="66">
        <f>'M2'!D43-'M1'!D43</f>
        <v>-0.34631699999999999</v>
      </c>
      <c r="E43" s="66">
        <f>'M2'!E43-'M1'!E43</f>
        <v>0</v>
      </c>
      <c r="F43" s="66">
        <f>'M2'!F43-'M1'!F43</f>
        <v>0.16706599999999996</v>
      </c>
      <c r="G43" s="66">
        <f>'M2'!G43-'M1'!G43</f>
        <v>0</v>
      </c>
      <c r="H43" s="66">
        <f>'M2'!H43-'M1'!H43</f>
        <v>-6.9279000000000007E-3</v>
      </c>
    </row>
    <row r="44" spans="1:8">
      <c r="A44" s="66" t="s">
        <v>87</v>
      </c>
      <c r="B44" s="66">
        <f>'M2'!B44-'M1'!B44</f>
        <v>9.6266499999999997</v>
      </c>
      <c r="C44" s="66">
        <f>'M2'!C44-'M1'!C44</f>
        <v>3.5622100000000003</v>
      </c>
      <c r="D44" s="66">
        <f>'M2'!D44-'M1'!D44</f>
        <v>-7.6200279999999996</v>
      </c>
      <c r="E44" s="66">
        <f>'M2'!E44-'M1'!E44</f>
        <v>0</v>
      </c>
      <c r="F44" s="66">
        <f>'M2'!F44-'M1'!F44</f>
        <v>4.447300000000002</v>
      </c>
      <c r="G44" s="66">
        <f>'M2'!G44-'M1'!G44</f>
        <v>0</v>
      </c>
      <c r="H44" s="66">
        <f>'M2'!H44-'M1'!H44</f>
        <v>15.7072</v>
      </c>
    </row>
    <row r="45" spans="1:8">
      <c r="A45" s="66" t="s">
        <v>88</v>
      </c>
      <c r="B45" s="66">
        <f>'M2'!B45-'M1'!B45</f>
        <v>-1.7411999999999992</v>
      </c>
      <c r="C45" s="66">
        <f>'M2'!C45-'M1'!C45</f>
        <v>2.0528999999999993</v>
      </c>
      <c r="D45" s="66">
        <f>'M2'!D45-'M1'!D45</f>
        <v>4.6203999999999995E-2</v>
      </c>
      <c r="E45" s="66">
        <f>'M2'!E45-'M1'!E45</f>
        <v>0</v>
      </c>
      <c r="F45" s="66">
        <f>'M2'!F45-'M1'!F45</f>
        <v>-12.129200000000001</v>
      </c>
      <c r="G45" s="66">
        <f>'M2'!G45-'M1'!G45</f>
        <v>0</v>
      </c>
      <c r="H45" s="66">
        <f>'M2'!H45-'M1'!H45</f>
        <v>8.4206000000000074</v>
      </c>
    </row>
    <row r="46" spans="1:8">
      <c r="A46" s="66" t="s">
        <v>89</v>
      </c>
      <c r="B46" s="66">
        <f>'M2'!B46-'M1'!B46</f>
        <v>-0.94960000000000022</v>
      </c>
      <c r="C46" s="66">
        <f>'M2'!C46-'M1'!C46</f>
        <v>-7.1532300000000006</v>
      </c>
      <c r="D46" s="66">
        <f>'M2'!D46-'M1'!D46</f>
        <v>-0.21732759999999998</v>
      </c>
      <c r="E46" s="66">
        <f>'M2'!E46-'M1'!E46</f>
        <v>0</v>
      </c>
      <c r="F46" s="66">
        <f>'M2'!F46-'M1'!F46</f>
        <v>20.714110000000002</v>
      </c>
      <c r="G46" s="66">
        <f>'M2'!G46-'M1'!G46</f>
        <v>0</v>
      </c>
      <c r="H46" s="66">
        <f>'M2'!H46-'M1'!H46</f>
        <v>-2.7179999999999964</v>
      </c>
    </row>
    <row r="47" spans="1:8">
      <c r="A47" s="66" t="s">
        <v>90</v>
      </c>
      <c r="B47" s="66">
        <f>'M2'!B47-'M1'!B47</f>
        <v>-9.6543999999999963E-2</v>
      </c>
      <c r="C47" s="66">
        <f>'M2'!C47-'M1'!C47</f>
        <v>-0.79049900000000006</v>
      </c>
      <c r="D47" s="66">
        <f>'M2'!D47-'M1'!D47</f>
        <v>-0.9091149999999999</v>
      </c>
      <c r="E47" s="66">
        <f>'M2'!E47-'M1'!E47</f>
        <v>0</v>
      </c>
      <c r="F47" s="66">
        <f>'M2'!F47-'M1'!F47</f>
        <v>-3.6286999999999986E-2</v>
      </c>
      <c r="G47" s="66">
        <f>'M2'!G47-'M1'!G47</f>
        <v>0</v>
      </c>
      <c r="H47" s="66">
        <f>'M2'!H47-'M1'!H47</f>
        <v>-7.0187900000000001</v>
      </c>
    </row>
    <row r="48" spans="1:8">
      <c r="A48" s="66" t="s">
        <v>91</v>
      </c>
      <c r="B48" s="66">
        <f>'M2'!B48-'M1'!B48</f>
        <v>-2.674999999999994E-2</v>
      </c>
      <c r="C48" s="66">
        <f>'M2'!C48-'M1'!C48</f>
        <v>9.2639999999999945E-3</v>
      </c>
      <c r="D48" s="66">
        <f>'M2'!D48-'M1'!D48</f>
        <v>1.5028300000000008E-2</v>
      </c>
      <c r="E48" s="66">
        <f>'M2'!E48-'M1'!E48</f>
        <v>0</v>
      </c>
      <c r="F48" s="66">
        <f>'M2'!F48-'M1'!F48</f>
        <v>-1.1014999999999997E-2</v>
      </c>
      <c r="G48" s="66">
        <f>'M2'!G48-'M1'!G48</f>
        <v>0</v>
      </c>
      <c r="H48" s="66">
        <f>'M2'!H48-'M1'!H48</f>
        <v>2.9869999999999619E-3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43.448799999999999</v>
      </c>
      <c r="C5" s="66">
        <v>14.700699999999999</v>
      </c>
      <c r="D5" s="66">
        <v>33.834499999999998</v>
      </c>
      <c r="E5" s="66">
        <v>20</v>
      </c>
      <c r="F5" s="66">
        <v>6.2961299999999998</v>
      </c>
      <c r="G5" s="66">
        <v>50</v>
      </c>
      <c r="H5" s="66">
        <v>58.327300000000001</v>
      </c>
    </row>
    <row r="6" spans="1:8">
      <c r="A6" s="66" t="s">
        <v>358</v>
      </c>
      <c r="B6" s="66">
        <v>30.555499999999999</v>
      </c>
      <c r="C6" s="66">
        <v>4.1079499999999998</v>
      </c>
      <c r="D6" s="66">
        <v>13.4442</v>
      </c>
      <c r="E6" s="66">
        <v>20</v>
      </c>
      <c r="F6" s="66">
        <v>22.6236</v>
      </c>
      <c r="G6" s="66">
        <v>40</v>
      </c>
      <c r="H6" s="66">
        <v>36.072299999999998</v>
      </c>
    </row>
    <row r="7" spans="1:8">
      <c r="A7" s="66" t="s">
        <v>359</v>
      </c>
      <c r="B7" s="66">
        <v>28.172499999999999</v>
      </c>
      <c r="C7" s="66">
        <v>11.1691</v>
      </c>
      <c r="D7" s="66">
        <v>39.645499999999998</v>
      </c>
      <c r="E7" s="66">
        <v>15</v>
      </c>
      <c r="F7" s="66">
        <v>3.8946800000000001</v>
      </c>
      <c r="G7" s="66">
        <v>40</v>
      </c>
      <c r="H7" s="66">
        <v>50.013100000000001</v>
      </c>
    </row>
    <row r="8" spans="1:8">
      <c r="A8" s="66" t="s">
        <v>360</v>
      </c>
      <c r="B8" s="66">
        <v>31.704799999999999</v>
      </c>
      <c r="C8" s="66">
        <v>4.7918200000000004</v>
      </c>
      <c r="D8" s="66">
        <v>15.113899999999999</v>
      </c>
      <c r="E8" s="66">
        <v>20</v>
      </c>
      <c r="F8" s="66">
        <v>20.6983</v>
      </c>
      <c r="G8" s="66">
        <v>50</v>
      </c>
      <c r="H8" s="66">
        <v>40.471499999999999</v>
      </c>
    </row>
    <row r="9" spans="1:8">
      <c r="A9" s="66" t="s">
        <v>361</v>
      </c>
      <c r="B9" s="66">
        <v>47.648800000000001</v>
      </c>
      <c r="C9" s="66">
        <v>8.1713000000000005</v>
      </c>
      <c r="D9" s="66">
        <v>17.149000000000001</v>
      </c>
      <c r="E9" s="66">
        <v>50</v>
      </c>
      <c r="F9" s="66">
        <v>36.802700000000002</v>
      </c>
      <c r="G9" s="66">
        <v>100</v>
      </c>
      <c r="H9" s="66">
        <v>82.490700000000004</v>
      </c>
    </row>
    <row r="10" spans="1:8">
      <c r="A10" s="66" t="s">
        <v>362</v>
      </c>
      <c r="B10" s="66">
        <v>71.293899999999994</v>
      </c>
      <c r="C10" s="66">
        <v>7.2756600000000002</v>
      </c>
      <c r="D10" s="66">
        <v>10.2052</v>
      </c>
      <c r="E10" s="66">
        <v>40</v>
      </c>
      <c r="F10" s="66">
        <v>49.080300000000001</v>
      </c>
      <c r="G10" s="66">
        <v>100</v>
      </c>
      <c r="H10" s="66">
        <v>82.696899999999999</v>
      </c>
    </row>
    <row r="11" spans="1:8">
      <c r="A11" s="66" t="s">
        <v>363</v>
      </c>
      <c r="B11" s="66">
        <v>17.710999999999999</v>
      </c>
      <c r="C11" s="66">
        <v>5.06799</v>
      </c>
      <c r="D11" s="66">
        <v>28.614999999999998</v>
      </c>
      <c r="E11" s="66">
        <v>10</v>
      </c>
      <c r="F11" s="66">
        <v>3.4053399999999998</v>
      </c>
      <c r="G11" s="66">
        <v>50</v>
      </c>
      <c r="H11" s="66">
        <v>20.771699999999999</v>
      </c>
    </row>
    <row r="12" spans="1:8">
      <c r="A12" s="66" t="s">
        <v>364</v>
      </c>
      <c r="B12" s="66">
        <v>61.177599999999998</v>
      </c>
      <c r="C12" s="66">
        <v>3.1682199999999998</v>
      </c>
      <c r="D12" s="66">
        <v>5.1787299999999998</v>
      </c>
      <c r="E12" s="66">
        <v>50</v>
      </c>
      <c r="F12" s="66">
        <v>54.9544</v>
      </c>
      <c r="G12" s="66">
        <v>100</v>
      </c>
      <c r="H12" s="66">
        <v>71.213499999999996</v>
      </c>
    </row>
    <row r="13" spans="1:8">
      <c r="A13" s="66" t="s">
        <v>365</v>
      </c>
      <c r="B13" s="66">
        <v>18.127199999999998</v>
      </c>
      <c r="C13" s="66">
        <v>4.1215299999999999</v>
      </c>
      <c r="D13" s="66">
        <v>22.736699999999999</v>
      </c>
      <c r="E13" s="66">
        <v>10</v>
      </c>
      <c r="F13" s="66">
        <v>13.187099999999999</v>
      </c>
      <c r="G13" s="66">
        <v>25</v>
      </c>
      <c r="H13" s="66">
        <v>32.775199999999998</v>
      </c>
    </row>
    <row r="14" spans="1:8">
      <c r="A14" s="66" t="s">
        <v>366</v>
      </c>
      <c r="B14" s="66">
        <v>41.215299999999999</v>
      </c>
      <c r="C14" s="66">
        <v>11.7349</v>
      </c>
      <c r="D14" s="66">
        <v>28.472100000000001</v>
      </c>
      <c r="E14" s="66">
        <v>10</v>
      </c>
      <c r="F14" s="66">
        <v>1.74597</v>
      </c>
      <c r="G14" s="66">
        <v>50</v>
      </c>
      <c r="H14" s="66">
        <v>53.197000000000003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0.53920000000000001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0.63736800000000005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196">
        <v>2.6440699999999999E-5</v>
      </c>
      <c r="C20" s="66">
        <v>6.7858199999999994E-2</v>
      </c>
      <c r="D20" s="66">
        <v>2566.4299999999998</v>
      </c>
      <c r="E20" s="66">
        <v>0</v>
      </c>
      <c r="F20" s="66">
        <v>0</v>
      </c>
      <c r="G20" s="66">
        <v>0</v>
      </c>
      <c r="H20" s="66">
        <v>0.57776099999999997</v>
      </c>
    </row>
    <row r="21" spans="1:8">
      <c r="A21" s="66" t="s">
        <v>373</v>
      </c>
      <c r="B21" s="66">
        <v>3.6775299999999997E-2</v>
      </c>
      <c r="C21" s="66">
        <v>0.86130200000000001</v>
      </c>
      <c r="D21" s="66">
        <v>23.4207</v>
      </c>
      <c r="E21" s="66">
        <v>0</v>
      </c>
      <c r="F21" s="66">
        <v>0</v>
      </c>
      <c r="G21" s="66">
        <v>0</v>
      </c>
      <c r="H21" s="66">
        <v>6.2107999999999999</v>
      </c>
    </row>
    <row r="22" spans="1:8">
      <c r="A22" s="66" t="s">
        <v>374</v>
      </c>
      <c r="B22" s="66">
        <v>28.622399999999999</v>
      </c>
      <c r="C22" s="66">
        <v>27.261800000000001</v>
      </c>
      <c r="D22" s="66">
        <v>0.95246500000000001</v>
      </c>
      <c r="E22" s="66">
        <v>0</v>
      </c>
      <c r="F22" s="66">
        <v>8.9518699999999995</v>
      </c>
      <c r="G22" s="66">
        <v>0</v>
      </c>
      <c r="H22" s="66">
        <v>148.88900000000001</v>
      </c>
    </row>
    <row r="23" spans="1:8">
      <c r="A23" s="66" t="s">
        <v>375</v>
      </c>
      <c r="B23" s="66">
        <v>13.304</v>
      </c>
      <c r="C23" s="66">
        <v>5.2361899999999997</v>
      </c>
      <c r="D23" s="66">
        <v>0.39357900000000001</v>
      </c>
      <c r="E23" s="66">
        <v>0</v>
      </c>
      <c r="F23" s="66">
        <v>4.23726</v>
      </c>
      <c r="G23" s="66">
        <v>0</v>
      </c>
      <c r="H23" s="66">
        <v>20.453199999999999</v>
      </c>
    </row>
    <row r="24" spans="1:8">
      <c r="A24" s="66" t="s">
        <v>376</v>
      </c>
      <c r="B24" s="196">
        <v>3.79031E-5</v>
      </c>
      <c r="C24" s="66">
        <v>6.0121000000000001E-2</v>
      </c>
      <c r="D24" s="66">
        <v>1586.18</v>
      </c>
      <c r="E24" s="66">
        <v>0</v>
      </c>
      <c r="F24" s="196">
        <v>1.33291E-8</v>
      </c>
      <c r="G24" s="66">
        <v>0</v>
      </c>
      <c r="H24" s="66">
        <v>0.48122999999999999</v>
      </c>
    </row>
    <row r="25" spans="1:8">
      <c r="A25" s="66" t="s">
        <v>377</v>
      </c>
      <c r="B25" s="66">
        <v>5.6120700000000003E-2</v>
      </c>
      <c r="C25" s="66">
        <v>0.65282499999999999</v>
      </c>
      <c r="D25" s="66">
        <v>11.6325</v>
      </c>
      <c r="E25" s="66">
        <v>0</v>
      </c>
      <c r="F25" s="66">
        <v>8.2376700000000008E-3</v>
      </c>
      <c r="G25" s="66">
        <v>0</v>
      </c>
      <c r="H25" s="66">
        <v>3.0182199999999999</v>
      </c>
    </row>
    <row r="26" spans="1:8">
      <c r="A26" s="66" t="s">
        <v>378</v>
      </c>
      <c r="B26" s="196">
        <v>9.8476899999999999E-6</v>
      </c>
      <c r="C26" s="66">
        <v>8.1748600000000008E-3</v>
      </c>
      <c r="D26" s="66">
        <v>830.13</v>
      </c>
      <c r="E26" s="66">
        <v>0</v>
      </c>
      <c r="F26" s="66">
        <v>0</v>
      </c>
      <c r="G26" s="66">
        <v>0</v>
      </c>
      <c r="H26" s="66">
        <v>6.2811800000000001E-2</v>
      </c>
    </row>
    <row r="27" spans="1:8">
      <c r="A27" s="66" t="s">
        <v>379</v>
      </c>
      <c r="B27" s="66">
        <v>0</v>
      </c>
      <c r="C27" s="66">
        <v>1.5861499999999999E-3</v>
      </c>
      <c r="D27" s="66">
        <v>0</v>
      </c>
      <c r="E27" s="66">
        <v>0</v>
      </c>
      <c r="F27" s="66">
        <v>-1.34191E-2</v>
      </c>
      <c r="G27" s="66">
        <v>0</v>
      </c>
      <c r="H27" s="66">
        <v>1.5838399999999999E-2</v>
      </c>
    </row>
    <row r="28" spans="1:8">
      <c r="A28" s="66" t="s">
        <v>380</v>
      </c>
      <c r="B28" s="66">
        <v>8.59212E-3</v>
      </c>
      <c r="C28" s="66">
        <v>4.1439999999999998E-2</v>
      </c>
      <c r="D28" s="66">
        <v>4.8230199999999996</v>
      </c>
      <c r="E28" s="66">
        <v>0</v>
      </c>
      <c r="F28" s="66">
        <v>0</v>
      </c>
      <c r="G28" s="66">
        <v>0</v>
      </c>
      <c r="H28" s="66">
        <v>0.24296499999999999</v>
      </c>
    </row>
    <row r="29" spans="1:8">
      <c r="A29" s="66" t="s">
        <v>381</v>
      </c>
      <c r="B29" s="66">
        <v>71.225800000000007</v>
      </c>
      <c r="C29" s="66">
        <v>16.288699999999999</v>
      </c>
      <c r="D29" s="66">
        <v>0.22869100000000001</v>
      </c>
      <c r="E29" s="66">
        <v>0</v>
      </c>
      <c r="F29" s="66">
        <v>34.731299999999997</v>
      </c>
      <c r="G29" s="66">
        <v>0</v>
      </c>
      <c r="H29" s="66">
        <v>123.31699999999999</v>
      </c>
    </row>
    <row r="30" spans="1:8">
      <c r="A30" s="66" t="s">
        <v>382</v>
      </c>
      <c r="B30" s="66">
        <v>20.683800000000002</v>
      </c>
      <c r="C30" s="66">
        <v>5.1716300000000004</v>
      </c>
      <c r="D30" s="66">
        <v>0.25003199999999998</v>
      </c>
      <c r="E30" s="66">
        <v>0</v>
      </c>
      <c r="F30" s="66">
        <v>7.5814399999999997</v>
      </c>
      <c r="G30" s="66">
        <v>0</v>
      </c>
      <c r="H30" s="66">
        <v>28.984400000000001</v>
      </c>
    </row>
    <row r="31" spans="1:8">
      <c r="A31" s="66" t="s">
        <v>383</v>
      </c>
      <c r="B31" s="66">
        <v>96.854900000000001</v>
      </c>
      <c r="C31" s="66">
        <v>54.376100000000001</v>
      </c>
      <c r="D31" s="66">
        <v>0.56141799999999997</v>
      </c>
      <c r="E31" s="66">
        <v>0</v>
      </c>
      <c r="F31" s="66">
        <v>10.497999999999999</v>
      </c>
      <c r="G31" s="66">
        <v>0</v>
      </c>
      <c r="H31" s="66">
        <v>186.42</v>
      </c>
    </row>
    <row r="32" spans="1:8">
      <c r="A32" s="66" t="s">
        <v>384</v>
      </c>
      <c r="B32" s="66">
        <v>0.281725</v>
      </c>
      <c r="C32" s="66">
        <v>0.111691</v>
      </c>
      <c r="D32" s="66">
        <v>0.396455</v>
      </c>
      <c r="E32" s="66">
        <v>0.15</v>
      </c>
      <c r="F32" s="66">
        <v>3.8946799999999997E-2</v>
      </c>
      <c r="G32" s="66">
        <v>0.4</v>
      </c>
      <c r="H32" s="66">
        <v>0.50013099999999999</v>
      </c>
    </row>
    <row r="33" spans="1:8">
      <c r="A33" s="66" t="s">
        <v>385</v>
      </c>
      <c r="B33" s="66">
        <v>0.35215999999999997</v>
      </c>
      <c r="C33" s="66">
        <v>9.4876000000000002E-2</v>
      </c>
      <c r="D33" s="66">
        <v>0.26941199999999998</v>
      </c>
      <c r="E33" s="66">
        <v>0</v>
      </c>
      <c r="F33" s="66">
        <v>0.17155400000000001</v>
      </c>
      <c r="G33" s="66">
        <v>0</v>
      </c>
      <c r="H33" s="66">
        <v>0.43485000000000001</v>
      </c>
    </row>
    <row r="34" spans="1:8">
      <c r="A34" s="66" t="s">
        <v>386</v>
      </c>
      <c r="B34" s="66">
        <v>0.18127199999999999</v>
      </c>
      <c r="C34" s="66">
        <v>4.1215300000000003E-2</v>
      </c>
      <c r="D34" s="66">
        <v>0.22736700000000001</v>
      </c>
      <c r="E34" s="66">
        <v>0.1</v>
      </c>
      <c r="F34" s="66">
        <v>0.13187099999999999</v>
      </c>
      <c r="G34" s="66">
        <v>0.25</v>
      </c>
      <c r="H34" s="66">
        <v>0.32775199999999999</v>
      </c>
    </row>
    <row r="35" spans="1:8">
      <c r="A35" s="66" t="s">
        <v>387</v>
      </c>
      <c r="B35" s="66">
        <v>8.2599699999999998E-2</v>
      </c>
      <c r="C35" s="66">
        <v>3.05291E-2</v>
      </c>
      <c r="D35" s="66">
        <v>0.36960300000000001</v>
      </c>
      <c r="E35" s="66">
        <v>0</v>
      </c>
      <c r="F35" s="66">
        <v>3.5441300000000002E-2</v>
      </c>
      <c r="G35" s="66">
        <v>0</v>
      </c>
      <c r="H35" s="66">
        <v>0.194717</v>
      </c>
    </row>
    <row r="36" spans="1:8">
      <c r="A36" s="66" t="s">
        <v>388</v>
      </c>
      <c r="B36" s="66">
        <v>0.15837300000000001</v>
      </c>
      <c r="C36" s="66">
        <v>9.9331699999999995E-2</v>
      </c>
      <c r="D36" s="66">
        <v>0.62720100000000001</v>
      </c>
      <c r="E36" s="66">
        <v>0</v>
      </c>
      <c r="F36" s="66">
        <v>4.5873999999999998E-2</v>
      </c>
      <c r="G36" s="66">
        <v>0</v>
      </c>
      <c r="H36" s="66">
        <v>0.60168500000000003</v>
      </c>
    </row>
    <row r="37" spans="1:8">
      <c r="A37" s="66" t="s">
        <v>389</v>
      </c>
      <c r="B37" s="66">
        <v>0.41215299999999999</v>
      </c>
      <c r="C37" s="66">
        <v>0.11734899999999999</v>
      </c>
      <c r="D37" s="66">
        <v>0.284721</v>
      </c>
      <c r="E37" s="66">
        <v>0.1</v>
      </c>
      <c r="F37" s="66">
        <v>1.7459700000000002E-2</v>
      </c>
      <c r="G37" s="66">
        <v>0.5</v>
      </c>
      <c r="H37" s="66">
        <v>0.53197000000000005</v>
      </c>
    </row>
    <row r="38" spans="1:8">
      <c r="A38" s="66" t="s">
        <v>390</v>
      </c>
      <c r="B38" s="66">
        <v>-5.4063999999999997</v>
      </c>
      <c r="C38" s="66">
        <v>52.259599999999999</v>
      </c>
      <c r="D38" s="66">
        <v>-9.6662499999999998</v>
      </c>
      <c r="E38" s="66">
        <v>0</v>
      </c>
      <c r="F38" s="66">
        <v>-83.608699999999999</v>
      </c>
      <c r="G38" s="66">
        <v>0</v>
      </c>
      <c r="H38" s="66">
        <v>438.75299999999999</v>
      </c>
    </row>
    <row r="39" spans="1:8">
      <c r="A39" s="66" t="s">
        <v>391</v>
      </c>
      <c r="B39" s="66">
        <v>-2.4650300000000001</v>
      </c>
      <c r="C39" s="66">
        <v>10.710100000000001</v>
      </c>
      <c r="D39" s="66">
        <v>-4.3448399999999996</v>
      </c>
      <c r="E39" s="66">
        <v>0</v>
      </c>
      <c r="F39" s="66">
        <v>-24.1037</v>
      </c>
      <c r="G39" s="66">
        <v>0</v>
      </c>
      <c r="H39" s="66">
        <v>63.640700000000002</v>
      </c>
    </row>
    <row r="40" spans="1:8">
      <c r="A40" s="66" t="s">
        <v>392</v>
      </c>
      <c r="B40" s="66">
        <v>-1.5208900000000001</v>
      </c>
      <c r="C40" s="66">
        <v>0.80343799999999999</v>
      </c>
      <c r="D40" s="66">
        <v>-0.52826899999999999</v>
      </c>
      <c r="E40" s="66">
        <v>0</v>
      </c>
      <c r="F40" s="66">
        <v>-3.0796199999999998</v>
      </c>
      <c r="G40" s="66">
        <v>0</v>
      </c>
      <c r="H40" s="66">
        <v>0.116801</v>
      </c>
    </row>
    <row r="41" spans="1:8">
      <c r="A41" s="66" t="s">
        <v>393</v>
      </c>
      <c r="B41" s="66">
        <v>-6.5797400000000006E-2</v>
      </c>
      <c r="C41" s="66">
        <v>0.41285100000000002</v>
      </c>
      <c r="D41" s="66">
        <v>-6.2745800000000003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-8.4620200000000007E-2</v>
      </c>
      <c r="C42" s="66">
        <v>0.17946100000000001</v>
      </c>
      <c r="D42" s="66">
        <v>-2.12079</v>
      </c>
      <c r="E42" s="66">
        <v>0</v>
      </c>
      <c r="F42" s="66">
        <v>-0.609626</v>
      </c>
      <c r="G42" s="66">
        <v>0</v>
      </c>
      <c r="H42" s="66">
        <v>0.74725299999999995</v>
      </c>
    </row>
    <row r="43" spans="1:8">
      <c r="A43" s="66" t="s">
        <v>395</v>
      </c>
      <c r="B43" s="66">
        <v>-7.9816100000000001E-2</v>
      </c>
      <c r="C43" s="66">
        <v>5.6840500000000002E-2</v>
      </c>
      <c r="D43" s="66">
        <v>-0.71214299999999997</v>
      </c>
      <c r="E43" s="66">
        <v>0</v>
      </c>
      <c r="F43" s="66">
        <v>-0.30744899999999997</v>
      </c>
      <c r="G43" s="66">
        <v>0</v>
      </c>
      <c r="H43" s="66">
        <v>5.09738E-2</v>
      </c>
    </row>
    <row r="44" spans="1:8">
      <c r="A44" s="66" t="s">
        <v>396</v>
      </c>
      <c r="B44" s="66">
        <v>-11.0229</v>
      </c>
      <c r="C44" s="66">
        <v>8.1036900000000003</v>
      </c>
      <c r="D44" s="66">
        <v>-0.73517200000000005</v>
      </c>
      <c r="E44" s="66">
        <v>0</v>
      </c>
      <c r="F44" s="66">
        <v>-27.944400000000002</v>
      </c>
      <c r="G44" s="66">
        <v>0</v>
      </c>
      <c r="H44" s="66">
        <v>2.0369999999999999</v>
      </c>
    </row>
    <row r="45" spans="1:8">
      <c r="A45" s="66" t="s">
        <v>397</v>
      </c>
      <c r="B45" s="66">
        <v>53.738900000000001</v>
      </c>
      <c r="C45" s="66">
        <v>10.790900000000001</v>
      </c>
      <c r="D45" s="66">
        <v>0.20080200000000001</v>
      </c>
      <c r="E45" s="66">
        <v>0</v>
      </c>
      <c r="F45" s="66">
        <v>30.072700000000001</v>
      </c>
      <c r="G45" s="66">
        <v>0</v>
      </c>
      <c r="H45" s="66">
        <v>72.098399999999998</v>
      </c>
    </row>
    <row r="46" spans="1:8">
      <c r="A46" s="66" t="s">
        <v>398</v>
      </c>
      <c r="B46" s="66">
        <v>32.5501</v>
      </c>
      <c r="C46" s="66">
        <v>9.7884700000000002</v>
      </c>
      <c r="D46" s="66">
        <v>0.30071999999999999</v>
      </c>
      <c r="E46" s="66">
        <v>0</v>
      </c>
      <c r="F46" s="66">
        <v>6.3920899999999996</v>
      </c>
      <c r="G46" s="66">
        <v>0</v>
      </c>
      <c r="H46" s="66">
        <v>40.638599999999997</v>
      </c>
    </row>
    <row r="47" spans="1:8">
      <c r="A47" s="66" t="s">
        <v>399</v>
      </c>
      <c r="B47" s="66">
        <v>0.82835599999999998</v>
      </c>
      <c r="C47" s="66">
        <v>1.07416</v>
      </c>
      <c r="D47" s="66">
        <v>1.2967299999999999</v>
      </c>
      <c r="E47" s="66">
        <v>0</v>
      </c>
      <c r="F47" s="66">
        <v>0.16056899999999999</v>
      </c>
      <c r="G47" s="66">
        <v>0</v>
      </c>
      <c r="H47" s="66">
        <v>8.5135500000000004</v>
      </c>
    </row>
    <row r="48" spans="1:8">
      <c r="A48" s="66" t="s">
        <v>400</v>
      </c>
      <c r="B48" s="66">
        <v>0.78969599999999995</v>
      </c>
      <c r="C48" s="66">
        <v>6.4999100000000004E-2</v>
      </c>
      <c r="D48" s="66">
        <v>8.2308999999999993E-2</v>
      </c>
      <c r="E48" s="66">
        <v>0</v>
      </c>
      <c r="F48" s="66">
        <v>0.59175</v>
      </c>
      <c r="G48" s="66">
        <v>0</v>
      </c>
      <c r="H48" s="66">
        <v>0.89683500000000005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39.873100000000001</v>
      </c>
      <c r="C5" s="66">
        <v>4.90733</v>
      </c>
      <c r="D5" s="66">
        <v>12.307399999999999</v>
      </c>
      <c r="E5" s="66">
        <v>20</v>
      </c>
      <c r="F5" s="66">
        <v>28.812000000000001</v>
      </c>
      <c r="G5" s="66">
        <v>50</v>
      </c>
      <c r="H5" s="66">
        <v>47.0747</v>
      </c>
    </row>
    <row r="6" spans="1:8">
      <c r="A6" s="66" t="s">
        <v>358</v>
      </c>
      <c r="B6" s="66">
        <v>28.833600000000001</v>
      </c>
      <c r="C6" s="66">
        <v>3.1333199999999999</v>
      </c>
      <c r="D6" s="66">
        <v>10.866899999999999</v>
      </c>
      <c r="E6" s="66">
        <v>20</v>
      </c>
      <c r="F6" s="66">
        <v>24.401700000000002</v>
      </c>
      <c r="G6" s="66">
        <v>40</v>
      </c>
      <c r="H6" s="66">
        <v>40.176499999999997</v>
      </c>
    </row>
    <row r="7" spans="1:8">
      <c r="A7" s="66" t="s">
        <v>359</v>
      </c>
      <c r="B7" s="66">
        <v>29.941199999999998</v>
      </c>
      <c r="C7" s="66">
        <v>6.5100899999999999</v>
      </c>
      <c r="D7" s="66">
        <v>21.742899999999999</v>
      </c>
      <c r="E7" s="66">
        <v>15</v>
      </c>
      <c r="F7" s="66">
        <v>15.759600000000001</v>
      </c>
      <c r="G7" s="66">
        <v>40</v>
      </c>
      <c r="H7" s="66">
        <v>49.689100000000003</v>
      </c>
    </row>
    <row r="8" spans="1:8">
      <c r="A8" s="66" t="s">
        <v>360</v>
      </c>
      <c r="B8" s="66">
        <v>32.502899999999997</v>
      </c>
      <c r="C8" s="66">
        <v>3.0580699999999998</v>
      </c>
      <c r="D8" s="66">
        <v>9.4086099999999995</v>
      </c>
      <c r="E8" s="66">
        <v>20</v>
      </c>
      <c r="F8" s="66">
        <v>26.4757</v>
      </c>
      <c r="G8" s="66">
        <v>50</v>
      </c>
      <c r="H8" s="66">
        <v>38.663400000000003</v>
      </c>
    </row>
    <row r="9" spans="1:8">
      <c r="A9" s="66" t="s">
        <v>361</v>
      </c>
      <c r="B9" s="66">
        <v>55.893700000000003</v>
      </c>
      <c r="C9" s="66">
        <v>5.1334900000000001</v>
      </c>
      <c r="D9" s="66">
        <v>9.1843800000000009</v>
      </c>
      <c r="E9" s="66">
        <v>50</v>
      </c>
      <c r="F9" s="66">
        <v>45.924999999999997</v>
      </c>
      <c r="G9" s="66">
        <v>100</v>
      </c>
      <c r="H9" s="66">
        <v>65.8369</v>
      </c>
    </row>
    <row r="10" spans="1:8">
      <c r="A10" s="66" t="s">
        <v>362</v>
      </c>
      <c r="B10" s="66">
        <v>67.210999999999999</v>
      </c>
      <c r="C10" s="66">
        <v>7.2039299999999997</v>
      </c>
      <c r="D10" s="66">
        <v>10.718400000000001</v>
      </c>
      <c r="E10" s="66">
        <v>40</v>
      </c>
      <c r="F10" s="66">
        <v>61.8566</v>
      </c>
      <c r="G10" s="66">
        <v>100</v>
      </c>
      <c r="H10" s="66">
        <v>82.6798</v>
      </c>
    </row>
    <row r="11" spans="1:8">
      <c r="A11" s="66" t="s">
        <v>363</v>
      </c>
      <c r="B11" s="66">
        <v>16.5442</v>
      </c>
      <c r="C11" s="66">
        <v>1.5469599999999999</v>
      </c>
      <c r="D11" s="66">
        <v>9.3504299999999994</v>
      </c>
      <c r="E11" s="66">
        <v>10</v>
      </c>
      <c r="F11" s="66">
        <v>14.4688</v>
      </c>
      <c r="G11" s="66">
        <v>50</v>
      </c>
      <c r="H11" s="66">
        <v>21.202300000000001</v>
      </c>
    </row>
    <row r="12" spans="1:8">
      <c r="A12" s="66" t="s">
        <v>364</v>
      </c>
      <c r="B12" s="66">
        <v>63.288600000000002</v>
      </c>
      <c r="C12" s="66">
        <v>4.4863999999999997</v>
      </c>
      <c r="D12" s="66">
        <v>7.0888</v>
      </c>
      <c r="E12" s="66">
        <v>50</v>
      </c>
      <c r="F12" s="66">
        <v>55.997999999999998</v>
      </c>
      <c r="G12" s="66">
        <v>100</v>
      </c>
      <c r="H12" s="66">
        <v>70.486800000000002</v>
      </c>
    </row>
    <row r="13" spans="1:8">
      <c r="A13" s="66" t="s">
        <v>365</v>
      </c>
      <c r="B13" s="66">
        <v>19.152200000000001</v>
      </c>
      <c r="C13" s="66">
        <v>4.3081899999999997</v>
      </c>
      <c r="D13" s="66">
        <v>22.494399999999999</v>
      </c>
      <c r="E13" s="66">
        <v>10</v>
      </c>
      <c r="F13" s="66">
        <v>13.7789</v>
      </c>
      <c r="G13" s="66">
        <v>25</v>
      </c>
      <c r="H13" s="66">
        <v>34.368299999999998</v>
      </c>
    </row>
    <row r="14" spans="1:8">
      <c r="A14" s="66" t="s">
        <v>366</v>
      </c>
      <c r="B14" s="66">
        <v>43.081899999999997</v>
      </c>
      <c r="C14" s="66">
        <v>14.745900000000001</v>
      </c>
      <c r="D14" s="66">
        <v>34.227600000000002</v>
      </c>
      <c r="E14" s="66">
        <v>10</v>
      </c>
      <c r="F14" s="66">
        <v>2.8631199999999999</v>
      </c>
      <c r="G14" s="66">
        <v>50</v>
      </c>
      <c r="H14" s="66">
        <v>57.473300000000002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0.44134800000000002</v>
      </c>
      <c r="C18" s="66">
        <v>5.0193000000000002E-2</v>
      </c>
      <c r="D18" s="66">
        <v>0.11372699999999999</v>
      </c>
      <c r="E18" s="66">
        <v>0</v>
      </c>
      <c r="F18" s="66">
        <v>0.391154</v>
      </c>
      <c r="G18" s="66">
        <v>0</v>
      </c>
      <c r="H18" s="66">
        <v>0.49154100000000001</v>
      </c>
    </row>
    <row r="19" spans="1:8">
      <c r="A19" s="66" t="s">
        <v>371</v>
      </c>
      <c r="B19" s="66">
        <v>0.58280699999999996</v>
      </c>
      <c r="C19" s="66">
        <v>5.3395100000000001E-2</v>
      </c>
      <c r="D19" s="66">
        <v>9.1617100000000007E-2</v>
      </c>
      <c r="E19" s="66">
        <v>0</v>
      </c>
      <c r="F19" s="66">
        <v>0.52941199999999999</v>
      </c>
      <c r="G19" s="66">
        <v>0</v>
      </c>
      <c r="H19" s="66">
        <v>0.63620200000000005</v>
      </c>
    </row>
    <row r="20" spans="1:8">
      <c r="A20" s="66" t="s">
        <v>372</v>
      </c>
      <c r="B20" s="196">
        <v>2.16263E-5</v>
      </c>
      <c r="C20" s="66">
        <v>2.0397800000000001E-2</v>
      </c>
      <c r="D20" s="66">
        <v>943.19399999999996</v>
      </c>
      <c r="E20" s="66">
        <v>0</v>
      </c>
      <c r="F20" s="66">
        <v>0</v>
      </c>
      <c r="G20" s="66">
        <v>0</v>
      </c>
      <c r="H20" s="66">
        <v>0.18451200000000001</v>
      </c>
    </row>
    <row r="21" spans="1:8">
      <c r="A21" s="66" t="s">
        <v>373</v>
      </c>
      <c r="B21" s="66">
        <v>4.0630300000000001E-2</v>
      </c>
      <c r="C21" s="66">
        <v>7.8801800000000005E-2</v>
      </c>
      <c r="D21" s="66">
        <v>1.9394800000000001</v>
      </c>
      <c r="E21" s="66">
        <v>0</v>
      </c>
      <c r="F21" s="196">
        <v>1.75654E-5</v>
      </c>
      <c r="G21" s="66">
        <v>0</v>
      </c>
      <c r="H21" s="66">
        <v>0.35515000000000002</v>
      </c>
    </row>
    <row r="22" spans="1:8">
      <c r="A22" s="66" t="s">
        <v>374</v>
      </c>
      <c r="B22" s="66">
        <v>30.332899999999999</v>
      </c>
      <c r="C22" s="66">
        <v>8.1582399999999993</v>
      </c>
      <c r="D22" s="66">
        <v>0.268957</v>
      </c>
      <c r="E22" s="66">
        <v>0</v>
      </c>
      <c r="F22" s="66">
        <v>10.1553</v>
      </c>
      <c r="G22" s="66">
        <v>0</v>
      </c>
      <c r="H22" s="66">
        <v>44.023000000000003</v>
      </c>
    </row>
    <row r="23" spans="1:8">
      <c r="A23" s="66" t="s">
        <v>375</v>
      </c>
      <c r="B23" s="66">
        <v>14.7818</v>
      </c>
      <c r="C23" s="66">
        <v>2.57023</v>
      </c>
      <c r="D23" s="66">
        <v>0.173878</v>
      </c>
      <c r="E23" s="66">
        <v>0</v>
      </c>
      <c r="F23" s="66">
        <v>12.33</v>
      </c>
      <c r="G23" s="66">
        <v>0</v>
      </c>
      <c r="H23" s="66">
        <v>19.962199999999999</v>
      </c>
    </row>
    <row r="24" spans="1:8">
      <c r="A24" s="66" t="s">
        <v>376</v>
      </c>
      <c r="B24" s="196">
        <v>4.19854E-5</v>
      </c>
      <c r="C24" s="66">
        <v>1.1988800000000001E-2</v>
      </c>
      <c r="D24" s="66">
        <v>285.54599999999999</v>
      </c>
      <c r="E24" s="66">
        <v>0</v>
      </c>
      <c r="F24" s="196">
        <v>9.6438899999999994E-7</v>
      </c>
      <c r="G24" s="66">
        <v>0</v>
      </c>
      <c r="H24" s="66">
        <v>5.2280699999999999E-2</v>
      </c>
    </row>
    <row r="25" spans="1:8">
      <c r="A25" s="66" t="s">
        <v>377</v>
      </c>
      <c r="B25" s="66">
        <v>6.4599799999999999E-2</v>
      </c>
      <c r="C25" s="66">
        <v>3.3974499999999998E-2</v>
      </c>
      <c r="D25" s="66">
        <v>0.52592300000000003</v>
      </c>
      <c r="E25" s="66">
        <v>0</v>
      </c>
      <c r="F25" s="66">
        <v>1.1168199999999999E-3</v>
      </c>
      <c r="G25" s="66">
        <v>0</v>
      </c>
      <c r="H25" s="66">
        <v>0.134798</v>
      </c>
    </row>
    <row r="26" spans="1:8">
      <c r="A26" s="66" t="s">
        <v>378</v>
      </c>
      <c r="B26" s="196">
        <v>9.8476899999999999E-6</v>
      </c>
      <c r="C26" s="66">
        <v>1.0722399999999999E-3</v>
      </c>
      <c r="D26" s="66">
        <v>108.88200000000001</v>
      </c>
      <c r="E26" s="66">
        <v>0</v>
      </c>
      <c r="F26" s="66">
        <v>0</v>
      </c>
      <c r="G26" s="66">
        <v>0</v>
      </c>
      <c r="H26" s="66">
        <v>7.4908099999999997E-3</v>
      </c>
    </row>
    <row r="27" spans="1:8">
      <c r="A27" s="66" t="s">
        <v>379</v>
      </c>
      <c r="B27" s="66">
        <v>0</v>
      </c>
      <c r="C27" s="66">
        <v>7.8757600000000001E-4</v>
      </c>
      <c r="D27" s="66">
        <v>0</v>
      </c>
      <c r="E27" s="66">
        <v>0</v>
      </c>
      <c r="F27" s="66">
        <v>-6.9951400000000004E-3</v>
      </c>
      <c r="G27" s="66">
        <v>0</v>
      </c>
      <c r="H27" s="66">
        <v>5.6492900000000004E-3</v>
      </c>
    </row>
    <row r="28" spans="1:8">
      <c r="A28" s="66" t="s">
        <v>380</v>
      </c>
      <c r="B28" s="66">
        <v>8.1217400000000006E-3</v>
      </c>
      <c r="C28" s="66">
        <v>1.05801E-2</v>
      </c>
      <c r="D28" s="66">
        <v>1.3026899999999999</v>
      </c>
      <c r="E28" s="66">
        <v>0</v>
      </c>
      <c r="F28" s="196">
        <v>9.7656199999999999E-6</v>
      </c>
      <c r="G28" s="66">
        <v>0</v>
      </c>
      <c r="H28" s="66">
        <v>4.6122999999999997E-2</v>
      </c>
    </row>
    <row r="29" spans="1:8">
      <c r="A29" s="66" t="s">
        <v>381</v>
      </c>
      <c r="B29" s="66">
        <v>71.715999999999994</v>
      </c>
      <c r="C29" s="66">
        <v>16.659600000000001</v>
      </c>
      <c r="D29" s="66">
        <v>0.23230000000000001</v>
      </c>
      <c r="E29" s="66">
        <v>0</v>
      </c>
      <c r="F29" s="66">
        <v>30.884899999999998</v>
      </c>
      <c r="G29" s="66">
        <v>0</v>
      </c>
      <c r="H29" s="66">
        <v>109.813</v>
      </c>
    </row>
    <row r="30" spans="1:8">
      <c r="A30" s="66" t="s">
        <v>382</v>
      </c>
      <c r="B30" s="66">
        <v>26.242899999999999</v>
      </c>
      <c r="C30" s="66">
        <v>5.2252900000000002</v>
      </c>
      <c r="D30" s="66">
        <v>0.19911200000000001</v>
      </c>
      <c r="E30" s="66">
        <v>0</v>
      </c>
      <c r="F30" s="66">
        <v>14.2057</v>
      </c>
      <c r="G30" s="66">
        <v>0</v>
      </c>
      <c r="H30" s="66">
        <v>33.737699999999997</v>
      </c>
    </row>
    <row r="31" spans="1:8">
      <c r="A31" s="66" t="s">
        <v>383</v>
      </c>
      <c r="B31" s="66">
        <v>93.518000000000001</v>
      </c>
      <c r="C31" s="66">
        <v>28.2088</v>
      </c>
      <c r="D31" s="66">
        <v>0.30164000000000002</v>
      </c>
      <c r="E31" s="66">
        <v>0</v>
      </c>
      <c r="F31" s="66">
        <v>66.533199999999994</v>
      </c>
      <c r="G31" s="66">
        <v>0</v>
      </c>
      <c r="H31" s="66">
        <v>159.30000000000001</v>
      </c>
    </row>
    <row r="32" spans="1:8">
      <c r="A32" s="66" t="s">
        <v>384</v>
      </c>
      <c r="B32" s="66">
        <v>0.29941200000000001</v>
      </c>
      <c r="C32" s="66">
        <v>6.5100900000000003E-2</v>
      </c>
      <c r="D32" s="66">
        <v>0.21742900000000001</v>
      </c>
      <c r="E32" s="66">
        <v>0.15</v>
      </c>
      <c r="F32" s="66">
        <v>0.15759600000000001</v>
      </c>
      <c r="G32" s="66">
        <v>0.4</v>
      </c>
      <c r="H32" s="66">
        <v>0.49689100000000003</v>
      </c>
    </row>
    <row r="33" spans="1:8">
      <c r="A33" s="66" t="s">
        <v>385</v>
      </c>
      <c r="B33" s="66">
        <v>0.18914900000000001</v>
      </c>
      <c r="C33" s="66">
        <v>0.11891400000000001</v>
      </c>
      <c r="D33" s="66">
        <v>0.62867799999999996</v>
      </c>
      <c r="E33" s="66">
        <v>0</v>
      </c>
      <c r="F33" s="66">
        <v>0.168296</v>
      </c>
      <c r="G33" s="66">
        <v>0</v>
      </c>
      <c r="H33" s="66">
        <v>0.44872099999999998</v>
      </c>
    </row>
    <row r="34" spans="1:8">
      <c r="A34" s="66" t="s">
        <v>386</v>
      </c>
      <c r="B34" s="66">
        <v>0.191522</v>
      </c>
      <c r="C34" s="66">
        <v>4.3081899999999999E-2</v>
      </c>
      <c r="D34" s="66">
        <v>0.22494400000000001</v>
      </c>
      <c r="E34" s="66">
        <v>0.1</v>
      </c>
      <c r="F34" s="66">
        <v>0.13778899999999999</v>
      </c>
      <c r="G34" s="66">
        <v>0.25</v>
      </c>
      <c r="H34" s="66">
        <v>0.34368300000000002</v>
      </c>
    </row>
    <row r="35" spans="1:8">
      <c r="A35" s="66" t="s">
        <v>387</v>
      </c>
      <c r="B35" s="66">
        <v>9.1262599999999999E-2</v>
      </c>
      <c r="C35" s="66">
        <v>2.5659700000000001E-2</v>
      </c>
      <c r="D35" s="66">
        <v>0.281163</v>
      </c>
      <c r="E35" s="66">
        <v>0</v>
      </c>
      <c r="F35" s="66">
        <v>4.4934300000000003E-2</v>
      </c>
      <c r="G35" s="66">
        <v>0</v>
      </c>
      <c r="H35" s="66">
        <v>0.16437199999999999</v>
      </c>
    </row>
    <row r="36" spans="1:8">
      <c r="A36" s="66" t="s">
        <v>388</v>
      </c>
      <c r="B36" s="66">
        <v>0.15923300000000001</v>
      </c>
      <c r="C36" s="66">
        <v>0.110503</v>
      </c>
      <c r="D36" s="66">
        <v>0.69397299999999995</v>
      </c>
      <c r="E36" s="66">
        <v>0</v>
      </c>
      <c r="F36" s="66">
        <v>4.6842799999999997E-2</v>
      </c>
      <c r="G36" s="66">
        <v>0</v>
      </c>
      <c r="H36" s="66">
        <v>0.55475600000000003</v>
      </c>
    </row>
    <row r="37" spans="1:8">
      <c r="A37" s="66" t="s">
        <v>389</v>
      </c>
      <c r="B37" s="66">
        <v>0.43081900000000001</v>
      </c>
      <c r="C37" s="66">
        <v>0.14745900000000001</v>
      </c>
      <c r="D37" s="66">
        <v>0.34227600000000002</v>
      </c>
      <c r="E37" s="66">
        <v>0.1</v>
      </c>
      <c r="F37" s="66">
        <v>2.8631199999999999E-2</v>
      </c>
      <c r="G37" s="66">
        <v>0.5</v>
      </c>
      <c r="H37" s="66">
        <v>0.57473300000000005</v>
      </c>
    </row>
    <row r="38" spans="1:8">
      <c r="A38" s="66" t="s">
        <v>390</v>
      </c>
      <c r="B38" s="66">
        <v>3.83785</v>
      </c>
      <c r="C38" s="66">
        <v>52.310499999999998</v>
      </c>
      <c r="D38" s="66">
        <v>13.6302</v>
      </c>
      <c r="E38" s="66">
        <v>0</v>
      </c>
      <c r="F38" s="66">
        <v>-98.752799999999993</v>
      </c>
      <c r="G38" s="66">
        <v>0</v>
      </c>
      <c r="H38" s="66">
        <v>300.423</v>
      </c>
    </row>
    <row r="39" spans="1:8">
      <c r="A39" s="66" t="s">
        <v>391</v>
      </c>
      <c r="B39" s="66">
        <v>0.30940000000000001</v>
      </c>
      <c r="C39" s="66">
        <v>7.7106000000000003</v>
      </c>
      <c r="D39" s="66">
        <v>24.921099999999999</v>
      </c>
      <c r="E39" s="66">
        <v>0</v>
      </c>
      <c r="F39" s="66">
        <v>-11.4605</v>
      </c>
      <c r="G39" s="66">
        <v>0</v>
      </c>
      <c r="H39" s="66">
        <v>32.0473</v>
      </c>
    </row>
    <row r="40" spans="1:8">
      <c r="A40" s="66" t="s">
        <v>392</v>
      </c>
      <c r="B40" s="66">
        <v>-1.1270100000000001</v>
      </c>
      <c r="C40" s="66">
        <v>0.96387100000000003</v>
      </c>
      <c r="D40" s="66">
        <v>-0.85524999999999995</v>
      </c>
      <c r="E40" s="66">
        <v>0</v>
      </c>
      <c r="F40" s="66">
        <v>-2.7804500000000001</v>
      </c>
      <c r="G40" s="66">
        <v>0</v>
      </c>
      <c r="H40" s="66">
        <v>0.46351700000000001</v>
      </c>
    </row>
    <row r="41" spans="1:8">
      <c r="A41" s="66" t="s">
        <v>393</v>
      </c>
      <c r="B41" s="66">
        <v>0</v>
      </c>
      <c r="C41" s="66">
        <v>0.45784200000000003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-5.3150799999999998E-2</v>
      </c>
      <c r="C42" s="66">
        <v>0.19162899999999999</v>
      </c>
      <c r="D42" s="66">
        <v>-3.6053899999999999</v>
      </c>
      <c r="E42" s="66">
        <v>0</v>
      </c>
      <c r="F42" s="66">
        <v>-0.55769199999999997</v>
      </c>
      <c r="G42" s="66">
        <v>0</v>
      </c>
      <c r="H42" s="66">
        <v>0.88759999999999994</v>
      </c>
    </row>
    <row r="43" spans="1:8">
      <c r="A43" s="66" t="s">
        <v>395</v>
      </c>
      <c r="B43" s="66">
        <v>-4.5421299999999998E-2</v>
      </c>
      <c r="C43" s="66">
        <v>4.80767E-2</v>
      </c>
      <c r="D43" s="66">
        <v>-1.05846</v>
      </c>
      <c r="E43" s="66">
        <v>0</v>
      </c>
      <c r="F43" s="66">
        <v>-0.14038300000000001</v>
      </c>
      <c r="G43" s="66">
        <v>0</v>
      </c>
      <c r="H43" s="66">
        <v>4.4045899999999999E-2</v>
      </c>
    </row>
    <row r="44" spans="1:8">
      <c r="A44" s="66" t="s">
        <v>396</v>
      </c>
      <c r="B44" s="66">
        <v>-1.39625</v>
      </c>
      <c r="C44" s="66">
        <v>11.665900000000001</v>
      </c>
      <c r="D44" s="66">
        <v>-8.3552</v>
      </c>
      <c r="E44" s="66">
        <v>0</v>
      </c>
      <c r="F44" s="66">
        <v>-23.4971</v>
      </c>
      <c r="G44" s="66">
        <v>0</v>
      </c>
      <c r="H44" s="66">
        <v>17.744199999999999</v>
      </c>
    </row>
    <row r="45" spans="1:8">
      <c r="A45" s="66" t="s">
        <v>397</v>
      </c>
      <c r="B45" s="66">
        <v>51.997700000000002</v>
      </c>
      <c r="C45" s="66">
        <v>12.8438</v>
      </c>
      <c r="D45" s="66">
        <v>0.247006</v>
      </c>
      <c r="E45" s="66">
        <v>0</v>
      </c>
      <c r="F45" s="66">
        <v>17.9435</v>
      </c>
      <c r="G45" s="66">
        <v>0</v>
      </c>
      <c r="H45" s="66">
        <v>80.519000000000005</v>
      </c>
    </row>
    <row r="46" spans="1:8">
      <c r="A46" s="66" t="s">
        <v>398</v>
      </c>
      <c r="B46" s="66">
        <v>31.6005</v>
      </c>
      <c r="C46" s="66">
        <v>2.63524</v>
      </c>
      <c r="D46" s="66">
        <v>8.3392400000000005E-2</v>
      </c>
      <c r="E46" s="66">
        <v>0</v>
      </c>
      <c r="F46" s="66">
        <v>27.106200000000001</v>
      </c>
      <c r="G46" s="66">
        <v>0</v>
      </c>
      <c r="H46" s="66">
        <v>37.9206</v>
      </c>
    </row>
    <row r="47" spans="1:8">
      <c r="A47" s="66" t="s">
        <v>399</v>
      </c>
      <c r="B47" s="66">
        <v>0.73181200000000002</v>
      </c>
      <c r="C47" s="66">
        <v>0.283661</v>
      </c>
      <c r="D47" s="66">
        <v>0.38761499999999999</v>
      </c>
      <c r="E47" s="66">
        <v>0</v>
      </c>
      <c r="F47" s="66">
        <v>0.124282</v>
      </c>
      <c r="G47" s="66">
        <v>0</v>
      </c>
      <c r="H47" s="66">
        <v>1.4947600000000001</v>
      </c>
    </row>
    <row r="48" spans="1:8">
      <c r="A48" s="66" t="s">
        <v>400</v>
      </c>
      <c r="B48" s="66">
        <v>0.76294600000000001</v>
      </c>
      <c r="C48" s="66">
        <v>7.4263099999999999E-2</v>
      </c>
      <c r="D48" s="66">
        <v>9.7337300000000002E-2</v>
      </c>
      <c r="E48" s="66">
        <v>0</v>
      </c>
      <c r="F48" s="66">
        <v>0.580735</v>
      </c>
      <c r="G48" s="66">
        <v>0</v>
      </c>
      <c r="H48" s="66">
        <v>0.89982200000000001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401</v>
      </c>
      <c r="B1" s="60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72.268497350309417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1.3953233040764192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0.61581313304937102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11433</v>
      </c>
      <c r="B8" s="66">
        <v>11433</v>
      </c>
      <c r="D8">
        <f t="shared" si="0"/>
        <v>7.7728978570651586E-2</v>
      </c>
      <c r="E8">
        <f t="shared" si="0"/>
        <v>7.7728978570651586E-2</v>
      </c>
      <c r="G8">
        <f t="shared" ca="1" si="1"/>
        <v>6</v>
      </c>
      <c r="H8">
        <f t="shared" ca="1" si="2"/>
        <v>0.46637387142390951</v>
      </c>
      <c r="I8">
        <f t="shared" ca="1" si="3"/>
        <v>341.34787747219394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22259</v>
      </c>
      <c r="B10" s="66">
        <v>22259</v>
      </c>
      <c r="D10">
        <f t="shared" si="0"/>
        <v>0.15133117589470249</v>
      </c>
      <c r="E10">
        <f t="shared" si="0"/>
        <v>0.15133117589470249</v>
      </c>
      <c r="G10">
        <f t="shared" ca="1" si="1"/>
        <v>8</v>
      </c>
      <c r="H10">
        <f t="shared" ca="1" si="2"/>
        <v>1.2106494071576199</v>
      </c>
      <c r="I10">
        <f t="shared" ca="1" si="3"/>
        <v>625.06430458194893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31222</v>
      </c>
      <c r="B13" s="66">
        <v>31222</v>
      </c>
      <c r="D13">
        <f t="shared" si="0"/>
        <v>0.21226748613075166</v>
      </c>
      <c r="E13">
        <f t="shared" si="0"/>
        <v>0.21226748613075166</v>
      </c>
      <c r="G13">
        <f t="shared" ca="1" si="1"/>
        <v>11</v>
      </c>
      <c r="H13">
        <f t="shared" ca="1" si="2"/>
        <v>2.3349423474382682</v>
      </c>
      <c r="I13">
        <f t="shared" ca="1" si="3"/>
        <v>796.81579585629311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41952</v>
      </c>
      <c r="B15" s="66">
        <v>41952</v>
      </c>
      <c r="D15">
        <f t="shared" si="0"/>
        <v>0.28521701294463181</v>
      </c>
      <c r="E15">
        <f t="shared" si="0"/>
        <v>0.28521701294463181</v>
      </c>
      <c r="G15">
        <f t="shared" ca="1" si="1"/>
        <v>13</v>
      </c>
      <c r="H15">
        <f t="shared" ca="1" si="2"/>
        <v>3.7078211682802134</v>
      </c>
      <c r="I15">
        <f t="shared" ca="1" si="3"/>
        <v>1001.8974250348145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50981</v>
      </c>
      <c r="B18" s="66">
        <v>50981</v>
      </c>
      <c r="D18">
        <f t="shared" si="0"/>
        <v>0.34660203415642338</v>
      </c>
      <c r="E18">
        <f t="shared" si="0"/>
        <v>0.34660203415642338</v>
      </c>
      <c r="G18">
        <f t="shared" ca="1" si="1"/>
        <v>16</v>
      </c>
      <c r="H18">
        <f t="shared" ca="1" si="2"/>
        <v>5.545632546502774</v>
      </c>
      <c r="I18">
        <f t="shared" ca="1" si="3"/>
        <v>1097.3918794535482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70069</v>
      </c>
      <c r="B21" s="66">
        <v>70069</v>
      </c>
      <c r="D21">
        <f t="shared" si="0"/>
        <v>0.47637468726204724</v>
      </c>
      <c r="E21">
        <f t="shared" si="0"/>
        <v>0.47637468726204724</v>
      </c>
      <c r="G21">
        <f t="shared" ca="1" si="1"/>
        <v>19</v>
      </c>
      <c r="H21">
        <f t="shared" ca="1" si="2"/>
        <v>9.051119057978898</v>
      </c>
      <c r="I21">
        <f t="shared" ca="1" si="3"/>
        <v>1351.7288049404558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91925</v>
      </c>
      <c r="B23" s="66">
        <v>91925</v>
      </c>
      <c r="D23">
        <f t="shared" si="0"/>
        <v>0.62496600674426195</v>
      </c>
      <c r="E23">
        <f t="shared" si="0"/>
        <v>0.62496600674426195</v>
      </c>
      <c r="G23">
        <f t="shared" ca="1" si="1"/>
        <v>21</v>
      </c>
      <c r="H23">
        <f t="shared" ca="1" si="2"/>
        <v>13.124286141629501</v>
      </c>
      <c r="I23">
        <f t="shared" ca="1" si="3"/>
        <v>1642.6974129762932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95464</v>
      </c>
      <c r="B26" s="66">
        <v>95464</v>
      </c>
      <c r="D26">
        <f t="shared" si="0"/>
        <v>0.64902643315566189</v>
      </c>
      <c r="E26">
        <f t="shared" si="0"/>
        <v>0.64902643315566189</v>
      </c>
      <c r="G26">
        <f t="shared" ca="1" si="1"/>
        <v>24</v>
      </c>
      <c r="H26">
        <f t="shared" ca="1" si="2"/>
        <v>15.576634395735885</v>
      </c>
      <c r="I26">
        <f t="shared" ca="1" si="3"/>
        <v>1512.1328310910105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79858</v>
      </c>
      <c r="B28" s="66">
        <v>79858</v>
      </c>
      <c r="D28">
        <f t="shared" si="0"/>
        <v>0.54292668334602412</v>
      </c>
      <c r="E28">
        <f t="shared" si="0"/>
        <v>0.54292668334602412</v>
      </c>
      <c r="G28">
        <f t="shared" ca="1" si="1"/>
        <v>26</v>
      </c>
      <c r="H28">
        <f t="shared" ca="1" si="2"/>
        <v>14.116093766996627</v>
      </c>
      <c r="I28">
        <f t="shared" ca="1" si="3"/>
        <v>1162.2832445757999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83384</v>
      </c>
      <c r="B31" s="66">
        <v>83384</v>
      </c>
      <c r="D31">
        <f t="shared" si="0"/>
        <v>0.56689872729250512</v>
      </c>
      <c r="E31">
        <f t="shared" si="0"/>
        <v>0.56689872729250512</v>
      </c>
      <c r="G31">
        <f t="shared" ca="1" si="1"/>
        <v>29</v>
      </c>
      <c r="H31">
        <f t="shared" ca="1" si="2"/>
        <v>16.440063091482649</v>
      </c>
      <c r="I31">
        <f t="shared" ca="1" si="3"/>
        <v>1061.326744292764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93019</v>
      </c>
      <c r="B33" s="66">
        <v>93019</v>
      </c>
      <c r="D33">
        <f t="shared" si="0"/>
        <v>0.63240373109974979</v>
      </c>
      <c r="E33">
        <f t="shared" si="0"/>
        <v>0.63240373109974979</v>
      </c>
      <c r="G33">
        <f t="shared" ca="1" si="1"/>
        <v>31</v>
      </c>
      <c r="H33">
        <f t="shared" ca="1" si="2"/>
        <v>19.604515664092244</v>
      </c>
      <c r="I33">
        <f t="shared" ca="1" si="3"/>
        <v>1077.039758029068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90080</v>
      </c>
      <c r="B36" s="66">
        <v>90080</v>
      </c>
      <c r="D36">
        <f t="shared" si="0"/>
        <v>0.61242249537691718</v>
      </c>
      <c r="E36">
        <f t="shared" si="0"/>
        <v>0.61242249537691718</v>
      </c>
      <c r="G36">
        <f t="shared" ca="1" si="1"/>
        <v>34</v>
      </c>
      <c r="H36">
        <f t="shared" ca="1" si="2"/>
        <v>20.822364842815183</v>
      </c>
      <c r="I36">
        <f t="shared" ca="1" si="3"/>
        <v>896.87920348168132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89339</v>
      </c>
      <c r="B39" s="66">
        <v>89339</v>
      </c>
      <c r="D39">
        <f t="shared" si="0"/>
        <v>0.60738469487653646</v>
      </c>
      <c r="E39">
        <f t="shared" si="0"/>
        <v>0.60738469487653646</v>
      </c>
      <c r="G39">
        <f t="shared" ca="1" si="1"/>
        <v>37</v>
      </c>
      <c r="H39">
        <f t="shared" ca="1" si="2"/>
        <v>22.473233710431849</v>
      </c>
      <c r="I39">
        <f t="shared" ca="1" si="3"/>
        <v>755.50572077229185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98006</v>
      </c>
      <c r="B41" s="66">
        <v>98006</v>
      </c>
      <c r="D41">
        <f t="shared" si="0"/>
        <v>0.66630860437289241</v>
      </c>
      <c r="E41">
        <f t="shared" si="0"/>
        <v>0.66630860437289241</v>
      </c>
      <c r="G41">
        <f t="shared" ca="1" si="1"/>
        <v>39</v>
      </c>
      <c r="H41">
        <f t="shared" ca="1" si="2"/>
        <v>25.986035570542803</v>
      </c>
      <c r="I41">
        <f t="shared" ca="1" si="3"/>
        <v>737.4656431548126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92570</v>
      </c>
      <c r="B44" s="66">
        <v>92570</v>
      </c>
      <c r="D44">
        <f t="shared" si="0"/>
        <v>0.62935113673447185</v>
      </c>
      <c r="E44">
        <f t="shared" si="0"/>
        <v>0.62935113673447185</v>
      </c>
      <c r="G44">
        <f t="shared" ca="1" si="1"/>
        <v>42</v>
      </c>
      <c r="H44">
        <f t="shared" ca="1" si="2"/>
        <v>26.432747742847816</v>
      </c>
      <c r="I44">
        <f t="shared" ca="1" si="3"/>
        <v>576.60014026266822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95841</v>
      </c>
      <c r="B46" s="66">
        <v>95841</v>
      </c>
      <c r="D46">
        <f t="shared" si="0"/>
        <v>0.65158952463831177</v>
      </c>
      <c r="E46">
        <f t="shared" si="0"/>
        <v>0.65158952463831177</v>
      </c>
      <c r="G46">
        <f t="shared" ca="1" si="1"/>
        <v>44</v>
      </c>
      <c r="H46">
        <f t="shared" ca="1" si="2"/>
        <v>28.669939084085719</v>
      </c>
      <c r="I46">
        <f t="shared" ca="1" si="3"/>
        <v>520.69036435207886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94769</v>
      </c>
      <c r="B49" s="66">
        <v>94769</v>
      </c>
      <c r="D49">
        <f t="shared" si="0"/>
        <v>0.64430137060807136</v>
      </c>
      <c r="E49">
        <f t="shared" si="0"/>
        <v>0.64430137060807136</v>
      </c>
      <c r="G49">
        <f t="shared" ca="1" si="1"/>
        <v>47</v>
      </c>
      <c r="H49">
        <f t="shared" ca="1" si="2"/>
        <v>30.282164418579352</v>
      </c>
      <c r="I49">
        <f t="shared" ca="1" si="3"/>
        <v>411.38446538921795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87461</v>
      </c>
      <c r="B51" s="66">
        <v>87461</v>
      </c>
      <c r="D51">
        <f t="shared" si="0"/>
        <v>0.59461682802132054</v>
      </c>
      <c r="E51">
        <f t="shared" si="0"/>
        <v>0.59461682802132054</v>
      </c>
      <c r="G51">
        <f t="shared" ca="1" si="1"/>
        <v>49</v>
      </c>
      <c r="H51">
        <f t="shared" ca="1" si="2"/>
        <v>29.136224573044707</v>
      </c>
      <c r="I51">
        <f t="shared" ca="1" si="3"/>
        <v>321.93920840979524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90995</v>
      </c>
      <c r="B54" s="66">
        <v>90995</v>
      </c>
      <c r="D54">
        <f t="shared" si="0"/>
        <v>0.61864326117698254</v>
      </c>
      <c r="E54">
        <f t="shared" si="0"/>
        <v>0.61864326117698254</v>
      </c>
      <c r="G54">
        <f t="shared" ca="1" si="1"/>
        <v>52</v>
      </c>
      <c r="H54">
        <f t="shared" ca="1" si="2"/>
        <v>32.169449581203089</v>
      </c>
      <c r="I54">
        <f t="shared" ca="1" si="3"/>
        <v>254.1460660316973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100428</v>
      </c>
      <c r="B57" s="66">
        <v>100428</v>
      </c>
      <c r="D57">
        <f t="shared" si="0"/>
        <v>0.68277493745240947</v>
      </c>
      <c r="E57">
        <f t="shared" si="0"/>
        <v>0.68277493745240947</v>
      </c>
      <c r="G57">
        <f t="shared" ca="1" si="1"/>
        <v>55</v>
      </c>
      <c r="H57">
        <f t="shared" ca="1" si="2"/>
        <v>37.552621559882517</v>
      </c>
      <c r="I57">
        <f t="shared" ca="1" si="3"/>
        <v>203.60416962689035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101314</v>
      </c>
      <c r="B59" s="66">
        <v>101314</v>
      </c>
      <c r="D59">
        <f t="shared" si="0"/>
        <v>0.68879854236919391</v>
      </c>
      <c r="E59">
        <f t="shared" si="0"/>
        <v>0.68879854236919391</v>
      </c>
      <c r="G59">
        <f t="shared" ca="1" si="1"/>
        <v>57</v>
      </c>
      <c r="H59">
        <f t="shared" ca="1" si="2"/>
        <v>39.261516915044055</v>
      </c>
      <c r="I59">
        <f t="shared" ca="1" si="3"/>
        <v>160.5775455954028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114860</v>
      </c>
      <c r="B62" s="66">
        <v>114860</v>
      </c>
      <c r="D62">
        <f t="shared" si="0"/>
        <v>0.78089307081475035</v>
      </c>
      <c r="E62">
        <f t="shared" si="0"/>
        <v>0.78089307081475035</v>
      </c>
      <c r="G62">
        <f t="shared" ca="1" si="1"/>
        <v>60</v>
      </c>
      <c r="H62">
        <f t="shared" ca="1" si="2"/>
        <v>46.853584248885021</v>
      </c>
      <c r="I62">
        <f t="shared" ca="1" si="3"/>
        <v>117.53692271402372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124708</v>
      </c>
      <c r="B64" s="66">
        <v>124708</v>
      </c>
      <c r="D64">
        <f t="shared" si="0"/>
        <v>0.84784618731643646</v>
      </c>
      <c r="E64">
        <f t="shared" si="0"/>
        <v>0.84784618731643646</v>
      </c>
      <c r="G64">
        <f t="shared" ca="1" si="1"/>
        <v>62</v>
      </c>
      <c r="H64">
        <f t="shared" ca="1" si="2"/>
        <v>52.566463613619064</v>
      </c>
      <c r="I64">
        <f t="shared" ca="1" si="3"/>
        <v>89.398629759848617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126591</v>
      </c>
      <c r="B67" s="66">
        <v>126591</v>
      </c>
      <c r="D67">
        <f t="shared" ref="D67:E130" si="4">IFERROR( A67/MAX(A$2:A$257), 0 )</f>
        <v>0.86064804742739043</v>
      </c>
      <c r="E67">
        <f t="shared" si="4"/>
        <v>0.86064804742739043</v>
      </c>
      <c r="G67">
        <f t="shared" ref="G67:G130" ca="1" si="5">CELL("row",D67)-2</f>
        <v>65</v>
      </c>
      <c r="H67">
        <f t="shared" ref="H67:H130" ca="1" si="6">D67*G67</f>
        <v>55.942123082780377</v>
      </c>
      <c r="I67">
        <f t="shared" ref="I67:I130" ca="1" si="7">D67*((G67-$L$1)^2)</f>
        <v>45.468943237508306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122244</v>
      </c>
      <c r="B69" s="66">
        <v>122244</v>
      </c>
      <c r="D69">
        <f t="shared" si="4"/>
        <v>0.83109431088871966</v>
      </c>
      <c r="E69">
        <f t="shared" si="4"/>
        <v>0.83109431088871966</v>
      </c>
      <c r="G69">
        <f t="shared" ca="1" si="5"/>
        <v>67</v>
      </c>
      <c r="H69">
        <f t="shared" ca="1" si="6"/>
        <v>55.68331882954422</v>
      </c>
      <c r="I69">
        <f t="shared" ca="1" si="7"/>
        <v>23.068738251815848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115523</v>
      </c>
      <c r="B72" s="66">
        <v>115523</v>
      </c>
      <c r="D72">
        <f t="shared" si="4"/>
        <v>0.78540057652561734</v>
      </c>
      <c r="E72">
        <f t="shared" si="4"/>
        <v>0.78540057652561734</v>
      </c>
      <c r="G72">
        <f t="shared" ca="1" si="5"/>
        <v>70</v>
      </c>
      <c r="H72">
        <f t="shared" ca="1" si="6"/>
        <v>54.978040356793215</v>
      </c>
      <c r="I72">
        <f t="shared" ca="1" si="7"/>
        <v>4.0417343782016895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116220</v>
      </c>
      <c r="B75" s="66">
        <v>116220</v>
      </c>
      <c r="D75">
        <f t="shared" si="4"/>
        <v>0.7901392363755031</v>
      </c>
      <c r="E75">
        <f t="shared" si="4"/>
        <v>0.7901392363755031</v>
      </c>
      <c r="G75">
        <f t="shared" ca="1" si="5"/>
        <v>73</v>
      </c>
      <c r="H75">
        <f t="shared" ca="1" si="6"/>
        <v>57.680164255411725</v>
      </c>
      <c r="I75">
        <f t="shared" ca="1" si="7"/>
        <v>0.42280044478363182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112883</v>
      </c>
      <c r="B77" s="66">
        <v>112883</v>
      </c>
      <c r="D77">
        <f t="shared" si="4"/>
        <v>0.76745213749592078</v>
      </c>
      <c r="E77">
        <f t="shared" si="4"/>
        <v>0.76745213749592078</v>
      </c>
      <c r="G77">
        <f t="shared" ca="1" si="5"/>
        <v>75</v>
      </c>
      <c r="H77">
        <f t="shared" ca="1" si="6"/>
        <v>57.558910312194058</v>
      </c>
      <c r="I77">
        <f t="shared" ca="1" si="7"/>
        <v>5.7260423043911004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113711</v>
      </c>
      <c r="B80" s="66">
        <v>113711</v>
      </c>
      <c r="D80">
        <f t="shared" si="4"/>
        <v>0.77308142064614382</v>
      </c>
      <c r="E80">
        <f t="shared" si="4"/>
        <v>0.77308142064614382</v>
      </c>
      <c r="G80">
        <f t="shared" ca="1" si="5"/>
        <v>78</v>
      </c>
      <c r="H80">
        <f t="shared" ca="1" si="6"/>
        <v>60.300350810399216</v>
      </c>
      <c r="I80">
        <f t="shared" ca="1" si="7"/>
        <v>25.395819466105966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124500</v>
      </c>
      <c r="B82" s="66">
        <v>124500</v>
      </c>
      <c r="D82">
        <f t="shared" si="4"/>
        <v>0.84643206787773306</v>
      </c>
      <c r="E82">
        <f t="shared" si="4"/>
        <v>0.84643206787773306</v>
      </c>
      <c r="G82">
        <f t="shared" ca="1" si="5"/>
        <v>80</v>
      </c>
      <c r="H82">
        <f t="shared" ca="1" si="6"/>
        <v>67.714565430218641</v>
      </c>
      <c r="I82">
        <f t="shared" ca="1" si="7"/>
        <v>50.596436052978333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135064</v>
      </c>
      <c r="B85" s="66">
        <v>135064</v>
      </c>
      <c r="D85">
        <f t="shared" si="4"/>
        <v>0.91825301860110953</v>
      </c>
      <c r="E85">
        <f t="shared" si="4"/>
        <v>0.91825301860110953</v>
      </c>
      <c r="G85">
        <f t="shared" ca="1" si="5"/>
        <v>83</v>
      </c>
      <c r="H85">
        <f t="shared" ca="1" si="6"/>
        <v>76.215000543892089</v>
      </c>
      <c r="I85">
        <f t="shared" ca="1" si="7"/>
        <v>105.75074581737708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140266</v>
      </c>
      <c r="B88" s="66">
        <v>140266</v>
      </c>
      <c r="D88">
        <f t="shared" si="4"/>
        <v>0.95361960187098882</v>
      </c>
      <c r="E88">
        <f t="shared" si="4"/>
        <v>0.95361960187098882</v>
      </c>
      <c r="G88">
        <f t="shared" ca="1" si="5"/>
        <v>86</v>
      </c>
      <c r="H88">
        <f t="shared" ca="1" si="6"/>
        <v>82.011285760905039</v>
      </c>
      <c r="I88">
        <f t="shared" ca="1" si="7"/>
        <v>179.80894777602009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140546</v>
      </c>
      <c r="B90" s="66">
        <v>140546</v>
      </c>
      <c r="D90">
        <f t="shared" si="4"/>
        <v>0.95552322419232028</v>
      </c>
      <c r="E90">
        <f t="shared" si="4"/>
        <v>0.95552322419232028</v>
      </c>
      <c r="G90">
        <f t="shared" ca="1" si="5"/>
        <v>88</v>
      </c>
      <c r="H90">
        <f t="shared" ca="1" si="6"/>
        <v>84.086043728924182</v>
      </c>
      <c r="I90">
        <f t="shared" ca="1" si="7"/>
        <v>236.47305532944947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147088</v>
      </c>
      <c r="B93" s="66">
        <v>147088</v>
      </c>
      <c r="D93">
        <f t="shared" si="4"/>
        <v>1</v>
      </c>
      <c r="E93">
        <f t="shared" si="4"/>
        <v>1</v>
      </c>
      <c r="G93">
        <f t="shared" ca="1" si="5"/>
        <v>91</v>
      </c>
      <c r="H93">
        <f t="shared" ca="1" si="6"/>
        <v>91</v>
      </c>
      <c r="I93">
        <f t="shared" ca="1" si="7"/>
        <v>350.86919151536534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144735</v>
      </c>
      <c r="B95" s="66">
        <v>144735</v>
      </c>
      <c r="D95">
        <f t="shared" si="4"/>
        <v>0.98400277384966828</v>
      </c>
      <c r="E95">
        <f t="shared" si="4"/>
        <v>0.98400277384966828</v>
      </c>
      <c r="G95">
        <f t="shared" ca="1" si="5"/>
        <v>93</v>
      </c>
      <c r="H95">
        <f t="shared" ca="1" si="6"/>
        <v>91.512257968019156</v>
      </c>
      <c r="I95">
        <f t="shared" ca="1" si="7"/>
        <v>422.91967106758045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137747</v>
      </c>
      <c r="B98" s="66">
        <v>137747</v>
      </c>
      <c r="D98">
        <f t="shared" si="4"/>
        <v>0.93649379963015333</v>
      </c>
      <c r="E98">
        <f t="shared" si="4"/>
        <v>0.93649379963015333</v>
      </c>
      <c r="G98">
        <f t="shared" ca="1" si="5"/>
        <v>96</v>
      </c>
      <c r="H98">
        <f t="shared" ca="1" si="6"/>
        <v>89.903404764494724</v>
      </c>
      <c r="I98">
        <f t="shared" ca="1" si="7"/>
        <v>527.41852821804844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128896</v>
      </c>
      <c r="B100" s="66">
        <v>128896</v>
      </c>
      <c r="D100">
        <f t="shared" si="4"/>
        <v>0.87631893832263674</v>
      </c>
      <c r="E100">
        <f t="shared" si="4"/>
        <v>0.87631893832263674</v>
      </c>
      <c r="G100">
        <f t="shared" ca="1" si="5"/>
        <v>98</v>
      </c>
      <c r="H100">
        <f t="shared" ca="1" si="6"/>
        <v>85.879255955618405</v>
      </c>
      <c r="I100">
        <f t="shared" ca="1" si="7"/>
        <v>580.21973258897913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122539</v>
      </c>
      <c r="B103" s="66">
        <v>122539</v>
      </c>
      <c r="D103">
        <f t="shared" si="4"/>
        <v>0.83309991297726527</v>
      </c>
      <c r="E103">
        <f t="shared" si="4"/>
        <v>0.83309991297726527</v>
      </c>
      <c r="G103">
        <f t="shared" ca="1" si="5"/>
        <v>101</v>
      </c>
      <c r="H103">
        <f t="shared" ca="1" si="6"/>
        <v>84.143091210703787</v>
      </c>
      <c r="I103">
        <f t="shared" ca="1" si="7"/>
        <v>687.72334876339357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106336</v>
      </c>
      <c r="B106" s="66">
        <v>106336</v>
      </c>
      <c r="D106">
        <f t="shared" si="4"/>
        <v>0.72294136843250301</v>
      </c>
      <c r="E106">
        <f t="shared" si="4"/>
        <v>0.72294136843250301</v>
      </c>
      <c r="G106">
        <f t="shared" ca="1" si="5"/>
        <v>104</v>
      </c>
      <c r="H106">
        <f t="shared" ca="1" si="6"/>
        <v>75.185902316980318</v>
      </c>
      <c r="I106">
        <f t="shared" ca="1" si="7"/>
        <v>727.92117683749063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105359</v>
      </c>
      <c r="B108" s="66">
        <v>105359</v>
      </c>
      <c r="D108">
        <f t="shared" si="4"/>
        <v>0.7162990862612858</v>
      </c>
      <c r="E108">
        <f t="shared" si="4"/>
        <v>0.7162990862612858</v>
      </c>
      <c r="G108">
        <f t="shared" ca="1" si="5"/>
        <v>106</v>
      </c>
      <c r="H108">
        <f t="shared" ca="1" si="6"/>
        <v>75.927703143696291</v>
      </c>
      <c r="I108">
        <f t="shared" ca="1" si="7"/>
        <v>815.01532265670824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97830</v>
      </c>
      <c r="B111" s="66">
        <v>97830</v>
      </c>
      <c r="D111">
        <f t="shared" si="4"/>
        <v>0.66511204177091265</v>
      </c>
      <c r="E111">
        <f t="shared" si="4"/>
        <v>0.66511204177091265</v>
      </c>
      <c r="G111">
        <f t="shared" ca="1" si="5"/>
        <v>109</v>
      </c>
      <c r="H111">
        <f t="shared" ca="1" si="6"/>
        <v>72.497212553029485</v>
      </c>
      <c r="I111">
        <f t="shared" ca="1" si="7"/>
        <v>897.37135291689651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90142</v>
      </c>
      <c r="B113" s="66">
        <v>90142</v>
      </c>
      <c r="D113">
        <f t="shared" si="4"/>
        <v>0.61284401174806913</v>
      </c>
      <c r="E113">
        <f t="shared" si="4"/>
        <v>0.61284401174806913</v>
      </c>
      <c r="G113">
        <f t="shared" ca="1" si="5"/>
        <v>111</v>
      </c>
      <c r="H113">
        <f t="shared" ca="1" si="6"/>
        <v>68.025685304035676</v>
      </c>
      <c r="I113">
        <f t="shared" ca="1" si="7"/>
        <v>919.34525682254434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87043</v>
      </c>
      <c r="B116" s="66">
        <v>87043</v>
      </c>
      <c r="D116">
        <f t="shared" si="4"/>
        <v>0.59177499184161864</v>
      </c>
      <c r="E116">
        <f t="shared" si="4"/>
        <v>0.59177499184161864</v>
      </c>
      <c r="G116">
        <f t="shared" ca="1" si="5"/>
        <v>114</v>
      </c>
      <c r="H116">
        <f t="shared" ca="1" si="6"/>
        <v>67.462349069944523</v>
      </c>
      <c r="I116">
        <f t="shared" ca="1" si="7"/>
        <v>1030.5869857049845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72929</v>
      </c>
      <c r="B118" s="66">
        <v>72929</v>
      </c>
      <c r="D118">
        <f t="shared" si="4"/>
        <v>0.49581882954421841</v>
      </c>
      <c r="E118">
        <f t="shared" si="4"/>
        <v>0.49581882954421841</v>
      </c>
      <c r="G118">
        <f t="shared" ca="1" si="5"/>
        <v>116</v>
      </c>
      <c r="H118">
        <f t="shared" ca="1" si="6"/>
        <v>57.514984227129332</v>
      </c>
      <c r="I118">
        <f t="shared" ca="1" si="7"/>
        <v>948.22590629411172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65839</v>
      </c>
      <c r="B121" s="66">
        <v>65839</v>
      </c>
      <c r="D121">
        <f t="shared" si="4"/>
        <v>0.4476163929076471</v>
      </c>
      <c r="E121">
        <f t="shared" si="4"/>
        <v>0.4476163929076471</v>
      </c>
      <c r="G121">
        <f t="shared" ca="1" si="5"/>
        <v>119</v>
      </c>
      <c r="H121">
        <f t="shared" ca="1" si="6"/>
        <v>53.266350756010006</v>
      </c>
      <c r="I121">
        <f t="shared" ca="1" si="7"/>
        <v>977.5196023166194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62094</v>
      </c>
      <c r="B124" s="66">
        <v>62094</v>
      </c>
      <c r="D124">
        <f t="shared" si="4"/>
        <v>0.42215544435983898</v>
      </c>
      <c r="E124">
        <f t="shared" si="4"/>
        <v>0.42215544435983898</v>
      </c>
      <c r="G124">
        <f t="shared" ca="1" si="5"/>
        <v>122</v>
      </c>
      <c r="H124">
        <f t="shared" ca="1" si="6"/>
        <v>51.502964211900355</v>
      </c>
      <c r="I124">
        <f t="shared" ca="1" si="7"/>
        <v>1044.0842826118248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52805</v>
      </c>
      <c r="B126" s="66">
        <v>52805</v>
      </c>
      <c r="D126">
        <f t="shared" si="4"/>
        <v>0.35900277384966822</v>
      </c>
      <c r="E126">
        <f t="shared" si="4"/>
        <v>0.35900277384966822</v>
      </c>
      <c r="G126">
        <f t="shared" ca="1" si="5"/>
        <v>124</v>
      </c>
      <c r="H126">
        <f t="shared" ca="1" si="6"/>
        <v>44.516343957358856</v>
      </c>
      <c r="I126">
        <f t="shared" ca="1" si="7"/>
        <v>960.74468676904314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46238</v>
      </c>
      <c r="B129" s="66">
        <v>46238</v>
      </c>
      <c r="D129">
        <f t="shared" si="4"/>
        <v>0.31435603176329818</v>
      </c>
      <c r="E129">
        <f t="shared" si="4"/>
        <v>0.31435603176329818</v>
      </c>
      <c r="G129">
        <f t="shared" ca="1" si="5"/>
        <v>127</v>
      </c>
      <c r="H129">
        <f t="shared" ca="1" si="6"/>
        <v>39.923216033938871</v>
      </c>
      <c r="I129">
        <f t="shared" ca="1" si="7"/>
        <v>941.66524449627286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33066</v>
      </c>
      <c r="B131" s="66">
        <v>33066</v>
      </c>
      <c r="D131">
        <f t="shared" ref="D131:E194" si="8">IFERROR( A131/MAX(A$2:A$257), 0 )</f>
        <v>0.22480419884694877</v>
      </c>
      <c r="E131">
        <f t="shared" si="8"/>
        <v>0.22480419884694877</v>
      </c>
      <c r="G131">
        <f t="shared" ref="G131:G194" ca="1" si="9">CELL("row",D131)-2</f>
        <v>129</v>
      </c>
      <c r="H131">
        <f t="shared" ref="H131:H194" ca="1" si="10">D131*G131</f>
        <v>28.999741651256393</v>
      </c>
      <c r="I131">
        <f t="shared" ref="I131:I194" ca="1" si="11">D131*((G131-$L$1)^2)</f>
        <v>723.52408455728482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24662</v>
      </c>
      <c r="B134" s="66">
        <v>24662</v>
      </c>
      <c r="D134">
        <f t="shared" si="8"/>
        <v>0.16766833460241487</v>
      </c>
      <c r="E134">
        <f t="shared" si="8"/>
        <v>0.16766833460241487</v>
      </c>
      <c r="G134">
        <f t="shared" ca="1" si="9"/>
        <v>132</v>
      </c>
      <c r="H134">
        <f t="shared" ca="1" si="10"/>
        <v>22.132220167518764</v>
      </c>
      <c r="I134">
        <f t="shared" ca="1" si="11"/>
        <v>598.21587148903245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19010</v>
      </c>
      <c r="B136" s="66">
        <v>19010</v>
      </c>
      <c r="D136">
        <f t="shared" si="8"/>
        <v>0.12924235831611008</v>
      </c>
      <c r="E136">
        <f t="shared" si="8"/>
        <v>0.12924235831611008</v>
      </c>
      <c r="G136">
        <f t="shared" ca="1" si="9"/>
        <v>134</v>
      </c>
      <c r="H136">
        <f t="shared" ca="1" si="10"/>
        <v>17.318476014358751</v>
      </c>
      <c r="I136">
        <f t="shared" ca="1" si="11"/>
        <v>492.51398994194119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13436</v>
      </c>
      <c r="B139" s="66">
        <v>13436</v>
      </c>
      <c r="D139">
        <f t="shared" si="8"/>
        <v>9.1346676819319045E-2</v>
      </c>
      <c r="E139">
        <f t="shared" si="8"/>
        <v>9.1346676819319045E-2</v>
      </c>
      <c r="G139">
        <f t="shared" ca="1" si="9"/>
        <v>137</v>
      </c>
      <c r="H139">
        <f t="shared" ca="1" si="10"/>
        <v>12.51449472424671</v>
      </c>
      <c r="I139">
        <f t="shared" ca="1" si="11"/>
        <v>382.75787052998726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9647</v>
      </c>
      <c r="B142" s="66">
        <v>9647</v>
      </c>
      <c r="D142">
        <f t="shared" si="8"/>
        <v>6.558658762101599E-2</v>
      </c>
      <c r="E142">
        <f t="shared" si="8"/>
        <v>6.558658762101599E-2</v>
      </c>
      <c r="G142">
        <f t="shared" ca="1" si="9"/>
        <v>140</v>
      </c>
      <c r="H142">
        <f t="shared" ca="1" si="10"/>
        <v>9.1821222669422387</v>
      </c>
      <c r="I142">
        <f t="shared" ca="1" si="11"/>
        <v>300.88217315200495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5574</v>
      </c>
      <c r="B144" s="66">
        <v>5574</v>
      </c>
      <c r="D144">
        <f t="shared" si="8"/>
        <v>3.7895681496791039E-2</v>
      </c>
      <c r="E144">
        <f t="shared" si="8"/>
        <v>3.7895681496791039E-2</v>
      </c>
      <c r="G144">
        <f t="shared" ca="1" si="9"/>
        <v>142</v>
      </c>
      <c r="H144">
        <f t="shared" ca="1" si="10"/>
        <v>5.3811867725443276</v>
      </c>
      <c r="I144">
        <f t="shared" ca="1" si="11"/>
        <v>184.26708665549148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4328</v>
      </c>
      <c r="B147" s="66">
        <v>4328</v>
      </c>
      <c r="D147">
        <f t="shared" si="8"/>
        <v>2.9424562166866095E-2</v>
      </c>
      <c r="E147">
        <f t="shared" si="8"/>
        <v>2.9424562166866095E-2</v>
      </c>
      <c r="G147">
        <f t="shared" ca="1" si="9"/>
        <v>145</v>
      </c>
      <c r="H147">
        <f t="shared" ca="1" si="10"/>
        <v>4.2665615141955842</v>
      </c>
      <c r="I147">
        <f t="shared" ca="1" si="11"/>
        <v>155.65215214978429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2815</v>
      </c>
      <c r="B149" s="66">
        <v>2815</v>
      </c>
      <c r="D149">
        <f t="shared" si="8"/>
        <v>1.9138202980528662E-2</v>
      </c>
      <c r="E149">
        <f t="shared" si="8"/>
        <v>1.9138202980528662E-2</v>
      </c>
      <c r="G149">
        <f t="shared" ca="1" si="9"/>
        <v>147</v>
      </c>
      <c r="H149">
        <f t="shared" ca="1" si="10"/>
        <v>2.8133158381377132</v>
      </c>
      <c r="I149">
        <f t="shared" ca="1" si="11"/>
        <v>106.88298793586287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1719</v>
      </c>
      <c r="B152" s="66">
        <v>1719</v>
      </c>
      <c r="D152">
        <f t="shared" si="8"/>
        <v>1.1686881322745568E-2</v>
      </c>
      <c r="E152">
        <f t="shared" si="8"/>
        <v>1.1686881322745568E-2</v>
      </c>
      <c r="G152">
        <f t="shared" ca="1" si="9"/>
        <v>150</v>
      </c>
      <c r="H152">
        <f t="shared" ca="1" si="10"/>
        <v>1.7530321984118351</v>
      </c>
      <c r="I152">
        <f t="shared" ca="1" si="11"/>
        <v>70.614316604233181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1249</v>
      </c>
      <c r="B154" s="66">
        <v>1249</v>
      </c>
      <c r="D154">
        <f t="shared" si="8"/>
        <v>8.4915152833677805E-3</v>
      </c>
      <c r="E154">
        <f t="shared" si="8"/>
        <v>8.4915152833677805E-3</v>
      </c>
      <c r="G154">
        <f t="shared" ca="1" si="9"/>
        <v>152</v>
      </c>
      <c r="H154">
        <f t="shared" ca="1" si="10"/>
        <v>1.2907103230719026</v>
      </c>
      <c r="I154">
        <f t="shared" ca="1" si="11"/>
        <v>53.981518077322718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759</v>
      </c>
      <c r="B157" s="66">
        <v>759</v>
      </c>
      <c r="D157">
        <f t="shared" si="8"/>
        <v>5.1601762210377461E-3</v>
      </c>
      <c r="E157">
        <f t="shared" si="8"/>
        <v>5.1601762210377461E-3</v>
      </c>
      <c r="G157">
        <f t="shared" ca="1" si="9"/>
        <v>155</v>
      </c>
      <c r="H157">
        <f t="shared" ca="1" si="10"/>
        <v>0.79982731426085063</v>
      </c>
      <c r="I157">
        <f t="shared" ca="1" si="11"/>
        <v>35.318834043449513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459</v>
      </c>
      <c r="B160" s="66">
        <v>459</v>
      </c>
      <c r="D160">
        <f t="shared" si="8"/>
        <v>3.1205808767540521E-3</v>
      </c>
      <c r="E160">
        <f t="shared" si="8"/>
        <v>3.1205808767540521E-3</v>
      </c>
      <c r="G160">
        <f t="shared" ca="1" si="9"/>
        <v>158</v>
      </c>
      <c r="H160">
        <f t="shared" ca="1" si="10"/>
        <v>0.49305177852714022</v>
      </c>
      <c r="I160">
        <f t="shared" ca="1" si="11"/>
        <v>22.935927885873912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235</v>
      </c>
      <c r="B162" s="66">
        <v>235</v>
      </c>
      <c r="D162">
        <f t="shared" si="8"/>
        <v>1.5976830196888937E-3</v>
      </c>
      <c r="E162">
        <f t="shared" si="8"/>
        <v>1.5976830196888937E-3</v>
      </c>
      <c r="G162">
        <f t="shared" ca="1" si="9"/>
        <v>160</v>
      </c>
      <c r="H162">
        <f t="shared" ca="1" si="10"/>
        <v>0.25562928315022299</v>
      </c>
      <c r="I162">
        <f t="shared" ca="1" si="11"/>
        <v>12.297073119055099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317</v>
      </c>
      <c r="B165" s="66">
        <v>317</v>
      </c>
      <c r="D165">
        <f t="shared" si="8"/>
        <v>2.1551724137931034E-3</v>
      </c>
      <c r="E165">
        <f t="shared" si="8"/>
        <v>2.1551724137931034E-3</v>
      </c>
      <c r="G165">
        <f t="shared" ca="1" si="9"/>
        <v>163</v>
      </c>
      <c r="H165">
        <f t="shared" ca="1" si="10"/>
        <v>0.35129310344827586</v>
      </c>
      <c r="I165">
        <f t="shared" ca="1" si="11"/>
        <v>17.741822355756053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197</v>
      </c>
      <c r="B167" s="66">
        <v>197</v>
      </c>
      <c r="D167">
        <f t="shared" si="8"/>
        <v>1.3393342760796257E-3</v>
      </c>
      <c r="E167">
        <f t="shared" si="8"/>
        <v>1.3393342760796257E-3</v>
      </c>
      <c r="G167">
        <f t="shared" ca="1" si="9"/>
        <v>165</v>
      </c>
      <c r="H167">
        <f t="shared" ca="1" si="10"/>
        <v>0.22099015555313825</v>
      </c>
      <c r="I167">
        <f t="shared" ca="1" si="11"/>
        <v>11.517111674527532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120</v>
      </c>
      <c r="B170" s="66">
        <v>120</v>
      </c>
      <c r="D170">
        <f t="shared" si="8"/>
        <v>8.158381377134776E-4</v>
      </c>
      <c r="E170">
        <f t="shared" si="8"/>
        <v>8.158381377134776E-4</v>
      </c>
      <c r="G170">
        <f t="shared" ca="1" si="9"/>
        <v>168</v>
      </c>
      <c r="H170">
        <f t="shared" ca="1" si="10"/>
        <v>0.13706080713586424</v>
      </c>
      <c r="I170">
        <f t="shared" ca="1" si="11"/>
        <v>7.4767654189881281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71.842644571108409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1.3871011557170227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0.67445815411827448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7842</v>
      </c>
      <c r="B8" s="66">
        <v>7842</v>
      </c>
      <c r="D8">
        <f t="shared" si="0"/>
        <v>14.204720415889289</v>
      </c>
      <c r="E8">
        <f t="shared" si="1"/>
        <v>14.204720415889289</v>
      </c>
      <c r="G8">
        <f t="shared" ca="1" si="2"/>
        <v>6</v>
      </c>
      <c r="H8">
        <f t="shared" ca="1" si="3"/>
        <v>85.228322495335732</v>
      </c>
      <c r="I8">
        <f t="shared" ca="1" si="4"/>
        <v>61581.068787595701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15818</v>
      </c>
      <c r="B10" s="66">
        <v>15818</v>
      </c>
      <c r="D10">
        <f t="shared" si="0"/>
        <v>28.6521636748963</v>
      </c>
      <c r="E10">
        <f t="shared" si="1"/>
        <v>28.6521636748963</v>
      </c>
      <c r="G10">
        <f t="shared" ca="1" si="2"/>
        <v>8</v>
      </c>
      <c r="H10">
        <f t="shared" ca="1" si="3"/>
        <v>229.2173093991704</v>
      </c>
      <c r="I10">
        <f t="shared" ca="1" si="4"/>
        <v>116782.87445241449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20633</v>
      </c>
      <c r="B13" s="66">
        <v>20633</v>
      </c>
      <c r="D13">
        <f t="shared" si="0"/>
        <v>37.373883746626333</v>
      </c>
      <c r="E13">
        <f t="shared" si="1"/>
        <v>37.373883746626333</v>
      </c>
      <c r="G13">
        <f t="shared" ca="1" si="2"/>
        <v>11</v>
      </c>
      <c r="H13">
        <f t="shared" ca="1" si="3"/>
        <v>411.11272121288965</v>
      </c>
      <c r="I13">
        <f t="shared" ca="1" si="4"/>
        <v>138351.66683811054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27471</v>
      </c>
      <c r="B15" s="66">
        <v>27471</v>
      </c>
      <c r="D15">
        <f t="shared" si="0"/>
        <v>49.759994203633596</v>
      </c>
      <c r="E15">
        <f t="shared" si="1"/>
        <v>49.759994203633596</v>
      </c>
      <c r="G15">
        <f t="shared" ca="1" si="2"/>
        <v>13</v>
      </c>
      <c r="H15">
        <f t="shared" ca="1" si="3"/>
        <v>646.87992464723675</v>
      </c>
      <c r="I15">
        <f t="shared" ca="1" si="4"/>
        <v>172291.83129959207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28074</v>
      </c>
      <c r="B18" s="66">
        <v>28074</v>
      </c>
      <c r="D18">
        <f t="shared" si="0"/>
        <v>50.852246997663343</v>
      </c>
      <c r="E18">
        <f t="shared" si="1"/>
        <v>50.852246997663343</v>
      </c>
      <c r="G18">
        <f t="shared" ca="1" si="2"/>
        <v>16</v>
      </c>
      <c r="H18">
        <f t="shared" ca="1" si="3"/>
        <v>813.63595196261349</v>
      </c>
      <c r="I18">
        <f t="shared" ca="1" si="4"/>
        <v>158577.69548420212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40177</v>
      </c>
      <c r="B21" s="66">
        <v>40177</v>
      </c>
      <c r="D21">
        <f t="shared" si="0"/>
        <v>72.77519155179597</v>
      </c>
      <c r="E21">
        <f t="shared" si="1"/>
        <v>72.77519155179597</v>
      </c>
      <c r="G21">
        <f t="shared" ca="1" si="2"/>
        <v>19</v>
      </c>
      <c r="H21">
        <f t="shared" ca="1" si="3"/>
        <v>1382.7286394841235</v>
      </c>
      <c r="I21">
        <f t="shared" ca="1" si="4"/>
        <v>203213.44845913062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49559</v>
      </c>
      <c r="B23" s="66">
        <v>49559</v>
      </c>
      <c r="D23">
        <f t="shared" si="0"/>
        <v>89.769413299038163</v>
      </c>
      <c r="E23">
        <f t="shared" si="1"/>
        <v>89.769413299038163</v>
      </c>
      <c r="G23">
        <f t="shared" ca="1" si="2"/>
        <v>21</v>
      </c>
      <c r="H23">
        <f t="shared" ca="1" si="3"/>
        <v>1885.1576792798014</v>
      </c>
      <c r="I23">
        <f t="shared" ca="1" si="4"/>
        <v>232051.64488492941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52206</v>
      </c>
      <c r="B26" s="66">
        <v>52206</v>
      </c>
      <c r="D26">
        <f t="shared" si="0"/>
        <v>94.564095132863585</v>
      </c>
      <c r="E26">
        <f t="shared" si="1"/>
        <v>94.564095132863585</v>
      </c>
      <c r="G26">
        <f t="shared" ca="1" si="2"/>
        <v>24</v>
      </c>
      <c r="H26">
        <f t="shared" ca="1" si="3"/>
        <v>2269.5382831887259</v>
      </c>
      <c r="I26">
        <f t="shared" ca="1" si="4"/>
        <v>216449.5199824915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41479</v>
      </c>
      <c r="B28" s="66">
        <v>41479</v>
      </c>
      <c r="D28">
        <f t="shared" si="0"/>
        <v>75.133588131939788</v>
      </c>
      <c r="E28">
        <f t="shared" si="1"/>
        <v>75.133588131939788</v>
      </c>
      <c r="G28">
        <f t="shared" ca="1" si="2"/>
        <v>26</v>
      </c>
      <c r="H28">
        <f t="shared" ca="1" si="3"/>
        <v>1953.4732914304345</v>
      </c>
      <c r="I28">
        <f t="shared" ca="1" si="4"/>
        <v>157896.84647516027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43670</v>
      </c>
      <c r="B31" s="66">
        <v>43670</v>
      </c>
      <c r="D31">
        <f t="shared" si="0"/>
        <v>79.102287753364607</v>
      </c>
      <c r="E31">
        <f t="shared" si="1"/>
        <v>79.102287753364607</v>
      </c>
      <c r="G31">
        <f t="shared" ca="1" si="2"/>
        <v>29</v>
      </c>
      <c r="H31">
        <f t="shared" ca="1" si="3"/>
        <v>2293.9663448475735</v>
      </c>
      <c r="I31">
        <f t="shared" ca="1" si="4"/>
        <v>145191.63168668648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43053</v>
      </c>
      <c r="B33" s="66">
        <v>43053</v>
      </c>
      <c r="D33">
        <f t="shared" si="0"/>
        <v>77.984675856322568</v>
      </c>
      <c r="E33">
        <f t="shared" si="1"/>
        <v>77.984675856322568</v>
      </c>
      <c r="G33">
        <f t="shared" ca="1" si="2"/>
        <v>31</v>
      </c>
      <c r="H33">
        <f t="shared" ca="1" si="3"/>
        <v>2417.5249515459996</v>
      </c>
      <c r="I33">
        <f t="shared" ca="1" si="4"/>
        <v>130087.92347851921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45562</v>
      </c>
      <c r="B36" s="66">
        <v>45562</v>
      </c>
      <c r="D36">
        <f t="shared" si="0"/>
        <v>82.529389389026747</v>
      </c>
      <c r="E36">
        <f t="shared" si="1"/>
        <v>82.529389389026747</v>
      </c>
      <c r="G36">
        <f t="shared" ca="1" si="2"/>
        <v>34</v>
      </c>
      <c r="H36">
        <f t="shared" ca="1" si="3"/>
        <v>2805.9992392269096</v>
      </c>
      <c r="I36">
        <f t="shared" ca="1" si="4"/>
        <v>118187.51175854118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49609</v>
      </c>
      <c r="B39" s="66">
        <v>49609</v>
      </c>
      <c r="D39">
        <f t="shared" si="0"/>
        <v>89.859981524082087</v>
      </c>
      <c r="E39">
        <f t="shared" si="1"/>
        <v>89.859981524082087</v>
      </c>
      <c r="G39">
        <f t="shared" ca="1" si="2"/>
        <v>37</v>
      </c>
      <c r="H39">
        <f t="shared" ca="1" si="3"/>
        <v>3324.8193163910373</v>
      </c>
      <c r="I39">
        <f t="shared" ca="1" si="4"/>
        <v>109090.90545052703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50980</v>
      </c>
      <c r="B41" s="66">
        <v>50980</v>
      </c>
      <c r="D41">
        <f t="shared" si="0"/>
        <v>92.343362254786527</v>
      </c>
      <c r="E41">
        <f t="shared" si="1"/>
        <v>92.343362254786527</v>
      </c>
      <c r="G41">
        <f t="shared" ca="1" si="2"/>
        <v>39</v>
      </c>
      <c r="H41">
        <f t="shared" ca="1" si="3"/>
        <v>3601.3911279366744</v>
      </c>
      <c r="I41">
        <f t="shared" ca="1" si="4"/>
        <v>99605.179846004132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48859</v>
      </c>
      <c r="B44" s="66">
        <v>48859</v>
      </c>
      <c r="D44">
        <f t="shared" si="0"/>
        <v>88.501458148423211</v>
      </c>
      <c r="E44">
        <f t="shared" si="1"/>
        <v>88.501458148423211</v>
      </c>
      <c r="G44">
        <f t="shared" ca="1" si="2"/>
        <v>42</v>
      </c>
      <c r="H44">
        <f t="shared" ca="1" si="3"/>
        <v>3717.0612422337749</v>
      </c>
      <c r="I44">
        <f t="shared" ca="1" si="4"/>
        <v>78817.932600110769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44571</v>
      </c>
      <c r="B46" s="66">
        <v>44571</v>
      </c>
      <c r="D46">
        <f t="shared" si="0"/>
        <v>80.734327168656151</v>
      </c>
      <c r="E46">
        <f t="shared" si="1"/>
        <v>80.734327168656151</v>
      </c>
      <c r="G46">
        <f t="shared" ca="1" si="2"/>
        <v>44</v>
      </c>
      <c r="H46">
        <f t="shared" ca="1" si="3"/>
        <v>3552.3103954208705</v>
      </c>
      <c r="I46">
        <f t="shared" ca="1" si="4"/>
        <v>62586.288399221754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44915</v>
      </c>
      <c r="B49" s="66">
        <v>44915</v>
      </c>
      <c r="D49">
        <f t="shared" si="0"/>
        <v>81.357436556958362</v>
      </c>
      <c r="E49">
        <f t="shared" si="1"/>
        <v>81.357436556958362</v>
      </c>
      <c r="G49">
        <f t="shared" ca="1" si="2"/>
        <v>47</v>
      </c>
      <c r="H49">
        <f t="shared" ca="1" si="3"/>
        <v>3823.799518177043</v>
      </c>
      <c r="I49">
        <f t="shared" ca="1" si="4"/>
        <v>50210.310601553516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39566</v>
      </c>
      <c r="B51" s="66">
        <v>39566</v>
      </c>
      <c r="D51">
        <f t="shared" si="0"/>
        <v>71.668447841759203</v>
      </c>
      <c r="E51">
        <f t="shared" si="1"/>
        <v>71.668447841759203</v>
      </c>
      <c r="G51">
        <f t="shared" ca="1" si="2"/>
        <v>49</v>
      </c>
      <c r="H51">
        <f t="shared" ca="1" si="3"/>
        <v>3511.7539442462012</v>
      </c>
      <c r="I51">
        <f t="shared" ca="1" si="4"/>
        <v>37395.622181434737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41773</v>
      </c>
      <c r="B54" s="66">
        <v>41773</v>
      </c>
      <c r="D54">
        <f t="shared" si="0"/>
        <v>75.666129295198076</v>
      </c>
      <c r="E54">
        <f t="shared" si="1"/>
        <v>75.666129295198076</v>
      </c>
      <c r="G54">
        <f t="shared" ca="1" si="2"/>
        <v>52</v>
      </c>
      <c r="H54">
        <f t="shared" ca="1" si="3"/>
        <v>3934.6387233503001</v>
      </c>
      <c r="I54">
        <f t="shared" ca="1" si="4"/>
        <v>29792.066217640146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39835</v>
      </c>
      <c r="B57" s="66">
        <v>39835</v>
      </c>
      <c r="D57">
        <f t="shared" si="0"/>
        <v>72.155704892495521</v>
      </c>
      <c r="E57">
        <f t="shared" si="1"/>
        <v>72.155704892495521</v>
      </c>
      <c r="G57">
        <f t="shared" ca="1" si="2"/>
        <v>55</v>
      </c>
      <c r="H57">
        <f t="shared" ca="1" si="3"/>
        <v>3968.5637690872536</v>
      </c>
      <c r="I57">
        <f t="shared" ca="1" si="4"/>
        <v>20468.746217658936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39371</v>
      </c>
      <c r="B59" s="66">
        <v>39371</v>
      </c>
      <c r="D59">
        <f t="shared" si="0"/>
        <v>71.315231764087883</v>
      </c>
      <c r="E59">
        <f t="shared" si="1"/>
        <v>71.315231764087883</v>
      </c>
      <c r="G59">
        <f t="shared" ca="1" si="2"/>
        <v>57</v>
      </c>
      <c r="H59">
        <f t="shared" ca="1" si="3"/>
        <v>4064.9682105530092</v>
      </c>
      <c r="I59">
        <f t="shared" ca="1" si="4"/>
        <v>15711.037797767567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43897</v>
      </c>
      <c r="B62" s="66">
        <v>43897</v>
      </c>
      <c r="D62">
        <f t="shared" si="0"/>
        <v>79.513467495064035</v>
      </c>
      <c r="E62">
        <f t="shared" si="1"/>
        <v>79.513467495064035</v>
      </c>
      <c r="G62">
        <f t="shared" ca="1" si="2"/>
        <v>60</v>
      </c>
      <c r="H62">
        <f t="shared" ca="1" si="3"/>
        <v>4770.8080497038418</v>
      </c>
      <c r="I62">
        <f t="shared" ca="1" si="4"/>
        <v>11151.623112140634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43053</v>
      </c>
      <c r="B64" s="66">
        <v>43053</v>
      </c>
      <c r="D64">
        <f t="shared" si="0"/>
        <v>77.984675856322568</v>
      </c>
      <c r="E64">
        <f t="shared" si="1"/>
        <v>77.984675856322568</v>
      </c>
      <c r="G64">
        <f t="shared" ca="1" si="2"/>
        <v>62</v>
      </c>
      <c r="H64">
        <f t="shared" ca="1" si="3"/>
        <v>4835.0499030919991</v>
      </c>
      <c r="I64">
        <f t="shared" ca="1" si="4"/>
        <v>7554.9723008865194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45348</v>
      </c>
      <c r="B67" s="66">
        <v>45348</v>
      </c>
      <c r="D67">
        <f t="shared" ref="D67:D130" si="5">IFERROR( 100*A67/MAX(A$2:A$257), 0 )</f>
        <v>82.141757385838758</v>
      </c>
      <c r="E67">
        <f t="shared" ref="E67:E130" si="6">IFERROR( 100*B67/MAX(B$2:B$257), 0 )</f>
        <v>82.141757385838758</v>
      </c>
      <c r="G67">
        <f t="shared" ref="G67:G130" ca="1" si="7">CELL("row",D67)-2</f>
        <v>65</v>
      </c>
      <c r="H67">
        <f t="shared" ref="H67:H130" ca="1" si="8">D67*G67</f>
        <v>5339.2142300795194</v>
      </c>
      <c r="I67">
        <f t="shared" ref="I67:I130" ca="1" si="9">D67*((G67-$L$1)^2)</f>
        <v>3846.0236813777251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45739</v>
      </c>
      <c r="B69" s="66">
        <v>45739</v>
      </c>
      <c r="D69">
        <f t="shared" si="5"/>
        <v>82.850000905682251</v>
      </c>
      <c r="E69">
        <f t="shared" si="6"/>
        <v>82.850000905682251</v>
      </c>
      <c r="G69">
        <f t="shared" ca="1" si="7"/>
        <v>67</v>
      </c>
      <c r="H69">
        <f t="shared" ca="1" si="8"/>
        <v>5550.9500606807105</v>
      </c>
      <c r="I69">
        <f t="shared" ca="1" si="9"/>
        <v>1942.932474966145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44311</v>
      </c>
      <c r="B72" s="66">
        <v>44311</v>
      </c>
      <c r="D72">
        <f t="shared" si="5"/>
        <v>80.263372398427734</v>
      </c>
      <c r="E72">
        <f t="shared" si="6"/>
        <v>80.263372398427734</v>
      </c>
      <c r="G72">
        <f t="shared" ca="1" si="7"/>
        <v>70</v>
      </c>
      <c r="H72">
        <f t="shared" ca="1" si="8"/>
        <v>5618.4360678899411</v>
      </c>
      <c r="I72">
        <f t="shared" ca="1" si="9"/>
        <v>272.5213598147937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42082</v>
      </c>
      <c r="B75" s="66">
        <v>42082</v>
      </c>
      <c r="D75">
        <f t="shared" si="5"/>
        <v>76.225840925969536</v>
      </c>
      <c r="E75">
        <f t="shared" si="6"/>
        <v>76.225840925969536</v>
      </c>
      <c r="G75">
        <f t="shared" ca="1" si="7"/>
        <v>73</v>
      </c>
      <c r="H75">
        <f t="shared" ca="1" si="8"/>
        <v>5564.4863875957763</v>
      </c>
      <c r="I75">
        <f t="shared" ca="1" si="9"/>
        <v>102.10234825156887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42314</v>
      </c>
      <c r="B77" s="66">
        <v>42314</v>
      </c>
      <c r="D77">
        <f t="shared" si="5"/>
        <v>76.646077490173354</v>
      </c>
      <c r="E77">
        <f t="shared" si="6"/>
        <v>76.646077490173354</v>
      </c>
      <c r="G77">
        <f t="shared" ca="1" si="7"/>
        <v>75</v>
      </c>
      <c r="H77">
        <f t="shared" ca="1" si="8"/>
        <v>5748.4558117630013</v>
      </c>
      <c r="I77">
        <f t="shared" ca="1" si="9"/>
        <v>764.07656869657274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42652</v>
      </c>
      <c r="B80" s="66">
        <v>42652</v>
      </c>
      <c r="D80">
        <f t="shared" si="5"/>
        <v>77.258318691470279</v>
      </c>
      <c r="E80">
        <f t="shared" si="6"/>
        <v>77.258318691470279</v>
      </c>
      <c r="G80">
        <f t="shared" ca="1" si="7"/>
        <v>78</v>
      </c>
      <c r="H80">
        <f t="shared" ca="1" si="8"/>
        <v>6026.1488579346815</v>
      </c>
      <c r="I80">
        <f t="shared" ca="1" si="9"/>
        <v>2929.0966358173646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51308</v>
      </c>
      <c r="B82" s="66">
        <v>51308</v>
      </c>
      <c r="D82">
        <f t="shared" si="5"/>
        <v>92.937489811074684</v>
      </c>
      <c r="E82">
        <f t="shared" si="6"/>
        <v>92.937489811074684</v>
      </c>
      <c r="G82">
        <f t="shared" ca="1" si="7"/>
        <v>80</v>
      </c>
      <c r="H82">
        <f t="shared" ca="1" si="8"/>
        <v>7434.9991848859745</v>
      </c>
      <c r="I82">
        <f t="shared" ca="1" si="9"/>
        <v>6184.288045203235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52057</v>
      </c>
      <c r="B85" s="66">
        <v>52057</v>
      </c>
      <c r="D85">
        <f t="shared" si="5"/>
        <v>94.294201822232694</v>
      </c>
      <c r="E85">
        <f t="shared" si="6"/>
        <v>94.294201822232694</v>
      </c>
      <c r="G85">
        <f t="shared" ca="1" si="7"/>
        <v>83</v>
      </c>
      <c r="H85">
        <f t="shared" ca="1" si="8"/>
        <v>7826.4187512453136</v>
      </c>
      <c r="I85">
        <f t="shared" ca="1" si="9"/>
        <v>11738.362714390503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53204</v>
      </c>
      <c r="B88" s="66">
        <v>53204</v>
      </c>
      <c r="D88">
        <f t="shared" si="5"/>
        <v>96.371836904740334</v>
      </c>
      <c r="E88">
        <f t="shared" si="6"/>
        <v>96.371836904740334</v>
      </c>
      <c r="G88">
        <f t="shared" ca="1" si="7"/>
        <v>86</v>
      </c>
      <c r="H88">
        <f t="shared" ca="1" si="8"/>
        <v>8287.9779738076686</v>
      </c>
      <c r="I88">
        <f t="shared" ca="1" si="9"/>
        <v>19315.875958876884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54040</v>
      </c>
      <c r="B90" s="66">
        <v>54040</v>
      </c>
      <c r="D90">
        <f t="shared" si="5"/>
        <v>97.886137627474781</v>
      </c>
      <c r="E90">
        <f t="shared" si="6"/>
        <v>97.886137627474781</v>
      </c>
      <c r="G90">
        <f t="shared" ca="1" si="7"/>
        <v>88</v>
      </c>
      <c r="H90">
        <f t="shared" ca="1" si="8"/>
        <v>8613.9801112177811</v>
      </c>
      <c r="I90">
        <f t="shared" ca="1" si="9"/>
        <v>25554.168250361334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53560</v>
      </c>
      <c r="B93" s="66">
        <v>53560</v>
      </c>
      <c r="D93">
        <f t="shared" si="5"/>
        <v>97.01668266705309</v>
      </c>
      <c r="E93">
        <f t="shared" si="6"/>
        <v>97.01668266705309</v>
      </c>
      <c r="G93">
        <f t="shared" ca="1" si="7"/>
        <v>91</v>
      </c>
      <c r="H93">
        <f t="shared" ca="1" si="8"/>
        <v>8828.5181227018311</v>
      </c>
      <c r="I93">
        <f t="shared" ca="1" si="9"/>
        <v>35605.536511795472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52575</v>
      </c>
      <c r="B95" s="66">
        <v>52575</v>
      </c>
      <c r="D95">
        <f t="shared" si="5"/>
        <v>95.232488633687751</v>
      </c>
      <c r="E95">
        <f t="shared" si="6"/>
        <v>95.232488633687751</v>
      </c>
      <c r="G95">
        <f t="shared" ca="1" si="7"/>
        <v>93</v>
      </c>
      <c r="H95">
        <f t="shared" ca="1" si="8"/>
        <v>8856.6214429329611</v>
      </c>
      <c r="I95">
        <f t="shared" ca="1" si="9"/>
        <v>42629.27017541141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55207</v>
      </c>
      <c r="B98" s="66">
        <v>55207</v>
      </c>
      <c r="D98">
        <f t="shared" si="5"/>
        <v>100</v>
      </c>
      <c r="E98">
        <f t="shared" si="6"/>
        <v>100</v>
      </c>
      <c r="G98">
        <f t="shared" ca="1" si="7"/>
        <v>96</v>
      </c>
      <c r="H98">
        <f t="shared" ca="1" si="8"/>
        <v>9600</v>
      </c>
      <c r="I98">
        <f t="shared" ca="1" si="9"/>
        <v>58357.782131779801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53296</v>
      </c>
      <c r="B100" s="66">
        <v>53296</v>
      </c>
      <c r="D100">
        <f t="shared" si="5"/>
        <v>96.538482438821163</v>
      </c>
      <c r="E100">
        <f t="shared" si="6"/>
        <v>96.538482438821163</v>
      </c>
      <c r="G100">
        <f t="shared" ca="1" si="7"/>
        <v>98</v>
      </c>
      <c r="H100">
        <f t="shared" ca="1" si="8"/>
        <v>9460.7712790044734</v>
      </c>
      <c r="I100">
        <f t="shared" ca="1" si="9"/>
        <v>66052.328916090701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50667</v>
      </c>
      <c r="B103" s="66">
        <v>50667</v>
      </c>
      <c r="D103">
        <f t="shared" si="5"/>
        <v>91.776405166011557</v>
      </c>
      <c r="E103">
        <f t="shared" si="6"/>
        <v>91.776405166011557</v>
      </c>
      <c r="G103">
        <f t="shared" ca="1" si="7"/>
        <v>101</v>
      </c>
      <c r="H103">
        <f t="shared" ca="1" si="8"/>
        <v>9269.4169217671679</v>
      </c>
      <c r="I103">
        <f t="shared" ca="1" si="9"/>
        <v>78023.837100123856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46761</v>
      </c>
      <c r="B106" s="66">
        <v>46761</v>
      </c>
      <c r="D106">
        <f t="shared" si="5"/>
        <v>84.701215425580088</v>
      </c>
      <c r="E106">
        <f t="shared" si="6"/>
        <v>84.701215425580088</v>
      </c>
      <c r="G106">
        <f t="shared" ca="1" si="7"/>
        <v>104</v>
      </c>
      <c r="H106">
        <f t="shared" ca="1" si="8"/>
        <v>8808.9264042603299</v>
      </c>
      <c r="I106">
        <f t="shared" ca="1" si="9"/>
        <v>87589.146408984278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48582</v>
      </c>
      <c r="B108" s="66">
        <v>48582</v>
      </c>
      <c r="D108">
        <f t="shared" si="5"/>
        <v>87.999710181679859</v>
      </c>
      <c r="E108">
        <f t="shared" si="6"/>
        <v>87.999710181679859</v>
      </c>
      <c r="G108">
        <f t="shared" ca="1" si="7"/>
        <v>106</v>
      </c>
      <c r="H108">
        <f t="shared" ca="1" si="8"/>
        <v>9327.9692792580645</v>
      </c>
      <c r="I108">
        <f t="shared" ca="1" si="9"/>
        <v>102671.45569255618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46778</v>
      </c>
      <c r="B111" s="66">
        <v>46778</v>
      </c>
      <c r="D111">
        <f t="shared" si="5"/>
        <v>84.732008622095023</v>
      </c>
      <c r="E111">
        <f t="shared" si="6"/>
        <v>84.732008622095023</v>
      </c>
      <c r="G111">
        <f t="shared" ca="1" si="7"/>
        <v>109</v>
      </c>
      <c r="H111">
        <f t="shared" ca="1" si="8"/>
        <v>9235.7889398083571</v>
      </c>
      <c r="I111">
        <f t="shared" ca="1" si="9"/>
        <v>116986.86290538142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44102</v>
      </c>
      <c r="B113" s="66">
        <v>44102</v>
      </c>
      <c r="D113">
        <f t="shared" si="5"/>
        <v>79.884797217744122</v>
      </c>
      <c r="E113">
        <f t="shared" si="6"/>
        <v>79.884797217744122</v>
      </c>
      <c r="G113">
        <f t="shared" ca="1" si="7"/>
        <v>111</v>
      </c>
      <c r="H113">
        <f t="shared" ca="1" si="8"/>
        <v>8867.2124911695973</v>
      </c>
      <c r="I113">
        <f t="shared" ca="1" si="9"/>
        <v>122487.23848335688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46153</v>
      </c>
      <c r="B116" s="66">
        <v>46153</v>
      </c>
      <c r="D116">
        <f t="shared" si="5"/>
        <v>83.59990580904595</v>
      </c>
      <c r="E116">
        <f t="shared" si="6"/>
        <v>83.59990580904595</v>
      </c>
      <c r="G116">
        <f t="shared" ca="1" si="7"/>
        <v>114</v>
      </c>
      <c r="H116">
        <f t="shared" ca="1" si="8"/>
        <v>9530.3892622312378</v>
      </c>
      <c r="I116">
        <f t="shared" ca="1" si="9"/>
        <v>148577.31536078241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38953</v>
      </c>
      <c r="B118" s="66">
        <v>38953</v>
      </c>
      <c r="D118">
        <f t="shared" si="5"/>
        <v>70.558081402720674</v>
      </c>
      <c r="E118">
        <f t="shared" si="6"/>
        <v>70.558081402720674</v>
      </c>
      <c r="G118">
        <f t="shared" ca="1" si="7"/>
        <v>116</v>
      </c>
      <c r="H118">
        <f t="shared" ca="1" si="8"/>
        <v>8184.7374427155983</v>
      </c>
      <c r="I118">
        <f t="shared" ca="1" si="9"/>
        <v>137579.2300154994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36526</v>
      </c>
      <c r="B121" s="66">
        <v>36526</v>
      </c>
      <c r="D121">
        <f t="shared" si="5"/>
        <v>66.161899759088527</v>
      </c>
      <c r="E121">
        <f t="shared" si="6"/>
        <v>66.161899759088527</v>
      </c>
      <c r="G121">
        <f t="shared" ca="1" si="7"/>
        <v>119</v>
      </c>
      <c r="H121">
        <f t="shared" ca="1" si="8"/>
        <v>7873.2660713315345</v>
      </c>
      <c r="I121">
        <f t="shared" ca="1" si="9"/>
        <v>147131.9025914392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37853</v>
      </c>
      <c r="B124" s="66">
        <v>37853</v>
      </c>
      <c r="D124">
        <f t="shared" si="5"/>
        <v>68.5655804517543</v>
      </c>
      <c r="E124">
        <f t="shared" si="6"/>
        <v>68.5655804517543</v>
      </c>
      <c r="G124">
        <f t="shared" ca="1" si="7"/>
        <v>122</v>
      </c>
      <c r="H124">
        <f t="shared" ca="1" si="8"/>
        <v>8365.0008151140246</v>
      </c>
      <c r="I124">
        <f t="shared" ca="1" si="9"/>
        <v>172494.56549519795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32884</v>
      </c>
      <c r="B126" s="66">
        <v>32884</v>
      </c>
      <c r="D126">
        <f t="shared" si="5"/>
        <v>59.564910246888978</v>
      </c>
      <c r="E126">
        <f t="shared" si="6"/>
        <v>59.564910246888978</v>
      </c>
      <c r="G126">
        <f t="shared" ca="1" si="7"/>
        <v>124</v>
      </c>
      <c r="H126">
        <f t="shared" ca="1" si="8"/>
        <v>7386.0488706142332</v>
      </c>
      <c r="I126">
        <f t="shared" ca="1" si="9"/>
        <v>162039.76982618155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31189</v>
      </c>
      <c r="B129" s="66">
        <v>31189</v>
      </c>
      <c r="D129">
        <f t="shared" si="5"/>
        <v>56.494647417899905</v>
      </c>
      <c r="E129">
        <f t="shared" si="6"/>
        <v>56.494647417899905</v>
      </c>
      <c r="G129">
        <f t="shared" ca="1" si="7"/>
        <v>127</v>
      </c>
      <c r="H129">
        <f t="shared" ca="1" si="8"/>
        <v>7174.8202220732883</v>
      </c>
      <c r="I129">
        <f t="shared" ca="1" si="9"/>
        <v>171875.57863011249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22593</v>
      </c>
      <c r="B131" s="66">
        <v>22593</v>
      </c>
      <c r="D131">
        <f t="shared" ref="D131:D194" si="10">IFERROR( 100*A131/MAX(A$2:A$257), 0 )</f>
        <v>40.924158168348214</v>
      </c>
      <c r="E131">
        <f t="shared" ref="E131:E194" si="11">IFERROR( 100*B131/MAX(B$2:B$257), 0 )</f>
        <v>40.924158168348214</v>
      </c>
      <c r="G131">
        <f t="shared" ref="G131:G194" ca="1" si="12">CELL("row",D131)-2</f>
        <v>129</v>
      </c>
      <c r="H131">
        <f t="shared" ref="H131:H194" ca="1" si="13">D131*G131</f>
        <v>5279.2164037169196</v>
      </c>
      <c r="I131">
        <f t="shared" ref="I131:I194" ca="1" si="14">D131*((G131-$L$1)^2)</f>
        <v>133697.72198554451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17118</v>
      </c>
      <c r="B134" s="66">
        <v>17118</v>
      </c>
      <c r="D134">
        <f t="shared" si="10"/>
        <v>31.006937526038364</v>
      </c>
      <c r="E134">
        <f t="shared" si="11"/>
        <v>31.006937526038364</v>
      </c>
      <c r="G134">
        <f t="shared" ca="1" si="12"/>
        <v>132</v>
      </c>
      <c r="H134">
        <f t="shared" ca="1" si="13"/>
        <v>4092.9157534370638</v>
      </c>
      <c r="I134">
        <f t="shared" ca="1" si="14"/>
        <v>112211.23604254032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14022</v>
      </c>
      <c r="B136" s="66">
        <v>14022</v>
      </c>
      <c r="D136">
        <f t="shared" si="10"/>
        <v>25.398953031318491</v>
      </c>
      <c r="E136">
        <f t="shared" si="11"/>
        <v>25.398953031318491</v>
      </c>
      <c r="G136">
        <f t="shared" ca="1" si="12"/>
        <v>134</v>
      </c>
      <c r="H136">
        <f t="shared" ca="1" si="13"/>
        <v>3403.4597061966779</v>
      </c>
      <c r="I136">
        <f t="shared" ca="1" si="14"/>
        <v>98129.790579339431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9656</v>
      </c>
      <c r="B139" s="66">
        <v>9656</v>
      </c>
      <c r="D139">
        <f t="shared" si="10"/>
        <v>17.490535620482909</v>
      </c>
      <c r="E139">
        <f t="shared" si="11"/>
        <v>17.490535620482909</v>
      </c>
      <c r="G139">
        <f t="shared" ca="1" si="12"/>
        <v>137</v>
      </c>
      <c r="H139">
        <f t="shared" ca="1" si="13"/>
        <v>2396.2033800061586</v>
      </c>
      <c r="I139">
        <f t="shared" ca="1" si="14"/>
        <v>74255.736070421495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7371</v>
      </c>
      <c r="B142" s="66">
        <v>7371</v>
      </c>
      <c r="D142">
        <f t="shared" si="10"/>
        <v>13.351567735975511</v>
      </c>
      <c r="E142">
        <f t="shared" si="11"/>
        <v>13.351567735975511</v>
      </c>
      <c r="G142">
        <f t="shared" ca="1" si="12"/>
        <v>140</v>
      </c>
      <c r="H142">
        <f t="shared" ca="1" si="13"/>
        <v>1869.2194830365715</v>
      </c>
      <c r="I142">
        <f t="shared" ca="1" si="14"/>
        <v>62023.707872503779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4140</v>
      </c>
      <c r="B144" s="66">
        <v>4140</v>
      </c>
      <c r="D144">
        <f t="shared" si="10"/>
        <v>7.4990490336370383</v>
      </c>
      <c r="E144">
        <f t="shared" si="11"/>
        <v>7.4990490336370383</v>
      </c>
      <c r="G144">
        <f t="shared" ca="1" si="12"/>
        <v>142</v>
      </c>
      <c r="H144">
        <f t="shared" ca="1" si="13"/>
        <v>1064.8649627764594</v>
      </c>
      <c r="I144">
        <f t="shared" ca="1" si="14"/>
        <v>36910.728197532757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3337</v>
      </c>
      <c r="B147" s="66">
        <v>3337</v>
      </c>
      <c r="D147">
        <f t="shared" si="10"/>
        <v>6.0445233394315938</v>
      </c>
      <c r="E147">
        <f t="shared" si="11"/>
        <v>6.0445233394315938</v>
      </c>
      <c r="G147">
        <f t="shared" ca="1" si="12"/>
        <v>145</v>
      </c>
      <c r="H147">
        <f t="shared" ca="1" si="13"/>
        <v>876.45588421758112</v>
      </c>
      <c r="I147">
        <f t="shared" ca="1" si="14"/>
        <v>32350.280772775543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2190</v>
      </c>
      <c r="B149" s="66">
        <v>2190</v>
      </c>
      <c r="D149">
        <f t="shared" si="10"/>
        <v>3.9668882569239408</v>
      </c>
      <c r="E149">
        <f t="shared" si="11"/>
        <v>3.9668882569239408</v>
      </c>
      <c r="G149">
        <f t="shared" ca="1" si="12"/>
        <v>147</v>
      </c>
      <c r="H149">
        <f t="shared" ca="1" si="13"/>
        <v>583.13257376781928</v>
      </c>
      <c r="I149">
        <f t="shared" ca="1" si="14"/>
        <v>22407.476378705203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1414</v>
      </c>
      <c r="B152" s="66">
        <v>1414</v>
      </c>
      <c r="D152">
        <f t="shared" si="10"/>
        <v>2.5612694042422155</v>
      </c>
      <c r="E152">
        <f t="shared" si="11"/>
        <v>2.5612694042422155</v>
      </c>
      <c r="G152">
        <f t="shared" ca="1" si="12"/>
        <v>150</v>
      </c>
      <c r="H152">
        <f t="shared" ca="1" si="13"/>
        <v>384.19041063633233</v>
      </c>
      <c r="I152">
        <f t="shared" ca="1" si="14"/>
        <v>15645.699099027765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1033</v>
      </c>
      <c r="B154" s="66">
        <v>1033</v>
      </c>
      <c r="D154">
        <f t="shared" si="10"/>
        <v>1.8711395294075026</v>
      </c>
      <c r="E154">
        <f t="shared" si="11"/>
        <v>1.8711395294075026</v>
      </c>
      <c r="G154">
        <f t="shared" ca="1" si="12"/>
        <v>152</v>
      </c>
      <c r="H154">
        <f t="shared" ca="1" si="13"/>
        <v>284.4132084699404</v>
      </c>
      <c r="I154">
        <f t="shared" ca="1" si="14"/>
        <v>12022.44875309712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476</v>
      </c>
      <c r="B157" s="66">
        <v>476</v>
      </c>
      <c r="D157">
        <f t="shared" si="10"/>
        <v>0.86220950241817162</v>
      </c>
      <c r="E157">
        <f t="shared" si="11"/>
        <v>0.86220950241817162</v>
      </c>
      <c r="G157">
        <f t="shared" ca="1" si="12"/>
        <v>155</v>
      </c>
      <c r="H157">
        <f t="shared" ca="1" si="13"/>
        <v>133.6424728748166</v>
      </c>
      <c r="I157">
        <f t="shared" ca="1" si="14"/>
        <v>5962.3043865402124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312</v>
      </c>
      <c r="B160" s="66">
        <v>312</v>
      </c>
      <c r="D160">
        <f t="shared" si="10"/>
        <v>0.56514572427409571</v>
      </c>
      <c r="E160">
        <f t="shared" si="11"/>
        <v>0.56514572427409571</v>
      </c>
      <c r="G160">
        <f t="shared" ca="1" si="12"/>
        <v>158</v>
      </c>
      <c r="H160">
        <f t="shared" ca="1" si="13"/>
        <v>89.293024435307117</v>
      </c>
      <c r="I160">
        <f t="shared" ca="1" si="14"/>
        <v>4195.1275147791239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197</v>
      </c>
      <c r="B162" s="66">
        <v>197</v>
      </c>
      <c r="D162">
        <f t="shared" si="10"/>
        <v>0.35683880667306683</v>
      </c>
      <c r="E162">
        <f t="shared" si="11"/>
        <v>0.35683880667306683</v>
      </c>
      <c r="G162">
        <f t="shared" ca="1" si="12"/>
        <v>160</v>
      </c>
      <c r="H162">
        <f t="shared" ca="1" si="13"/>
        <v>57.094209067690691</v>
      </c>
      <c r="I162">
        <f t="shared" ca="1" si="14"/>
        <v>2773.2510465965124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317</v>
      </c>
      <c r="B165" s="66">
        <v>317</v>
      </c>
      <c r="D165">
        <f t="shared" si="10"/>
        <v>0.57420254677848825</v>
      </c>
      <c r="E165">
        <f t="shared" si="11"/>
        <v>0.57420254677848825</v>
      </c>
      <c r="G165">
        <f t="shared" ca="1" si="12"/>
        <v>163</v>
      </c>
      <c r="H165">
        <f t="shared" ca="1" si="13"/>
        <v>93.595015124893592</v>
      </c>
      <c r="I165">
        <f t="shared" ca="1" si="14"/>
        <v>4771.4299151669156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197</v>
      </c>
      <c r="B167" s="66">
        <v>197</v>
      </c>
      <c r="D167">
        <f t="shared" si="10"/>
        <v>0.35683880667306683</v>
      </c>
      <c r="E167">
        <f t="shared" si="11"/>
        <v>0.35683880667306683</v>
      </c>
      <c r="G167">
        <f t="shared" ca="1" si="12"/>
        <v>165</v>
      </c>
      <c r="H167">
        <f t="shared" ca="1" si="13"/>
        <v>58.87840310105603</v>
      </c>
      <c r="I167">
        <f t="shared" ca="1" si="14"/>
        <v>3096.75167187033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120</v>
      </c>
      <c r="B170" s="66">
        <v>120</v>
      </c>
      <c r="D170">
        <f t="shared" si="10"/>
        <v>0.21736374010542142</v>
      </c>
      <c r="E170">
        <f t="shared" si="11"/>
        <v>0.21736374010542142</v>
      </c>
      <c r="G170">
        <f t="shared" ca="1" si="12"/>
        <v>168</v>
      </c>
      <c r="H170">
        <f t="shared" ca="1" si="13"/>
        <v>36.517108337710802</v>
      </c>
      <c r="I170">
        <f t="shared" ca="1" si="14"/>
        <v>2009.7966568902177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401</v>
      </c>
      <c r="B1" s="66" t="s">
        <v>402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72.724016611896516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1.404118237753637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0.5616959178379668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3621</v>
      </c>
      <c r="B8" s="66">
        <v>3621</v>
      </c>
      <c r="D8">
        <f t="shared" si="0"/>
        <v>3.6856837498091508</v>
      </c>
      <c r="E8">
        <f t="shared" si="1"/>
        <v>3.6856837498091508</v>
      </c>
      <c r="G8">
        <f t="shared" ca="1" si="2"/>
        <v>6</v>
      </c>
      <c r="H8">
        <f t="shared" ca="1" si="3"/>
        <v>22.114102498854905</v>
      </c>
      <c r="I8">
        <f t="shared" ca="1" si="4"/>
        <v>16409.011956250222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6441</v>
      </c>
      <c r="B10" s="66">
        <v>6441</v>
      </c>
      <c r="D10">
        <f t="shared" si="0"/>
        <v>6.5560588325105602</v>
      </c>
      <c r="E10">
        <f t="shared" si="1"/>
        <v>6.5560588325105602</v>
      </c>
      <c r="G10">
        <f t="shared" ca="1" si="2"/>
        <v>8</v>
      </c>
      <c r="H10">
        <f t="shared" ca="1" si="3"/>
        <v>52.448470660084482</v>
      </c>
      <c r="I10">
        <f t="shared" ca="1" si="4"/>
        <v>27464.630688782756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10624</v>
      </c>
      <c r="B13" s="66">
        <v>10624</v>
      </c>
      <c r="D13">
        <f t="shared" si="0"/>
        <v>10.813781871850985</v>
      </c>
      <c r="E13">
        <f t="shared" si="1"/>
        <v>10.813781871850985</v>
      </c>
      <c r="G13">
        <f t="shared" ca="1" si="2"/>
        <v>11</v>
      </c>
      <c r="H13">
        <f t="shared" ca="1" si="3"/>
        <v>118.95160059036084</v>
      </c>
      <c r="I13">
        <f t="shared" ca="1" si="4"/>
        <v>41198.932571144709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14591</v>
      </c>
      <c r="B15" s="66">
        <v>14591</v>
      </c>
      <c r="D15">
        <f t="shared" si="0"/>
        <v>14.851646394218536</v>
      </c>
      <c r="E15">
        <f t="shared" si="1"/>
        <v>14.851646394218536</v>
      </c>
      <c r="G15">
        <f t="shared" ca="1" si="2"/>
        <v>13</v>
      </c>
      <c r="H15">
        <f t="shared" ca="1" si="3"/>
        <v>193.07140312484097</v>
      </c>
      <c r="I15">
        <f t="shared" ca="1" si="4"/>
        <v>52975.20129912546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23057</v>
      </c>
      <c r="B18" s="66">
        <v>23057</v>
      </c>
      <c r="D18">
        <f t="shared" si="0"/>
        <v>23.46887882334979</v>
      </c>
      <c r="E18">
        <f t="shared" si="1"/>
        <v>23.46887882334979</v>
      </c>
      <c r="G18">
        <f t="shared" ca="1" si="2"/>
        <v>16</v>
      </c>
      <c r="H18">
        <f t="shared" ca="1" si="3"/>
        <v>375.50206117359664</v>
      </c>
      <c r="I18">
        <f t="shared" ca="1" si="4"/>
        <v>75513.794488216008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30687</v>
      </c>
      <c r="B21" s="66">
        <v>30687</v>
      </c>
      <c r="D21">
        <f t="shared" si="0"/>
        <v>31.23517736271566</v>
      </c>
      <c r="E21">
        <f t="shared" si="1"/>
        <v>31.23517736271566</v>
      </c>
      <c r="G21">
        <f t="shared" ca="1" si="2"/>
        <v>19</v>
      </c>
      <c r="H21">
        <f t="shared" ca="1" si="3"/>
        <v>593.4683698915976</v>
      </c>
      <c r="I21">
        <f t="shared" ca="1" si="4"/>
        <v>90153.154145868815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44010</v>
      </c>
      <c r="B23" s="66">
        <v>44010</v>
      </c>
      <c r="D23">
        <f t="shared" si="0"/>
        <v>44.796172833223068</v>
      </c>
      <c r="E23">
        <f t="shared" si="1"/>
        <v>44.796172833223068</v>
      </c>
      <c r="G23">
        <f t="shared" ca="1" si="2"/>
        <v>21</v>
      </c>
      <c r="H23">
        <f t="shared" ca="1" si="3"/>
        <v>940.71962949768442</v>
      </c>
      <c r="I23">
        <f t="shared" ca="1" si="4"/>
        <v>119846.51137007026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45540</v>
      </c>
      <c r="B26" s="66">
        <v>45540</v>
      </c>
      <c r="D26">
        <f t="shared" si="0"/>
        <v>46.353503995114252</v>
      </c>
      <c r="E26">
        <f t="shared" si="1"/>
        <v>46.353503995114252</v>
      </c>
      <c r="G26">
        <f t="shared" ca="1" si="2"/>
        <v>24</v>
      </c>
      <c r="H26">
        <f t="shared" ca="1" si="3"/>
        <v>1112.4840958827422</v>
      </c>
      <c r="I26">
        <f t="shared" ca="1" si="4"/>
        <v>110044.5995776137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39600</v>
      </c>
      <c r="B28" s="66">
        <v>39600</v>
      </c>
      <c r="D28">
        <f t="shared" si="0"/>
        <v>40.307394778360219</v>
      </c>
      <c r="E28">
        <f t="shared" si="1"/>
        <v>40.307394778360219</v>
      </c>
      <c r="G28">
        <f t="shared" ca="1" si="2"/>
        <v>26</v>
      </c>
      <c r="H28">
        <f t="shared" ca="1" si="3"/>
        <v>1047.9922642373658</v>
      </c>
      <c r="I28">
        <f t="shared" ca="1" si="4"/>
        <v>87996.43304250775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41225</v>
      </c>
      <c r="B31" s="66">
        <v>41225</v>
      </c>
      <c r="D31">
        <f t="shared" si="0"/>
        <v>41.961422973179296</v>
      </c>
      <c r="E31">
        <f t="shared" si="1"/>
        <v>41.961422973179296</v>
      </c>
      <c r="G31">
        <f t="shared" ca="1" si="2"/>
        <v>29</v>
      </c>
      <c r="H31">
        <f t="shared" ca="1" si="3"/>
        <v>1216.8812662221997</v>
      </c>
      <c r="I31">
        <f t="shared" ca="1" si="4"/>
        <v>80221.413244669879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51545</v>
      </c>
      <c r="B33" s="66">
        <v>51545</v>
      </c>
      <c r="D33">
        <f t="shared" si="0"/>
        <v>52.465774339661053</v>
      </c>
      <c r="E33">
        <f t="shared" si="1"/>
        <v>52.465774339661053</v>
      </c>
      <c r="G33">
        <f t="shared" ca="1" si="2"/>
        <v>31</v>
      </c>
      <c r="H33">
        <f t="shared" ca="1" si="3"/>
        <v>1626.4390045294926</v>
      </c>
      <c r="I33">
        <f t="shared" ca="1" si="4"/>
        <v>91337.328785318226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46345</v>
      </c>
      <c r="B36" s="66">
        <v>46345</v>
      </c>
      <c r="D36">
        <f t="shared" si="0"/>
        <v>47.172884116240013</v>
      </c>
      <c r="E36">
        <f t="shared" si="1"/>
        <v>47.172884116240013</v>
      </c>
      <c r="G36">
        <f t="shared" ca="1" si="2"/>
        <v>34</v>
      </c>
      <c r="H36">
        <f t="shared" ca="1" si="3"/>
        <v>1603.8780599521604</v>
      </c>
      <c r="I36">
        <f t="shared" ca="1" si="4"/>
        <v>70738.073023839155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41940</v>
      </c>
      <c r="B39" s="66">
        <v>41940</v>
      </c>
      <c r="D39">
        <f t="shared" si="0"/>
        <v>42.68919537889969</v>
      </c>
      <c r="E39">
        <f t="shared" si="1"/>
        <v>42.68919537889969</v>
      </c>
      <c r="G39">
        <f t="shared" ca="1" si="2"/>
        <v>37</v>
      </c>
      <c r="H39">
        <f t="shared" ca="1" si="3"/>
        <v>1579.5002290192886</v>
      </c>
      <c r="I39">
        <f t="shared" ca="1" si="4"/>
        <v>54480.180079885213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49632</v>
      </c>
      <c r="B41" s="66">
        <v>49632</v>
      </c>
      <c r="D41">
        <f t="shared" si="0"/>
        <v>50.518601455544811</v>
      </c>
      <c r="E41">
        <f t="shared" si="1"/>
        <v>50.518601455544811</v>
      </c>
      <c r="G41">
        <f t="shared" ca="1" si="2"/>
        <v>39</v>
      </c>
      <c r="H41">
        <f t="shared" ca="1" si="3"/>
        <v>1970.2254567662476</v>
      </c>
      <c r="I41">
        <f t="shared" ca="1" si="4"/>
        <v>57455.275078511768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44832</v>
      </c>
      <c r="B44" s="66">
        <v>44832</v>
      </c>
      <c r="D44">
        <f t="shared" si="0"/>
        <v>45.632856633925392</v>
      </c>
      <c r="E44">
        <f t="shared" si="1"/>
        <v>45.632856633925392</v>
      </c>
      <c r="G44">
        <f t="shared" ca="1" si="2"/>
        <v>42</v>
      </c>
      <c r="H44">
        <f t="shared" ca="1" si="3"/>
        <v>1916.5799786248665</v>
      </c>
      <c r="I44">
        <f t="shared" ca="1" si="4"/>
        <v>43075.828491533561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52710</v>
      </c>
      <c r="B46" s="66">
        <v>52710</v>
      </c>
      <c r="D46">
        <f t="shared" si="0"/>
        <v>53.651585322408266</v>
      </c>
      <c r="E46">
        <f t="shared" si="1"/>
        <v>53.651585322408266</v>
      </c>
      <c r="G46">
        <f t="shared" ca="1" si="2"/>
        <v>44</v>
      </c>
      <c r="H46">
        <f t="shared" ca="1" si="3"/>
        <v>2360.6697541859639</v>
      </c>
      <c r="I46">
        <f t="shared" ca="1" si="4"/>
        <v>44266.266842275865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50911</v>
      </c>
      <c r="B49" s="66">
        <v>50911</v>
      </c>
      <c r="D49">
        <f t="shared" si="0"/>
        <v>51.820448877805489</v>
      </c>
      <c r="E49">
        <f t="shared" si="1"/>
        <v>51.820448877805489</v>
      </c>
      <c r="G49">
        <f t="shared" ca="1" si="2"/>
        <v>47</v>
      </c>
      <c r="H49">
        <f t="shared" ca="1" si="3"/>
        <v>2435.5610972568579</v>
      </c>
      <c r="I49">
        <f t="shared" ca="1" si="4"/>
        <v>34290.888121917407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49100</v>
      </c>
      <c r="B51" s="66">
        <v>49100</v>
      </c>
      <c r="D51">
        <f t="shared" si="0"/>
        <v>49.97709807114866</v>
      </c>
      <c r="E51">
        <f t="shared" si="1"/>
        <v>49.97709807114866</v>
      </c>
      <c r="G51">
        <f t="shared" ca="1" si="2"/>
        <v>49</v>
      </c>
      <c r="H51">
        <f t="shared" ca="1" si="3"/>
        <v>2448.8778054862842</v>
      </c>
      <c r="I51">
        <f t="shared" ca="1" si="4"/>
        <v>28128.558341183478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51228</v>
      </c>
      <c r="B54" s="66">
        <v>51228</v>
      </c>
      <c r="D54">
        <f t="shared" si="0"/>
        <v>52.143111608733271</v>
      </c>
      <c r="E54">
        <f t="shared" si="1"/>
        <v>52.143111608733271</v>
      </c>
      <c r="G54">
        <f t="shared" ca="1" si="2"/>
        <v>52</v>
      </c>
      <c r="H54">
        <f t="shared" ca="1" si="3"/>
        <v>2711.4418036541301</v>
      </c>
      <c r="I54">
        <f t="shared" ca="1" si="4"/>
        <v>22394.677225457966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62454</v>
      </c>
      <c r="B57" s="66">
        <v>62454</v>
      </c>
      <c r="D57">
        <f t="shared" si="0"/>
        <v>63.569647310295686</v>
      </c>
      <c r="E57">
        <f t="shared" si="1"/>
        <v>63.569647310295686</v>
      </c>
      <c r="G57">
        <f t="shared" ca="1" si="2"/>
        <v>55</v>
      </c>
      <c r="H57">
        <f t="shared" ca="1" si="3"/>
        <v>3496.3306020662626</v>
      </c>
      <c r="I57">
        <f t="shared" ca="1" si="4"/>
        <v>19969.817627859407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63497</v>
      </c>
      <c r="B59" s="66">
        <v>63497</v>
      </c>
      <c r="D59">
        <f t="shared" si="0"/>
        <v>64.631278945493406</v>
      </c>
      <c r="E59">
        <f t="shared" si="1"/>
        <v>64.631278945493406</v>
      </c>
      <c r="G59">
        <f t="shared" ca="1" si="2"/>
        <v>57</v>
      </c>
      <c r="H59">
        <f t="shared" ca="1" si="3"/>
        <v>3683.9828998931243</v>
      </c>
      <c r="I59">
        <f t="shared" ca="1" si="4"/>
        <v>15979.741070808503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71953</v>
      </c>
      <c r="B62" s="66">
        <v>71953</v>
      </c>
      <c r="D62">
        <f t="shared" si="0"/>
        <v>73.238332739579619</v>
      </c>
      <c r="E62">
        <f t="shared" si="1"/>
        <v>73.238332739579619</v>
      </c>
      <c r="G62">
        <f t="shared" ca="1" si="2"/>
        <v>60</v>
      </c>
      <c r="H62">
        <f t="shared" ca="1" si="3"/>
        <v>4394.2999643747771</v>
      </c>
      <c r="I62">
        <f t="shared" ca="1" si="4"/>
        <v>11857.329921243991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82583</v>
      </c>
      <c r="B64" s="66">
        <v>82583</v>
      </c>
      <c r="D64">
        <f t="shared" si="0"/>
        <v>84.05822179245763</v>
      </c>
      <c r="E64">
        <f t="shared" si="1"/>
        <v>84.05822179245763</v>
      </c>
      <c r="G64">
        <f t="shared" ca="1" si="2"/>
        <v>62</v>
      </c>
      <c r="H64">
        <f t="shared" ca="1" si="3"/>
        <v>5211.6097511323733</v>
      </c>
      <c r="I64">
        <f t="shared" ca="1" si="4"/>
        <v>9667.0764825583301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82434</v>
      </c>
      <c r="B67" s="66">
        <v>82434</v>
      </c>
      <c r="D67">
        <f t="shared" ref="D67:D130" si="5">IFERROR(100*A67/MAX(A$2:A$257), 0 )</f>
        <v>83.906560130286522</v>
      </c>
      <c r="E67">
        <f t="shared" ref="E67:E130" si="6">IFERROR(100*B67/MAX(B$2:B$257), 0 )</f>
        <v>83.906560130286522</v>
      </c>
      <c r="G67">
        <f t="shared" ref="G67:G130" ca="1" si="7">CELL("row",D67)-2</f>
        <v>65</v>
      </c>
      <c r="H67">
        <f t="shared" ref="H67:H130" ca="1" si="8">D67*G67</f>
        <v>5453.9264084686238</v>
      </c>
      <c r="I67">
        <f t="shared" ref="I67:I130" ca="1" si="9">D67*((G67-$L$1)^2)</f>
        <v>5005.9016771005381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77539</v>
      </c>
      <c r="B69" s="66">
        <v>77539</v>
      </c>
      <c r="D69">
        <f t="shared" si="5"/>
        <v>78.924118275739218</v>
      </c>
      <c r="E69">
        <f t="shared" si="6"/>
        <v>78.924118275739218</v>
      </c>
      <c r="G69">
        <f t="shared" ca="1" si="7"/>
        <v>67</v>
      </c>
      <c r="H69">
        <f t="shared" ca="1" si="8"/>
        <v>5287.9159244745279</v>
      </c>
      <c r="I69">
        <f t="shared" ca="1" si="9"/>
        <v>2585.8987110885755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72657</v>
      </c>
      <c r="B72" s="66">
        <v>72657</v>
      </c>
      <c r="D72">
        <f t="shared" si="5"/>
        <v>73.954908646750468</v>
      </c>
      <c r="E72">
        <f t="shared" si="6"/>
        <v>73.954908646750468</v>
      </c>
      <c r="G72">
        <f t="shared" ca="1" si="7"/>
        <v>70</v>
      </c>
      <c r="H72">
        <f t="shared" ca="1" si="8"/>
        <v>5176.8436052725328</v>
      </c>
      <c r="I72">
        <f t="shared" ca="1" si="9"/>
        <v>548.76513128168267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76031</v>
      </c>
      <c r="B75" s="66">
        <v>76031</v>
      </c>
      <c r="D75">
        <f t="shared" si="5"/>
        <v>77.389180110947123</v>
      </c>
      <c r="E75">
        <f t="shared" si="6"/>
        <v>77.389180110947123</v>
      </c>
      <c r="G75">
        <f t="shared" ca="1" si="7"/>
        <v>73</v>
      </c>
      <c r="H75">
        <f t="shared" ca="1" si="8"/>
        <v>5649.4101480991403</v>
      </c>
      <c r="I75">
        <f t="shared" ca="1" si="9"/>
        <v>5.8944885647470269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72828</v>
      </c>
      <c r="B77" s="66">
        <v>72828</v>
      </c>
      <c r="D77">
        <f t="shared" si="5"/>
        <v>74.128963306020665</v>
      </c>
      <c r="E77">
        <f t="shared" si="6"/>
        <v>74.128963306020665</v>
      </c>
      <c r="G77">
        <f t="shared" ca="1" si="7"/>
        <v>75</v>
      </c>
      <c r="H77">
        <f t="shared" ca="1" si="8"/>
        <v>5559.6722479515502</v>
      </c>
      <c r="I77">
        <f t="shared" ca="1" si="9"/>
        <v>383.99547120720359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73489</v>
      </c>
      <c r="B80" s="66">
        <v>73489</v>
      </c>
      <c r="D80">
        <f t="shared" si="5"/>
        <v>74.801771082497837</v>
      </c>
      <c r="E80">
        <f t="shared" si="6"/>
        <v>74.801771082497837</v>
      </c>
      <c r="G80">
        <f t="shared" ca="1" si="7"/>
        <v>78</v>
      </c>
      <c r="H80">
        <f t="shared" ca="1" si="8"/>
        <v>5834.5381444348313</v>
      </c>
      <c r="I80">
        <f t="shared" ca="1" si="9"/>
        <v>2082.1821530771549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76528</v>
      </c>
      <c r="B82" s="66">
        <v>76528</v>
      </c>
      <c r="D82">
        <f t="shared" si="5"/>
        <v>77.895058272685631</v>
      </c>
      <c r="E82">
        <f t="shared" si="6"/>
        <v>77.895058272685631</v>
      </c>
      <c r="G82">
        <f t="shared" ca="1" si="7"/>
        <v>80</v>
      </c>
      <c r="H82">
        <f t="shared" ca="1" si="8"/>
        <v>6231.6046618148503</v>
      </c>
      <c r="I82">
        <f t="shared" ca="1" si="9"/>
        <v>4123.7592644431434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86559</v>
      </c>
      <c r="B85" s="66">
        <v>86559</v>
      </c>
      <c r="D85">
        <f t="shared" si="5"/>
        <v>88.105247086365722</v>
      </c>
      <c r="E85">
        <f t="shared" si="6"/>
        <v>88.105247086365722</v>
      </c>
      <c r="G85">
        <f t="shared" ca="1" si="7"/>
        <v>83</v>
      </c>
      <c r="H85">
        <f t="shared" ca="1" si="8"/>
        <v>7312.7355081683545</v>
      </c>
      <c r="I85">
        <f t="shared" ca="1" si="9"/>
        <v>9303.5470980701557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90404</v>
      </c>
      <c r="B88" s="66">
        <v>90404</v>
      </c>
      <c r="D88">
        <f t="shared" si="5"/>
        <v>92.018932261183778</v>
      </c>
      <c r="E88">
        <f t="shared" si="6"/>
        <v>92.018932261183778</v>
      </c>
      <c r="G88">
        <f t="shared" ca="1" si="7"/>
        <v>86</v>
      </c>
      <c r="H88">
        <f t="shared" ca="1" si="8"/>
        <v>7913.6281744618045</v>
      </c>
      <c r="I88">
        <f t="shared" ca="1" si="9"/>
        <v>16218.49645662999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89878</v>
      </c>
      <c r="B90" s="66">
        <v>89878</v>
      </c>
      <c r="D90">
        <f t="shared" si="5"/>
        <v>91.483536057814646</v>
      </c>
      <c r="E90">
        <f t="shared" si="6"/>
        <v>91.483536057814646</v>
      </c>
      <c r="G90">
        <f t="shared" ca="1" si="7"/>
        <v>88</v>
      </c>
      <c r="H90">
        <f t="shared" ca="1" si="8"/>
        <v>8050.5511730876888</v>
      </c>
      <c r="I90">
        <f t="shared" ca="1" si="9"/>
        <v>21348.201711101268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98245</v>
      </c>
      <c r="B93" s="66">
        <v>98245</v>
      </c>
      <c r="D93">
        <f t="shared" si="5"/>
        <v>100</v>
      </c>
      <c r="E93">
        <f t="shared" si="6"/>
        <v>100</v>
      </c>
      <c r="G93">
        <f t="shared" ca="1" si="7"/>
        <v>91</v>
      </c>
      <c r="H93">
        <f t="shared" ca="1" si="8"/>
        <v>9100</v>
      </c>
      <c r="I93">
        <f t="shared" ca="1" si="9"/>
        <v>33401.156880223447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96768</v>
      </c>
      <c r="B95" s="66">
        <v>96768</v>
      </c>
      <c r="D95">
        <f t="shared" si="5"/>
        <v>98.49661560384753</v>
      </c>
      <c r="E95">
        <f t="shared" si="6"/>
        <v>98.49661560384753</v>
      </c>
      <c r="G95">
        <f t="shared" ca="1" si="7"/>
        <v>93</v>
      </c>
      <c r="H95">
        <f t="shared" ca="1" si="8"/>
        <v>9160.1852511578199</v>
      </c>
      <c r="I95">
        <f t="shared" ca="1" si="9"/>
        <v>40493.485604208479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87413</v>
      </c>
      <c r="B98" s="66">
        <v>87413</v>
      </c>
      <c r="D98">
        <f t="shared" si="5"/>
        <v>88.97450251921218</v>
      </c>
      <c r="E98">
        <f t="shared" si="6"/>
        <v>88.97450251921218</v>
      </c>
      <c r="G98">
        <f t="shared" ca="1" si="7"/>
        <v>96</v>
      </c>
      <c r="H98">
        <f t="shared" ca="1" si="8"/>
        <v>8541.5522418443688</v>
      </c>
      <c r="I98">
        <f t="shared" ca="1" si="9"/>
        <v>48203.841032879667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79176</v>
      </c>
      <c r="B100" s="66">
        <v>79176</v>
      </c>
      <c r="D100">
        <f t="shared" si="5"/>
        <v>80.590360832612348</v>
      </c>
      <c r="E100">
        <f t="shared" si="6"/>
        <v>80.590360832612348</v>
      </c>
      <c r="G100">
        <f t="shared" ca="1" si="7"/>
        <v>98</v>
      </c>
      <c r="H100">
        <f t="shared" ca="1" si="8"/>
        <v>7897.85536159601</v>
      </c>
      <c r="I100">
        <f t="shared" ca="1" si="9"/>
        <v>51487.193874290249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75791</v>
      </c>
      <c r="B103" s="66">
        <v>75791</v>
      </c>
      <c r="D103">
        <f t="shared" si="5"/>
        <v>77.144892869866155</v>
      </c>
      <c r="E103">
        <f t="shared" si="6"/>
        <v>77.144892869866155</v>
      </c>
      <c r="G103">
        <f t="shared" ca="1" si="7"/>
        <v>101</v>
      </c>
      <c r="H103">
        <f t="shared" ca="1" si="8"/>
        <v>7791.6341798564818</v>
      </c>
      <c r="I103">
        <f t="shared" ca="1" si="9"/>
        <v>61679.751590864864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61691</v>
      </c>
      <c r="B106" s="66">
        <v>61691</v>
      </c>
      <c r="D106">
        <f t="shared" si="5"/>
        <v>62.793017456359102</v>
      </c>
      <c r="E106">
        <f t="shared" si="6"/>
        <v>62.793017456359102</v>
      </c>
      <c r="G106">
        <f t="shared" ca="1" si="7"/>
        <v>104</v>
      </c>
      <c r="H106">
        <f t="shared" ca="1" si="8"/>
        <v>6530.4738154613469</v>
      </c>
      <c r="I106">
        <f t="shared" ca="1" si="9"/>
        <v>61423.321962503374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59151</v>
      </c>
      <c r="B108" s="66">
        <v>59151</v>
      </c>
      <c r="D108">
        <f t="shared" si="5"/>
        <v>60.207644154918825</v>
      </c>
      <c r="E108">
        <f t="shared" si="6"/>
        <v>60.207644154918825</v>
      </c>
      <c r="G108">
        <f t="shared" ca="1" si="7"/>
        <v>106</v>
      </c>
      <c r="H108">
        <f t="shared" ca="1" si="8"/>
        <v>6382.0102804213957</v>
      </c>
      <c r="I108">
        <f t="shared" ca="1" si="9"/>
        <v>66667.386745292126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53316</v>
      </c>
      <c r="B111" s="66">
        <v>53316</v>
      </c>
      <c r="D111">
        <f t="shared" si="5"/>
        <v>54.268410606137714</v>
      </c>
      <c r="E111">
        <f t="shared" si="6"/>
        <v>54.268410606137714</v>
      </c>
      <c r="G111">
        <f t="shared" ca="1" si="7"/>
        <v>109</v>
      </c>
      <c r="H111">
        <f t="shared" ca="1" si="8"/>
        <v>5915.2567560690104</v>
      </c>
      <c r="I111">
        <f t="shared" ca="1" si="9"/>
        <v>71414.350545864363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47767</v>
      </c>
      <c r="B113" s="66">
        <v>47767</v>
      </c>
      <c r="D113">
        <f t="shared" si="5"/>
        <v>48.620286019644766</v>
      </c>
      <c r="E113">
        <f t="shared" si="6"/>
        <v>48.620286019644766</v>
      </c>
      <c r="G113">
        <f t="shared" ca="1" si="7"/>
        <v>111</v>
      </c>
      <c r="H113">
        <f t="shared" ca="1" si="8"/>
        <v>5396.8517481805693</v>
      </c>
      <c r="I113">
        <f t="shared" ca="1" si="9"/>
        <v>71231.194001687516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42513</v>
      </c>
      <c r="B116" s="66">
        <v>42513</v>
      </c>
      <c r="D116">
        <f t="shared" si="5"/>
        <v>43.27243116698051</v>
      </c>
      <c r="E116">
        <f t="shared" si="6"/>
        <v>43.27243116698051</v>
      </c>
      <c r="G116">
        <f t="shared" ca="1" si="7"/>
        <v>114</v>
      </c>
      <c r="H116">
        <f t="shared" ca="1" si="8"/>
        <v>4933.0571530357784</v>
      </c>
      <c r="I116">
        <f t="shared" ca="1" si="9"/>
        <v>73723.535433149576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34907</v>
      </c>
      <c r="B118" s="66">
        <v>34907</v>
      </c>
      <c r="D118">
        <f t="shared" si="5"/>
        <v>35.530561351722731</v>
      </c>
      <c r="E118">
        <f t="shared" si="6"/>
        <v>35.530561351722731</v>
      </c>
      <c r="G118">
        <f t="shared" ca="1" si="7"/>
        <v>116</v>
      </c>
      <c r="H118">
        <f t="shared" ca="1" si="8"/>
        <v>4121.5451167998372</v>
      </c>
      <c r="I118">
        <f t="shared" ca="1" si="9"/>
        <v>66542.016834043476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30002</v>
      </c>
      <c r="B121" s="66">
        <v>30002</v>
      </c>
      <c r="D121">
        <f t="shared" si="5"/>
        <v>30.537940862130387</v>
      </c>
      <c r="E121">
        <f t="shared" si="6"/>
        <v>30.537940862130387</v>
      </c>
      <c r="G121">
        <f t="shared" ca="1" si="7"/>
        <v>119</v>
      </c>
      <c r="H121">
        <f t="shared" ca="1" si="8"/>
        <v>3634.014962593516</v>
      </c>
      <c r="I121">
        <f t="shared" ca="1" si="9"/>
        <v>65395.981565838425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24643</v>
      </c>
      <c r="B124" s="66">
        <v>24643</v>
      </c>
      <c r="D124">
        <f t="shared" si="5"/>
        <v>25.083210341493206</v>
      </c>
      <c r="E124">
        <f t="shared" si="6"/>
        <v>25.083210341493206</v>
      </c>
      <c r="G124">
        <f t="shared" ca="1" si="7"/>
        <v>122</v>
      </c>
      <c r="H124">
        <f t="shared" ca="1" si="8"/>
        <v>3060.1516616621711</v>
      </c>
      <c r="I124">
        <f t="shared" ca="1" si="9"/>
        <v>60905.108377262535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20275</v>
      </c>
      <c r="B126" s="66">
        <v>20275</v>
      </c>
      <c r="D126">
        <f t="shared" si="5"/>
        <v>20.637182553819532</v>
      </c>
      <c r="E126">
        <f t="shared" si="6"/>
        <v>20.637182553819532</v>
      </c>
      <c r="G126">
        <f t="shared" ca="1" si="7"/>
        <v>124</v>
      </c>
      <c r="H126">
        <f t="shared" ca="1" si="8"/>
        <v>2559.0106366736218</v>
      </c>
      <c r="I126">
        <f t="shared" ca="1" si="9"/>
        <v>54259.826686605913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15111</v>
      </c>
      <c r="B129" s="66">
        <v>15111</v>
      </c>
      <c r="D129">
        <f t="shared" si="5"/>
        <v>15.380935416560639</v>
      </c>
      <c r="E129">
        <f t="shared" si="6"/>
        <v>15.380935416560639</v>
      </c>
      <c r="G129">
        <f t="shared" ca="1" si="7"/>
        <v>127</v>
      </c>
      <c r="H129">
        <f t="shared" ca="1" si="8"/>
        <v>1953.3787979032013</v>
      </c>
      <c r="I129">
        <f t="shared" ca="1" si="9"/>
        <v>45310.426519985798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10473</v>
      </c>
      <c r="B131" s="66">
        <v>10473</v>
      </c>
      <c r="D131">
        <f t="shared" ref="D131:D194" si="10">IFERROR(100*A131/MAX(A$2:A$257), 0 )</f>
        <v>10.660084482670873</v>
      </c>
      <c r="E131">
        <f t="shared" ref="E131:E194" si="11">IFERROR(100*B131/MAX(B$2:B$257), 0 )</f>
        <v>10.660084482670873</v>
      </c>
      <c r="G131">
        <f t="shared" ref="G131:G194" ca="1" si="12">CELL("row",D131)-2</f>
        <v>129</v>
      </c>
      <c r="H131">
        <f t="shared" ref="H131:H194" ca="1" si="13">D131*G131</f>
        <v>1375.1508982645428</v>
      </c>
      <c r="I131">
        <f t="shared" ref="I131:I194" ca="1" si="14">D131*((G131-$L$1)^2)</f>
        <v>33760.341580599517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7836</v>
      </c>
      <c r="B134" s="66">
        <v>7836</v>
      </c>
      <c r="D134">
        <f t="shared" si="10"/>
        <v>7.9759784212937044</v>
      </c>
      <c r="E134">
        <f t="shared" si="11"/>
        <v>7.9759784212937044</v>
      </c>
      <c r="G134">
        <f t="shared" ca="1" si="12"/>
        <v>132</v>
      </c>
      <c r="H134">
        <f t="shared" ca="1" si="13"/>
        <v>1052.829151610769</v>
      </c>
      <c r="I134">
        <f t="shared" ca="1" si="14"/>
        <v>28024.734420201516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5202</v>
      </c>
      <c r="B136" s="66">
        <v>5202</v>
      </c>
      <c r="D136">
        <f t="shared" si="10"/>
        <v>5.2949259504300477</v>
      </c>
      <c r="E136">
        <f t="shared" si="11"/>
        <v>5.2949259504300477</v>
      </c>
      <c r="G136">
        <f t="shared" ca="1" si="12"/>
        <v>134</v>
      </c>
      <c r="H136">
        <f t="shared" ca="1" si="13"/>
        <v>709.52007735762641</v>
      </c>
      <c r="I136">
        <f t="shared" ca="1" si="14"/>
        <v>19881.102774911556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3989</v>
      </c>
      <c r="B139" s="66">
        <v>3989</v>
      </c>
      <c r="D139">
        <f t="shared" si="10"/>
        <v>4.0602575194666395</v>
      </c>
      <c r="E139">
        <f t="shared" si="11"/>
        <v>4.0602575194666395</v>
      </c>
      <c r="G139">
        <f t="shared" ca="1" si="12"/>
        <v>137</v>
      </c>
      <c r="H139">
        <f t="shared" ca="1" si="13"/>
        <v>556.25528016692965</v>
      </c>
      <c r="I139">
        <f t="shared" ca="1" si="14"/>
        <v>16774.556200911433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2524</v>
      </c>
      <c r="B142" s="66">
        <v>2524</v>
      </c>
      <c r="D142">
        <f t="shared" si="10"/>
        <v>2.569087485368212</v>
      </c>
      <c r="E142">
        <f t="shared" si="11"/>
        <v>2.569087485368212</v>
      </c>
      <c r="G142">
        <f t="shared" ca="1" si="12"/>
        <v>140</v>
      </c>
      <c r="H142">
        <f t="shared" ca="1" si="13"/>
        <v>359.67224795154965</v>
      </c>
      <c r="I142">
        <f t="shared" ca="1" si="14"/>
        <v>11627.838813854152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1516</v>
      </c>
      <c r="B144" s="66">
        <v>1516</v>
      </c>
      <c r="D144">
        <f t="shared" si="10"/>
        <v>1.5430810728281337</v>
      </c>
      <c r="E144">
        <f t="shared" si="11"/>
        <v>1.5430810728281337</v>
      </c>
      <c r="G144">
        <f t="shared" ca="1" si="12"/>
        <v>142</v>
      </c>
      <c r="H144">
        <f t="shared" ca="1" si="13"/>
        <v>219.11751234159499</v>
      </c>
      <c r="I144">
        <f t="shared" ca="1" si="14"/>
        <v>7405.4958538077317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991</v>
      </c>
      <c r="B147" s="66">
        <v>991</v>
      </c>
      <c r="D147">
        <f t="shared" si="10"/>
        <v>1.0087027329635097</v>
      </c>
      <c r="E147">
        <f t="shared" si="11"/>
        <v>1.0087027329635097</v>
      </c>
      <c r="G147">
        <f t="shared" ca="1" si="12"/>
        <v>145</v>
      </c>
      <c r="H147">
        <f t="shared" ca="1" si="13"/>
        <v>146.26189627970891</v>
      </c>
      <c r="I147">
        <f t="shared" ca="1" si="14"/>
        <v>5269.2792658608114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625</v>
      </c>
      <c r="B149" s="66">
        <v>625</v>
      </c>
      <c r="D149">
        <f t="shared" si="10"/>
        <v>0.63616469031502876</v>
      </c>
      <c r="E149">
        <f t="shared" si="11"/>
        <v>0.63616469031502876</v>
      </c>
      <c r="G149">
        <f t="shared" ca="1" si="12"/>
        <v>147</v>
      </c>
      <c r="H149">
        <f t="shared" ca="1" si="13"/>
        <v>93.516209476309228</v>
      </c>
      <c r="I149">
        <f t="shared" ca="1" si="14"/>
        <v>3509.6707900337328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305</v>
      </c>
      <c r="B152" s="66">
        <v>305</v>
      </c>
      <c r="D152">
        <f t="shared" si="10"/>
        <v>0.31044836887373406</v>
      </c>
      <c r="E152">
        <f t="shared" si="11"/>
        <v>0.31044836887373406</v>
      </c>
      <c r="G152">
        <f t="shared" ca="1" si="12"/>
        <v>150</v>
      </c>
      <c r="H152">
        <f t="shared" ca="1" si="13"/>
        <v>46.56725533106011</v>
      </c>
      <c r="I152">
        <f t="shared" ca="1" si="14"/>
        <v>1853.8665281923008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216</v>
      </c>
      <c r="B154" s="66">
        <v>216</v>
      </c>
      <c r="D154">
        <f t="shared" si="10"/>
        <v>0.21985851697287392</v>
      </c>
      <c r="E154">
        <f t="shared" si="11"/>
        <v>0.21985851697287392</v>
      </c>
      <c r="G154">
        <f t="shared" ca="1" si="12"/>
        <v>152</v>
      </c>
      <c r="H154">
        <f t="shared" ca="1" si="13"/>
        <v>33.418494579876835</v>
      </c>
      <c r="I154">
        <f t="shared" ca="1" si="14"/>
        <v>1381.7407635040822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283</v>
      </c>
      <c r="B157" s="66">
        <v>283</v>
      </c>
      <c r="D157">
        <f t="shared" si="10"/>
        <v>0.28805537177464502</v>
      </c>
      <c r="E157">
        <f t="shared" si="11"/>
        <v>0.28805537177464502</v>
      </c>
      <c r="G157">
        <f t="shared" ca="1" si="12"/>
        <v>155</v>
      </c>
      <c r="H157">
        <f t="shared" ca="1" si="13"/>
        <v>44.648582625069977</v>
      </c>
      <c r="I157">
        <f t="shared" ca="1" si="14"/>
        <v>1949.9440136614514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147</v>
      </c>
      <c r="B160" s="66">
        <v>147</v>
      </c>
      <c r="D160">
        <f t="shared" si="10"/>
        <v>0.14962593516209477</v>
      </c>
      <c r="E160">
        <f t="shared" si="11"/>
        <v>0.14962593516209477</v>
      </c>
      <c r="G160">
        <f t="shared" ca="1" si="12"/>
        <v>158</v>
      </c>
      <c r="H160">
        <f t="shared" ca="1" si="13"/>
        <v>23.640897755610972</v>
      </c>
      <c r="I160">
        <f t="shared" ca="1" si="14"/>
        <v>1088.0788044101898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38</v>
      </c>
      <c r="B162" s="66">
        <v>38</v>
      </c>
      <c r="D162">
        <f t="shared" si="10"/>
        <v>3.867881317115375E-2</v>
      </c>
      <c r="E162">
        <f t="shared" si="11"/>
        <v>3.867881317115375E-2</v>
      </c>
      <c r="G162">
        <f t="shared" ca="1" si="12"/>
        <v>160</v>
      </c>
      <c r="H162">
        <f t="shared" ca="1" si="13"/>
        <v>6.1886101073845996</v>
      </c>
      <c r="I162">
        <f t="shared" ca="1" si="14"/>
        <v>294.62028245885244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403</v>
      </c>
      <c r="B1" s="68" t="s">
        <v>404</v>
      </c>
      <c r="C1" s="32" t="s">
        <v>405</v>
      </c>
      <c r="D1" s="32" t="s">
        <v>406</v>
      </c>
      <c r="E1" s="32" t="s">
        <v>407</v>
      </c>
    </row>
    <row r="2" spans="1:5">
      <c r="A2" s="68">
        <v>0.15907299999999999</v>
      </c>
      <c r="B2" s="68">
        <v>0.59508399999999995</v>
      </c>
      <c r="C2" s="68">
        <v>0</v>
      </c>
      <c r="D2" s="68">
        <v>1</v>
      </c>
      <c r="E2" s="68" t="s">
        <v>408</v>
      </c>
    </row>
    <row r="3" spans="1:5">
      <c r="A3" s="68">
        <v>0.16559199999999999</v>
      </c>
      <c r="B3" s="68">
        <v>0.58718700000000001</v>
      </c>
      <c r="C3" s="68">
        <v>0.40489900000000001</v>
      </c>
      <c r="D3" s="89">
        <v>1</v>
      </c>
      <c r="E3" s="68" t="s">
        <v>409</v>
      </c>
    </row>
    <row r="4" spans="1:5">
      <c r="A4" s="68">
        <v>0.17235400000000001</v>
      </c>
      <c r="B4" s="68">
        <v>0.57749099999999998</v>
      </c>
      <c r="C4" s="68">
        <v>0.80988499999999997</v>
      </c>
      <c r="D4" s="89">
        <v>1</v>
      </c>
      <c r="E4" s="68" t="s">
        <v>410</v>
      </c>
    </row>
    <row r="5" spans="1:5">
      <c r="A5" s="89">
        <v>0.179226</v>
      </c>
      <c r="B5" s="89">
        <v>0.56622799999999995</v>
      </c>
      <c r="C5" s="89">
        <v>1.2148000000000001</v>
      </c>
      <c r="D5" s="89">
        <v>1</v>
      </c>
      <c r="E5" s="68" t="s">
        <v>411</v>
      </c>
    </row>
    <row r="6" spans="1:5">
      <c r="A6" s="68">
        <v>0.185831</v>
      </c>
      <c r="B6" s="68">
        <v>0.55663600000000002</v>
      </c>
      <c r="C6" s="68">
        <v>1.6207100000000001</v>
      </c>
      <c r="D6" s="68">
        <v>1</v>
      </c>
      <c r="E6" s="68" t="s">
        <v>412</v>
      </c>
    </row>
    <row r="7" spans="1:5">
      <c r="A7" s="68">
        <v>0.192494</v>
      </c>
      <c r="B7" s="68">
        <v>0.54613999999999996</v>
      </c>
      <c r="C7" s="68">
        <v>2.0267400000000002</v>
      </c>
      <c r="D7" s="68">
        <v>1</v>
      </c>
      <c r="E7" s="68" t="s">
        <v>413</v>
      </c>
    </row>
    <row r="8" spans="1:5">
      <c r="A8" s="68">
        <v>0.19950499999999999</v>
      </c>
      <c r="B8" s="68">
        <v>0.53432800000000003</v>
      </c>
      <c r="C8" s="68">
        <v>2.4355899999999999</v>
      </c>
      <c r="D8" s="68">
        <v>1</v>
      </c>
      <c r="E8" s="68" t="s">
        <v>414</v>
      </c>
    </row>
    <row r="9" spans="1:5">
      <c r="A9" s="68">
        <v>0.206538</v>
      </c>
      <c r="B9" s="68">
        <v>0.52179200000000003</v>
      </c>
      <c r="C9" s="68">
        <v>2.8423600000000002</v>
      </c>
      <c r="D9" s="68">
        <v>1</v>
      </c>
      <c r="E9" s="68" t="s">
        <v>415</v>
      </c>
    </row>
    <row r="10" spans="1:5">
      <c r="A10" s="68">
        <v>0.21387</v>
      </c>
      <c r="B10" s="68">
        <v>0.50770400000000004</v>
      </c>
      <c r="C10" s="68">
        <v>3.2453400000000001</v>
      </c>
      <c r="D10" s="68">
        <v>1</v>
      </c>
      <c r="E10" s="68" t="s">
        <v>416</v>
      </c>
    </row>
    <row r="11" spans="1:5">
      <c r="A11" s="68">
        <v>0.22069</v>
      </c>
      <c r="B11" s="68">
        <v>0.49575399999999997</v>
      </c>
      <c r="C11" s="68">
        <v>3.6532100000000001</v>
      </c>
      <c r="D11" s="68">
        <v>1</v>
      </c>
      <c r="E11" s="68" t="s">
        <v>417</v>
      </c>
    </row>
    <row r="12" spans="1:5">
      <c r="A12" s="68">
        <v>0.227327</v>
      </c>
      <c r="B12" s="68">
        <v>0.484653</v>
      </c>
      <c r="C12" s="68">
        <v>4.0582000000000003</v>
      </c>
      <c r="D12" s="68">
        <v>1</v>
      </c>
      <c r="E12" s="68" t="s">
        <v>418</v>
      </c>
    </row>
    <row r="13" spans="1:5">
      <c r="A13" s="68">
        <v>0.23379</v>
      </c>
      <c r="B13" s="68">
        <v>0.474603</v>
      </c>
      <c r="C13" s="68">
        <v>4.4653099999999997</v>
      </c>
      <c r="D13" s="68">
        <v>1</v>
      </c>
      <c r="E13" s="68" t="s">
        <v>419</v>
      </c>
    </row>
    <row r="14" spans="1:5">
      <c r="A14" s="68">
        <v>0.239869</v>
      </c>
      <c r="B14" s="68">
        <v>0.46556799999999998</v>
      </c>
      <c r="C14" s="68">
        <v>4.8730500000000001</v>
      </c>
      <c r="D14" s="68">
        <v>1</v>
      </c>
      <c r="E14" s="68" t="s">
        <v>420</v>
      </c>
    </row>
    <row r="15" spans="1:5">
      <c r="A15" s="68">
        <v>0.245894</v>
      </c>
      <c r="B15" s="68">
        <v>0.45544499999999999</v>
      </c>
      <c r="C15" s="68">
        <v>5.2799699999999996</v>
      </c>
      <c r="D15" s="68">
        <v>1</v>
      </c>
      <c r="E15" s="68" t="s">
        <v>421</v>
      </c>
    </row>
    <row r="16" spans="1:5">
      <c r="A16" s="68">
        <v>0.25206600000000001</v>
      </c>
      <c r="B16" s="68">
        <v>0.44417800000000002</v>
      </c>
      <c r="C16" s="68">
        <v>5.6848299999999998</v>
      </c>
      <c r="D16" s="68">
        <v>1</v>
      </c>
      <c r="E16" s="68" t="s">
        <v>422</v>
      </c>
    </row>
    <row r="17" spans="1:5">
      <c r="A17" s="68">
        <v>0.25835599999999997</v>
      </c>
      <c r="B17" s="68">
        <v>0.43354599999999999</v>
      </c>
      <c r="C17" s="68">
        <v>6.0877499999999998</v>
      </c>
      <c r="D17" s="68">
        <v>1</v>
      </c>
      <c r="E17" s="68" t="s">
        <v>423</v>
      </c>
    </row>
    <row r="18" spans="1:5">
      <c r="A18" s="68">
        <v>0.264594</v>
      </c>
      <c r="B18" s="68">
        <v>0.42323699999999997</v>
      </c>
      <c r="C18" s="68">
        <v>6.4948300000000003</v>
      </c>
      <c r="D18" s="68">
        <v>1</v>
      </c>
      <c r="E18" s="68" t="s">
        <v>424</v>
      </c>
    </row>
    <row r="19" spans="1:5">
      <c r="A19" s="68">
        <v>0.27063399999999999</v>
      </c>
      <c r="B19" s="68">
        <v>0.41302699999999998</v>
      </c>
      <c r="C19" s="68">
        <v>6.9025499999999997</v>
      </c>
      <c r="D19" s="68">
        <v>1</v>
      </c>
      <c r="E19" s="68" t="s">
        <v>425</v>
      </c>
    </row>
    <row r="20" spans="1:5">
      <c r="A20" s="68">
        <v>0.27634199999999998</v>
      </c>
      <c r="B20" s="68">
        <v>0.40458899999999998</v>
      </c>
      <c r="C20" s="68">
        <v>7.3094900000000003</v>
      </c>
      <c r="D20" s="68">
        <v>1</v>
      </c>
      <c r="E20" s="68" t="s">
        <v>426</v>
      </c>
    </row>
    <row r="21" spans="1:5">
      <c r="A21" s="68">
        <v>0.28173599999999999</v>
      </c>
      <c r="B21" s="68">
        <v>0.39695000000000003</v>
      </c>
      <c r="C21" s="68">
        <v>7.7154199999999999</v>
      </c>
      <c r="D21" s="68">
        <v>1</v>
      </c>
      <c r="E21" s="68" t="s">
        <v>427</v>
      </c>
    </row>
    <row r="22" spans="1:5">
      <c r="A22" s="68">
        <v>0.28667599999999999</v>
      </c>
      <c r="B22" s="68">
        <v>0.38972200000000001</v>
      </c>
      <c r="C22" s="68">
        <v>8.1183899999999998</v>
      </c>
      <c r="D22" s="68">
        <v>1</v>
      </c>
      <c r="E22" s="68" t="s">
        <v>428</v>
      </c>
    </row>
    <row r="23" spans="1:5">
      <c r="A23" s="68">
        <v>0.29139799999999999</v>
      </c>
      <c r="B23" s="68">
        <v>0.38305</v>
      </c>
      <c r="C23" s="68">
        <v>8.5266099999999998</v>
      </c>
      <c r="D23" s="68">
        <v>1</v>
      </c>
      <c r="E23" s="68" t="s">
        <v>429</v>
      </c>
    </row>
    <row r="24" spans="1:5">
      <c r="A24" s="68">
        <v>0.29593399999999997</v>
      </c>
      <c r="B24" s="68">
        <v>0.37541799999999997</v>
      </c>
      <c r="C24" s="68">
        <v>8.9344000000000001</v>
      </c>
      <c r="D24" s="68">
        <v>1</v>
      </c>
      <c r="E24" s="68" t="s">
        <v>430</v>
      </c>
    </row>
    <row r="25" spans="1:5">
      <c r="A25" s="68">
        <v>0.2994</v>
      </c>
      <c r="B25" s="68">
        <v>0.36905199999999999</v>
      </c>
      <c r="C25" s="68">
        <v>9.3422400000000003</v>
      </c>
      <c r="D25" s="68">
        <v>1</v>
      </c>
      <c r="E25" s="68" t="s">
        <v>431</v>
      </c>
    </row>
    <row r="26" spans="1:5">
      <c r="A26" s="68">
        <v>0.30230000000000001</v>
      </c>
      <c r="B26" s="68">
        <v>0.36164499999999999</v>
      </c>
      <c r="C26" s="68">
        <v>9.7469300000000008</v>
      </c>
      <c r="D26" s="68">
        <v>1</v>
      </c>
      <c r="E26" s="68" t="s">
        <v>432</v>
      </c>
    </row>
    <row r="27" spans="1:5">
      <c r="A27" s="68">
        <v>0.305255</v>
      </c>
      <c r="B27" s="68">
        <v>0.35322399999999998</v>
      </c>
      <c r="C27" s="68">
        <v>10.1549</v>
      </c>
      <c r="D27" s="68">
        <v>1</v>
      </c>
      <c r="E27" s="68" t="s">
        <v>433</v>
      </c>
    </row>
    <row r="28" spans="1:5">
      <c r="A28" s="68">
        <v>0.30826599999999998</v>
      </c>
      <c r="B28" s="68">
        <v>0.34529500000000002</v>
      </c>
      <c r="C28" s="68">
        <v>10.555899999999999</v>
      </c>
      <c r="D28" s="68">
        <v>1</v>
      </c>
      <c r="E28" s="68" t="s">
        <v>434</v>
      </c>
    </row>
    <row r="29" spans="1:5">
      <c r="A29" s="68">
        <v>0.31121199999999999</v>
      </c>
      <c r="B29" s="68">
        <v>0.33733600000000002</v>
      </c>
      <c r="C29" s="68">
        <v>10.964700000000001</v>
      </c>
      <c r="D29" s="68">
        <v>1</v>
      </c>
      <c r="E29" s="68" t="s">
        <v>435</v>
      </c>
    </row>
    <row r="30" spans="1:5">
      <c r="A30" s="68">
        <v>0.314307</v>
      </c>
      <c r="B30" s="68">
        <v>0.32947700000000002</v>
      </c>
      <c r="C30" s="68">
        <v>11.373699999999999</v>
      </c>
      <c r="D30" s="68">
        <v>1</v>
      </c>
      <c r="E30" s="68" t="s">
        <v>436</v>
      </c>
    </row>
    <row r="31" spans="1:5">
      <c r="A31" s="68">
        <v>0.31747999999999998</v>
      </c>
      <c r="B31" s="68">
        <v>0.32255699999999998</v>
      </c>
      <c r="C31" s="68">
        <v>11.7775</v>
      </c>
      <c r="D31" s="68">
        <v>1</v>
      </c>
      <c r="E31" s="68" t="s">
        <v>437</v>
      </c>
    </row>
    <row r="32" spans="1:5">
      <c r="A32" s="68">
        <v>0.32019900000000001</v>
      </c>
      <c r="B32" s="68">
        <v>0.31696600000000003</v>
      </c>
      <c r="C32" s="68">
        <v>12.183400000000001</v>
      </c>
      <c r="D32" s="68">
        <v>1</v>
      </c>
      <c r="E32" s="68" t="s">
        <v>438</v>
      </c>
    </row>
    <row r="33" spans="1:5">
      <c r="A33" s="68">
        <v>0.322403</v>
      </c>
      <c r="B33" s="68">
        <v>0.31208599999999997</v>
      </c>
      <c r="C33" s="68">
        <v>12.5884</v>
      </c>
      <c r="D33" s="68">
        <v>1</v>
      </c>
      <c r="E33" s="68" t="s">
        <v>439</v>
      </c>
    </row>
    <row r="34" spans="1:5">
      <c r="A34" s="68">
        <v>0.32446399999999997</v>
      </c>
      <c r="B34" s="68">
        <v>0.30771500000000002</v>
      </c>
      <c r="C34" s="68">
        <v>12.996499999999999</v>
      </c>
      <c r="D34" s="68">
        <v>1</v>
      </c>
      <c r="E34" s="68" t="s">
        <v>440</v>
      </c>
    </row>
    <row r="35" spans="1:5">
      <c r="A35" s="68">
        <v>0.32594299999999998</v>
      </c>
      <c r="B35" s="68">
        <v>0.30408299999999999</v>
      </c>
      <c r="C35" s="68">
        <v>13.404299999999999</v>
      </c>
      <c r="D35" s="68">
        <v>1</v>
      </c>
      <c r="E35" s="68" t="s">
        <v>441</v>
      </c>
    </row>
    <row r="36" spans="1:5">
      <c r="A36" s="68">
        <v>0.32715300000000003</v>
      </c>
      <c r="B36" s="68">
        <v>0.30104599999999998</v>
      </c>
      <c r="C36" s="68">
        <v>13.8081</v>
      </c>
      <c r="D36" s="68">
        <v>1</v>
      </c>
      <c r="E36" s="68" t="s">
        <v>442</v>
      </c>
    </row>
    <row r="37" spans="1:5">
      <c r="A37" s="68">
        <v>0.32834400000000002</v>
      </c>
      <c r="B37" s="68">
        <v>0.29842400000000002</v>
      </c>
      <c r="C37" s="68">
        <v>14.2181</v>
      </c>
      <c r="D37" s="68">
        <v>1</v>
      </c>
      <c r="E37" s="68" t="s">
        <v>443</v>
      </c>
    </row>
    <row r="38" spans="1:5">
      <c r="A38" s="68">
        <v>0.32915299999999997</v>
      </c>
      <c r="B38" s="68">
        <v>0.296713</v>
      </c>
      <c r="C38" s="68">
        <v>14.621</v>
      </c>
      <c r="D38" s="68">
        <v>1</v>
      </c>
      <c r="E38" s="68" t="s">
        <v>444</v>
      </c>
    </row>
    <row r="39" spans="1:5">
      <c r="A39" s="68">
        <v>0.32983099999999999</v>
      </c>
      <c r="B39" s="68">
        <v>0.29593000000000003</v>
      </c>
      <c r="C39" s="68">
        <v>15.0253</v>
      </c>
      <c r="D39" s="68">
        <v>1</v>
      </c>
      <c r="E39" s="68" t="s">
        <v>445</v>
      </c>
    </row>
    <row r="40" spans="1:5">
      <c r="A40" s="68">
        <v>0.33007199999999998</v>
      </c>
      <c r="B40" s="68">
        <v>0.29648999999999998</v>
      </c>
      <c r="C40" s="68">
        <v>15.4339</v>
      </c>
      <c r="D40" s="68">
        <v>1</v>
      </c>
      <c r="E40" s="68" t="s">
        <v>446</v>
      </c>
    </row>
    <row r="41" spans="1:5">
      <c r="A41" s="68">
        <v>0.33</v>
      </c>
      <c r="B41" s="68">
        <v>0.29775499999999999</v>
      </c>
      <c r="C41" s="68">
        <v>15.8407</v>
      </c>
      <c r="D41" s="68">
        <v>1</v>
      </c>
      <c r="E41" s="68" t="s">
        <v>447</v>
      </c>
    </row>
    <row r="42" spans="1:5">
      <c r="A42" s="68">
        <v>0.32972400000000002</v>
      </c>
      <c r="B42" s="68">
        <v>0.299091</v>
      </c>
      <c r="C42" s="68">
        <v>16.244599999999998</v>
      </c>
      <c r="D42" s="68">
        <v>1</v>
      </c>
      <c r="E42" s="68" t="s">
        <v>448</v>
      </c>
    </row>
    <row r="43" spans="1:5">
      <c r="A43" s="68">
        <v>0.329154</v>
      </c>
      <c r="B43" s="68">
        <v>0.30122700000000002</v>
      </c>
      <c r="C43" s="68">
        <v>16.650700000000001</v>
      </c>
      <c r="D43" s="68">
        <v>1</v>
      </c>
      <c r="E43" s="68" t="s">
        <v>449</v>
      </c>
    </row>
    <row r="44" spans="1:5">
      <c r="A44" s="68">
        <v>0.32860099999999998</v>
      </c>
      <c r="B44" s="68">
        <v>0.30367100000000002</v>
      </c>
      <c r="C44" s="68">
        <v>17.057500000000001</v>
      </c>
      <c r="D44" s="68">
        <v>1</v>
      </c>
      <c r="E44" s="68" t="s">
        <v>450</v>
      </c>
    </row>
    <row r="45" spans="1:5">
      <c r="A45" s="68">
        <v>0.32821299999999998</v>
      </c>
      <c r="B45" s="68">
        <v>0.30590299999999998</v>
      </c>
      <c r="C45" s="68">
        <v>17.465299999999999</v>
      </c>
      <c r="D45" s="68">
        <v>1</v>
      </c>
      <c r="E45" s="68" t="s">
        <v>451</v>
      </c>
    </row>
    <row r="46" spans="1:5">
      <c r="A46" s="68">
        <v>0.32776699999999998</v>
      </c>
      <c r="B46" s="68">
        <v>0.30830800000000003</v>
      </c>
      <c r="C46" s="68">
        <v>17.872199999999999</v>
      </c>
      <c r="D46" s="68">
        <v>1</v>
      </c>
      <c r="E46" s="68" t="s">
        <v>452</v>
      </c>
    </row>
    <row r="47" spans="1:5">
      <c r="A47" s="68">
        <v>0.32713999999999999</v>
      </c>
      <c r="B47" s="68">
        <v>0.31108799999999998</v>
      </c>
      <c r="C47" s="68">
        <v>18.277200000000001</v>
      </c>
      <c r="D47" s="68">
        <v>1</v>
      </c>
      <c r="E47" s="68" t="s">
        <v>453</v>
      </c>
    </row>
    <row r="48" spans="1:5">
      <c r="A48" s="68">
        <v>0.32610299999999998</v>
      </c>
      <c r="B48" s="68">
        <v>0.31464500000000001</v>
      </c>
      <c r="C48" s="68">
        <v>18.686299999999999</v>
      </c>
      <c r="D48" s="68">
        <v>1</v>
      </c>
      <c r="E48" s="68" t="s">
        <v>454</v>
      </c>
    </row>
    <row r="49" spans="1:5">
      <c r="A49" s="68">
        <v>0.32448199999999999</v>
      </c>
      <c r="B49" s="68">
        <v>0.32053300000000001</v>
      </c>
      <c r="C49" s="68">
        <v>19.090900000000001</v>
      </c>
      <c r="D49" s="68">
        <v>1</v>
      </c>
      <c r="E49" s="68" t="s">
        <v>455</v>
      </c>
    </row>
    <row r="50" spans="1:5">
      <c r="A50" s="68">
        <v>0.32317400000000002</v>
      </c>
      <c r="B50" s="68">
        <v>0.32701999999999998</v>
      </c>
      <c r="C50" s="68">
        <v>19.4968</v>
      </c>
      <c r="D50" s="68">
        <v>1</v>
      </c>
      <c r="E50" s="68" t="s">
        <v>456</v>
      </c>
    </row>
    <row r="51" spans="1:5">
      <c r="A51" s="68">
        <v>0.32232300000000003</v>
      </c>
      <c r="B51" s="68">
        <v>0.33441100000000001</v>
      </c>
      <c r="C51" s="68">
        <v>19.901</v>
      </c>
      <c r="D51" s="68">
        <v>1</v>
      </c>
      <c r="E51" s="68" t="s">
        <v>457</v>
      </c>
    </row>
    <row r="52" spans="1:5">
      <c r="A52" s="68">
        <v>0.32205099999999998</v>
      </c>
      <c r="B52" s="68">
        <v>0.34122599999999997</v>
      </c>
      <c r="C52" s="68">
        <v>20.3096</v>
      </c>
      <c r="D52" s="68">
        <v>1</v>
      </c>
      <c r="E52" s="68" t="s">
        <v>458</v>
      </c>
    </row>
    <row r="53" spans="1:5">
      <c r="A53" s="68">
        <v>0.320913</v>
      </c>
      <c r="B53" s="68">
        <v>0.34876499999999999</v>
      </c>
      <c r="C53" s="68">
        <v>20.715599999999998</v>
      </c>
      <c r="D53" s="68">
        <v>1</v>
      </c>
      <c r="E53" s="68" t="s">
        <v>459</v>
      </c>
    </row>
    <row r="54" spans="1:5">
      <c r="A54" s="68">
        <v>0.31946799999999997</v>
      </c>
      <c r="B54" s="68">
        <v>0.35618699999999998</v>
      </c>
      <c r="C54" s="68">
        <v>21.1205</v>
      </c>
      <c r="D54" s="68">
        <v>1</v>
      </c>
      <c r="E54" s="68" t="s">
        <v>460</v>
      </c>
    </row>
    <row r="55" spans="1:5">
      <c r="A55" s="68">
        <v>0.31781599999999999</v>
      </c>
      <c r="B55" s="68">
        <v>0.36346600000000001</v>
      </c>
      <c r="C55" s="68">
        <v>21.526499999999999</v>
      </c>
      <c r="D55" s="68">
        <v>1</v>
      </c>
      <c r="E55" s="68" t="s">
        <v>461</v>
      </c>
    </row>
    <row r="56" spans="1:5">
      <c r="A56" s="68">
        <v>0.315969</v>
      </c>
      <c r="B56" s="68">
        <v>0.37046299999999999</v>
      </c>
      <c r="C56" s="68">
        <v>21.933199999999999</v>
      </c>
      <c r="D56" s="68">
        <v>1</v>
      </c>
      <c r="E56" s="68" t="s">
        <v>462</v>
      </c>
    </row>
    <row r="57" spans="1:5">
      <c r="A57" s="68">
        <v>0.31418499999999999</v>
      </c>
      <c r="B57" s="68">
        <v>0.37684200000000001</v>
      </c>
      <c r="C57" s="68">
        <v>22.3353</v>
      </c>
      <c r="D57" s="68">
        <v>1</v>
      </c>
      <c r="E57" s="68" t="s">
        <v>463</v>
      </c>
    </row>
    <row r="58" spans="1:5">
      <c r="A58" s="68">
        <v>0.31205500000000003</v>
      </c>
      <c r="B58" s="68">
        <v>0.382384</v>
      </c>
      <c r="C58" s="68">
        <v>22.743200000000002</v>
      </c>
      <c r="D58" s="68">
        <v>1</v>
      </c>
      <c r="E58" s="68" t="s">
        <v>464</v>
      </c>
    </row>
    <row r="59" spans="1:5">
      <c r="A59" s="68">
        <v>0.30956</v>
      </c>
      <c r="B59" s="68">
        <v>0.38788899999999998</v>
      </c>
      <c r="C59" s="68">
        <v>23.155100000000001</v>
      </c>
      <c r="D59" s="68">
        <v>1</v>
      </c>
      <c r="E59" s="68" t="s">
        <v>465</v>
      </c>
    </row>
    <row r="60" spans="1:5">
      <c r="A60" s="68">
        <v>0.30703999999999998</v>
      </c>
      <c r="B60" s="68">
        <v>0.39249400000000001</v>
      </c>
      <c r="C60" s="68">
        <v>23.556999999999999</v>
      </c>
      <c r="D60" s="68">
        <v>1</v>
      </c>
      <c r="E60" s="68" t="s">
        <v>466</v>
      </c>
    </row>
    <row r="61" spans="1:5">
      <c r="A61" s="68">
        <v>0.30475600000000003</v>
      </c>
      <c r="B61" s="68">
        <v>0.39663799999999999</v>
      </c>
      <c r="C61" s="68">
        <v>23.962900000000001</v>
      </c>
      <c r="D61" s="68">
        <v>1</v>
      </c>
      <c r="E61" s="68" t="s">
        <v>467</v>
      </c>
    </row>
    <row r="62" spans="1:5">
      <c r="A62" s="68">
        <v>0.30238799999999999</v>
      </c>
      <c r="B62" s="68">
        <v>0.40075899999999998</v>
      </c>
      <c r="C62" s="68">
        <v>24.375900000000001</v>
      </c>
      <c r="D62" s="68">
        <v>1</v>
      </c>
      <c r="E62" s="68" t="s">
        <v>468</v>
      </c>
    </row>
    <row r="63" spans="1:5">
      <c r="A63" s="68">
        <v>0.300288</v>
      </c>
      <c r="B63" s="68">
        <v>0.403775</v>
      </c>
      <c r="C63" s="68">
        <v>24.778700000000001</v>
      </c>
      <c r="D63" s="68">
        <v>1</v>
      </c>
      <c r="E63" s="68" t="s">
        <v>469</v>
      </c>
    </row>
    <row r="64" spans="1:5">
      <c r="A64" s="68">
        <v>0.29859799999999997</v>
      </c>
      <c r="B64" s="68">
        <v>0.40551700000000002</v>
      </c>
      <c r="C64" s="68">
        <v>25.184699999999999</v>
      </c>
      <c r="D64" s="68">
        <v>1</v>
      </c>
      <c r="E64" s="68" t="s">
        <v>470</v>
      </c>
    </row>
    <row r="65" spans="1:5">
      <c r="A65" s="68">
        <v>0.29730899999999999</v>
      </c>
      <c r="B65" s="68">
        <v>0.40593600000000002</v>
      </c>
      <c r="C65" s="68">
        <v>25.589600000000001</v>
      </c>
      <c r="D65" s="68">
        <v>1</v>
      </c>
      <c r="E65" s="68" t="s">
        <v>471</v>
      </c>
    </row>
    <row r="66" spans="1:5">
      <c r="A66" s="68">
        <v>0.29603200000000002</v>
      </c>
      <c r="B66" s="68">
        <v>0.40590399999999999</v>
      </c>
      <c r="C66" s="68">
        <v>25.9925</v>
      </c>
      <c r="D66" s="68">
        <v>1</v>
      </c>
      <c r="E66" s="68" t="s">
        <v>472</v>
      </c>
    </row>
    <row r="67" spans="1:5">
      <c r="A67" s="68">
        <v>0.294624</v>
      </c>
      <c r="B67" s="68">
        <v>0.40589799999999998</v>
      </c>
      <c r="C67" s="68">
        <v>26.400700000000001</v>
      </c>
      <c r="D67" s="68">
        <v>1</v>
      </c>
      <c r="E67" s="68" t="s">
        <v>473</v>
      </c>
    </row>
    <row r="68" spans="1:5">
      <c r="A68" s="68">
        <v>0.29335499999999998</v>
      </c>
      <c r="B68" s="68">
        <v>0.40519899999999998</v>
      </c>
      <c r="C68" s="68">
        <v>26.808199999999999</v>
      </c>
      <c r="D68" s="68">
        <v>1</v>
      </c>
      <c r="E68" s="68" t="s">
        <v>474</v>
      </c>
    </row>
    <row r="69" spans="1:5">
      <c r="A69" s="68">
        <v>0.29179300000000002</v>
      </c>
      <c r="B69" s="68">
        <v>0.404756</v>
      </c>
      <c r="C69" s="68">
        <v>27.215199999999999</v>
      </c>
      <c r="D69" s="68">
        <v>1</v>
      </c>
      <c r="E69" s="68" t="s">
        <v>475</v>
      </c>
    </row>
    <row r="70" spans="1:5">
      <c r="A70" s="68">
        <v>0.29006599999999999</v>
      </c>
      <c r="B70" s="68">
        <v>0.40484799999999999</v>
      </c>
      <c r="C70" s="68">
        <v>27.6221</v>
      </c>
      <c r="D70" s="68">
        <v>1</v>
      </c>
      <c r="E70" s="68" t="s">
        <v>476</v>
      </c>
    </row>
    <row r="71" spans="1:5">
      <c r="A71" s="68">
        <v>0.28836600000000001</v>
      </c>
      <c r="B71" s="68">
        <v>0.40490100000000001</v>
      </c>
      <c r="C71" s="68">
        <v>28.027000000000001</v>
      </c>
      <c r="D71" s="68">
        <v>1</v>
      </c>
      <c r="E71" s="68" t="s">
        <v>477</v>
      </c>
    </row>
    <row r="72" spans="1:5">
      <c r="A72" s="68">
        <v>0.28699999999999998</v>
      </c>
      <c r="B72" s="68">
        <v>0.40383000000000002</v>
      </c>
      <c r="C72" s="68">
        <v>28.433599999999998</v>
      </c>
      <c r="D72" s="68">
        <v>1</v>
      </c>
      <c r="E72" s="68" t="s">
        <v>478</v>
      </c>
    </row>
    <row r="73" spans="1:5">
      <c r="A73" s="68">
        <v>0.28603000000000001</v>
      </c>
      <c r="B73" s="68">
        <v>0.40037800000000001</v>
      </c>
      <c r="C73" s="68">
        <v>28.840800000000002</v>
      </c>
      <c r="D73" s="68">
        <v>1</v>
      </c>
      <c r="E73" s="68" t="s">
        <v>479</v>
      </c>
    </row>
    <row r="74" spans="1:5">
      <c r="A74" s="68">
        <v>0.28561300000000001</v>
      </c>
      <c r="B74" s="68">
        <v>0.39499699999999999</v>
      </c>
      <c r="C74" s="68">
        <v>29.2468</v>
      </c>
      <c r="D74" s="68">
        <v>1</v>
      </c>
      <c r="E74" s="68" t="s">
        <v>480</v>
      </c>
    </row>
    <row r="75" spans="1:5">
      <c r="A75" s="68">
        <v>0.285547</v>
      </c>
      <c r="B75" s="68">
        <v>0.38911499999999999</v>
      </c>
      <c r="C75" s="68">
        <v>29.652799999999999</v>
      </c>
      <c r="D75" s="68">
        <v>1</v>
      </c>
      <c r="E75" s="68" t="s">
        <v>481</v>
      </c>
    </row>
    <row r="76" spans="1:5">
      <c r="A76" s="68">
        <v>0.28545799999999999</v>
      </c>
      <c r="B76" s="68">
        <v>0.38431199999999999</v>
      </c>
      <c r="C76" s="68">
        <v>30.057600000000001</v>
      </c>
      <c r="D76" s="68">
        <v>2</v>
      </c>
      <c r="E76" s="68" t="s">
        <v>482</v>
      </c>
    </row>
    <row r="77" spans="1:5">
      <c r="A77" s="68">
        <v>0.28534300000000001</v>
      </c>
      <c r="B77" s="68">
        <v>0.38116800000000001</v>
      </c>
      <c r="C77" s="68">
        <v>30.642299999999999</v>
      </c>
      <c r="D77" s="68">
        <v>2</v>
      </c>
      <c r="E77" s="68" t="s">
        <v>483</v>
      </c>
    </row>
    <row r="78" spans="1:5">
      <c r="A78" s="68">
        <v>0.28488799999999997</v>
      </c>
      <c r="B78" s="68">
        <v>0.37936999999999999</v>
      </c>
      <c r="C78" s="68">
        <v>31.021000000000001</v>
      </c>
      <c r="D78" s="68">
        <v>2</v>
      </c>
      <c r="E78" s="68" t="s">
        <v>484</v>
      </c>
    </row>
    <row r="79" spans="1:5">
      <c r="A79" s="68">
        <v>0.28426200000000001</v>
      </c>
      <c r="B79" s="68">
        <v>0.37784200000000001</v>
      </c>
      <c r="C79" s="68">
        <v>31.389299999999999</v>
      </c>
      <c r="D79" s="68">
        <v>2</v>
      </c>
      <c r="E79" s="68" t="s">
        <v>485</v>
      </c>
    </row>
    <row r="80" spans="1:5">
      <c r="A80" s="68">
        <v>0.28351999999999999</v>
      </c>
      <c r="B80" s="68">
        <v>0.37801400000000002</v>
      </c>
      <c r="C80" s="68">
        <v>31.763100000000001</v>
      </c>
      <c r="D80" s="68">
        <v>2</v>
      </c>
      <c r="E80" s="68" t="s">
        <v>486</v>
      </c>
    </row>
    <row r="81" spans="1:5">
      <c r="A81" s="68">
        <v>0.28269899999999998</v>
      </c>
      <c r="B81" s="68">
        <v>0.37920300000000001</v>
      </c>
      <c r="C81" s="68">
        <v>32.1571</v>
      </c>
      <c r="D81" s="68">
        <v>2</v>
      </c>
      <c r="E81" s="68" t="s">
        <v>487</v>
      </c>
    </row>
    <row r="82" spans="1:5">
      <c r="A82" s="68">
        <v>0.28196599999999999</v>
      </c>
      <c r="B82" s="68">
        <v>0.38058799999999998</v>
      </c>
      <c r="C82" s="68">
        <v>32.560099999999998</v>
      </c>
      <c r="D82" s="68">
        <v>2</v>
      </c>
      <c r="E82" s="68" t="s">
        <v>488</v>
      </c>
    </row>
    <row r="83" spans="1:5">
      <c r="A83" s="68">
        <v>0.28144200000000003</v>
      </c>
      <c r="B83" s="68">
        <v>0.381992</v>
      </c>
      <c r="C83" s="68">
        <v>32.9619</v>
      </c>
      <c r="D83" s="68">
        <v>2</v>
      </c>
      <c r="E83" s="68" t="s">
        <v>489</v>
      </c>
    </row>
    <row r="84" spans="1:5">
      <c r="A84" s="68">
        <v>0.281495</v>
      </c>
      <c r="B84" s="68">
        <v>0.38324200000000003</v>
      </c>
      <c r="C84" s="68">
        <v>33.371899999999997</v>
      </c>
      <c r="D84" s="68">
        <v>2</v>
      </c>
      <c r="E84" s="68" t="s">
        <v>490</v>
      </c>
    </row>
    <row r="85" spans="1:5">
      <c r="A85" s="68">
        <v>0.28168199999999999</v>
      </c>
      <c r="B85" s="68">
        <v>0.38453599999999999</v>
      </c>
      <c r="C85" s="68">
        <v>33.775799999999997</v>
      </c>
      <c r="D85" s="68">
        <v>2</v>
      </c>
      <c r="E85" s="68" t="s">
        <v>491</v>
      </c>
    </row>
    <row r="86" spans="1:5">
      <c r="A86" s="68">
        <v>0.28167399999999998</v>
      </c>
      <c r="B86" s="68">
        <v>0.386548</v>
      </c>
      <c r="C86" s="68">
        <v>34.181699999999999</v>
      </c>
      <c r="D86" s="68">
        <v>2</v>
      </c>
      <c r="E86" s="68" t="s">
        <v>492</v>
      </c>
    </row>
    <row r="87" spans="1:5">
      <c r="A87" s="68">
        <v>0.28151599999999999</v>
      </c>
      <c r="B87" s="68">
        <v>0.38872000000000001</v>
      </c>
      <c r="C87" s="68">
        <v>34.588700000000003</v>
      </c>
      <c r="D87" s="68">
        <v>2</v>
      </c>
      <c r="E87" s="68" t="s">
        <v>493</v>
      </c>
    </row>
    <row r="88" spans="1:5">
      <c r="A88" s="68">
        <v>0.28116000000000002</v>
      </c>
      <c r="B88" s="68">
        <v>0.39149800000000001</v>
      </c>
      <c r="C88" s="68">
        <v>34.997399999999999</v>
      </c>
      <c r="D88" s="68">
        <v>2</v>
      </c>
      <c r="E88" s="68" t="s">
        <v>494</v>
      </c>
    </row>
    <row r="89" spans="1:5">
      <c r="A89" s="68">
        <v>0.28050900000000001</v>
      </c>
      <c r="B89" s="68">
        <v>0.39505800000000002</v>
      </c>
      <c r="C89" s="68">
        <v>35.401400000000002</v>
      </c>
      <c r="D89" s="68">
        <v>2</v>
      </c>
      <c r="E89" s="68" t="s">
        <v>495</v>
      </c>
    </row>
    <row r="90" spans="1:5">
      <c r="A90" s="68">
        <v>0.279501</v>
      </c>
      <c r="B90" s="68">
        <v>0.40000999999999998</v>
      </c>
      <c r="C90" s="68">
        <v>35.809399999999997</v>
      </c>
      <c r="D90" s="68">
        <v>2</v>
      </c>
      <c r="E90" s="68" t="s">
        <v>496</v>
      </c>
    </row>
    <row r="91" spans="1:5">
      <c r="A91" s="68">
        <v>0.27859299999999998</v>
      </c>
      <c r="B91" s="68">
        <v>0.40523599999999999</v>
      </c>
      <c r="C91" s="68">
        <v>36.213200000000001</v>
      </c>
      <c r="D91" s="68">
        <v>2</v>
      </c>
      <c r="E91" s="68" t="s">
        <v>497</v>
      </c>
    </row>
    <row r="92" spans="1:5">
      <c r="A92" s="68">
        <v>0.27741199999999999</v>
      </c>
      <c r="B92" s="68">
        <v>0.41108600000000001</v>
      </c>
      <c r="C92" s="68">
        <v>36.623100000000001</v>
      </c>
      <c r="D92" s="68">
        <v>2</v>
      </c>
      <c r="E92" s="68" t="s">
        <v>498</v>
      </c>
    </row>
    <row r="93" spans="1:5">
      <c r="A93" s="68">
        <v>0.275727</v>
      </c>
      <c r="B93" s="68">
        <v>0.417402</v>
      </c>
      <c r="C93" s="68">
        <v>37.03</v>
      </c>
      <c r="D93" s="68">
        <v>2</v>
      </c>
      <c r="E93" s="68" t="s">
        <v>499</v>
      </c>
    </row>
    <row r="94" spans="1:5">
      <c r="A94" s="68">
        <v>0.27369599999999999</v>
      </c>
      <c r="B94" s="68">
        <v>0.42392099999999999</v>
      </c>
      <c r="C94" s="68">
        <v>37.433</v>
      </c>
      <c r="D94" s="68">
        <v>2</v>
      </c>
      <c r="E94" s="68" t="s">
        <v>500</v>
      </c>
    </row>
    <row r="95" spans="1:5">
      <c r="A95" s="68">
        <v>0.27163900000000002</v>
      </c>
      <c r="B95" s="68">
        <v>0.43063800000000002</v>
      </c>
      <c r="C95" s="68">
        <v>37.8429</v>
      </c>
      <c r="D95" s="68">
        <v>2</v>
      </c>
      <c r="E95" s="68" t="s">
        <v>501</v>
      </c>
    </row>
    <row r="96" spans="1:5">
      <c r="A96" s="68">
        <v>0.26966400000000001</v>
      </c>
      <c r="B96" s="68">
        <v>0.438556</v>
      </c>
      <c r="C96" s="68">
        <v>38.249699999999997</v>
      </c>
      <c r="D96" s="68">
        <v>2</v>
      </c>
      <c r="E96" s="68" t="s">
        <v>502</v>
      </c>
    </row>
    <row r="97" spans="1:5">
      <c r="A97" s="68">
        <v>0.26814199999999999</v>
      </c>
      <c r="B97" s="68">
        <v>0.44799099999999997</v>
      </c>
      <c r="C97" s="68">
        <v>38.659599999999998</v>
      </c>
      <c r="D97" s="68">
        <v>2</v>
      </c>
      <c r="E97" s="68" t="s">
        <v>503</v>
      </c>
    </row>
    <row r="98" spans="1:5">
      <c r="A98" s="68">
        <v>0.26674900000000001</v>
      </c>
      <c r="B98" s="68">
        <v>0.45924900000000002</v>
      </c>
      <c r="C98" s="68">
        <v>39.059600000000003</v>
      </c>
      <c r="D98" s="68">
        <v>2</v>
      </c>
      <c r="E98" s="68" t="s">
        <v>504</v>
      </c>
    </row>
    <row r="99" spans="1:5">
      <c r="A99" s="68">
        <v>0.26576499999999997</v>
      </c>
      <c r="B99" s="68">
        <v>0.47020600000000001</v>
      </c>
      <c r="C99" s="68">
        <v>39.463900000000002</v>
      </c>
      <c r="D99" s="68">
        <v>2</v>
      </c>
      <c r="E99" s="68" t="s">
        <v>505</v>
      </c>
    </row>
    <row r="100" spans="1:5">
      <c r="A100" s="68">
        <v>0.264982</v>
      </c>
      <c r="B100" s="68">
        <v>0.47967700000000002</v>
      </c>
      <c r="C100" s="68">
        <v>39.871000000000002</v>
      </c>
      <c r="D100" s="68">
        <v>2</v>
      </c>
      <c r="E100" s="68" t="s">
        <v>506</v>
      </c>
    </row>
    <row r="101" spans="1:5">
      <c r="A101" s="68">
        <v>0.264208</v>
      </c>
      <c r="B101" s="68">
        <v>0.48787000000000003</v>
      </c>
      <c r="C101" s="68">
        <v>40.281300000000002</v>
      </c>
      <c r="D101" s="68">
        <v>2</v>
      </c>
      <c r="E101" s="68" t="s">
        <v>507</v>
      </c>
    </row>
    <row r="102" spans="1:5">
      <c r="A102" s="68">
        <v>0.26354699999999998</v>
      </c>
      <c r="B102" s="68">
        <v>0.49490400000000001</v>
      </c>
      <c r="C102" s="68">
        <v>40.6873</v>
      </c>
      <c r="D102" s="68">
        <v>2</v>
      </c>
      <c r="E102" s="68" t="s">
        <v>508</v>
      </c>
    </row>
    <row r="103" spans="1:5">
      <c r="A103" s="68">
        <v>0.26311600000000002</v>
      </c>
      <c r="B103" s="68">
        <v>0.50121899999999997</v>
      </c>
      <c r="C103" s="68">
        <v>41.093200000000003</v>
      </c>
      <c r="D103" s="68">
        <v>2</v>
      </c>
      <c r="E103" s="68" t="s">
        <v>509</v>
      </c>
    </row>
    <row r="104" spans="1:5">
      <c r="A104" s="68">
        <v>0.26271600000000001</v>
      </c>
      <c r="B104" s="68">
        <v>0.50737900000000002</v>
      </c>
      <c r="C104" s="68">
        <v>41.498100000000001</v>
      </c>
      <c r="D104" s="68">
        <v>2</v>
      </c>
      <c r="E104" s="68" t="s">
        <v>510</v>
      </c>
    </row>
    <row r="105" spans="1:5">
      <c r="A105" s="68">
        <v>0.26245000000000002</v>
      </c>
      <c r="B105" s="68">
        <v>0.511737</v>
      </c>
      <c r="C105" s="68">
        <v>41.901400000000002</v>
      </c>
      <c r="D105" s="68">
        <v>2</v>
      </c>
      <c r="E105" s="68" t="s">
        <v>511</v>
      </c>
    </row>
    <row r="106" spans="1:5">
      <c r="A106" s="68">
        <v>0.262546</v>
      </c>
      <c r="B106" s="68">
        <v>0.51371800000000001</v>
      </c>
      <c r="C106" s="68">
        <v>42.308500000000002</v>
      </c>
      <c r="D106" s="68">
        <v>2</v>
      </c>
      <c r="E106" s="68" t="s">
        <v>512</v>
      </c>
    </row>
    <row r="107" spans="1:5">
      <c r="A107" s="68">
        <v>0.263239</v>
      </c>
      <c r="B107" s="68">
        <v>0.51364500000000002</v>
      </c>
      <c r="C107" s="68">
        <v>42.712800000000001</v>
      </c>
      <c r="D107" s="68">
        <v>2</v>
      </c>
      <c r="E107" s="68" t="s">
        <v>513</v>
      </c>
    </row>
    <row r="108" spans="1:5">
      <c r="A108" s="68">
        <v>0.26437699999999997</v>
      </c>
      <c r="B108" s="68">
        <v>0.51228300000000004</v>
      </c>
      <c r="C108" s="68">
        <v>43.126800000000003</v>
      </c>
      <c r="D108" s="68">
        <v>2</v>
      </c>
      <c r="E108" s="68" t="s">
        <v>514</v>
      </c>
    </row>
    <row r="109" spans="1:5">
      <c r="A109" s="68">
        <v>0.26552300000000001</v>
      </c>
      <c r="B109" s="68">
        <v>0.51066900000000004</v>
      </c>
      <c r="C109" s="68">
        <v>43.525700000000001</v>
      </c>
      <c r="D109" s="68">
        <v>2</v>
      </c>
      <c r="E109" s="68" t="s">
        <v>515</v>
      </c>
    </row>
    <row r="110" spans="1:5">
      <c r="A110" s="68">
        <v>0.26664500000000002</v>
      </c>
      <c r="B110" s="68">
        <v>0.50897999999999999</v>
      </c>
      <c r="C110" s="68">
        <v>43.937800000000003</v>
      </c>
      <c r="D110" s="68">
        <v>2</v>
      </c>
      <c r="E110" s="68" t="s">
        <v>516</v>
      </c>
    </row>
    <row r="111" spans="1:5">
      <c r="A111" s="68">
        <v>0.267899</v>
      </c>
      <c r="B111" s="68">
        <v>0.50679099999999999</v>
      </c>
      <c r="C111" s="68">
        <v>44.340899999999998</v>
      </c>
      <c r="D111" s="68">
        <v>2</v>
      </c>
      <c r="E111" s="68" t="s">
        <v>517</v>
      </c>
    </row>
    <row r="112" spans="1:5">
      <c r="A112" s="68">
        <v>0.26941199999999998</v>
      </c>
      <c r="B112" s="68">
        <v>0.50359900000000002</v>
      </c>
      <c r="C112" s="68">
        <v>44.746499999999997</v>
      </c>
      <c r="D112" s="68">
        <v>2</v>
      </c>
      <c r="E112" s="68" t="s">
        <v>518</v>
      </c>
    </row>
    <row r="113" spans="1:5">
      <c r="A113" s="68">
        <v>0.270955</v>
      </c>
      <c r="B113" s="68">
        <v>0.50024599999999997</v>
      </c>
      <c r="C113" s="68">
        <v>45.153700000000001</v>
      </c>
      <c r="D113" s="68">
        <v>2</v>
      </c>
      <c r="E113" s="68" t="s">
        <v>519</v>
      </c>
    </row>
    <row r="114" spans="1:5">
      <c r="A114" s="68">
        <v>0.27237899999999998</v>
      </c>
      <c r="B114" s="68">
        <v>0.496952</v>
      </c>
      <c r="C114" s="68">
        <v>45.557200000000002</v>
      </c>
      <c r="D114" s="68">
        <v>2</v>
      </c>
      <c r="E114" s="68" t="s">
        <v>520</v>
      </c>
    </row>
    <row r="115" spans="1:5">
      <c r="A115" s="68">
        <v>0.27383600000000002</v>
      </c>
      <c r="B115" s="68">
        <v>0.49336600000000003</v>
      </c>
      <c r="C115" s="68">
        <v>45.9621</v>
      </c>
      <c r="D115" s="68">
        <v>2</v>
      </c>
      <c r="E115" s="68" t="s">
        <v>521</v>
      </c>
    </row>
    <row r="116" spans="1:5">
      <c r="A116" s="68">
        <v>0.27535700000000002</v>
      </c>
      <c r="B116" s="68">
        <v>0.48953400000000002</v>
      </c>
      <c r="C116" s="68">
        <v>46.372</v>
      </c>
      <c r="D116" s="68">
        <v>2</v>
      </c>
      <c r="E116" s="68" t="s">
        <v>522</v>
      </c>
    </row>
    <row r="117" spans="1:5">
      <c r="A117" s="68">
        <v>0.27712700000000001</v>
      </c>
      <c r="B117" s="68">
        <v>0.485404</v>
      </c>
      <c r="C117" s="68">
        <v>46.777000000000001</v>
      </c>
      <c r="D117" s="68">
        <v>2</v>
      </c>
      <c r="E117" s="68" t="s">
        <v>523</v>
      </c>
    </row>
    <row r="118" spans="1:5">
      <c r="A118" s="68">
        <v>0.279582</v>
      </c>
      <c r="B118" s="68">
        <v>0.48063699999999998</v>
      </c>
      <c r="C118" s="68">
        <v>47.184199999999997</v>
      </c>
      <c r="D118" s="68">
        <v>2</v>
      </c>
      <c r="E118" s="68" t="s">
        <v>524</v>
      </c>
    </row>
    <row r="119" spans="1:5">
      <c r="A119" s="68">
        <v>0.282557</v>
      </c>
      <c r="B119" s="68">
        <v>0.475271</v>
      </c>
      <c r="C119" s="68">
        <v>47.588799999999999</v>
      </c>
      <c r="D119" s="68">
        <v>2</v>
      </c>
      <c r="E119" s="68" t="s">
        <v>525</v>
      </c>
    </row>
    <row r="120" spans="1:5">
      <c r="A120" s="68">
        <v>0.285632</v>
      </c>
      <c r="B120" s="68">
        <v>0.46993299999999999</v>
      </c>
      <c r="C120" s="68">
        <v>47.994700000000002</v>
      </c>
      <c r="D120" s="68">
        <v>2</v>
      </c>
      <c r="E120" s="68" t="s">
        <v>526</v>
      </c>
    </row>
    <row r="121" spans="1:5">
      <c r="A121" s="68">
        <v>0.288746</v>
      </c>
      <c r="B121" s="68">
        <v>0.46411599999999997</v>
      </c>
      <c r="C121" s="68">
        <v>48.401000000000003</v>
      </c>
      <c r="D121" s="68">
        <v>2</v>
      </c>
      <c r="E121" s="68" t="s">
        <v>527</v>
      </c>
    </row>
    <row r="122" spans="1:5">
      <c r="A122" s="68">
        <v>0.29172500000000001</v>
      </c>
      <c r="B122" s="68">
        <v>0.45698699999999998</v>
      </c>
      <c r="C122" s="68">
        <v>48.807499999999997</v>
      </c>
      <c r="D122" s="68">
        <v>2</v>
      </c>
      <c r="E122" s="68" t="s">
        <v>528</v>
      </c>
    </row>
    <row r="123" spans="1:5">
      <c r="A123" s="68">
        <v>0.29472900000000002</v>
      </c>
      <c r="B123" s="68">
        <v>0.44956400000000002</v>
      </c>
      <c r="C123" s="68">
        <v>49.217700000000001</v>
      </c>
      <c r="D123" s="68">
        <v>2</v>
      </c>
      <c r="E123" s="68" t="s">
        <v>529</v>
      </c>
    </row>
    <row r="124" spans="1:5">
      <c r="A124" s="68">
        <v>0.29770600000000003</v>
      </c>
      <c r="B124" s="68">
        <v>0.441882</v>
      </c>
      <c r="C124" s="68">
        <v>49.624299999999998</v>
      </c>
      <c r="D124" s="68">
        <v>2</v>
      </c>
      <c r="E124" s="68" t="s">
        <v>530</v>
      </c>
    </row>
    <row r="125" spans="1:5">
      <c r="A125" s="68">
        <v>0.30059900000000001</v>
      </c>
      <c r="B125" s="68">
        <v>0.43499500000000002</v>
      </c>
      <c r="C125" s="68">
        <v>50.027299999999997</v>
      </c>
      <c r="D125" s="68">
        <v>2</v>
      </c>
      <c r="E125" s="68" t="s">
        <v>531</v>
      </c>
    </row>
    <row r="126" spans="1:5">
      <c r="A126" s="68">
        <v>0.30177999999999999</v>
      </c>
      <c r="B126" s="68">
        <v>0.43242000000000003</v>
      </c>
      <c r="C126" s="68">
        <v>50.432299999999998</v>
      </c>
      <c r="D126" s="68">
        <v>2</v>
      </c>
      <c r="E126" s="68" t="s">
        <v>532</v>
      </c>
    </row>
    <row r="127" spans="1:5">
      <c r="A127" s="68">
        <v>0.30314000000000002</v>
      </c>
      <c r="B127" s="68">
        <v>0.42957400000000001</v>
      </c>
      <c r="C127" s="68">
        <v>50.837200000000003</v>
      </c>
      <c r="D127" s="68">
        <v>2</v>
      </c>
      <c r="E127" s="68" t="s">
        <v>533</v>
      </c>
    </row>
    <row r="128" spans="1:5">
      <c r="A128" s="68">
        <v>0.30461700000000003</v>
      </c>
      <c r="B128" s="68">
        <v>0.42671399999999998</v>
      </c>
      <c r="C128" s="68">
        <v>51.246299999999998</v>
      </c>
      <c r="D128" s="68">
        <v>2</v>
      </c>
      <c r="E128" s="68" t="s">
        <v>534</v>
      </c>
    </row>
    <row r="129" spans="1:5">
      <c r="A129" s="68">
        <v>0.30627199999999999</v>
      </c>
      <c r="B129" s="68">
        <v>0.42414000000000002</v>
      </c>
      <c r="C129" s="68">
        <v>51.651200000000003</v>
      </c>
      <c r="D129" s="68">
        <v>2</v>
      </c>
      <c r="E129" s="68" t="s">
        <v>535</v>
      </c>
    </row>
    <row r="130" spans="1:5">
      <c r="A130" s="68">
        <v>0.307838</v>
      </c>
      <c r="B130" s="68">
        <v>0.421792</v>
      </c>
      <c r="C130" s="68">
        <v>52.056899999999999</v>
      </c>
      <c r="D130" s="68">
        <v>2</v>
      </c>
      <c r="E130" s="68" t="s">
        <v>536</v>
      </c>
    </row>
    <row r="131" spans="1:5">
      <c r="A131" s="68">
        <v>0.309307</v>
      </c>
      <c r="B131" s="68">
        <v>0.41962899999999997</v>
      </c>
      <c r="C131" s="68">
        <v>52.465800000000002</v>
      </c>
      <c r="D131" s="68">
        <v>2</v>
      </c>
      <c r="E131" s="68" t="s">
        <v>537</v>
      </c>
    </row>
    <row r="132" spans="1:5">
      <c r="A132" s="68">
        <v>0.31049100000000002</v>
      </c>
      <c r="B132" s="68">
        <v>0.417379</v>
      </c>
      <c r="C132" s="68">
        <v>52.869700000000002</v>
      </c>
      <c r="D132" s="68">
        <v>2</v>
      </c>
      <c r="E132" s="68" t="s">
        <v>538</v>
      </c>
    </row>
    <row r="133" spans="1:5">
      <c r="A133" s="68">
        <v>0.31160300000000002</v>
      </c>
      <c r="B133" s="68">
        <v>0.41500900000000002</v>
      </c>
      <c r="C133" s="68">
        <v>53.276600000000002</v>
      </c>
      <c r="D133" s="68">
        <v>2</v>
      </c>
      <c r="E133" s="68" t="s">
        <v>539</v>
      </c>
    </row>
    <row r="134" spans="1:5">
      <c r="A134" s="68">
        <v>0.31269200000000003</v>
      </c>
      <c r="B134" s="68">
        <v>0.41247699999999998</v>
      </c>
      <c r="C134" s="68">
        <v>53.687399999999997</v>
      </c>
      <c r="D134" s="68">
        <v>2</v>
      </c>
      <c r="E134" s="68" t="s">
        <v>540</v>
      </c>
    </row>
    <row r="135" spans="1:5">
      <c r="A135" s="68">
        <v>0.31388899999999997</v>
      </c>
      <c r="B135" s="68">
        <v>0.409632</v>
      </c>
      <c r="C135" s="68">
        <v>54.095399999999998</v>
      </c>
      <c r="D135" s="68">
        <v>2</v>
      </c>
      <c r="E135" s="68" t="s">
        <v>541</v>
      </c>
    </row>
    <row r="136" spans="1:5">
      <c r="A136" s="68">
        <v>0.315195</v>
      </c>
      <c r="B136" s="68">
        <v>0.40645900000000001</v>
      </c>
      <c r="C136" s="68">
        <v>54.496400000000001</v>
      </c>
      <c r="D136" s="68">
        <v>2</v>
      </c>
      <c r="E136" s="68" t="s">
        <v>542</v>
      </c>
    </row>
    <row r="137" spans="1:5">
      <c r="A137" s="68">
        <v>0.31648599999999999</v>
      </c>
      <c r="B137" s="68">
        <v>0.40374900000000002</v>
      </c>
      <c r="C137" s="68">
        <v>54.902299999999997</v>
      </c>
      <c r="D137" s="68">
        <v>2</v>
      </c>
      <c r="E137" s="68" t="s">
        <v>543</v>
      </c>
    </row>
    <row r="138" spans="1:5">
      <c r="A138" s="68">
        <v>0.31783400000000001</v>
      </c>
      <c r="B138" s="68">
        <v>0.40098099999999998</v>
      </c>
      <c r="C138" s="68">
        <v>55.310600000000001</v>
      </c>
      <c r="D138" s="68">
        <v>2</v>
      </c>
      <c r="E138" s="68" t="s">
        <v>544</v>
      </c>
    </row>
    <row r="139" spans="1:5">
      <c r="A139" s="68">
        <v>0.31949300000000003</v>
      </c>
      <c r="B139" s="68">
        <v>0.39807900000000002</v>
      </c>
      <c r="C139" s="68">
        <v>55.7151</v>
      </c>
      <c r="D139" s="68">
        <v>2</v>
      </c>
      <c r="E139" s="68" t="s">
        <v>545</v>
      </c>
    </row>
    <row r="140" spans="1:5">
      <c r="A140" s="68">
        <v>0.32153999999999999</v>
      </c>
      <c r="B140" s="68">
        <v>0.39486900000000003</v>
      </c>
      <c r="C140" s="68">
        <v>56.122</v>
      </c>
      <c r="D140" s="68">
        <v>2</v>
      </c>
      <c r="E140" s="68" t="s">
        <v>546</v>
      </c>
    </row>
    <row r="141" spans="1:5">
      <c r="A141" s="68">
        <v>0.32386999999999999</v>
      </c>
      <c r="B141" s="68">
        <v>0.39119199999999998</v>
      </c>
      <c r="C141" s="68">
        <v>56.527799999999999</v>
      </c>
      <c r="D141" s="68">
        <v>2</v>
      </c>
      <c r="E141" s="68" t="s">
        <v>547</v>
      </c>
    </row>
    <row r="142" spans="1:5">
      <c r="A142" s="68">
        <v>0.326378</v>
      </c>
      <c r="B142" s="68">
        <v>0.38722800000000002</v>
      </c>
      <c r="C142" s="68">
        <v>56.934800000000003</v>
      </c>
      <c r="D142" s="68">
        <v>2</v>
      </c>
      <c r="E142" s="68" t="s">
        <v>548</v>
      </c>
    </row>
    <row r="143" spans="1:5">
      <c r="A143" s="68">
        <v>0.328594</v>
      </c>
      <c r="B143" s="68">
        <v>0.38305400000000001</v>
      </c>
      <c r="C143" s="68">
        <v>57.341700000000003</v>
      </c>
      <c r="D143" s="68">
        <v>2</v>
      </c>
      <c r="E143" s="68" t="s">
        <v>549</v>
      </c>
    </row>
    <row r="144" spans="1:5">
      <c r="A144" s="68">
        <v>0.33051000000000003</v>
      </c>
      <c r="B144" s="68">
        <v>0.38001600000000002</v>
      </c>
      <c r="C144" s="68">
        <v>57.746899999999997</v>
      </c>
      <c r="D144" s="68">
        <v>2</v>
      </c>
      <c r="E144" s="68" t="s">
        <v>550</v>
      </c>
    </row>
    <row r="145" spans="1:5">
      <c r="A145" s="68">
        <v>0.33263999999999999</v>
      </c>
      <c r="B145" s="68">
        <v>0.37753300000000001</v>
      </c>
      <c r="C145" s="68">
        <v>58.156500000000001</v>
      </c>
      <c r="D145" s="68">
        <v>2</v>
      </c>
      <c r="E145" s="68" t="s">
        <v>551</v>
      </c>
    </row>
    <row r="146" spans="1:5">
      <c r="A146" s="68">
        <v>0.33482600000000001</v>
      </c>
      <c r="B146" s="68">
        <v>0.37522299999999997</v>
      </c>
      <c r="C146" s="68">
        <v>58.563400000000001</v>
      </c>
      <c r="D146" s="68">
        <v>2</v>
      </c>
      <c r="E146" s="68" t="s">
        <v>552</v>
      </c>
    </row>
    <row r="147" spans="1:5">
      <c r="A147" s="68">
        <v>0.33660600000000002</v>
      </c>
      <c r="B147" s="68">
        <v>0.37482300000000002</v>
      </c>
      <c r="C147" s="68">
        <v>58.967599999999997</v>
      </c>
      <c r="D147" s="68">
        <v>2</v>
      </c>
      <c r="E147" s="68" t="s">
        <v>553</v>
      </c>
    </row>
    <row r="148" spans="1:5">
      <c r="A148" s="68">
        <v>0.33776299999999998</v>
      </c>
      <c r="B148" s="68">
        <v>0.37410399999999999</v>
      </c>
      <c r="C148" s="68">
        <v>59.3703</v>
      </c>
      <c r="D148" s="68">
        <v>2</v>
      </c>
      <c r="E148" s="68" t="s">
        <v>554</v>
      </c>
    </row>
    <row r="149" spans="1:5">
      <c r="A149" s="68">
        <v>0.33742800000000001</v>
      </c>
      <c r="B149" s="68">
        <v>0.37542399999999998</v>
      </c>
      <c r="C149" s="68">
        <v>59.775300000000001</v>
      </c>
      <c r="D149" s="68">
        <v>2</v>
      </c>
      <c r="E149" s="68" t="s">
        <v>555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562</v>
      </c>
      <c r="G1" s="66" t="s">
        <v>563</v>
      </c>
      <c r="H1" s="66" t="s">
        <v>564</v>
      </c>
      <c r="I1" s="66" t="s">
        <v>565</v>
      </c>
      <c r="J1" s="66" t="s">
        <v>566</v>
      </c>
      <c r="K1" s="66" t="s">
        <v>567</v>
      </c>
      <c r="L1" s="66" t="s">
        <v>568</v>
      </c>
      <c r="M1" s="66" t="s">
        <v>569</v>
      </c>
      <c r="N1" s="66"/>
    </row>
    <row r="2" spans="1:14">
      <c r="A2" s="75">
        <v>43607.443819444445</v>
      </c>
      <c r="B2" s="66" t="s">
        <v>558</v>
      </c>
      <c r="C2" s="66"/>
      <c r="D2" s="66"/>
      <c r="E2" s="66">
        <v>4.9234099999999996</v>
      </c>
      <c r="F2" s="66">
        <v>1.4029</v>
      </c>
      <c r="G2" s="66">
        <v>0.56289900000000004</v>
      </c>
      <c r="H2" s="66">
        <v>0</v>
      </c>
      <c r="I2" s="66">
        <v>98245</v>
      </c>
      <c r="J2" s="66">
        <v>91</v>
      </c>
      <c r="K2" s="66">
        <v>91</v>
      </c>
      <c r="L2" s="66">
        <v>0</v>
      </c>
      <c r="M2" s="66" t="s">
        <v>570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2019-05-22T02:39:48Z</cp:lastPrinted>
  <dcterms:created xsi:type="dcterms:W3CDTF">2010-10-29T12:53:05Z</dcterms:created>
  <dcterms:modified xsi:type="dcterms:W3CDTF">2019-05-22T02:40:04Z</dcterms:modified>
</cp:coreProperties>
</file>