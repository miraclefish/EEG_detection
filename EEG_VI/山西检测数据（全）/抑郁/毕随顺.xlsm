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ml.chartshap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drawings/drawing5.xml" ContentType="application/vnd.openxmlformats-officedocument.drawingml.chartshapes+xml"/>
  <Override PartName="/xl/charts/chart14.xml" ContentType="application/vnd.openxmlformats-officedocument.drawingml.chart+xml"/>
  <Override PartName="/xl/drawings/drawing6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Q1\Desktop\精神卫生中心\"/>
    </mc:Choice>
  </mc:AlternateContent>
  <bookViews>
    <workbookView xWindow="0" yWindow="0" windowWidth="28800" windowHeight="12435"/>
  </bookViews>
  <sheets>
    <sheet name="Measurement" sheetId="1" r:id="rId1"/>
    <sheet name="dMeasurement" sheetId="23" r:id="rId2"/>
    <sheet name="correl_IE" sheetId="16" r:id="rId3"/>
    <sheet name="info" sheetId="11" r:id="rId4"/>
    <sheet name="M" sheetId="6" r:id="rId5"/>
    <sheet name="dM" sheetId="22" r:id="rId6"/>
    <sheet name="M1" sheetId="20" r:id="rId7"/>
    <sheet name="M2" sheetId="21" r:id="rId8"/>
    <sheet name="FH" sheetId="9" r:id="rId9"/>
    <sheet name="FH1" sheetId="18" r:id="rId10"/>
    <sheet name="FH2" sheetId="19" r:id="rId11"/>
    <sheet name="FT" sheetId="13" r:id="rId12"/>
    <sheet name="FH_info" sheetId="14" r:id="rId13"/>
    <sheet name="lang" sheetId="17" r:id="rId14"/>
  </sheets>
  <functionGroups builtInGroupCount="18"/>
  <definedNames>
    <definedName name="FH" localSheetId="9">'FH1'!$A$1:$B$256</definedName>
    <definedName name="FH" localSheetId="10">'FH2'!$A$1:$B$256</definedName>
    <definedName name="FH">FH!$A$1:$B$256</definedName>
    <definedName name="FH_info">FH_info!$A$1:$K$2</definedName>
    <definedName name="FT">FT!$A$1:$E$939</definedName>
    <definedName name="FT_E">OFFSET(info!$F$2,0,0,info!$L$3,1)</definedName>
    <definedName name="FT_E00">OFFSET(info!$F$2,info!$P$3,0,info!$S$3,1)</definedName>
    <definedName name="FT_E01">OFFSET(info!$F$2,info!$P$4,0,info!$S$4,1)</definedName>
    <definedName name="FT_E02">OFFSET(info!$F$2,info!$P$5,0,info!$S$5,1)</definedName>
    <definedName name="FT_E03">OFFSET(info!$F$2,info!$P$6,0,info!$S$6,1)</definedName>
    <definedName name="FT_E04">OFFSET(info!$F$2,info!$P$7,0,info!$S$7,1)</definedName>
    <definedName name="FT_E05">OFFSET(info!$F$2,info!$P$8,0,info!$S$8,1)</definedName>
    <definedName name="FT_E06">OFFSET(info!$F$2,info!$P$9,0,info!$S$9,1)</definedName>
    <definedName name="FT_E07">OFFSET(info!$F$2,info!$P$10,0,info!$S$10,1)</definedName>
    <definedName name="FT_E08">OFFSET(info!$F$2,info!$P$11,0,info!$S$11,1)</definedName>
    <definedName name="FT_E09">OFFSET(info!$F$2,info!$P$12,0,info!$S$12,1)</definedName>
    <definedName name="FT_E10">OFFSET(info!$F$2,info!$P$13,0,info!$S$13,1)</definedName>
    <definedName name="FT_E11">OFFSET(info!$F$2,info!$P$14,0,info!$S$14,1)</definedName>
    <definedName name="FT_E12">OFFSET(info!$F$2,info!$P$15,0,info!$S$15,1)</definedName>
    <definedName name="FT_E13">OFFSET(info!$F$2,info!$P$16,0,info!$S$16,1)</definedName>
    <definedName name="FT_E14">OFFSET(info!$F$2,info!$P$17,0,info!$S$17,1)</definedName>
    <definedName name="FT_E15">OFFSET(info!$F$2,info!$P$18,0,info!$S$18,1)</definedName>
    <definedName name="FT_E16">OFFSET(info!$F$2,info!$P$19,0,info!$S$19,1)</definedName>
    <definedName name="FT_E17">OFFSET(info!$F$2,info!$P$20,0,info!$S$20,1)</definedName>
    <definedName name="FT_E18">OFFSET(info!$F$2,info!$P$21,0,info!$S$21,1)</definedName>
    <definedName name="FT_E19">OFFSET(info!$F$2,info!$P$22,0,info!$S$22,1)</definedName>
    <definedName name="FT_E20">OFFSET(info!$F$2,info!$P$23,0,info!$S$23,1)</definedName>
    <definedName name="FT_E21">OFFSET(info!$F$2,info!$P$24,0,info!$S$24,1)</definedName>
    <definedName name="FT_E22">OFFSET(info!$F$2,info!$P$25,0,info!$S$25,1)</definedName>
    <definedName name="FT_E23">OFFSET(info!$F$2,info!$P$26,0,info!$S$26,1)</definedName>
    <definedName name="FT_E24">OFFSET(info!$F$2,info!$P$27,0,info!$S$27,1)</definedName>
    <definedName name="ft_nq">FT!$D$2:$D$2000</definedName>
    <definedName name="FT_PH">OFFSET(info!$G$2,0,0,info!$L$3,1)</definedName>
    <definedName name="FT_PH00">OFFSET(info!$G$2,info!$P$3,0,info!$S$3,1)</definedName>
    <definedName name="FT_PH01">OFFSET(info!$G$2,info!$P$4,0,info!$S$4,1)</definedName>
    <definedName name="FT_PH02">OFFSET(info!$G$2,info!$P$5,0,info!$S$5,1)</definedName>
    <definedName name="FT_PH03">OFFSET(info!$G$2,info!$P$6,0,info!$S$6,1)</definedName>
    <definedName name="FT_PH04">OFFSET(info!$G$2,info!$P$7,0,info!$S$7,1)</definedName>
    <definedName name="FT_PH05">OFFSET(info!$G$2,info!$P$8,0,info!$S$8,1)</definedName>
    <definedName name="FT_PH06">OFFSET(info!$G$2,info!$P$9,0,info!$S$9,1)</definedName>
    <definedName name="FT_PH07">OFFSET(info!$G$2,info!$P$10,0,info!$S$10,1)</definedName>
    <definedName name="FT_PH08">OFFSET(info!$G$2,info!$P$11,0,info!$S$11,1)</definedName>
    <definedName name="FT_PH09">OFFSET(info!$G$2,info!$P$12,0,info!$S$12,1)</definedName>
    <definedName name="FT_PH10">OFFSET(info!$G$2,info!$P$13,0,info!$S$13,1)</definedName>
    <definedName name="FT_PH11">OFFSET(info!$G$2,info!$P$14,0,info!$S$14,1)</definedName>
    <definedName name="FT_PH12">OFFSET(info!$G$2,info!$P$15,0,info!$S$15,1)</definedName>
    <definedName name="FT_PH13">OFFSET(info!$G$2,info!$P$16,0,info!$S$16,1)</definedName>
    <definedName name="FT_PH14">OFFSET(info!$G$2,info!$P$17,0,info!$S$17,1)</definedName>
    <definedName name="FT_PH15">OFFSET(info!$G$2,info!$P$18,0,info!$S$18,1)</definedName>
    <definedName name="FT_PH16">OFFSET(info!$G$2,info!$P$19,0,info!$S$19,1)</definedName>
    <definedName name="FT_PH17">OFFSET(info!$G$2,info!$P$20,0,info!$S$20,1)</definedName>
    <definedName name="FT_PH18">OFFSET(info!$G$2,info!$P$21,0,info!$S$21,1)</definedName>
    <definedName name="FT_PH19">OFFSET(info!$G$2,info!$P$22,0,info!$S$22,1)</definedName>
    <definedName name="FT_PH20">OFFSET(info!$G$2,info!$P$23,0,info!$S$23,1)</definedName>
    <definedName name="FT_PH21">OFFSET(info!$G$2,info!$P$24,0,info!$S$24,1)</definedName>
    <definedName name="FT_PH22">OFFSET(info!$G$2,info!$P$25,0,info!$S$25,1)</definedName>
    <definedName name="FT_PH23">OFFSET(info!$G$2,info!$P$26,0,info!$S$26,1)</definedName>
    <definedName name="FT_PH24">OFFSET(info!$G$2,info!$P$27,0,info!$S$27,1)</definedName>
    <definedName name="FT_T">OFFSET(info!$J$2,0,0,info!$L$3,1)</definedName>
    <definedName name="FT_T00">OFFSET(info!$J$2,info!$P$3,0,info!$S$3,1)</definedName>
    <definedName name="FT_T01">OFFSET(info!$J$2,info!$P$4,0,info!$S$4,1)</definedName>
    <definedName name="FT_T02">OFFSET(info!$J$2,info!$P$5,0,info!$S$5,1)</definedName>
    <definedName name="FT_T03">OFFSET(info!$J$2,info!$P$6,0,info!$S$6,1)</definedName>
    <definedName name="FT_T04">OFFSET(info!$J$2,info!$P$7,0,info!$S$7,1)</definedName>
    <definedName name="FT_T05">OFFSET(info!$J$2,info!$P$8,0,info!$S$8,1)</definedName>
    <definedName name="FT_T06">OFFSET(info!$J$2,info!$P$9,0,info!$S$9,1)</definedName>
    <definedName name="FT_T07">OFFSET(info!$J$2,info!$P$10,0,info!$S$10,1)</definedName>
    <definedName name="FT_T08">OFFSET(info!$J$2,info!$P$11,0,info!$S$11,1)</definedName>
    <definedName name="FT_T09">OFFSET(info!$J$2,info!$P$12,0,info!$S$12,1)</definedName>
    <definedName name="FT_T10">OFFSET(info!$J$2,info!$P$13,0,info!$S$13,1)</definedName>
    <definedName name="FT_T11">OFFSET(info!$J$2,info!$P$14,0,info!$S$14,1)</definedName>
    <definedName name="FT_T12">OFFSET(info!$J$2,info!$P$15,0,info!$S$15,1)</definedName>
    <definedName name="FT_T13">OFFSET(info!$J$2,info!$P$16,0,info!$S$16,1)</definedName>
    <definedName name="FT_T14">OFFSET(info!$J$2,info!$P$17,0,info!$S$17,1)</definedName>
    <definedName name="FT_T15">OFFSET(info!$J$2,info!$P$18,0,info!$S$18,1)</definedName>
    <definedName name="FT_T16">OFFSET(info!$J$2,info!$P$19,0,info!$S$19,1)</definedName>
    <definedName name="FT_T17">OFFSET(info!$J$2,info!$P$20,0,info!$S$20,1)</definedName>
    <definedName name="FT_T18">OFFSET(info!$J$2,info!$P$21,0,info!$S$21,1)</definedName>
    <definedName name="FT_T19">OFFSET(info!$J$2,info!$P$22,0,info!$S$22,1)</definedName>
    <definedName name="FT_T20">OFFSET(info!$J$2,info!$P$23,0,info!$S$23,1)</definedName>
    <definedName name="FT_T21">OFFSET(info!$J$2,info!$P$24,0,info!$S$24,1)</definedName>
    <definedName name="FT_T22">OFFSET(info!$J$2,info!$P$25,0,info!$S$25,1)</definedName>
    <definedName name="FT_T23">OFFSET(info!$J$2,info!$P$26,0,info!$S$26,1)</definedName>
    <definedName name="FT_T24">OFFSET(info!$J$2,info!$P$27,0,info!$S$27,1)</definedName>
    <definedName name="FT_TXT">OFFSET(info!$I$2,0,0,info!$L$3,1)</definedName>
    <definedName name="FTP_H09">OFFSET(info!$G$2,info!$P$12,0,info!$S$12,1)</definedName>
    <definedName name="M" localSheetId="5">dM!$A$1:$H$48</definedName>
    <definedName name="M" localSheetId="6">'M1'!$A$1:$H$48</definedName>
    <definedName name="M" localSheetId="7">'M2'!$A$1:$H$48</definedName>
    <definedName name="M">M!$A$1:$H$48</definedName>
    <definedName name="P_T1">OFFSET(#REF!,0,0,#REF!,1)</definedName>
    <definedName name="P_T2">OFFSET(#REF!,#REF!-1,0,1+#REF!-#REF!,1)</definedName>
    <definedName name="P_V1">OFFSET(#REF!,0,0,#REF!,1)</definedName>
    <definedName name="P_V2">OFFSET(#REF!,#REF!-1,0,1+#REF!-#REF!,1)</definedName>
    <definedName name="_xlnm.Print_Area" localSheetId="1">dMeasurement!$B$1:$K$34</definedName>
    <definedName name="_xlnm.Print_Area" localSheetId="0">Measurement!$B$1:$K$35</definedName>
    <definedName name="row_n">info!$E$2:$E$2000</definedName>
  </definedNames>
  <calcPr calcId="162913"/>
</workbook>
</file>

<file path=xl/calcChain.xml><?xml version="1.0" encoding="utf-8"?>
<calcChain xmlns="http://schemas.openxmlformats.org/spreadsheetml/2006/main">
  <c r="U4" i="11" l="1"/>
  <c r="W4" i="11" s="1"/>
  <c r="V4" i="11" l="1"/>
  <c r="X4" i="11" s="1"/>
  <c r="G257" i="19"/>
  <c r="G256" i="19"/>
  <c r="G255" i="19"/>
  <c r="G254" i="19"/>
  <c r="G253" i="19"/>
  <c r="G252" i="19"/>
  <c r="G251" i="19"/>
  <c r="G250" i="19"/>
  <c r="G249" i="19"/>
  <c r="G248" i="19"/>
  <c r="G247" i="19"/>
  <c r="G246" i="19"/>
  <c r="G245" i="19"/>
  <c r="G244" i="19"/>
  <c r="G243" i="19"/>
  <c r="G242" i="19"/>
  <c r="G241" i="19"/>
  <c r="G240" i="19"/>
  <c r="G239" i="19"/>
  <c r="G238" i="19"/>
  <c r="G237" i="19"/>
  <c r="G236" i="19"/>
  <c r="G235" i="19"/>
  <c r="G234" i="19"/>
  <c r="G233" i="19"/>
  <c r="G232" i="19"/>
  <c r="G231" i="19"/>
  <c r="G230" i="19"/>
  <c r="G229" i="19"/>
  <c r="G228" i="19"/>
  <c r="G227" i="19"/>
  <c r="G226" i="19"/>
  <c r="G225" i="19"/>
  <c r="G224" i="19"/>
  <c r="G223" i="19"/>
  <c r="G222" i="19"/>
  <c r="G221" i="19"/>
  <c r="G220" i="19"/>
  <c r="G219" i="19"/>
  <c r="G218" i="19"/>
  <c r="G217" i="19"/>
  <c r="G216" i="19"/>
  <c r="G215" i="19"/>
  <c r="G214" i="19"/>
  <c r="G213" i="19"/>
  <c r="G212" i="19"/>
  <c r="G211" i="19"/>
  <c r="G210" i="19"/>
  <c r="G209" i="19"/>
  <c r="G208" i="19"/>
  <c r="G207" i="19"/>
  <c r="G206" i="19"/>
  <c r="G205" i="19"/>
  <c r="G204" i="19"/>
  <c r="G203" i="19"/>
  <c r="G202" i="19"/>
  <c r="G201" i="19"/>
  <c r="G200" i="19"/>
  <c r="G199" i="19"/>
  <c r="G198" i="19"/>
  <c r="G197" i="19"/>
  <c r="G196" i="19"/>
  <c r="G195" i="19"/>
  <c r="G194" i="19"/>
  <c r="G193" i="19"/>
  <c r="G192" i="19"/>
  <c r="G191" i="19"/>
  <c r="G190" i="19"/>
  <c r="G189" i="19"/>
  <c r="G188" i="19"/>
  <c r="G187" i="19"/>
  <c r="G186" i="19"/>
  <c r="G185" i="19"/>
  <c r="G184" i="19"/>
  <c r="G183" i="19"/>
  <c r="G182" i="19"/>
  <c r="G181" i="19"/>
  <c r="G180" i="19"/>
  <c r="G179" i="19"/>
  <c r="G178" i="19"/>
  <c r="G177" i="19"/>
  <c r="G176" i="19"/>
  <c r="G175" i="19"/>
  <c r="G174" i="19"/>
  <c r="G173" i="19"/>
  <c r="G172" i="19"/>
  <c r="G171" i="19"/>
  <c r="G170" i="19"/>
  <c r="G169" i="19"/>
  <c r="G168" i="19"/>
  <c r="G167" i="19"/>
  <c r="G166" i="19"/>
  <c r="G165" i="19"/>
  <c r="G164" i="19"/>
  <c r="G163" i="19"/>
  <c r="G162" i="19"/>
  <c r="G161" i="19"/>
  <c r="G160" i="19"/>
  <c r="G159" i="19"/>
  <c r="G158" i="19"/>
  <c r="G157" i="19"/>
  <c r="G156" i="19"/>
  <c r="G155" i="19"/>
  <c r="G154" i="19"/>
  <c r="G153" i="19"/>
  <c r="G152" i="19"/>
  <c r="G151" i="19"/>
  <c r="G150" i="19"/>
  <c r="G149" i="19"/>
  <c r="G148" i="19"/>
  <c r="G147" i="19"/>
  <c r="G146" i="19"/>
  <c r="G145" i="19"/>
  <c r="G144" i="19"/>
  <c r="G143" i="19"/>
  <c r="G142" i="19"/>
  <c r="G141" i="19"/>
  <c r="G140" i="19"/>
  <c r="G139" i="19"/>
  <c r="G138" i="19"/>
  <c r="G137" i="19"/>
  <c r="G136" i="19"/>
  <c r="G135" i="19"/>
  <c r="G134" i="19"/>
  <c r="G133" i="19"/>
  <c r="G132" i="19"/>
  <c r="G131" i="19"/>
  <c r="G130" i="19"/>
  <c r="G129" i="19"/>
  <c r="G128" i="19"/>
  <c r="G127" i="19"/>
  <c r="G126" i="19"/>
  <c r="G125" i="19"/>
  <c r="G124" i="19"/>
  <c r="G123" i="19"/>
  <c r="G122" i="19"/>
  <c r="G121" i="19"/>
  <c r="G120" i="19"/>
  <c r="G119" i="19"/>
  <c r="G118" i="19"/>
  <c r="G117" i="19"/>
  <c r="G116" i="19"/>
  <c r="G115" i="19"/>
  <c r="G114" i="19"/>
  <c r="G113" i="19"/>
  <c r="G112" i="19"/>
  <c r="G111" i="19"/>
  <c r="G110" i="19"/>
  <c r="G109" i="19"/>
  <c r="G108" i="19"/>
  <c r="G107" i="19"/>
  <c r="G106" i="19"/>
  <c r="G105" i="19"/>
  <c r="G104" i="19"/>
  <c r="G103" i="19"/>
  <c r="G102" i="19"/>
  <c r="G101" i="19"/>
  <c r="G100" i="19"/>
  <c r="G99" i="19"/>
  <c r="G98" i="19"/>
  <c r="G97" i="19"/>
  <c r="G96" i="19"/>
  <c r="G95" i="19"/>
  <c r="G94" i="19"/>
  <c r="G93" i="19"/>
  <c r="G92" i="19"/>
  <c r="G91" i="19"/>
  <c r="G90" i="19"/>
  <c r="G89" i="19"/>
  <c r="G88" i="19"/>
  <c r="G87" i="19"/>
  <c r="G86" i="19"/>
  <c r="G85" i="19"/>
  <c r="G84" i="19"/>
  <c r="G83" i="19"/>
  <c r="G82" i="19"/>
  <c r="G81" i="19"/>
  <c r="G80" i="19"/>
  <c r="G79" i="19"/>
  <c r="G78" i="19"/>
  <c r="G77" i="19"/>
  <c r="G76" i="19"/>
  <c r="G75" i="19"/>
  <c r="G74" i="19"/>
  <c r="G73" i="19"/>
  <c r="G72" i="19"/>
  <c r="G71" i="19"/>
  <c r="G70" i="19"/>
  <c r="G69" i="19"/>
  <c r="G68" i="19"/>
  <c r="G67" i="19"/>
  <c r="G66" i="19"/>
  <c r="G65" i="19"/>
  <c r="G64" i="19"/>
  <c r="G63" i="19"/>
  <c r="G62" i="19"/>
  <c r="G61" i="19"/>
  <c r="G60" i="19"/>
  <c r="G59" i="19"/>
  <c r="G58" i="19"/>
  <c r="G57" i="19"/>
  <c r="G56" i="19"/>
  <c r="G55" i="19"/>
  <c r="G54" i="19"/>
  <c r="G53" i="19"/>
  <c r="G52" i="19"/>
  <c r="G51" i="19"/>
  <c r="G50" i="19"/>
  <c r="G49" i="19"/>
  <c r="G48" i="19"/>
  <c r="G47" i="19"/>
  <c r="G46" i="19"/>
  <c r="G45" i="19"/>
  <c r="G44" i="19"/>
  <c r="G43" i="19"/>
  <c r="G42" i="19"/>
  <c r="G41" i="19"/>
  <c r="G40" i="19"/>
  <c r="G39" i="19"/>
  <c r="G38" i="19"/>
  <c r="G37" i="19"/>
  <c r="G36" i="19"/>
  <c r="G35" i="19"/>
  <c r="G34" i="19"/>
  <c r="G33" i="19"/>
  <c r="G32" i="19"/>
  <c r="G31" i="19"/>
  <c r="G30" i="19"/>
  <c r="G29" i="19"/>
  <c r="G28" i="19"/>
  <c r="G27" i="19"/>
  <c r="G26" i="19"/>
  <c r="G25" i="19"/>
  <c r="G24" i="19"/>
  <c r="G23" i="19"/>
  <c r="G22" i="19"/>
  <c r="G21" i="19"/>
  <c r="G20" i="19"/>
  <c r="G19" i="19"/>
  <c r="G18" i="19"/>
  <c r="G17" i="19"/>
  <c r="G16" i="19"/>
  <c r="G15" i="19"/>
  <c r="G14" i="19"/>
  <c r="G13" i="19"/>
  <c r="G12" i="19"/>
  <c r="G11" i="19"/>
  <c r="G10" i="19"/>
  <c r="G9" i="19"/>
  <c r="G8" i="19"/>
  <c r="G7" i="19"/>
  <c r="G6" i="19"/>
  <c r="G5" i="19"/>
  <c r="G4" i="19"/>
  <c r="G3" i="19"/>
  <c r="G2" i="19"/>
  <c r="G257" i="18"/>
  <c r="G256" i="18"/>
  <c r="G255" i="18"/>
  <c r="G254" i="18"/>
  <c r="G253" i="18"/>
  <c r="G252" i="18"/>
  <c r="G251" i="18"/>
  <c r="G250" i="18"/>
  <c r="G249" i="18"/>
  <c r="G248" i="18"/>
  <c r="G247" i="18"/>
  <c r="G246" i="18"/>
  <c r="G245" i="18"/>
  <c r="G244" i="18"/>
  <c r="G243" i="18"/>
  <c r="G242" i="18"/>
  <c r="G241" i="18"/>
  <c r="G240" i="18"/>
  <c r="G239" i="18"/>
  <c r="G238" i="18"/>
  <c r="G237" i="18"/>
  <c r="G236" i="18"/>
  <c r="G235" i="18"/>
  <c r="G234" i="18"/>
  <c r="G233" i="18"/>
  <c r="G232" i="18"/>
  <c r="G231" i="18"/>
  <c r="G230" i="18"/>
  <c r="G229" i="18"/>
  <c r="G228" i="18"/>
  <c r="G227" i="18"/>
  <c r="G226" i="18"/>
  <c r="G225" i="18"/>
  <c r="G224" i="18"/>
  <c r="G223" i="18"/>
  <c r="G222" i="18"/>
  <c r="G221" i="18"/>
  <c r="G220" i="18"/>
  <c r="G219" i="18"/>
  <c r="G218" i="18"/>
  <c r="G217" i="18"/>
  <c r="G216" i="18"/>
  <c r="G215" i="18"/>
  <c r="G214" i="18"/>
  <c r="G213" i="18"/>
  <c r="G212" i="18"/>
  <c r="G211" i="18"/>
  <c r="G210" i="18"/>
  <c r="G209" i="18"/>
  <c r="G208" i="18"/>
  <c r="G207" i="18"/>
  <c r="G206" i="18"/>
  <c r="G205" i="18"/>
  <c r="G204" i="18"/>
  <c r="G203" i="18"/>
  <c r="G202" i="18"/>
  <c r="G201" i="18"/>
  <c r="G200" i="18"/>
  <c r="G199" i="18"/>
  <c r="G198" i="18"/>
  <c r="G197" i="18"/>
  <c r="G196" i="18"/>
  <c r="G195" i="18"/>
  <c r="G194" i="18"/>
  <c r="G193" i="18"/>
  <c r="G192" i="18"/>
  <c r="G191" i="18"/>
  <c r="G190" i="18"/>
  <c r="G189" i="18"/>
  <c r="G188" i="18"/>
  <c r="G187" i="18"/>
  <c r="G186" i="18"/>
  <c r="G185" i="18"/>
  <c r="G184" i="18"/>
  <c r="G183" i="18"/>
  <c r="G182" i="18"/>
  <c r="G181" i="18"/>
  <c r="G180" i="18"/>
  <c r="G179" i="18"/>
  <c r="G178" i="18"/>
  <c r="G177" i="18"/>
  <c r="G176" i="18"/>
  <c r="G175" i="18"/>
  <c r="G174" i="18"/>
  <c r="G173" i="18"/>
  <c r="G172" i="18"/>
  <c r="G171" i="18"/>
  <c r="G170" i="18"/>
  <c r="G169" i="18"/>
  <c r="G168" i="18"/>
  <c r="G167" i="18"/>
  <c r="G166" i="18"/>
  <c r="G165" i="18"/>
  <c r="G164" i="18"/>
  <c r="G163" i="18"/>
  <c r="G162" i="18"/>
  <c r="G161" i="18"/>
  <c r="G160" i="18"/>
  <c r="G159" i="18"/>
  <c r="G158" i="18"/>
  <c r="G157" i="18"/>
  <c r="G156" i="18"/>
  <c r="G155" i="18"/>
  <c r="G154" i="18"/>
  <c r="G153" i="18"/>
  <c r="G152" i="18"/>
  <c r="G151" i="18"/>
  <c r="G150" i="18"/>
  <c r="G149" i="18"/>
  <c r="G148" i="18"/>
  <c r="G147" i="18"/>
  <c r="G146" i="18"/>
  <c r="G145" i="18"/>
  <c r="G144" i="18"/>
  <c r="G143" i="18"/>
  <c r="G142" i="18"/>
  <c r="G141" i="18"/>
  <c r="G140" i="18"/>
  <c r="G139" i="18"/>
  <c r="G138" i="18"/>
  <c r="G137" i="18"/>
  <c r="G136" i="18"/>
  <c r="G135" i="18"/>
  <c r="G134" i="18"/>
  <c r="G133" i="18"/>
  <c r="G132" i="18"/>
  <c r="G131" i="18"/>
  <c r="G130" i="18"/>
  <c r="G129" i="18"/>
  <c r="G128" i="18"/>
  <c r="G127" i="18"/>
  <c r="G126" i="18"/>
  <c r="G125" i="18"/>
  <c r="G124" i="18"/>
  <c r="G123" i="18"/>
  <c r="G122" i="18"/>
  <c r="G121" i="18"/>
  <c r="G120" i="18"/>
  <c r="G119" i="18"/>
  <c r="G118" i="18"/>
  <c r="G117" i="18"/>
  <c r="G116" i="18"/>
  <c r="G115" i="18"/>
  <c r="G114" i="18"/>
  <c r="G113" i="18"/>
  <c r="G112" i="18"/>
  <c r="G111" i="18"/>
  <c r="G110" i="18"/>
  <c r="G109" i="18"/>
  <c r="G108" i="18"/>
  <c r="G107" i="18"/>
  <c r="G106" i="18"/>
  <c r="G105" i="18"/>
  <c r="G104" i="18"/>
  <c r="G103" i="18"/>
  <c r="G102" i="18"/>
  <c r="G101" i="18"/>
  <c r="G100" i="18"/>
  <c r="G99" i="18"/>
  <c r="G98" i="18"/>
  <c r="G97" i="18"/>
  <c r="G96" i="18"/>
  <c r="G95" i="18"/>
  <c r="G94" i="18"/>
  <c r="G93" i="18"/>
  <c r="G92" i="18"/>
  <c r="G91" i="18"/>
  <c r="G90" i="18"/>
  <c r="G89" i="18"/>
  <c r="G88" i="18"/>
  <c r="G87" i="18"/>
  <c r="G86" i="18"/>
  <c r="G85" i="18"/>
  <c r="G84" i="18"/>
  <c r="G83" i="18"/>
  <c r="G82" i="18"/>
  <c r="G81" i="18"/>
  <c r="G80" i="18"/>
  <c r="G79" i="18"/>
  <c r="G78" i="18"/>
  <c r="G77" i="18"/>
  <c r="G76" i="18"/>
  <c r="G75" i="18"/>
  <c r="G74" i="18"/>
  <c r="G73" i="18"/>
  <c r="G72" i="18"/>
  <c r="G71" i="18"/>
  <c r="G70" i="18"/>
  <c r="G69" i="18"/>
  <c r="G68" i="18"/>
  <c r="G67" i="18"/>
  <c r="G66" i="18"/>
  <c r="G65" i="18"/>
  <c r="G64" i="18"/>
  <c r="G63" i="18"/>
  <c r="G62" i="18"/>
  <c r="G61" i="18"/>
  <c r="G60" i="18"/>
  <c r="G59" i="18"/>
  <c r="G58" i="18"/>
  <c r="G57" i="18"/>
  <c r="G56" i="18"/>
  <c r="G55" i="18"/>
  <c r="G54" i="18"/>
  <c r="G53" i="18"/>
  <c r="G52" i="18"/>
  <c r="G51" i="18"/>
  <c r="G50" i="18"/>
  <c r="G49" i="18"/>
  <c r="G48" i="18"/>
  <c r="G47" i="18"/>
  <c r="G46" i="18"/>
  <c r="G45" i="18"/>
  <c r="G44" i="18"/>
  <c r="G43" i="18"/>
  <c r="G42" i="18"/>
  <c r="G41" i="18"/>
  <c r="G40" i="18"/>
  <c r="G39" i="18"/>
  <c r="G38" i="18"/>
  <c r="G37" i="18"/>
  <c r="G36" i="18"/>
  <c r="G35" i="18"/>
  <c r="G34" i="18"/>
  <c r="G33" i="18"/>
  <c r="G32" i="18"/>
  <c r="G31" i="18"/>
  <c r="G30" i="18"/>
  <c r="G29" i="18"/>
  <c r="G28" i="18"/>
  <c r="G27" i="18"/>
  <c r="G26" i="18"/>
  <c r="G25" i="18"/>
  <c r="G24" i="18"/>
  <c r="G23" i="18"/>
  <c r="G22" i="18"/>
  <c r="G21" i="18"/>
  <c r="G20" i="18"/>
  <c r="G19" i="18"/>
  <c r="G18" i="18"/>
  <c r="G17" i="18"/>
  <c r="G16" i="18"/>
  <c r="G15" i="18"/>
  <c r="G14" i="18"/>
  <c r="G13" i="18"/>
  <c r="G12" i="18"/>
  <c r="G11" i="18"/>
  <c r="G10" i="18"/>
  <c r="G9" i="18"/>
  <c r="G8" i="18"/>
  <c r="G7" i="18"/>
  <c r="G6" i="18"/>
  <c r="G5" i="18"/>
  <c r="G4" i="18"/>
  <c r="G3" i="18"/>
  <c r="G2" i="18"/>
  <c r="G3" i="9" l="1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110" i="9"/>
  <c r="G111" i="9"/>
  <c r="G112" i="9"/>
  <c r="G113" i="9"/>
  <c r="G114" i="9"/>
  <c r="G115" i="9"/>
  <c r="G116" i="9"/>
  <c r="G117" i="9"/>
  <c r="G118" i="9"/>
  <c r="G119" i="9"/>
  <c r="G120" i="9"/>
  <c r="G121" i="9"/>
  <c r="G122" i="9"/>
  <c r="G123" i="9"/>
  <c r="G124" i="9"/>
  <c r="G125" i="9"/>
  <c r="G126" i="9"/>
  <c r="G127" i="9"/>
  <c r="G128" i="9"/>
  <c r="G129" i="9"/>
  <c r="G130" i="9"/>
  <c r="G131" i="9"/>
  <c r="G132" i="9"/>
  <c r="G133" i="9"/>
  <c r="G134" i="9"/>
  <c r="G135" i="9"/>
  <c r="G136" i="9"/>
  <c r="G137" i="9"/>
  <c r="G138" i="9"/>
  <c r="G139" i="9"/>
  <c r="G140" i="9"/>
  <c r="G141" i="9"/>
  <c r="G142" i="9"/>
  <c r="G143" i="9"/>
  <c r="G144" i="9"/>
  <c r="G145" i="9"/>
  <c r="G146" i="9"/>
  <c r="G147" i="9"/>
  <c r="G148" i="9"/>
  <c r="G149" i="9"/>
  <c r="G150" i="9"/>
  <c r="G151" i="9"/>
  <c r="G152" i="9"/>
  <c r="G153" i="9"/>
  <c r="G154" i="9"/>
  <c r="G155" i="9"/>
  <c r="G156" i="9"/>
  <c r="G157" i="9"/>
  <c r="G158" i="9"/>
  <c r="G159" i="9"/>
  <c r="G160" i="9"/>
  <c r="G161" i="9"/>
  <c r="G162" i="9"/>
  <c r="G163" i="9"/>
  <c r="G164" i="9"/>
  <c r="G165" i="9"/>
  <c r="G166" i="9"/>
  <c r="G167" i="9"/>
  <c r="G168" i="9"/>
  <c r="G169" i="9"/>
  <c r="G170" i="9"/>
  <c r="G171" i="9"/>
  <c r="G172" i="9"/>
  <c r="G173" i="9"/>
  <c r="G174" i="9"/>
  <c r="G175" i="9"/>
  <c r="G176" i="9"/>
  <c r="G177" i="9"/>
  <c r="G178" i="9"/>
  <c r="G179" i="9"/>
  <c r="G180" i="9"/>
  <c r="G181" i="9"/>
  <c r="G182" i="9"/>
  <c r="G183" i="9"/>
  <c r="G184" i="9"/>
  <c r="G185" i="9"/>
  <c r="G186" i="9"/>
  <c r="G187" i="9"/>
  <c r="G188" i="9"/>
  <c r="G189" i="9"/>
  <c r="G190" i="9"/>
  <c r="G191" i="9"/>
  <c r="G192" i="9"/>
  <c r="G193" i="9"/>
  <c r="G194" i="9"/>
  <c r="G195" i="9"/>
  <c r="G196" i="9"/>
  <c r="G197" i="9"/>
  <c r="G198" i="9"/>
  <c r="G199" i="9"/>
  <c r="G200" i="9"/>
  <c r="G201" i="9"/>
  <c r="G202" i="9"/>
  <c r="G203" i="9"/>
  <c r="G204" i="9"/>
  <c r="G205" i="9"/>
  <c r="G206" i="9"/>
  <c r="G207" i="9"/>
  <c r="G208" i="9"/>
  <c r="G209" i="9"/>
  <c r="G210" i="9"/>
  <c r="G211" i="9"/>
  <c r="G212" i="9"/>
  <c r="G213" i="9"/>
  <c r="G214" i="9"/>
  <c r="G215" i="9"/>
  <c r="G216" i="9"/>
  <c r="G217" i="9"/>
  <c r="G218" i="9"/>
  <c r="G219" i="9"/>
  <c r="G220" i="9"/>
  <c r="G221" i="9"/>
  <c r="G222" i="9"/>
  <c r="G223" i="9"/>
  <c r="G224" i="9"/>
  <c r="G225" i="9"/>
  <c r="G226" i="9"/>
  <c r="G227" i="9"/>
  <c r="G228" i="9"/>
  <c r="G229" i="9"/>
  <c r="G230" i="9"/>
  <c r="G231" i="9"/>
  <c r="G232" i="9"/>
  <c r="G233" i="9"/>
  <c r="G234" i="9"/>
  <c r="G235" i="9"/>
  <c r="G236" i="9"/>
  <c r="G237" i="9"/>
  <c r="G238" i="9"/>
  <c r="G239" i="9"/>
  <c r="G240" i="9"/>
  <c r="G241" i="9"/>
  <c r="G242" i="9"/>
  <c r="G243" i="9"/>
  <c r="G244" i="9"/>
  <c r="G245" i="9"/>
  <c r="G246" i="9"/>
  <c r="G247" i="9"/>
  <c r="G248" i="9"/>
  <c r="G249" i="9"/>
  <c r="G250" i="9"/>
  <c r="G251" i="9"/>
  <c r="G252" i="9"/>
  <c r="G253" i="9"/>
  <c r="G254" i="9"/>
  <c r="G255" i="9"/>
  <c r="G256" i="9"/>
  <c r="G257" i="9"/>
  <c r="G2" i="9"/>
  <c r="D2" i="18"/>
  <c r="H2" i="18" s="1"/>
  <c r="D3" i="19" l="1"/>
  <c r="H3" i="19" s="1"/>
  <c r="E3" i="19"/>
  <c r="D4" i="19"/>
  <c r="H4" i="19" s="1"/>
  <c r="E4" i="19"/>
  <c r="D5" i="19"/>
  <c r="H5" i="19" s="1"/>
  <c r="E5" i="19"/>
  <c r="D6" i="19"/>
  <c r="H6" i="19" s="1"/>
  <c r="E6" i="19"/>
  <c r="D7" i="19"/>
  <c r="H7" i="19" s="1"/>
  <c r="E7" i="19"/>
  <c r="D8" i="19"/>
  <c r="H8" i="19" s="1"/>
  <c r="E8" i="19"/>
  <c r="D9" i="19"/>
  <c r="H9" i="19" s="1"/>
  <c r="E9" i="19"/>
  <c r="D10" i="19"/>
  <c r="H10" i="19" s="1"/>
  <c r="E10" i="19"/>
  <c r="D11" i="19"/>
  <c r="H11" i="19" s="1"/>
  <c r="E11" i="19"/>
  <c r="D12" i="19"/>
  <c r="H12" i="19" s="1"/>
  <c r="E12" i="19"/>
  <c r="D13" i="19"/>
  <c r="H13" i="19" s="1"/>
  <c r="E13" i="19"/>
  <c r="D14" i="19"/>
  <c r="H14" i="19" s="1"/>
  <c r="E14" i="19"/>
  <c r="D15" i="19"/>
  <c r="H15" i="19" s="1"/>
  <c r="E15" i="19"/>
  <c r="D16" i="19"/>
  <c r="H16" i="19" s="1"/>
  <c r="E16" i="19"/>
  <c r="D17" i="19"/>
  <c r="H17" i="19" s="1"/>
  <c r="E17" i="19"/>
  <c r="D18" i="19"/>
  <c r="H18" i="19" s="1"/>
  <c r="E18" i="19"/>
  <c r="D19" i="19"/>
  <c r="H19" i="19" s="1"/>
  <c r="E19" i="19"/>
  <c r="D20" i="19"/>
  <c r="H20" i="19" s="1"/>
  <c r="E20" i="19"/>
  <c r="D21" i="19"/>
  <c r="H21" i="19" s="1"/>
  <c r="E21" i="19"/>
  <c r="D22" i="19"/>
  <c r="H22" i="19" s="1"/>
  <c r="E22" i="19"/>
  <c r="D23" i="19"/>
  <c r="H23" i="19" s="1"/>
  <c r="E23" i="19"/>
  <c r="D24" i="19"/>
  <c r="H24" i="19" s="1"/>
  <c r="E24" i="19"/>
  <c r="D25" i="19"/>
  <c r="H25" i="19" s="1"/>
  <c r="E25" i="19"/>
  <c r="D26" i="19"/>
  <c r="H26" i="19" s="1"/>
  <c r="E26" i="19"/>
  <c r="D27" i="19"/>
  <c r="H27" i="19" s="1"/>
  <c r="E27" i="19"/>
  <c r="D28" i="19"/>
  <c r="H28" i="19" s="1"/>
  <c r="E28" i="19"/>
  <c r="D29" i="19"/>
  <c r="H29" i="19" s="1"/>
  <c r="E29" i="19"/>
  <c r="D30" i="19"/>
  <c r="H30" i="19" s="1"/>
  <c r="E30" i="19"/>
  <c r="D31" i="19"/>
  <c r="H31" i="19" s="1"/>
  <c r="E31" i="19"/>
  <c r="D32" i="19"/>
  <c r="H32" i="19" s="1"/>
  <c r="E32" i="19"/>
  <c r="D33" i="19"/>
  <c r="H33" i="19" s="1"/>
  <c r="E33" i="19"/>
  <c r="D34" i="19"/>
  <c r="H34" i="19" s="1"/>
  <c r="E34" i="19"/>
  <c r="D35" i="19"/>
  <c r="H35" i="19" s="1"/>
  <c r="E35" i="19"/>
  <c r="D36" i="19"/>
  <c r="H36" i="19" s="1"/>
  <c r="E36" i="19"/>
  <c r="D37" i="19"/>
  <c r="H37" i="19" s="1"/>
  <c r="E37" i="19"/>
  <c r="D38" i="19"/>
  <c r="H38" i="19" s="1"/>
  <c r="E38" i="19"/>
  <c r="D39" i="19"/>
  <c r="H39" i="19" s="1"/>
  <c r="E39" i="19"/>
  <c r="D40" i="19"/>
  <c r="H40" i="19" s="1"/>
  <c r="E40" i="19"/>
  <c r="D41" i="19"/>
  <c r="H41" i="19" s="1"/>
  <c r="E41" i="19"/>
  <c r="D42" i="19"/>
  <c r="H42" i="19" s="1"/>
  <c r="E42" i="19"/>
  <c r="D43" i="19"/>
  <c r="H43" i="19" s="1"/>
  <c r="E43" i="19"/>
  <c r="D44" i="19"/>
  <c r="H44" i="19" s="1"/>
  <c r="E44" i="19"/>
  <c r="D45" i="19"/>
  <c r="H45" i="19" s="1"/>
  <c r="E45" i="19"/>
  <c r="D46" i="19"/>
  <c r="H46" i="19" s="1"/>
  <c r="E46" i="19"/>
  <c r="D47" i="19"/>
  <c r="H47" i="19" s="1"/>
  <c r="E47" i="19"/>
  <c r="D48" i="19"/>
  <c r="H48" i="19" s="1"/>
  <c r="E48" i="19"/>
  <c r="D49" i="19"/>
  <c r="H49" i="19" s="1"/>
  <c r="E49" i="19"/>
  <c r="D50" i="19"/>
  <c r="H50" i="19" s="1"/>
  <c r="E50" i="19"/>
  <c r="D51" i="19"/>
  <c r="H51" i="19" s="1"/>
  <c r="E51" i="19"/>
  <c r="D52" i="19"/>
  <c r="H52" i="19" s="1"/>
  <c r="E52" i="19"/>
  <c r="D53" i="19"/>
  <c r="H53" i="19" s="1"/>
  <c r="E53" i="19"/>
  <c r="D54" i="19"/>
  <c r="H54" i="19" s="1"/>
  <c r="E54" i="19"/>
  <c r="D55" i="19"/>
  <c r="H55" i="19" s="1"/>
  <c r="E55" i="19"/>
  <c r="D56" i="19"/>
  <c r="H56" i="19" s="1"/>
  <c r="E56" i="19"/>
  <c r="D57" i="19"/>
  <c r="H57" i="19" s="1"/>
  <c r="E57" i="19"/>
  <c r="D58" i="19"/>
  <c r="H58" i="19" s="1"/>
  <c r="E58" i="19"/>
  <c r="D59" i="19"/>
  <c r="H59" i="19" s="1"/>
  <c r="E59" i="19"/>
  <c r="D60" i="19"/>
  <c r="H60" i="19" s="1"/>
  <c r="E60" i="19"/>
  <c r="D61" i="19"/>
  <c r="H61" i="19" s="1"/>
  <c r="E61" i="19"/>
  <c r="D62" i="19"/>
  <c r="H62" i="19" s="1"/>
  <c r="E62" i="19"/>
  <c r="D63" i="19"/>
  <c r="H63" i="19" s="1"/>
  <c r="E63" i="19"/>
  <c r="D64" i="19"/>
  <c r="H64" i="19" s="1"/>
  <c r="E64" i="19"/>
  <c r="D65" i="19"/>
  <c r="H65" i="19" s="1"/>
  <c r="E65" i="19"/>
  <c r="D66" i="19"/>
  <c r="H66" i="19" s="1"/>
  <c r="E66" i="19"/>
  <c r="D67" i="19"/>
  <c r="H67" i="19" s="1"/>
  <c r="E67" i="19"/>
  <c r="D68" i="19"/>
  <c r="H68" i="19" s="1"/>
  <c r="E68" i="19"/>
  <c r="D69" i="19"/>
  <c r="H69" i="19" s="1"/>
  <c r="E69" i="19"/>
  <c r="D70" i="19"/>
  <c r="H70" i="19" s="1"/>
  <c r="E70" i="19"/>
  <c r="D71" i="19"/>
  <c r="H71" i="19" s="1"/>
  <c r="E71" i="19"/>
  <c r="D72" i="19"/>
  <c r="H72" i="19" s="1"/>
  <c r="E72" i="19"/>
  <c r="D73" i="19"/>
  <c r="H73" i="19" s="1"/>
  <c r="E73" i="19"/>
  <c r="D74" i="19"/>
  <c r="H74" i="19" s="1"/>
  <c r="E74" i="19"/>
  <c r="D75" i="19"/>
  <c r="H75" i="19" s="1"/>
  <c r="E75" i="19"/>
  <c r="D76" i="19"/>
  <c r="H76" i="19" s="1"/>
  <c r="E76" i="19"/>
  <c r="D77" i="19"/>
  <c r="H77" i="19" s="1"/>
  <c r="E77" i="19"/>
  <c r="D78" i="19"/>
  <c r="H78" i="19" s="1"/>
  <c r="E78" i="19"/>
  <c r="D79" i="19"/>
  <c r="H79" i="19" s="1"/>
  <c r="E79" i="19"/>
  <c r="D80" i="19"/>
  <c r="H80" i="19" s="1"/>
  <c r="E80" i="19"/>
  <c r="D81" i="19"/>
  <c r="H81" i="19" s="1"/>
  <c r="E81" i="19"/>
  <c r="D82" i="19"/>
  <c r="H82" i="19" s="1"/>
  <c r="E82" i="19"/>
  <c r="D83" i="19"/>
  <c r="H83" i="19" s="1"/>
  <c r="E83" i="19"/>
  <c r="D84" i="19"/>
  <c r="H84" i="19" s="1"/>
  <c r="E84" i="19"/>
  <c r="D85" i="19"/>
  <c r="H85" i="19" s="1"/>
  <c r="E85" i="19"/>
  <c r="D86" i="19"/>
  <c r="H86" i="19" s="1"/>
  <c r="E86" i="19"/>
  <c r="D87" i="19"/>
  <c r="H87" i="19" s="1"/>
  <c r="E87" i="19"/>
  <c r="D88" i="19"/>
  <c r="H88" i="19" s="1"/>
  <c r="E88" i="19"/>
  <c r="D89" i="19"/>
  <c r="H89" i="19" s="1"/>
  <c r="E89" i="19"/>
  <c r="D90" i="19"/>
  <c r="H90" i="19" s="1"/>
  <c r="E90" i="19"/>
  <c r="D91" i="19"/>
  <c r="H91" i="19" s="1"/>
  <c r="E91" i="19"/>
  <c r="D92" i="19"/>
  <c r="H92" i="19" s="1"/>
  <c r="E92" i="19"/>
  <c r="D93" i="19"/>
  <c r="H93" i="19" s="1"/>
  <c r="E93" i="19"/>
  <c r="D94" i="19"/>
  <c r="H94" i="19" s="1"/>
  <c r="E94" i="19"/>
  <c r="D95" i="19"/>
  <c r="H95" i="19" s="1"/>
  <c r="E95" i="19"/>
  <c r="D96" i="19"/>
  <c r="H96" i="19" s="1"/>
  <c r="E96" i="19"/>
  <c r="D97" i="19"/>
  <c r="H97" i="19" s="1"/>
  <c r="E97" i="19"/>
  <c r="D98" i="19"/>
  <c r="H98" i="19" s="1"/>
  <c r="E98" i="19"/>
  <c r="D99" i="19"/>
  <c r="H99" i="19" s="1"/>
  <c r="E99" i="19"/>
  <c r="D100" i="19"/>
  <c r="H100" i="19" s="1"/>
  <c r="E100" i="19"/>
  <c r="D101" i="19"/>
  <c r="H101" i="19" s="1"/>
  <c r="E101" i="19"/>
  <c r="D102" i="19"/>
  <c r="H102" i="19" s="1"/>
  <c r="E102" i="19"/>
  <c r="D103" i="19"/>
  <c r="H103" i="19" s="1"/>
  <c r="E103" i="19"/>
  <c r="D104" i="19"/>
  <c r="H104" i="19" s="1"/>
  <c r="E104" i="19"/>
  <c r="D105" i="19"/>
  <c r="H105" i="19" s="1"/>
  <c r="E105" i="19"/>
  <c r="D106" i="19"/>
  <c r="H106" i="19" s="1"/>
  <c r="E106" i="19"/>
  <c r="D107" i="19"/>
  <c r="H107" i="19" s="1"/>
  <c r="E107" i="19"/>
  <c r="D108" i="19"/>
  <c r="H108" i="19" s="1"/>
  <c r="E108" i="19"/>
  <c r="D109" i="19"/>
  <c r="H109" i="19" s="1"/>
  <c r="E109" i="19"/>
  <c r="D110" i="19"/>
  <c r="H110" i="19" s="1"/>
  <c r="E110" i="19"/>
  <c r="D111" i="19"/>
  <c r="H111" i="19" s="1"/>
  <c r="E111" i="19"/>
  <c r="D112" i="19"/>
  <c r="H112" i="19" s="1"/>
  <c r="E112" i="19"/>
  <c r="D113" i="19"/>
  <c r="H113" i="19" s="1"/>
  <c r="E113" i="19"/>
  <c r="D114" i="19"/>
  <c r="H114" i="19" s="1"/>
  <c r="E114" i="19"/>
  <c r="D115" i="19"/>
  <c r="H115" i="19" s="1"/>
  <c r="E115" i="19"/>
  <c r="D116" i="19"/>
  <c r="H116" i="19" s="1"/>
  <c r="E116" i="19"/>
  <c r="D117" i="19"/>
  <c r="H117" i="19" s="1"/>
  <c r="E117" i="19"/>
  <c r="D118" i="19"/>
  <c r="H118" i="19" s="1"/>
  <c r="E118" i="19"/>
  <c r="D119" i="19"/>
  <c r="H119" i="19" s="1"/>
  <c r="E119" i="19"/>
  <c r="D120" i="19"/>
  <c r="H120" i="19" s="1"/>
  <c r="E120" i="19"/>
  <c r="D121" i="19"/>
  <c r="H121" i="19" s="1"/>
  <c r="E121" i="19"/>
  <c r="D122" i="19"/>
  <c r="H122" i="19" s="1"/>
  <c r="E122" i="19"/>
  <c r="D123" i="19"/>
  <c r="H123" i="19" s="1"/>
  <c r="E123" i="19"/>
  <c r="D124" i="19"/>
  <c r="H124" i="19" s="1"/>
  <c r="E124" i="19"/>
  <c r="D125" i="19"/>
  <c r="H125" i="19" s="1"/>
  <c r="E125" i="19"/>
  <c r="D126" i="19"/>
  <c r="H126" i="19" s="1"/>
  <c r="E126" i="19"/>
  <c r="D127" i="19"/>
  <c r="H127" i="19" s="1"/>
  <c r="E127" i="19"/>
  <c r="D128" i="19"/>
  <c r="H128" i="19" s="1"/>
  <c r="E128" i="19"/>
  <c r="D129" i="19"/>
  <c r="H129" i="19" s="1"/>
  <c r="E129" i="19"/>
  <c r="D130" i="19"/>
  <c r="H130" i="19" s="1"/>
  <c r="E130" i="19"/>
  <c r="D131" i="19"/>
  <c r="H131" i="19" s="1"/>
  <c r="E131" i="19"/>
  <c r="D132" i="19"/>
  <c r="H132" i="19" s="1"/>
  <c r="E132" i="19"/>
  <c r="D133" i="19"/>
  <c r="H133" i="19" s="1"/>
  <c r="E133" i="19"/>
  <c r="D134" i="19"/>
  <c r="H134" i="19" s="1"/>
  <c r="E134" i="19"/>
  <c r="D135" i="19"/>
  <c r="H135" i="19" s="1"/>
  <c r="E135" i="19"/>
  <c r="D136" i="19"/>
  <c r="H136" i="19" s="1"/>
  <c r="E136" i="19"/>
  <c r="D137" i="19"/>
  <c r="H137" i="19" s="1"/>
  <c r="E137" i="19"/>
  <c r="D138" i="19"/>
  <c r="H138" i="19" s="1"/>
  <c r="E138" i="19"/>
  <c r="D139" i="19"/>
  <c r="H139" i="19" s="1"/>
  <c r="E139" i="19"/>
  <c r="D140" i="19"/>
  <c r="H140" i="19" s="1"/>
  <c r="E140" i="19"/>
  <c r="D141" i="19"/>
  <c r="H141" i="19" s="1"/>
  <c r="E141" i="19"/>
  <c r="D142" i="19"/>
  <c r="H142" i="19" s="1"/>
  <c r="E142" i="19"/>
  <c r="D143" i="19"/>
  <c r="H143" i="19" s="1"/>
  <c r="E143" i="19"/>
  <c r="D144" i="19"/>
  <c r="H144" i="19" s="1"/>
  <c r="E144" i="19"/>
  <c r="D145" i="19"/>
  <c r="H145" i="19" s="1"/>
  <c r="E145" i="19"/>
  <c r="D146" i="19"/>
  <c r="H146" i="19" s="1"/>
  <c r="E146" i="19"/>
  <c r="D147" i="19"/>
  <c r="H147" i="19" s="1"/>
  <c r="E147" i="19"/>
  <c r="D148" i="19"/>
  <c r="H148" i="19" s="1"/>
  <c r="E148" i="19"/>
  <c r="D149" i="19"/>
  <c r="H149" i="19" s="1"/>
  <c r="E149" i="19"/>
  <c r="D150" i="19"/>
  <c r="H150" i="19" s="1"/>
  <c r="E150" i="19"/>
  <c r="D151" i="19"/>
  <c r="H151" i="19" s="1"/>
  <c r="E151" i="19"/>
  <c r="D152" i="19"/>
  <c r="H152" i="19" s="1"/>
  <c r="E152" i="19"/>
  <c r="D153" i="19"/>
  <c r="H153" i="19" s="1"/>
  <c r="E153" i="19"/>
  <c r="D154" i="19"/>
  <c r="H154" i="19" s="1"/>
  <c r="E154" i="19"/>
  <c r="D155" i="19"/>
  <c r="H155" i="19" s="1"/>
  <c r="E155" i="19"/>
  <c r="D156" i="19"/>
  <c r="H156" i="19" s="1"/>
  <c r="E156" i="19"/>
  <c r="D157" i="19"/>
  <c r="H157" i="19" s="1"/>
  <c r="E157" i="19"/>
  <c r="D158" i="19"/>
  <c r="H158" i="19" s="1"/>
  <c r="E158" i="19"/>
  <c r="D159" i="19"/>
  <c r="H159" i="19" s="1"/>
  <c r="E159" i="19"/>
  <c r="D160" i="19"/>
  <c r="H160" i="19" s="1"/>
  <c r="E160" i="19"/>
  <c r="D161" i="19"/>
  <c r="H161" i="19" s="1"/>
  <c r="E161" i="19"/>
  <c r="D162" i="19"/>
  <c r="H162" i="19" s="1"/>
  <c r="E162" i="19"/>
  <c r="D163" i="19"/>
  <c r="H163" i="19" s="1"/>
  <c r="E163" i="19"/>
  <c r="D164" i="19"/>
  <c r="H164" i="19" s="1"/>
  <c r="E164" i="19"/>
  <c r="D165" i="19"/>
  <c r="H165" i="19" s="1"/>
  <c r="E165" i="19"/>
  <c r="D166" i="19"/>
  <c r="H166" i="19" s="1"/>
  <c r="E166" i="19"/>
  <c r="D167" i="19"/>
  <c r="H167" i="19" s="1"/>
  <c r="E167" i="19"/>
  <c r="D168" i="19"/>
  <c r="H168" i="19" s="1"/>
  <c r="E168" i="19"/>
  <c r="D169" i="19"/>
  <c r="H169" i="19" s="1"/>
  <c r="E169" i="19"/>
  <c r="D170" i="19"/>
  <c r="H170" i="19" s="1"/>
  <c r="E170" i="19"/>
  <c r="D171" i="19"/>
  <c r="H171" i="19" s="1"/>
  <c r="E171" i="19"/>
  <c r="D172" i="19"/>
  <c r="H172" i="19" s="1"/>
  <c r="E172" i="19"/>
  <c r="D173" i="19"/>
  <c r="H173" i="19" s="1"/>
  <c r="E173" i="19"/>
  <c r="D174" i="19"/>
  <c r="H174" i="19" s="1"/>
  <c r="E174" i="19"/>
  <c r="D175" i="19"/>
  <c r="H175" i="19" s="1"/>
  <c r="E175" i="19"/>
  <c r="D176" i="19"/>
  <c r="H176" i="19" s="1"/>
  <c r="E176" i="19"/>
  <c r="D177" i="19"/>
  <c r="H177" i="19" s="1"/>
  <c r="E177" i="19"/>
  <c r="D178" i="19"/>
  <c r="H178" i="19" s="1"/>
  <c r="E178" i="19"/>
  <c r="D179" i="19"/>
  <c r="H179" i="19" s="1"/>
  <c r="E179" i="19"/>
  <c r="D180" i="19"/>
  <c r="H180" i="19" s="1"/>
  <c r="E180" i="19"/>
  <c r="D181" i="19"/>
  <c r="H181" i="19" s="1"/>
  <c r="E181" i="19"/>
  <c r="D182" i="19"/>
  <c r="H182" i="19" s="1"/>
  <c r="E182" i="19"/>
  <c r="D183" i="19"/>
  <c r="H183" i="19" s="1"/>
  <c r="E183" i="19"/>
  <c r="D184" i="19"/>
  <c r="H184" i="19" s="1"/>
  <c r="E184" i="19"/>
  <c r="D185" i="19"/>
  <c r="H185" i="19" s="1"/>
  <c r="E185" i="19"/>
  <c r="D186" i="19"/>
  <c r="H186" i="19" s="1"/>
  <c r="E186" i="19"/>
  <c r="D187" i="19"/>
  <c r="H187" i="19" s="1"/>
  <c r="E187" i="19"/>
  <c r="D188" i="19"/>
  <c r="H188" i="19" s="1"/>
  <c r="E188" i="19"/>
  <c r="D189" i="19"/>
  <c r="H189" i="19" s="1"/>
  <c r="E189" i="19"/>
  <c r="D190" i="19"/>
  <c r="H190" i="19" s="1"/>
  <c r="E190" i="19"/>
  <c r="D191" i="19"/>
  <c r="H191" i="19" s="1"/>
  <c r="E191" i="19"/>
  <c r="D192" i="19"/>
  <c r="H192" i="19" s="1"/>
  <c r="E192" i="19"/>
  <c r="D193" i="19"/>
  <c r="H193" i="19" s="1"/>
  <c r="E193" i="19"/>
  <c r="D194" i="19"/>
  <c r="H194" i="19" s="1"/>
  <c r="E194" i="19"/>
  <c r="D195" i="19"/>
  <c r="H195" i="19" s="1"/>
  <c r="E195" i="19"/>
  <c r="D196" i="19"/>
  <c r="H196" i="19" s="1"/>
  <c r="E196" i="19"/>
  <c r="D197" i="19"/>
  <c r="H197" i="19" s="1"/>
  <c r="E197" i="19"/>
  <c r="D198" i="19"/>
  <c r="H198" i="19" s="1"/>
  <c r="E198" i="19"/>
  <c r="D199" i="19"/>
  <c r="H199" i="19" s="1"/>
  <c r="E199" i="19"/>
  <c r="D200" i="19"/>
  <c r="H200" i="19" s="1"/>
  <c r="E200" i="19"/>
  <c r="D201" i="19"/>
  <c r="H201" i="19" s="1"/>
  <c r="E201" i="19"/>
  <c r="D202" i="19"/>
  <c r="H202" i="19" s="1"/>
  <c r="E202" i="19"/>
  <c r="D203" i="19"/>
  <c r="H203" i="19" s="1"/>
  <c r="E203" i="19"/>
  <c r="D204" i="19"/>
  <c r="H204" i="19" s="1"/>
  <c r="E204" i="19"/>
  <c r="D205" i="19"/>
  <c r="H205" i="19" s="1"/>
  <c r="E205" i="19"/>
  <c r="D206" i="19"/>
  <c r="H206" i="19" s="1"/>
  <c r="E206" i="19"/>
  <c r="D207" i="19"/>
  <c r="H207" i="19" s="1"/>
  <c r="E207" i="19"/>
  <c r="D208" i="19"/>
  <c r="H208" i="19" s="1"/>
  <c r="E208" i="19"/>
  <c r="D209" i="19"/>
  <c r="H209" i="19" s="1"/>
  <c r="E209" i="19"/>
  <c r="D210" i="19"/>
  <c r="H210" i="19" s="1"/>
  <c r="E210" i="19"/>
  <c r="D211" i="19"/>
  <c r="H211" i="19" s="1"/>
  <c r="E211" i="19"/>
  <c r="D212" i="19"/>
  <c r="H212" i="19" s="1"/>
  <c r="E212" i="19"/>
  <c r="D213" i="19"/>
  <c r="H213" i="19" s="1"/>
  <c r="E213" i="19"/>
  <c r="D214" i="19"/>
  <c r="H214" i="19" s="1"/>
  <c r="E214" i="19"/>
  <c r="D215" i="19"/>
  <c r="H215" i="19" s="1"/>
  <c r="E215" i="19"/>
  <c r="D216" i="19"/>
  <c r="H216" i="19" s="1"/>
  <c r="E216" i="19"/>
  <c r="D217" i="19"/>
  <c r="H217" i="19" s="1"/>
  <c r="E217" i="19"/>
  <c r="D218" i="19"/>
  <c r="H218" i="19" s="1"/>
  <c r="E218" i="19"/>
  <c r="D219" i="19"/>
  <c r="H219" i="19" s="1"/>
  <c r="E219" i="19"/>
  <c r="D220" i="19"/>
  <c r="H220" i="19" s="1"/>
  <c r="E220" i="19"/>
  <c r="D221" i="19"/>
  <c r="H221" i="19" s="1"/>
  <c r="E221" i="19"/>
  <c r="D222" i="19"/>
  <c r="H222" i="19" s="1"/>
  <c r="E222" i="19"/>
  <c r="D223" i="19"/>
  <c r="H223" i="19" s="1"/>
  <c r="E223" i="19"/>
  <c r="D224" i="19"/>
  <c r="H224" i="19" s="1"/>
  <c r="E224" i="19"/>
  <c r="D225" i="19"/>
  <c r="H225" i="19" s="1"/>
  <c r="E225" i="19"/>
  <c r="D226" i="19"/>
  <c r="H226" i="19" s="1"/>
  <c r="E226" i="19"/>
  <c r="D227" i="19"/>
  <c r="H227" i="19" s="1"/>
  <c r="E227" i="19"/>
  <c r="D228" i="19"/>
  <c r="H228" i="19" s="1"/>
  <c r="E228" i="19"/>
  <c r="D229" i="19"/>
  <c r="H229" i="19" s="1"/>
  <c r="E229" i="19"/>
  <c r="D230" i="19"/>
  <c r="H230" i="19" s="1"/>
  <c r="E230" i="19"/>
  <c r="D231" i="19"/>
  <c r="H231" i="19" s="1"/>
  <c r="E231" i="19"/>
  <c r="D232" i="19"/>
  <c r="H232" i="19" s="1"/>
  <c r="E232" i="19"/>
  <c r="D233" i="19"/>
  <c r="H233" i="19" s="1"/>
  <c r="E233" i="19"/>
  <c r="D234" i="19"/>
  <c r="H234" i="19" s="1"/>
  <c r="E234" i="19"/>
  <c r="D235" i="19"/>
  <c r="H235" i="19" s="1"/>
  <c r="E235" i="19"/>
  <c r="D236" i="19"/>
  <c r="H236" i="19" s="1"/>
  <c r="E236" i="19"/>
  <c r="D237" i="19"/>
  <c r="H237" i="19" s="1"/>
  <c r="E237" i="19"/>
  <c r="D238" i="19"/>
  <c r="H238" i="19" s="1"/>
  <c r="E238" i="19"/>
  <c r="D239" i="19"/>
  <c r="H239" i="19" s="1"/>
  <c r="E239" i="19"/>
  <c r="D240" i="19"/>
  <c r="H240" i="19" s="1"/>
  <c r="E240" i="19"/>
  <c r="D241" i="19"/>
  <c r="H241" i="19" s="1"/>
  <c r="E241" i="19"/>
  <c r="D242" i="19"/>
  <c r="H242" i="19" s="1"/>
  <c r="E242" i="19"/>
  <c r="D243" i="19"/>
  <c r="H243" i="19" s="1"/>
  <c r="E243" i="19"/>
  <c r="D244" i="19"/>
  <c r="H244" i="19" s="1"/>
  <c r="E244" i="19"/>
  <c r="D245" i="19"/>
  <c r="H245" i="19" s="1"/>
  <c r="E245" i="19"/>
  <c r="D246" i="19"/>
  <c r="H246" i="19" s="1"/>
  <c r="E246" i="19"/>
  <c r="D247" i="19"/>
  <c r="H247" i="19" s="1"/>
  <c r="E247" i="19"/>
  <c r="D248" i="19"/>
  <c r="H248" i="19" s="1"/>
  <c r="E248" i="19"/>
  <c r="D249" i="19"/>
  <c r="H249" i="19" s="1"/>
  <c r="E249" i="19"/>
  <c r="D250" i="19"/>
  <c r="H250" i="19" s="1"/>
  <c r="E250" i="19"/>
  <c r="D251" i="19"/>
  <c r="H251" i="19" s="1"/>
  <c r="E251" i="19"/>
  <c r="D252" i="19"/>
  <c r="H252" i="19" s="1"/>
  <c r="E252" i="19"/>
  <c r="D253" i="19"/>
  <c r="H253" i="19" s="1"/>
  <c r="E253" i="19"/>
  <c r="D254" i="19"/>
  <c r="H254" i="19" s="1"/>
  <c r="E254" i="19"/>
  <c r="D255" i="19"/>
  <c r="H255" i="19" s="1"/>
  <c r="E255" i="19"/>
  <c r="D256" i="19"/>
  <c r="H256" i="19" s="1"/>
  <c r="E256" i="19"/>
  <c r="D257" i="19"/>
  <c r="H257" i="19" s="1"/>
  <c r="E257" i="19"/>
  <c r="E2" i="19"/>
  <c r="D2" i="19"/>
  <c r="H2" i="19" s="1"/>
  <c r="D3" i="18"/>
  <c r="H3" i="18" s="1"/>
  <c r="E3" i="18"/>
  <c r="D4" i="18"/>
  <c r="H4" i="18" s="1"/>
  <c r="E4" i="18"/>
  <c r="D5" i="18"/>
  <c r="H5" i="18" s="1"/>
  <c r="E5" i="18"/>
  <c r="D6" i="18"/>
  <c r="H6" i="18" s="1"/>
  <c r="E6" i="18"/>
  <c r="D7" i="18"/>
  <c r="H7" i="18" s="1"/>
  <c r="E7" i="18"/>
  <c r="D8" i="18"/>
  <c r="H8" i="18" s="1"/>
  <c r="E8" i="18"/>
  <c r="D9" i="18"/>
  <c r="H9" i="18" s="1"/>
  <c r="E9" i="18"/>
  <c r="D10" i="18"/>
  <c r="H10" i="18" s="1"/>
  <c r="E10" i="18"/>
  <c r="D11" i="18"/>
  <c r="H11" i="18" s="1"/>
  <c r="E11" i="18"/>
  <c r="D12" i="18"/>
  <c r="H12" i="18" s="1"/>
  <c r="E12" i="18"/>
  <c r="D13" i="18"/>
  <c r="H13" i="18" s="1"/>
  <c r="E13" i="18"/>
  <c r="D14" i="18"/>
  <c r="H14" i="18" s="1"/>
  <c r="E14" i="18"/>
  <c r="D15" i="18"/>
  <c r="H15" i="18" s="1"/>
  <c r="E15" i="18"/>
  <c r="D16" i="18"/>
  <c r="H16" i="18" s="1"/>
  <c r="E16" i="18"/>
  <c r="D17" i="18"/>
  <c r="H17" i="18" s="1"/>
  <c r="E17" i="18"/>
  <c r="D18" i="18"/>
  <c r="H18" i="18" s="1"/>
  <c r="E18" i="18"/>
  <c r="D19" i="18"/>
  <c r="H19" i="18" s="1"/>
  <c r="E19" i="18"/>
  <c r="D20" i="18"/>
  <c r="H20" i="18" s="1"/>
  <c r="E20" i="18"/>
  <c r="D21" i="18"/>
  <c r="H21" i="18" s="1"/>
  <c r="E21" i="18"/>
  <c r="D22" i="18"/>
  <c r="H22" i="18" s="1"/>
  <c r="E22" i="18"/>
  <c r="D23" i="18"/>
  <c r="H23" i="18" s="1"/>
  <c r="E23" i="18"/>
  <c r="D24" i="18"/>
  <c r="H24" i="18" s="1"/>
  <c r="E24" i="18"/>
  <c r="D25" i="18"/>
  <c r="H25" i="18" s="1"/>
  <c r="E25" i="18"/>
  <c r="D26" i="18"/>
  <c r="H26" i="18" s="1"/>
  <c r="E26" i="18"/>
  <c r="D27" i="18"/>
  <c r="H27" i="18" s="1"/>
  <c r="E27" i="18"/>
  <c r="D28" i="18"/>
  <c r="H28" i="18" s="1"/>
  <c r="E28" i="18"/>
  <c r="D29" i="18"/>
  <c r="H29" i="18" s="1"/>
  <c r="E29" i="18"/>
  <c r="D30" i="18"/>
  <c r="H30" i="18" s="1"/>
  <c r="E30" i="18"/>
  <c r="D31" i="18"/>
  <c r="H31" i="18" s="1"/>
  <c r="E31" i="18"/>
  <c r="D32" i="18"/>
  <c r="H32" i="18" s="1"/>
  <c r="E32" i="18"/>
  <c r="D33" i="18"/>
  <c r="H33" i="18" s="1"/>
  <c r="E33" i="18"/>
  <c r="D34" i="18"/>
  <c r="H34" i="18" s="1"/>
  <c r="E34" i="18"/>
  <c r="D35" i="18"/>
  <c r="H35" i="18" s="1"/>
  <c r="E35" i="18"/>
  <c r="D36" i="18"/>
  <c r="H36" i="18" s="1"/>
  <c r="E36" i="18"/>
  <c r="D37" i="18"/>
  <c r="H37" i="18" s="1"/>
  <c r="E37" i="18"/>
  <c r="D38" i="18"/>
  <c r="H38" i="18" s="1"/>
  <c r="E38" i="18"/>
  <c r="D39" i="18"/>
  <c r="H39" i="18" s="1"/>
  <c r="E39" i="18"/>
  <c r="D40" i="18"/>
  <c r="H40" i="18" s="1"/>
  <c r="E40" i="18"/>
  <c r="D41" i="18"/>
  <c r="H41" i="18" s="1"/>
  <c r="E41" i="18"/>
  <c r="D42" i="18"/>
  <c r="H42" i="18" s="1"/>
  <c r="E42" i="18"/>
  <c r="D43" i="18"/>
  <c r="H43" i="18" s="1"/>
  <c r="E43" i="18"/>
  <c r="D44" i="18"/>
  <c r="H44" i="18" s="1"/>
  <c r="E44" i="18"/>
  <c r="D45" i="18"/>
  <c r="H45" i="18" s="1"/>
  <c r="E45" i="18"/>
  <c r="D46" i="18"/>
  <c r="H46" i="18" s="1"/>
  <c r="E46" i="18"/>
  <c r="D47" i="18"/>
  <c r="H47" i="18" s="1"/>
  <c r="E47" i="18"/>
  <c r="D48" i="18"/>
  <c r="H48" i="18" s="1"/>
  <c r="E48" i="18"/>
  <c r="D49" i="18"/>
  <c r="H49" i="18" s="1"/>
  <c r="E49" i="18"/>
  <c r="D50" i="18"/>
  <c r="H50" i="18" s="1"/>
  <c r="E50" i="18"/>
  <c r="D51" i="18"/>
  <c r="H51" i="18" s="1"/>
  <c r="E51" i="18"/>
  <c r="D52" i="18"/>
  <c r="H52" i="18" s="1"/>
  <c r="E52" i="18"/>
  <c r="D53" i="18"/>
  <c r="H53" i="18" s="1"/>
  <c r="E53" i="18"/>
  <c r="D54" i="18"/>
  <c r="H54" i="18" s="1"/>
  <c r="E54" i="18"/>
  <c r="D55" i="18"/>
  <c r="H55" i="18" s="1"/>
  <c r="E55" i="18"/>
  <c r="D56" i="18"/>
  <c r="H56" i="18" s="1"/>
  <c r="E56" i="18"/>
  <c r="D57" i="18"/>
  <c r="H57" i="18" s="1"/>
  <c r="E57" i="18"/>
  <c r="D58" i="18"/>
  <c r="H58" i="18" s="1"/>
  <c r="E58" i="18"/>
  <c r="D59" i="18"/>
  <c r="H59" i="18" s="1"/>
  <c r="E59" i="18"/>
  <c r="D60" i="18"/>
  <c r="H60" i="18" s="1"/>
  <c r="E60" i="18"/>
  <c r="D61" i="18"/>
  <c r="H61" i="18" s="1"/>
  <c r="E61" i="18"/>
  <c r="D62" i="18"/>
  <c r="H62" i="18" s="1"/>
  <c r="E62" i="18"/>
  <c r="D63" i="18"/>
  <c r="H63" i="18" s="1"/>
  <c r="E63" i="18"/>
  <c r="D64" i="18"/>
  <c r="H64" i="18" s="1"/>
  <c r="E64" i="18"/>
  <c r="D65" i="18"/>
  <c r="H65" i="18" s="1"/>
  <c r="E65" i="18"/>
  <c r="D66" i="18"/>
  <c r="H66" i="18" s="1"/>
  <c r="E66" i="18"/>
  <c r="D67" i="18"/>
  <c r="H67" i="18" s="1"/>
  <c r="E67" i="18"/>
  <c r="D68" i="18"/>
  <c r="H68" i="18" s="1"/>
  <c r="E68" i="18"/>
  <c r="D69" i="18"/>
  <c r="H69" i="18" s="1"/>
  <c r="E69" i="18"/>
  <c r="D70" i="18"/>
  <c r="H70" i="18" s="1"/>
  <c r="E70" i="18"/>
  <c r="D71" i="18"/>
  <c r="H71" i="18" s="1"/>
  <c r="E71" i="18"/>
  <c r="D72" i="18"/>
  <c r="H72" i="18" s="1"/>
  <c r="E72" i="18"/>
  <c r="D73" i="18"/>
  <c r="H73" i="18" s="1"/>
  <c r="E73" i="18"/>
  <c r="D74" i="18"/>
  <c r="H74" i="18" s="1"/>
  <c r="E74" i="18"/>
  <c r="D75" i="18"/>
  <c r="H75" i="18" s="1"/>
  <c r="E75" i="18"/>
  <c r="D76" i="18"/>
  <c r="H76" i="18" s="1"/>
  <c r="E76" i="18"/>
  <c r="D77" i="18"/>
  <c r="H77" i="18" s="1"/>
  <c r="E77" i="18"/>
  <c r="D78" i="18"/>
  <c r="H78" i="18" s="1"/>
  <c r="E78" i="18"/>
  <c r="D79" i="18"/>
  <c r="H79" i="18" s="1"/>
  <c r="E79" i="18"/>
  <c r="D80" i="18"/>
  <c r="H80" i="18" s="1"/>
  <c r="E80" i="18"/>
  <c r="D81" i="18"/>
  <c r="H81" i="18" s="1"/>
  <c r="E81" i="18"/>
  <c r="D82" i="18"/>
  <c r="H82" i="18" s="1"/>
  <c r="E82" i="18"/>
  <c r="D83" i="18"/>
  <c r="H83" i="18" s="1"/>
  <c r="E83" i="18"/>
  <c r="D84" i="18"/>
  <c r="H84" i="18" s="1"/>
  <c r="E84" i="18"/>
  <c r="D85" i="18"/>
  <c r="H85" i="18" s="1"/>
  <c r="E85" i="18"/>
  <c r="D86" i="18"/>
  <c r="H86" i="18" s="1"/>
  <c r="E86" i="18"/>
  <c r="D87" i="18"/>
  <c r="H87" i="18" s="1"/>
  <c r="E87" i="18"/>
  <c r="D88" i="18"/>
  <c r="H88" i="18" s="1"/>
  <c r="E88" i="18"/>
  <c r="D89" i="18"/>
  <c r="H89" i="18" s="1"/>
  <c r="E89" i="18"/>
  <c r="D90" i="18"/>
  <c r="H90" i="18" s="1"/>
  <c r="E90" i="18"/>
  <c r="D91" i="18"/>
  <c r="H91" i="18" s="1"/>
  <c r="E91" i="18"/>
  <c r="D92" i="18"/>
  <c r="H92" i="18" s="1"/>
  <c r="E92" i="18"/>
  <c r="D93" i="18"/>
  <c r="H93" i="18" s="1"/>
  <c r="E93" i="18"/>
  <c r="D94" i="18"/>
  <c r="H94" i="18" s="1"/>
  <c r="E94" i="18"/>
  <c r="D95" i="18"/>
  <c r="H95" i="18" s="1"/>
  <c r="E95" i="18"/>
  <c r="D96" i="18"/>
  <c r="H96" i="18" s="1"/>
  <c r="E96" i="18"/>
  <c r="D97" i="18"/>
  <c r="H97" i="18" s="1"/>
  <c r="E97" i="18"/>
  <c r="D98" i="18"/>
  <c r="H98" i="18" s="1"/>
  <c r="E98" i="18"/>
  <c r="D99" i="18"/>
  <c r="H99" i="18" s="1"/>
  <c r="E99" i="18"/>
  <c r="D100" i="18"/>
  <c r="H100" i="18" s="1"/>
  <c r="E100" i="18"/>
  <c r="D101" i="18"/>
  <c r="H101" i="18" s="1"/>
  <c r="E101" i="18"/>
  <c r="D102" i="18"/>
  <c r="H102" i="18" s="1"/>
  <c r="E102" i="18"/>
  <c r="D103" i="18"/>
  <c r="H103" i="18" s="1"/>
  <c r="E103" i="18"/>
  <c r="D104" i="18"/>
  <c r="H104" i="18" s="1"/>
  <c r="E104" i="18"/>
  <c r="D105" i="18"/>
  <c r="H105" i="18" s="1"/>
  <c r="E105" i="18"/>
  <c r="D106" i="18"/>
  <c r="H106" i="18" s="1"/>
  <c r="E106" i="18"/>
  <c r="D107" i="18"/>
  <c r="H107" i="18" s="1"/>
  <c r="E107" i="18"/>
  <c r="D108" i="18"/>
  <c r="H108" i="18" s="1"/>
  <c r="E108" i="18"/>
  <c r="D109" i="18"/>
  <c r="H109" i="18" s="1"/>
  <c r="E109" i="18"/>
  <c r="D110" i="18"/>
  <c r="H110" i="18" s="1"/>
  <c r="E110" i="18"/>
  <c r="D111" i="18"/>
  <c r="H111" i="18" s="1"/>
  <c r="E111" i="18"/>
  <c r="D112" i="18"/>
  <c r="H112" i="18" s="1"/>
  <c r="E112" i="18"/>
  <c r="D113" i="18"/>
  <c r="H113" i="18" s="1"/>
  <c r="E113" i="18"/>
  <c r="D114" i="18"/>
  <c r="H114" i="18" s="1"/>
  <c r="E114" i="18"/>
  <c r="D115" i="18"/>
  <c r="H115" i="18" s="1"/>
  <c r="E115" i="18"/>
  <c r="D116" i="18"/>
  <c r="H116" i="18" s="1"/>
  <c r="E116" i="18"/>
  <c r="D117" i="18"/>
  <c r="H117" i="18" s="1"/>
  <c r="E117" i="18"/>
  <c r="D118" i="18"/>
  <c r="H118" i="18" s="1"/>
  <c r="E118" i="18"/>
  <c r="D119" i="18"/>
  <c r="H119" i="18" s="1"/>
  <c r="E119" i="18"/>
  <c r="D120" i="18"/>
  <c r="H120" i="18" s="1"/>
  <c r="E120" i="18"/>
  <c r="D121" i="18"/>
  <c r="H121" i="18" s="1"/>
  <c r="E121" i="18"/>
  <c r="D122" i="18"/>
  <c r="H122" i="18" s="1"/>
  <c r="E122" i="18"/>
  <c r="D123" i="18"/>
  <c r="H123" i="18" s="1"/>
  <c r="E123" i="18"/>
  <c r="D124" i="18"/>
  <c r="H124" i="18" s="1"/>
  <c r="E124" i="18"/>
  <c r="D125" i="18"/>
  <c r="H125" i="18" s="1"/>
  <c r="E125" i="18"/>
  <c r="D126" i="18"/>
  <c r="H126" i="18" s="1"/>
  <c r="E126" i="18"/>
  <c r="D127" i="18"/>
  <c r="H127" i="18" s="1"/>
  <c r="E127" i="18"/>
  <c r="D128" i="18"/>
  <c r="H128" i="18" s="1"/>
  <c r="E128" i="18"/>
  <c r="D129" i="18"/>
  <c r="H129" i="18" s="1"/>
  <c r="E129" i="18"/>
  <c r="D130" i="18"/>
  <c r="H130" i="18" s="1"/>
  <c r="E130" i="18"/>
  <c r="D131" i="18"/>
  <c r="H131" i="18" s="1"/>
  <c r="E131" i="18"/>
  <c r="D132" i="18"/>
  <c r="H132" i="18" s="1"/>
  <c r="E132" i="18"/>
  <c r="D133" i="18"/>
  <c r="H133" i="18" s="1"/>
  <c r="E133" i="18"/>
  <c r="D134" i="18"/>
  <c r="H134" i="18" s="1"/>
  <c r="E134" i="18"/>
  <c r="D135" i="18"/>
  <c r="H135" i="18" s="1"/>
  <c r="E135" i="18"/>
  <c r="D136" i="18"/>
  <c r="H136" i="18" s="1"/>
  <c r="E136" i="18"/>
  <c r="D137" i="18"/>
  <c r="H137" i="18" s="1"/>
  <c r="E137" i="18"/>
  <c r="D138" i="18"/>
  <c r="H138" i="18" s="1"/>
  <c r="E138" i="18"/>
  <c r="D139" i="18"/>
  <c r="H139" i="18" s="1"/>
  <c r="E139" i="18"/>
  <c r="D140" i="18"/>
  <c r="H140" i="18" s="1"/>
  <c r="E140" i="18"/>
  <c r="D141" i="18"/>
  <c r="H141" i="18" s="1"/>
  <c r="E141" i="18"/>
  <c r="D142" i="18"/>
  <c r="H142" i="18" s="1"/>
  <c r="E142" i="18"/>
  <c r="D143" i="18"/>
  <c r="H143" i="18" s="1"/>
  <c r="E143" i="18"/>
  <c r="D144" i="18"/>
  <c r="H144" i="18" s="1"/>
  <c r="E144" i="18"/>
  <c r="D145" i="18"/>
  <c r="H145" i="18" s="1"/>
  <c r="E145" i="18"/>
  <c r="D146" i="18"/>
  <c r="H146" i="18" s="1"/>
  <c r="E146" i="18"/>
  <c r="D147" i="18"/>
  <c r="H147" i="18" s="1"/>
  <c r="E147" i="18"/>
  <c r="D148" i="18"/>
  <c r="H148" i="18" s="1"/>
  <c r="E148" i="18"/>
  <c r="D149" i="18"/>
  <c r="H149" i="18" s="1"/>
  <c r="E149" i="18"/>
  <c r="D150" i="18"/>
  <c r="H150" i="18" s="1"/>
  <c r="E150" i="18"/>
  <c r="D151" i="18"/>
  <c r="H151" i="18" s="1"/>
  <c r="E151" i="18"/>
  <c r="D152" i="18"/>
  <c r="H152" i="18" s="1"/>
  <c r="E152" i="18"/>
  <c r="D153" i="18"/>
  <c r="H153" i="18" s="1"/>
  <c r="E153" i="18"/>
  <c r="D154" i="18"/>
  <c r="H154" i="18" s="1"/>
  <c r="E154" i="18"/>
  <c r="D155" i="18"/>
  <c r="H155" i="18" s="1"/>
  <c r="E155" i="18"/>
  <c r="D156" i="18"/>
  <c r="H156" i="18" s="1"/>
  <c r="E156" i="18"/>
  <c r="D157" i="18"/>
  <c r="H157" i="18" s="1"/>
  <c r="E157" i="18"/>
  <c r="D158" i="18"/>
  <c r="H158" i="18" s="1"/>
  <c r="E158" i="18"/>
  <c r="D159" i="18"/>
  <c r="H159" i="18" s="1"/>
  <c r="E159" i="18"/>
  <c r="D160" i="18"/>
  <c r="H160" i="18" s="1"/>
  <c r="E160" i="18"/>
  <c r="D161" i="18"/>
  <c r="H161" i="18" s="1"/>
  <c r="E161" i="18"/>
  <c r="D162" i="18"/>
  <c r="H162" i="18" s="1"/>
  <c r="E162" i="18"/>
  <c r="D163" i="18"/>
  <c r="H163" i="18" s="1"/>
  <c r="E163" i="18"/>
  <c r="D164" i="18"/>
  <c r="H164" i="18" s="1"/>
  <c r="E164" i="18"/>
  <c r="D165" i="18"/>
  <c r="H165" i="18" s="1"/>
  <c r="E165" i="18"/>
  <c r="D166" i="18"/>
  <c r="H166" i="18" s="1"/>
  <c r="E166" i="18"/>
  <c r="D167" i="18"/>
  <c r="H167" i="18" s="1"/>
  <c r="E167" i="18"/>
  <c r="D168" i="18"/>
  <c r="H168" i="18" s="1"/>
  <c r="E168" i="18"/>
  <c r="D169" i="18"/>
  <c r="H169" i="18" s="1"/>
  <c r="E169" i="18"/>
  <c r="D170" i="18"/>
  <c r="H170" i="18" s="1"/>
  <c r="E170" i="18"/>
  <c r="D171" i="18"/>
  <c r="H171" i="18" s="1"/>
  <c r="E171" i="18"/>
  <c r="D172" i="18"/>
  <c r="H172" i="18" s="1"/>
  <c r="E172" i="18"/>
  <c r="D173" i="18"/>
  <c r="H173" i="18" s="1"/>
  <c r="E173" i="18"/>
  <c r="D174" i="18"/>
  <c r="H174" i="18" s="1"/>
  <c r="E174" i="18"/>
  <c r="D175" i="18"/>
  <c r="H175" i="18" s="1"/>
  <c r="E175" i="18"/>
  <c r="D176" i="18"/>
  <c r="H176" i="18" s="1"/>
  <c r="E176" i="18"/>
  <c r="D177" i="18"/>
  <c r="H177" i="18" s="1"/>
  <c r="E177" i="18"/>
  <c r="D178" i="18"/>
  <c r="H178" i="18" s="1"/>
  <c r="E178" i="18"/>
  <c r="D179" i="18"/>
  <c r="H179" i="18" s="1"/>
  <c r="E179" i="18"/>
  <c r="D180" i="18"/>
  <c r="H180" i="18" s="1"/>
  <c r="E180" i="18"/>
  <c r="D181" i="18"/>
  <c r="H181" i="18" s="1"/>
  <c r="E181" i="18"/>
  <c r="D182" i="18"/>
  <c r="H182" i="18" s="1"/>
  <c r="E182" i="18"/>
  <c r="D183" i="18"/>
  <c r="H183" i="18" s="1"/>
  <c r="E183" i="18"/>
  <c r="D184" i="18"/>
  <c r="H184" i="18" s="1"/>
  <c r="E184" i="18"/>
  <c r="D185" i="18"/>
  <c r="H185" i="18" s="1"/>
  <c r="E185" i="18"/>
  <c r="D186" i="18"/>
  <c r="H186" i="18" s="1"/>
  <c r="E186" i="18"/>
  <c r="D187" i="18"/>
  <c r="H187" i="18" s="1"/>
  <c r="E187" i="18"/>
  <c r="D188" i="18"/>
  <c r="H188" i="18" s="1"/>
  <c r="E188" i="18"/>
  <c r="D189" i="18"/>
  <c r="H189" i="18" s="1"/>
  <c r="E189" i="18"/>
  <c r="D190" i="18"/>
  <c r="H190" i="18" s="1"/>
  <c r="E190" i="18"/>
  <c r="D191" i="18"/>
  <c r="H191" i="18" s="1"/>
  <c r="E191" i="18"/>
  <c r="D192" i="18"/>
  <c r="H192" i="18" s="1"/>
  <c r="E192" i="18"/>
  <c r="D193" i="18"/>
  <c r="H193" i="18" s="1"/>
  <c r="E193" i="18"/>
  <c r="D194" i="18"/>
  <c r="H194" i="18" s="1"/>
  <c r="E194" i="18"/>
  <c r="D195" i="18"/>
  <c r="H195" i="18" s="1"/>
  <c r="E195" i="18"/>
  <c r="D196" i="18"/>
  <c r="H196" i="18" s="1"/>
  <c r="E196" i="18"/>
  <c r="D197" i="18"/>
  <c r="H197" i="18" s="1"/>
  <c r="E197" i="18"/>
  <c r="D198" i="18"/>
  <c r="H198" i="18" s="1"/>
  <c r="E198" i="18"/>
  <c r="D199" i="18"/>
  <c r="H199" i="18" s="1"/>
  <c r="E199" i="18"/>
  <c r="D200" i="18"/>
  <c r="H200" i="18" s="1"/>
  <c r="E200" i="18"/>
  <c r="D201" i="18"/>
  <c r="H201" i="18" s="1"/>
  <c r="E201" i="18"/>
  <c r="D202" i="18"/>
  <c r="H202" i="18" s="1"/>
  <c r="E202" i="18"/>
  <c r="D203" i="18"/>
  <c r="H203" i="18" s="1"/>
  <c r="E203" i="18"/>
  <c r="D204" i="18"/>
  <c r="H204" i="18" s="1"/>
  <c r="E204" i="18"/>
  <c r="D205" i="18"/>
  <c r="H205" i="18" s="1"/>
  <c r="E205" i="18"/>
  <c r="D206" i="18"/>
  <c r="H206" i="18" s="1"/>
  <c r="E206" i="18"/>
  <c r="D207" i="18"/>
  <c r="H207" i="18" s="1"/>
  <c r="E207" i="18"/>
  <c r="D208" i="18"/>
  <c r="H208" i="18" s="1"/>
  <c r="E208" i="18"/>
  <c r="D209" i="18"/>
  <c r="H209" i="18" s="1"/>
  <c r="E209" i="18"/>
  <c r="D210" i="18"/>
  <c r="H210" i="18" s="1"/>
  <c r="E210" i="18"/>
  <c r="D211" i="18"/>
  <c r="H211" i="18" s="1"/>
  <c r="E211" i="18"/>
  <c r="D212" i="18"/>
  <c r="H212" i="18" s="1"/>
  <c r="E212" i="18"/>
  <c r="D213" i="18"/>
  <c r="H213" i="18" s="1"/>
  <c r="E213" i="18"/>
  <c r="D214" i="18"/>
  <c r="H214" i="18" s="1"/>
  <c r="E214" i="18"/>
  <c r="D215" i="18"/>
  <c r="H215" i="18" s="1"/>
  <c r="E215" i="18"/>
  <c r="D216" i="18"/>
  <c r="H216" i="18" s="1"/>
  <c r="E216" i="18"/>
  <c r="D217" i="18"/>
  <c r="H217" i="18" s="1"/>
  <c r="E217" i="18"/>
  <c r="D218" i="18"/>
  <c r="H218" i="18" s="1"/>
  <c r="E218" i="18"/>
  <c r="D219" i="18"/>
  <c r="H219" i="18" s="1"/>
  <c r="E219" i="18"/>
  <c r="D220" i="18"/>
  <c r="H220" i="18" s="1"/>
  <c r="E220" i="18"/>
  <c r="D221" i="18"/>
  <c r="H221" i="18" s="1"/>
  <c r="E221" i="18"/>
  <c r="D222" i="18"/>
  <c r="H222" i="18" s="1"/>
  <c r="E222" i="18"/>
  <c r="D223" i="18"/>
  <c r="H223" i="18" s="1"/>
  <c r="E223" i="18"/>
  <c r="D224" i="18"/>
  <c r="H224" i="18" s="1"/>
  <c r="E224" i="18"/>
  <c r="D225" i="18"/>
  <c r="H225" i="18" s="1"/>
  <c r="E225" i="18"/>
  <c r="D226" i="18"/>
  <c r="H226" i="18" s="1"/>
  <c r="E226" i="18"/>
  <c r="D227" i="18"/>
  <c r="H227" i="18" s="1"/>
  <c r="E227" i="18"/>
  <c r="D228" i="18"/>
  <c r="H228" i="18" s="1"/>
  <c r="E228" i="18"/>
  <c r="D229" i="18"/>
  <c r="H229" i="18" s="1"/>
  <c r="E229" i="18"/>
  <c r="D230" i="18"/>
  <c r="H230" i="18" s="1"/>
  <c r="E230" i="18"/>
  <c r="D231" i="18"/>
  <c r="H231" i="18" s="1"/>
  <c r="E231" i="18"/>
  <c r="D232" i="18"/>
  <c r="H232" i="18" s="1"/>
  <c r="E232" i="18"/>
  <c r="D233" i="18"/>
  <c r="H233" i="18" s="1"/>
  <c r="E233" i="18"/>
  <c r="D234" i="18"/>
  <c r="H234" i="18" s="1"/>
  <c r="E234" i="18"/>
  <c r="D235" i="18"/>
  <c r="H235" i="18" s="1"/>
  <c r="E235" i="18"/>
  <c r="D236" i="18"/>
  <c r="H236" i="18" s="1"/>
  <c r="E236" i="18"/>
  <c r="D237" i="18"/>
  <c r="H237" i="18" s="1"/>
  <c r="E237" i="18"/>
  <c r="D238" i="18"/>
  <c r="H238" i="18" s="1"/>
  <c r="E238" i="18"/>
  <c r="D239" i="18"/>
  <c r="H239" i="18" s="1"/>
  <c r="E239" i="18"/>
  <c r="D240" i="18"/>
  <c r="H240" i="18" s="1"/>
  <c r="E240" i="18"/>
  <c r="D241" i="18"/>
  <c r="H241" i="18" s="1"/>
  <c r="E241" i="18"/>
  <c r="D242" i="18"/>
  <c r="H242" i="18" s="1"/>
  <c r="E242" i="18"/>
  <c r="D243" i="18"/>
  <c r="H243" i="18" s="1"/>
  <c r="E243" i="18"/>
  <c r="D244" i="18"/>
  <c r="H244" i="18" s="1"/>
  <c r="E244" i="18"/>
  <c r="D245" i="18"/>
  <c r="H245" i="18" s="1"/>
  <c r="E245" i="18"/>
  <c r="D246" i="18"/>
  <c r="H246" i="18" s="1"/>
  <c r="E246" i="18"/>
  <c r="D247" i="18"/>
  <c r="H247" i="18" s="1"/>
  <c r="E247" i="18"/>
  <c r="D248" i="18"/>
  <c r="H248" i="18" s="1"/>
  <c r="E248" i="18"/>
  <c r="D249" i="18"/>
  <c r="H249" i="18" s="1"/>
  <c r="E249" i="18"/>
  <c r="D250" i="18"/>
  <c r="H250" i="18" s="1"/>
  <c r="E250" i="18"/>
  <c r="D251" i="18"/>
  <c r="H251" i="18" s="1"/>
  <c r="E251" i="18"/>
  <c r="D252" i="18"/>
  <c r="H252" i="18" s="1"/>
  <c r="E252" i="18"/>
  <c r="D253" i="18"/>
  <c r="H253" i="18" s="1"/>
  <c r="E253" i="18"/>
  <c r="D254" i="18"/>
  <c r="H254" i="18" s="1"/>
  <c r="E254" i="18"/>
  <c r="D255" i="18"/>
  <c r="H255" i="18" s="1"/>
  <c r="E255" i="18"/>
  <c r="D256" i="18"/>
  <c r="H256" i="18" s="1"/>
  <c r="E256" i="18"/>
  <c r="D257" i="18"/>
  <c r="H257" i="18" s="1"/>
  <c r="E257" i="18"/>
  <c r="E2" i="18"/>
  <c r="E257" i="9"/>
  <c r="D257" i="9"/>
  <c r="H257" i="9" s="1"/>
  <c r="E256" i="9"/>
  <c r="D256" i="9"/>
  <c r="H256" i="9" s="1"/>
  <c r="E255" i="9"/>
  <c r="D255" i="9"/>
  <c r="H255" i="9" s="1"/>
  <c r="E254" i="9"/>
  <c r="D254" i="9"/>
  <c r="H254" i="9" s="1"/>
  <c r="E253" i="9"/>
  <c r="D253" i="9"/>
  <c r="H253" i="9" s="1"/>
  <c r="E252" i="9"/>
  <c r="D252" i="9"/>
  <c r="H252" i="9" s="1"/>
  <c r="E251" i="9"/>
  <c r="D251" i="9"/>
  <c r="H251" i="9" s="1"/>
  <c r="E250" i="9"/>
  <c r="D250" i="9"/>
  <c r="H250" i="9" s="1"/>
  <c r="E249" i="9"/>
  <c r="D249" i="9"/>
  <c r="H249" i="9" s="1"/>
  <c r="E248" i="9"/>
  <c r="D248" i="9"/>
  <c r="H248" i="9" s="1"/>
  <c r="E247" i="9"/>
  <c r="D247" i="9"/>
  <c r="H247" i="9" s="1"/>
  <c r="E246" i="9"/>
  <c r="D246" i="9"/>
  <c r="H246" i="9" s="1"/>
  <c r="E245" i="9"/>
  <c r="D245" i="9"/>
  <c r="H245" i="9" s="1"/>
  <c r="E244" i="9"/>
  <c r="D244" i="9"/>
  <c r="H244" i="9" s="1"/>
  <c r="E243" i="9"/>
  <c r="D243" i="9"/>
  <c r="H243" i="9" s="1"/>
  <c r="E242" i="9"/>
  <c r="D242" i="9"/>
  <c r="H242" i="9" s="1"/>
  <c r="E241" i="9"/>
  <c r="D241" i="9"/>
  <c r="H241" i="9" s="1"/>
  <c r="E240" i="9"/>
  <c r="D240" i="9"/>
  <c r="H240" i="9" s="1"/>
  <c r="E239" i="9"/>
  <c r="D239" i="9"/>
  <c r="H239" i="9" s="1"/>
  <c r="E238" i="9"/>
  <c r="D238" i="9"/>
  <c r="H238" i="9" s="1"/>
  <c r="E237" i="9"/>
  <c r="D237" i="9"/>
  <c r="H237" i="9" s="1"/>
  <c r="E236" i="9"/>
  <c r="D236" i="9"/>
  <c r="H236" i="9" s="1"/>
  <c r="E235" i="9"/>
  <c r="D235" i="9"/>
  <c r="H235" i="9" s="1"/>
  <c r="E234" i="9"/>
  <c r="D234" i="9"/>
  <c r="H234" i="9" s="1"/>
  <c r="E233" i="9"/>
  <c r="D233" i="9"/>
  <c r="H233" i="9" s="1"/>
  <c r="E232" i="9"/>
  <c r="D232" i="9"/>
  <c r="H232" i="9" s="1"/>
  <c r="E231" i="9"/>
  <c r="D231" i="9"/>
  <c r="H231" i="9" s="1"/>
  <c r="E230" i="9"/>
  <c r="D230" i="9"/>
  <c r="H230" i="9" s="1"/>
  <c r="E229" i="9"/>
  <c r="D229" i="9"/>
  <c r="H229" i="9" s="1"/>
  <c r="E228" i="9"/>
  <c r="D228" i="9"/>
  <c r="H228" i="9" s="1"/>
  <c r="E227" i="9"/>
  <c r="D227" i="9"/>
  <c r="H227" i="9" s="1"/>
  <c r="E226" i="9"/>
  <c r="D226" i="9"/>
  <c r="H226" i="9" s="1"/>
  <c r="E225" i="9"/>
  <c r="D225" i="9"/>
  <c r="H225" i="9" s="1"/>
  <c r="E224" i="9"/>
  <c r="D224" i="9"/>
  <c r="H224" i="9" s="1"/>
  <c r="E223" i="9"/>
  <c r="D223" i="9"/>
  <c r="H223" i="9" s="1"/>
  <c r="E222" i="9"/>
  <c r="D222" i="9"/>
  <c r="H222" i="9" s="1"/>
  <c r="E221" i="9"/>
  <c r="D221" i="9"/>
  <c r="H221" i="9" s="1"/>
  <c r="E220" i="9"/>
  <c r="D220" i="9"/>
  <c r="H220" i="9" s="1"/>
  <c r="E219" i="9"/>
  <c r="D219" i="9"/>
  <c r="H219" i="9" s="1"/>
  <c r="E218" i="9"/>
  <c r="D218" i="9"/>
  <c r="H218" i="9" s="1"/>
  <c r="E217" i="9"/>
  <c r="D217" i="9"/>
  <c r="H217" i="9" s="1"/>
  <c r="E216" i="9"/>
  <c r="D216" i="9"/>
  <c r="H216" i="9" s="1"/>
  <c r="E215" i="9"/>
  <c r="D215" i="9"/>
  <c r="H215" i="9" s="1"/>
  <c r="E214" i="9"/>
  <c r="D214" i="9"/>
  <c r="H214" i="9" s="1"/>
  <c r="E213" i="9"/>
  <c r="D213" i="9"/>
  <c r="H213" i="9" s="1"/>
  <c r="E212" i="9"/>
  <c r="D212" i="9"/>
  <c r="H212" i="9" s="1"/>
  <c r="E211" i="9"/>
  <c r="D211" i="9"/>
  <c r="H211" i="9" s="1"/>
  <c r="E210" i="9"/>
  <c r="D210" i="9"/>
  <c r="H210" i="9" s="1"/>
  <c r="E209" i="9"/>
  <c r="D209" i="9"/>
  <c r="H209" i="9" s="1"/>
  <c r="E208" i="9"/>
  <c r="D208" i="9"/>
  <c r="H208" i="9" s="1"/>
  <c r="E207" i="9"/>
  <c r="D207" i="9"/>
  <c r="H207" i="9" s="1"/>
  <c r="E206" i="9"/>
  <c r="D206" i="9"/>
  <c r="H206" i="9" s="1"/>
  <c r="E205" i="9"/>
  <c r="D205" i="9"/>
  <c r="H205" i="9" s="1"/>
  <c r="E204" i="9"/>
  <c r="D204" i="9"/>
  <c r="H204" i="9" s="1"/>
  <c r="E203" i="9"/>
  <c r="D203" i="9"/>
  <c r="H203" i="9" s="1"/>
  <c r="E202" i="9"/>
  <c r="D202" i="9"/>
  <c r="H202" i="9" s="1"/>
  <c r="E201" i="9"/>
  <c r="D201" i="9"/>
  <c r="H201" i="9" s="1"/>
  <c r="E200" i="9"/>
  <c r="D200" i="9"/>
  <c r="H200" i="9" s="1"/>
  <c r="E199" i="9"/>
  <c r="D199" i="9"/>
  <c r="H199" i="9" s="1"/>
  <c r="E198" i="9"/>
  <c r="D198" i="9"/>
  <c r="H198" i="9" s="1"/>
  <c r="E197" i="9"/>
  <c r="D197" i="9"/>
  <c r="H197" i="9" s="1"/>
  <c r="E196" i="9"/>
  <c r="D196" i="9"/>
  <c r="H196" i="9" s="1"/>
  <c r="E195" i="9"/>
  <c r="D195" i="9"/>
  <c r="H195" i="9" s="1"/>
  <c r="E194" i="9"/>
  <c r="D194" i="9"/>
  <c r="H194" i="9" s="1"/>
  <c r="E193" i="9"/>
  <c r="D193" i="9"/>
  <c r="H193" i="9" s="1"/>
  <c r="E192" i="9"/>
  <c r="D192" i="9"/>
  <c r="H192" i="9" s="1"/>
  <c r="E191" i="9"/>
  <c r="D191" i="9"/>
  <c r="H191" i="9" s="1"/>
  <c r="E190" i="9"/>
  <c r="D190" i="9"/>
  <c r="H190" i="9" s="1"/>
  <c r="E189" i="9"/>
  <c r="D189" i="9"/>
  <c r="H189" i="9" s="1"/>
  <c r="E188" i="9"/>
  <c r="D188" i="9"/>
  <c r="H188" i="9" s="1"/>
  <c r="E187" i="9"/>
  <c r="D187" i="9"/>
  <c r="H187" i="9" s="1"/>
  <c r="E186" i="9"/>
  <c r="D186" i="9"/>
  <c r="H186" i="9" s="1"/>
  <c r="E185" i="9"/>
  <c r="D185" i="9"/>
  <c r="H185" i="9" s="1"/>
  <c r="E184" i="9"/>
  <c r="D184" i="9"/>
  <c r="H184" i="9" s="1"/>
  <c r="E183" i="9"/>
  <c r="D183" i="9"/>
  <c r="H183" i="9" s="1"/>
  <c r="E182" i="9"/>
  <c r="D182" i="9"/>
  <c r="H182" i="9" s="1"/>
  <c r="E181" i="9"/>
  <c r="D181" i="9"/>
  <c r="H181" i="9" s="1"/>
  <c r="E180" i="9"/>
  <c r="D180" i="9"/>
  <c r="H180" i="9" s="1"/>
  <c r="E179" i="9"/>
  <c r="D179" i="9"/>
  <c r="H179" i="9" s="1"/>
  <c r="E178" i="9"/>
  <c r="D178" i="9"/>
  <c r="H178" i="9" s="1"/>
  <c r="E177" i="9"/>
  <c r="D177" i="9"/>
  <c r="H177" i="9" s="1"/>
  <c r="E176" i="9"/>
  <c r="D176" i="9"/>
  <c r="H176" i="9" s="1"/>
  <c r="E175" i="9"/>
  <c r="D175" i="9"/>
  <c r="H175" i="9" s="1"/>
  <c r="E174" i="9"/>
  <c r="D174" i="9"/>
  <c r="H174" i="9" s="1"/>
  <c r="E173" i="9"/>
  <c r="D173" i="9"/>
  <c r="H173" i="9" s="1"/>
  <c r="E172" i="9"/>
  <c r="D172" i="9"/>
  <c r="H172" i="9" s="1"/>
  <c r="E171" i="9"/>
  <c r="D171" i="9"/>
  <c r="H171" i="9" s="1"/>
  <c r="E170" i="9"/>
  <c r="D170" i="9"/>
  <c r="H170" i="9" s="1"/>
  <c r="E169" i="9"/>
  <c r="D169" i="9"/>
  <c r="H169" i="9" s="1"/>
  <c r="E168" i="9"/>
  <c r="D168" i="9"/>
  <c r="H168" i="9" s="1"/>
  <c r="E167" i="9"/>
  <c r="D167" i="9"/>
  <c r="H167" i="9" s="1"/>
  <c r="E166" i="9"/>
  <c r="D166" i="9"/>
  <c r="H166" i="9" s="1"/>
  <c r="E165" i="9"/>
  <c r="D165" i="9"/>
  <c r="H165" i="9" s="1"/>
  <c r="E164" i="9"/>
  <c r="D164" i="9"/>
  <c r="H164" i="9" s="1"/>
  <c r="E163" i="9"/>
  <c r="D163" i="9"/>
  <c r="H163" i="9" s="1"/>
  <c r="E162" i="9"/>
  <c r="D162" i="9"/>
  <c r="H162" i="9" s="1"/>
  <c r="E161" i="9"/>
  <c r="D161" i="9"/>
  <c r="H161" i="9" s="1"/>
  <c r="E160" i="9"/>
  <c r="D160" i="9"/>
  <c r="H160" i="9" s="1"/>
  <c r="E159" i="9"/>
  <c r="D159" i="9"/>
  <c r="H159" i="9" s="1"/>
  <c r="E158" i="9"/>
  <c r="D158" i="9"/>
  <c r="H158" i="9" s="1"/>
  <c r="E157" i="9"/>
  <c r="D157" i="9"/>
  <c r="H157" i="9" s="1"/>
  <c r="E156" i="9"/>
  <c r="D156" i="9"/>
  <c r="H156" i="9" s="1"/>
  <c r="E155" i="9"/>
  <c r="D155" i="9"/>
  <c r="H155" i="9" s="1"/>
  <c r="E154" i="9"/>
  <c r="D154" i="9"/>
  <c r="H154" i="9" s="1"/>
  <c r="E153" i="9"/>
  <c r="D153" i="9"/>
  <c r="H153" i="9" s="1"/>
  <c r="E152" i="9"/>
  <c r="D152" i="9"/>
  <c r="H152" i="9" s="1"/>
  <c r="E151" i="9"/>
  <c r="D151" i="9"/>
  <c r="H151" i="9" s="1"/>
  <c r="E150" i="9"/>
  <c r="D150" i="9"/>
  <c r="H150" i="9" s="1"/>
  <c r="E149" i="9"/>
  <c r="D149" i="9"/>
  <c r="H149" i="9" s="1"/>
  <c r="E148" i="9"/>
  <c r="D148" i="9"/>
  <c r="H148" i="9" s="1"/>
  <c r="E147" i="9"/>
  <c r="D147" i="9"/>
  <c r="H147" i="9" s="1"/>
  <c r="E146" i="9"/>
  <c r="D146" i="9"/>
  <c r="H146" i="9" s="1"/>
  <c r="E145" i="9"/>
  <c r="D145" i="9"/>
  <c r="H145" i="9" s="1"/>
  <c r="E144" i="9"/>
  <c r="D144" i="9"/>
  <c r="H144" i="9" s="1"/>
  <c r="E143" i="9"/>
  <c r="D143" i="9"/>
  <c r="H143" i="9" s="1"/>
  <c r="E142" i="9"/>
  <c r="D142" i="9"/>
  <c r="H142" i="9" s="1"/>
  <c r="E141" i="9"/>
  <c r="D141" i="9"/>
  <c r="H141" i="9" s="1"/>
  <c r="E140" i="9"/>
  <c r="D140" i="9"/>
  <c r="H140" i="9" s="1"/>
  <c r="E139" i="9"/>
  <c r="D139" i="9"/>
  <c r="H139" i="9" s="1"/>
  <c r="E138" i="9"/>
  <c r="D138" i="9"/>
  <c r="H138" i="9" s="1"/>
  <c r="E137" i="9"/>
  <c r="D137" i="9"/>
  <c r="H137" i="9" s="1"/>
  <c r="E136" i="9"/>
  <c r="D136" i="9"/>
  <c r="H136" i="9" s="1"/>
  <c r="E135" i="9"/>
  <c r="D135" i="9"/>
  <c r="H135" i="9" s="1"/>
  <c r="E134" i="9"/>
  <c r="D134" i="9"/>
  <c r="H134" i="9" s="1"/>
  <c r="E133" i="9"/>
  <c r="D133" i="9"/>
  <c r="H133" i="9" s="1"/>
  <c r="E132" i="9"/>
  <c r="D132" i="9"/>
  <c r="H132" i="9" s="1"/>
  <c r="E131" i="9"/>
  <c r="D131" i="9"/>
  <c r="H131" i="9" s="1"/>
  <c r="E130" i="9"/>
  <c r="D130" i="9"/>
  <c r="H130" i="9" s="1"/>
  <c r="E129" i="9"/>
  <c r="D129" i="9"/>
  <c r="H129" i="9" s="1"/>
  <c r="E128" i="9"/>
  <c r="D128" i="9"/>
  <c r="H128" i="9" s="1"/>
  <c r="E127" i="9"/>
  <c r="D127" i="9"/>
  <c r="H127" i="9" s="1"/>
  <c r="E126" i="9"/>
  <c r="D126" i="9"/>
  <c r="H126" i="9" s="1"/>
  <c r="E125" i="9"/>
  <c r="D125" i="9"/>
  <c r="H125" i="9" s="1"/>
  <c r="E124" i="9"/>
  <c r="D124" i="9"/>
  <c r="H124" i="9" s="1"/>
  <c r="E123" i="9"/>
  <c r="D123" i="9"/>
  <c r="H123" i="9" s="1"/>
  <c r="E122" i="9"/>
  <c r="D122" i="9"/>
  <c r="H122" i="9" s="1"/>
  <c r="E121" i="9"/>
  <c r="D121" i="9"/>
  <c r="H121" i="9" s="1"/>
  <c r="E120" i="9"/>
  <c r="D120" i="9"/>
  <c r="H120" i="9" s="1"/>
  <c r="E119" i="9"/>
  <c r="D119" i="9"/>
  <c r="H119" i="9" s="1"/>
  <c r="E118" i="9"/>
  <c r="D118" i="9"/>
  <c r="H118" i="9" s="1"/>
  <c r="E117" i="9"/>
  <c r="D117" i="9"/>
  <c r="H117" i="9" s="1"/>
  <c r="E116" i="9"/>
  <c r="D116" i="9"/>
  <c r="H116" i="9" s="1"/>
  <c r="E115" i="9"/>
  <c r="D115" i="9"/>
  <c r="H115" i="9" s="1"/>
  <c r="E114" i="9"/>
  <c r="D114" i="9"/>
  <c r="H114" i="9" s="1"/>
  <c r="E113" i="9"/>
  <c r="D113" i="9"/>
  <c r="H113" i="9" s="1"/>
  <c r="E112" i="9"/>
  <c r="D112" i="9"/>
  <c r="H112" i="9" s="1"/>
  <c r="E111" i="9"/>
  <c r="D111" i="9"/>
  <c r="H111" i="9" s="1"/>
  <c r="E110" i="9"/>
  <c r="D110" i="9"/>
  <c r="H110" i="9" s="1"/>
  <c r="E109" i="9"/>
  <c r="D109" i="9"/>
  <c r="H109" i="9" s="1"/>
  <c r="E108" i="9"/>
  <c r="D108" i="9"/>
  <c r="H108" i="9" s="1"/>
  <c r="E107" i="9"/>
  <c r="D107" i="9"/>
  <c r="H107" i="9" s="1"/>
  <c r="E106" i="9"/>
  <c r="D106" i="9"/>
  <c r="H106" i="9" s="1"/>
  <c r="E105" i="9"/>
  <c r="D105" i="9"/>
  <c r="H105" i="9" s="1"/>
  <c r="E104" i="9"/>
  <c r="D104" i="9"/>
  <c r="H104" i="9" s="1"/>
  <c r="E103" i="9"/>
  <c r="D103" i="9"/>
  <c r="H103" i="9" s="1"/>
  <c r="E102" i="9"/>
  <c r="D102" i="9"/>
  <c r="H102" i="9" s="1"/>
  <c r="E101" i="9"/>
  <c r="D101" i="9"/>
  <c r="H101" i="9" s="1"/>
  <c r="E100" i="9"/>
  <c r="D100" i="9"/>
  <c r="H100" i="9" s="1"/>
  <c r="E99" i="9"/>
  <c r="D99" i="9"/>
  <c r="H99" i="9" s="1"/>
  <c r="E98" i="9"/>
  <c r="D98" i="9"/>
  <c r="H98" i="9" s="1"/>
  <c r="E97" i="9"/>
  <c r="D97" i="9"/>
  <c r="H97" i="9" s="1"/>
  <c r="E96" i="9"/>
  <c r="D96" i="9"/>
  <c r="H96" i="9" s="1"/>
  <c r="E95" i="9"/>
  <c r="D95" i="9"/>
  <c r="H95" i="9" s="1"/>
  <c r="E94" i="9"/>
  <c r="D94" i="9"/>
  <c r="H94" i="9" s="1"/>
  <c r="E93" i="9"/>
  <c r="D93" i="9"/>
  <c r="H93" i="9" s="1"/>
  <c r="E92" i="9"/>
  <c r="D92" i="9"/>
  <c r="H92" i="9" s="1"/>
  <c r="E91" i="9"/>
  <c r="D91" i="9"/>
  <c r="H91" i="9" s="1"/>
  <c r="E90" i="9"/>
  <c r="D90" i="9"/>
  <c r="H90" i="9" s="1"/>
  <c r="E89" i="9"/>
  <c r="D89" i="9"/>
  <c r="H89" i="9" s="1"/>
  <c r="E88" i="9"/>
  <c r="D88" i="9"/>
  <c r="H88" i="9" s="1"/>
  <c r="E87" i="9"/>
  <c r="D87" i="9"/>
  <c r="H87" i="9" s="1"/>
  <c r="E86" i="9"/>
  <c r="D86" i="9"/>
  <c r="H86" i="9" s="1"/>
  <c r="E85" i="9"/>
  <c r="D85" i="9"/>
  <c r="H85" i="9" s="1"/>
  <c r="E84" i="9"/>
  <c r="D84" i="9"/>
  <c r="H84" i="9" s="1"/>
  <c r="E83" i="9"/>
  <c r="D83" i="9"/>
  <c r="H83" i="9" s="1"/>
  <c r="E82" i="9"/>
  <c r="D82" i="9"/>
  <c r="H82" i="9" s="1"/>
  <c r="E81" i="9"/>
  <c r="D81" i="9"/>
  <c r="H81" i="9" s="1"/>
  <c r="E80" i="9"/>
  <c r="D80" i="9"/>
  <c r="H80" i="9" s="1"/>
  <c r="E79" i="9"/>
  <c r="D79" i="9"/>
  <c r="H79" i="9" s="1"/>
  <c r="E78" i="9"/>
  <c r="D78" i="9"/>
  <c r="H78" i="9" s="1"/>
  <c r="E77" i="9"/>
  <c r="D77" i="9"/>
  <c r="H77" i="9" s="1"/>
  <c r="E76" i="9"/>
  <c r="D76" i="9"/>
  <c r="H76" i="9" s="1"/>
  <c r="E75" i="9"/>
  <c r="D75" i="9"/>
  <c r="H75" i="9" s="1"/>
  <c r="E74" i="9"/>
  <c r="D74" i="9"/>
  <c r="H74" i="9" s="1"/>
  <c r="E73" i="9"/>
  <c r="D73" i="9"/>
  <c r="H73" i="9" s="1"/>
  <c r="E72" i="9"/>
  <c r="D72" i="9"/>
  <c r="H72" i="9" s="1"/>
  <c r="E71" i="9"/>
  <c r="D71" i="9"/>
  <c r="H71" i="9" s="1"/>
  <c r="E70" i="9"/>
  <c r="D70" i="9"/>
  <c r="H70" i="9" s="1"/>
  <c r="E69" i="9"/>
  <c r="D69" i="9"/>
  <c r="H69" i="9" s="1"/>
  <c r="E68" i="9"/>
  <c r="D68" i="9"/>
  <c r="H68" i="9" s="1"/>
  <c r="E67" i="9"/>
  <c r="D67" i="9"/>
  <c r="H67" i="9" s="1"/>
  <c r="E66" i="9"/>
  <c r="D66" i="9"/>
  <c r="H66" i="9" s="1"/>
  <c r="E65" i="9"/>
  <c r="D65" i="9"/>
  <c r="H65" i="9" s="1"/>
  <c r="E64" i="9"/>
  <c r="D64" i="9"/>
  <c r="H64" i="9" s="1"/>
  <c r="E63" i="9"/>
  <c r="D63" i="9"/>
  <c r="H63" i="9" s="1"/>
  <c r="E62" i="9"/>
  <c r="D62" i="9"/>
  <c r="H62" i="9" s="1"/>
  <c r="E61" i="9"/>
  <c r="D61" i="9"/>
  <c r="H61" i="9" s="1"/>
  <c r="E60" i="9"/>
  <c r="D60" i="9"/>
  <c r="H60" i="9" s="1"/>
  <c r="E59" i="9"/>
  <c r="D59" i="9"/>
  <c r="H59" i="9" s="1"/>
  <c r="E58" i="9"/>
  <c r="D58" i="9"/>
  <c r="H58" i="9" s="1"/>
  <c r="E57" i="9"/>
  <c r="D57" i="9"/>
  <c r="H57" i="9" s="1"/>
  <c r="E56" i="9"/>
  <c r="D56" i="9"/>
  <c r="H56" i="9" s="1"/>
  <c r="E55" i="9"/>
  <c r="D55" i="9"/>
  <c r="H55" i="9" s="1"/>
  <c r="E54" i="9"/>
  <c r="D54" i="9"/>
  <c r="H54" i="9" s="1"/>
  <c r="E53" i="9"/>
  <c r="D53" i="9"/>
  <c r="H53" i="9" s="1"/>
  <c r="E52" i="9"/>
  <c r="D52" i="9"/>
  <c r="H52" i="9" s="1"/>
  <c r="E51" i="9"/>
  <c r="D51" i="9"/>
  <c r="H51" i="9" s="1"/>
  <c r="E50" i="9"/>
  <c r="D50" i="9"/>
  <c r="H50" i="9" s="1"/>
  <c r="E49" i="9"/>
  <c r="D49" i="9"/>
  <c r="H49" i="9" s="1"/>
  <c r="E48" i="9"/>
  <c r="D48" i="9"/>
  <c r="H48" i="9" s="1"/>
  <c r="E47" i="9"/>
  <c r="D47" i="9"/>
  <c r="H47" i="9" s="1"/>
  <c r="E46" i="9"/>
  <c r="D46" i="9"/>
  <c r="H46" i="9" s="1"/>
  <c r="E45" i="9"/>
  <c r="D45" i="9"/>
  <c r="H45" i="9" s="1"/>
  <c r="E44" i="9"/>
  <c r="D44" i="9"/>
  <c r="H44" i="9" s="1"/>
  <c r="E43" i="9"/>
  <c r="D43" i="9"/>
  <c r="H43" i="9" s="1"/>
  <c r="E42" i="9"/>
  <c r="D42" i="9"/>
  <c r="H42" i="9" s="1"/>
  <c r="E41" i="9"/>
  <c r="D41" i="9"/>
  <c r="H41" i="9" s="1"/>
  <c r="E40" i="9"/>
  <c r="D40" i="9"/>
  <c r="H40" i="9" s="1"/>
  <c r="E39" i="9"/>
  <c r="D39" i="9"/>
  <c r="H39" i="9" s="1"/>
  <c r="E38" i="9"/>
  <c r="D38" i="9"/>
  <c r="H38" i="9" s="1"/>
  <c r="E37" i="9"/>
  <c r="D37" i="9"/>
  <c r="H37" i="9" s="1"/>
  <c r="E36" i="9"/>
  <c r="D36" i="9"/>
  <c r="H36" i="9" s="1"/>
  <c r="E35" i="9"/>
  <c r="D35" i="9"/>
  <c r="H35" i="9" s="1"/>
  <c r="E34" i="9"/>
  <c r="D34" i="9"/>
  <c r="H34" i="9" s="1"/>
  <c r="E33" i="9"/>
  <c r="D33" i="9"/>
  <c r="H33" i="9" s="1"/>
  <c r="E32" i="9"/>
  <c r="D32" i="9"/>
  <c r="H32" i="9" s="1"/>
  <c r="E31" i="9"/>
  <c r="D31" i="9"/>
  <c r="H31" i="9" s="1"/>
  <c r="E30" i="9"/>
  <c r="D30" i="9"/>
  <c r="H30" i="9" s="1"/>
  <c r="E29" i="9"/>
  <c r="D29" i="9"/>
  <c r="H29" i="9" s="1"/>
  <c r="E28" i="9"/>
  <c r="D28" i="9"/>
  <c r="H28" i="9" s="1"/>
  <c r="E27" i="9"/>
  <c r="D27" i="9"/>
  <c r="H27" i="9" s="1"/>
  <c r="E26" i="9"/>
  <c r="D26" i="9"/>
  <c r="H26" i="9" s="1"/>
  <c r="E25" i="9"/>
  <c r="D25" i="9"/>
  <c r="H25" i="9" s="1"/>
  <c r="E24" i="9"/>
  <c r="D24" i="9"/>
  <c r="H24" i="9" s="1"/>
  <c r="E23" i="9"/>
  <c r="D23" i="9"/>
  <c r="H23" i="9" s="1"/>
  <c r="E22" i="9"/>
  <c r="D22" i="9"/>
  <c r="H22" i="9" s="1"/>
  <c r="E21" i="9"/>
  <c r="D21" i="9"/>
  <c r="H21" i="9" s="1"/>
  <c r="E20" i="9"/>
  <c r="D20" i="9"/>
  <c r="H20" i="9" s="1"/>
  <c r="E19" i="9"/>
  <c r="D19" i="9"/>
  <c r="H19" i="9" s="1"/>
  <c r="E18" i="9"/>
  <c r="D18" i="9"/>
  <c r="H18" i="9" s="1"/>
  <c r="E17" i="9"/>
  <c r="D17" i="9"/>
  <c r="H17" i="9" s="1"/>
  <c r="E16" i="9"/>
  <c r="D16" i="9"/>
  <c r="H16" i="9" s="1"/>
  <c r="E15" i="9"/>
  <c r="D15" i="9"/>
  <c r="H15" i="9" s="1"/>
  <c r="E14" i="9"/>
  <c r="D14" i="9"/>
  <c r="H14" i="9" s="1"/>
  <c r="E13" i="9"/>
  <c r="D13" i="9"/>
  <c r="H13" i="9" s="1"/>
  <c r="E12" i="9"/>
  <c r="D12" i="9"/>
  <c r="H12" i="9" s="1"/>
  <c r="E11" i="9"/>
  <c r="D11" i="9"/>
  <c r="H11" i="9" s="1"/>
  <c r="E10" i="9"/>
  <c r="D10" i="9"/>
  <c r="H10" i="9" s="1"/>
  <c r="E9" i="9"/>
  <c r="D9" i="9"/>
  <c r="H9" i="9" s="1"/>
  <c r="E8" i="9"/>
  <c r="D8" i="9"/>
  <c r="H8" i="9" s="1"/>
  <c r="E7" i="9"/>
  <c r="D7" i="9"/>
  <c r="H7" i="9" s="1"/>
  <c r="E6" i="9"/>
  <c r="D6" i="9"/>
  <c r="H6" i="9" s="1"/>
  <c r="E5" i="9"/>
  <c r="D5" i="9"/>
  <c r="H5" i="9" s="1"/>
  <c r="E4" i="9"/>
  <c r="D4" i="9"/>
  <c r="H4" i="9" s="1"/>
  <c r="E3" i="9"/>
  <c r="D3" i="9"/>
  <c r="H3" i="9" s="1"/>
  <c r="E2" i="9"/>
  <c r="D2" i="9"/>
  <c r="H2" i="9" s="1"/>
  <c r="L1" i="19" l="1"/>
  <c r="I254" i="19" s="1"/>
  <c r="L1" i="18"/>
  <c r="I245" i="18" s="1"/>
  <c r="L1" i="9"/>
  <c r="AF8" i="23"/>
  <c r="AG8" i="23"/>
  <c r="AH8" i="23"/>
  <c r="AI8" i="23"/>
  <c r="AJ8" i="23"/>
  <c r="AK8" i="23"/>
  <c r="AL8" i="23"/>
  <c r="AF9" i="23"/>
  <c r="AG9" i="23"/>
  <c r="AH9" i="23"/>
  <c r="AI9" i="23"/>
  <c r="AJ9" i="23"/>
  <c r="AK9" i="23"/>
  <c r="AL9" i="23"/>
  <c r="AF10" i="23"/>
  <c r="AG10" i="23"/>
  <c r="AH10" i="23"/>
  <c r="AI10" i="23"/>
  <c r="AJ10" i="23"/>
  <c r="AK10" i="23"/>
  <c r="AL10" i="23"/>
  <c r="AF11" i="23"/>
  <c r="AG11" i="23"/>
  <c r="AH11" i="23"/>
  <c r="AI11" i="23"/>
  <c r="AJ11" i="23"/>
  <c r="AK11" i="23"/>
  <c r="AL11" i="23"/>
  <c r="AF12" i="23"/>
  <c r="AG12" i="23"/>
  <c r="AH12" i="23"/>
  <c r="AI12" i="23"/>
  <c r="AJ12" i="23"/>
  <c r="AK12" i="23"/>
  <c r="AL12" i="23"/>
  <c r="AF13" i="23"/>
  <c r="AG13" i="23"/>
  <c r="AH13" i="23"/>
  <c r="AI13" i="23"/>
  <c r="AJ13" i="23"/>
  <c r="AK13" i="23"/>
  <c r="AL13" i="23"/>
  <c r="AF14" i="23"/>
  <c r="AG14" i="23"/>
  <c r="AH14" i="23"/>
  <c r="AI14" i="23"/>
  <c r="AJ14" i="23"/>
  <c r="AK14" i="23"/>
  <c r="AL14" i="23"/>
  <c r="AF15" i="23"/>
  <c r="AG15" i="23"/>
  <c r="AH15" i="23"/>
  <c r="AI15" i="23"/>
  <c r="AJ15" i="23"/>
  <c r="AK15" i="23"/>
  <c r="AL15" i="23"/>
  <c r="AF16" i="23"/>
  <c r="AG16" i="23"/>
  <c r="AH16" i="23"/>
  <c r="AI16" i="23"/>
  <c r="AJ16" i="23"/>
  <c r="AK16" i="23"/>
  <c r="AL16" i="23"/>
  <c r="AG7" i="23"/>
  <c r="AH7" i="23"/>
  <c r="AI7" i="23"/>
  <c r="AJ7" i="23"/>
  <c r="AK7" i="23"/>
  <c r="AL7" i="23"/>
  <c r="AF7" i="23"/>
  <c r="W7" i="23"/>
  <c r="W8" i="23"/>
  <c r="X8" i="23"/>
  <c r="Y8" i="23"/>
  <c r="Z8" i="23"/>
  <c r="AA8" i="23"/>
  <c r="AB8" i="23"/>
  <c r="AC8" i="23"/>
  <c r="W9" i="23"/>
  <c r="X9" i="23"/>
  <c r="Y9" i="23"/>
  <c r="Z9" i="23"/>
  <c r="AA9" i="23"/>
  <c r="AB9" i="23"/>
  <c r="AC9" i="23"/>
  <c r="W10" i="23"/>
  <c r="X10" i="23"/>
  <c r="Y10" i="23"/>
  <c r="Z10" i="23"/>
  <c r="AA10" i="23"/>
  <c r="AB10" i="23"/>
  <c r="AC10" i="23"/>
  <c r="W11" i="23"/>
  <c r="X11" i="23"/>
  <c r="Y11" i="23"/>
  <c r="Z11" i="23"/>
  <c r="AA11" i="23"/>
  <c r="AB11" i="23"/>
  <c r="AC11" i="23"/>
  <c r="W12" i="23"/>
  <c r="X12" i="23"/>
  <c r="Y12" i="23"/>
  <c r="Z12" i="23"/>
  <c r="AA12" i="23"/>
  <c r="AB12" i="23"/>
  <c r="AC12" i="23"/>
  <c r="W13" i="23"/>
  <c r="X13" i="23"/>
  <c r="Y13" i="23"/>
  <c r="Z13" i="23"/>
  <c r="AA13" i="23"/>
  <c r="AB13" i="23"/>
  <c r="AC13" i="23"/>
  <c r="W14" i="23"/>
  <c r="X14" i="23"/>
  <c r="Y14" i="23"/>
  <c r="Z14" i="23"/>
  <c r="AA14" i="23"/>
  <c r="AB14" i="23"/>
  <c r="AC14" i="23"/>
  <c r="W15" i="23"/>
  <c r="X15" i="23"/>
  <c r="Y15" i="23"/>
  <c r="Z15" i="23"/>
  <c r="AA15" i="23"/>
  <c r="AB15" i="23"/>
  <c r="AC15" i="23"/>
  <c r="W16" i="23"/>
  <c r="X16" i="23"/>
  <c r="Y16" i="23"/>
  <c r="Z16" i="23"/>
  <c r="AA16" i="23"/>
  <c r="AB16" i="23"/>
  <c r="AC16" i="23"/>
  <c r="X7" i="23"/>
  <c r="Y7" i="23"/>
  <c r="Z7" i="23"/>
  <c r="AA7" i="23"/>
  <c r="AB7" i="23"/>
  <c r="AC7" i="23"/>
  <c r="I171" i="19" l="1"/>
  <c r="I241" i="19"/>
  <c r="I81" i="19"/>
  <c r="I24" i="19"/>
  <c r="I77" i="19"/>
  <c r="I173" i="19"/>
  <c r="I134" i="19"/>
  <c r="I99" i="19"/>
  <c r="I152" i="19"/>
  <c r="I138" i="19"/>
  <c r="I218" i="19"/>
  <c r="I126" i="19"/>
  <c r="I175" i="19"/>
  <c r="I40" i="19"/>
  <c r="I121" i="19"/>
  <c r="I60" i="19"/>
  <c r="I103" i="19"/>
  <c r="I189" i="19"/>
  <c r="I57" i="19"/>
  <c r="I69" i="19"/>
  <c r="I144" i="19"/>
  <c r="I196" i="19"/>
  <c r="I182" i="19"/>
  <c r="I194" i="19"/>
  <c r="I190" i="19"/>
  <c r="I212" i="19"/>
  <c r="I2" i="19"/>
  <c r="I42" i="19"/>
  <c r="I220" i="19"/>
  <c r="I127" i="19"/>
  <c r="I45" i="19"/>
  <c r="I107" i="19"/>
  <c r="I21" i="19"/>
  <c r="I178" i="19"/>
  <c r="I37" i="19"/>
  <c r="I91" i="19"/>
  <c r="I109" i="19"/>
  <c r="I161" i="19"/>
  <c r="I123" i="19"/>
  <c r="I234" i="19"/>
  <c r="I93" i="19"/>
  <c r="I48" i="19"/>
  <c r="I211" i="19"/>
  <c r="I230" i="19"/>
  <c r="I169" i="19"/>
  <c r="I200" i="19"/>
  <c r="I76" i="19"/>
  <c r="I249" i="19"/>
  <c r="I114" i="19"/>
  <c r="I213" i="19"/>
  <c r="I82" i="19"/>
  <c r="I244" i="19"/>
  <c r="I129" i="19"/>
  <c r="I36" i="19"/>
  <c r="I193" i="19"/>
  <c r="I3" i="19"/>
  <c r="I98" i="19"/>
  <c r="I250" i="19"/>
  <c r="I252" i="19"/>
  <c r="I159" i="19"/>
  <c r="I153" i="19"/>
  <c r="I248" i="19"/>
  <c r="I118" i="19"/>
  <c r="I25" i="19"/>
  <c r="I233" i="19"/>
  <c r="I146" i="19"/>
  <c r="I61" i="19"/>
  <c r="I158" i="19"/>
  <c r="I58" i="19"/>
  <c r="I88" i="19"/>
  <c r="I154" i="19"/>
  <c r="I224" i="19"/>
  <c r="I96" i="19"/>
  <c r="I183" i="19"/>
  <c r="I86" i="19"/>
  <c r="I50" i="19"/>
  <c r="I94" i="19"/>
  <c r="I215" i="19"/>
  <c r="I38" i="19"/>
  <c r="I214" i="19"/>
  <c r="I143" i="19"/>
  <c r="I100" i="19"/>
  <c r="I208" i="19"/>
  <c r="I80" i="19"/>
  <c r="I8" i="19"/>
  <c r="I225" i="19"/>
  <c r="I162" i="19"/>
  <c r="I237" i="19"/>
  <c r="I44" i="19"/>
  <c r="I10" i="19"/>
  <c r="I7" i="19"/>
  <c r="I67" i="19"/>
  <c r="I120" i="19"/>
  <c r="I172" i="19"/>
  <c r="I239" i="19"/>
  <c r="I236" i="19"/>
  <c r="I226" i="19"/>
  <c r="I185" i="19"/>
  <c r="I105" i="19"/>
  <c r="I232" i="19"/>
  <c r="I139" i="19"/>
  <c r="I68" i="19"/>
  <c r="I46" i="19"/>
  <c r="I222" i="19"/>
  <c r="I167" i="19"/>
  <c r="I198" i="19"/>
  <c r="I229" i="19"/>
  <c r="I147" i="19"/>
  <c r="I74" i="19"/>
  <c r="I125" i="19"/>
  <c r="I12" i="19"/>
  <c r="I242" i="19"/>
  <c r="I177" i="19"/>
  <c r="I73" i="19"/>
  <c r="I187" i="19"/>
  <c r="I64" i="19"/>
  <c r="I33" i="19"/>
  <c r="I238" i="19"/>
  <c r="I95" i="19"/>
  <c r="I205" i="19"/>
  <c r="I165" i="19"/>
  <c r="I14" i="19"/>
  <c r="I19" i="19"/>
  <c r="I71" i="19"/>
  <c r="I124" i="19"/>
  <c r="I184" i="19"/>
  <c r="I243" i="19"/>
  <c r="I163" i="19"/>
  <c r="I78" i="19"/>
  <c r="I133" i="19"/>
  <c r="I28" i="19"/>
  <c r="I22" i="19"/>
  <c r="I195" i="19"/>
  <c r="I23" i="19"/>
  <c r="I51" i="19"/>
  <c r="I83" i="19"/>
  <c r="I104" i="19"/>
  <c r="I128" i="19"/>
  <c r="I160" i="19"/>
  <c r="I188" i="19"/>
  <c r="I223" i="19"/>
  <c r="I255" i="19"/>
  <c r="I181" i="18"/>
  <c r="I72" i="18"/>
  <c r="I215" i="18"/>
  <c r="I98" i="18"/>
  <c r="I163" i="18"/>
  <c r="I170" i="18"/>
  <c r="I77" i="18"/>
  <c r="I144" i="18"/>
  <c r="I15" i="18"/>
  <c r="I226" i="18"/>
  <c r="I209" i="18"/>
  <c r="I135" i="18"/>
  <c r="I171" i="18"/>
  <c r="I37" i="18"/>
  <c r="I238" i="18"/>
  <c r="I61" i="18"/>
  <c r="I160" i="18"/>
  <c r="I50" i="18"/>
  <c r="I189" i="18"/>
  <c r="I80" i="18"/>
  <c r="I14" i="18"/>
  <c r="I34" i="18"/>
  <c r="I217" i="18"/>
  <c r="I127" i="18"/>
  <c r="I108" i="18"/>
  <c r="I85" i="18"/>
  <c r="I174" i="18"/>
  <c r="I119" i="19"/>
  <c r="I53" i="19"/>
  <c r="I142" i="19"/>
  <c r="I54" i="19"/>
  <c r="I101" i="19"/>
  <c r="I32" i="19"/>
  <c r="I30" i="19"/>
  <c r="I31" i="19"/>
  <c r="I63" i="19"/>
  <c r="I87" i="19"/>
  <c r="I108" i="19"/>
  <c r="I140" i="19"/>
  <c r="I168" i="19"/>
  <c r="I192" i="19"/>
  <c r="I231" i="19"/>
  <c r="I246" i="19"/>
  <c r="I101" i="18"/>
  <c r="I128" i="18"/>
  <c r="I147" i="18"/>
  <c r="I205" i="18"/>
  <c r="I3" i="18"/>
  <c r="I167" i="18"/>
  <c r="I243" i="18"/>
  <c r="I115" i="18"/>
  <c r="I82" i="18"/>
  <c r="I27" i="18"/>
  <c r="I76" i="18"/>
  <c r="I242" i="18"/>
  <c r="I75" i="18"/>
  <c r="I197" i="18"/>
  <c r="I210" i="18"/>
  <c r="I21" i="18"/>
  <c r="I191" i="18"/>
  <c r="I235" i="18"/>
  <c r="I109" i="18"/>
  <c r="I19" i="18"/>
  <c r="I112" i="18"/>
  <c r="I99" i="18"/>
  <c r="I182" i="18"/>
  <c r="I184" i="18"/>
  <c r="I6" i="18"/>
  <c r="I228" i="18"/>
  <c r="I248" i="18"/>
  <c r="I43" i="18"/>
  <c r="I231" i="18"/>
  <c r="I5" i="18"/>
  <c r="I204" i="19"/>
  <c r="I170" i="19"/>
  <c r="I106" i="19"/>
  <c r="I137" i="19"/>
  <c r="I65" i="19"/>
  <c r="I216" i="19"/>
  <c r="I150" i="19"/>
  <c r="I84" i="19"/>
  <c r="I52" i="19"/>
  <c r="I17" i="19"/>
  <c r="I217" i="19"/>
  <c r="I197" i="19"/>
  <c r="I135" i="19"/>
  <c r="I92" i="19"/>
  <c r="I245" i="19"/>
  <c r="I179" i="19"/>
  <c r="I115" i="19"/>
  <c r="I66" i="19"/>
  <c r="I157" i="19"/>
  <c r="I13" i="19"/>
  <c r="I228" i="19"/>
  <c r="I210" i="19"/>
  <c r="I111" i="19"/>
  <c r="I113" i="19"/>
  <c r="I256" i="19"/>
  <c r="I155" i="19"/>
  <c r="I72" i="19"/>
  <c r="I49" i="19"/>
  <c r="I257" i="19"/>
  <c r="I206" i="19"/>
  <c r="I151" i="19"/>
  <c r="I85" i="19"/>
  <c r="I221" i="19"/>
  <c r="I131" i="19"/>
  <c r="I62" i="19"/>
  <c r="I149" i="19"/>
  <c r="I41" i="19"/>
  <c r="I6" i="19"/>
  <c r="I26" i="19"/>
  <c r="I39" i="19"/>
  <c r="I15" i="19"/>
  <c r="I35" i="19"/>
  <c r="I55" i="19"/>
  <c r="I79" i="19"/>
  <c r="I199" i="19"/>
  <c r="I112" i="19"/>
  <c r="I136" i="19"/>
  <c r="I156" i="19"/>
  <c r="I176" i="19"/>
  <c r="I207" i="19"/>
  <c r="I227" i="19"/>
  <c r="I247" i="19"/>
  <c r="I229" i="18"/>
  <c r="I117" i="18"/>
  <c r="I81" i="18"/>
  <c r="I35" i="18"/>
  <c r="I116" i="18"/>
  <c r="I179" i="18"/>
  <c r="I119" i="18"/>
  <c r="I203" i="18"/>
  <c r="I142" i="18"/>
  <c r="I237" i="18"/>
  <c r="I125" i="18"/>
  <c r="I166" i="18"/>
  <c r="I51" i="18"/>
  <c r="I100" i="18"/>
  <c r="I107" i="18"/>
  <c r="I256" i="18"/>
  <c r="I38" i="18"/>
  <c r="I45" i="18"/>
  <c r="I2" i="18"/>
  <c r="I236" i="18"/>
  <c r="I139" i="18"/>
  <c r="I84" i="18"/>
  <c r="I168" i="18"/>
  <c r="I113" i="18"/>
  <c r="I199" i="18"/>
  <c r="I145" i="18"/>
  <c r="I22" i="18"/>
  <c r="I18" i="18"/>
  <c r="I68" i="18"/>
  <c r="I134" i="18"/>
  <c r="I104" i="18"/>
  <c r="I91" i="18"/>
  <c r="I133" i="18"/>
  <c r="I52" i="18"/>
  <c r="I56" i="18"/>
  <c r="I62" i="18"/>
  <c r="I196" i="18"/>
  <c r="I59" i="18"/>
  <c r="I162" i="18"/>
  <c r="I110" i="18"/>
  <c r="I195" i="18"/>
  <c r="I141" i="18"/>
  <c r="I246" i="18"/>
  <c r="I64" i="18"/>
  <c r="I10" i="18"/>
  <c r="I155" i="18"/>
  <c r="I146" i="18"/>
  <c r="I126" i="18"/>
  <c r="I153" i="18"/>
  <c r="I140" i="18"/>
  <c r="I63" i="18"/>
  <c r="I129" i="18"/>
  <c r="I136" i="18"/>
  <c r="I201" i="18"/>
  <c r="I124" i="18"/>
  <c r="I177" i="18"/>
  <c r="I154" i="18"/>
  <c r="I164" i="18"/>
  <c r="I150" i="18"/>
  <c r="I198" i="18"/>
  <c r="I141" i="19"/>
  <c r="I20" i="19"/>
  <c r="I16" i="19"/>
  <c r="I201" i="19"/>
  <c r="I186" i="19"/>
  <c r="I122" i="19"/>
  <c r="I145" i="19"/>
  <c r="I89" i="19"/>
  <c r="I240" i="19"/>
  <c r="I166" i="19"/>
  <c r="I102" i="19"/>
  <c r="I56" i="19"/>
  <c r="I4" i="19"/>
  <c r="I5" i="19"/>
  <c r="I209" i="19"/>
  <c r="I202" i="19"/>
  <c r="I130" i="19"/>
  <c r="I97" i="19"/>
  <c r="I253" i="19"/>
  <c r="I174" i="19"/>
  <c r="I110" i="19"/>
  <c r="I70" i="19"/>
  <c r="I181" i="19"/>
  <c r="I117" i="19"/>
  <c r="I29" i="19"/>
  <c r="I9" i="19"/>
  <c r="I18" i="19"/>
  <c r="I34" i="19"/>
  <c r="I47" i="19"/>
  <c r="I11" i="19"/>
  <c r="I27" i="19"/>
  <c r="I43" i="19"/>
  <c r="I59" i="19"/>
  <c r="I75" i="19"/>
  <c r="I90" i="19"/>
  <c r="I191" i="19"/>
  <c r="I116" i="19"/>
  <c r="I132" i="19"/>
  <c r="I148" i="19"/>
  <c r="I164" i="19"/>
  <c r="I180" i="19"/>
  <c r="I203" i="19"/>
  <c r="I219" i="19"/>
  <c r="I235" i="19"/>
  <c r="I251" i="19"/>
  <c r="I165" i="18"/>
  <c r="I202" i="18"/>
  <c r="I28" i="18"/>
  <c r="I24" i="18"/>
  <c r="I7" i="18"/>
  <c r="I180" i="18"/>
  <c r="I26" i="18"/>
  <c r="I192" i="18"/>
  <c r="I130" i="18"/>
  <c r="I212" i="18"/>
  <c r="I87" i="18"/>
  <c r="I253" i="18"/>
  <c r="I173" i="18"/>
  <c r="I234" i="18"/>
  <c r="I57" i="18"/>
  <c r="I40" i="18"/>
  <c r="I9" i="18"/>
  <c r="I67" i="18"/>
  <c r="I23" i="18"/>
  <c r="I183" i="18"/>
  <c r="I114" i="18"/>
  <c r="I216" i="18"/>
  <c r="I111" i="18"/>
  <c r="I206" i="18"/>
  <c r="I41" i="18"/>
  <c r="I208" i="18"/>
  <c r="I187" i="18"/>
  <c r="I65" i="18"/>
  <c r="I131" i="18"/>
  <c r="I70" i="18"/>
  <c r="I17" i="18"/>
  <c r="I92" i="18"/>
  <c r="I118" i="18"/>
  <c r="I39" i="18"/>
  <c r="I225" i="18"/>
  <c r="I143" i="18"/>
  <c r="I47" i="18"/>
  <c r="I200" i="18"/>
  <c r="I244" i="18"/>
  <c r="I213" i="18"/>
  <c r="I149" i="18"/>
  <c r="I190" i="18"/>
  <c r="I230" i="18"/>
  <c r="I88" i="18"/>
  <c r="I194" i="18"/>
  <c r="I33" i="18"/>
  <c r="I148" i="18"/>
  <c r="I103" i="18"/>
  <c r="I96" i="18"/>
  <c r="I240" i="18"/>
  <c r="I211" i="18"/>
  <c r="I79" i="18"/>
  <c r="I172" i="18"/>
  <c r="I251" i="18"/>
  <c r="I207" i="18"/>
  <c r="I221" i="18"/>
  <c r="I157" i="18"/>
  <c r="I222" i="18"/>
  <c r="I12" i="18"/>
  <c r="I214" i="18"/>
  <c r="I8" i="18"/>
  <c r="I44" i="18"/>
  <c r="I132" i="18"/>
  <c r="I204" i="18"/>
  <c r="I74" i="18"/>
  <c r="I93" i="18"/>
  <c r="I255" i="18"/>
  <c r="I29" i="18"/>
  <c r="I97" i="18"/>
  <c r="I158" i="18"/>
  <c r="I232" i="18"/>
  <c r="I185" i="18"/>
  <c r="I95" i="18"/>
  <c r="I60" i="18"/>
  <c r="I42" i="18"/>
  <c r="I151" i="18"/>
  <c r="I89" i="18"/>
  <c r="I123" i="18"/>
  <c r="I176" i="18"/>
  <c r="I169" i="18"/>
  <c r="I73" i="18"/>
  <c r="I20" i="18"/>
  <c r="I55" i="18"/>
  <c r="I106" i="18"/>
  <c r="I13" i="18"/>
  <c r="I161" i="18"/>
  <c r="I25" i="18"/>
  <c r="I4" i="18"/>
  <c r="I58" i="18"/>
  <c r="I138" i="18"/>
  <c r="I71" i="18"/>
  <c r="I186" i="18"/>
  <c r="I46" i="18"/>
  <c r="I227" i="18"/>
  <c r="I137" i="18"/>
  <c r="I78" i="18"/>
  <c r="I219" i="18"/>
  <c r="I193" i="18"/>
  <c r="I66" i="18"/>
  <c r="I156" i="18"/>
  <c r="I254" i="18"/>
  <c r="I223" i="18"/>
  <c r="I69" i="18"/>
  <c r="I86" i="18"/>
  <c r="I54" i="18"/>
  <c r="I249" i="18"/>
  <c r="I121" i="18"/>
  <c r="I36" i="18"/>
  <c r="I11" i="18"/>
  <c r="I83" i="18"/>
  <c r="I152" i="18"/>
  <c r="I122" i="18"/>
  <c r="I102" i="18"/>
  <c r="I257" i="18"/>
  <c r="I250" i="18"/>
  <c r="I32" i="18"/>
  <c r="I53" i="18"/>
  <c r="I30" i="18"/>
  <c r="I175" i="18"/>
  <c r="I241" i="18"/>
  <c r="I218" i="18"/>
  <c r="I16" i="18"/>
  <c r="I220" i="18"/>
  <c r="I247" i="18"/>
  <c r="I239" i="18"/>
  <c r="I233" i="18"/>
  <c r="I94" i="18"/>
  <c r="I224" i="18"/>
  <c r="I159" i="18"/>
  <c r="I178" i="18"/>
  <c r="I120" i="18"/>
  <c r="I252" i="18"/>
  <c r="I49" i="18"/>
  <c r="I105" i="18"/>
  <c r="I90" i="18"/>
  <c r="I188" i="18"/>
  <c r="I48" i="18"/>
  <c r="I31" i="18"/>
  <c r="I253" i="9"/>
  <c r="I209" i="9"/>
  <c r="I256" i="9"/>
  <c r="I224" i="9"/>
  <c r="I251" i="9"/>
  <c r="I195" i="9"/>
  <c r="I179" i="9"/>
  <c r="I151" i="9"/>
  <c r="I103" i="9"/>
  <c r="I87" i="9"/>
  <c r="I67" i="9"/>
  <c r="I246" i="9"/>
  <c r="I230" i="9"/>
  <c r="I214" i="9"/>
  <c r="I198" i="9"/>
  <c r="I182" i="9"/>
  <c r="I166" i="9"/>
  <c r="I150" i="9"/>
  <c r="I134" i="9"/>
  <c r="I118" i="9"/>
  <c r="I102" i="9"/>
  <c r="I86" i="9"/>
  <c r="I70" i="9"/>
  <c r="I54" i="9"/>
  <c r="I38" i="9"/>
  <c r="I22" i="9"/>
  <c r="I6" i="9"/>
  <c r="I181" i="9"/>
  <c r="I165" i="9"/>
  <c r="I149" i="9"/>
  <c r="I133" i="9"/>
  <c r="I117" i="9"/>
  <c r="I101" i="9"/>
  <c r="I85" i="9"/>
  <c r="I69" i="9"/>
  <c r="I53" i="9"/>
  <c r="I37" i="9"/>
  <c r="I21" i="9"/>
  <c r="I5" i="9"/>
  <c r="I221" i="9"/>
  <c r="I189" i="9"/>
  <c r="I228" i="9"/>
  <c r="I200" i="9"/>
  <c r="I184" i="9"/>
  <c r="I168" i="9"/>
  <c r="I152" i="9"/>
  <c r="I136" i="9"/>
  <c r="I120" i="9"/>
  <c r="I104" i="9"/>
  <c r="I88" i="9"/>
  <c r="I72" i="9"/>
  <c r="I56" i="9"/>
  <c r="I40" i="9"/>
  <c r="I24" i="9"/>
  <c r="I8" i="9"/>
  <c r="I235" i="9"/>
  <c r="I219" i="9"/>
  <c r="I171" i="9"/>
  <c r="I143" i="9"/>
  <c r="I127" i="9"/>
  <c r="I63" i="9"/>
  <c r="I47" i="9"/>
  <c r="I27" i="9"/>
  <c r="I11" i="9"/>
  <c r="I233" i="9"/>
  <c r="I167" i="9"/>
  <c r="I95" i="9"/>
  <c r="I254" i="9"/>
  <c r="I222" i="9"/>
  <c r="I190" i="9"/>
  <c r="I158" i="9"/>
  <c r="I126" i="9"/>
  <c r="I94" i="9"/>
  <c r="I46" i="9"/>
  <c r="I14" i="9"/>
  <c r="I157" i="9"/>
  <c r="I109" i="9"/>
  <c r="I61" i="9"/>
  <c r="I13" i="9"/>
  <c r="I205" i="9"/>
  <c r="I192" i="9"/>
  <c r="I128" i="9"/>
  <c r="I80" i="9"/>
  <c r="I245" i="9"/>
  <c r="I201" i="9"/>
  <c r="I248" i="9"/>
  <c r="I216" i="9"/>
  <c r="I247" i="9"/>
  <c r="I191" i="9"/>
  <c r="I175" i="9"/>
  <c r="I119" i="9"/>
  <c r="I99" i="9"/>
  <c r="I83" i="9"/>
  <c r="I39" i="9"/>
  <c r="I242" i="9"/>
  <c r="I226" i="9"/>
  <c r="I210" i="9"/>
  <c r="I194" i="9"/>
  <c r="I178" i="9"/>
  <c r="I162" i="9"/>
  <c r="I146" i="9"/>
  <c r="I130" i="9"/>
  <c r="I114" i="9"/>
  <c r="I98" i="9"/>
  <c r="I82" i="9"/>
  <c r="I66" i="9"/>
  <c r="I50" i="9"/>
  <c r="I34" i="9"/>
  <c r="I18" i="9"/>
  <c r="I257" i="9"/>
  <c r="I177" i="9"/>
  <c r="I161" i="9"/>
  <c r="I145" i="9"/>
  <c r="I129" i="9"/>
  <c r="I113" i="9"/>
  <c r="I97" i="9"/>
  <c r="I81" i="9"/>
  <c r="I65" i="9"/>
  <c r="I49" i="9"/>
  <c r="I33" i="9"/>
  <c r="I17" i="9"/>
  <c r="I249" i="9"/>
  <c r="I213" i="9"/>
  <c r="I252" i="9"/>
  <c r="I220" i="9"/>
  <c r="I196" i="9"/>
  <c r="I180" i="9"/>
  <c r="I164" i="9"/>
  <c r="I148" i="9"/>
  <c r="I132" i="9"/>
  <c r="I116" i="9"/>
  <c r="I100" i="9"/>
  <c r="I84" i="9"/>
  <c r="I68" i="9"/>
  <c r="I52" i="9"/>
  <c r="I36" i="9"/>
  <c r="I20" i="9"/>
  <c r="I4" i="9"/>
  <c r="I231" i="9"/>
  <c r="I215" i="9"/>
  <c r="I163" i="9"/>
  <c r="I139" i="9"/>
  <c r="I123" i="9"/>
  <c r="I59" i="9"/>
  <c r="I43" i="9"/>
  <c r="I23" i="9"/>
  <c r="I7" i="9"/>
  <c r="I193" i="9"/>
  <c r="I208" i="9"/>
  <c r="I203" i="9"/>
  <c r="I187" i="9"/>
  <c r="I111" i="9"/>
  <c r="I79" i="9"/>
  <c r="I238" i="9"/>
  <c r="I206" i="9"/>
  <c r="I174" i="9"/>
  <c r="I142" i="9"/>
  <c r="I110" i="9"/>
  <c r="I78" i="9"/>
  <c r="I30" i="9"/>
  <c r="I173" i="9"/>
  <c r="I125" i="9"/>
  <c r="I93" i="9"/>
  <c r="I45" i="9"/>
  <c r="I237" i="9"/>
  <c r="I212" i="9"/>
  <c r="I160" i="9"/>
  <c r="I112" i="9"/>
  <c r="I225" i="9"/>
  <c r="I185" i="9"/>
  <c r="I232" i="9"/>
  <c r="I255" i="9"/>
  <c r="I199" i="9"/>
  <c r="I183" i="9"/>
  <c r="I159" i="9"/>
  <c r="I107" i="9"/>
  <c r="I91" i="9"/>
  <c r="I75" i="9"/>
  <c r="I250" i="9"/>
  <c r="I234" i="9"/>
  <c r="I218" i="9"/>
  <c r="I202" i="9"/>
  <c r="I186" i="9"/>
  <c r="I170" i="9"/>
  <c r="I154" i="9"/>
  <c r="I138" i="9"/>
  <c r="I122" i="9"/>
  <c r="I106" i="9"/>
  <c r="I90" i="9"/>
  <c r="I74" i="9"/>
  <c r="I58" i="9"/>
  <c r="I42" i="9"/>
  <c r="I26" i="9"/>
  <c r="I10" i="9"/>
  <c r="I217" i="9"/>
  <c r="I169" i="9"/>
  <c r="I153" i="9"/>
  <c r="I137" i="9"/>
  <c r="I121" i="9"/>
  <c r="I105" i="9"/>
  <c r="I89" i="9"/>
  <c r="I73" i="9"/>
  <c r="I57" i="9"/>
  <c r="I41" i="9"/>
  <c r="I25" i="9"/>
  <c r="I9" i="9"/>
  <c r="I229" i="9"/>
  <c r="I197" i="9"/>
  <c r="I236" i="9"/>
  <c r="I204" i="9"/>
  <c r="I188" i="9"/>
  <c r="I172" i="9"/>
  <c r="I156" i="9"/>
  <c r="I140" i="9"/>
  <c r="I124" i="9"/>
  <c r="I108" i="9"/>
  <c r="I92" i="9"/>
  <c r="I76" i="9"/>
  <c r="I60" i="9"/>
  <c r="I44" i="9"/>
  <c r="I28" i="9"/>
  <c r="I12" i="9"/>
  <c r="I239" i="9"/>
  <c r="I223" i="9"/>
  <c r="I207" i="9"/>
  <c r="I147" i="9"/>
  <c r="I131" i="9"/>
  <c r="I71" i="9"/>
  <c r="I51" i="9"/>
  <c r="I31" i="9"/>
  <c r="I15" i="9"/>
  <c r="I240" i="9"/>
  <c r="I62" i="9"/>
  <c r="I241" i="9"/>
  <c r="I141" i="9"/>
  <c r="I77" i="9"/>
  <c r="I29" i="9"/>
  <c r="I244" i="9"/>
  <c r="I176" i="9"/>
  <c r="I144" i="9"/>
  <c r="I96" i="9"/>
  <c r="I64" i="9"/>
  <c r="I243" i="9"/>
  <c r="I135" i="9"/>
  <c r="I19" i="9"/>
  <c r="I211" i="9"/>
  <c r="I48" i="9"/>
  <c r="I227" i="9"/>
  <c r="I115" i="9"/>
  <c r="I3" i="9"/>
  <c r="I55" i="9"/>
  <c r="I16" i="9"/>
  <c r="I155" i="9"/>
  <c r="I35" i="9"/>
  <c r="I32" i="9"/>
  <c r="I2" i="9"/>
  <c r="P15" i="23"/>
  <c r="Q12" i="23"/>
  <c r="S10" i="23"/>
  <c r="O10" i="23"/>
  <c r="Q8" i="23"/>
  <c r="AH17" i="23"/>
  <c r="Q16" i="23"/>
  <c r="O14" i="23"/>
  <c r="N13" i="23"/>
  <c r="T11" i="23"/>
  <c r="R9" i="23"/>
  <c r="T15" i="23"/>
  <c r="S14" i="23"/>
  <c r="R13" i="23"/>
  <c r="P11" i="23"/>
  <c r="N9" i="23"/>
  <c r="Y17" i="23"/>
  <c r="AF17" i="23"/>
  <c r="T7" i="23"/>
  <c r="R16" i="23"/>
  <c r="N16" i="23"/>
  <c r="Q15" i="23"/>
  <c r="T14" i="23"/>
  <c r="P14" i="23"/>
  <c r="S13" i="23"/>
  <c r="O13" i="23"/>
  <c r="R12" i="23"/>
  <c r="N12" i="23"/>
  <c r="Q11" i="23"/>
  <c r="T10" i="23"/>
  <c r="P10" i="23"/>
  <c r="S9" i="23"/>
  <c r="O9" i="23"/>
  <c r="R8" i="23"/>
  <c r="N8" i="23"/>
  <c r="P7" i="23"/>
  <c r="W18" i="23"/>
  <c r="N14" i="23"/>
  <c r="Y19" i="23"/>
  <c r="S7" i="23"/>
  <c r="O7" i="23"/>
  <c r="T16" i="23"/>
  <c r="S15" i="23"/>
  <c r="Q13" i="23"/>
  <c r="O11" i="23"/>
  <c r="R10" i="23"/>
  <c r="N10" i="23"/>
  <c r="Q9" i="23"/>
  <c r="T8" i="23"/>
  <c r="P8" i="23"/>
  <c r="R7" i="23"/>
  <c r="P16" i="23"/>
  <c r="O15" i="23"/>
  <c r="T12" i="23"/>
  <c r="S11" i="23"/>
  <c r="W19" i="23"/>
  <c r="W17" i="23"/>
  <c r="Y18" i="23"/>
  <c r="Q7" i="23"/>
  <c r="S16" i="23"/>
  <c r="O16" i="23"/>
  <c r="R15" i="23"/>
  <c r="N15" i="23"/>
  <c r="Q14" i="23"/>
  <c r="T13" i="23"/>
  <c r="P13" i="23"/>
  <c r="S12" i="23"/>
  <c r="O12" i="23"/>
  <c r="R11" i="23"/>
  <c r="N11" i="23"/>
  <c r="Q10" i="23"/>
  <c r="T9" i="23"/>
  <c r="P9" i="23"/>
  <c r="S8" i="23"/>
  <c r="O8" i="23"/>
  <c r="R14" i="23"/>
  <c r="P12" i="23"/>
  <c r="AF18" i="23"/>
  <c r="AG18" i="23" s="1"/>
  <c r="AH19" i="23"/>
  <c r="AH18" i="23"/>
  <c r="AF19" i="23"/>
  <c r="N7" i="23"/>
  <c r="Z17" i="23" l="1"/>
  <c r="X19" i="23"/>
  <c r="Z19" i="23"/>
  <c r="Z18" i="23"/>
  <c r="X18" i="23"/>
  <c r="AG17" i="23"/>
  <c r="AG19" i="23"/>
  <c r="X17" i="23"/>
  <c r="AI17" i="23"/>
  <c r="AI19" i="23"/>
  <c r="AI18" i="23"/>
  <c r="J13" i="23" l="1"/>
  <c r="H13" i="23"/>
  <c r="K13" i="23"/>
  <c r="H12" i="23"/>
  <c r="K12" i="23"/>
  <c r="I12" i="23"/>
  <c r="J11" i="23"/>
  <c r="J10" i="23"/>
  <c r="H10" i="23"/>
  <c r="I10" i="23"/>
  <c r="J9" i="23"/>
  <c r="I9" i="23"/>
  <c r="C30" i="23"/>
  <c r="C29" i="23"/>
  <c r="M21" i="23"/>
  <c r="I13" i="23"/>
  <c r="J12" i="23"/>
  <c r="I11" i="23"/>
  <c r="H11" i="23"/>
  <c r="K10" i="23"/>
  <c r="H9" i="23"/>
  <c r="H5" i="23"/>
  <c r="C4" i="23"/>
  <c r="B3" i="22"/>
  <c r="C3" i="22"/>
  <c r="D3" i="22"/>
  <c r="E3" i="22"/>
  <c r="F3" i="22"/>
  <c r="G3" i="22"/>
  <c r="H3" i="22"/>
  <c r="B4" i="22"/>
  <c r="C4" i="22"/>
  <c r="D4" i="22"/>
  <c r="E4" i="22"/>
  <c r="F4" i="22"/>
  <c r="G4" i="22"/>
  <c r="H4" i="22"/>
  <c r="B5" i="22"/>
  <c r="C5" i="22"/>
  <c r="D5" i="22"/>
  <c r="F9" i="23" s="1"/>
  <c r="E5" i="22"/>
  <c r="F5" i="22"/>
  <c r="C9" i="23" s="1"/>
  <c r="G5" i="22"/>
  <c r="H5" i="22"/>
  <c r="E9" i="23" s="1"/>
  <c r="B6" i="22"/>
  <c r="C6" i="22"/>
  <c r="D6" i="22"/>
  <c r="E6" i="22"/>
  <c r="F6" i="22"/>
  <c r="G6" i="22"/>
  <c r="H6" i="22"/>
  <c r="B7" i="22"/>
  <c r="D10" i="23" s="1"/>
  <c r="C7" i="22"/>
  <c r="D7" i="22"/>
  <c r="F10" i="23" s="1"/>
  <c r="E7" i="22"/>
  <c r="F7" i="22"/>
  <c r="C10" i="23" s="1"/>
  <c r="G7" i="22"/>
  <c r="H7" i="22"/>
  <c r="E10" i="23" s="1"/>
  <c r="B8" i="22"/>
  <c r="C8" i="22"/>
  <c r="D8" i="22"/>
  <c r="E8" i="22"/>
  <c r="F8" i="22"/>
  <c r="G8" i="22"/>
  <c r="H8" i="22"/>
  <c r="B9" i="22"/>
  <c r="D11" i="23" s="1"/>
  <c r="C9" i="22"/>
  <c r="D9" i="22"/>
  <c r="F11" i="23" s="1"/>
  <c r="E9" i="22"/>
  <c r="F9" i="22"/>
  <c r="C11" i="23" s="1"/>
  <c r="G9" i="22"/>
  <c r="H9" i="22"/>
  <c r="E11" i="23" s="1"/>
  <c r="B10" i="22"/>
  <c r="C10" i="22"/>
  <c r="D10" i="22"/>
  <c r="E10" i="22"/>
  <c r="F10" i="22"/>
  <c r="G10" i="22"/>
  <c r="H10" i="22"/>
  <c r="B11" i="22"/>
  <c r="D12" i="23" s="1"/>
  <c r="C11" i="22"/>
  <c r="D11" i="22"/>
  <c r="F12" i="23" s="1"/>
  <c r="E11" i="22"/>
  <c r="F11" i="22"/>
  <c r="C12" i="23" s="1"/>
  <c r="G11" i="22"/>
  <c r="H11" i="22"/>
  <c r="E12" i="23" s="1"/>
  <c r="B12" i="22"/>
  <c r="C12" i="22"/>
  <c r="D12" i="22"/>
  <c r="E12" i="22"/>
  <c r="F12" i="22"/>
  <c r="G12" i="22"/>
  <c r="H12" i="22"/>
  <c r="B13" i="22"/>
  <c r="D13" i="23" s="1"/>
  <c r="C13" i="22"/>
  <c r="D13" i="22"/>
  <c r="E13" i="22"/>
  <c r="F13" i="22"/>
  <c r="C13" i="23" s="1"/>
  <c r="G13" i="22"/>
  <c r="H13" i="22"/>
  <c r="E13" i="23" s="1"/>
  <c r="B14" i="22"/>
  <c r="C14" i="22"/>
  <c r="D14" i="22"/>
  <c r="E14" i="22"/>
  <c r="F14" i="22"/>
  <c r="G14" i="22"/>
  <c r="H14" i="22"/>
  <c r="B15" i="22"/>
  <c r="C15" i="22"/>
  <c r="D15" i="22"/>
  <c r="E15" i="22"/>
  <c r="F15" i="22"/>
  <c r="G15" i="22"/>
  <c r="H15" i="22"/>
  <c r="B16" i="22"/>
  <c r="C16" i="22"/>
  <c r="D16" i="22"/>
  <c r="E16" i="22"/>
  <c r="F16" i="22"/>
  <c r="G16" i="22"/>
  <c r="H16" i="22"/>
  <c r="B17" i="22"/>
  <c r="H6" i="23" s="1"/>
  <c r="C17" i="22"/>
  <c r="D17" i="22"/>
  <c r="E17" i="22"/>
  <c r="F17" i="22"/>
  <c r="G17" i="22"/>
  <c r="H17" i="22"/>
  <c r="B18" i="22"/>
  <c r="E27" i="23" s="1"/>
  <c r="C18" i="22"/>
  <c r="D18" i="22"/>
  <c r="E18" i="22"/>
  <c r="F18" i="22"/>
  <c r="G18" i="22"/>
  <c r="H18" i="22"/>
  <c r="B19" i="22"/>
  <c r="J27" i="23" s="1"/>
  <c r="C19" i="22"/>
  <c r="D19" i="22"/>
  <c r="E19" i="22"/>
  <c r="F19" i="22"/>
  <c r="G19" i="22"/>
  <c r="H19" i="22"/>
  <c r="B20" i="22"/>
  <c r="C20" i="22"/>
  <c r="D20" i="22"/>
  <c r="E20" i="22"/>
  <c r="F20" i="22"/>
  <c r="G20" i="22"/>
  <c r="H20" i="22"/>
  <c r="B21" i="22"/>
  <c r="C21" i="22"/>
  <c r="D21" i="22"/>
  <c r="E21" i="22"/>
  <c r="F21" i="22"/>
  <c r="G21" i="22"/>
  <c r="H21" i="22"/>
  <c r="B22" i="22"/>
  <c r="C22" i="22"/>
  <c r="D22" i="22"/>
  <c r="E22" i="22"/>
  <c r="F22" i="22"/>
  <c r="G22" i="22"/>
  <c r="H22" i="22"/>
  <c r="B23" i="22"/>
  <c r="C23" i="22"/>
  <c r="D23" i="22"/>
  <c r="E23" i="22"/>
  <c r="F23" i="22"/>
  <c r="G23" i="22"/>
  <c r="H23" i="22"/>
  <c r="B24" i="22"/>
  <c r="C24" i="22"/>
  <c r="D24" i="22"/>
  <c r="E24" i="22"/>
  <c r="F24" i="22"/>
  <c r="G24" i="22"/>
  <c r="H24" i="22"/>
  <c r="B25" i="22"/>
  <c r="C25" i="22"/>
  <c r="D25" i="22"/>
  <c r="E25" i="22"/>
  <c r="F25" i="22"/>
  <c r="G25" i="22"/>
  <c r="H25" i="22"/>
  <c r="B26" i="22"/>
  <c r="C26" i="22"/>
  <c r="D26" i="22"/>
  <c r="E26" i="22"/>
  <c r="F26" i="22"/>
  <c r="G26" i="22"/>
  <c r="H26" i="22"/>
  <c r="B27" i="22"/>
  <c r="C27" i="22"/>
  <c r="D27" i="22"/>
  <c r="E27" i="22"/>
  <c r="F27" i="22"/>
  <c r="G27" i="22"/>
  <c r="H27" i="22"/>
  <c r="B28" i="22"/>
  <c r="C28" i="22"/>
  <c r="D28" i="22"/>
  <c r="E28" i="22"/>
  <c r="F28" i="22"/>
  <c r="G28" i="22"/>
  <c r="H28" i="22"/>
  <c r="B29" i="22"/>
  <c r="C29" i="22"/>
  <c r="D29" i="22"/>
  <c r="E29" i="22"/>
  <c r="F29" i="22"/>
  <c r="G29" i="22"/>
  <c r="H29" i="22"/>
  <c r="B30" i="22"/>
  <c r="C30" i="22"/>
  <c r="D30" i="22"/>
  <c r="E30" i="22"/>
  <c r="F30" i="22"/>
  <c r="G30" i="22"/>
  <c r="H30" i="22"/>
  <c r="B31" i="22"/>
  <c r="C31" i="22"/>
  <c r="D31" i="22"/>
  <c r="E31" i="22"/>
  <c r="F31" i="22"/>
  <c r="G31" i="22"/>
  <c r="H31" i="22"/>
  <c r="B32" i="22"/>
  <c r="C32" i="22"/>
  <c r="D32" i="22"/>
  <c r="E32" i="22"/>
  <c r="F32" i="22"/>
  <c r="G32" i="22"/>
  <c r="H32" i="22"/>
  <c r="B33" i="22"/>
  <c r="C33" i="22"/>
  <c r="D33" i="22"/>
  <c r="E33" i="22"/>
  <c r="F33" i="22"/>
  <c r="G33" i="22"/>
  <c r="H33" i="22"/>
  <c r="B34" i="22"/>
  <c r="C34" i="22"/>
  <c r="D34" i="22"/>
  <c r="E34" i="22"/>
  <c r="F34" i="22"/>
  <c r="G34" i="22"/>
  <c r="H34" i="22"/>
  <c r="B35" i="22"/>
  <c r="C35" i="22"/>
  <c r="D35" i="22"/>
  <c r="E35" i="22"/>
  <c r="F35" i="22"/>
  <c r="G35" i="22"/>
  <c r="H35" i="22"/>
  <c r="B36" i="22"/>
  <c r="C36" i="22"/>
  <c r="D36" i="22"/>
  <c r="E36" i="22"/>
  <c r="F36" i="22"/>
  <c r="G36" i="22"/>
  <c r="H36" i="22"/>
  <c r="B37" i="22"/>
  <c r="C37" i="22"/>
  <c r="D37" i="22"/>
  <c r="E37" i="22"/>
  <c r="F37" i="22"/>
  <c r="G37" i="22"/>
  <c r="H37" i="22"/>
  <c r="B38" i="22"/>
  <c r="C38" i="22"/>
  <c r="D38" i="22"/>
  <c r="E38" i="22"/>
  <c r="F38" i="22"/>
  <c r="G38" i="22"/>
  <c r="H38" i="22"/>
  <c r="B39" i="22"/>
  <c r="C39" i="22"/>
  <c r="D39" i="22"/>
  <c r="E39" i="22"/>
  <c r="F39" i="22"/>
  <c r="G39" i="22"/>
  <c r="H39" i="22"/>
  <c r="B40" i="22"/>
  <c r="C40" i="22"/>
  <c r="D40" i="22"/>
  <c r="E40" i="22"/>
  <c r="F40" i="22"/>
  <c r="G40" i="22"/>
  <c r="H40" i="22"/>
  <c r="B41" i="22"/>
  <c r="C41" i="22"/>
  <c r="D41" i="22"/>
  <c r="E41" i="22"/>
  <c r="F41" i="22"/>
  <c r="G41" i="22"/>
  <c r="H41" i="22"/>
  <c r="B42" i="22"/>
  <c r="C42" i="22"/>
  <c r="D42" i="22"/>
  <c r="E42" i="22"/>
  <c r="F42" i="22"/>
  <c r="G42" i="22"/>
  <c r="H42" i="22"/>
  <c r="B43" i="22"/>
  <c r="C43" i="22"/>
  <c r="D43" i="22"/>
  <c r="E43" i="22"/>
  <c r="F43" i="22"/>
  <c r="G43" i="22"/>
  <c r="H43" i="22"/>
  <c r="B44" i="22"/>
  <c r="C44" i="22"/>
  <c r="D44" i="22"/>
  <c r="E44" i="22"/>
  <c r="F44" i="22"/>
  <c r="G44" i="22"/>
  <c r="H44" i="22"/>
  <c r="B45" i="22"/>
  <c r="C45" i="22"/>
  <c r="D45" i="22"/>
  <c r="E45" i="22"/>
  <c r="F45" i="22"/>
  <c r="G45" i="22"/>
  <c r="H45" i="22"/>
  <c r="B46" i="22"/>
  <c r="C46" i="22"/>
  <c r="D46" i="22"/>
  <c r="E46" i="22"/>
  <c r="F46" i="22"/>
  <c r="G46" i="22"/>
  <c r="H46" i="22"/>
  <c r="B47" i="22"/>
  <c r="C47" i="22"/>
  <c r="D47" i="22"/>
  <c r="E47" i="22"/>
  <c r="F47" i="22"/>
  <c r="G47" i="22"/>
  <c r="H47" i="22"/>
  <c r="B48" i="22"/>
  <c r="C48" i="22"/>
  <c r="D48" i="22"/>
  <c r="E48" i="22"/>
  <c r="F48" i="22"/>
  <c r="G48" i="22"/>
  <c r="H48" i="22"/>
  <c r="C2" i="22"/>
  <c r="D2" i="22"/>
  <c r="E2" i="22"/>
  <c r="F2" i="22"/>
  <c r="G2" i="22"/>
  <c r="H2" i="22"/>
  <c r="B2" i="22"/>
  <c r="N18" i="23" l="1"/>
  <c r="D9" i="23"/>
  <c r="P19" i="23"/>
  <c r="F13" i="23"/>
  <c r="P17" i="23"/>
  <c r="P18" i="23"/>
  <c r="N19" i="23"/>
  <c r="K9" i="23"/>
  <c r="N17" i="23"/>
  <c r="K11" i="23"/>
  <c r="Q18" i="23" l="1"/>
  <c r="Q19" i="23"/>
  <c r="Q17" i="23"/>
  <c r="O19" i="23"/>
  <c r="O18" i="23"/>
  <c r="O17" i="23"/>
  <c r="C51" i="17"/>
  <c r="C52" i="17"/>
  <c r="C53" i="17"/>
  <c r="C54" i="17"/>
  <c r="C55" i="17"/>
  <c r="C56" i="17"/>
  <c r="C57" i="17"/>
  <c r="C58" i="17"/>
  <c r="C59" i="17"/>
  <c r="C60" i="17"/>
  <c r="C61" i="17"/>
  <c r="C62" i="17"/>
  <c r="C63" i="17"/>
  <c r="C64" i="17"/>
  <c r="C65" i="17"/>
  <c r="C66" i="17"/>
  <c r="C67" i="17"/>
  <c r="C68" i="17"/>
  <c r="C69" i="17"/>
  <c r="C70" i="17"/>
  <c r="C71" i="17"/>
  <c r="C72" i="17"/>
  <c r="C73" i="17"/>
  <c r="C74" i="17"/>
  <c r="C75" i="17"/>
  <c r="C76" i="17"/>
  <c r="C77" i="17"/>
  <c r="C78" i="17"/>
  <c r="C79" i="17"/>
  <c r="C80" i="17"/>
  <c r="C81" i="17"/>
  <c r="C82" i="17"/>
  <c r="C83" i="17"/>
  <c r="C84" i="17"/>
  <c r="C85" i="17"/>
  <c r="C86" i="17"/>
  <c r="C87" i="17"/>
  <c r="C88" i="17"/>
  <c r="C89" i="17"/>
  <c r="C90" i="17"/>
  <c r="C91" i="17"/>
  <c r="C92" i="17"/>
  <c r="C93" i="17"/>
  <c r="C94" i="17"/>
  <c r="C95" i="17"/>
  <c r="C96" i="17"/>
  <c r="C97" i="17"/>
  <c r="C98" i="17"/>
  <c r="C99" i="17"/>
  <c r="C100" i="17"/>
  <c r="B51" i="17" l="1"/>
  <c r="B52" i="17"/>
  <c r="B53" i="17"/>
  <c r="B54" i="17"/>
  <c r="B55" i="17"/>
  <c r="B56" i="17"/>
  <c r="B57" i="17"/>
  <c r="B58" i="17"/>
  <c r="B59" i="17"/>
  <c r="B60" i="17"/>
  <c r="B61" i="17"/>
  <c r="B62" i="17"/>
  <c r="B63" i="17"/>
  <c r="B64" i="17"/>
  <c r="B65" i="17"/>
  <c r="B66" i="17"/>
  <c r="B67" i="17"/>
  <c r="B68" i="17"/>
  <c r="B69" i="17"/>
  <c r="B70" i="17"/>
  <c r="B71" i="17"/>
  <c r="B72" i="17"/>
  <c r="B73" i="17"/>
  <c r="B74" i="17"/>
  <c r="B75" i="17"/>
  <c r="B76" i="17"/>
  <c r="B77" i="17"/>
  <c r="B78" i="17"/>
  <c r="B79" i="17"/>
  <c r="B80" i="17"/>
  <c r="B81" i="17"/>
  <c r="B82" i="17"/>
  <c r="B83" i="17"/>
  <c r="B84" i="17"/>
  <c r="B85" i="17"/>
  <c r="B86" i="17"/>
  <c r="B87" i="17"/>
  <c r="B88" i="17"/>
  <c r="B89" i="17"/>
  <c r="B90" i="17"/>
  <c r="B91" i="17"/>
  <c r="B92" i="17"/>
  <c r="B93" i="17"/>
  <c r="B94" i="17"/>
  <c r="B95" i="17"/>
  <c r="B96" i="17"/>
  <c r="B97" i="17"/>
  <c r="B98" i="17"/>
  <c r="B99" i="17"/>
  <c r="B100" i="17"/>
  <c r="A1" i="17"/>
  <c r="C1" i="17" s="1"/>
  <c r="A51" i="17"/>
  <c r="A52" i="17"/>
  <c r="A53" i="17"/>
  <c r="A54" i="17"/>
  <c r="A55" i="17"/>
  <c r="A56" i="17"/>
  <c r="A57" i="17"/>
  <c r="A58" i="17"/>
  <c r="A59" i="17"/>
  <c r="A60" i="17"/>
  <c r="A61" i="17"/>
  <c r="A62" i="17"/>
  <c r="A63" i="17"/>
  <c r="A64" i="17"/>
  <c r="A65" i="17"/>
  <c r="A66" i="17"/>
  <c r="A67" i="17"/>
  <c r="A68" i="17"/>
  <c r="A69" i="17"/>
  <c r="A70" i="17"/>
  <c r="A71" i="17"/>
  <c r="A72" i="17"/>
  <c r="A73" i="17"/>
  <c r="A74" i="17"/>
  <c r="A75" i="17"/>
  <c r="A76" i="17"/>
  <c r="A77" i="17"/>
  <c r="A78" i="17"/>
  <c r="A79" i="17"/>
  <c r="A80" i="17"/>
  <c r="A81" i="17"/>
  <c r="A82" i="17"/>
  <c r="A83" i="17"/>
  <c r="A84" i="17"/>
  <c r="A85" i="17"/>
  <c r="A86" i="17"/>
  <c r="A87" i="17"/>
  <c r="A88" i="17"/>
  <c r="A89" i="17"/>
  <c r="A90" i="17"/>
  <c r="A91" i="17"/>
  <c r="A92" i="17"/>
  <c r="A93" i="17"/>
  <c r="A94" i="17"/>
  <c r="A95" i="17"/>
  <c r="A96" i="17"/>
  <c r="A97" i="17"/>
  <c r="A98" i="17"/>
  <c r="A99" i="17"/>
  <c r="A100" i="17"/>
  <c r="A2" i="17" l="1"/>
  <c r="C1" i="16"/>
  <c r="D1" i="16" s="1"/>
  <c r="E1" i="16" s="1"/>
  <c r="F1" i="16" s="1"/>
  <c r="G1" i="16" s="1"/>
  <c r="H1" i="16" s="1"/>
  <c r="I1" i="16" s="1"/>
  <c r="J1" i="16" s="1"/>
  <c r="K1" i="16" s="1"/>
  <c r="L1" i="16" s="1"/>
  <c r="M1" i="16" s="1"/>
  <c r="N1" i="16" s="1"/>
  <c r="O1" i="16" s="1"/>
  <c r="P1" i="16" s="1"/>
  <c r="Q1" i="16" s="1"/>
  <c r="R1" i="16" s="1"/>
  <c r="S1" i="16" s="1"/>
  <c r="T1" i="16" s="1"/>
  <c r="U1" i="16" s="1"/>
  <c r="V1" i="16" s="1"/>
  <c r="W1" i="16" s="1"/>
  <c r="X1" i="16" s="1"/>
  <c r="Y1" i="16" s="1"/>
  <c r="B1" i="16"/>
  <c r="C2" i="17" l="1"/>
  <c r="A3" i="17"/>
  <c r="O4" i="11"/>
  <c r="O5" i="11" s="1"/>
  <c r="O6" i="11" s="1"/>
  <c r="O7" i="11" s="1"/>
  <c r="O8" i="11" s="1"/>
  <c r="O9" i="11" s="1"/>
  <c r="O10" i="11" s="1"/>
  <c r="O11" i="11" s="1"/>
  <c r="O12" i="11" s="1"/>
  <c r="O13" i="11" s="1"/>
  <c r="O14" i="11" s="1"/>
  <c r="O15" i="11" s="1"/>
  <c r="O16" i="11" s="1"/>
  <c r="O17" i="11" s="1"/>
  <c r="O18" i="11" s="1"/>
  <c r="O19" i="11" s="1"/>
  <c r="O20" i="11" s="1"/>
  <c r="O21" i="11" s="1"/>
  <c r="O22" i="11" s="1"/>
  <c r="O23" i="11" s="1"/>
  <c r="O24" i="11" s="1"/>
  <c r="O25" i="11" s="1"/>
  <c r="O26" i="11" s="1"/>
  <c r="O27" i="11" s="1"/>
  <c r="E3" i="11"/>
  <c r="B2" i="17" l="1"/>
  <c r="A4" i="17"/>
  <c r="C3" i="17"/>
  <c r="E4" i="11"/>
  <c r="I3" i="11"/>
  <c r="J3" i="11"/>
  <c r="I4" i="11"/>
  <c r="J4" i="11"/>
  <c r="I5" i="11"/>
  <c r="J5" i="11"/>
  <c r="I6" i="11"/>
  <c r="J6" i="11"/>
  <c r="I7" i="11"/>
  <c r="J7" i="11"/>
  <c r="I8" i="11"/>
  <c r="J8" i="11"/>
  <c r="I9" i="11"/>
  <c r="J9" i="11"/>
  <c r="I10" i="11"/>
  <c r="J10" i="11"/>
  <c r="I11" i="11"/>
  <c r="J11" i="11"/>
  <c r="I12" i="11"/>
  <c r="J12" i="11"/>
  <c r="I13" i="11"/>
  <c r="J13" i="11"/>
  <c r="I14" i="11"/>
  <c r="J14" i="11"/>
  <c r="I15" i="11"/>
  <c r="J15" i="11"/>
  <c r="I16" i="11"/>
  <c r="J16" i="11"/>
  <c r="I17" i="11"/>
  <c r="J17" i="11"/>
  <c r="I18" i="11"/>
  <c r="J18" i="11"/>
  <c r="I19" i="11"/>
  <c r="J19" i="11"/>
  <c r="I20" i="11"/>
  <c r="J20" i="11"/>
  <c r="I21" i="11"/>
  <c r="J21" i="11"/>
  <c r="I22" i="11"/>
  <c r="J22" i="11"/>
  <c r="I23" i="11"/>
  <c r="J23" i="11"/>
  <c r="I24" i="11"/>
  <c r="J24" i="11"/>
  <c r="I25" i="11"/>
  <c r="J25" i="11"/>
  <c r="I26" i="11"/>
  <c r="J26" i="11"/>
  <c r="I27" i="11"/>
  <c r="J27" i="11"/>
  <c r="I28" i="11"/>
  <c r="J28" i="11"/>
  <c r="I29" i="11"/>
  <c r="J29" i="11"/>
  <c r="I30" i="11"/>
  <c r="J30" i="11"/>
  <c r="I31" i="11"/>
  <c r="J31" i="11"/>
  <c r="I32" i="11"/>
  <c r="J32" i="11"/>
  <c r="I33" i="11"/>
  <c r="J33" i="11"/>
  <c r="I34" i="11"/>
  <c r="J34" i="11"/>
  <c r="I35" i="11"/>
  <c r="J35" i="11"/>
  <c r="I36" i="11"/>
  <c r="J36" i="11"/>
  <c r="I37" i="11"/>
  <c r="J37" i="11"/>
  <c r="I38" i="11"/>
  <c r="J38" i="11"/>
  <c r="I39" i="11"/>
  <c r="J39" i="11"/>
  <c r="I40" i="11"/>
  <c r="J40" i="11"/>
  <c r="I41" i="11"/>
  <c r="J41" i="11"/>
  <c r="I42" i="11"/>
  <c r="J42" i="11"/>
  <c r="I43" i="11"/>
  <c r="J43" i="11"/>
  <c r="I44" i="11"/>
  <c r="J44" i="11"/>
  <c r="I45" i="11"/>
  <c r="J45" i="11"/>
  <c r="I46" i="11"/>
  <c r="J46" i="11"/>
  <c r="I47" i="11"/>
  <c r="J47" i="11"/>
  <c r="I48" i="11"/>
  <c r="J48" i="11"/>
  <c r="I49" i="11"/>
  <c r="J49" i="11"/>
  <c r="I50" i="11"/>
  <c r="J50" i="11"/>
  <c r="I51" i="11"/>
  <c r="J51" i="11"/>
  <c r="I52" i="11"/>
  <c r="J52" i="11"/>
  <c r="I53" i="11"/>
  <c r="J53" i="11"/>
  <c r="I54" i="11"/>
  <c r="J54" i="11"/>
  <c r="I55" i="11"/>
  <c r="J55" i="11"/>
  <c r="I56" i="11"/>
  <c r="J56" i="11"/>
  <c r="I57" i="11"/>
  <c r="J57" i="11"/>
  <c r="I58" i="11"/>
  <c r="J58" i="11"/>
  <c r="I59" i="11"/>
  <c r="J59" i="11"/>
  <c r="I60" i="11"/>
  <c r="J60" i="11"/>
  <c r="I61" i="11"/>
  <c r="J61" i="11"/>
  <c r="I62" i="11"/>
  <c r="J62" i="11"/>
  <c r="I63" i="11"/>
  <c r="J63" i="11"/>
  <c r="I64" i="11"/>
  <c r="J64" i="11"/>
  <c r="I65" i="11"/>
  <c r="J65" i="11"/>
  <c r="I66" i="11"/>
  <c r="J66" i="11"/>
  <c r="I67" i="11"/>
  <c r="J67" i="11"/>
  <c r="I68" i="11"/>
  <c r="J68" i="11"/>
  <c r="I69" i="11"/>
  <c r="J69" i="11"/>
  <c r="I70" i="11"/>
  <c r="J70" i="11"/>
  <c r="I71" i="11"/>
  <c r="J71" i="11"/>
  <c r="I72" i="11"/>
  <c r="J72" i="11"/>
  <c r="I73" i="11"/>
  <c r="J73" i="11"/>
  <c r="I74" i="11"/>
  <c r="J74" i="11"/>
  <c r="I75" i="11"/>
  <c r="J75" i="11"/>
  <c r="I76" i="11"/>
  <c r="J76" i="11"/>
  <c r="I77" i="11"/>
  <c r="J77" i="11"/>
  <c r="I78" i="11"/>
  <c r="J78" i="11"/>
  <c r="I79" i="11"/>
  <c r="J79" i="11"/>
  <c r="I80" i="11"/>
  <c r="J80" i="11"/>
  <c r="I81" i="11"/>
  <c r="J81" i="11"/>
  <c r="I82" i="11"/>
  <c r="J82" i="11"/>
  <c r="I83" i="11"/>
  <c r="J83" i="11"/>
  <c r="I84" i="11"/>
  <c r="J84" i="11"/>
  <c r="I85" i="11"/>
  <c r="J85" i="11"/>
  <c r="I86" i="11"/>
  <c r="J86" i="11"/>
  <c r="I87" i="11"/>
  <c r="J87" i="11"/>
  <c r="I88" i="11"/>
  <c r="J88" i="11"/>
  <c r="I89" i="11"/>
  <c r="J89" i="11"/>
  <c r="I90" i="11"/>
  <c r="J90" i="11"/>
  <c r="I91" i="11"/>
  <c r="J91" i="11"/>
  <c r="I92" i="11"/>
  <c r="J92" i="11"/>
  <c r="I93" i="11"/>
  <c r="J93" i="11"/>
  <c r="I94" i="11"/>
  <c r="J94" i="11"/>
  <c r="I95" i="11"/>
  <c r="J95" i="11"/>
  <c r="I96" i="11"/>
  <c r="J96" i="11"/>
  <c r="I97" i="11"/>
  <c r="J97" i="11"/>
  <c r="I98" i="11"/>
  <c r="J98" i="11"/>
  <c r="I99" i="11"/>
  <c r="J99" i="11"/>
  <c r="I100" i="11"/>
  <c r="J100" i="11"/>
  <c r="I101" i="11"/>
  <c r="J101" i="11"/>
  <c r="I102" i="11"/>
  <c r="J102" i="11"/>
  <c r="I103" i="11"/>
  <c r="J103" i="11"/>
  <c r="I104" i="11"/>
  <c r="J104" i="11"/>
  <c r="I105" i="11"/>
  <c r="J105" i="11"/>
  <c r="I106" i="11"/>
  <c r="J106" i="11"/>
  <c r="I107" i="11"/>
  <c r="J107" i="11"/>
  <c r="I108" i="11"/>
  <c r="J108" i="11"/>
  <c r="I109" i="11"/>
  <c r="J109" i="11"/>
  <c r="I110" i="11"/>
  <c r="J110" i="11"/>
  <c r="I111" i="11"/>
  <c r="J111" i="11"/>
  <c r="I112" i="11"/>
  <c r="J112" i="11"/>
  <c r="I113" i="11"/>
  <c r="J113" i="11"/>
  <c r="I114" i="11"/>
  <c r="J114" i="11"/>
  <c r="I115" i="11"/>
  <c r="J115" i="11"/>
  <c r="I116" i="11"/>
  <c r="J116" i="11"/>
  <c r="I117" i="11"/>
  <c r="J117" i="11"/>
  <c r="I118" i="11"/>
  <c r="J118" i="11"/>
  <c r="I119" i="11"/>
  <c r="J119" i="11"/>
  <c r="I120" i="11"/>
  <c r="J120" i="11"/>
  <c r="I121" i="11"/>
  <c r="J121" i="11"/>
  <c r="I122" i="11"/>
  <c r="J122" i="11"/>
  <c r="I123" i="11"/>
  <c r="J123" i="11"/>
  <c r="I124" i="11"/>
  <c r="J124" i="11"/>
  <c r="I125" i="11"/>
  <c r="J125" i="11"/>
  <c r="I126" i="11"/>
  <c r="J126" i="11"/>
  <c r="I127" i="11"/>
  <c r="J127" i="11"/>
  <c r="I128" i="11"/>
  <c r="J128" i="11"/>
  <c r="I129" i="11"/>
  <c r="J129" i="11"/>
  <c r="I130" i="11"/>
  <c r="J130" i="11"/>
  <c r="I131" i="11"/>
  <c r="J131" i="11"/>
  <c r="I132" i="11"/>
  <c r="J132" i="11"/>
  <c r="I133" i="11"/>
  <c r="J133" i="11"/>
  <c r="I134" i="11"/>
  <c r="J134" i="11"/>
  <c r="I135" i="11"/>
  <c r="J135" i="11"/>
  <c r="I136" i="11"/>
  <c r="J136" i="11"/>
  <c r="I137" i="11"/>
  <c r="J137" i="11"/>
  <c r="I138" i="11"/>
  <c r="J138" i="11"/>
  <c r="I139" i="11"/>
  <c r="J139" i="11"/>
  <c r="I140" i="11"/>
  <c r="J140" i="11"/>
  <c r="I141" i="11"/>
  <c r="J141" i="11"/>
  <c r="I142" i="11"/>
  <c r="J142" i="11"/>
  <c r="I143" i="11"/>
  <c r="J143" i="11"/>
  <c r="I144" i="11"/>
  <c r="J144" i="11"/>
  <c r="I145" i="11"/>
  <c r="J145" i="11"/>
  <c r="I146" i="11"/>
  <c r="J146" i="11"/>
  <c r="I147" i="11"/>
  <c r="J147" i="11"/>
  <c r="I148" i="11"/>
  <c r="J148" i="11"/>
  <c r="I149" i="11"/>
  <c r="J149" i="11"/>
  <c r="I150" i="11"/>
  <c r="J150" i="11"/>
  <c r="I151" i="11"/>
  <c r="J151" i="11"/>
  <c r="I152" i="11"/>
  <c r="J152" i="11"/>
  <c r="I153" i="11"/>
  <c r="J153" i="11"/>
  <c r="I154" i="11"/>
  <c r="J154" i="11"/>
  <c r="I155" i="11"/>
  <c r="J155" i="11"/>
  <c r="I156" i="11"/>
  <c r="J156" i="11"/>
  <c r="I157" i="11"/>
  <c r="J157" i="11"/>
  <c r="I158" i="11"/>
  <c r="J158" i="11"/>
  <c r="I159" i="11"/>
  <c r="J159" i="11"/>
  <c r="I160" i="11"/>
  <c r="J160" i="11"/>
  <c r="I161" i="11"/>
  <c r="J161" i="11"/>
  <c r="I162" i="11"/>
  <c r="J162" i="11"/>
  <c r="I163" i="11"/>
  <c r="J163" i="11"/>
  <c r="I164" i="11"/>
  <c r="J164" i="11"/>
  <c r="I165" i="11"/>
  <c r="J165" i="11"/>
  <c r="I166" i="11"/>
  <c r="J166" i="11"/>
  <c r="I167" i="11"/>
  <c r="J167" i="11"/>
  <c r="I168" i="11"/>
  <c r="J168" i="11"/>
  <c r="I169" i="11"/>
  <c r="J169" i="11"/>
  <c r="I170" i="11"/>
  <c r="J170" i="11"/>
  <c r="I171" i="11"/>
  <c r="J171" i="11"/>
  <c r="I172" i="11"/>
  <c r="J172" i="11"/>
  <c r="I173" i="11"/>
  <c r="J173" i="11"/>
  <c r="I174" i="11"/>
  <c r="J174" i="11"/>
  <c r="I175" i="11"/>
  <c r="J175" i="11"/>
  <c r="I176" i="11"/>
  <c r="J176" i="11"/>
  <c r="I177" i="11"/>
  <c r="J177" i="11"/>
  <c r="I178" i="11"/>
  <c r="J178" i="11"/>
  <c r="I179" i="11"/>
  <c r="J179" i="11"/>
  <c r="I180" i="11"/>
  <c r="J180" i="11"/>
  <c r="I181" i="11"/>
  <c r="J181" i="11"/>
  <c r="I182" i="11"/>
  <c r="J182" i="11"/>
  <c r="I183" i="11"/>
  <c r="J183" i="11"/>
  <c r="I184" i="11"/>
  <c r="J184" i="11"/>
  <c r="I185" i="11"/>
  <c r="J185" i="11"/>
  <c r="I186" i="11"/>
  <c r="J186" i="11"/>
  <c r="I187" i="11"/>
  <c r="J187" i="11"/>
  <c r="I188" i="11"/>
  <c r="J188" i="11"/>
  <c r="I189" i="11"/>
  <c r="J189" i="11"/>
  <c r="I190" i="11"/>
  <c r="J190" i="11"/>
  <c r="I191" i="11"/>
  <c r="J191" i="11"/>
  <c r="I192" i="11"/>
  <c r="J192" i="11"/>
  <c r="I193" i="11"/>
  <c r="J193" i="11"/>
  <c r="I194" i="11"/>
  <c r="J194" i="11"/>
  <c r="I195" i="11"/>
  <c r="J195" i="11"/>
  <c r="I196" i="11"/>
  <c r="J196" i="11"/>
  <c r="I197" i="11"/>
  <c r="J197" i="11"/>
  <c r="I198" i="11"/>
  <c r="J198" i="11"/>
  <c r="I199" i="11"/>
  <c r="J199" i="11"/>
  <c r="I200" i="11"/>
  <c r="J200" i="11"/>
  <c r="I201" i="11"/>
  <c r="J201" i="11"/>
  <c r="I202" i="11"/>
  <c r="J202" i="11"/>
  <c r="I203" i="11"/>
  <c r="J203" i="11"/>
  <c r="I204" i="11"/>
  <c r="J204" i="11"/>
  <c r="I205" i="11"/>
  <c r="J205" i="11"/>
  <c r="I206" i="11"/>
  <c r="J206" i="11"/>
  <c r="I207" i="11"/>
  <c r="J207" i="11"/>
  <c r="I208" i="11"/>
  <c r="J208" i="11"/>
  <c r="I209" i="11"/>
  <c r="J209" i="11"/>
  <c r="I210" i="11"/>
  <c r="J210" i="11"/>
  <c r="I211" i="11"/>
  <c r="J211" i="11"/>
  <c r="I212" i="11"/>
  <c r="J212" i="11"/>
  <c r="I213" i="11"/>
  <c r="J213" i="11"/>
  <c r="I214" i="11"/>
  <c r="J214" i="11"/>
  <c r="I215" i="11"/>
  <c r="J215" i="11"/>
  <c r="I216" i="11"/>
  <c r="J216" i="11"/>
  <c r="I217" i="11"/>
  <c r="J217" i="11"/>
  <c r="I218" i="11"/>
  <c r="J218" i="11"/>
  <c r="I219" i="11"/>
  <c r="J219" i="11"/>
  <c r="I220" i="11"/>
  <c r="J220" i="11"/>
  <c r="I221" i="11"/>
  <c r="J221" i="11"/>
  <c r="I222" i="11"/>
  <c r="J222" i="11"/>
  <c r="I223" i="11"/>
  <c r="J223" i="11"/>
  <c r="I224" i="11"/>
  <c r="J224" i="11"/>
  <c r="I225" i="11"/>
  <c r="J225" i="11"/>
  <c r="I226" i="11"/>
  <c r="J226" i="11"/>
  <c r="I227" i="11"/>
  <c r="J227" i="11"/>
  <c r="I228" i="11"/>
  <c r="J228" i="11"/>
  <c r="I229" i="11"/>
  <c r="J229" i="11"/>
  <c r="I230" i="11"/>
  <c r="J230" i="11"/>
  <c r="I231" i="11"/>
  <c r="J231" i="11"/>
  <c r="I232" i="11"/>
  <c r="J232" i="11"/>
  <c r="I233" i="11"/>
  <c r="J233" i="11"/>
  <c r="I234" i="11"/>
  <c r="J234" i="11"/>
  <c r="I235" i="11"/>
  <c r="J235" i="11"/>
  <c r="I236" i="11"/>
  <c r="J236" i="11"/>
  <c r="I237" i="11"/>
  <c r="J237" i="11"/>
  <c r="I238" i="11"/>
  <c r="J238" i="11"/>
  <c r="I239" i="11"/>
  <c r="J239" i="11"/>
  <c r="I240" i="11"/>
  <c r="J240" i="11"/>
  <c r="I241" i="11"/>
  <c r="J241" i="11"/>
  <c r="I242" i="11"/>
  <c r="J242" i="11"/>
  <c r="I243" i="11"/>
  <c r="J243" i="11"/>
  <c r="I244" i="11"/>
  <c r="J244" i="11"/>
  <c r="I245" i="11"/>
  <c r="J245" i="11"/>
  <c r="I246" i="11"/>
  <c r="J246" i="11"/>
  <c r="I247" i="11"/>
  <c r="J247" i="11"/>
  <c r="I248" i="11"/>
  <c r="J248" i="11"/>
  <c r="I249" i="11"/>
  <c r="J249" i="11"/>
  <c r="I250" i="11"/>
  <c r="J250" i="11"/>
  <c r="I251" i="11"/>
  <c r="J251" i="11"/>
  <c r="I252" i="11"/>
  <c r="J252" i="11"/>
  <c r="I253" i="11"/>
  <c r="J253" i="11"/>
  <c r="I254" i="11"/>
  <c r="J254" i="11"/>
  <c r="I255" i="11"/>
  <c r="J255" i="11"/>
  <c r="I256" i="11"/>
  <c r="J256" i="11"/>
  <c r="I257" i="11"/>
  <c r="J257" i="11"/>
  <c r="I258" i="11"/>
  <c r="J258" i="11"/>
  <c r="I259" i="11"/>
  <c r="J259" i="11"/>
  <c r="I260" i="11"/>
  <c r="J260" i="11"/>
  <c r="I261" i="11"/>
  <c r="J261" i="11"/>
  <c r="I262" i="11"/>
  <c r="J262" i="11"/>
  <c r="I263" i="11"/>
  <c r="J263" i="11"/>
  <c r="I264" i="11"/>
  <c r="J264" i="11"/>
  <c r="I265" i="11"/>
  <c r="J265" i="11"/>
  <c r="I266" i="11"/>
  <c r="J266" i="11"/>
  <c r="I267" i="11"/>
  <c r="J267" i="11"/>
  <c r="I268" i="11"/>
  <c r="J268" i="11"/>
  <c r="I269" i="11"/>
  <c r="J269" i="11"/>
  <c r="I270" i="11"/>
  <c r="J270" i="11"/>
  <c r="I271" i="11"/>
  <c r="J271" i="11"/>
  <c r="I272" i="11"/>
  <c r="J272" i="11"/>
  <c r="I273" i="11"/>
  <c r="J273" i="11"/>
  <c r="I274" i="11"/>
  <c r="J274" i="11"/>
  <c r="I275" i="11"/>
  <c r="J275" i="11"/>
  <c r="I276" i="11"/>
  <c r="J276" i="11"/>
  <c r="I277" i="11"/>
  <c r="J277" i="11"/>
  <c r="I278" i="11"/>
  <c r="J278" i="11"/>
  <c r="I279" i="11"/>
  <c r="J279" i="11"/>
  <c r="I280" i="11"/>
  <c r="J280" i="11"/>
  <c r="I281" i="11"/>
  <c r="J281" i="11"/>
  <c r="I282" i="11"/>
  <c r="J282" i="11"/>
  <c r="I283" i="11"/>
  <c r="J283" i="11"/>
  <c r="I284" i="11"/>
  <c r="J284" i="11"/>
  <c r="I285" i="11"/>
  <c r="J285" i="11"/>
  <c r="I286" i="11"/>
  <c r="J286" i="11"/>
  <c r="I287" i="11"/>
  <c r="J287" i="11"/>
  <c r="I288" i="11"/>
  <c r="J288" i="11"/>
  <c r="I289" i="11"/>
  <c r="J289" i="11"/>
  <c r="I290" i="11"/>
  <c r="J290" i="11"/>
  <c r="I291" i="11"/>
  <c r="J291" i="11"/>
  <c r="I292" i="11"/>
  <c r="J292" i="11"/>
  <c r="I293" i="11"/>
  <c r="J293" i="11"/>
  <c r="I294" i="11"/>
  <c r="J294" i="11"/>
  <c r="I295" i="11"/>
  <c r="J295" i="11"/>
  <c r="I296" i="11"/>
  <c r="J296" i="11"/>
  <c r="I297" i="11"/>
  <c r="J297" i="11"/>
  <c r="I298" i="11"/>
  <c r="J298" i="11"/>
  <c r="I299" i="11"/>
  <c r="J299" i="11"/>
  <c r="I300" i="11"/>
  <c r="J300" i="11"/>
  <c r="I301" i="11"/>
  <c r="J301" i="11"/>
  <c r="I302" i="11"/>
  <c r="J302" i="11"/>
  <c r="I303" i="11"/>
  <c r="J303" i="11"/>
  <c r="I304" i="11"/>
  <c r="J304" i="11"/>
  <c r="I305" i="11"/>
  <c r="J305" i="11"/>
  <c r="I306" i="11"/>
  <c r="J306" i="11"/>
  <c r="I307" i="11"/>
  <c r="J307" i="11"/>
  <c r="I308" i="11"/>
  <c r="J308" i="11"/>
  <c r="I309" i="11"/>
  <c r="J309" i="11"/>
  <c r="I310" i="11"/>
  <c r="J310" i="11"/>
  <c r="I311" i="11"/>
  <c r="J311" i="11"/>
  <c r="I312" i="11"/>
  <c r="J312" i="11"/>
  <c r="I313" i="11"/>
  <c r="J313" i="11"/>
  <c r="I314" i="11"/>
  <c r="J314" i="11"/>
  <c r="I315" i="11"/>
  <c r="J315" i="11"/>
  <c r="I316" i="11"/>
  <c r="J316" i="11"/>
  <c r="I317" i="11"/>
  <c r="J317" i="11"/>
  <c r="I318" i="11"/>
  <c r="J318" i="11"/>
  <c r="I319" i="11"/>
  <c r="J319" i="11"/>
  <c r="I320" i="11"/>
  <c r="J320" i="11"/>
  <c r="I321" i="11"/>
  <c r="J321" i="11"/>
  <c r="I322" i="11"/>
  <c r="J322" i="11"/>
  <c r="I323" i="11"/>
  <c r="J323" i="11"/>
  <c r="I324" i="11"/>
  <c r="J324" i="11"/>
  <c r="I325" i="11"/>
  <c r="J325" i="11"/>
  <c r="I326" i="11"/>
  <c r="J326" i="11"/>
  <c r="I327" i="11"/>
  <c r="J327" i="11"/>
  <c r="I328" i="11"/>
  <c r="J328" i="11"/>
  <c r="I329" i="11"/>
  <c r="J329" i="11"/>
  <c r="I330" i="11"/>
  <c r="J330" i="11"/>
  <c r="I331" i="11"/>
  <c r="J331" i="11"/>
  <c r="I332" i="11"/>
  <c r="J332" i="11"/>
  <c r="I333" i="11"/>
  <c r="J333" i="11"/>
  <c r="I334" i="11"/>
  <c r="J334" i="11"/>
  <c r="I335" i="11"/>
  <c r="J335" i="11"/>
  <c r="I336" i="11"/>
  <c r="J336" i="11"/>
  <c r="I337" i="11"/>
  <c r="J337" i="11"/>
  <c r="I338" i="11"/>
  <c r="J338" i="11"/>
  <c r="I339" i="11"/>
  <c r="J339" i="11"/>
  <c r="I340" i="11"/>
  <c r="J340" i="11"/>
  <c r="I341" i="11"/>
  <c r="J341" i="11"/>
  <c r="I342" i="11"/>
  <c r="J342" i="11"/>
  <c r="I343" i="11"/>
  <c r="J343" i="11"/>
  <c r="I344" i="11"/>
  <c r="J344" i="11"/>
  <c r="I345" i="11"/>
  <c r="J345" i="11"/>
  <c r="I346" i="11"/>
  <c r="J346" i="11"/>
  <c r="I347" i="11"/>
  <c r="J347" i="11"/>
  <c r="I348" i="11"/>
  <c r="J348" i="11"/>
  <c r="I349" i="11"/>
  <c r="J349" i="11"/>
  <c r="I350" i="11"/>
  <c r="J350" i="11"/>
  <c r="I351" i="11"/>
  <c r="J351" i="11"/>
  <c r="I352" i="11"/>
  <c r="J352" i="11"/>
  <c r="I353" i="11"/>
  <c r="J353" i="11"/>
  <c r="I354" i="11"/>
  <c r="J354" i="11"/>
  <c r="I355" i="11"/>
  <c r="J355" i="11"/>
  <c r="I356" i="11"/>
  <c r="J356" i="11"/>
  <c r="I357" i="11"/>
  <c r="J357" i="11"/>
  <c r="I358" i="11"/>
  <c r="J358" i="11"/>
  <c r="I359" i="11"/>
  <c r="J359" i="11"/>
  <c r="I360" i="11"/>
  <c r="J360" i="11"/>
  <c r="I361" i="11"/>
  <c r="J361" i="11"/>
  <c r="I362" i="11"/>
  <c r="J362" i="11"/>
  <c r="I363" i="11"/>
  <c r="J363" i="11"/>
  <c r="I364" i="11"/>
  <c r="J364" i="11"/>
  <c r="I365" i="11"/>
  <c r="J365" i="11"/>
  <c r="I366" i="11"/>
  <c r="J366" i="11"/>
  <c r="I367" i="11"/>
  <c r="J367" i="11"/>
  <c r="I368" i="11"/>
  <c r="J368" i="11"/>
  <c r="I369" i="11"/>
  <c r="J369" i="11"/>
  <c r="I370" i="11"/>
  <c r="J370" i="11"/>
  <c r="I371" i="11"/>
  <c r="J371" i="11"/>
  <c r="I372" i="11"/>
  <c r="J372" i="11"/>
  <c r="I373" i="11"/>
  <c r="J373" i="11"/>
  <c r="I374" i="11"/>
  <c r="J374" i="11"/>
  <c r="I375" i="11"/>
  <c r="J375" i="11"/>
  <c r="I376" i="11"/>
  <c r="J376" i="11"/>
  <c r="I377" i="11"/>
  <c r="J377" i="11"/>
  <c r="I378" i="11"/>
  <c r="J378" i="11"/>
  <c r="I379" i="11"/>
  <c r="J379" i="11"/>
  <c r="I380" i="11"/>
  <c r="J380" i="11"/>
  <c r="I381" i="11"/>
  <c r="J381" i="11"/>
  <c r="I382" i="11"/>
  <c r="J382" i="11"/>
  <c r="I383" i="11"/>
  <c r="J383" i="11"/>
  <c r="I384" i="11"/>
  <c r="J384" i="11"/>
  <c r="I385" i="11"/>
  <c r="J385" i="11"/>
  <c r="I386" i="11"/>
  <c r="J386" i="11"/>
  <c r="I387" i="11"/>
  <c r="J387" i="11"/>
  <c r="I388" i="11"/>
  <c r="J388" i="11"/>
  <c r="I389" i="11"/>
  <c r="J389" i="11"/>
  <c r="I390" i="11"/>
  <c r="J390" i="11"/>
  <c r="I391" i="11"/>
  <c r="J391" i="11"/>
  <c r="I392" i="11"/>
  <c r="J392" i="11"/>
  <c r="I393" i="11"/>
  <c r="J393" i="11"/>
  <c r="I394" i="11"/>
  <c r="J394" i="11"/>
  <c r="I395" i="11"/>
  <c r="J395" i="11"/>
  <c r="I396" i="11"/>
  <c r="J396" i="11"/>
  <c r="I397" i="11"/>
  <c r="J397" i="11"/>
  <c r="I398" i="11"/>
  <c r="J398" i="11"/>
  <c r="I399" i="11"/>
  <c r="J399" i="11"/>
  <c r="I400" i="11"/>
  <c r="J400" i="11"/>
  <c r="I401" i="11"/>
  <c r="J401" i="11"/>
  <c r="I402" i="11"/>
  <c r="J402" i="11"/>
  <c r="I403" i="11"/>
  <c r="J403" i="11"/>
  <c r="I404" i="11"/>
  <c r="J404" i="11"/>
  <c r="I405" i="11"/>
  <c r="J405" i="11"/>
  <c r="I406" i="11"/>
  <c r="J406" i="11"/>
  <c r="I407" i="11"/>
  <c r="J407" i="11"/>
  <c r="I408" i="11"/>
  <c r="J408" i="11"/>
  <c r="I409" i="11"/>
  <c r="J409" i="11"/>
  <c r="I410" i="11"/>
  <c r="J410" i="11"/>
  <c r="I411" i="11"/>
  <c r="J411" i="11"/>
  <c r="I412" i="11"/>
  <c r="J412" i="11"/>
  <c r="I413" i="11"/>
  <c r="J413" i="11"/>
  <c r="I414" i="11"/>
  <c r="J414" i="11"/>
  <c r="I415" i="11"/>
  <c r="J415" i="11"/>
  <c r="I416" i="11"/>
  <c r="J416" i="11"/>
  <c r="I417" i="11"/>
  <c r="J417" i="11"/>
  <c r="I418" i="11"/>
  <c r="J418" i="11"/>
  <c r="I419" i="11"/>
  <c r="J419" i="11"/>
  <c r="I420" i="11"/>
  <c r="J420" i="11"/>
  <c r="I421" i="11"/>
  <c r="J421" i="11"/>
  <c r="I422" i="11"/>
  <c r="J422" i="11"/>
  <c r="I423" i="11"/>
  <c r="J423" i="11"/>
  <c r="I424" i="11"/>
  <c r="J424" i="11"/>
  <c r="I425" i="11"/>
  <c r="J425" i="11"/>
  <c r="I426" i="11"/>
  <c r="J426" i="11"/>
  <c r="I427" i="11"/>
  <c r="J427" i="11"/>
  <c r="I428" i="11"/>
  <c r="J428" i="11"/>
  <c r="I429" i="11"/>
  <c r="J429" i="11"/>
  <c r="I430" i="11"/>
  <c r="J430" i="11"/>
  <c r="I431" i="11"/>
  <c r="J431" i="11"/>
  <c r="I432" i="11"/>
  <c r="J432" i="11"/>
  <c r="I433" i="11"/>
  <c r="J433" i="11"/>
  <c r="I434" i="11"/>
  <c r="J434" i="11"/>
  <c r="I435" i="11"/>
  <c r="J435" i="11"/>
  <c r="I436" i="11"/>
  <c r="J436" i="11"/>
  <c r="I437" i="11"/>
  <c r="J437" i="11"/>
  <c r="I438" i="11"/>
  <c r="J438" i="11"/>
  <c r="I439" i="11"/>
  <c r="J439" i="11"/>
  <c r="I440" i="11"/>
  <c r="J440" i="11"/>
  <c r="I441" i="11"/>
  <c r="J441" i="11"/>
  <c r="I442" i="11"/>
  <c r="J442" i="11"/>
  <c r="I443" i="11"/>
  <c r="J443" i="11"/>
  <c r="I444" i="11"/>
  <c r="J444" i="11"/>
  <c r="I445" i="11"/>
  <c r="J445" i="11"/>
  <c r="I446" i="11"/>
  <c r="J446" i="11"/>
  <c r="I447" i="11"/>
  <c r="J447" i="11"/>
  <c r="I448" i="11"/>
  <c r="J448" i="11"/>
  <c r="I449" i="11"/>
  <c r="J449" i="11"/>
  <c r="I450" i="11"/>
  <c r="J450" i="11"/>
  <c r="I451" i="11"/>
  <c r="J451" i="11"/>
  <c r="I452" i="11"/>
  <c r="J452" i="11"/>
  <c r="I453" i="11"/>
  <c r="J453" i="11"/>
  <c r="I454" i="11"/>
  <c r="J454" i="11"/>
  <c r="I455" i="11"/>
  <c r="J455" i="11"/>
  <c r="I456" i="11"/>
  <c r="J456" i="11"/>
  <c r="I457" i="11"/>
  <c r="J457" i="11"/>
  <c r="I458" i="11"/>
  <c r="J458" i="11"/>
  <c r="I459" i="11"/>
  <c r="J459" i="11"/>
  <c r="I460" i="11"/>
  <c r="J460" i="11"/>
  <c r="I461" i="11"/>
  <c r="J461" i="11"/>
  <c r="I462" i="11"/>
  <c r="J462" i="11"/>
  <c r="I463" i="11"/>
  <c r="J463" i="11"/>
  <c r="I464" i="11"/>
  <c r="J464" i="11"/>
  <c r="I465" i="11"/>
  <c r="J465" i="11"/>
  <c r="I466" i="11"/>
  <c r="J466" i="11"/>
  <c r="I467" i="11"/>
  <c r="J467" i="11"/>
  <c r="I468" i="11"/>
  <c r="J468" i="11"/>
  <c r="I469" i="11"/>
  <c r="J469" i="11"/>
  <c r="I470" i="11"/>
  <c r="J470" i="11"/>
  <c r="I471" i="11"/>
  <c r="J471" i="11"/>
  <c r="I472" i="11"/>
  <c r="J472" i="11"/>
  <c r="I473" i="11"/>
  <c r="J473" i="11"/>
  <c r="I474" i="11"/>
  <c r="J474" i="11"/>
  <c r="I475" i="11"/>
  <c r="J475" i="11"/>
  <c r="I476" i="11"/>
  <c r="J476" i="11"/>
  <c r="I477" i="11"/>
  <c r="J477" i="11"/>
  <c r="I478" i="11"/>
  <c r="J478" i="11"/>
  <c r="I479" i="11"/>
  <c r="J479" i="11"/>
  <c r="I480" i="11"/>
  <c r="J480" i="11"/>
  <c r="I481" i="11"/>
  <c r="J481" i="11"/>
  <c r="I482" i="11"/>
  <c r="J482" i="11"/>
  <c r="I483" i="11"/>
  <c r="J483" i="11"/>
  <c r="I484" i="11"/>
  <c r="J484" i="11"/>
  <c r="I485" i="11"/>
  <c r="J485" i="11"/>
  <c r="I486" i="11"/>
  <c r="J486" i="11"/>
  <c r="I487" i="11"/>
  <c r="J487" i="11"/>
  <c r="I488" i="11"/>
  <c r="J488" i="11"/>
  <c r="I489" i="11"/>
  <c r="J489" i="11"/>
  <c r="I490" i="11"/>
  <c r="J490" i="11"/>
  <c r="I491" i="11"/>
  <c r="J491" i="11"/>
  <c r="I492" i="11"/>
  <c r="J492" i="11"/>
  <c r="I493" i="11"/>
  <c r="J493" i="11"/>
  <c r="I494" i="11"/>
  <c r="J494" i="11"/>
  <c r="I495" i="11"/>
  <c r="J495" i="11"/>
  <c r="I496" i="11"/>
  <c r="J496" i="11"/>
  <c r="I497" i="11"/>
  <c r="J497" i="11"/>
  <c r="I498" i="11"/>
  <c r="J498" i="11"/>
  <c r="I499" i="11"/>
  <c r="J499" i="11"/>
  <c r="I500" i="11"/>
  <c r="J500" i="11"/>
  <c r="I501" i="11"/>
  <c r="J501" i="11"/>
  <c r="I502" i="11"/>
  <c r="J502" i="11"/>
  <c r="I503" i="11"/>
  <c r="J503" i="11"/>
  <c r="I504" i="11"/>
  <c r="J504" i="11"/>
  <c r="I505" i="11"/>
  <c r="J505" i="11"/>
  <c r="I506" i="11"/>
  <c r="J506" i="11"/>
  <c r="I507" i="11"/>
  <c r="J507" i="11"/>
  <c r="I508" i="11"/>
  <c r="J508" i="11"/>
  <c r="I509" i="11"/>
  <c r="J509" i="11"/>
  <c r="I510" i="11"/>
  <c r="J510" i="11"/>
  <c r="I511" i="11"/>
  <c r="J511" i="11"/>
  <c r="I512" i="11"/>
  <c r="J512" i="11"/>
  <c r="I513" i="11"/>
  <c r="J513" i="11"/>
  <c r="I514" i="11"/>
  <c r="J514" i="11"/>
  <c r="I515" i="11"/>
  <c r="J515" i="11"/>
  <c r="I516" i="11"/>
  <c r="J516" i="11"/>
  <c r="I517" i="11"/>
  <c r="J517" i="11"/>
  <c r="I518" i="11"/>
  <c r="J518" i="11"/>
  <c r="I519" i="11"/>
  <c r="J519" i="11"/>
  <c r="I520" i="11"/>
  <c r="J520" i="11"/>
  <c r="I521" i="11"/>
  <c r="J521" i="11"/>
  <c r="I522" i="11"/>
  <c r="J522" i="11"/>
  <c r="I523" i="11"/>
  <c r="J523" i="11"/>
  <c r="I524" i="11"/>
  <c r="J524" i="11"/>
  <c r="I525" i="11"/>
  <c r="J525" i="11"/>
  <c r="I526" i="11"/>
  <c r="J526" i="11"/>
  <c r="I527" i="11"/>
  <c r="J527" i="11"/>
  <c r="I528" i="11"/>
  <c r="J528" i="11"/>
  <c r="I529" i="11"/>
  <c r="J529" i="11"/>
  <c r="I530" i="11"/>
  <c r="J530" i="11"/>
  <c r="I531" i="11"/>
  <c r="J531" i="11"/>
  <c r="I532" i="11"/>
  <c r="J532" i="11"/>
  <c r="I533" i="11"/>
  <c r="J533" i="11"/>
  <c r="I534" i="11"/>
  <c r="J534" i="11"/>
  <c r="I535" i="11"/>
  <c r="J535" i="11"/>
  <c r="I536" i="11"/>
  <c r="J536" i="11"/>
  <c r="I537" i="11"/>
  <c r="J537" i="11"/>
  <c r="I538" i="11"/>
  <c r="J538" i="11"/>
  <c r="I539" i="11"/>
  <c r="J539" i="11"/>
  <c r="I540" i="11"/>
  <c r="J540" i="11"/>
  <c r="I541" i="11"/>
  <c r="J541" i="11"/>
  <c r="I542" i="11"/>
  <c r="J542" i="11"/>
  <c r="I543" i="11"/>
  <c r="J543" i="11"/>
  <c r="I544" i="11"/>
  <c r="J544" i="11"/>
  <c r="I545" i="11"/>
  <c r="J545" i="11"/>
  <c r="I546" i="11"/>
  <c r="J546" i="11"/>
  <c r="I547" i="11"/>
  <c r="J547" i="11"/>
  <c r="I548" i="11"/>
  <c r="J548" i="11"/>
  <c r="I549" i="11"/>
  <c r="J549" i="11"/>
  <c r="I550" i="11"/>
  <c r="J550" i="11"/>
  <c r="I551" i="11"/>
  <c r="J551" i="11"/>
  <c r="I552" i="11"/>
  <c r="J552" i="11"/>
  <c r="I553" i="11"/>
  <c r="J553" i="11"/>
  <c r="I554" i="11"/>
  <c r="J554" i="11"/>
  <c r="I555" i="11"/>
  <c r="J555" i="11"/>
  <c r="I556" i="11"/>
  <c r="J556" i="11"/>
  <c r="I557" i="11"/>
  <c r="J557" i="11"/>
  <c r="I558" i="11"/>
  <c r="J558" i="11"/>
  <c r="I559" i="11"/>
  <c r="J559" i="11"/>
  <c r="I560" i="11"/>
  <c r="J560" i="11"/>
  <c r="I561" i="11"/>
  <c r="J561" i="11"/>
  <c r="I562" i="11"/>
  <c r="J562" i="11"/>
  <c r="I563" i="11"/>
  <c r="J563" i="11"/>
  <c r="I564" i="11"/>
  <c r="J564" i="11"/>
  <c r="I565" i="11"/>
  <c r="J565" i="11"/>
  <c r="I566" i="11"/>
  <c r="J566" i="11"/>
  <c r="I567" i="11"/>
  <c r="J567" i="11"/>
  <c r="I568" i="11"/>
  <c r="J568" i="11"/>
  <c r="I569" i="11"/>
  <c r="J569" i="11"/>
  <c r="I570" i="11"/>
  <c r="J570" i="11"/>
  <c r="I571" i="11"/>
  <c r="J571" i="11"/>
  <c r="I572" i="11"/>
  <c r="J572" i="11"/>
  <c r="I573" i="11"/>
  <c r="J573" i="11"/>
  <c r="I574" i="11"/>
  <c r="J574" i="11"/>
  <c r="I575" i="11"/>
  <c r="J575" i="11"/>
  <c r="I576" i="11"/>
  <c r="J576" i="11"/>
  <c r="I577" i="11"/>
  <c r="J577" i="11"/>
  <c r="I578" i="11"/>
  <c r="J578" i="11"/>
  <c r="I579" i="11"/>
  <c r="J579" i="11"/>
  <c r="I580" i="11"/>
  <c r="J580" i="11"/>
  <c r="I581" i="11"/>
  <c r="J581" i="11"/>
  <c r="I582" i="11"/>
  <c r="J582" i="11"/>
  <c r="I583" i="11"/>
  <c r="J583" i="11"/>
  <c r="I584" i="11"/>
  <c r="J584" i="11"/>
  <c r="I585" i="11"/>
  <c r="J585" i="11"/>
  <c r="I586" i="11"/>
  <c r="J586" i="11"/>
  <c r="I587" i="11"/>
  <c r="J587" i="11"/>
  <c r="I588" i="11"/>
  <c r="J588" i="11"/>
  <c r="I589" i="11"/>
  <c r="J589" i="11"/>
  <c r="I590" i="11"/>
  <c r="J590" i="11"/>
  <c r="I591" i="11"/>
  <c r="J591" i="11"/>
  <c r="I592" i="11"/>
  <c r="J592" i="11"/>
  <c r="I593" i="11"/>
  <c r="J593" i="11"/>
  <c r="I594" i="11"/>
  <c r="J594" i="11"/>
  <c r="I595" i="11"/>
  <c r="J595" i="11"/>
  <c r="I596" i="11"/>
  <c r="J596" i="11"/>
  <c r="I597" i="11"/>
  <c r="J597" i="11"/>
  <c r="I598" i="11"/>
  <c r="J598" i="11"/>
  <c r="I599" i="11"/>
  <c r="J599" i="11"/>
  <c r="I600" i="11"/>
  <c r="J600" i="11"/>
  <c r="I601" i="11"/>
  <c r="J601" i="11"/>
  <c r="I602" i="11"/>
  <c r="J602" i="11"/>
  <c r="I603" i="11"/>
  <c r="J603" i="11"/>
  <c r="I604" i="11"/>
  <c r="J604" i="11"/>
  <c r="I605" i="11"/>
  <c r="J605" i="11"/>
  <c r="I606" i="11"/>
  <c r="J606" i="11"/>
  <c r="I607" i="11"/>
  <c r="J607" i="11"/>
  <c r="I608" i="11"/>
  <c r="J608" i="11"/>
  <c r="I609" i="11"/>
  <c r="J609" i="11"/>
  <c r="I610" i="11"/>
  <c r="J610" i="11"/>
  <c r="I611" i="11"/>
  <c r="J611" i="11"/>
  <c r="I612" i="11"/>
  <c r="J612" i="11"/>
  <c r="I613" i="11"/>
  <c r="J613" i="11"/>
  <c r="I614" i="11"/>
  <c r="J614" i="11"/>
  <c r="I615" i="11"/>
  <c r="J615" i="11"/>
  <c r="I616" i="11"/>
  <c r="J616" i="11"/>
  <c r="I617" i="11"/>
  <c r="J617" i="11"/>
  <c r="I618" i="11"/>
  <c r="J618" i="11"/>
  <c r="I619" i="11"/>
  <c r="J619" i="11"/>
  <c r="I620" i="11"/>
  <c r="J620" i="11"/>
  <c r="I621" i="11"/>
  <c r="J621" i="11"/>
  <c r="I622" i="11"/>
  <c r="J622" i="11"/>
  <c r="I623" i="11"/>
  <c r="J623" i="11"/>
  <c r="I624" i="11"/>
  <c r="J624" i="11"/>
  <c r="I625" i="11"/>
  <c r="J625" i="11"/>
  <c r="I626" i="11"/>
  <c r="J626" i="11"/>
  <c r="I627" i="11"/>
  <c r="J627" i="11"/>
  <c r="I628" i="11"/>
  <c r="J628" i="11"/>
  <c r="I629" i="11"/>
  <c r="J629" i="11"/>
  <c r="I630" i="11"/>
  <c r="J630" i="11"/>
  <c r="I631" i="11"/>
  <c r="J631" i="11"/>
  <c r="I632" i="11"/>
  <c r="J632" i="11"/>
  <c r="I633" i="11"/>
  <c r="J633" i="11"/>
  <c r="I634" i="11"/>
  <c r="J634" i="11"/>
  <c r="I635" i="11"/>
  <c r="J635" i="11"/>
  <c r="I636" i="11"/>
  <c r="J636" i="11"/>
  <c r="I637" i="11"/>
  <c r="J637" i="11"/>
  <c r="I638" i="11"/>
  <c r="J638" i="11"/>
  <c r="I639" i="11"/>
  <c r="J639" i="11"/>
  <c r="I640" i="11"/>
  <c r="J640" i="11"/>
  <c r="I641" i="11"/>
  <c r="J641" i="11"/>
  <c r="I642" i="11"/>
  <c r="J642" i="11"/>
  <c r="I643" i="11"/>
  <c r="J643" i="11"/>
  <c r="I644" i="11"/>
  <c r="J644" i="11"/>
  <c r="I645" i="11"/>
  <c r="J645" i="11"/>
  <c r="I646" i="11"/>
  <c r="J646" i="11"/>
  <c r="I647" i="11"/>
  <c r="J647" i="11"/>
  <c r="I648" i="11"/>
  <c r="J648" i="11"/>
  <c r="I649" i="11"/>
  <c r="J649" i="11"/>
  <c r="I650" i="11"/>
  <c r="J650" i="11"/>
  <c r="I651" i="11"/>
  <c r="J651" i="11"/>
  <c r="I652" i="11"/>
  <c r="J652" i="11"/>
  <c r="I653" i="11"/>
  <c r="J653" i="11"/>
  <c r="I654" i="11"/>
  <c r="J654" i="11"/>
  <c r="I655" i="11"/>
  <c r="J655" i="11"/>
  <c r="I656" i="11"/>
  <c r="J656" i="11"/>
  <c r="I657" i="11"/>
  <c r="J657" i="11"/>
  <c r="I658" i="11"/>
  <c r="J658" i="11"/>
  <c r="I659" i="11"/>
  <c r="J659" i="11"/>
  <c r="I660" i="11"/>
  <c r="J660" i="11"/>
  <c r="I661" i="11"/>
  <c r="J661" i="11"/>
  <c r="I662" i="11"/>
  <c r="J662" i="11"/>
  <c r="I663" i="11"/>
  <c r="J663" i="11"/>
  <c r="I664" i="11"/>
  <c r="J664" i="11"/>
  <c r="I665" i="11"/>
  <c r="J665" i="11"/>
  <c r="I666" i="11"/>
  <c r="J666" i="11"/>
  <c r="I667" i="11"/>
  <c r="J667" i="11"/>
  <c r="I668" i="11"/>
  <c r="J668" i="11"/>
  <c r="I669" i="11"/>
  <c r="J669" i="11"/>
  <c r="I670" i="11"/>
  <c r="J670" i="11"/>
  <c r="I671" i="11"/>
  <c r="J671" i="11"/>
  <c r="I672" i="11"/>
  <c r="J672" i="11"/>
  <c r="I673" i="11"/>
  <c r="J673" i="11"/>
  <c r="I674" i="11"/>
  <c r="J674" i="11"/>
  <c r="I675" i="11"/>
  <c r="J675" i="11"/>
  <c r="I676" i="11"/>
  <c r="J676" i="11"/>
  <c r="I677" i="11"/>
  <c r="J677" i="11"/>
  <c r="I678" i="11"/>
  <c r="J678" i="11"/>
  <c r="I679" i="11"/>
  <c r="J679" i="11"/>
  <c r="I680" i="11"/>
  <c r="J680" i="11"/>
  <c r="I681" i="11"/>
  <c r="J681" i="11"/>
  <c r="I682" i="11"/>
  <c r="J682" i="11"/>
  <c r="I683" i="11"/>
  <c r="J683" i="11"/>
  <c r="I684" i="11"/>
  <c r="J684" i="11"/>
  <c r="I685" i="11"/>
  <c r="J685" i="11"/>
  <c r="I686" i="11"/>
  <c r="J686" i="11"/>
  <c r="I687" i="11"/>
  <c r="J687" i="11"/>
  <c r="I688" i="11"/>
  <c r="J688" i="11"/>
  <c r="I689" i="11"/>
  <c r="J689" i="11"/>
  <c r="I690" i="11"/>
  <c r="J690" i="11"/>
  <c r="I691" i="11"/>
  <c r="J691" i="11"/>
  <c r="I692" i="11"/>
  <c r="J692" i="11"/>
  <c r="I693" i="11"/>
  <c r="J693" i="11"/>
  <c r="I694" i="11"/>
  <c r="J694" i="11"/>
  <c r="I695" i="11"/>
  <c r="J695" i="11"/>
  <c r="I696" i="11"/>
  <c r="J696" i="11"/>
  <c r="I697" i="11"/>
  <c r="J697" i="11"/>
  <c r="I698" i="11"/>
  <c r="J698" i="11"/>
  <c r="I699" i="11"/>
  <c r="J699" i="11"/>
  <c r="I700" i="11"/>
  <c r="J700" i="11"/>
  <c r="I701" i="11"/>
  <c r="J701" i="11"/>
  <c r="I702" i="11"/>
  <c r="J702" i="11"/>
  <c r="I703" i="11"/>
  <c r="J703" i="11"/>
  <c r="I704" i="11"/>
  <c r="J704" i="11"/>
  <c r="I705" i="11"/>
  <c r="J705" i="11"/>
  <c r="I706" i="11"/>
  <c r="J706" i="11"/>
  <c r="I707" i="11"/>
  <c r="J707" i="11"/>
  <c r="I708" i="11"/>
  <c r="J708" i="11"/>
  <c r="I709" i="11"/>
  <c r="J709" i="11"/>
  <c r="I710" i="11"/>
  <c r="J710" i="11"/>
  <c r="I711" i="11"/>
  <c r="J711" i="11"/>
  <c r="I712" i="11"/>
  <c r="J712" i="11"/>
  <c r="I713" i="11"/>
  <c r="J713" i="11"/>
  <c r="I714" i="11"/>
  <c r="J714" i="11"/>
  <c r="I715" i="11"/>
  <c r="J715" i="11"/>
  <c r="I716" i="11"/>
  <c r="J716" i="11"/>
  <c r="I717" i="11"/>
  <c r="J717" i="11"/>
  <c r="I718" i="11"/>
  <c r="J718" i="11"/>
  <c r="I719" i="11"/>
  <c r="J719" i="11"/>
  <c r="I720" i="11"/>
  <c r="J720" i="11"/>
  <c r="I721" i="11"/>
  <c r="J721" i="11"/>
  <c r="I722" i="11"/>
  <c r="J722" i="11"/>
  <c r="I723" i="11"/>
  <c r="J723" i="11"/>
  <c r="I724" i="11"/>
  <c r="J724" i="11"/>
  <c r="I725" i="11"/>
  <c r="J725" i="11"/>
  <c r="I726" i="11"/>
  <c r="J726" i="11"/>
  <c r="I727" i="11"/>
  <c r="J727" i="11"/>
  <c r="I728" i="11"/>
  <c r="J728" i="11"/>
  <c r="I729" i="11"/>
  <c r="J729" i="11"/>
  <c r="I730" i="11"/>
  <c r="J730" i="11"/>
  <c r="I731" i="11"/>
  <c r="J731" i="11"/>
  <c r="I732" i="11"/>
  <c r="J732" i="11"/>
  <c r="I733" i="11"/>
  <c r="J733" i="11"/>
  <c r="I734" i="11"/>
  <c r="J734" i="11"/>
  <c r="I735" i="11"/>
  <c r="J735" i="11"/>
  <c r="I736" i="11"/>
  <c r="J736" i="11"/>
  <c r="I737" i="11"/>
  <c r="J737" i="11"/>
  <c r="I738" i="11"/>
  <c r="J738" i="11"/>
  <c r="I739" i="11"/>
  <c r="J739" i="11"/>
  <c r="I740" i="11"/>
  <c r="J740" i="11"/>
  <c r="I741" i="11"/>
  <c r="J741" i="11"/>
  <c r="I742" i="11"/>
  <c r="J742" i="11"/>
  <c r="I743" i="11"/>
  <c r="J743" i="11"/>
  <c r="I744" i="11"/>
  <c r="J744" i="11"/>
  <c r="I745" i="11"/>
  <c r="J745" i="11"/>
  <c r="I746" i="11"/>
  <c r="J746" i="11"/>
  <c r="I747" i="11"/>
  <c r="J747" i="11"/>
  <c r="I748" i="11"/>
  <c r="J748" i="11"/>
  <c r="I749" i="11"/>
  <c r="J749" i="11"/>
  <c r="I750" i="11"/>
  <c r="J750" i="11"/>
  <c r="I751" i="11"/>
  <c r="J751" i="11"/>
  <c r="I752" i="11"/>
  <c r="J752" i="11"/>
  <c r="I753" i="11"/>
  <c r="J753" i="11"/>
  <c r="I754" i="11"/>
  <c r="J754" i="11"/>
  <c r="I755" i="11"/>
  <c r="J755" i="11"/>
  <c r="I756" i="11"/>
  <c r="J756" i="11"/>
  <c r="I757" i="11"/>
  <c r="J757" i="11"/>
  <c r="I758" i="11"/>
  <c r="J758" i="11"/>
  <c r="I759" i="11"/>
  <c r="J759" i="11"/>
  <c r="I760" i="11"/>
  <c r="J760" i="11"/>
  <c r="I761" i="11"/>
  <c r="J761" i="11"/>
  <c r="I762" i="11"/>
  <c r="J762" i="11"/>
  <c r="I763" i="11"/>
  <c r="J763" i="11"/>
  <c r="I764" i="11"/>
  <c r="J764" i="11"/>
  <c r="I765" i="11"/>
  <c r="J765" i="11"/>
  <c r="I766" i="11"/>
  <c r="J766" i="11"/>
  <c r="I767" i="11"/>
  <c r="J767" i="11"/>
  <c r="I768" i="11"/>
  <c r="J768" i="11"/>
  <c r="I769" i="11"/>
  <c r="J769" i="11"/>
  <c r="I770" i="11"/>
  <c r="J770" i="11"/>
  <c r="I771" i="11"/>
  <c r="J771" i="11"/>
  <c r="I772" i="11"/>
  <c r="J772" i="11"/>
  <c r="I773" i="11"/>
  <c r="J773" i="11"/>
  <c r="I774" i="11"/>
  <c r="J774" i="11"/>
  <c r="I775" i="11"/>
  <c r="J775" i="11"/>
  <c r="I776" i="11"/>
  <c r="J776" i="11"/>
  <c r="I777" i="11"/>
  <c r="J777" i="11"/>
  <c r="I778" i="11"/>
  <c r="J778" i="11"/>
  <c r="I779" i="11"/>
  <c r="J779" i="11"/>
  <c r="I780" i="11"/>
  <c r="J780" i="11"/>
  <c r="I781" i="11"/>
  <c r="J781" i="11"/>
  <c r="I782" i="11"/>
  <c r="J782" i="11"/>
  <c r="I783" i="11"/>
  <c r="J783" i="11"/>
  <c r="I784" i="11"/>
  <c r="J784" i="11"/>
  <c r="I785" i="11"/>
  <c r="J785" i="11"/>
  <c r="I786" i="11"/>
  <c r="J786" i="11"/>
  <c r="I787" i="11"/>
  <c r="J787" i="11"/>
  <c r="I788" i="11"/>
  <c r="J788" i="11"/>
  <c r="I789" i="11"/>
  <c r="J789" i="11"/>
  <c r="I790" i="11"/>
  <c r="J790" i="11"/>
  <c r="I791" i="11"/>
  <c r="J791" i="11"/>
  <c r="I792" i="11"/>
  <c r="J792" i="11"/>
  <c r="I793" i="11"/>
  <c r="J793" i="11"/>
  <c r="I794" i="11"/>
  <c r="J794" i="11"/>
  <c r="I795" i="11"/>
  <c r="J795" i="11"/>
  <c r="I796" i="11"/>
  <c r="J796" i="11"/>
  <c r="I797" i="11"/>
  <c r="J797" i="11"/>
  <c r="I798" i="11"/>
  <c r="J798" i="11"/>
  <c r="I799" i="11"/>
  <c r="J799" i="11"/>
  <c r="I800" i="11"/>
  <c r="J800" i="11"/>
  <c r="I801" i="11"/>
  <c r="J801" i="11"/>
  <c r="I802" i="11"/>
  <c r="J802" i="11"/>
  <c r="I803" i="11"/>
  <c r="J803" i="11"/>
  <c r="I804" i="11"/>
  <c r="J804" i="11"/>
  <c r="I805" i="11"/>
  <c r="J805" i="11"/>
  <c r="I806" i="11"/>
  <c r="J806" i="11"/>
  <c r="I807" i="11"/>
  <c r="J807" i="11"/>
  <c r="I808" i="11"/>
  <c r="J808" i="11"/>
  <c r="I809" i="11"/>
  <c r="J809" i="11"/>
  <c r="I810" i="11"/>
  <c r="J810" i="11"/>
  <c r="I811" i="11"/>
  <c r="J811" i="11"/>
  <c r="I812" i="11"/>
  <c r="J812" i="11"/>
  <c r="I813" i="11"/>
  <c r="J813" i="11"/>
  <c r="I814" i="11"/>
  <c r="J814" i="11"/>
  <c r="I815" i="11"/>
  <c r="J815" i="11"/>
  <c r="I816" i="11"/>
  <c r="J816" i="11"/>
  <c r="I817" i="11"/>
  <c r="J817" i="11"/>
  <c r="I818" i="11"/>
  <c r="J818" i="11"/>
  <c r="I819" i="11"/>
  <c r="J819" i="11"/>
  <c r="I820" i="11"/>
  <c r="J820" i="11"/>
  <c r="I821" i="11"/>
  <c r="J821" i="11"/>
  <c r="I822" i="11"/>
  <c r="J822" i="11"/>
  <c r="I823" i="11"/>
  <c r="J823" i="11"/>
  <c r="I824" i="11"/>
  <c r="J824" i="11"/>
  <c r="I825" i="11"/>
  <c r="J825" i="11"/>
  <c r="I826" i="11"/>
  <c r="J826" i="11"/>
  <c r="I827" i="11"/>
  <c r="J827" i="11"/>
  <c r="I828" i="11"/>
  <c r="J828" i="11"/>
  <c r="I829" i="11"/>
  <c r="J829" i="11"/>
  <c r="I830" i="11"/>
  <c r="J830" i="11"/>
  <c r="I831" i="11"/>
  <c r="J831" i="11"/>
  <c r="I832" i="11"/>
  <c r="J832" i="11"/>
  <c r="I833" i="11"/>
  <c r="J833" i="11"/>
  <c r="I834" i="11"/>
  <c r="J834" i="11"/>
  <c r="I835" i="11"/>
  <c r="J835" i="11"/>
  <c r="I836" i="11"/>
  <c r="J836" i="11"/>
  <c r="I837" i="11"/>
  <c r="J837" i="11"/>
  <c r="I838" i="11"/>
  <c r="J838" i="11"/>
  <c r="I839" i="11"/>
  <c r="J839" i="11"/>
  <c r="I840" i="11"/>
  <c r="J840" i="11"/>
  <c r="I841" i="11"/>
  <c r="J841" i="11"/>
  <c r="I842" i="11"/>
  <c r="J842" i="11"/>
  <c r="I843" i="11"/>
  <c r="J843" i="11"/>
  <c r="I844" i="11"/>
  <c r="J844" i="11"/>
  <c r="I845" i="11"/>
  <c r="J845" i="11"/>
  <c r="I846" i="11"/>
  <c r="J846" i="11"/>
  <c r="I847" i="11"/>
  <c r="J847" i="11"/>
  <c r="I848" i="11"/>
  <c r="J848" i="11"/>
  <c r="I849" i="11"/>
  <c r="J849" i="11"/>
  <c r="I850" i="11"/>
  <c r="J850" i="11"/>
  <c r="I851" i="11"/>
  <c r="J851" i="11"/>
  <c r="I852" i="11"/>
  <c r="J852" i="11"/>
  <c r="I853" i="11"/>
  <c r="J853" i="11"/>
  <c r="I854" i="11"/>
  <c r="J854" i="11"/>
  <c r="I855" i="11"/>
  <c r="J855" i="11"/>
  <c r="I856" i="11"/>
  <c r="J856" i="11"/>
  <c r="I857" i="11"/>
  <c r="J857" i="11"/>
  <c r="I858" i="11"/>
  <c r="J858" i="11"/>
  <c r="I859" i="11"/>
  <c r="J859" i="11"/>
  <c r="I860" i="11"/>
  <c r="J860" i="11"/>
  <c r="I861" i="11"/>
  <c r="J861" i="11"/>
  <c r="I862" i="11"/>
  <c r="J862" i="11"/>
  <c r="I863" i="11"/>
  <c r="J863" i="11"/>
  <c r="I864" i="11"/>
  <c r="J864" i="11"/>
  <c r="I865" i="11"/>
  <c r="J865" i="11"/>
  <c r="I866" i="11"/>
  <c r="J866" i="11"/>
  <c r="I867" i="11"/>
  <c r="J867" i="11"/>
  <c r="I868" i="11"/>
  <c r="J868" i="11"/>
  <c r="I869" i="11"/>
  <c r="J869" i="11"/>
  <c r="I870" i="11"/>
  <c r="J870" i="11"/>
  <c r="I871" i="11"/>
  <c r="J871" i="11"/>
  <c r="I872" i="11"/>
  <c r="J872" i="11"/>
  <c r="I873" i="11"/>
  <c r="J873" i="11"/>
  <c r="I874" i="11"/>
  <c r="J874" i="11"/>
  <c r="I875" i="11"/>
  <c r="J875" i="11"/>
  <c r="I876" i="11"/>
  <c r="J876" i="11"/>
  <c r="I877" i="11"/>
  <c r="J877" i="11"/>
  <c r="I878" i="11"/>
  <c r="J878" i="11"/>
  <c r="I879" i="11"/>
  <c r="J879" i="11"/>
  <c r="I880" i="11"/>
  <c r="J880" i="11"/>
  <c r="I881" i="11"/>
  <c r="J881" i="11"/>
  <c r="I882" i="11"/>
  <c r="J882" i="11"/>
  <c r="I883" i="11"/>
  <c r="J883" i="11"/>
  <c r="I884" i="11"/>
  <c r="J884" i="11"/>
  <c r="I885" i="11"/>
  <c r="J885" i="11"/>
  <c r="I886" i="11"/>
  <c r="J886" i="11"/>
  <c r="I887" i="11"/>
  <c r="J887" i="11"/>
  <c r="I888" i="11"/>
  <c r="J888" i="11"/>
  <c r="I889" i="11"/>
  <c r="J889" i="11"/>
  <c r="I890" i="11"/>
  <c r="J890" i="11"/>
  <c r="I891" i="11"/>
  <c r="J891" i="11"/>
  <c r="I892" i="11"/>
  <c r="J892" i="11"/>
  <c r="I893" i="11"/>
  <c r="J893" i="11"/>
  <c r="I894" i="11"/>
  <c r="J894" i="11"/>
  <c r="I895" i="11"/>
  <c r="J895" i="11"/>
  <c r="I896" i="11"/>
  <c r="J896" i="11"/>
  <c r="I897" i="11"/>
  <c r="J897" i="11"/>
  <c r="I898" i="11"/>
  <c r="J898" i="11"/>
  <c r="I899" i="11"/>
  <c r="J899" i="11"/>
  <c r="I900" i="11"/>
  <c r="J900" i="11"/>
  <c r="I901" i="11"/>
  <c r="J901" i="11"/>
  <c r="I902" i="11"/>
  <c r="J902" i="11"/>
  <c r="I903" i="11"/>
  <c r="J903" i="11"/>
  <c r="I904" i="11"/>
  <c r="J904" i="11"/>
  <c r="I905" i="11"/>
  <c r="J905" i="11"/>
  <c r="I906" i="11"/>
  <c r="J906" i="11"/>
  <c r="I907" i="11"/>
  <c r="J907" i="11"/>
  <c r="I908" i="11"/>
  <c r="J908" i="11"/>
  <c r="I909" i="11"/>
  <c r="J909" i="11"/>
  <c r="I910" i="11"/>
  <c r="J910" i="11"/>
  <c r="I911" i="11"/>
  <c r="J911" i="11"/>
  <c r="I912" i="11"/>
  <c r="J912" i="11"/>
  <c r="I913" i="11"/>
  <c r="J913" i="11"/>
  <c r="I914" i="11"/>
  <c r="J914" i="11"/>
  <c r="I915" i="11"/>
  <c r="J915" i="11"/>
  <c r="I916" i="11"/>
  <c r="J916" i="11"/>
  <c r="I917" i="11"/>
  <c r="J917" i="11"/>
  <c r="I918" i="11"/>
  <c r="J918" i="11"/>
  <c r="I919" i="11"/>
  <c r="J919" i="11"/>
  <c r="I920" i="11"/>
  <c r="J920" i="11"/>
  <c r="I921" i="11"/>
  <c r="J921" i="11"/>
  <c r="I922" i="11"/>
  <c r="J922" i="11"/>
  <c r="I923" i="11"/>
  <c r="J923" i="11"/>
  <c r="I924" i="11"/>
  <c r="J924" i="11"/>
  <c r="I925" i="11"/>
  <c r="J925" i="11"/>
  <c r="I926" i="11"/>
  <c r="J926" i="11"/>
  <c r="I927" i="11"/>
  <c r="J927" i="11"/>
  <c r="I928" i="11"/>
  <c r="J928" i="11"/>
  <c r="I929" i="11"/>
  <c r="J929" i="11"/>
  <c r="I930" i="11"/>
  <c r="J930" i="11"/>
  <c r="I931" i="11"/>
  <c r="J931" i="11"/>
  <c r="I932" i="11"/>
  <c r="J932" i="11"/>
  <c r="I933" i="11"/>
  <c r="J933" i="11"/>
  <c r="I934" i="11"/>
  <c r="J934" i="11"/>
  <c r="I935" i="11"/>
  <c r="J935" i="11"/>
  <c r="I936" i="11"/>
  <c r="J936" i="11"/>
  <c r="I937" i="11"/>
  <c r="J937" i="11"/>
  <c r="I938" i="11"/>
  <c r="J938" i="11"/>
  <c r="I939" i="11"/>
  <c r="J939" i="11"/>
  <c r="I940" i="11"/>
  <c r="J940" i="11"/>
  <c r="I941" i="11"/>
  <c r="J941" i="11"/>
  <c r="I942" i="11"/>
  <c r="J942" i="11"/>
  <c r="I943" i="11"/>
  <c r="J943" i="11"/>
  <c r="I944" i="11"/>
  <c r="J944" i="11"/>
  <c r="I945" i="11"/>
  <c r="J945" i="11"/>
  <c r="I946" i="11"/>
  <c r="J946" i="11"/>
  <c r="I947" i="11"/>
  <c r="J947" i="11"/>
  <c r="I948" i="11"/>
  <c r="J948" i="11"/>
  <c r="I949" i="11"/>
  <c r="J949" i="11"/>
  <c r="I950" i="11"/>
  <c r="J950" i="11"/>
  <c r="I951" i="11"/>
  <c r="J951" i="11"/>
  <c r="I952" i="11"/>
  <c r="J952" i="11"/>
  <c r="I953" i="11"/>
  <c r="J953" i="11"/>
  <c r="I954" i="11"/>
  <c r="J954" i="11"/>
  <c r="I955" i="11"/>
  <c r="J955" i="11"/>
  <c r="I956" i="11"/>
  <c r="J956" i="11"/>
  <c r="I957" i="11"/>
  <c r="J957" i="11"/>
  <c r="I958" i="11"/>
  <c r="J958" i="11"/>
  <c r="I959" i="11"/>
  <c r="J959" i="11"/>
  <c r="I960" i="11"/>
  <c r="J960" i="11"/>
  <c r="I961" i="11"/>
  <c r="J961" i="11"/>
  <c r="I962" i="11"/>
  <c r="J962" i="11"/>
  <c r="I963" i="11"/>
  <c r="J963" i="11"/>
  <c r="I964" i="11"/>
  <c r="J964" i="11"/>
  <c r="I965" i="11"/>
  <c r="J965" i="11"/>
  <c r="I966" i="11"/>
  <c r="J966" i="11"/>
  <c r="I967" i="11"/>
  <c r="J967" i="11"/>
  <c r="I968" i="11"/>
  <c r="J968" i="11"/>
  <c r="I969" i="11"/>
  <c r="J969" i="11"/>
  <c r="I970" i="11"/>
  <c r="J970" i="11"/>
  <c r="I971" i="11"/>
  <c r="J971" i="11"/>
  <c r="I972" i="11"/>
  <c r="J972" i="11"/>
  <c r="I973" i="11"/>
  <c r="J973" i="11"/>
  <c r="I974" i="11"/>
  <c r="J974" i="11"/>
  <c r="I975" i="11"/>
  <c r="J975" i="11"/>
  <c r="I976" i="11"/>
  <c r="J976" i="11"/>
  <c r="I977" i="11"/>
  <c r="J977" i="11"/>
  <c r="I978" i="11"/>
  <c r="J978" i="11"/>
  <c r="I979" i="11"/>
  <c r="J979" i="11"/>
  <c r="I980" i="11"/>
  <c r="J980" i="11"/>
  <c r="I981" i="11"/>
  <c r="J981" i="11"/>
  <c r="I982" i="11"/>
  <c r="J982" i="11"/>
  <c r="I983" i="11"/>
  <c r="J983" i="11"/>
  <c r="I984" i="11"/>
  <c r="J984" i="11"/>
  <c r="I985" i="11"/>
  <c r="J985" i="11"/>
  <c r="I986" i="11"/>
  <c r="J986" i="11"/>
  <c r="I987" i="11"/>
  <c r="J987" i="11"/>
  <c r="I988" i="11"/>
  <c r="J988" i="11"/>
  <c r="I989" i="11"/>
  <c r="J989" i="11"/>
  <c r="I990" i="11"/>
  <c r="J990" i="11"/>
  <c r="I991" i="11"/>
  <c r="J991" i="11"/>
  <c r="I992" i="11"/>
  <c r="J992" i="11"/>
  <c r="I993" i="11"/>
  <c r="J993" i="11"/>
  <c r="I994" i="11"/>
  <c r="J994" i="11"/>
  <c r="I995" i="11"/>
  <c r="J995" i="11"/>
  <c r="I996" i="11"/>
  <c r="J996" i="11"/>
  <c r="I997" i="11"/>
  <c r="J997" i="11"/>
  <c r="I998" i="11"/>
  <c r="J998" i="11"/>
  <c r="I999" i="11"/>
  <c r="J999" i="11"/>
  <c r="I1000" i="11"/>
  <c r="J1000" i="11"/>
  <c r="I1001" i="11"/>
  <c r="J1001" i="11"/>
  <c r="I1002" i="11"/>
  <c r="J1002" i="11"/>
  <c r="I1003" i="11"/>
  <c r="J1003" i="11"/>
  <c r="I1004" i="11"/>
  <c r="J1004" i="11"/>
  <c r="I1005" i="11"/>
  <c r="J1005" i="11"/>
  <c r="I1006" i="11"/>
  <c r="J1006" i="11"/>
  <c r="I1007" i="11"/>
  <c r="J1007" i="11"/>
  <c r="I1008" i="11"/>
  <c r="J1008" i="11"/>
  <c r="I1009" i="11"/>
  <c r="J1009" i="11"/>
  <c r="I1010" i="11"/>
  <c r="J1010" i="11"/>
  <c r="I1011" i="11"/>
  <c r="J1011" i="11"/>
  <c r="I1012" i="11"/>
  <c r="J1012" i="11"/>
  <c r="I1013" i="11"/>
  <c r="J1013" i="11"/>
  <c r="I1014" i="11"/>
  <c r="J1014" i="11"/>
  <c r="I1015" i="11"/>
  <c r="J1015" i="11"/>
  <c r="I1016" i="11"/>
  <c r="J1016" i="11"/>
  <c r="I1017" i="11"/>
  <c r="J1017" i="11"/>
  <c r="I1018" i="11"/>
  <c r="J1018" i="11"/>
  <c r="I1019" i="11"/>
  <c r="J1019" i="11"/>
  <c r="I1020" i="11"/>
  <c r="J1020" i="11"/>
  <c r="I1021" i="11"/>
  <c r="J1021" i="11"/>
  <c r="I1022" i="11"/>
  <c r="J1022" i="11"/>
  <c r="I1023" i="11"/>
  <c r="J1023" i="11"/>
  <c r="I1024" i="11"/>
  <c r="J1024" i="11"/>
  <c r="I1025" i="11"/>
  <c r="J1025" i="11"/>
  <c r="I1026" i="11"/>
  <c r="J1026" i="11"/>
  <c r="I1027" i="11"/>
  <c r="J1027" i="11"/>
  <c r="I1028" i="11"/>
  <c r="J1028" i="11"/>
  <c r="I1029" i="11"/>
  <c r="J1029" i="11"/>
  <c r="I1030" i="11"/>
  <c r="J1030" i="11"/>
  <c r="I1031" i="11"/>
  <c r="J1031" i="11"/>
  <c r="I1032" i="11"/>
  <c r="J1032" i="11"/>
  <c r="I1033" i="11"/>
  <c r="J1033" i="11"/>
  <c r="I1034" i="11"/>
  <c r="J1034" i="11"/>
  <c r="I1035" i="11"/>
  <c r="J1035" i="11"/>
  <c r="I1036" i="11"/>
  <c r="J1036" i="11"/>
  <c r="I1037" i="11"/>
  <c r="J1037" i="11"/>
  <c r="I1038" i="11"/>
  <c r="J1038" i="11"/>
  <c r="I1039" i="11"/>
  <c r="J1039" i="11"/>
  <c r="I1040" i="11"/>
  <c r="J1040" i="11"/>
  <c r="I1041" i="11"/>
  <c r="J1041" i="11"/>
  <c r="I1042" i="11"/>
  <c r="J1042" i="11"/>
  <c r="I1043" i="11"/>
  <c r="J1043" i="11"/>
  <c r="I1044" i="11"/>
  <c r="J1044" i="11"/>
  <c r="I1045" i="11"/>
  <c r="J1045" i="11"/>
  <c r="I1046" i="11"/>
  <c r="J1046" i="11"/>
  <c r="I1047" i="11"/>
  <c r="J1047" i="11"/>
  <c r="I1048" i="11"/>
  <c r="J1048" i="11"/>
  <c r="I1049" i="11"/>
  <c r="J1049" i="11"/>
  <c r="I1050" i="11"/>
  <c r="J1050" i="11"/>
  <c r="I1051" i="11"/>
  <c r="J1051" i="11"/>
  <c r="I1052" i="11"/>
  <c r="J1052" i="11"/>
  <c r="I1053" i="11"/>
  <c r="J1053" i="11"/>
  <c r="I1054" i="11"/>
  <c r="J1054" i="11"/>
  <c r="I1055" i="11"/>
  <c r="J1055" i="11"/>
  <c r="I1056" i="11"/>
  <c r="J1056" i="11"/>
  <c r="I1057" i="11"/>
  <c r="J1057" i="11"/>
  <c r="I1058" i="11"/>
  <c r="J1058" i="11"/>
  <c r="I1059" i="11"/>
  <c r="J1059" i="11"/>
  <c r="I1060" i="11"/>
  <c r="J1060" i="11"/>
  <c r="I1061" i="11"/>
  <c r="J1061" i="11"/>
  <c r="I1062" i="11"/>
  <c r="J1062" i="11"/>
  <c r="I1063" i="11"/>
  <c r="J1063" i="11"/>
  <c r="I1064" i="11"/>
  <c r="J1064" i="11"/>
  <c r="I1065" i="11"/>
  <c r="J1065" i="11"/>
  <c r="I1066" i="11"/>
  <c r="J1066" i="11"/>
  <c r="I1067" i="11"/>
  <c r="J1067" i="11"/>
  <c r="I1068" i="11"/>
  <c r="J1068" i="11"/>
  <c r="I1069" i="11"/>
  <c r="J1069" i="11"/>
  <c r="I1070" i="11"/>
  <c r="J1070" i="11"/>
  <c r="I1071" i="11"/>
  <c r="J1071" i="11"/>
  <c r="I1072" i="11"/>
  <c r="J1072" i="11"/>
  <c r="I1073" i="11"/>
  <c r="J1073" i="11"/>
  <c r="I1074" i="11"/>
  <c r="J1074" i="11"/>
  <c r="I1075" i="11"/>
  <c r="J1075" i="11"/>
  <c r="I1076" i="11"/>
  <c r="J1076" i="11"/>
  <c r="I1077" i="11"/>
  <c r="J1077" i="11"/>
  <c r="I1078" i="11"/>
  <c r="J1078" i="11"/>
  <c r="I1079" i="11"/>
  <c r="J1079" i="11"/>
  <c r="I1080" i="11"/>
  <c r="J1080" i="11"/>
  <c r="I1081" i="11"/>
  <c r="J1081" i="11"/>
  <c r="I1082" i="11"/>
  <c r="J1082" i="11"/>
  <c r="I1083" i="11"/>
  <c r="J1083" i="11"/>
  <c r="I1084" i="11"/>
  <c r="J1084" i="11"/>
  <c r="I1085" i="11"/>
  <c r="J1085" i="11"/>
  <c r="I1086" i="11"/>
  <c r="J1086" i="11"/>
  <c r="I1087" i="11"/>
  <c r="J1087" i="11"/>
  <c r="I1088" i="11"/>
  <c r="J1088" i="11"/>
  <c r="I1089" i="11"/>
  <c r="J1089" i="11"/>
  <c r="I1090" i="11"/>
  <c r="J1090" i="11"/>
  <c r="I1091" i="11"/>
  <c r="J1091" i="11"/>
  <c r="I1092" i="11"/>
  <c r="J1092" i="11"/>
  <c r="I1093" i="11"/>
  <c r="J1093" i="11"/>
  <c r="I1094" i="11"/>
  <c r="J1094" i="11"/>
  <c r="I1095" i="11"/>
  <c r="J1095" i="11"/>
  <c r="I1096" i="11"/>
  <c r="J1096" i="11"/>
  <c r="I1097" i="11"/>
  <c r="J1097" i="11"/>
  <c r="I1098" i="11"/>
  <c r="J1098" i="11"/>
  <c r="I1099" i="11"/>
  <c r="J1099" i="11"/>
  <c r="I1100" i="11"/>
  <c r="J1100" i="11"/>
  <c r="I1101" i="11"/>
  <c r="J1101" i="11"/>
  <c r="I1102" i="11"/>
  <c r="J1102" i="11"/>
  <c r="I1103" i="11"/>
  <c r="J1103" i="11"/>
  <c r="I1104" i="11"/>
  <c r="J1104" i="11"/>
  <c r="I1105" i="11"/>
  <c r="J1105" i="11"/>
  <c r="I1106" i="11"/>
  <c r="J1106" i="11"/>
  <c r="I1107" i="11"/>
  <c r="J1107" i="11"/>
  <c r="I1108" i="11"/>
  <c r="J1108" i="11"/>
  <c r="I1109" i="11"/>
  <c r="J1109" i="11"/>
  <c r="I1110" i="11"/>
  <c r="J1110" i="11"/>
  <c r="I1111" i="11"/>
  <c r="J1111" i="11"/>
  <c r="I1112" i="11"/>
  <c r="J1112" i="11"/>
  <c r="I1113" i="11"/>
  <c r="J1113" i="11"/>
  <c r="I1114" i="11"/>
  <c r="J1114" i="11"/>
  <c r="I1115" i="11"/>
  <c r="J1115" i="11"/>
  <c r="I1116" i="11"/>
  <c r="J1116" i="11"/>
  <c r="I1117" i="11"/>
  <c r="J1117" i="11"/>
  <c r="I1118" i="11"/>
  <c r="J1118" i="11"/>
  <c r="I1119" i="11"/>
  <c r="J1119" i="11"/>
  <c r="I1120" i="11"/>
  <c r="J1120" i="11"/>
  <c r="I1121" i="11"/>
  <c r="J1121" i="11"/>
  <c r="I1122" i="11"/>
  <c r="J1122" i="11"/>
  <c r="I1123" i="11"/>
  <c r="J1123" i="11"/>
  <c r="I1124" i="11"/>
  <c r="J1124" i="11"/>
  <c r="I1125" i="11"/>
  <c r="J1125" i="11"/>
  <c r="I1126" i="11"/>
  <c r="J1126" i="11"/>
  <c r="I1127" i="11"/>
  <c r="J1127" i="11"/>
  <c r="I1128" i="11"/>
  <c r="J1128" i="11"/>
  <c r="I1129" i="11"/>
  <c r="J1129" i="11"/>
  <c r="I1130" i="11"/>
  <c r="J1130" i="11"/>
  <c r="I1131" i="11"/>
  <c r="J1131" i="11"/>
  <c r="I1132" i="11"/>
  <c r="J1132" i="11"/>
  <c r="I1133" i="11"/>
  <c r="J1133" i="11"/>
  <c r="I1134" i="11"/>
  <c r="J1134" i="11"/>
  <c r="I1135" i="11"/>
  <c r="J1135" i="11"/>
  <c r="I1136" i="11"/>
  <c r="J1136" i="11"/>
  <c r="I1137" i="11"/>
  <c r="J1137" i="11"/>
  <c r="I1138" i="11"/>
  <c r="J1138" i="11"/>
  <c r="I1139" i="11"/>
  <c r="J1139" i="11"/>
  <c r="I1140" i="11"/>
  <c r="J1140" i="11"/>
  <c r="I1141" i="11"/>
  <c r="J1141" i="11"/>
  <c r="I1142" i="11"/>
  <c r="J1142" i="11"/>
  <c r="I1143" i="11"/>
  <c r="J1143" i="11"/>
  <c r="I1144" i="11"/>
  <c r="J1144" i="11"/>
  <c r="I1145" i="11"/>
  <c r="J1145" i="11"/>
  <c r="I1146" i="11"/>
  <c r="J1146" i="11"/>
  <c r="I1147" i="11"/>
  <c r="J1147" i="11"/>
  <c r="I1148" i="11"/>
  <c r="J1148" i="11"/>
  <c r="I1149" i="11"/>
  <c r="J1149" i="11"/>
  <c r="I1150" i="11"/>
  <c r="J1150" i="11"/>
  <c r="I1151" i="11"/>
  <c r="J1151" i="11"/>
  <c r="I1152" i="11"/>
  <c r="J1152" i="11"/>
  <c r="I1153" i="11"/>
  <c r="J1153" i="11"/>
  <c r="I1154" i="11"/>
  <c r="J1154" i="11"/>
  <c r="I1155" i="11"/>
  <c r="J1155" i="11"/>
  <c r="I1156" i="11"/>
  <c r="J1156" i="11"/>
  <c r="I1157" i="11"/>
  <c r="J1157" i="11"/>
  <c r="I1158" i="11"/>
  <c r="J1158" i="11"/>
  <c r="I1159" i="11"/>
  <c r="J1159" i="11"/>
  <c r="I1160" i="11"/>
  <c r="J1160" i="11"/>
  <c r="I1161" i="11"/>
  <c r="J1161" i="11"/>
  <c r="I1162" i="11"/>
  <c r="J1162" i="11"/>
  <c r="I1163" i="11"/>
  <c r="J1163" i="11"/>
  <c r="I1164" i="11"/>
  <c r="J1164" i="11"/>
  <c r="I1165" i="11"/>
  <c r="J1165" i="11"/>
  <c r="I1166" i="11"/>
  <c r="J1166" i="11"/>
  <c r="I1167" i="11"/>
  <c r="J1167" i="11"/>
  <c r="I1168" i="11"/>
  <c r="J1168" i="11"/>
  <c r="I1169" i="11"/>
  <c r="J1169" i="11"/>
  <c r="I1170" i="11"/>
  <c r="J1170" i="11"/>
  <c r="I1171" i="11"/>
  <c r="J1171" i="11"/>
  <c r="I1172" i="11"/>
  <c r="J1172" i="11"/>
  <c r="I1173" i="11"/>
  <c r="J1173" i="11"/>
  <c r="I1174" i="11"/>
  <c r="J1174" i="11"/>
  <c r="I1175" i="11"/>
  <c r="J1175" i="11"/>
  <c r="I1176" i="11"/>
  <c r="J1176" i="11"/>
  <c r="I1177" i="11"/>
  <c r="J1177" i="11"/>
  <c r="I1178" i="11"/>
  <c r="J1178" i="11"/>
  <c r="I1179" i="11"/>
  <c r="J1179" i="11"/>
  <c r="I1180" i="11"/>
  <c r="J1180" i="11"/>
  <c r="I1181" i="11"/>
  <c r="J1181" i="11"/>
  <c r="I1182" i="11"/>
  <c r="J1182" i="11"/>
  <c r="I1183" i="11"/>
  <c r="J1183" i="11"/>
  <c r="I1184" i="11"/>
  <c r="J1184" i="11"/>
  <c r="I1185" i="11"/>
  <c r="J1185" i="11"/>
  <c r="I1186" i="11"/>
  <c r="J1186" i="11"/>
  <c r="I1187" i="11"/>
  <c r="J1187" i="11"/>
  <c r="I1188" i="11"/>
  <c r="J1188" i="11"/>
  <c r="I1189" i="11"/>
  <c r="J1189" i="11"/>
  <c r="I1190" i="11"/>
  <c r="J1190" i="11"/>
  <c r="I1191" i="11"/>
  <c r="J1191" i="11"/>
  <c r="I1192" i="11"/>
  <c r="J1192" i="11"/>
  <c r="I1193" i="11"/>
  <c r="J1193" i="11"/>
  <c r="I1194" i="11"/>
  <c r="J1194" i="11"/>
  <c r="I1195" i="11"/>
  <c r="J1195" i="11"/>
  <c r="I1196" i="11"/>
  <c r="J1196" i="11"/>
  <c r="I1197" i="11"/>
  <c r="J1197" i="11"/>
  <c r="I1198" i="11"/>
  <c r="J1198" i="11"/>
  <c r="I1199" i="11"/>
  <c r="J1199" i="11"/>
  <c r="I1200" i="11"/>
  <c r="J1200" i="11"/>
  <c r="I1201" i="11"/>
  <c r="J1201" i="11"/>
  <c r="I1202" i="11"/>
  <c r="J1202" i="11"/>
  <c r="I1203" i="11"/>
  <c r="J1203" i="11"/>
  <c r="I1204" i="11"/>
  <c r="J1204" i="11"/>
  <c r="I1205" i="11"/>
  <c r="J1205" i="11"/>
  <c r="I1206" i="11"/>
  <c r="J1206" i="11"/>
  <c r="I1207" i="11"/>
  <c r="J1207" i="11"/>
  <c r="I1208" i="11"/>
  <c r="J1208" i="11"/>
  <c r="I1209" i="11"/>
  <c r="J1209" i="11"/>
  <c r="I1210" i="11"/>
  <c r="J1210" i="11"/>
  <c r="I1211" i="11"/>
  <c r="J1211" i="11"/>
  <c r="I1212" i="11"/>
  <c r="J1212" i="11"/>
  <c r="I1213" i="11"/>
  <c r="J1213" i="11"/>
  <c r="I1214" i="11"/>
  <c r="J1214" i="11"/>
  <c r="I1215" i="11"/>
  <c r="J1215" i="11"/>
  <c r="I1216" i="11"/>
  <c r="J1216" i="11"/>
  <c r="I1217" i="11"/>
  <c r="J1217" i="11"/>
  <c r="I1218" i="11"/>
  <c r="J1218" i="11"/>
  <c r="I1219" i="11"/>
  <c r="J1219" i="11"/>
  <c r="I1220" i="11"/>
  <c r="J1220" i="11"/>
  <c r="I1221" i="11"/>
  <c r="J1221" i="11"/>
  <c r="I1222" i="11"/>
  <c r="J1222" i="11"/>
  <c r="I1223" i="11"/>
  <c r="J1223" i="11"/>
  <c r="I1224" i="11"/>
  <c r="J1224" i="11"/>
  <c r="I1225" i="11"/>
  <c r="J1225" i="11"/>
  <c r="I1226" i="11"/>
  <c r="J1226" i="11"/>
  <c r="I1227" i="11"/>
  <c r="J1227" i="11"/>
  <c r="I1228" i="11"/>
  <c r="J1228" i="11"/>
  <c r="I1229" i="11"/>
  <c r="J1229" i="11"/>
  <c r="I1230" i="11"/>
  <c r="J1230" i="11"/>
  <c r="I1231" i="11"/>
  <c r="J1231" i="11"/>
  <c r="I1232" i="11"/>
  <c r="J1232" i="11"/>
  <c r="I1233" i="11"/>
  <c r="J1233" i="11"/>
  <c r="I1234" i="11"/>
  <c r="J1234" i="11"/>
  <c r="I1235" i="11"/>
  <c r="J1235" i="11"/>
  <c r="I1236" i="11"/>
  <c r="J1236" i="11"/>
  <c r="I1237" i="11"/>
  <c r="J1237" i="11"/>
  <c r="I1238" i="11"/>
  <c r="J1238" i="11"/>
  <c r="I1239" i="11"/>
  <c r="J1239" i="11"/>
  <c r="I1240" i="11"/>
  <c r="J1240" i="11"/>
  <c r="I1241" i="11"/>
  <c r="J1241" i="11"/>
  <c r="I1242" i="11"/>
  <c r="J1242" i="11"/>
  <c r="I1243" i="11"/>
  <c r="J1243" i="11"/>
  <c r="I1244" i="11"/>
  <c r="J1244" i="11"/>
  <c r="I1245" i="11"/>
  <c r="J1245" i="11"/>
  <c r="I1246" i="11"/>
  <c r="J1246" i="11"/>
  <c r="I1247" i="11"/>
  <c r="J1247" i="11"/>
  <c r="I1248" i="11"/>
  <c r="J1248" i="11"/>
  <c r="I1249" i="11"/>
  <c r="J1249" i="11"/>
  <c r="I1250" i="11"/>
  <c r="J1250" i="11"/>
  <c r="I1251" i="11"/>
  <c r="J1251" i="11"/>
  <c r="I1252" i="11"/>
  <c r="J1252" i="11"/>
  <c r="I1253" i="11"/>
  <c r="J1253" i="11"/>
  <c r="I1254" i="11"/>
  <c r="J1254" i="11"/>
  <c r="I1255" i="11"/>
  <c r="J1255" i="11"/>
  <c r="I1256" i="11"/>
  <c r="J1256" i="11"/>
  <c r="I1257" i="11"/>
  <c r="J1257" i="11"/>
  <c r="I1258" i="11"/>
  <c r="J1258" i="11"/>
  <c r="I1259" i="11"/>
  <c r="J1259" i="11"/>
  <c r="I1260" i="11"/>
  <c r="J1260" i="11"/>
  <c r="I1261" i="11"/>
  <c r="J1261" i="11"/>
  <c r="I1262" i="11"/>
  <c r="J1262" i="11"/>
  <c r="I1263" i="11"/>
  <c r="J1263" i="11"/>
  <c r="I1264" i="11"/>
  <c r="J1264" i="11"/>
  <c r="I1265" i="11"/>
  <c r="J1265" i="11"/>
  <c r="I1266" i="11"/>
  <c r="J1266" i="11"/>
  <c r="I1267" i="11"/>
  <c r="J1267" i="11"/>
  <c r="I1268" i="11"/>
  <c r="J1268" i="11"/>
  <c r="I1269" i="11"/>
  <c r="J1269" i="11"/>
  <c r="I1270" i="11"/>
  <c r="J1270" i="11"/>
  <c r="I1271" i="11"/>
  <c r="J1271" i="11"/>
  <c r="I1272" i="11"/>
  <c r="J1272" i="11"/>
  <c r="I1273" i="11"/>
  <c r="J1273" i="11"/>
  <c r="I1274" i="11"/>
  <c r="J1274" i="11"/>
  <c r="I1275" i="11"/>
  <c r="J1275" i="11"/>
  <c r="I1276" i="11"/>
  <c r="J1276" i="11"/>
  <c r="I1277" i="11"/>
  <c r="J1277" i="11"/>
  <c r="I1278" i="11"/>
  <c r="J1278" i="11"/>
  <c r="I1279" i="11"/>
  <c r="J1279" i="11"/>
  <c r="I1280" i="11"/>
  <c r="J1280" i="11"/>
  <c r="I1281" i="11"/>
  <c r="J1281" i="11"/>
  <c r="I1282" i="11"/>
  <c r="J1282" i="11"/>
  <c r="I1283" i="11"/>
  <c r="J1283" i="11"/>
  <c r="I1284" i="11"/>
  <c r="J1284" i="11"/>
  <c r="I1285" i="11"/>
  <c r="J1285" i="11"/>
  <c r="I1286" i="11"/>
  <c r="J1286" i="11"/>
  <c r="I1287" i="11"/>
  <c r="J1287" i="11"/>
  <c r="I1288" i="11"/>
  <c r="J1288" i="11"/>
  <c r="I1289" i="11"/>
  <c r="J1289" i="11"/>
  <c r="I1290" i="11"/>
  <c r="J1290" i="11"/>
  <c r="I1291" i="11"/>
  <c r="J1291" i="11"/>
  <c r="I1292" i="11"/>
  <c r="J1292" i="11"/>
  <c r="I1293" i="11"/>
  <c r="J1293" i="11"/>
  <c r="I1294" i="11"/>
  <c r="J1294" i="11"/>
  <c r="I1295" i="11"/>
  <c r="J1295" i="11"/>
  <c r="I1296" i="11"/>
  <c r="J1296" i="11"/>
  <c r="I1297" i="11"/>
  <c r="J1297" i="11"/>
  <c r="I1298" i="11"/>
  <c r="J1298" i="11"/>
  <c r="I1299" i="11"/>
  <c r="J1299" i="11"/>
  <c r="I1300" i="11"/>
  <c r="J1300" i="11"/>
  <c r="I1301" i="11"/>
  <c r="J1301" i="11"/>
  <c r="I1302" i="11"/>
  <c r="J1302" i="11"/>
  <c r="I1303" i="11"/>
  <c r="J1303" i="11"/>
  <c r="I1304" i="11"/>
  <c r="J1304" i="11"/>
  <c r="I1305" i="11"/>
  <c r="J1305" i="11"/>
  <c r="I1306" i="11"/>
  <c r="J1306" i="11"/>
  <c r="I1307" i="11"/>
  <c r="J1307" i="11"/>
  <c r="I1308" i="11"/>
  <c r="J1308" i="11"/>
  <c r="I1309" i="11"/>
  <c r="J1309" i="11"/>
  <c r="I1310" i="11"/>
  <c r="J1310" i="11"/>
  <c r="I1311" i="11"/>
  <c r="J1311" i="11"/>
  <c r="I1312" i="11"/>
  <c r="J1312" i="11"/>
  <c r="I1313" i="11"/>
  <c r="J1313" i="11"/>
  <c r="I1314" i="11"/>
  <c r="J1314" i="11"/>
  <c r="I1315" i="11"/>
  <c r="J1315" i="11"/>
  <c r="I1316" i="11"/>
  <c r="J1316" i="11"/>
  <c r="I1317" i="11"/>
  <c r="J1317" i="11"/>
  <c r="I1318" i="11"/>
  <c r="J1318" i="11"/>
  <c r="I1319" i="11"/>
  <c r="J1319" i="11"/>
  <c r="I1320" i="11"/>
  <c r="J1320" i="11"/>
  <c r="I1321" i="11"/>
  <c r="J1321" i="11"/>
  <c r="I1322" i="11"/>
  <c r="J1322" i="11"/>
  <c r="I1323" i="11"/>
  <c r="J1323" i="11"/>
  <c r="I1324" i="11"/>
  <c r="J1324" i="11"/>
  <c r="I1325" i="11"/>
  <c r="J1325" i="11"/>
  <c r="I1326" i="11"/>
  <c r="J1326" i="11"/>
  <c r="I1327" i="11"/>
  <c r="J1327" i="11"/>
  <c r="I1328" i="11"/>
  <c r="J1328" i="11"/>
  <c r="I1329" i="11"/>
  <c r="J1329" i="11"/>
  <c r="I1330" i="11"/>
  <c r="J1330" i="11"/>
  <c r="I1331" i="11"/>
  <c r="J1331" i="11"/>
  <c r="I1332" i="11"/>
  <c r="J1332" i="11"/>
  <c r="I1333" i="11"/>
  <c r="J1333" i="11"/>
  <c r="I1334" i="11"/>
  <c r="J1334" i="11"/>
  <c r="I1335" i="11"/>
  <c r="J1335" i="11"/>
  <c r="I1336" i="11"/>
  <c r="J1336" i="11"/>
  <c r="I1337" i="11"/>
  <c r="J1337" i="11"/>
  <c r="I1338" i="11"/>
  <c r="J1338" i="11"/>
  <c r="I1339" i="11"/>
  <c r="J1339" i="11"/>
  <c r="I1340" i="11"/>
  <c r="J1340" i="11"/>
  <c r="I1341" i="11"/>
  <c r="J1341" i="11"/>
  <c r="I1342" i="11"/>
  <c r="J1342" i="11"/>
  <c r="I1343" i="11"/>
  <c r="J1343" i="11"/>
  <c r="I1344" i="11"/>
  <c r="J1344" i="11"/>
  <c r="I1345" i="11"/>
  <c r="J1345" i="11"/>
  <c r="I1346" i="11"/>
  <c r="J1346" i="11"/>
  <c r="I1347" i="11"/>
  <c r="J1347" i="11"/>
  <c r="I1348" i="11"/>
  <c r="J1348" i="11"/>
  <c r="I1349" i="11"/>
  <c r="J1349" i="11"/>
  <c r="I1350" i="11"/>
  <c r="J1350" i="11"/>
  <c r="I1351" i="11"/>
  <c r="J1351" i="11"/>
  <c r="I1352" i="11"/>
  <c r="J1352" i="11"/>
  <c r="I1353" i="11"/>
  <c r="J1353" i="11"/>
  <c r="I1354" i="11"/>
  <c r="J1354" i="11"/>
  <c r="I1355" i="11"/>
  <c r="J1355" i="11"/>
  <c r="I1356" i="11"/>
  <c r="J1356" i="11"/>
  <c r="I1357" i="11"/>
  <c r="J1357" i="11"/>
  <c r="I1358" i="11"/>
  <c r="J1358" i="11"/>
  <c r="I1359" i="11"/>
  <c r="J1359" i="11"/>
  <c r="I1360" i="11"/>
  <c r="J1360" i="11"/>
  <c r="I1361" i="11"/>
  <c r="J1361" i="11"/>
  <c r="I1362" i="11"/>
  <c r="J1362" i="11"/>
  <c r="I1363" i="11"/>
  <c r="J1363" i="11"/>
  <c r="I1364" i="11"/>
  <c r="J1364" i="11"/>
  <c r="I1365" i="11"/>
  <c r="J1365" i="11"/>
  <c r="I1366" i="11"/>
  <c r="J1366" i="11"/>
  <c r="I1367" i="11"/>
  <c r="J1367" i="11"/>
  <c r="I1368" i="11"/>
  <c r="J1368" i="11"/>
  <c r="I1369" i="11"/>
  <c r="J1369" i="11"/>
  <c r="I1370" i="11"/>
  <c r="J1370" i="11"/>
  <c r="I1371" i="11"/>
  <c r="J1371" i="11"/>
  <c r="I1372" i="11"/>
  <c r="J1372" i="11"/>
  <c r="I1373" i="11"/>
  <c r="J1373" i="11"/>
  <c r="I1374" i="11"/>
  <c r="J1374" i="11"/>
  <c r="I1375" i="11"/>
  <c r="J1375" i="11"/>
  <c r="I1376" i="11"/>
  <c r="J1376" i="11"/>
  <c r="I1377" i="11"/>
  <c r="J1377" i="11"/>
  <c r="I1378" i="11"/>
  <c r="J1378" i="11"/>
  <c r="I1379" i="11"/>
  <c r="J1379" i="11"/>
  <c r="I1380" i="11"/>
  <c r="J1380" i="11"/>
  <c r="I1381" i="11"/>
  <c r="J1381" i="11"/>
  <c r="I1382" i="11"/>
  <c r="J1382" i="11"/>
  <c r="I1383" i="11"/>
  <c r="J1383" i="11"/>
  <c r="I1384" i="11"/>
  <c r="J1384" i="11"/>
  <c r="I1385" i="11"/>
  <c r="J1385" i="11"/>
  <c r="I1386" i="11"/>
  <c r="J1386" i="11"/>
  <c r="I1387" i="11"/>
  <c r="J1387" i="11"/>
  <c r="I1388" i="11"/>
  <c r="J1388" i="11"/>
  <c r="I1389" i="11"/>
  <c r="J1389" i="11"/>
  <c r="I1390" i="11"/>
  <c r="J1390" i="11"/>
  <c r="I1391" i="11"/>
  <c r="J1391" i="11"/>
  <c r="I1392" i="11"/>
  <c r="J1392" i="11"/>
  <c r="I1393" i="11"/>
  <c r="J1393" i="11"/>
  <c r="I1394" i="11"/>
  <c r="J1394" i="11"/>
  <c r="I1395" i="11"/>
  <c r="J1395" i="11"/>
  <c r="I1396" i="11"/>
  <c r="J1396" i="11"/>
  <c r="I1397" i="11"/>
  <c r="J1397" i="11"/>
  <c r="I1398" i="11"/>
  <c r="J1398" i="11"/>
  <c r="I1399" i="11"/>
  <c r="J1399" i="11"/>
  <c r="I1400" i="11"/>
  <c r="J1400" i="11"/>
  <c r="I1401" i="11"/>
  <c r="J1401" i="11"/>
  <c r="I1402" i="11"/>
  <c r="J1402" i="11"/>
  <c r="I1403" i="11"/>
  <c r="J1403" i="11"/>
  <c r="I1404" i="11"/>
  <c r="J1404" i="11"/>
  <c r="I1405" i="11"/>
  <c r="J1405" i="11"/>
  <c r="I1406" i="11"/>
  <c r="J1406" i="11"/>
  <c r="I1407" i="11"/>
  <c r="J1407" i="11"/>
  <c r="I1408" i="11"/>
  <c r="J1408" i="11"/>
  <c r="I1409" i="11"/>
  <c r="J1409" i="11"/>
  <c r="I1410" i="11"/>
  <c r="J1410" i="11"/>
  <c r="I1411" i="11"/>
  <c r="J1411" i="11"/>
  <c r="I1412" i="11"/>
  <c r="J1412" i="11"/>
  <c r="I1413" i="11"/>
  <c r="J1413" i="11"/>
  <c r="I1414" i="11"/>
  <c r="J1414" i="11"/>
  <c r="I1415" i="11"/>
  <c r="J1415" i="11"/>
  <c r="I1416" i="11"/>
  <c r="J1416" i="11"/>
  <c r="I1417" i="11"/>
  <c r="J1417" i="11"/>
  <c r="I1418" i="11"/>
  <c r="J1418" i="11"/>
  <c r="I1419" i="11"/>
  <c r="J1419" i="11"/>
  <c r="I1420" i="11"/>
  <c r="J1420" i="11"/>
  <c r="I1421" i="11"/>
  <c r="J1421" i="11"/>
  <c r="I1422" i="11"/>
  <c r="J1422" i="11"/>
  <c r="I1423" i="11"/>
  <c r="J1423" i="11"/>
  <c r="I1424" i="11"/>
  <c r="J1424" i="11"/>
  <c r="I1425" i="11"/>
  <c r="J1425" i="11"/>
  <c r="I1426" i="11"/>
  <c r="J1426" i="11"/>
  <c r="I1427" i="11"/>
  <c r="J1427" i="11"/>
  <c r="I1428" i="11"/>
  <c r="J1428" i="11"/>
  <c r="I1429" i="11"/>
  <c r="J1429" i="11"/>
  <c r="I1430" i="11"/>
  <c r="J1430" i="11"/>
  <c r="I1431" i="11"/>
  <c r="J1431" i="11"/>
  <c r="I1432" i="11"/>
  <c r="J1432" i="11"/>
  <c r="I1433" i="11"/>
  <c r="J1433" i="11"/>
  <c r="I1434" i="11"/>
  <c r="J1434" i="11"/>
  <c r="I1435" i="11"/>
  <c r="J1435" i="11"/>
  <c r="I1436" i="11"/>
  <c r="J1436" i="11"/>
  <c r="I1437" i="11"/>
  <c r="J1437" i="11"/>
  <c r="I1438" i="11"/>
  <c r="J1438" i="11"/>
  <c r="I1439" i="11"/>
  <c r="J1439" i="11"/>
  <c r="I1440" i="11"/>
  <c r="J1440" i="11"/>
  <c r="I1441" i="11"/>
  <c r="J1441" i="11"/>
  <c r="I1442" i="11"/>
  <c r="J1442" i="11"/>
  <c r="I1443" i="11"/>
  <c r="J1443" i="11"/>
  <c r="I1444" i="11"/>
  <c r="J1444" i="11"/>
  <c r="I1445" i="11"/>
  <c r="J1445" i="11"/>
  <c r="I1446" i="11"/>
  <c r="J1446" i="11"/>
  <c r="I1447" i="11"/>
  <c r="J1447" i="11"/>
  <c r="I1448" i="11"/>
  <c r="J1448" i="11"/>
  <c r="I1449" i="11"/>
  <c r="J1449" i="11"/>
  <c r="I1450" i="11"/>
  <c r="J1450" i="11"/>
  <c r="I1451" i="11"/>
  <c r="J1451" i="11"/>
  <c r="I1452" i="11"/>
  <c r="J1452" i="11"/>
  <c r="I1453" i="11"/>
  <c r="J1453" i="11"/>
  <c r="I1454" i="11"/>
  <c r="J1454" i="11"/>
  <c r="I1455" i="11"/>
  <c r="J1455" i="11"/>
  <c r="I1456" i="11"/>
  <c r="J1456" i="11"/>
  <c r="I1457" i="11"/>
  <c r="J1457" i="11"/>
  <c r="I1458" i="11"/>
  <c r="J1458" i="11"/>
  <c r="I1459" i="11"/>
  <c r="J1459" i="11"/>
  <c r="I1460" i="11"/>
  <c r="J1460" i="11"/>
  <c r="I1461" i="11"/>
  <c r="J1461" i="11"/>
  <c r="I1462" i="11"/>
  <c r="J1462" i="11"/>
  <c r="I1463" i="11"/>
  <c r="J1463" i="11"/>
  <c r="I1464" i="11"/>
  <c r="J1464" i="11"/>
  <c r="I1465" i="11"/>
  <c r="J1465" i="11"/>
  <c r="I1466" i="11"/>
  <c r="J1466" i="11"/>
  <c r="I1467" i="11"/>
  <c r="J1467" i="11"/>
  <c r="I1468" i="11"/>
  <c r="J1468" i="11"/>
  <c r="I1469" i="11"/>
  <c r="J1469" i="11"/>
  <c r="I1470" i="11"/>
  <c r="J1470" i="11"/>
  <c r="I1471" i="11"/>
  <c r="J1471" i="11"/>
  <c r="I1472" i="11"/>
  <c r="J1472" i="11"/>
  <c r="I1473" i="11"/>
  <c r="J1473" i="11"/>
  <c r="I1474" i="11"/>
  <c r="J1474" i="11"/>
  <c r="I1475" i="11"/>
  <c r="J1475" i="11"/>
  <c r="I1476" i="11"/>
  <c r="J1476" i="11"/>
  <c r="I1477" i="11"/>
  <c r="J1477" i="11"/>
  <c r="I1478" i="11"/>
  <c r="J1478" i="11"/>
  <c r="I1479" i="11"/>
  <c r="J1479" i="11"/>
  <c r="I1480" i="11"/>
  <c r="J1480" i="11"/>
  <c r="I1481" i="11"/>
  <c r="J1481" i="11"/>
  <c r="I1482" i="11"/>
  <c r="J1482" i="11"/>
  <c r="I1483" i="11"/>
  <c r="J1483" i="11"/>
  <c r="I1484" i="11"/>
  <c r="J1484" i="11"/>
  <c r="I1485" i="11"/>
  <c r="J1485" i="11"/>
  <c r="I1486" i="11"/>
  <c r="J1486" i="11"/>
  <c r="I1487" i="11"/>
  <c r="J1487" i="11"/>
  <c r="I1488" i="11"/>
  <c r="J1488" i="11"/>
  <c r="I1489" i="11"/>
  <c r="J1489" i="11"/>
  <c r="I1490" i="11"/>
  <c r="J1490" i="11"/>
  <c r="I1491" i="11"/>
  <c r="J1491" i="11"/>
  <c r="I1492" i="11"/>
  <c r="J1492" i="11"/>
  <c r="I1493" i="11"/>
  <c r="J1493" i="11"/>
  <c r="I1494" i="11"/>
  <c r="J1494" i="11"/>
  <c r="I1495" i="11"/>
  <c r="J1495" i="11"/>
  <c r="I1496" i="11"/>
  <c r="J1496" i="11"/>
  <c r="I1497" i="11"/>
  <c r="J1497" i="11"/>
  <c r="I1498" i="11"/>
  <c r="J1498" i="11"/>
  <c r="I1499" i="11"/>
  <c r="J1499" i="11"/>
  <c r="I1500" i="11"/>
  <c r="J1500" i="11"/>
  <c r="I1501" i="11"/>
  <c r="J1501" i="11"/>
  <c r="I1502" i="11"/>
  <c r="J1502" i="11"/>
  <c r="I1503" i="11"/>
  <c r="J1503" i="11"/>
  <c r="I1504" i="11"/>
  <c r="J1504" i="11"/>
  <c r="I1505" i="11"/>
  <c r="J1505" i="11"/>
  <c r="I1506" i="11"/>
  <c r="J1506" i="11"/>
  <c r="I1507" i="11"/>
  <c r="J1507" i="11"/>
  <c r="I1508" i="11"/>
  <c r="J1508" i="11"/>
  <c r="I1509" i="11"/>
  <c r="J1509" i="11"/>
  <c r="I1510" i="11"/>
  <c r="J1510" i="11"/>
  <c r="I1511" i="11"/>
  <c r="J1511" i="11"/>
  <c r="I1512" i="11"/>
  <c r="J1512" i="11"/>
  <c r="I1513" i="11"/>
  <c r="J1513" i="11"/>
  <c r="I1514" i="11"/>
  <c r="J1514" i="11"/>
  <c r="I1515" i="11"/>
  <c r="J1515" i="11"/>
  <c r="I1516" i="11"/>
  <c r="J1516" i="11"/>
  <c r="I1517" i="11"/>
  <c r="J1517" i="11"/>
  <c r="I1518" i="11"/>
  <c r="J1518" i="11"/>
  <c r="I1519" i="11"/>
  <c r="J1519" i="11"/>
  <c r="I1520" i="11"/>
  <c r="J1520" i="11"/>
  <c r="I1521" i="11"/>
  <c r="J1521" i="11"/>
  <c r="I1522" i="11"/>
  <c r="J1522" i="11"/>
  <c r="I1523" i="11"/>
  <c r="J1523" i="11"/>
  <c r="I1524" i="11"/>
  <c r="J1524" i="11"/>
  <c r="I1525" i="11"/>
  <c r="J1525" i="11"/>
  <c r="I1526" i="11"/>
  <c r="J1526" i="11"/>
  <c r="I1527" i="11"/>
  <c r="J1527" i="11"/>
  <c r="I1528" i="11"/>
  <c r="J1528" i="11"/>
  <c r="I1529" i="11"/>
  <c r="J1529" i="11"/>
  <c r="I1530" i="11"/>
  <c r="J1530" i="11"/>
  <c r="I1531" i="11"/>
  <c r="J1531" i="11"/>
  <c r="I1532" i="11"/>
  <c r="J1532" i="11"/>
  <c r="I1533" i="11"/>
  <c r="J1533" i="11"/>
  <c r="I1534" i="11"/>
  <c r="J1534" i="11"/>
  <c r="I1535" i="11"/>
  <c r="J1535" i="11"/>
  <c r="I1536" i="11"/>
  <c r="J1536" i="11"/>
  <c r="I1537" i="11"/>
  <c r="J1537" i="11"/>
  <c r="I1538" i="11"/>
  <c r="J1538" i="11"/>
  <c r="I1539" i="11"/>
  <c r="J1539" i="11"/>
  <c r="I1540" i="11"/>
  <c r="J1540" i="11"/>
  <c r="I1541" i="11"/>
  <c r="J1541" i="11"/>
  <c r="I1542" i="11"/>
  <c r="J1542" i="11"/>
  <c r="I1543" i="11"/>
  <c r="J1543" i="11"/>
  <c r="I1544" i="11"/>
  <c r="J1544" i="11"/>
  <c r="I1545" i="11"/>
  <c r="J1545" i="11"/>
  <c r="I1546" i="11"/>
  <c r="J1546" i="11"/>
  <c r="I1547" i="11"/>
  <c r="J1547" i="11"/>
  <c r="I1548" i="11"/>
  <c r="J1548" i="11"/>
  <c r="I1549" i="11"/>
  <c r="J1549" i="11"/>
  <c r="I1550" i="11"/>
  <c r="J1550" i="11"/>
  <c r="I1551" i="11"/>
  <c r="J1551" i="11"/>
  <c r="I1552" i="11"/>
  <c r="J1552" i="11"/>
  <c r="I1553" i="11"/>
  <c r="J1553" i="11"/>
  <c r="I1554" i="11"/>
  <c r="J1554" i="11"/>
  <c r="I1555" i="11"/>
  <c r="J1555" i="11"/>
  <c r="I1556" i="11"/>
  <c r="J1556" i="11"/>
  <c r="I1557" i="11"/>
  <c r="J1557" i="11"/>
  <c r="I1558" i="11"/>
  <c r="J1558" i="11"/>
  <c r="I1559" i="11"/>
  <c r="J1559" i="11"/>
  <c r="I1560" i="11"/>
  <c r="J1560" i="11"/>
  <c r="I1561" i="11"/>
  <c r="J1561" i="11"/>
  <c r="I1562" i="11"/>
  <c r="J1562" i="11"/>
  <c r="I1563" i="11"/>
  <c r="J1563" i="11"/>
  <c r="I1564" i="11"/>
  <c r="J1564" i="11"/>
  <c r="I1565" i="11"/>
  <c r="J1565" i="11"/>
  <c r="I1566" i="11"/>
  <c r="J1566" i="11"/>
  <c r="I1567" i="11"/>
  <c r="J1567" i="11"/>
  <c r="I1568" i="11"/>
  <c r="J1568" i="11"/>
  <c r="I1569" i="11"/>
  <c r="J1569" i="11"/>
  <c r="I1570" i="11"/>
  <c r="J1570" i="11"/>
  <c r="I1571" i="11"/>
  <c r="J1571" i="11"/>
  <c r="I1572" i="11"/>
  <c r="J1572" i="11"/>
  <c r="I1573" i="11"/>
  <c r="J1573" i="11"/>
  <c r="I1574" i="11"/>
  <c r="J1574" i="11"/>
  <c r="I1575" i="11"/>
  <c r="J1575" i="11"/>
  <c r="I1576" i="11"/>
  <c r="J1576" i="11"/>
  <c r="I1577" i="11"/>
  <c r="J1577" i="11"/>
  <c r="I1578" i="11"/>
  <c r="J1578" i="11"/>
  <c r="I1579" i="11"/>
  <c r="J1579" i="11"/>
  <c r="I1580" i="11"/>
  <c r="J1580" i="11"/>
  <c r="I1581" i="11"/>
  <c r="J1581" i="11"/>
  <c r="I1582" i="11"/>
  <c r="J1582" i="11"/>
  <c r="I1583" i="11"/>
  <c r="J1583" i="11"/>
  <c r="I1584" i="11"/>
  <c r="J1584" i="11"/>
  <c r="I1585" i="11"/>
  <c r="J1585" i="11"/>
  <c r="I1586" i="11"/>
  <c r="J1586" i="11"/>
  <c r="I1587" i="11"/>
  <c r="J1587" i="11"/>
  <c r="I1588" i="11"/>
  <c r="J1588" i="11"/>
  <c r="I1589" i="11"/>
  <c r="J1589" i="11"/>
  <c r="I1590" i="11"/>
  <c r="J1590" i="11"/>
  <c r="I1591" i="11"/>
  <c r="J1591" i="11"/>
  <c r="I1592" i="11"/>
  <c r="J1592" i="11"/>
  <c r="I1593" i="11"/>
  <c r="J1593" i="11"/>
  <c r="I1594" i="11"/>
  <c r="J1594" i="11"/>
  <c r="I1595" i="11"/>
  <c r="J1595" i="11"/>
  <c r="I1596" i="11"/>
  <c r="J1596" i="11"/>
  <c r="I1597" i="11"/>
  <c r="J1597" i="11"/>
  <c r="I1598" i="11"/>
  <c r="J1598" i="11"/>
  <c r="I1599" i="11"/>
  <c r="J1599" i="11"/>
  <c r="I1600" i="11"/>
  <c r="J1600" i="11"/>
  <c r="I1601" i="11"/>
  <c r="J1601" i="11"/>
  <c r="I1602" i="11"/>
  <c r="J1602" i="11"/>
  <c r="I1603" i="11"/>
  <c r="J1603" i="11"/>
  <c r="I1604" i="11"/>
  <c r="J1604" i="11"/>
  <c r="I1605" i="11"/>
  <c r="J1605" i="11"/>
  <c r="I1606" i="11"/>
  <c r="J1606" i="11"/>
  <c r="I1607" i="11"/>
  <c r="J1607" i="11"/>
  <c r="I1608" i="11"/>
  <c r="J1608" i="11"/>
  <c r="I1609" i="11"/>
  <c r="J1609" i="11"/>
  <c r="I1610" i="11"/>
  <c r="J1610" i="11"/>
  <c r="I1611" i="11"/>
  <c r="J1611" i="11"/>
  <c r="I1612" i="11"/>
  <c r="J1612" i="11"/>
  <c r="I1613" i="11"/>
  <c r="J1613" i="11"/>
  <c r="I1614" i="11"/>
  <c r="J1614" i="11"/>
  <c r="I1615" i="11"/>
  <c r="J1615" i="11"/>
  <c r="I1616" i="11"/>
  <c r="J1616" i="11"/>
  <c r="I1617" i="11"/>
  <c r="J1617" i="11"/>
  <c r="I1618" i="11"/>
  <c r="J1618" i="11"/>
  <c r="I1619" i="11"/>
  <c r="J1619" i="11"/>
  <c r="I1620" i="11"/>
  <c r="J1620" i="11"/>
  <c r="I1621" i="11"/>
  <c r="J1621" i="11"/>
  <c r="I1622" i="11"/>
  <c r="J1622" i="11"/>
  <c r="I1623" i="11"/>
  <c r="J1623" i="11"/>
  <c r="I1624" i="11"/>
  <c r="J1624" i="11"/>
  <c r="I1625" i="11"/>
  <c r="J1625" i="11"/>
  <c r="I1626" i="11"/>
  <c r="J1626" i="11"/>
  <c r="I1627" i="11"/>
  <c r="J1627" i="11"/>
  <c r="I1628" i="11"/>
  <c r="J1628" i="11"/>
  <c r="I1629" i="11"/>
  <c r="J1629" i="11"/>
  <c r="I1630" i="11"/>
  <c r="J1630" i="11"/>
  <c r="I1631" i="11"/>
  <c r="J1631" i="11"/>
  <c r="I1632" i="11"/>
  <c r="J1632" i="11"/>
  <c r="I1633" i="11"/>
  <c r="J1633" i="11"/>
  <c r="I1634" i="11"/>
  <c r="J1634" i="11"/>
  <c r="I1635" i="11"/>
  <c r="J1635" i="11"/>
  <c r="I1636" i="11"/>
  <c r="J1636" i="11"/>
  <c r="I1637" i="11"/>
  <c r="J1637" i="11"/>
  <c r="I1638" i="11"/>
  <c r="J1638" i="11"/>
  <c r="I1639" i="11"/>
  <c r="J1639" i="11"/>
  <c r="I1640" i="11"/>
  <c r="J1640" i="11"/>
  <c r="I1641" i="11"/>
  <c r="J1641" i="11"/>
  <c r="I1642" i="11"/>
  <c r="J1642" i="11"/>
  <c r="I1643" i="11"/>
  <c r="J1643" i="11"/>
  <c r="I1644" i="11"/>
  <c r="J1644" i="11"/>
  <c r="I1645" i="11"/>
  <c r="J1645" i="11"/>
  <c r="I1646" i="11"/>
  <c r="J1646" i="11"/>
  <c r="I1647" i="11"/>
  <c r="J1647" i="11"/>
  <c r="I1648" i="11"/>
  <c r="J1648" i="11"/>
  <c r="I1649" i="11"/>
  <c r="J1649" i="11"/>
  <c r="I1650" i="11"/>
  <c r="J1650" i="11"/>
  <c r="I1651" i="11"/>
  <c r="J1651" i="11"/>
  <c r="I1652" i="11"/>
  <c r="J1652" i="11"/>
  <c r="I1653" i="11"/>
  <c r="J1653" i="11"/>
  <c r="I1654" i="11"/>
  <c r="J1654" i="11"/>
  <c r="I1655" i="11"/>
  <c r="J1655" i="11"/>
  <c r="I1656" i="11"/>
  <c r="J1656" i="11"/>
  <c r="I1657" i="11"/>
  <c r="J1657" i="11"/>
  <c r="I1658" i="11"/>
  <c r="J1658" i="11"/>
  <c r="I1659" i="11"/>
  <c r="J1659" i="11"/>
  <c r="I1660" i="11"/>
  <c r="J1660" i="11"/>
  <c r="I1661" i="11"/>
  <c r="J1661" i="11"/>
  <c r="I1662" i="11"/>
  <c r="J1662" i="11"/>
  <c r="I1663" i="11"/>
  <c r="J1663" i="11"/>
  <c r="I1664" i="11"/>
  <c r="J1664" i="11"/>
  <c r="I1665" i="11"/>
  <c r="J1665" i="11"/>
  <c r="I1666" i="11"/>
  <c r="J1666" i="11"/>
  <c r="I1667" i="11"/>
  <c r="J1667" i="11"/>
  <c r="I1668" i="11"/>
  <c r="J1668" i="11"/>
  <c r="I1669" i="11"/>
  <c r="J1669" i="11"/>
  <c r="I1670" i="11"/>
  <c r="J1670" i="11"/>
  <c r="I1671" i="11"/>
  <c r="J1671" i="11"/>
  <c r="I1672" i="11"/>
  <c r="J1672" i="11"/>
  <c r="I1673" i="11"/>
  <c r="J1673" i="11"/>
  <c r="I1674" i="11"/>
  <c r="J1674" i="11"/>
  <c r="I1675" i="11"/>
  <c r="J1675" i="11"/>
  <c r="I1676" i="11"/>
  <c r="J1676" i="11"/>
  <c r="I1677" i="11"/>
  <c r="J1677" i="11"/>
  <c r="I1678" i="11"/>
  <c r="J1678" i="11"/>
  <c r="I1679" i="11"/>
  <c r="J1679" i="11"/>
  <c r="I1680" i="11"/>
  <c r="J1680" i="11"/>
  <c r="I1681" i="11"/>
  <c r="J1681" i="11"/>
  <c r="I1682" i="11"/>
  <c r="J1682" i="11"/>
  <c r="I1683" i="11"/>
  <c r="J1683" i="11"/>
  <c r="I1684" i="11"/>
  <c r="J1684" i="11"/>
  <c r="I1685" i="11"/>
  <c r="J1685" i="11"/>
  <c r="I1686" i="11"/>
  <c r="J1686" i="11"/>
  <c r="I1687" i="11"/>
  <c r="J1687" i="11"/>
  <c r="I1688" i="11"/>
  <c r="J1688" i="11"/>
  <c r="I1689" i="11"/>
  <c r="J1689" i="11"/>
  <c r="I1690" i="11"/>
  <c r="J1690" i="11"/>
  <c r="I1691" i="11"/>
  <c r="J1691" i="11"/>
  <c r="I1692" i="11"/>
  <c r="J1692" i="11"/>
  <c r="I1693" i="11"/>
  <c r="J1693" i="11"/>
  <c r="I1694" i="11"/>
  <c r="J1694" i="11"/>
  <c r="I1695" i="11"/>
  <c r="J1695" i="11"/>
  <c r="I1696" i="11"/>
  <c r="J1696" i="11"/>
  <c r="I1697" i="11"/>
  <c r="J1697" i="11"/>
  <c r="I1698" i="11"/>
  <c r="J1698" i="11"/>
  <c r="I1699" i="11"/>
  <c r="J1699" i="11"/>
  <c r="I1700" i="11"/>
  <c r="J1700" i="11"/>
  <c r="I1701" i="11"/>
  <c r="J1701" i="11"/>
  <c r="I1702" i="11"/>
  <c r="J1702" i="11"/>
  <c r="I1703" i="11"/>
  <c r="J1703" i="11"/>
  <c r="I1704" i="11"/>
  <c r="J1704" i="11"/>
  <c r="I1705" i="11"/>
  <c r="J1705" i="11"/>
  <c r="I1706" i="11"/>
  <c r="J1706" i="11"/>
  <c r="I1707" i="11"/>
  <c r="J1707" i="11"/>
  <c r="I1708" i="11"/>
  <c r="J1708" i="11"/>
  <c r="I1709" i="11"/>
  <c r="J1709" i="11"/>
  <c r="I1710" i="11"/>
  <c r="J1710" i="11"/>
  <c r="I1711" i="11"/>
  <c r="J1711" i="11"/>
  <c r="I1712" i="11"/>
  <c r="J1712" i="11"/>
  <c r="I1713" i="11"/>
  <c r="J1713" i="11"/>
  <c r="I1714" i="11"/>
  <c r="J1714" i="11"/>
  <c r="I1715" i="11"/>
  <c r="J1715" i="11"/>
  <c r="I1716" i="11"/>
  <c r="J1716" i="11"/>
  <c r="I1717" i="11"/>
  <c r="J1717" i="11"/>
  <c r="I1718" i="11"/>
  <c r="J1718" i="11"/>
  <c r="I1719" i="11"/>
  <c r="J1719" i="11"/>
  <c r="I1720" i="11"/>
  <c r="J1720" i="11"/>
  <c r="I1721" i="11"/>
  <c r="J1721" i="11"/>
  <c r="I1722" i="11"/>
  <c r="J1722" i="11"/>
  <c r="I1723" i="11"/>
  <c r="J1723" i="11"/>
  <c r="I1724" i="11"/>
  <c r="J1724" i="11"/>
  <c r="I1725" i="11"/>
  <c r="J1725" i="11"/>
  <c r="I1726" i="11"/>
  <c r="J1726" i="11"/>
  <c r="I1727" i="11"/>
  <c r="J1727" i="11"/>
  <c r="I1728" i="11"/>
  <c r="J1728" i="11"/>
  <c r="I1729" i="11"/>
  <c r="J1729" i="11"/>
  <c r="I1730" i="11"/>
  <c r="J1730" i="11"/>
  <c r="I1731" i="11"/>
  <c r="J1731" i="11"/>
  <c r="I1732" i="11"/>
  <c r="J1732" i="11"/>
  <c r="I1733" i="11"/>
  <c r="J1733" i="11"/>
  <c r="I1734" i="11"/>
  <c r="J1734" i="11"/>
  <c r="I1735" i="11"/>
  <c r="J1735" i="11"/>
  <c r="I1736" i="11"/>
  <c r="J1736" i="11"/>
  <c r="I1737" i="11"/>
  <c r="J1737" i="11"/>
  <c r="I1738" i="11"/>
  <c r="J1738" i="11"/>
  <c r="I1739" i="11"/>
  <c r="J1739" i="11"/>
  <c r="I1740" i="11"/>
  <c r="J1740" i="11"/>
  <c r="I1741" i="11"/>
  <c r="J1741" i="11"/>
  <c r="I1742" i="11"/>
  <c r="J1742" i="11"/>
  <c r="I1743" i="11"/>
  <c r="J1743" i="11"/>
  <c r="I1744" i="11"/>
  <c r="J1744" i="11"/>
  <c r="I1745" i="11"/>
  <c r="J1745" i="11"/>
  <c r="I1746" i="11"/>
  <c r="J1746" i="11"/>
  <c r="I1747" i="11"/>
  <c r="J1747" i="11"/>
  <c r="I1748" i="11"/>
  <c r="J1748" i="11"/>
  <c r="I1749" i="11"/>
  <c r="J1749" i="11"/>
  <c r="I1750" i="11"/>
  <c r="J1750" i="11"/>
  <c r="I1751" i="11"/>
  <c r="J1751" i="11"/>
  <c r="I1752" i="11"/>
  <c r="J1752" i="11"/>
  <c r="I1753" i="11"/>
  <c r="J1753" i="11"/>
  <c r="I1754" i="11"/>
  <c r="J1754" i="11"/>
  <c r="I1755" i="11"/>
  <c r="J1755" i="11"/>
  <c r="I1756" i="11"/>
  <c r="J1756" i="11"/>
  <c r="I1757" i="11"/>
  <c r="J1757" i="11"/>
  <c r="I1758" i="11"/>
  <c r="J1758" i="11"/>
  <c r="I1759" i="11"/>
  <c r="J1759" i="11"/>
  <c r="I1760" i="11"/>
  <c r="J1760" i="11"/>
  <c r="I1761" i="11"/>
  <c r="J1761" i="11"/>
  <c r="I1762" i="11"/>
  <c r="J1762" i="11"/>
  <c r="I1763" i="11"/>
  <c r="J1763" i="11"/>
  <c r="I1764" i="11"/>
  <c r="J1764" i="11"/>
  <c r="I1765" i="11"/>
  <c r="J1765" i="11"/>
  <c r="I1766" i="11"/>
  <c r="J1766" i="11"/>
  <c r="I1767" i="11"/>
  <c r="J1767" i="11"/>
  <c r="I1768" i="11"/>
  <c r="J1768" i="11"/>
  <c r="I1769" i="11"/>
  <c r="J1769" i="11"/>
  <c r="I1770" i="11"/>
  <c r="J1770" i="11"/>
  <c r="I1771" i="11"/>
  <c r="J1771" i="11"/>
  <c r="I1772" i="11"/>
  <c r="J1772" i="11"/>
  <c r="I1773" i="11"/>
  <c r="J1773" i="11"/>
  <c r="I1774" i="11"/>
  <c r="J1774" i="11"/>
  <c r="I1775" i="11"/>
  <c r="J1775" i="11"/>
  <c r="I1776" i="11"/>
  <c r="J1776" i="11"/>
  <c r="I1777" i="11"/>
  <c r="J1777" i="11"/>
  <c r="I1778" i="11"/>
  <c r="J1778" i="11"/>
  <c r="I1779" i="11"/>
  <c r="J1779" i="11"/>
  <c r="I1780" i="11"/>
  <c r="J1780" i="11"/>
  <c r="I1781" i="11"/>
  <c r="J1781" i="11"/>
  <c r="I1782" i="11"/>
  <c r="J1782" i="11"/>
  <c r="I1783" i="11"/>
  <c r="J1783" i="11"/>
  <c r="I1784" i="11"/>
  <c r="J1784" i="11"/>
  <c r="I1785" i="11"/>
  <c r="J1785" i="11"/>
  <c r="I1786" i="11"/>
  <c r="J1786" i="11"/>
  <c r="I1787" i="11"/>
  <c r="J1787" i="11"/>
  <c r="I1788" i="11"/>
  <c r="J1788" i="11"/>
  <c r="I1789" i="11"/>
  <c r="J1789" i="11"/>
  <c r="I1790" i="11"/>
  <c r="J1790" i="11"/>
  <c r="I1791" i="11"/>
  <c r="J1791" i="11"/>
  <c r="I1792" i="11"/>
  <c r="J1792" i="11"/>
  <c r="I1793" i="11"/>
  <c r="J1793" i="11"/>
  <c r="I1794" i="11"/>
  <c r="J1794" i="11"/>
  <c r="I1795" i="11"/>
  <c r="J1795" i="11"/>
  <c r="I1796" i="11"/>
  <c r="J1796" i="11"/>
  <c r="I1797" i="11"/>
  <c r="J1797" i="11"/>
  <c r="I1798" i="11"/>
  <c r="J1798" i="11"/>
  <c r="I1799" i="11"/>
  <c r="J1799" i="11"/>
  <c r="I1800" i="11"/>
  <c r="J1800" i="11"/>
  <c r="I1801" i="11"/>
  <c r="J1801" i="11"/>
  <c r="I1802" i="11"/>
  <c r="J1802" i="11"/>
  <c r="I1803" i="11"/>
  <c r="J1803" i="11"/>
  <c r="I1804" i="11"/>
  <c r="J1804" i="11"/>
  <c r="I1805" i="11"/>
  <c r="J1805" i="11"/>
  <c r="I1806" i="11"/>
  <c r="J1806" i="11"/>
  <c r="I1807" i="11"/>
  <c r="J1807" i="11"/>
  <c r="I1808" i="11"/>
  <c r="J1808" i="11"/>
  <c r="I1809" i="11"/>
  <c r="J1809" i="11"/>
  <c r="I1810" i="11"/>
  <c r="J1810" i="11"/>
  <c r="I1811" i="11"/>
  <c r="J1811" i="11"/>
  <c r="I1812" i="11"/>
  <c r="J1812" i="11"/>
  <c r="I1813" i="11"/>
  <c r="J1813" i="11"/>
  <c r="I1814" i="11"/>
  <c r="J1814" i="11"/>
  <c r="I1815" i="11"/>
  <c r="J1815" i="11"/>
  <c r="I1816" i="11"/>
  <c r="J1816" i="11"/>
  <c r="I1817" i="11"/>
  <c r="J1817" i="11"/>
  <c r="I1818" i="11"/>
  <c r="J1818" i="11"/>
  <c r="I1819" i="11"/>
  <c r="J1819" i="11"/>
  <c r="I1820" i="11"/>
  <c r="J1820" i="11"/>
  <c r="I1821" i="11"/>
  <c r="J1821" i="11"/>
  <c r="I1822" i="11"/>
  <c r="J1822" i="11"/>
  <c r="I1823" i="11"/>
  <c r="J1823" i="11"/>
  <c r="I1824" i="11"/>
  <c r="J1824" i="11"/>
  <c r="I1825" i="11"/>
  <c r="J1825" i="11"/>
  <c r="I1826" i="11"/>
  <c r="J1826" i="11"/>
  <c r="I1827" i="11"/>
  <c r="J1827" i="11"/>
  <c r="I1828" i="11"/>
  <c r="J1828" i="11"/>
  <c r="I1829" i="11"/>
  <c r="J1829" i="11"/>
  <c r="I1830" i="11"/>
  <c r="J1830" i="11"/>
  <c r="I1831" i="11"/>
  <c r="J1831" i="11"/>
  <c r="I1832" i="11"/>
  <c r="J1832" i="11"/>
  <c r="I1833" i="11"/>
  <c r="J1833" i="11"/>
  <c r="I1834" i="11"/>
  <c r="J1834" i="11"/>
  <c r="I1835" i="11"/>
  <c r="J1835" i="11"/>
  <c r="I1836" i="11"/>
  <c r="J1836" i="11"/>
  <c r="I1837" i="11"/>
  <c r="J1837" i="11"/>
  <c r="I1838" i="11"/>
  <c r="J1838" i="11"/>
  <c r="I1839" i="11"/>
  <c r="J1839" i="11"/>
  <c r="I1840" i="11"/>
  <c r="J1840" i="11"/>
  <c r="I1841" i="11"/>
  <c r="J1841" i="11"/>
  <c r="I1842" i="11"/>
  <c r="J1842" i="11"/>
  <c r="I1843" i="11"/>
  <c r="J1843" i="11"/>
  <c r="I1844" i="11"/>
  <c r="J1844" i="11"/>
  <c r="I1845" i="11"/>
  <c r="J1845" i="11"/>
  <c r="I1846" i="11"/>
  <c r="J1846" i="11"/>
  <c r="I1847" i="11"/>
  <c r="J1847" i="11"/>
  <c r="I1848" i="11"/>
  <c r="J1848" i="11"/>
  <c r="I1849" i="11"/>
  <c r="J1849" i="11"/>
  <c r="I1850" i="11"/>
  <c r="J1850" i="11"/>
  <c r="I1851" i="11"/>
  <c r="J1851" i="11"/>
  <c r="I1852" i="11"/>
  <c r="J1852" i="11"/>
  <c r="I1853" i="11"/>
  <c r="J1853" i="11"/>
  <c r="I1854" i="11"/>
  <c r="J1854" i="11"/>
  <c r="I1855" i="11"/>
  <c r="J1855" i="11"/>
  <c r="I1856" i="11"/>
  <c r="J1856" i="11"/>
  <c r="I1857" i="11"/>
  <c r="J1857" i="11"/>
  <c r="I1858" i="11"/>
  <c r="J1858" i="11"/>
  <c r="I1859" i="11"/>
  <c r="J1859" i="11"/>
  <c r="I1860" i="11"/>
  <c r="J1860" i="11"/>
  <c r="I1861" i="11"/>
  <c r="J1861" i="11"/>
  <c r="I1862" i="11"/>
  <c r="J1862" i="11"/>
  <c r="I1863" i="11"/>
  <c r="J1863" i="11"/>
  <c r="I1864" i="11"/>
  <c r="J1864" i="11"/>
  <c r="I1865" i="11"/>
  <c r="J1865" i="11"/>
  <c r="I1866" i="11"/>
  <c r="J1866" i="11"/>
  <c r="I1867" i="11"/>
  <c r="J1867" i="11"/>
  <c r="I1868" i="11"/>
  <c r="J1868" i="11"/>
  <c r="I1869" i="11"/>
  <c r="J1869" i="11"/>
  <c r="I1870" i="11"/>
  <c r="J1870" i="11"/>
  <c r="I1871" i="11"/>
  <c r="J1871" i="11"/>
  <c r="I1872" i="11"/>
  <c r="J1872" i="11"/>
  <c r="I1873" i="11"/>
  <c r="J1873" i="11"/>
  <c r="I1874" i="11"/>
  <c r="J1874" i="11"/>
  <c r="I1875" i="11"/>
  <c r="J1875" i="11"/>
  <c r="I1876" i="11"/>
  <c r="J1876" i="11"/>
  <c r="I1877" i="11"/>
  <c r="J1877" i="11"/>
  <c r="I1878" i="11"/>
  <c r="J1878" i="11"/>
  <c r="I1879" i="11"/>
  <c r="J1879" i="11"/>
  <c r="I1880" i="11"/>
  <c r="J1880" i="11"/>
  <c r="I1881" i="11"/>
  <c r="J1881" i="11"/>
  <c r="I1882" i="11"/>
  <c r="J1882" i="11"/>
  <c r="I1883" i="11"/>
  <c r="J1883" i="11"/>
  <c r="I1884" i="11"/>
  <c r="J1884" i="11"/>
  <c r="I1885" i="11"/>
  <c r="J1885" i="11"/>
  <c r="I1886" i="11"/>
  <c r="J1886" i="11"/>
  <c r="I1887" i="11"/>
  <c r="J1887" i="11"/>
  <c r="I1888" i="11"/>
  <c r="J1888" i="11"/>
  <c r="I1889" i="11"/>
  <c r="J1889" i="11"/>
  <c r="I1890" i="11"/>
  <c r="J1890" i="11"/>
  <c r="I1891" i="11"/>
  <c r="J1891" i="11"/>
  <c r="I1892" i="11"/>
  <c r="J1892" i="11"/>
  <c r="I1893" i="11"/>
  <c r="J1893" i="11"/>
  <c r="I1894" i="11"/>
  <c r="J1894" i="11"/>
  <c r="I1895" i="11"/>
  <c r="J1895" i="11"/>
  <c r="I1896" i="11"/>
  <c r="J1896" i="11"/>
  <c r="I1897" i="11"/>
  <c r="J1897" i="11"/>
  <c r="I1898" i="11"/>
  <c r="J1898" i="11"/>
  <c r="I1899" i="11"/>
  <c r="J1899" i="11"/>
  <c r="I1900" i="11"/>
  <c r="J1900" i="11"/>
  <c r="I1901" i="11"/>
  <c r="J1901" i="11"/>
  <c r="I1902" i="11"/>
  <c r="J1902" i="11"/>
  <c r="I1903" i="11"/>
  <c r="J1903" i="11"/>
  <c r="I1904" i="11"/>
  <c r="J1904" i="11"/>
  <c r="I1905" i="11"/>
  <c r="J1905" i="11"/>
  <c r="I1906" i="11"/>
  <c r="J1906" i="11"/>
  <c r="I1907" i="11"/>
  <c r="J1907" i="11"/>
  <c r="I1908" i="11"/>
  <c r="J1908" i="11"/>
  <c r="I1909" i="11"/>
  <c r="J1909" i="11"/>
  <c r="I1910" i="11"/>
  <c r="J1910" i="11"/>
  <c r="I1911" i="11"/>
  <c r="J1911" i="11"/>
  <c r="I1912" i="11"/>
  <c r="J1912" i="11"/>
  <c r="I1913" i="11"/>
  <c r="J1913" i="11"/>
  <c r="I1914" i="11"/>
  <c r="J1914" i="11"/>
  <c r="I1915" i="11"/>
  <c r="J1915" i="11"/>
  <c r="I1916" i="11"/>
  <c r="J1916" i="11"/>
  <c r="I1917" i="11"/>
  <c r="J1917" i="11"/>
  <c r="I1918" i="11"/>
  <c r="J1918" i="11"/>
  <c r="I1919" i="11"/>
  <c r="J1919" i="11"/>
  <c r="I1920" i="11"/>
  <c r="J1920" i="11"/>
  <c r="I1921" i="11"/>
  <c r="J1921" i="11"/>
  <c r="I1922" i="11"/>
  <c r="J1922" i="11"/>
  <c r="I1923" i="11"/>
  <c r="J1923" i="11"/>
  <c r="I1924" i="11"/>
  <c r="J1924" i="11"/>
  <c r="I1925" i="11"/>
  <c r="J1925" i="11"/>
  <c r="I1926" i="11"/>
  <c r="J1926" i="11"/>
  <c r="I1927" i="11"/>
  <c r="J1927" i="11"/>
  <c r="I1928" i="11"/>
  <c r="J1928" i="11"/>
  <c r="I1929" i="11"/>
  <c r="J1929" i="11"/>
  <c r="I1930" i="11"/>
  <c r="J1930" i="11"/>
  <c r="I1931" i="11"/>
  <c r="J1931" i="11"/>
  <c r="I1932" i="11"/>
  <c r="J1932" i="11"/>
  <c r="I1933" i="11"/>
  <c r="J1933" i="11"/>
  <c r="I1934" i="11"/>
  <c r="J1934" i="11"/>
  <c r="I1935" i="11"/>
  <c r="J1935" i="11"/>
  <c r="I1936" i="11"/>
  <c r="J1936" i="11"/>
  <c r="I1937" i="11"/>
  <c r="J1937" i="11"/>
  <c r="I1938" i="11"/>
  <c r="J1938" i="11"/>
  <c r="I1939" i="11"/>
  <c r="J1939" i="11"/>
  <c r="I1940" i="11"/>
  <c r="J1940" i="11"/>
  <c r="I1941" i="11"/>
  <c r="J1941" i="11"/>
  <c r="I1942" i="11"/>
  <c r="J1942" i="11"/>
  <c r="I1943" i="11"/>
  <c r="J1943" i="11"/>
  <c r="I1944" i="11"/>
  <c r="J1944" i="11"/>
  <c r="I1945" i="11"/>
  <c r="J1945" i="11"/>
  <c r="I1946" i="11"/>
  <c r="J1946" i="11"/>
  <c r="I1947" i="11"/>
  <c r="J1947" i="11"/>
  <c r="I1948" i="11"/>
  <c r="J1948" i="11"/>
  <c r="I1949" i="11"/>
  <c r="J1949" i="11"/>
  <c r="I1950" i="11"/>
  <c r="J1950" i="11"/>
  <c r="I1951" i="11"/>
  <c r="J1951" i="11"/>
  <c r="I1952" i="11"/>
  <c r="J1952" i="11"/>
  <c r="I1953" i="11"/>
  <c r="J1953" i="11"/>
  <c r="I1954" i="11"/>
  <c r="J1954" i="11"/>
  <c r="I1955" i="11"/>
  <c r="J1955" i="11"/>
  <c r="I1956" i="11"/>
  <c r="J1956" i="11"/>
  <c r="I1957" i="11"/>
  <c r="J1957" i="11"/>
  <c r="I1958" i="11"/>
  <c r="J1958" i="11"/>
  <c r="I1959" i="11"/>
  <c r="J1959" i="11"/>
  <c r="I1960" i="11"/>
  <c r="J1960" i="11"/>
  <c r="I1961" i="11"/>
  <c r="J1961" i="11"/>
  <c r="I1962" i="11"/>
  <c r="J1962" i="11"/>
  <c r="I1963" i="11"/>
  <c r="J1963" i="11"/>
  <c r="I1964" i="11"/>
  <c r="J1964" i="11"/>
  <c r="I1965" i="11"/>
  <c r="J1965" i="11"/>
  <c r="I1966" i="11"/>
  <c r="J1966" i="11"/>
  <c r="I1967" i="11"/>
  <c r="J1967" i="11"/>
  <c r="I1968" i="11"/>
  <c r="J1968" i="11"/>
  <c r="I1969" i="11"/>
  <c r="J1969" i="11"/>
  <c r="I1970" i="11"/>
  <c r="J1970" i="11"/>
  <c r="I1971" i="11"/>
  <c r="J1971" i="11"/>
  <c r="I1972" i="11"/>
  <c r="J1972" i="11"/>
  <c r="I1973" i="11"/>
  <c r="J1973" i="11"/>
  <c r="I1974" i="11"/>
  <c r="J1974" i="11"/>
  <c r="I1975" i="11"/>
  <c r="J1975" i="11"/>
  <c r="I1976" i="11"/>
  <c r="J1976" i="11"/>
  <c r="I1977" i="11"/>
  <c r="J1977" i="11"/>
  <c r="I1978" i="11"/>
  <c r="J1978" i="11"/>
  <c r="I1979" i="11"/>
  <c r="J1979" i="11"/>
  <c r="I1980" i="11"/>
  <c r="J1980" i="11"/>
  <c r="I1981" i="11"/>
  <c r="J1981" i="11"/>
  <c r="I1982" i="11"/>
  <c r="J1982" i="11"/>
  <c r="I1983" i="11"/>
  <c r="J1983" i="11"/>
  <c r="I1984" i="11"/>
  <c r="J1984" i="11"/>
  <c r="I1985" i="11"/>
  <c r="J1985" i="11"/>
  <c r="I1986" i="11"/>
  <c r="J1986" i="11"/>
  <c r="I1987" i="11"/>
  <c r="J1987" i="11"/>
  <c r="I1988" i="11"/>
  <c r="J1988" i="11"/>
  <c r="I1989" i="11"/>
  <c r="J1989" i="11"/>
  <c r="I1990" i="11"/>
  <c r="J1990" i="11"/>
  <c r="I1991" i="11"/>
  <c r="J1991" i="11"/>
  <c r="I1992" i="11"/>
  <c r="J1992" i="11"/>
  <c r="I1993" i="11"/>
  <c r="J1993" i="11"/>
  <c r="I1994" i="11"/>
  <c r="J1994" i="11"/>
  <c r="I1995" i="11"/>
  <c r="J1995" i="11"/>
  <c r="I1996" i="11"/>
  <c r="J1996" i="11"/>
  <c r="I1997" i="11"/>
  <c r="J1997" i="11"/>
  <c r="I1998" i="11"/>
  <c r="J1998" i="11"/>
  <c r="I1999" i="11"/>
  <c r="J1999" i="11"/>
  <c r="I2000" i="11"/>
  <c r="J2000" i="11"/>
  <c r="J2" i="11"/>
  <c r="I2" i="11"/>
  <c r="B3" i="1" l="1"/>
  <c r="B2" i="23"/>
  <c r="C4" i="17"/>
  <c r="B4" i="17" s="1"/>
  <c r="A5" i="17"/>
  <c r="B3" i="17"/>
  <c r="E5" i="11"/>
  <c r="L2" i="11"/>
  <c r="H6" i="1"/>
  <c r="M22" i="1"/>
  <c r="H7" i="1"/>
  <c r="N8" i="1"/>
  <c r="D10" i="1" s="1"/>
  <c r="O8" i="1"/>
  <c r="P8" i="1"/>
  <c r="F10" i="1" s="1"/>
  <c r="Q8" i="1"/>
  <c r="R8" i="1"/>
  <c r="C10" i="1" s="1"/>
  <c r="S8" i="1"/>
  <c r="T8" i="1"/>
  <c r="E10" i="1" s="1"/>
  <c r="N9" i="1"/>
  <c r="I10" i="1" s="1"/>
  <c r="O9" i="1"/>
  <c r="P9" i="1"/>
  <c r="K10" i="1" s="1"/>
  <c r="Q9" i="1"/>
  <c r="R9" i="1"/>
  <c r="H10" i="1" s="1"/>
  <c r="S9" i="1"/>
  <c r="T9" i="1"/>
  <c r="J10" i="1" s="1"/>
  <c r="N10" i="1"/>
  <c r="D11" i="1" s="1"/>
  <c r="O10" i="1"/>
  <c r="P10" i="1"/>
  <c r="F11" i="1" s="1"/>
  <c r="Q10" i="1"/>
  <c r="R10" i="1"/>
  <c r="C11" i="1" s="1"/>
  <c r="S10" i="1"/>
  <c r="T10" i="1"/>
  <c r="E11" i="1" s="1"/>
  <c r="N11" i="1"/>
  <c r="I11" i="1" s="1"/>
  <c r="O11" i="1"/>
  <c r="P11" i="1"/>
  <c r="K11" i="1" s="1"/>
  <c r="Q11" i="1"/>
  <c r="R11" i="1"/>
  <c r="H11" i="1" s="1"/>
  <c r="S11" i="1"/>
  <c r="T11" i="1"/>
  <c r="J11" i="1" s="1"/>
  <c r="N12" i="1"/>
  <c r="D12" i="1" s="1"/>
  <c r="O12" i="1"/>
  <c r="P12" i="1"/>
  <c r="F12" i="1" s="1"/>
  <c r="Q12" i="1"/>
  <c r="R12" i="1"/>
  <c r="C12" i="1" s="1"/>
  <c r="S12" i="1"/>
  <c r="T12" i="1"/>
  <c r="E12" i="1" s="1"/>
  <c r="N13" i="1"/>
  <c r="I12" i="1" s="1"/>
  <c r="O13" i="1"/>
  <c r="P13" i="1"/>
  <c r="K12" i="1" s="1"/>
  <c r="Q13" i="1"/>
  <c r="R13" i="1"/>
  <c r="H12" i="1" s="1"/>
  <c r="S13" i="1"/>
  <c r="T13" i="1"/>
  <c r="J12" i="1" s="1"/>
  <c r="N14" i="1"/>
  <c r="D13" i="1" s="1"/>
  <c r="O14" i="1"/>
  <c r="P14" i="1"/>
  <c r="F13" i="1" s="1"/>
  <c r="Q14" i="1"/>
  <c r="R14" i="1"/>
  <c r="C13" i="1" s="1"/>
  <c r="S14" i="1"/>
  <c r="T14" i="1"/>
  <c r="E13" i="1" s="1"/>
  <c r="N15" i="1"/>
  <c r="I13" i="1" s="1"/>
  <c r="O15" i="1"/>
  <c r="P15" i="1"/>
  <c r="K13" i="1" s="1"/>
  <c r="Q15" i="1"/>
  <c r="R15" i="1"/>
  <c r="H13" i="1" s="1"/>
  <c r="S15" i="1"/>
  <c r="T15" i="1"/>
  <c r="J13" i="1" s="1"/>
  <c r="N16" i="1"/>
  <c r="D14" i="1" s="1"/>
  <c r="O16" i="1"/>
  <c r="P16" i="1"/>
  <c r="F14" i="1" s="1"/>
  <c r="Q16" i="1"/>
  <c r="R16" i="1"/>
  <c r="C14" i="1" s="1"/>
  <c r="S16" i="1"/>
  <c r="T16" i="1"/>
  <c r="E14" i="1" s="1"/>
  <c r="N17" i="1"/>
  <c r="I14" i="1" s="1"/>
  <c r="O17" i="1"/>
  <c r="P17" i="1"/>
  <c r="K14" i="1" s="1"/>
  <c r="Q17" i="1"/>
  <c r="R17" i="1"/>
  <c r="H14" i="1" s="1"/>
  <c r="S17" i="1"/>
  <c r="T17" i="1"/>
  <c r="J14" i="1" s="1"/>
  <c r="E28" i="1"/>
  <c r="J28" i="1"/>
  <c r="C30" i="1"/>
  <c r="C31" i="1"/>
  <c r="C2" i="11"/>
  <c r="D2" i="11"/>
  <c r="F2" i="11"/>
  <c r="H2" i="11" s="1"/>
  <c r="G2" i="11"/>
  <c r="A3" i="11"/>
  <c r="A4" i="11" s="1"/>
  <c r="A5" i="11" s="1"/>
  <c r="A6" i="11" s="1"/>
  <c r="C3" i="11"/>
  <c r="D3" i="11"/>
  <c r="F3" i="11"/>
  <c r="H3" i="11" s="1"/>
  <c r="G3" i="11"/>
  <c r="C4" i="11"/>
  <c r="D4" i="11"/>
  <c r="F4" i="11"/>
  <c r="H4" i="11" s="1"/>
  <c r="G4" i="11"/>
  <c r="C5" i="11"/>
  <c r="D5" i="11"/>
  <c r="F5" i="11"/>
  <c r="H5" i="11" s="1"/>
  <c r="G5" i="11"/>
  <c r="C6" i="11"/>
  <c r="D6" i="11"/>
  <c r="F6" i="11"/>
  <c r="H6" i="11" s="1"/>
  <c r="G6" i="11"/>
  <c r="C7" i="11"/>
  <c r="D7" i="11"/>
  <c r="F7" i="11"/>
  <c r="H7" i="11" s="1"/>
  <c r="G7" i="11"/>
  <c r="C8" i="11"/>
  <c r="D8" i="11"/>
  <c r="F8" i="11"/>
  <c r="H8" i="11" s="1"/>
  <c r="G8" i="11"/>
  <c r="C9" i="11"/>
  <c r="D9" i="11"/>
  <c r="F9" i="11"/>
  <c r="H9" i="11" s="1"/>
  <c r="G9" i="11"/>
  <c r="C10" i="11"/>
  <c r="D10" i="11"/>
  <c r="F10" i="11"/>
  <c r="H10" i="11" s="1"/>
  <c r="G10" i="11"/>
  <c r="C11" i="11"/>
  <c r="D11" i="11"/>
  <c r="F11" i="11"/>
  <c r="H11" i="11" s="1"/>
  <c r="G11" i="11"/>
  <c r="C12" i="11"/>
  <c r="D12" i="11"/>
  <c r="F12" i="11"/>
  <c r="H12" i="11" s="1"/>
  <c r="G12" i="11"/>
  <c r="C13" i="11"/>
  <c r="D13" i="11"/>
  <c r="F13" i="11"/>
  <c r="H13" i="11" s="1"/>
  <c r="G13" i="11"/>
  <c r="C14" i="11"/>
  <c r="D14" i="11"/>
  <c r="F14" i="11"/>
  <c r="H14" i="11" s="1"/>
  <c r="G14" i="11"/>
  <c r="C15" i="11"/>
  <c r="D15" i="11"/>
  <c r="F15" i="11"/>
  <c r="H15" i="11" s="1"/>
  <c r="G15" i="11"/>
  <c r="C16" i="11"/>
  <c r="D16" i="11"/>
  <c r="F16" i="11"/>
  <c r="H16" i="11" s="1"/>
  <c r="G16" i="11"/>
  <c r="C17" i="11"/>
  <c r="D17" i="11"/>
  <c r="F17" i="11"/>
  <c r="H17" i="11" s="1"/>
  <c r="G17" i="11"/>
  <c r="C18" i="11"/>
  <c r="D18" i="11"/>
  <c r="F18" i="11"/>
  <c r="H18" i="11" s="1"/>
  <c r="G18" i="11"/>
  <c r="C19" i="11"/>
  <c r="D19" i="11"/>
  <c r="F19" i="11"/>
  <c r="H19" i="11" s="1"/>
  <c r="G19" i="11"/>
  <c r="C20" i="11"/>
  <c r="D20" i="11"/>
  <c r="F20" i="11"/>
  <c r="H20" i="11" s="1"/>
  <c r="G20" i="11"/>
  <c r="C21" i="11"/>
  <c r="D21" i="11"/>
  <c r="F21" i="11"/>
  <c r="H21" i="11" s="1"/>
  <c r="G21" i="11"/>
  <c r="C22" i="11"/>
  <c r="D22" i="11"/>
  <c r="F22" i="11"/>
  <c r="H22" i="11" s="1"/>
  <c r="G22" i="11"/>
  <c r="C23" i="11"/>
  <c r="D23" i="11"/>
  <c r="F23" i="11"/>
  <c r="H23" i="11" s="1"/>
  <c r="G23" i="11"/>
  <c r="C24" i="11"/>
  <c r="D24" i="11"/>
  <c r="F24" i="11"/>
  <c r="H24" i="11" s="1"/>
  <c r="G24" i="11"/>
  <c r="C25" i="11"/>
  <c r="D25" i="11"/>
  <c r="F25" i="11"/>
  <c r="H25" i="11" s="1"/>
  <c r="G25" i="11"/>
  <c r="C26" i="11"/>
  <c r="D26" i="11"/>
  <c r="F26" i="11"/>
  <c r="H26" i="11" s="1"/>
  <c r="G26" i="11"/>
  <c r="C27" i="11"/>
  <c r="D27" i="11"/>
  <c r="F27" i="11"/>
  <c r="H27" i="11" s="1"/>
  <c r="G27" i="11"/>
  <c r="C28" i="11"/>
  <c r="D28" i="11"/>
  <c r="F28" i="11"/>
  <c r="H28" i="11" s="1"/>
  <c r="G28" i="11"/>
  <c r="C29" i="11"/>
  <c r="D29" i="11"/>
  <c r="F29" i="11"/>
  <c r="H29" i="11" s="1"/>
  <c r="G29" i="11"/>
  <c r="C30" i="11"/>
  <c r="D30" i="11"/>
  <c r="F30" i="11"/>
  <c r="H30" i="11" s="1"/>
  <c r="G30" i="11"/>
  <c r="C31" i="11"/>
  <c r="D31" i="11"/>
  <c r="F31" i="11"/>
  <c r="H31" i="11" s="1"/>
  <c r="G31" i="11"/>
  <c r="C32" i="11"/>
  <c r="D32" i="11"/>
  <c r="F32" i="11"/>
  <c r="H32" i="11" s="1"/>
  <c r="G32" i="11"/>
  <c r="C33" i="11"/>
  <c r="D33" i="11"/>
  <c r="F33" i="11"/>
  <c r="H33" i="11" s="1"/>
  <c r="G33" i="11"/>
  <c r="C34" i="11"/>
  <c r="D34" i="11"/>
  <c r="F34" i="11"/>
  <c r="H34" i="11" s="1"/>
  <c r="G34" i="11"/>
  <c r="C35" i="11"/>
  <c r="D35" i="11"/>
  <c r="F35" i="11"/>
  <c r="H35" i="11" s="1"/>
  <c r="G35" i="11"/>
  <c r="C36" i="11"/>
  <c r="D36" i="11"/>
  <c r="F36" i="11"/>
  <c r="H36" i="11" s="1"/>
  <c r="G36" i="11"/>
  <c r="C37" i="11"/>
  <c r="D37" i="11"/>
  <c r="F37" i="11"/>
  <c r="H37" i="11" s="1"/>
  <c r="G37" i="11"/>
  <c r="C38" i="11"/>
  <c r="D38" i="11"/>
  <c r="F38" i="11"/>
  <c r="H38" i="11" s="1"/>
  <c r="G38" i="11"/>
  <c r="C39" i="11"/>
  <c r="D39" i="11"/>
  <c r="F39" i="11"/>
  <c r="H39" i="11" s="1"/>
  <c r="G39" i="11"/>
  <c r="C40" i="11"/>
  <c r="D40" i="11"/>
  <c r="F40" i="11"/>
  <c r="H40" i="11" s="1"/>
  <c r="G40" i="11"/>
  <c r="C41" i="11"/>
  <c r="D41" i="11"/>
  <c r="F41" i="11"/>
  <c r="H41" i="11" s="1"/>
  <c r="G41" i="11"/>
  <c r="C42" i="11"/>
  <c r="D42" i="11"/>
  <c r="F42" i="11"/>
  <c r="H42" i="11" s="1"/>
  <c r="G42" i="11"/>
  <c r="C43" i="11"/>
  <c r="D43" i="11"/>
  <c r="F43" i="11"/>
  <c r="H43" i="11" s="1"/>
  <c r="G43" i="11"/>
  <c r="C44" i="11"/>
  <c r="D44" i="11"/>
  <c r="F44" i="11"/>
  <c r="H44" i="11" s="1"/>
  <c r="G44" i="11"/>
  <c r="C45" i="11"/>
  <c r="D45" i="11"/>
  <c r="F45" i="11"/>
  <c r="H45" i="11" s="1"/>
  <c r="G45" i="11"/>
  <c r="C46" i="11"/>
  <c r="D46" i="11"/>
  <c r="F46" i="11"/>
  <c r="H46" i="11" s="1"/>
  <c r="G46" i="11"/>
  <c r="C47" i="11"/>
  <c r="D47" i="11"/>
  <c r="F47" i="11"/>
  <c r="H47" i="11" s="1"/>
  <c r="G47" i="11"/>
  <c r="C48" i="11"/>
  <c r="D48" i="11"/>
  <c r="F48" i="11"/>
  <c r="H48" i="11" s="1"/>
  <c r="G48" i="11"/>
  <c r="C49" i="11"/>
  <c r="D49" i="11"/>
  <c r="F49" i="11"/>
  <c r="H49" i="11" s="1"/>
  <c r="G49" i="11"/>
  <c r="C50" i="11"/>
  <c r="D50" i="11"/>
  <c r="F50" i="11"/>
  <c r="H50" i="11" s="1"/>
  <c r="G50" i="11"/>
  <c r="C51" i="11"/>
  <c r="D51" i="11"/>
  <c r="F51" i="11"/>
  <c r="H51" i="11" s="1"/>
  <c r="G51" i="11"/>
  <c r="C52" i="11"/>
  <c r="D52" i="11"/>
  <c r="F52" i="11"/>
  <c r="H52" i="11" s="1"/>
  <c r="G52" i="11"/>
  <c r="C53" i="11"/>
  <c r="D53" i="11"/>
  <c r="F53" i="11"/>
  <c r="H53" i="11" s="1"/>
  <c r="G53" i="11"/>
  <c r="C54" i="11"/>
  <c r="D54" i="11"/>
  <c r="F54" i="11"/>
  <c r="H54" i="11" s="1"/>
  <c r="G54" i="11"/>
  <c r="C55" i="11"/>
  <c r="D55" i="11"/>
  <c r="F55" i="11"/>
  <c r="H55" i="11" s="1"/>
  <c r="G55" i="11"/>
  <c r="C56" i="11"/>
  <c r="D56" i="11"/>
  <c r="F56" i="11"/>
  <c r="H56" i="11" s="1"/>
  <c r="G56" i="11"/>
  <c r="C57" i="11"/>
  <c r="D57" i="11"/>
  <c r="F57" i="11"/>
  <c r="H57" i="11" s="1"/>
  <c r="G57" i="11"/>
  <c r="C58" i="11"/>
  <c r="D58" i="11"/>
  <c r="F58" i="11"/>
  <c r="H58" i="11" s="1"/>
  <c r="G58" i="11"/>
  <c r="C59" i="11"/>
  <c r="D59" i="11"/>
  <c r="F59" i="11"/>
  <c r="H59" i="11" s="1"/>
  <c r="G59" i="11"/>
  <c r="C60" i="11"/>
  <c r="D60" i="11"/>
  <c r="F60" i="11"/>
  <c r="H60" i="11" s="1"/>
  <c r="G60" i="11"/>
  <c r="C61" i="11"/>
  <c r="D61" i="11"/>
  <c r="F61" i="11"/>
  <c r="H61" i="11" s="1"/>
  <c r="G61" i="11"/>
  <c r="C62" i="11"/>
  <c r="D62" i="11"/>
  <c r="F62" i="11"/>
  <c r="H62" i="11" s="1"/>
  <c r="G62" i="11"/>
  <c r="C63" i="11"/>
  <c r="D63" i="11"/>
  <c r="F63" i="11"/>
  <c r="H63" i="11" s="1"/>
  <c r="G63" i="11"/>
  <c r="C64" i="11"/>
  <c r="D64" i="11"/>
  <c r="F64" i="11"/>
  <c r="H64" i="11" s="1"/>
  <c r="G64" i="11"/>
  <c r="C65" i="11"/>
  <c r="D65" i="11"/>
  <c r="F65" i="11"/>
  <c r="H65" i="11" s="1"/>
  <c r="G65" i="11"/>
  <c r="C66" i="11"/>
  <c r="D66" i="11"/>
  <c r="F66" i="11"/>
  <c r="H66" i="11" s="1"/>
  <c r="G66" i="11"/>
  <c r="C67" i="11"/>
  <c r="D67" i="11"/>
  <c r="F67" i="11"/>
  <c r="H67" i="11" s="1"/>
  <c r="G67" i="11"/>
  <c r="C68" i="11"/>
  <c r="D68" i="11"/>
  <c r="F68" i="11"/>
  <c r="H68" i="11" s="1"/>
  <c r="G68" i="11"/>
  <c r="C69" i="11"/>
  <c r="D69" i="11"/>
  <c r="F69" i="11"/>
  <c r="H69" i="11" s="1"/>
  <c r="G69" i="11"/>
  <c r="C70" i="11"/>
  <c r="D70" i="11"/>
  <c r="F70" i="11"/>
  <c r="H70" i="11" s="1"/>
  <c r="G70" i="11"/>
  <c r="C71" i="11"/>
  <c r="D71" i="11"/>
  <c r="F71" i="11"/>
  <c r="H71" i="11" s="1"/>
  <c r="G71" i="11"/>
  <c r="C72" i="11"/>
  <c r="D72" i="11"/>
  <c r="F72" i="11"/>
  <c r="H72" i="11" s="1"/>
  <c r="G72" i="11"/>
  <c r="C73" i="11"/>
  <c r="D73" i="11"/>
  <c r="F73" i="11"/>
  <c r="H73" i="11" s="1"/>
  <c r="G73" i="11"/>
  <c r="C74" i="11"/>
  <c r="D74" i="11"/>
  <c r="F74" i="11"/>
  <c r="H74" i="11" s="1"/>
  <c r="G74" i="11"/>
  <c r="C75" i="11"/>
  <c r="D75" i="11"/>
  <c r="F75" i="11"/>
  <c r="H75" i="11" s="1"/>
  <c r="G75" i="11"/>
  <c r="C76" i="11"/>
  <c r="D76" i="11"/>
  <c r="F76" i="11"/>
  <c r="H76" i="11" s="1"/>
  <c r="G76" i="11"/>
  <c r="C77" i="11"/>
  <c r="D77" i="11"/>
  <c r="F77" i="11"/>
  <c r="H77" i="11" s="1"/>
  <c r="G77" i="11"/>
  <c r="C78" i="11"/>
  <c r="D78" i="11"/>
  <c r="F78" i="11"/>
  <c r="H78" i="11" s="1"/>
  <c r="G78" i="11"/>
  <c r="C79" i="11"/>
  <c r="D79" i="11"/>
  <c r="F79" i="11"/>
  <c r="H79" i="11" s="1"/>
  <c r="G79" i="11"/>
  <c r="C80" i="11"/>
  <c r="D80" i="11"/>
  <c r="F80" i="11"/>
  <c r="H80" i="11" s="1"/>
  <c r="G80" i="11"/>
  <c r="C81" i="11"/>
  <c r="D81" i="11"/>
  <c r="F81" i="11"/>
  <c r="H81" i="11" s="1"/>
  <c r="G81" i="11"/>
  <c r="C82" i="11"/>
  <c r="D82" i="11"/>
  <c r="F82" i="11"/>
  <c r="H82" i="11" s="1"/>
  <c r="G82" i="11"/>
  <c r="C83" i="11"/>
  <c r="D83" i="11"/>
  <c r="F83" i="11"/>
  <c r="H83" i="11" s="1"/>
  <c r="G83" i="11"/>
  <c r="C84" i="11"/>
  <c r="D84" i="11"/>
  <c r="F84" i="11"/>
  <c r="H84" i="11" s="1"/>
  <c r="G84" i="11"/>
  <c r="C85" i="11"/>
  <c r="D85" i="11"/>
  <c r="F85" i="11"/>
  <c r="H85" i="11" s="1"/>
  <c r="G85" i="11"/>
  <c r="C86" i="11"/>
  <c r="D86" i="11"/>
  <c r="F86" i="11"/>
  <c r="H86" i="11" s="1"/>
  <c r="G86" i="11"/>
  <c r="C87" i="11"/>
  <c r="D87" i="11"/>
  <c r="F87" i="11"/>
  <c r="H87" i="11" s="1"/>
  <c r="G87" i="11"/>
  <c r="C88" i="11"/>
  <c r="D88" i="11"/>
  <c r="F88" i="11"/>
  <c r="H88" i="11" s="1"/>
  <c r="G88" i="11"/>
  <c r="C89" i="11"/>
  <c r="D89" i="11"/>
  <c r="F89" i="11"/>
  <c r="H89" i="11" s="1"/>
  <c r="G89" i="11"/>
  <c r="C90" i="11"/>
  <c r="D90" i="11"/>
  <c r="F90" i="11"/>
  <c r="H90" i="11" s="1"/>
  <c r="G90" i="11"/>
  <c r="C91" i="11"/>
  <c r="D91" i="11"/>
  <c r="F91" i="11"/>
  <c r="H91" i="11" s="1"/>
  <c r="G91" i="11"/>
  <c r="C92" i="11"/>
  <c r="D92" i="11"/>
  <c r="F92" i="11"/>
  <c r="H92" i="11" s="1"/>
  <c r="G92" i="11"/>
  <c r="C93" i="11"/>
  <c r="D93" i="11"/>
  <c r="F93" i="11"/>
  <c r="H93" i="11" s="1"/>
  <c r="G93" i="11"/>
  <c r="C94" i="11"/>
  <c r="D94" i="11"/>
  <c r="F94" i="11"/>
  <c r="H94" i="11" s="1"/>
  <c r="G94" i="11"/>
  <c r="C95" i="11"/>
  <c r="D95" i="11"/>
  <c r="F95" i="11"/>
  <c r="H95" i="11" s="1"/>
  <c r="G95" i="11"/>
  <c r="C96" i="11"/>
  <c r="D96" i="11"/>
  <c r="F96" i="11"/>
  <c r="H96" i="11" s="1"/>
  <c r="G96" i="11"/>
  <c r="C97" i="11"/>
  <c r="D97" i="11"/>
  <c r="F97" i="11"/>
  <c r="H97" i="11" s="1"/>
  <c r="G97" i="11"/>
  <c r="C98" i="11"/>
  <c r="D98" i="11"/>
  <c r="F98" i="11"/>
  <c r="H98" i="11" s="1"/>
  <c r="G98" i="11"/>
  <c r="C99" i="11"/>
  <c r="D99" i="11"/>
  <c r="F99" i="11"/>
  <c r="H99" i="11" s="1"/>
  <c r="G99" i="11"/>
  <c r="C100" i="11"/>
  <c r="D100" i="11"/>
  <c r="F100" i="11"/>
  <c r="H100" i="11" s="1"/>
  <c r="G100" i="11"/>
  <c r="C101" i="11"/>
  <c r="D101" i="11"/>
  <c r="F101" i="11"/>
  <c r="H101" i="11" s="1"/>
  <c r="G101" i="11"/>
  <c r="C102" i="11"/>
  <c r="D102" i="11"/>
  <c r="F102" i="11"/>
  <c r="H102" i="11" s="1"/>
  <c r="G102" i="11"/>
  <c r="C103" i="11"/>
  <c r="D103" i="11"/>
  <c r="F103" i="11"/>
  <c r="H103" i="11" s="1"/>
  <c r="G103" i="11"/>
  <c r="C104" i="11"/>
  <c r="D104" i="11"/>
  <c r="F104" i="11"/>
  <c r="H104" i="11" s="1"/>
  <c r="G104" i="11"/>
  <c r="C105" i="11"/>
  <c r="D105" i="11"/>
  <c r="F105" i="11"/>
  <c r="H105" i="11" s="1"/>
  <c r="G105" i="11"/>
  <c r="C106" i="11"/>
  <c r="D106" i="11"/>
  <c r="F106" i="11"/>
  <c r="H106" i="11" s="1"/>
  <c r="G106" i="11"/>
  <c r="C107" i="11"/>
  <c r="D107" i="11"/>
  <c r="F107" i="11"/>
  <c r="H107" i="11" s="1"/>
  <c r="G107" i="11"/>
  <c r="C108" i="11"/>
  <c r="D108" i="11"/>
  <c r="F108" i="11"/>
  <c r="H108" i="11" s="1"/>
  <c r="G108" i="11"/>
  <c r="C109" i="11"/>
  <c r="D109" i="11"/>
  <c r="F109" i="11"/>
  <c r="H109" i="11" s="1"/>
  <c r="G109" i="11"/>
  <c r="C110" i="11"/>
  <c r="D110" i="11"/>
  <c r="F110" i="11"/>
  <c r="H110" i="11" s="1"/>
  <c r="G110" i="11"/>
  <c r="C111" i="11"/>
  <c r="D111" i="11"/>
  <c r="F111" i="11"/>
  <c r="H111" i="11" s="1"/>
  <c r="G111" i="11"/>
  <c r="C112" i="11"/>
  <c r="D112" i="11"/>
  <c r="F112" i="11"/>
  <c r="H112" i="11" s="1"/>
  <c r="G112" i="11"/>
  <c r="C113" i="11"/>
  <c r="D113" i="11"/>
  <c r="F113" i="11"/>
  <c r="H113" i="11" s="1"/>
  <c r="G113" i="11"/>
  <c r="C114" i="11"/>
  <c r="D114" i="11"/>
  <c r="F114" i="11"/>
  <c r="H114" i="11" s="1"/>
  <c r="G114" i="11"/>
  <c r="C115" i="11"/>
  <c r="D115" i="11"/>
  <c r="F115" i="11"/>
  <c r="H115" i="11" s="1"/>
  <c r="G115" i="11"/>
  <c r="C116" i="11"/>
  <c r="D116" i="11"/>
  <c r="F116" i="11"/>
  <c r="H116" i="11" s="1"/>
  <c r="G116" i="11"/>
  <c r="C117" i="11"/>
  <c r="D117" i="11"/>
  <c r="F117" i="11"/>
  <c r="H117" i="11" s="1"/>
  <c r="G117" i="11"/>
  <c r="C118" i="11"/>
  <c r="D118" i="11"/>
  <c r="F118" i="11"/>
  <c r="H118" i="11" s="1"/>
  <c r="G118" i="11"/>
  <c r="C119" i="11"/>
  <c r="D119" i="11"/>
  <c r="F119" i="11"/>
  <c r="H119" i="11" s="1"/>
  <c r="G119" i="11"/>
  <c r="C120" i="11"/>
  <c r="D120" i="11"/>
  <c r="F120" i="11"/>
  <c r="H120" i="11" s="1"/>
  <c r="G120" i="11"/>
  <c r="C121" i="11"/>
  <c r="D121" i="11"/>
  <c r="F121" i="11"/>
  <c r="H121" i="11" s="1"/>
  <c r="G121" i="11"/>
  <c r="C122" i="11"/>
  <c r="D122" i="11"/>
  <c r="F122" i="11"/>
  <c r="H122" i="11" s="1"/>
  <c r="G122" i="11"/>
  <c r="C123" i="11"/>
  <c r="D123" i="11"/>
  <c r="F123" i="11"/>
  <c r="H123" i="11" s="1"/>
  <c r="G123" i="11"/>
  <c r="C124" i="11"/>
  <c r="D124" i="11"/>
  <c r="F124" i="11"/>
  <c r="H124" i="11" s="1"/>
  <c r="G124" i="11"/>
  <c r="C125" i="11"/>
  <c r="D125" i="11"/>
  <c r="F125" i="11"/>
  <c r="H125" i="11" s="1"/>
  <c r="G125" i="11"/>
  <c r="C126" i="11"/>
  <c r="D126" i="11"/>
  <c r="F126" i="11"/>
  <c r="H126" i="11" s="1"/>
  <c r="G126" i="11"/>
  <c r="C127" i="11"/>
  <c r="D127" i="11"/>
  <c r="F127" i="11"/>
  <c r="H127" i="11" s="1"/>
  <c r="G127" i="11"/>
  <c r="C128" i="11"/>
  <c r="D128" i="11"/>
  <c r="F128" i="11"/>
  <c r="H128" i="11" s="1"/>
  <c r="G128" i="11"/>
  <c r="C129" i="11"/>
  <c r="D129" i="11"/>
  <c r="F129" i="11"/>
  <c r="H129" i="11" s="1"/>
  <c r="G129" i="11"/>
  <c r="C130" i="11"/>
  <c r="D130" i="11"/>
  <c r="F130" i="11"/>
  <c r="H130" i="11" s="1"/>
  <c r="G130" i="11"/>
  <c r="C131" i="11"/>
  <c r="D131" i="11"/>
  <c r="F131" i="11"/>
  <c r="H131" i="11" s="1"/>
  <c r="G131" i="11"/>
  <c r="C132" i="11"/>
  <c r="D132" i="11"/>
  <c r="F132" i="11"/>
  <c r="H132" i="11" s="1"/>
  <c r="G132" i="11"/>
  <c r="C133" i="11"/>
  <c r="D133" i="11"/>
  <c r="F133" i="11"/>
  <c r="H133" i="11" s="1"/>
  <c r="G133" i="11"/>
  <c r="C134" i="11"/>
  <c r="D134" i="11"/>
  <c r="F134" i="11"/>
  <c r="H134" i="11" s="1"/>
  <c r="G134" i="11"/>
  <c r="C135" i="11"/>
  <c r="D135" i="11"/>
  <c r="F135" i="11"/>
  <c r="H135" i="11" s="1"/>
  <c r="G135" i="11"/>
  <c r="C136" i="11"/>
  <c r="D136" i="11"/>
  <c r="F136" i="11"/>
  <c r="H136" i="11" s="1"/>
  <c r="G136" i="11"/>
  <c r="C137" i="11"/>
  <c r="D137" i="11"/>
  <c r="F137" i="11"/>
  <c r="H137" i="11" s="1"/>
  <c r="G137" i="11"/>
  <c r="C138" i="11"/>
  <c r="D138" i="11"/>
  <c r="F138" i="11"/>
  <c r="H138" i="11" s="1"/>
  <c r="G138" i="11"/>
  <c r="C139" i="11"/>
  <c r="D139" i="11"/>
  <c r="F139" i="11"/>
  <c r="H139" i="11" s="1"/>
  <c r="G139" i="11"/>
  <c r="C140" i="11"/>
  <c r="D140" i="11"/>
  <c r="F140" i="11"/>
  <c r="H140" i="11" s="1"/>
  <c r="G140" i="11"/>
  <c r="C141" i="11"/>
  <c r="D141" i="11"/>
  <c r="F141" i="11"/>
  <c r="H141" i="11" s="1"/>
  <c r="G141" i="11"/>
  <c r="C142" i="11"/>
  <c r="D142" i="11"/>
  <c r="F142" i="11"/>
  <c r="H142" i="11" s="1"/>
  <c r="G142" i="11"/>
  <c r="C143" i="11"/>
  <c r="D143" i="11"/>
  <c r="F143" i="11"/>
  <c r="H143" i="11" s="1"/>
  <c r="G143" i="11"/>
  <c r="C144" i="11"/>
  <c r="D144" i="11"/>
  <c r="F144" i="11"/>
  <c r="H144" i="11" s="1"/>
  <c r="G144" i="11"/>
  <c r="C145" i="11"/>
  <c r="D145" i="11"/>
  <c r="F145" i="11"/>
  <c r="H145" i="11" s="1"/>
  <c r="G145" i="11"/>
  <c r="C146" i="11"/>
  <c r="D146" i="11"/>
  <c r="F146" i="11"/>
  <c r="H146" i="11" s="1"/>
  <c r="G146" i="11"/>
  <c r="C147" i="11"/>
  <c r="D147" i="11"/>
  <c r="F147" i="11"/>
  <c r="H147" i="11" s="1"/>
  <c r="G147" i="11"/>
  <c r="C148" i="11"/>
  <c r="D148" i="11"/>
  <c r="F148" i="11"/>
  <c r="H148" i="11" s="1"/>
  <c r="G148" i="11"/>
  <c r="C149" i="11"/>
  <c r="D149" i="11"/>
  <c r="F149" i="11"/>
  <c r="H149" i="11" s="1"/>
  <c r="G149" i="11"/>
  <c r="C150" i="11"/>
  <c r="D150" i="11"/>
  <c r="F150" i="11"/>
  <c r="H150" i="11" s="1"/>
  <c r="G150" i="11"/>
  <c r="C151" i="11"/>
  <c r="D151" i="11"/>
  <c r="F151" i="11"/>
  <c r="H151" i="11" s="1"/>
  <c r="G151" i="11"/>
  <c r="C152" i="11"/>
  <c r="D152" i="11"/>
  <c r="F152" i="11"/>
  <c r="H152" i="11" s="1"/>
  <c r="G152" i="11"/>
  <c r="C153" i="11"/>
  <c r="D153" i="11"/>
  <c r="F153" i="11"/>
  <c r="H153" i="11" s="1"/>
  <c r="G153" i="11"/>
  <c r="C154" i="11"/>
  <c r="D154" i="11"/>
  <c r="F154" i="11"/>
  <c r="H154" i="11" s="1"/>
  <c r="G154" i="11"/>
  <c r="C155" i="11"/>
  <c r="D155" i="11"/>
  <c r="F155" i="11"/>
  <c r="H155" i="11" s="1"/>
  <c r="G155" i="11"/>
  <c r="C156" i="11"/>
  <c r="D156" i="11"/>
  <c r="F156" i="11"/>
  <c r="H156" i="11" s="1"/>
  <c r="G156" i="11"/>
  <c r="C157" i="11"/>
  <c r="D157" i="11"/>
  <c r="F157" i="11"/>
  <c r="H157" i="11" s="1"/>
  <c r="G157" i="11"/>
  <c r="C158" i="11"/>
  <c r="D158" i="11"/>
  <c r="F158" i="11"/>
  <c r="H158" i="11" s="1"/>
  <c r="G158" i="11"/>
  <c r="C159" i="11"/>
  <c r="D159" i="11"/>
  <c r="F159" i="11"/>
  <c r="H159" i="11" s="1"/>
  <c r="G159" i="11"/>
  <c r="C160" i="11"/>
  <c r="D160" i="11"/>
  <c r="F160" i="11"/>
  <c r="H160" i="11" s="1"/>
  <c r="G160" i="11"/>
  <c r="C161" i="11"/>
  <c r="D161" i="11"/>
  <c r="F161" i="11"/>
  <c r="H161" i="11" s="1"/>
  <c r="G161" i="11"/>
  <c r="C162" i="11"/>
  <c r="D162" i="11"/>
  <c r="F162" i="11"/>
  <c r="H162" i="11" s="1"/>
  <c r="G162" i="11"/>
  <c r="C163" i="11"/>
  <c r="D163" i="11"/>
  <c r="F163" i="11"/>
  <c r="H163" i="11" s="1"/>
  <c r="G163" i="11"/>
  <c r="C164" i="11"/>
  <c r="D164" i="11"/>
  <c r="F164" i="11"/>
  <c r="H164" i="11" s="1"/>
  <c r="G164" i="11"/>
  <c r="C165" i="11"/>
  <c r="D165" i="11"/>
  <c r="F165" i="11"/>
  <c r="H165" i="11" s="1"/>
  <c r="G165" i="11"/>
  <c r="C166" i="11"/>
  <c r="D166" i="11"/>
  <c r="F166" i="11"/>
  <c r="H166" i="11" s="1"/>
  <c r="G166" i="11"/>
  <c r="C167" i="11"/>
  <c r="D167" i="11"/>
  <c r="F167" i="11"/>
  <c r="H167" i="11" s="1"/>
  <c r="G167" i="11"/>
  <c r="C168" i="11"/>
  <c r="D168" i="11"/>
  <c r="F168" i="11"/>
  <c r="H168" i="11" s="1"/>
  <c r="G168" i="11"/>
  <c r="C169" i="11"/>
  <c r="D169" i="11"/>
  <c r="F169" i="11"/>
  <c r="H169" i="11" s="1"/>
  <c r="G169" i="11"/>
  <c r="C170" i="11"/>
  <c r="D170" i="11"/>
  <c r="F170" i="11"/>
  <c r="H170" i="11" s="1"/>
  <c r="G170" i="11"/>
  <c r="C171" i="11"/>
  <c r="D171" i="11"/>
  <c r="F171" i="11"/>
  <c r="H171" i="11" s="1"/>
  <c r="G171" i="11"/>
  <c r="C172" i="11"/>
  <c r="D172" i="11"/>
  <c r="F172" i="11"/>
  <c r="H172" i="11" s="1"/>
  <c r="G172" i="11"/>
  <c r="C173" i="11"/>
  <c r="D173" i="11"/>
  <c r="F173" i="11"/>
  <c r="H173" i="11" s="1"/>
  <c r="G173" i="11"/>
  <c r="C174" i="11"/>
  <c r="D174" i="11"/>
  <c r="F174" i="11"/>
  <c r="H174" i="11" s="1"/>
  <c r="G174" i="11"/>
  <c r="C175" i="11"/>
  <c r="D175" i="11"/>
  <c r="F175" i="11"/>
  <c r="H175" i="11" s="1"/>
  <c r="G175" i="11"/>
  <c r="C176" i="11"/>
  <c r="D176" i="11"/>
  <c r="F176" i="11"/>
  <c r="H176" i="11" s="1"/>
  <c r="G176" i="11"/>
  <c r="C177" i="11"/>
  <c r="D177" i="11"/>
  <c r="F177" i="11"/>
  <c r="H177" i="11" s="1"/>
  <c r="G177" i="11"/>
  <c r="C178" i="11"/>
  <c r="D178" i="11"/>
  <c r="F178" i="11"/>
  <c r="H178" i="11" s="1"/>
  <c r="G178" i="11"/>
  <c r="C179" i="11"/>
  <c r="D179" i="11"/>
  <c r="F179" i="11"/>
  <c r="H179" i="11" s="1"/>
  <c r="G179" i="11"/>
  <c r="C180" i="11"/>
  <c r="D180" i="11"/>
  <c r="F180" i="11"/>
  <c r="H180" i="11" s="1"/>
  <c r="G180" i="11"/>
  <c r="C181" i="11"/>
  <c r="D181" i="11"/>
  <c r="F181" i="11"/>
  <c r="H181" i="11" s="1"/>
  <c r="G181" i="11"/>
  <c r="C182" i="11"/>
  <c r="D182" i="11"/>
  <c r="F182" i="11"/>
  <c r="H182" i="11" s="1"/>
  <c r="G182" i="11"/>
  <c r="C183" i="11"/>
  <c r="D183" i="11"/>
  <c r="F183" i="11"/>
  <c r="H183" i="11" s="1"/>
  <c r="G183" i="11"/>
  <c r="C184" i="11"/>
  <c r="D184" i="11"/>
  <c r="F184" i="11"/>
  <c r="H184" i="11" s="1"/>
  <c r="G184" i="11"/>
  <c r="C185" i="11"/>
  <c r="D185" i="11"/>
  <c r="F185" i="11"/>
  <c r="H185" i="11" s="1"/>
  <c r="G185" i="11"/>
  <c r="C186" i="11"/>
  <c r="D186" i="11"/>
  <c r="F186" i="11"/>
  <c r="H186" i="11" s="1"/>
  <c r="G186" i="11"/>
  <c r="C187" i="11"/>
  <c r="D187" i="11"/>
  <c r="F187" i="11"/>
  <c r="H187" i="11" s="1"/>
  <c r="G187" i="11"/>
  <c r="C188" i="11"/>
  <c r="D188" i="11"/>
  <c r="F188" i="11"/>
  <c r="H188" i="11" s="1"/>
  <c r="G188" i="11"/>
  <c r="C189" i="11"/>
  <c r="D189" i="11"/>
  <c r="F189" i="11"/>
  <c r="H189" i="11" s="1"/>
  <c r="G189" i="11"/>
  <c r="C190" i="11"/>
  <c r="D190" i="11"/>
  <c r="F190" i="11"/>
  <c r="H190" i="11" s="1"/>
  <c r="G190" i="11"/>
  <c r="C191" i="11"/>
  <c r="D191" i="11"/>
  <c r="F191" i="11"/>
  <c r="H191" i="11" s="1"/>
  <c r="G191" i="11"/>
  <c r="C192" i="11"/>
  <c r="D192" i="11"/>
  <c r="F192" i="11"/>
  <c r="H192" i="11" s="1"/>
  <c r="G192" i="11"/>
  <c r="C193" i="11"/>
  <c r="D193" i="11"/>
  <c r="F193" i="11"/>
  <c r="H193" i="11" s="1"/>
  <c r="G193" i="11"/>
  <c r="C194" i="11"/>
  <c r="D194" i="11"/>
  <c r="F194" i="11"/>
  <c r="H194" i="11" s="1"/>
  <c r="G194" i="11"/>
  <c r="C195" i="11"/>
  <c r="D195" i="11"/>
  <c r="F195" i="11"/>
  <c r="H195" i="11" s="1"/>
  <c r="G195" i="11"/>
  <c r="C196" i="11"/>
  <c r="D196" i="11"/>
  <c r="F196" i="11"/>
  <c r="H196" i="11" s="1"/>
  <c r="G196" i="11"/>
  <c r="C197" i="11"/>
  <c r="D197" i="11"/>
  <c r="F197" i="11"/>
  <c r="H197" i="11" s="1"/>
  <c r="G197" i="11"/>
  <c r="C198" i="11"/>
  <c r="D198" i="11"/>
  <c r="F198" i="11"/>
  <c r="H198" i="11" s="1"/>
  <c r="G198" i="11"/>
  <c r="C199" i="11"/>
  <c r="D199" i="11"/>
  <c r="F199" i="11"/>
  <c r="H199" i="11" s="1"/>
  <c r="G199" i="11"/>
  <c r="C200" i="11"/>
  <c r="D200" i="11"/>
  <c r="F200" i="11"/>
  <c r="H200" i="11" s="1"/>
  <c r="G200" i="11"/>
  <c r="C201" i="11"/>
  <c r="D201" i="11"/>
  <c r="F201" i="11"/>
  <c r="H201" i="11" s="1"/>
  <c r="G201" i="11"/>
  <c r="C202" i="11"/>
  <c r="D202" i="11"/>
  <c r="F202" i="11"/>
  <c r="H202" i="11" s="1"/>
  <c r="G202" i="11"/>
  <c r="C203" i="11"/>
  <c r="D203" i="11"/>
  <c r="F203" i="11"/>
  <c r="H203" i="11" s="1"/>
  <c r="G203" i="11"/>
  <c r="C204" i="11"/>
  <c r="D204" i="11"/>
  <c r="F204" i="11"/>
  <c r="H204" i="11" s="1"/>
  <c r="G204" i="11"/>
  <c r="C205" i="11"/>
  <c r="D205" i="11"/>
  <c r="F205" i="11"/>
  <c r="H205" i="11" s="1"/>
  <c r="G205" i="11"/>
  <c r="C206" i="11"/>
  <c r="D206" i="11"/>
  <c r="F206" i="11"/>
  <c r="H206" i="11" s="1"/>
  <c r="G206" i="11"/>
  <c r="C207" i="11"/>
  <c r="D207" i="11"/>
  <c r="F207" i="11"/>
  <c r="H207" i="11" s="1"/>
  <c r="G207" i="11"/>
  <c r="C208" i="11"/>
  <c r="D208" i="11"/>
  <c r="F208" i="11"/>
  <c r="H208" i="11" s="1"/>
  <c r="G208" i="11"/>
  <c r="C209" i="11"/>
  <c r="D209" i="11"/>
  <c r="F209" i="11"/>
  <c r="H209" i="11" s="1"/>
  <c r="G209" i="11"/>
  <c r="C210" i="11"/>
  <c r="D210" i="11"/>
  <c r="F210" i="11"/>
  <c r="H210" i="11" s="1"/>
  <c r="G210" i="11"/>
  <c r="C211" i="11"/>
  <c r="D211" i="11"/>
  <c r="F211" i="11"/>
  <c r="H211" i="11" s="1"/>
  <c r="G211" i="11"/>
  <c r="C212" i="11"/>
  <c r="D212" i="11"/>
  <c r="F212" i="11"/>
  <c r="H212" i="11" s="1"/>
  <c r="G212" i="11"/>
  <c r="C213" i="11"/>
  <c r="D213" i="11"/>
  <c r="F213" i="11"/>
  <c r="H213" i="11" s="1"/>
  <c r="G213" i="11"/>
  <c r="C214" i="11"/>
  <c r="D214" i="11"/>
  <c r="F214" i="11"/>
  <c r="H214" i="11" s="1"/>
  <c r="G214" i="11"/>
  <c r="C215" i="11"/>
  <c r="D215" i="11"/>
  <c r="F215" i="11"/>
  <c r="H215" i="11" s="1"/>
  <c r="G215" i="11"/>
  <c r="C216" i="11"/>
  <c r="D216" i="11"/>
  <c r="F216" i="11"/>
  <c r="H216" i="11" s="1"/>
  <c r="G216" i="11"/>
  <c r="C217" i="11"/>
  <c r="D217" i="11"/>
  <c r="F217" i="11"/>
  <c r="H217" i="11" s="1"/>
  <c r="G217" i="11"/>
  <c r="C218" i="11"/>
  <c r="D218" i="11"/>
  <c r="F218" i="11"/>
  <c r="H218" i="11" s="1"/>
  <c r="G218" i="11"/>
  <c r="C219" i="11"/>
  <c r="D219" i="11"/>
  <c r="F219" i="11"/>
  <c r="H219" i="11" s="1"/>
  <c r="G219" i="11"/>
  <c r="C220" i="11"/>
  <c r="D220" i="11"/>
  <c r="F220" i="11"/>
  <c r="H220" i="11" s="1"/>
  <c r="G220" i="11"/>
  <c r="C221" i="11"/>
  <c r="D221" i="11"/>
  <c r="F221" i="11"/>
  <c r="H221" i="11" s="1"/>
  <c r="G221" i="11"/>
  <c r="C222" i="11"/>
  <c r="D222" i="11"/>
  <c r="F222" i="11"/>
  <c r="H222" i="11" s="1"/>
  <c r="G222" i="11"/>
  <c r="C223" i="11"/>
  <c r="D223" i="11"/>
  <c r="F223" i="11"/>
  <c r="H223" i="11" s="1"/>
  <c r="G223" i="11"/>
  <c r="C224" i="11"/>
  <c r="D224" i="11"/>
  <c r="F224" i="11"/>
  <c r="H224" i="11" s="1"/>
  <c r="G224" i="11"/>
  <c r="C225" i="11"/>
  <c r="D225" i="11"/>
  <c r="F225" i="11"/>
  <c r="H225" i="11" s="1"/>
  <c r="G225" i="11"/>
  <c r="C226" i="11"/>
  <c r="D226" i="11"/>
  <c r="F226" i="11"/>
  <c r="H226" i="11" s="1"/>
  <c r="G226" i="11"/>
  <c r="C227" i="11"/>
  <c r="D227" i="11"/>
  <c r="F227" i="11"/>
  <c r="H227" i="11" s="1"/>
  <c r="G227" i="11"/>
  <c r="C228" i="11"/>
  <c r="D228" i="11"/>
  <c r="F228" i="11"/>
  <c r="H228" i="11" s="1"/>
  <c r="G228" i="11"/>
  <c r="C229" i="11"/>
  <c r="D229" i="11"/>
  <c r="F229" i="11"/>
  <c r="H229" i="11" s="1"/>
  <c r="G229" i="11"/>
  <c r="C230" i="11"/>
  <c r="D230" i="11"/>
  <c r="F230" i="11"/>
  <c r="H230" i="11" s="1"/>
  <c r="G230" i="11"/>
  <c r="C231" i="11"/>
  <c r="D231" i="11"/>
  <c r="F231" i="11"/>
  <c r="H231" i="11" s="1"/>
  <c r="G231" i="11"/>
  <c r="C232" i="11"/>
  <c r="D232" i="11"/>
  <c r="F232" i="11"/>
  <c r="H232" i="11" s="1"/>
  <c r="G232" i="11"/>
  <c r="C233" i="11"/>
  <c r="D233" i="11"/>
  <c r="F233" i="11"/>
  <c r="H233" i="11" s="1"/>
  <c r="G233" i="11"/>
  <c r="C234" i="11"/>
  <c r="D234" i="11"/>
  <c r="F234" i="11"/>
  <c r="H234" i="11" s="1"/>
  <c r="G234" i="11"/>
  <c r="C235" i="11"/>
  <c r="D235" i="11"/>
  <c r="F235" i="11"/>
  <c r="H235" i="11" s="1"/>
  <c r="G235" i="11"/>
  <c r="C236" i="11"/>
  <c r="D236" i="11"/>
  <c r="F236" i="11"/>
  <c r="H236" i="11" s="1"/>
  <c r="G236" i="11"/>
  <c r="C237" i="11"/>
  <c r="D237" i="11"/>
  <c r="F237" i="11"/>
  <c r="H237" i="11" s="1"/>
  <c r="G237" i="11"/>
  <c r="C238" i="11"/>
  <c r="D238" i="11"/>
  <c r="F238" i="11"/>
  <c r="H238" i="11" s="1"/>
  <c r="G238" i="11"/>
  <c r="C239" i="11"/>
  <c r="D239" i="11"/>
  <c r="F239" i="11"/>
  <c r="H239" i="11" s="1"/>
  <c r="G239" i="11"/>
  <c r="C240" i="11"/>
  <c r="D240" i="11"/>
  <c r="F240" i="11"/>
  <c r="H240" i="11" s="1"/>
  <c r="G240" i="11"/>
  <c r="C241" i="11"/>
  <c r="D241" i="11"/>
  <c r="F241" i="11"/>
  <c r="H241" i="11" s="1"/>
  <c r="G241" i="11"/>
  <c r="C242" i="11"/>
  <c r="D242" i="11"/>
  <c r="F242" i="11"/>
  <c r="H242" i="11" s="1"/>
  <c r="G242" i="11"/>
  <c r="C243" i="11"/>
  <c r="D243" i="11"/>
  <c r="F243" i="11"/>
  <c r="H243" i="11" s="1"/>
  <c r="G243" i="11"/>
  <c r="C244" i="11"/>
  <c r="D244" i="11"/>
  <c r="F244" i="11"/>
  <c r="H244" i="11" s="1"/>
  <c r="G244" i="11"/>
  <c r="C245" i="11"/>
  <c r="D245" i="11"/>
  <c r="F245" i="11"/>
  <c r="H245" i="11" s="1"/>
  <c r="G245" i="11"/>
  <c r="C246" i="11"/>
  <c r="D246" i="11"/>
  <c r="F246" i="11"/>
  <c r="H246" i="11" s="1"/>
  <c r="G246" i="11"/>
  <c r="C247" i="11"/>
  <c r="D247" i="11"/>
  <c r="F247" i="11"/>
  <c r="H247" i="11" s="1"/>
  <c r="G247" i="11"/>
  <c r="C248" i="11"/>
  <c r="D248" i="11"/>
  <c r="F248" i="11"/>
  <c r="H248" i="11" s="1"/>
  <c r="G248" i="11"/>
  <c r="C249" i="11"/>
  <c r="D249" i="11"/>
  <c r="F249" i="11"/>
  <c r="H249" i="11" s="1"/>
  <c r="G249" i="11"/>
  <c r="C250" i="11"/>
  <c r="D250" i="11"/>
  <c r="F250" i="11"/>
  <c r="H250" i="11" s="1"/>
  <c r="G250" i="11"/>
  <c r="C251" i="11"/>
  <c r="D251" i="11"/>
  <c r="F251" i="11"/>
  <c r="H251" i="11" s="1"/>
  <c r="G251" i="11"/>
  <c r="C252" i="11"/>
  <c r="D252" i="11"/>
  <c r="F252" i="11"/>
  <c r="H252" i="11" s="1"/>
  <c r="G252" i="11"/>
  <c r="C253" i="11"/>
  <c r="D253" i="11"/>
  <c r="F253" i="11"/>
  <c r="H253" i="11" s="1"/>
  <c r="G253" i="11"/>
  <c r="C254" i="11"/>
  <c r="D254" i="11"/>
  <c r="F254" i="11"/>
  <c r="H254" i="11" s="1"/>
  <c r="G254" i="11"/>
  <c r="C255" i="11"/>
  <c r="D255" i="11"/>
  <c r="F255" i="11"/>
  <c r="H255" i="11" s="1"/>
  <c r="G255" i="11"/>
  <c r="C256" i="11"/>
  <c r="D256" i="11"/>
  <c r="F256" i="11"/>
  <c r="H256" i="11" s="1"/>
  <c r="G256" i="11"/>
  <c r="C257" i="11"/>
  <c r="D257" i="11"/>
  <c r="F257" i="11"/>
  <c r="H257" i="11" s="1"/>
  <c r="G257" i="11"/>
  <c r="F258" i="11"/>
  <c r="H258" i="11" s="1"/>
  <c r="G258" i="11"/>
  <c r="F259" i="11"/>
  <c r="H259" i="11" s="1"/>
  <c r="G259" i="11"/>
  <c r="F260" i="11"/>
  <c r="H260" i="11" s="1"/>
  <c r="G260" i="11"/>
  <c r="F261" i="11"/>
  <c r="H261" i="11" s="1"/>
  <c r="G261" i="11"/>
  <c r="F262" i="11"/>
  <c r="H262" i="11" s="1"/>
  <c r="G262" i="11"/>
  <c r="F263" i="11"/>
  <c r="H263" i="11" s="1"/>
  <c r="G263" i="11"/>
  <c r="F264" i="11"/>
  <c r="H264" i="11" s="1"/>
  <c r="G264" i="11"/>
  <c r="F265" i="11"/>
  <c r="H265" i="11" s="1"/>
  <c r="G265" i="11"/>
  <c r="F266" i="11"/>
  <c r="H266" i="11" s="1"/>
  <c r="G266" i="11"/>
  <c r="F267" i="11"/>
  <c r="H267" i="11" s="1"/>
  <c r="G267" i="11"/>
  <c r="F268" i="11"/>
  <c r="H268" i="11" s="1"/>
  <c r="G268" i="11"/>
  <c r="F269" i="11"/>
  <c r="H269" i="11" s="1"/>
  <c r="G269" i="11"/>
  <c r="F270" i="11"/>
  <c r="H270" i="11" s="1"/>
  <c r="G270" i="11"/>
  <c r="F271" i="11"/>
  <c r="H271" i="11" s="1"/>
  <c r="G271" i="11"/>
  <c r="F272" i="11"/>
  <c r="H272" i="11" s="1"/>
  <c r="G272" i="11"/>
  <c r="F273" i="11"/>
  <c r="H273" i="11" s="1"/>
  <c r="G273" i="11"/>
  <c r="F274" i="11"/>
  <c r="H274" i="11" s="1"/>
  <c r="G274" i="11"/>
  <c r="F275" i="11"/>
  <c r="H275" i="11" s="1"/>
  <c r="G275" i="11"/>
  <c r="F276" i="11"/>
  <c r="H276" i="11" s="1"/>
  <c r="G276" i="11"/>
  <c r="F277" i="11"/>
  <c r="H277" i="11" s="1"/>
  <c r="G277" i="11"/>
  <c r="F278" i="11"/>
  <c r="H278" i="11" s="1"/>
  <c r="G278" i="11"/>
  <c r="F279" i="11"/>
  <c r="H279" i="11" s="1"/>
  <c r="G279" i="11"/>
  <c r="F280" i="11"/>
  <c r="H280" i="11" s="1"/>
  <c r="G280" i="11"/>
  <c r="F281" i="11"/>
  <c r="H281" i="11" s="1"/>
  <c r="G281" i="11"/>
  <c r="F282" i="11"/>
  <c r="H282" i="11" s="1"/>
  <c r="G282" i="11"/>
  <c r="F283" i="11"/>
  <c r="H283" i="11" s="1"/>
  <c r="G283" i="11"/>
  <c r="F284" i="11"/>
  <c r="H284" i="11" s="1"/>
  <c r="G284" i="11"/>
  <c r="F285" i="11"/>
  <c r="H285" i="11" s="1"/>
  <c r="G285" i="11"/>
  <c r="F286" i="11"/>
  <c r="H286" i="11" s="1"/>
  <c r="G286" i="11"/>
  <c r="F287" i="11"/>
  <c r="H287" i="11" s="1"/>
  <c r="G287" i="11"/>
  <c r="F288" i="11"/>
  <c r="H288" i="11" s="1"/>
  <c r="G288" i="11"/>
  <c r="F289" i="11"/>
  <c r="H289" i="11" s="1"/>
  <c r="G289" i="11"/>
  <c r="F290" i="11"/>
  <c r="H290" i="11" s="1"/>
  <c r="G290" i="11"/>
  <c r="F291" i="11"/>
  <c r="H291" i="11" s="1"/>
  <c r="G291" i="11"/>
  <c r="F292" i="11"/>
  <c r="H292" i="11" s="1"/>
  <c r="G292" i="11"/>
  <c r="F293" i="11"/>
  <c r="H293" i="11" s="1"/>
  <c r="G293" i="11"/>
  <c r="F294" i="11"/>
  <c r="H294" i="11" s="1"/>
  <c r="G294" i="11"/>
  <c r="F295" i="11"/>
  <c r="H295" i="11" s="1"/>
  <c r="G295" i="11"/>
  <c r="F296" i="11"/>
  <c r="H296" i="11" s="1"/>
  <c r="G296" i="11"/>
  <c r="F297" i="11"/>
  <c r="H297" i="11" s="1"/>
  <c r="G297" i="11"/>
  <c r="F298" i="11"/>
  <c r="H298" i="11" s="1"/>
  <c r="G298" i="11"/>
  <c r="F299" i="11"/>
  <c r="H299" i="11" s="1"/>
  <c r="G299" i="11"/>
  <c r="F300" i="11"/>
  <c r="H300" i="11" s="1"/>
  <c r="G300" i="11"/>
  <c r="F301" i="11"/>
  <c r="H301" i="11" s="1"/>
  <c r="G301" i="11"/>
  <c r="F302" i="11"/>
  <c r="H302" i="11" s="1"/>
  <c r="G302" i="11"/>
  <c r="F303" i="11"/>
  <c r="H303" i="11" s="1"/>
  <c r="G303" i="11"/>
  <c r="F304" i="11"/>
  <c r="H304" i="11" s="1"/>
  <c r="G304" i="11"/>
  <c r="F305" i="11"/>
  <c r="H305" i="11" s="1"/>
  <c r="G305" i="11"/>
  <c r="F306" i="11"/>
  <c r="H306" i="11" s="1"/>
  <c r="G306" i="11"/>
  <c r="F307" i="11"/>
  <c r="H307" i="11" s="1"/>
  <c r="G307" i="11"/>
  <c r="F308" i="11"/>
  <c r="H308" i="11" s="1"/>
  <c r="G308" i="11"/>
  <c r="F309" i="11"/>
  <c r="H309" i="11" s="1"/>
  <c r="G309" i="11"/>
  <c r="F310" i="11"/>
  <c r="H310" i="11" s="1"/>
  <c r="G310" i="11"/>
  <c r="F311" i="11"/>
  <c r="H311" i="11" s="1"/>
  <c r="G311" i="11"/>
  <c r="F312" i="11"/>
  <c r="H312" i="11" s="1"/>
  <c r="G312" i="11"/>
  <c r="F313" i="11"/>
  <c r="H313" i="11" s="1"/>
  <c r="G313" i="11"/>
  <c r="F314" i="11"/>
  <c r="H314" i="11" s="1"/>
  <c r="G314" i="11"/>
  <c r="F315" i="11"/>
  <c r="H315" i="11" s="1"/>
  <c r="G315" i="11"/>
  <c r="F316" i="11"/>
  <c r="H316" i="11" s="1"/>
  <c r="G316" i="11"/>
  <c r="F317" i="11"/>
  <c r="H317" i="11" s="1"/>
  <c r="G317" i="11"/>
  <c r="F318" i="11"/>
  <c r="H318" i="11" s="1"/>
  <c r="G318" i="11"/>
  <c r="F319" i="11"/>
  <c r="H319" i="11" s="1"/>
  <c r="G319" i="11"/>
  <c r="F320" i="11"/>
  <c r="H320" i="11" s="1"/>
  <c r="G320" i="11"/>
  <c r="F321" i="11"/>
  <c r="H321" i="11" s="1"/>
  <c r="G321" i="11"/>
  <c r="F322" i="11"/>
  <c r="H322" i="11" s="1"/>
  <c r="G322" i="11"/>
  <c r="F323" i="11"/>
  <c r="H323" i="11" s="1"/>
  <c r="G323" i="11"/>
  <c r="F324" i="11"/>
  <c r="H324" i="11" s="1"/>
  <c r="G324" i="11"/>
  <c r="F325" i="11"/>
  <c r="H325" i="11" s="1"/>
  <c r="G325" i="11"/>
  <c r="F326" i="11"/>
  <c r="H326" i="11" s="1"/>
  <c r="G326" i="11"/>
  <c r="F327" i="11"/>
  <c r="H327" i="11" s="1"/>
  <c r="G327" i="11"/>
  <c r="F328" i="11"/>
  <c r="H328" i="11" s="1"/>
  <c r="G328" i="11"/>
  <c r="F329" i="11"/>
  <c r="H329" i="11" s="1"/>
  <c r="G329" i="11"/>
  <c r="F330" i="11"/>
  <c r="H330" i="11" s="1"/>
  <c r="G330" i="11"/>
  <c r="F331" i="11"/>
  <c r="H331" i="11" s="1"/>
  <c r="G331" i="11"/>
  <c r="F332" i="11"/>
  <c r="H332" i="11" s="1"/>
  <c r="G332" i="11"/>
  <c r="F333" i="11"/>
  <c r="H333" i="11" s="1"/>
  <c r="G333" i="11"/>
  <c r="F334" i="11"/>
  <c r="H334" i="11" s="1"/>
  <c r="G334" i="11"/>
  <c r="F335" i="11"/>
  <c r="H335" i="11" s="1"/>
  <c r="G335" i="11"/>
  <c r="F336" i="11"/>
  <c r="H336" i="11" s="1"/>
  <c r="G336" i="11"/>
  <c r="F337" i="11"/>
  <c r="H337" i="11" s="1"/>
  <c r="G337" i="11"/>
  <c r="F338" i="11"/>
  <c r="H338" i="11" s="1"/>
  <c r="G338" i="11"/>
  <c r="F339" i="11"/>
  <c r="H339" i="11" s="1"/>
  <c r="G339" i="11"/>
  <c r="F340" i="11"/>
  <c r="H340" i="11" s="1"/>
  <c r="G340" i="11"/>
  <c r="F341" i="11"/>
  <c r="H341" i="11" s="1"/>
  <c r="G341" i="11"/>
  <c r="F342" i="11"/>
  <c r="H342" i="11" s="1"/>
  <c r="G342" i="11"/>
  <c r="F343" i="11"/>
  <c r="H343" i="11" s="1"/>
  <c r="G343" i="11"/>
  <c r="F344" i="11"/>
  <c r="H344" i="11" s="1"/>
  <c r="G344" i="11"/>
  <c r="F345" i="11"/>
  <c r="H345" i="11" s="1"/>
  <c r="G345" i="11"/>
  <c r="F346" i="11"/>
  <c r="H346" i="11" s="1"/>
  <c r="G346" i="11"/>
  <c r="F347" i="11"/>
  <c r="H347" i="11" s="1"/>
  <c r="G347" i="11"/>
  <c r="F348" i="11"/>
  <c r="H348" i="11" s="1"/>
  <c r="G348" i="11"/>
  <c r="F349" i="11"/>
  <c r="H349" i="11" s="1"/>
  <c r="G349" i="11"/>
  <c r="F350" i="11"/>
  <c r="H350" i="11" s="1"/>
  <c r="G350" i="11"/>
  <c r="F351" i="11"/>
  <c r="H351" i="11" s="1"/>
  <c r="G351" i="11"/>
  <c r="F352" i="11"/>
  <c r="H352" i="11" s="1"/>
  <c r="G352" i="11"/>
  <c r="F353" i="11"/>
  <c r="H353" i="11" s="1"/>
  <c r="G353" i="11"/>
  <c r="F354" i="11"/>
  <c r="H354" i="11" s="1"/>
  <c r="G354" i="11"/>
  <c r="F355" i="11"/>
  <c r="H355" i="11" s="1"/>
  <c r="G355" i="11"/>
  <c r="F356" i="11"/>
  <c r="H356" i="11" s="1"/>
  <c r="G356" i="11"/>
  <c r="F357" i="11"/>
  <c r="H357" i="11" s="1"/>
  <c r="G357" i="11"/>
  <c r="F358" i="11"/>
  <c r="H358" i="11" s="1"/>
  <c r="G358" i="11"/>
  <c r="F359" i="11"/>
  <c r="H359" i="11" s="1"/>
  <c r="G359" i="11"/>
  <c r="F360" i="11"/>
  <c r="H360" i="11" s="1"/>
  <c r="G360" i="11"/>
  <c r="F361" i="11"/>
  <c r="H361" i="11" s="1"/>
  <c r="G361" i="11"/>
  <c r="F362" i="11"/>
  <c r="H362" i="11" s="1"/>
  <c r="G362" i="11"/>
  <c r="F363" i="11"/>
  <c r="H363" i="11" s="1"/>
  <c r="G363" i="11"/>
  <c r="F364" i="11"/>
  <c r="H364" i="11" s="1"/>
  <c r="G364" i="11"/>
  <c r="F365" i="11"/>
  <c r="H365" i="11" s="1"/>
  <c r="G365" i="11"/>
  <c r="F366" i="11"/>
  <c r="H366" i="11" s="1"/>
  <c r="G366" i="11"/>
  <c r="F367" i="11"/>
  <c r="H367" i="11" s="1"/>
  <c r="G367" i="11"/>
  <c r="F368" i="11"/>
  <c r="H368" i="11" s="1"/>
  <c r="G368" i="11"/>
  <c r="F369" i="11"/>
  <c r="H369" i="11" s="1"/>
  <c r="G369" i="11"/>
  <c r="F370" i="11"/>
  <c r="H370" i="11" s="1"/>
  <c r="G370" i="11"/>
  <c r="F371" i="11"/>
  <c r="H371" i="11" s="1"/>
  <c r="G371" i="11"/>
  <c r="F372" i="11"/>
  <c r="H372" i="11" s="1"/>
  <c r="G372" i="11"/>
  <c r="F373" i="11"/>
  <c r="H373" i="11" s="1"/>
  <c r="G373" i="11"/>
  <c r="F374" i="11"/>
  <c r="H374" i="11" s="1"/>
  <c r="G374" i="11"/>
  <c r="F375" i="11"/>
  <c r="H375" i="11" s="1"/>
  <c r="G375" i="11"/>
  <c r="F376" i="11"/>
  <c r="H376" i="11" s="1"/>
  <c r="G376" i="11"/>
  <c r="F377" i="11"/>
  <c r="H377" i="11" s="1"/>
  <c r="G377" i="11"/>
  <c r="F378" i="11"/>
  <c r="H378" i="11" s="1"/>
  <c r="G378" i="11"/>
  <c r="F379" i="11"/>
  <c r="H379" i="11" s="1"/>
  <c r="G379" i="11"/>
  <c r="F380" i="11"/>
  <c r="H380" i="11" s="1"/>
  <c r="G380" i="11"/>
  <c r="F381" i="11"/>
  <c r="H381" i="11" s="1"/>
  <c r="G381" i="11"/>
  <c r="F382" i="11"/>
  <c r="H382" i="11" s="1"/>
  <c r="G382" i="11"/>
  <c r="F383" i="11"/>
  <c r="H383" i="11" s="1"/>
  <c r="G383" i="11"/>
  <c r="F384" i="11"/>
  <c r="H384" i="11" s="1"/>
  <c r="G384" i="11"/>
  <c r="F385" i="11"/>
  <c r="H385" i="11" s="1"/>
  <c r="G385" i="11"/>
  <c r="F386" i="11"/>
  <c r="H386" i="11" s="1"/>
  <c r="G386" i="11"/>
  <c r="F387" i="11"/>
  <c r="H387" i="11" s="1"/>
  <c r="G387" i="11"/>
  <c r="F388" i="11"/>
  <c r="H388" i="11" s="1"/>
  <c r="G388" i="11"/>
  <c r="F389" i="11"/>
  <c r="H389" i="11" s="1"/>
  <c r="G389" i="11"/>
  <c r="F390" i="11"/>
  <c r="H390" i="11" s="1"/>
  <c r="G390" i="11"/>
  <c r="F391" i="11"/>
  <c r="H391" i="11" s="1"/>
  <c r="G391" i="11"/>
  <c r="F392" i="11"/>
  <c r="H392" i="11" s="1"/>
  <c r="G392" i="11"/>
  <c r="F393" i="11"/>
  <c r="H393" i="11" s="1"/>
  <c r="G393" i="11"/>
  <c r="F394" i="11"/>
  <c r="H394" i="11" s="1"/>
  <c r="G394" i="11"/>
  <c r="F395" i="11"/>
  <c r="H395" i="11" s="1"/>
  <c r="G395" i="11"/>
  <c r="F396" i="11"/>
  <c r="H396" i="11" s="1"/>
  <c r="G396" i="11"/>
  <c r="F397" i="11"/>
  <c r="H397" i="11" s="1"/>
  <c r="G397" i="11"/>
  <c r="F398" i="11"/>
  <c r="H398" i="11" s="1"/>
  <c r="G398" i="11"/>
  <c r="F399" i="11"/>
  <c r="H399" i="11" s="1"/>
  <c r="G399" i="11"/>
  <c r="F400" i="11"/>
  <c r="H400" i="11" s="1"/>
  <c r="G400" i="11"/>
  <c r="F401" i="11"/>
  <c r="H401" i="11" s="1"/>
  <c r="G401" i="11"/>
  <c r="F402" i="11"/>
  <c r="H402" i="11" s="1"/>
  <c r="G402" i="11"/>
  <c r="F403" i="11"/>
  <c r="H403" i="11" s="1"/>
  <c r="G403" i="11"/>
  <c r="F404" i="11"/>
  <c r="H404" i="11" s="1"/>
  <c r="G404" i="11"/>
  <c r="F405" i="11"/>
  <c r="H405" i="11" s="1"/>
  <c r="G405" i="11"/>
  <c r="F406" i="11"/>
  <c r="H406" i="11" s="1"/>
  <c r="G406" i="11"/>
  <c r="F407" i="11"/>
  <c r="H407" i="11" s="1"/>
  <c r="G407" i="11"/>
  <c r="F408" i="11"/>
  <c r="H408" i="11" s="1"/>
  <c r="G408" i="11"/>
  <c r="F409" i="11"/>
  <c r="H409" i="11" s="1"/>
  <c r="G409" i="11"/>
  <c r="F410" i="11"/>
  <c r="H410" i="11" s="1"/>
  <c r="G410" i="11"/>
  <c r="F411" i="11"/>
  <c r="H411" i="11" s="1"/>
  <c r="G411" i="11"/>
  <c r="F412" i="11"/>
  <c r="H412" i="11" s="1"/>
  <c r="G412" i="11"/>
  <c r="F413" i="11"/>
  <c r="H413" i="11" s="1"/>
  <c r="G413" i="11"/>
  <c r="F414" i="11"/>
  <c r="H414" i="11" s="1"/>
  <c r="G414" i="11"/>
  <c r="F415" i="11"/>
  <c r="H415" i="11" s="1"/>
  <c r="G415" i="11"/>
  <c r="F416" i="11"/>
  <c r="H416" i="11" s="1"/>
  <c r="G416" i="11"/>
  <c r="F417" i="11"/>
  <c r="H417" i="11" s="1"/>
  <c r="G417" i="11"/>
  <c r="F418" i="11"/>
  <c r="H418" i="11" s="1"/>
  <c r="G418" i="11"/>
  <c r="F419" i="11"/>
  <c r="H419" i="11" s="1"/>
  <c r="G419" i="11"/>
  <c r="F420" i="11"/>
  <c r="H420" i="11" s="1"/>
  <c r="G420" i="11"/>
  <c r="F421" i="11"/>
  <c r="H421" i="11" s="1"/>
  <c r="G421" i="11"/>
  <c r="F422" i="11"/>
  <c r="H422" i="11" s="1"/>
  <c r="G422" i="11"/>
  <c r="F423" i="11"/>
  <c r="H423" i="11" s="1"/>
  <c r="G423" i="11"/>
  <c r="F424" i="11"/>
  <c r="H424" i="11" s="1"/>
  <c r="G424" i="11"/>
  <c r="F425" i="11"/>
  <c r="H425" i="11" s="1"/>
  <c r="G425" i="11"/>
  <c r="F426" i="11"/>
  <c r="H426" i="11" s="1"/>
  <c r="G426" i="11"/>
  <c r="F427" i="11"/>
  <c r="H427" i="11" s="1"/>
  <c r="G427" i="11"/>
  <c r="F428" i="11"/>
  <c r="H428" i="11" s="1"/>
  <c r="G428" i="11"/>
  <c r="F429" i="11"/>
  <c r="H429" i="11" s="1"/>
  <c r="G429" i="11"/>
  <c r="F430" i="11"/>
  <c r="H430" i="11" s="1"/>
  <c r="G430" i="11"/>
  <c r="F431" i="11"/>
  <c r="H431" i="11" s="1"/>
  <c r="G431" i="11"/>
  <c r="F432" i="11"/>
  <c r="H432" i="11" s="1"/>
  <c r="G432" i="11"/>
  <c r="F433" i="11"/>
  <c r="H433" i="11" s="1"/>
  <c r="G433" i="11"/>
  <c r="F434" i="11"/>
  <c r="H434" i="11" s="1"/>
  <c r="G434" i="11"/>
  <c r="F435" i="11"/>
  <c r="H435" i="11" s="1"/>
  <c r="G435" i="11"/>
  <c r="F436" i="11"/>
  <c r="H436" i="11" s="1"/>
  <c r="G436" i="11"/>
  <c r="F437" i="11"/>
  <c r="H437" i="11" s="1"/>
  <c r="G437" i="11"/>
  <c r="F438" i="11"/>
  <c r="H438" i="11" s="1"/>
  <c r="G438" i="11"/>
  <c r="F439" i="11"/>
  <c r="H439" i="11" s="1"/>
  <c r="G439" i="11"/>
  <c r="F440" i="11"/>
  <c r="H440" i="11" s="1"/>
  <c r="G440" i="11"/>
  <c r="F441" i="11"/>
  <c r="H441" i="11" s="1"/>
  <c r="G441" i="11"/>
  <c r="F442" i="11"/>
  <c r="H442" i="11" s="1"/>
  <c r="G442" i="11"/>
  <c r="F443" i="11"/>
  <c r="H443" i="11" s="1"/>
  <c r="G443" i="11"/>
  <c r="F444" i="11"/>
  <c r="H444" i="11" s="1"/>
  <c r="G444" i="11"/>
  <c r="F445" i="11"/>
  <c r="H445" i="11" s="1"/>
  <c r="G445" i="11"/>
  <c r="F446" i="11"/>
  <c r="H446" i="11" s="1"/>
  <c r="G446" i="11"/>
  <c r="F447" i="11"/>
  <c r="H447" i="11" s="1"/>
  <c r="G447" i="11"/>
  <c r="F448" i="11"/>
  <c r="H448" i="11" s="1"/>
  <c r="G448" i="11"/>
  <c r="F449" i="11"/>
  <c r="H449" i="11" s="1"/>
  <c r="G449" i="11"/>
  <c r="F450" i="11"/>
  <c r="H450" i="11" s="1"/>
  <c r="G450" i="11"/>
  <c r="F451" i="11"/>
  <c r="H451" i="11" s="1"/>
  <c r="G451" i="11"/>
  <c r="F452" i="11"/>
  <c r="H452" i="11" s="1"/>
  <c r="G452" i="11"/>
  <c r="F453" i="11"/>
  <c r="H453" i="11" s="1"/>
  <c r="G453" i="11"/>
  <c r="F454" i="11"/>
  <c r="H454" i="11" s="1"/>
  <c r="G454" i="11"/>
  <c r="F455" i="11"/>
  <c r="H455" i="11" s="1"/>
  <c r="G455" i="11"/>
  <c r="F456" i="11"/>
  <c r="H456" i="11" s="1"/>
  <c r="G456" i="11"/>
  <c r="F457" i="11"/>
  <c r="H457" i="11" s="1"/>
  <c r="G457" i="11"/>
  <c r="F458" i="11"/>
  <c r="H458" i="11" s="1"/>
  <c r="G458" i="11"/>
  <c r="F459" i="11"/>
  <c r="H459" i="11" s="1"/>
  <c r="G459" i="11"/>
  <c r="F460" i="11"/>
  <c r="H460" i="11" s="1"/>
  <c r="G460" i="11"/>
  <c r="F461" i="11"/>
  <c r="H461" i="11" s="1"/>
  <c r="G461" i="11"/>
  <c r="F462" i="11"/>
  <c r="H462" i="11" s="1"/>
  <c r="G462" i="11"/>
  <c r="F463" i="11"/>
  <c r="H463" i="11" s="1"/>
  <c r="G463" i="11"/>
  <c r="F464" i="11"/>
  <c r="H464" i="11" s="1"/>
  <c r="G464" i="11"/>
  <c r="F465" i="11"/>
  <c r="H465" i="11" s="1"/>
  <c r="G465" i="11"/>
  <c r="F466" i="11"/>
  <c r="H466" i="11" s="1"/>
  <c r="G466" i="11"/>
  <c r="F467" i="11"/>
  <c r="H467" i="11" s="1"/>
  <c r="G467" i="11"/>
  <c r="F468" i="11"/>
  <c r="H468" i="11" s="1"/>
  <c r="G468" i="11"/>
  <c r="F469" i="11"/>
  <c r="H469" i="11" s="1"/>
  <c r="G469" i="11"/>
  <c r="F470" i="11"/>
  <c r="H470" i="11" s="1"/>
  <c r="G470" i="11"/>
  <c r="F471" i="11"/>
  <c r="H471" i="11" s="1"/>
  <c r="G471" i="11"/>
  <c r="F472" i="11"/>
  <c r="H472" i="11" s="1"/>
  <c r="G472" i="11"/>
  <c r="F473" i="11"/>
  <c r="H473" i="11" s="1"/>
  <c r="G473" i="11"/>
  <c r="F474" i="11"/>
  <c r="H474" i="11" s="1"/>
  <c r="G474" i="11"/>
  <c r="F475" i="11"/>
  <c r="H475" i="11" s="1"/>
  <c r="G475" i="11"/>
  <c r="F476" i="11"/>
  <c r="H476" i="11" s="1"/>
  <c r="G476" i="11"/>
  <c r="F477" i="11"/>
  <c r="H477" i="11" s="1"/>
  <c r="G477" i="11"/>
  <c r="F478" i="11"/>
  <c r="H478" i="11" s="1"/>
  <c r="G478" i="11"/>
  <c r="F479" i="11"/>
  <c r="H479" i="11" s="1"/>
  <c r="G479" i="11"/>
  <c r="F480" i="11"/>
  <c r="H480" i="11" s="1"/>
  <c r="G480" i="11"/>
  <c r="F481" i="11"/>
  <c r="H481" i="11" s="1"/>
  <c r="G481" i="11"/>
  <c r="F482" i="11"/>
  <c r="H482" i="11" s="1"/>
  <c r="G482" i="11"/>
  <c r="F483" i="11"/>
  <c r="H483" i="11" s="1"/>
  <c r="G483" i="11"/>
  <c r="F484" i="11"/>
  <c r="H484" i="11" s="1"/>
  <c r="G484" i="11"/>
  <c r="F485" i="11"/>
  <c r="H485" i="11" s="1"/>
  <c r="G485" i="11"/>
  <c r="F486" i="11"/>
  <c r="H486" i="11" s="1"/>
  <c r="G486" i="11"/>
  <c r="F487" i="11"/>
  <c r="H487" i="11" s="1"/>
  <c r="G487" i="11"/>
  <c r="F488" i="11"/>
  <c r="H488" i="11" s="1"/>
  <c r="G488" i="11"/>
  <c r="F489" i="11"/>
  <c r="H489" i="11" s="1"/>
  <c r="G489" i="11"/>
  <c r="F490" i="11"/>
  <c r="H490" i="11" s="1"/>
  <c r="G490" i="11"/>
  <c r="F491" i="11"/>
  <c r="H491" i="11" s="1"/>
  <c r="G491" i="11"/>
  <c r="F492" i="11"/>
  <c r="H492" i="11" s="1"/>
  <c r="G492" i="11"/>
  <c r="F493" i="11"/>
  <c r="H493" i="11" s="1"/>
  <c r="G493" i="11"/>
  <c r="F494" i="11"/>
  <c r="H494" i="11" s="1"/>
  <c r="G494" i="11"/>
  <c r="F495" i="11"/>
  <c r="H495" i="11" s="1"/>
  <c r="G495" i="11"/>
  <c r="F496" i="11"/>
  <c r="H496" i="11" s="1"/>
  <c r="G496" i="11"/>
  <c r="F497" i="11"/>
  <c r="H497" i="11" s="1"/>
  <c r="G497" i="11"/>
  <c r="F498" i="11"/>
  <c r="H498" i="11" s="1"/>
  <c r="G498" i="11"/>
  <c r="F499" i="11"/>
  <c r="H499" i="11"/>
  <c r="G499" i="11"/>
  <c r="F500" i="11"/>
  <c r="H500" i="11" s="1"/>
  <c r="G500" i="11"/>
  <c r="F501" i="11"/>
  <c r="H501" i="11" s="1"/>
  <c r="G501" i="11"/>
  <c r="F502" i="11"/>
  <c r="H502" i="11" s="1"/>
  <c r="G502" i="11"/>
  <c r="F503" i="11"/>
  <c r="H503" i="11" s="1"/>
  <c r="G503" i="11"/>
  <c r="F504" i="11"/>
  <c r="H504" i="11" s="1"/>
  <c r="G504" i="11"/>
  <c r="F505" i="11"/>
  <c r="H505" i="11" s="1"/>
  <c r="G505" i="11"/>
  <c r="F506" i="11"/>
  <c r="H506" i="11" s="1"/>
  <c r="G506" i="11"/>
  <c r="F507" i="11"/>
  <c r="H507" i="11" s="1"/>
  <c r="G507" i="11"/>
  <c r="F508" i="11"/>
  <c r="H508" i="11" s="1"/>
  <c r="G508" i="11"/>
  <c r="F509" i="11"/>
  <c r="H509" i="11" s="1"/>
  <c r="G509" i="11"/>
  <c r="F510" i="11"/>
  <c r="H510" i="11" s="1"/>
  <c r="G510" i="11"/>
  <c r="F511" i="11"/>
  <c r="H511" i="11" s="1"/>
  <c r="G511" i="11"/>
  <c r="F512" i="11"/>
  <c r="H512" i="11" s="1"/>
  <c r="G512" i="11"/>
  <c r="F513" i="11"/>
  <c r="H513" i="11" s="1"/>
  <c r="G513" i="11"/>
  <c r="F514" i="11"/>
  <c r="H514" i="11" s="1"/>
  <c r="G514" i="11"/>
  <c r="F515" i="11"/>
  <c r="H515" i="11" s="1"/>
  <c r="G515" i="11"/>
  <c r="F516" i="11"/>
  <c r="H516" i="11" s="1"/>
  <c r="G516" i="11"/>
  <c r="F517" i="11"/>
  <c r="H517" i="11" s="1"/>
  <c r="G517" i="11"/>
  <c r="F518" i="11"/>
  <c r="H518" i="11" s="1"/>
  <c r="G518" i="11"/>
  <c r="F519" i="11"/>
  <c r="H519" i="11" s="1"/>
  <c r="G519" i="11"/>
  <c r="F520" i="11"/>
  <c r="H520" i="11" s="1"/>
  <c r="G520" i="11"/>
  <c r="F521" i="11"/>
  <c r="H521" i="11" s="1"/>
  <c r="G521" i="11"/>
  <c r="F522" i="11"/>
  <c r="H522" i="11" s="1"/>
  <c r="G522" i="11"/>
  <c r="F523" i="11"/>
  <c r="H523" i="11" s="1"/>
  <c r="G523" i="11"/>
  <c r="F524" i="11"/>
  <c r="H524" i="11" s="1"/>
  <c r="G524" i="11"/>
  <c r="F525" i="11"/>
  <c r="H525" i="11" s="1"/>
  <c r="G525" i="11"/>
  <c r="F526" i="11"/>
  <c r="H526" i="11" s="1"/>
  <c r="G526" i="11"/>
  <c r="F527" i="11"/>
  <c r="H527" i="11" s="1"/>
  <c r="G527" i="11"/>
  <c r="F528" i="11"/>
  <c r="H528" i="11" s="1"/>
  <c r="G528" i="11"/>
  <c r="F529" i="11"/>
  <c r="H529" i="11" s="1"/>
  <c r="G529" i="11"/>
  <c r="F530" i="11"/>
  <c r="H530" i="11" s="1"/>
  <c r="G530" i="11"/>
  <c r="F531" i="11"/>
  <c r="H531" i="11" s="1"/>
  <c r="G531" i="11"/>
  <c r="F532" i="11"/>
  <c r="H532" i="11" s="1"/>
  <c r="G532" i="11"/>
  <c r="F533" i="11"/>
  <c r="H533" i="11" s="1"/>
  <c r="G533" i="11"/>
  <c r="F534" i="11"/>
  <c r="H534" i="11" s="1"/>
  <c r="G534" i="11"/>
  <c r="F535" i="11"/>
  <c r="H535" i="11" s="1"/>
  <c r="G535" i="11"/>
  <c r="F536" i="11"/>
  <c r="H536" i="11" s="1"/>
  <c r="G536" i="11"/>
  <c r="F537" i="11"/>
  <c r="H537" i="11" s="1"/>
  <c r="G537" i="11"/>
  <c r="F538" i="11"/>
  <c r="H538" i="11" s="1"/>
  <c r="G538" i="11"/>
  <c r="F539" i="11"/>
  <c r="H539" i="11" s="1"/>
  <c r="G539" i="11"/>
  <c r="F540" i="11"/>
  <c r="H540" i="11" s="1"/>
  <c r="G540" i="11"/>
  <c r="F541" i="11"/>
  <c r="H541" i="11" s="1"/>
  <c r="G541" i="11"/>
  <c r="F542" i="11"/>
  <c r="H542" i="11" s="1"/>
  <c r="G542" i="11"/>
  <c r="F543" i="11"/>
  <c r="H543" i="11" s="1"/>
  <c r="G543" i="11"/>
  <c r="F544" i="11"/>
  <c r="H544" i="11" s="1"/>
  <c r="G544" i="11"/>
  <c r="F545" i="11"/>
  <c r="H545" i="11" s="1"/>
  <c r="G545" i="11"/>
  <c r="F546" i="11"/>
  <c r="H546" i="11" s="1"/>
  <c r="G546" i="11"/>
  <c r="F547" i="11"/>
  <c r="H547" i="11" s="1"/>
  <c r="G547" i="11"/>
  <c r="F548" i="11"/>
  <c r="H548" i="11" s="1"/>
  <c r="G548" i="11"/>
  <c r="F549" i="11"/>
  <c r="H549" i="11" s="1"/>
  <c r="G549" i="11"/>
  <c r="F550" i="11"/>
  <c r="H550" i="11" s="1"/>
  <c r="G550" i="11"/>
  <c r="F551" i="11"/>
  <c r="H551" i="11" s="1"/>
  <c r="G551" i="11"/>
  <c r="F552" i="11"/>
  <c r="H552" i="11" s="1"/>
  <c r="G552" i="11"/>
  <c r="F553" i="11"/>
  <c r="H553" i="11" s="1"/>
  <c r="G553" i="11"/>
  <c r="F554" i="11"/>
  <c r="H554" i="11" s="1"/>
  <c r="G554" i="11"/>
  <c r="F555" i="11"/>
  <c r="H555" i="11" s="1"/>
  <c r="G555" i="11"/>
  <c r="F556" i="11"/>
  <c r="H556" i="11" s="1"/>
  <c r="G556" i="11"/>
  <c r="F557" i="11"/>
  <c r="H557" i="11" s="1"/>
  <c r="G557" i="11"/>
  <c r="F558" i="11"/>
  <c r="H558" i="11" s="1"/>
  <c r="G558" i="11"/>
  <c r="F559" i="11"/>
  <c r="H559" i="11" s="1"/>
  <c r="G559" i="11"/>
  <c r="F560" i="11"/>
  <c r="H560" i="11" s="1"/>
  <c r="G560" i="11"/>
  <c r="F561" i="11"/>
  <c r="H561" i="11" s="1"/>
  <c r="G561" i="11"/>
  <c r="F562" i="11"/>
  <c r="H562" i="11" s="1"/>
  <c r="G562" i="11"/>
  <c r="F563" i="11"/>
  <c r="H563" i="11" s="1"/>
  <c r="G563" i="11"/>
  <c r="F564" i="11"/>
  <c r="H564" i="11" s="1"/>
  <c r="G564" i="11"/>
  <c r="F565" i="11"/>
  <c r="H565" i="11" s="1"/>
  <c r="G565" i="11"/>
  <c r="F566" i="11"/>
  <c r="H566" i="11" s="1"/>
  <c r="G566" i="11"/>
  <c r="F567" i="11"/>
  <c r="H567" i="11" s="1"/>
  <c r="G567" i="11"/>
  <c r="F568" i="11"/>
  <c r="H568" i="11" s="1"/>
  <c r="G568" i="11"/>
  <c r="F569" i="11"/>
  <c r="H569" i="11" s="1"/>
  <c r="G569" i="11"/>
  <c r="F570" i="11"/>
  <c r="H570" i="11" s="1"/>
  <c r="G570" i="11"/>
  <c r="F571" i="11"/>
  <c r="H571" i="11" s="1"/>
  <c r="G571" i="11"/>
  <c r="F572" i="11"/>
  <c r="H572" i="11" s="1"/>
  <c r="G572" i="11"/>
  <c r="F573" i="11"/>
  <c r="H573" i="11" s="1"/>
  <c r="G573" i="11"/>
  <c r="F574" i="11"/>
  <c r="H574" i="11" s="1"/>
  <c r="G574" i="11"/>
  <c r="F575" i="11"/>
  <c r="H575" i="11" s="1"/>
  <c r="G575" i="11"/>
  <c r="F576" i="11"/>
  <c r="H576" i="11" s="1"/>
  <c r="G576" i="11"/>
  <c r="F577" i="11"/>
  <c r="H577" i="11" s="1"/>
  <c r="G577" i="11"/>
  <c r="F578" i="11"/>
  <c r="H578" i="11" s="1"/>
  <c r="G578" i="11"/>
  <c r="F579" i="11"/>
  <c r="H579" i="11" s="1"/>
  <c r="G579" i="11"/>
  <c r="F580" i="11"/>
  <c r="H580" i="11" s="1"/>
  <c r="G580" i="11"/>
  <c r="F581" i="11"/>
  <c r="H581" i="11" s="1"/>
  <c r="G581" i="11"/>
  <c r="F582" i="11"/>
  <c r="H582" i="11" s="1"/>
  <c r="G582" i="11"/>
  <c r="F583" i="11"/>
  <c r="H583" i="11" s="1"/>
  <c r="G583" i="11"/>
  <c r="F584" i="11"/>
  <c r="H584" i="11" s="1"/>
  <c r="G584" i="11"/>
  <c r="F585" i="11"/>
  <c r="H585" i="11" s="1"/>
  <c r="G585" i="11"/>
  <c r="F586" i="11"/>
  <c r="H586" i="11" s="1"/>
  <c r="G586" i="11"/>
  <c r="F587" i="11"/>
  <c r="H587" i="11" s="1"/>
  <c r="G587" i="11"/>
  <c r="F588" i="11"/>
  <c r="H588" i="11" s="1"/>
  <c r="G588" i="11"/>
  <c r="F589" i="11"/>
  <c r="H589" i="11" s="1"/>
  <c r="G589" i="11"/>
  <c r="F590" i="11"/>
  <c r="H590" i="11" s="1"/>
  <c r="G590" i="11"/>
  <c r="F591" i="11"/>
  <c r="H591" i="11" s="1"/>
  <c r="G591" i="11"/>
  <c r="F592" i="11"/>
  <c r="H592" i="11" s="1"/>
  <c r="G592" i="11"/>
  <c r="F593" i="11"/>
  <c r="H593" i="11" s="1"/>
  <c r="G593" i="11"/>
  <c r="F594" i="11"/>
  <c r="H594" i="11" s="1"/>
  <c r="G594" i="11"/>
  <c r="F595" i="11"/>
  <c r="H595" i="11" s="1"/>
  <c r="G595" i="11"/>
  <c r="F596" i="11"/>
  <c r="H596" i="11" s="1"/>
  <c r="G596" i="11"/>
  <c r="F597" i="11"/>
  <c r="H597" i="11" s="1"/>
  <c r="G597" i="11"/>
  <c r="F598" i="11"/>
  <c r="H598" i="11" s="1"/>
  <c r="G598" i="11"/>
  <c r="F599" i="11"/>
  <c r="H599" i="11" s="1"/>
  <c r="G599" i="11"/>
  <c r="F600" i="11"/>
  <c r="H600" i="11" s="1"/>
  <c r="G600" i="11"/>
  <c r="F601" i="11"/>
  <c r="H601" i="11" s="1"/>
  <c r="G601" i="11"/>
  <c r="F602" i="11"/>
  <c r="H602" i="11" s="1"/>
  <c r="G602" i="11"/>
  <c r="F603" i="11"/>
  <c r="H603" i="11" s="1"/>
  <c r="G603" i="11"/>
  <c r="F604" i="11"/>
  <c r="H604" i="11" s="1"/>
  <c r="G604" i="11"/>
  <c r="F605" i="11"/>
  <c r="H605" i="11" s="1"/>
  <c r="G605" i="11"/>
  <c r="F606" i="11"/>
  <c r="H606" i="11" s="1"/>
  <c r="G606" i="11"/>
  <c r="F607" i="11"/>
  <c r="H607" i="11" s="1"/>
  <c r="G607" i="11"/>
  <c r="F608" i="11"/>
  <c r="H608" i="11" s="1"/>
  <c r="G608" i="11"/>
  <c r="F609" i="11"/>
  <c r="H609" i="11" s="1"/>
  <c r="G609" i="11"/>
  <c r="F610" i="11"/>
  <c r="H610" i="11" s="1"/>
  <c r="G610" i="11"/>
  <c r="F611" i="11"/>
  <c r="H611" i="11" s="1"/>
  <c r="G611" i="11"/>
  <c r="F612" i="11"/>
  <c r="H612" i="11" s="1"/>
  <c r="G612" i="11"/>
  <c r="F613" i="11"/>
  <c r="H613" i="11" s="1"/>
  <c r="G613" i="11"/>
  <c r="F614" i="11"/>
  <c r="H614" i="11" s="1"/>
  <c r="G614" i="11"/>
  <c r="F615" i="11"/>
  <c r="H615" i="11" s="1"/>
  <c r="G615" i="11"/>
  <c r="F616" i="11"/>
  <c r="H616" i="11" s="1"/>
  <c r="G616" i="11"/>
  <c r="F617" i="11"/>
  <c r="H617" i="11" s="1"/>
  <c r="G617" i="11"/>
  <c r="F618" i="11"/>
  <c r="H618" i="11" s="1"/>
  <c r="G618" i="11"/>
  <c r="F619" i="11"/>
  <c r="H619" i="11" s="1"/>
  <c r="G619" i="11"/>
  <c r="F620" i="11"/>
  <c r="H620" i="11" s="1"/>
  <c r="G620" i="11"/>
  <c r="F621" i="11"/>
  <c r="H621" i="11" s="1"/>
  <c r="G621" i="11"/>
  <c r="F622" i="11"/>
  <c r="H622" i="11" s="1"/>
  <c r="G622" i="11"/>
  <c r="F623" i="11"/>
  <c r="H623" i="11" s="1"/>
  <c r="G623" i="11"/>
  <c r="F624" i="11"/>
  <c r="H624" i="11" s="1"/>
  <c r="G624" i="11"/>
  <c r="F625" i="11"/>
  <c r="H625" i="11" s="1"/>
  <c r="G625" i="11"/>
  <c r="F626" i="11"/>
  <c r="H626" i="11" s="1"/>
  <c r="G626" i="11"/>
  <c r="F627" i="11"/>
  <c r="H627" i="11" s="1"/>
  <c r="G627" i="11"/>
  <c r="F628" i="11"/>
  <c r="H628" i="11" s="1"/>
  <c r="G628" i="11"/>
  <c r="F629" i="11"/>
  <c r="H629" i="11" s="1"/>
  <c r="G629" i="11"/>
  <c r="F630" i="11"/>
  <c r="H630" i="11" s="1"/>
  <c r="G630" i="11"/>
  <c r="F631" i="11"/>
  <c r="H631" i="11" s="1"/>
  <c r="G631" i="11"/>
  <c r="F632" i="11"/>
  <c r="H632" i="11" s="1"/>
  <c r="G632" i="11"/>
  <c r="F633" i="11"/>
  <c r="H633" i="11" s="1"/>
  <c r="G633" i="11"/>
  <c r="F634" i="11"/>
  <c r="H634" i="11" s="1"/>
  <c r="G634" i="11"/>
  <c r="F635" i="11"/>
  <c r="H635" i="11" s="1"/>
  <c r="G635" i="11"/>
  <c r="F636" i="11"/>
  <c r="H636" i="11" s="1"/>
  <c r="G636" i="11"/>
  <c r="F637" i="11"/>
  <c r="H637" i="11" s="1"/>
  <c r="G637" i="11"/>
  <c r="F638" i="11"/>
  <c r="H638" i="11" s="1"/>
  <c r="G638" i="11"/>
  <c r="F639" i="11"/>
  <c r="H639" i="11"/>
  <c r="G639" i="11"/>
  <c r="F640" i="11"/>
  <c r="H640" i="11" s="1"/>
  <c r="G640" i="11"/>
  <c r="F641" i="11"/>
  <c r="H641" i="11" s="1"/>
  <c r="G641" i="11"/>
  <c r="F642" i="11"/>
  <c r="H642" i="11" s="1"/>
  <c r="G642" i="11"/>
  <c r="F643" i="11"/>
  <c r="H643" i="11" s="1"/>
  <c r="G643" i="11"/>
  <c r="F644" i="11"/>
  <c r="H644" i="11" s="1"/>
  <c r="G644" i="11"/>
  <c r="F645" i="11"/>
  <c r="H645" i="11" s="1"/>
  <c r="G645" i="11"/>
  <c r="F646" i="11"/>
  <c r="H646" i="11" s="1"/>
  <c r="G646" i="11"/>
  <c r="F647" i="11"/>
  <c r="H647" i="11" s="1"/>
  <c r="G647" i="11"/>
  <c r="F648" i="11"/>
  <c r="H648" i="11" s="1"/>
  <c r="G648" i="11"/>
  <c r="F649" i="11"/>
  <c r="H649" i="11" s="1"/>
  <c r="G649" i="11"/>
  <c r="F650" i="11"/>
  <c r="H650" i="11" s="1"/>
  <c r="G650" i="11"/>
  <c r="F651" i="11"/>
  <c r="H651" i="11" s="1"/>
  <c r="G651" i="11"/>
  <c r="F652" i="11"/>
  <c r="H652" i="11" s="1"/>
  <c r="G652" i="11"/>
  <c r="F653" i="11"/>
  <c r="H653" i="11" s="1"/>
  <c r="G653" i="11"/>
  <c r="F654" i="11"/>
  <c r="H654" i="11" s="1"/>
  <c r="G654" i="11"/>
  <c r="F655" i="11"/>
  <c r="H655" i="11" s="1"/>
  <c r="G655" i="11"/>
  <c r="F656" i="11"/>
  <c r="H656" i="11" s="1"/>
  <c r="G656" i="11"/>
  <c r="F657" i="11"/>
  <c r="H657" i="11" s="1"/>
  <c r="G657" i="11"/>
  <c r="F658" i="11"/>
  <c r="H658" i="11" s="1"/>
  <c r="G658" i="11"/>
  <c r="F659" i="11"/>
  <c r="H659" i="11" s="1"/>
  <c r="G659" i="11"/>
  <c r="F660" i="11"/>
  <c r="H660" i="11" s="1"/>
  <c r="G660" i="11"/>
  <c r="F661" i="11"/>
  <c r="H661" i="11" s="1"/>
  <c r="G661" i="11"/>
  <c r="F662" i="11"/>
  <c r="H662" i="11" s="1"/>
  <c r="G662" i="11"/>
  <c r="F663" i="11"/>
  <c r="H663" i="11" s="1"/>
  <c r="G663" i="11"/>
  <c r="F664" i="11"/>
  <c r="H664" i="11" s="1"/>
  <c r="G664" i="11"/>
  <c r="F665" i="11"/>
  <c r="H665" i="11" s="1"/>
  <c r="G665" i="11"/>
  <c r="F666" i="11"/>
  <c r="H666" i="11" s="1"/>
  <c r="G666" i="11"/>
  <c r="F667" i="11"/>
  <c r="H667" i="11" s="1"/>
  <c r="G667" i="11"/>
  <c r="F668" i="11"/>
  <c r="H668" i="11" s="1"/>
  <c r="G668" i="11"/>
  <c r="F669" i="11"/>
  <c r="H669" i="11" s="1"/>
  <c r="G669" i="11"/>
  <c r="F670" i="11"/>
  <c r="H670" i="11" s="1"/>
  <c r="G670" i="11"/>
  <c r="F671" i="11"/>
  <c r="H671" i="11" s="1"/>
  <c r="G671" i="11"/>
  <c r="F672" i="11"/>
  <c r="H672" i="11" s="1"/>
  <c r="G672" i="11"/>
  <c r="F673" i="11"/>
  <c r="H673" i="11" s="1"/>
  <c r="G673" i="11"/>
  <c r="F674" i="11"/>
  <c r="H674" i="11" s="1"/>
  <c r="G674" i="11"/>
  <c r="F675" i="11"/>
  <c r="H675" i="11" s="1"/>
  <c r="G675" i="11"/>
  <c r="F676" i="11"/>
  <c r="H676" i="11" s="1"/>
  <c r="G676" i="11"/>
  <c r="F677" i="11"/>
  <c r="H677" i="11" s="1"/>
  <c r="G677" i="11"/>
  <c r="F678" i="11"/>
  <c r="H678" i="11" s="1"/>
  <c r="G678" i="11"/>
  <c r="F679" i="11"/>
  <c r="H679" i="11" s="1"/>
  <c r="G679" i="11"/>
  <c r="F680" i="11"/>
  <c r="H680" i="11" s="1"/>
  <c r="G680" i="11"/>
  <c r="F681" i="11"/>
  <c r="H681" i="11" s="1"/>
  <c r="G681" i="11"/>
  <c r="F682" i="11"/>
  <c r="H682" i="11" s="1"/>
  <c r="G682" i="11"/>
  <c r="F683" i="11"/>
  <c r="H683" i="11" s="1"/>
  <c r="G683" i="11"/>
  <c r="F684" i="11"/>
  <c r="H684" i="11" s="1"/>
  <c r="G684" i="11"/>
  <c r="F685" i="11"/>
  <c r="H685" i="11" s="1"/>
  <c r="G685" i="11"/>
  <c r="F686" i="11"/>
  <c r="H686" i="11" s="1"/>
  <c r="G686" i="11"/>
  <c r="F687" i="11"/>
  <c r="H687" i="11" s="1"/>
  <c r="G687" i="11"/>
  <c r="F688" i="11"/>
  <c r="H688" i="11" s="1"/>
  <c r="G688" i="11"/>
  <c r="F689" i="11"/>
  <c r="H689" i="11" s="1"/>
  <c r="G689" i="11"/>
  <c r="F690" i="11"/>
  <c r="H690" i="11" s="1"/>
  <c r="G690" i="11"/>
  <c r="F691" i="11"/>
  <c r="H691" i="11" s="1"/>
  <c r="G691" i="11"/>
  <c r="F692" i="11"/>
  <c r="H692" i="11" s="1"/>
  <c r="G692" i="11"/>
  <c r="F693" i="11"/>
  <c r="H693" i="11" s="1"/>
  <c r="G693" i="11"/>
  <c r="F694" i="11"/>
  <c r="H694" i="11" s="1"/>
  <c r="G694" i="11"/>
  <c r="F695" i="11"/>
  <c r="H695" i="11" s="1"/>
  <c r="G695" i="11"/>
  <c r="F696" i="11"/>
  <c r="H696" i="11" s="1"/>
  <c r="G696" i="11"/>
  <c r="F697" i="11"/>
  <c r="H697" i="11" s="1"/>
  <c r="G697" i="11"/>
  <c r="F698" i="11"/>
  <c r="H698" i="11" s="1"/>
  <c r="G698" i="11"/>
  <c r="F699" i="11"/>
  <c r="H699" i="11" s="1"/>
  <c r="G699" i="11"/>
  <c r="F700" i="11"/>
  <c r="H700" i="11" s="1"/>
  <c r="G700" i="11"/>
  <c r="F701" i="11"/>
  <c r="H701" i="11" s="1"/>
  <c r="G701" i="11"/>
  <c r="F702" i="11"/>
  <c r="H702" i="11" s="1"/>
  <c r="G702" i="11"/>
  <c r="F703" i="11"/>
  <c r="H703" i="11" s="1"/>
  <c r="G703" i="11"/>
  <c r="F704" i="11"/>
  <c r="H704" i="11" s="1"/>
  <c r="G704" i="11"/>
  <c r="F705" i="11"/>
  <c r="H705" i="11" s="1"/>
  <c r="G705" i="11"/>
  <c r="F706" i="11"/>
  <c r="H706" i="11" s="1"/>
  <c r="G706" i="11"/>
  <c r="F707" i="11"/>
  <c r="H707" i="11"/>
  <c r="G707" i="11"/>
  <c r="F708" i="11"/>
  <c r="H708" i="11" s="1"/>
  <c r="G708" i="11"/>
  <c r="F709" i="11"/>
  <c r="H709" i="11" s="1"/>
  <c r="G709" i="11"/>
  <c r="F710" i="11"/>
  <c r="H710" i="11" s="1"/>
  <c r="G710" i="11"/>
  <c r="F711" i="11"/>
  <c r="H711" i="11" s="1"/>
  <c r="G711" i="11"/>
  <c r="F712" i="11"/>
  <c r="H712" i="11" s="1"/>
  <c r="G712" i="11"/>
  <c r="F713" i="11"/>
  <c r="H713" i="11" s="1"/>
  <c r="G713" i="11"/>
  <c r="F714" i="11"/>
  <c r="H714" i="11" s="1"/>
  <c r="G714" i="11"/>
  <c r="F715" i="11"/>
  <c r="H715" i="11" s="1"/>
  <c r="G715" i="11"/>
  <c r="F716" i="11"/>
  <c r="H716" i="11" s="1"/>
  <c r="G716" i="11"/>
  <c r="F717" i="11"/>
  <c r="H717" i="11" s="1"/>
  <c r="G717" i="11"/>
  <c r="F718" i="11"/>
  <c r="H718" i="11" s="1"/>
  <c r="G718" i="11"/>
  <c r="F719" i="11"/>
  <c r="H719" i="11" s="1"/>
  <c r="G719" i="11"/>
  <c r="F720" i="11"/>
  <c r="H720" i="11" s="1"/>
  <c r="G720" i="11"/>
  <c r="F721" i="11"/>
  <c r="H721" i="11" s="1"/>
  <c r="G721" i="11"/>
  <c r="F722" i="11"/>
  <c r="H722" i="11" s="1"/>
  <c r="G722" i="11"/>
  <c r="F723" i="11"/>
  <c r="H723" i="11" s="1"/>
  <c r="G723" i="11"/>
  <c r="F724" i="11"/>
  <c r="H724" i="11" s="1"/>
  <c r="G724" i="11"/>
  <c r="F725" i="11"/>
  <c r="H725" i="11" s="1"/>
  <c r="G725" i="11"/>
  <c r="F726" i="11"/>
  <c r="H726" i="11" s="1"/>
  <c r="G726" i="11"/>
  <c r="F727" i="11"/>
  <c r="H727" i="11" s="1"/>
  <c r="G727" i="11"/>
  <c r="F728" i="11"/>
  <c r="H728" i="11" s="1"/>
  <c r="G728" i="11"/>
  <c r="F729" i="11"/>
  <c r="H729" i="11" s="1"/>
  <c r="G729" i="11"/>
  <c r="F730" i="11"/>
  <c r="H730" i="11" s="1"/>
  <c r="G730" i="11"/>
  <c r="F731" i="11"/>
  <c r="H731" i="11" s="1"/>
  <c r="G731" i="11"/>
  <c r="F732" i="11"/>
  <c r="H732" i="11" s="1"/>
  <c r="G732" i="11"/>
  <c r="F733" i="11"/>
  <c r="H733" i="11" s="1"/>
  <c r="G733" i="11"/>
  <c r="F734" i="11"/>
  <c r="H734" i="11" s="1"/>
  <c r="G734" i="11"/>
  <c r="F735" i="11"/>
  <c r="H735" i="11" s="1"/>
  <c r="G735" i="11"/>
  <c r="F736" i="11"/>
  <c r="H736" i="11" s="1"/>
  <c r="G736" i="11"/>
  <c r="F737" i="11"/>
  <c r="H737" i="11" s="1"/>
  <c r="G737" i="11"/>
  <c r="F738" i="11"/>
  <c r="H738" i="11" s="1"/>
  <c r="G738" i="11"/>
  <c r="F739" i="11"/>
  <c r="H739" i="11" s="1"/>
  <c r="G739" i="11"/>
  <c r="F740" i="11"/>
  <c r="H740" i="11" s="1"/>
  <c r="G740" i="11"/>
  <c r="F741" i="11"/>
  <c r="H741" i="11" s="1"/>
  <c r="G741" i="11"/>
  <c r="F742" i="11"/>
  <c r="H742" i="11" s="1"/>
  <c r="G742" i="11"/>
  <c r="F743" i="11"/>
  <c r="H743" i="11" s="1"/>
  <c r="G743" i="11"/>
  <c r="F744" i="11"/>
  <c r="H744" i="11" s="1"/>
  <c r="G744" i="11"/>
  <c r="F745" i="11"/>
  <c r="H745" i="11" s="1"/>
  <c r="G745" i="11"/>
  <c r="F746" i="11"/>
  <c r="H746" i="11" s="1"/>
  <c r="G746" i="11"/>
  <c r="F747" i="11"/>
  <c r="H747" i="11" s="1"/>
  <c r="G747" i="11"/>
  <c r="F748" i="11"/>
  <c r="H748" i="11" s="1"/>
  <c r="G748" i="11"/>
  <c r="F749" i="11"/>
  <c r="H749" i="11" s="1"/>
  <c r="G749" i="11"/>
  <c r="F750" i="11"/>
  <c r="H750" i="11" s="1"/>
  <c r="G750" i="11"/>
  <c r="F751" i="11"/>
  <c r="H751" i="11" s="1"/>
  <c r="G751" i="11"/>
  <c r="F752" i="11"/>
  <c r="H752" i="11" s="1"/>
  <c r="G752" i="11"/>
  <c r="F753" i="11"/>
  <c r="H753" i="11" s="1"/>
  <c r="G753" i="11"/>
  <c r="F754" i="11"/>
  <c r="H754" i="11" s="1"/>
  <c r="G754" i="11"/>
  <c r="F755" i="11"/>
  <c r="H755" i="11" s="1"/>
  <c r="G755" i="11"/>
  <c r="F756" i="11"/>
  <c r="H756" i="11" s="1"/>
  <c r="G756" i="11"/>
  <c r="F757" i="11"/>
  <c r="H757" i="11" s="1"/>
  <c r="G757" i="11"/>
  <c r="F758" i="11"/>
  <c r="H758" i="11" s="1"/>
  <c r="G758" i="11"/>
  <c r="F759" i="11"/>
  <c r="H759" i="11" s="1"/>
  <c r="G759" i="11"/>
  <c r="F760" i="11"/>
  <c r="H760" i="11" s="1"/>
  <c r="G760" i="11"/>
  <c r="F761" i="11"/>
  <c r="H761" i="11" s="1"/>
  <c r="G761" i="11"/>
  <c r="F762" i="11"/>
  <c r="H762" i="11" s="1"/>
  <c r="G762" i="11"/>
  <c r="F763" i="11"/>
  <c r="H763" i="11" s="1"/>
  <c r="G763" i="11"/>
  <c r="F764" i="11"/>
  <c r="H764" i="11" s="1"/>
  <c r="G764" i="11"/>
  <c r="F765" i="11"/>
  <c r="H765" i="11" s="1"/>
  <c r="G765" i="11"/>
  <c r="F766" i="11"/>
  <c r="H766" i="11" s="1"/>
  <c r="G766" i="11"/>
  <c r="F767" i="11"/>
  <c r="H767" i="11" s="1"/>
  <c r="G767" i="11"/>
  <c r="F768" i="11"/>
  <c r="H768" i="11" s="1"/>
  <c r="G768" i="11"/>
  <c r="F769" i="11"/>
  <c r="H769" i="11" s="1"/>
  <c r="G769" i="11"/>
  <c r="F770" i="11"/>
  <c r="H770" i="11" s="1"/>
  <c r="G770" i="11"/>
  <c r="F771" i="11"/>
  <c r="H771" i="11" s="1"/>
  <c r="G771" i="11"/>
  <c r="F772" i="11"/>
  <c r="H772" i="11" s="1"/>
  <c r="G772" i="11"/>
  <c r="F773" i="11"/>
  <c r="H773" i="11" s="1"/>
  <c r="G773" i="11"/>
  <c r="F774" i="11"/>
  <c r="H774" i="11" s="1"/>
  <c r="G774" i="11"/>
  <c r="F775" i="11"/>
  <c r="H775" i="11" s="1"/>
  <c r="G775" i="11"/>
  <c r="F776" i="11"/>
  <c r="H776" i="11" s="1"/>
  <c r="G776" i="11"/>
  <c r="F777" i="11"/>
  <c r="H777" i="11" s="1"/>
  <c r="G777" i="11"/>
  <c r="F778" i="11"/>
  <c r="H778" i="11" s="1"/>
  <c r="G778" i="11"/>
  <c r="F779" i="11"/>
  <c r="H779" i="11" s="1"/>
  <c r="G779" i="11"/>
  <c r="F780" i="11"/>
  <c r="H780" i="11" s="1"/>
  <c r="G780" i="11"/>
  <c r="F781" i="11"/>
  <c r="H781" i="11" s="1"/>
  <c r="G781" i="11"/>
  <c r="F782" i="11"/>
  <c r="H782" i="11" s="1"/>
  <c r="G782" i="11"/>
  <c r="F783" i="11"/>
  <c r="H783" i="11" s="1"/>
  <c r="G783" i="11"/>
  <c r="F784" i="11"/>
  <c r="H784" i="11" s="1"/>
  <c r="G784" i="11"/>
  <c r="F785" i="11"/>
  <c r="H785" i="11" s="1"/>
  <c r="G785" i="11"/>
  <c r="F786" i="11"/>
  <c r="H786" i="11" s="1"/>
  <c r="G786" i="11"/>
  <c r="F787" i="11"/>
  <c r="H787" i="11" s="1"/>
  <c r="G787" i="11"/>
  <c r="F788" i="11"/>
  <c r="H788" i="11" s="1"/>
  <c r="G788" i="11"/>
  <c r="F789" i="11"/>
  <c r="H789" i="11" s="1"/>
  <c r="G789" i="11"/>
  <c r="F790" i="11"/>
  <c r="H790" i="11" s="1"/>
  <c r="G790" i="11"/>
  <c r="F791" i="11"/>
  <c r="H791" i="11" s="1"/>
  <c r="G791" i="11"/>
  <c r="F792" i="11"/>
  <c r="H792" i="11" s="1"/>
  <c r="G792" i="11"/>
  <c r="F793" i="11"/>
  <c r="H793" i="11" s="1"/>
  <c r="G793" i="11"/>
  <c r="F794" i="11"/>
  <c r="H794" i="11" s="1"/>
  <c r="G794" i="11"/>
  <c r="F795" i="11"/>
  <c r="H795" i="11" s="1"/>
  <c r="G795" i="11"/>
  <c r="F796" i="11"/>
  <c r="H796" i="11" s="1"/>
  <c r="G796" i="11"/>
  <c r="F797" i="11"/>
  <c r="H797" i="11" s="1"/>
  <c r="G797" i="11"/>
  <c r="F798" i="11"/>
  <c r="H798" i="11" s="1"/>
  <c r="G798" i="11"/>
  <c r="F799" i="11"/>
  <c r="H799" i="11" s="1"/>
  <c r="G799" i="11"/>
  <c r="F800" i="11"/>
  <c r="H800" i="11" s="1"/>
  <c r="G800" i="11"/>
  <c r="F801" i="11"/>
  <c r="H801" i="11" s="1"/>
  <c r="G801" i="11"/>
  <c r="F802" i="11"/>
  <c r="H802" i="11" s="1"/>
  <c r="G802" i="11"/>
  <c r="F803" i="11"/>
  <c r="H803" i="11" s="1"/>
  <c r="G803" i="11"/>
  <c r="F804" i="11"/>
  <c r="H804" i="11" s="1"/>
  <c r="G804" i="11"/>
  <c r="F805" i="11"/>
  <c r="H805" i="11" s="1"/>
  <c r="G805" i="11"/>
  <c r="F806" i="11"/>
  <c r="H806" i="11" s="1"/>
  <c r="G806" i="11"/>
  <c r="F807" i="11"/>
  <c r="H807" i="11" s="1"/>
  <c r="G807" i="11"/>
  <c r="F808" i="11"/>
  <c r="H808" i="11" s="1"/>
  <c r="G808" i="11"/>
  <c r="F809" i="11"/>
  <c r="H809" i="11" s="1"/>
  <c r="G809" i="11"/>
  <c r="F810" i="11"/>
  <c r="H810" i="11" s="1"/>
  <c r="G810" i="11"/>
  <c r="F811" i="11"/>
  <c r="H811" i="11" s="1"/>
  <c r="G811" i="11"/>
  <c r="F812" i="11"/>
  <c r="H812" i="11" s="1"/>
  <c r="G812" i="11"/>
  <c r="F813" i="11"/>
  <c r="H813" i="11" s="1"/>
  <c r="G813" i="11"/>
  <c r="F814" i="11"/>
  <c r="H814" i="11" s="1"/>
  <c r="G814" i="11"/>
  <c r="F815" i="11"/>
  <c r="H815" i="11" s="1"/>
  <c r="G815" i="11"/>
  <c r="F816" i="11"/>
  <c r="H816" i="11" s="1"/>
  <c r="G816" i="11"/>
  <c r="F817" i="11"/>
  <c r="H817" i="11" s="1"/>
  <c r="G817" i="11"/>
  <c r="F818" i="11"/>
  <c r="H818" i="11" s="1"/>
  <c r="G818" i="11"/>
  <c r="F819" i="11"/>
  <c r="H819" i="11" s="1"/>
  <c r="G819" i="11"/>
  <c r="F820" i="11"/>
  <c r="H820" i="11" s="1"/>
  <c r="G820" i="11"/>
  <c r="F821" i="11"/>
  <c r="H821" i="11" s="1"/>
  <c r="G821" i="11"/>
  <c r="F822" i="11"/>
  <c r="H822" i="11" s="1"/>
  <c r="G822" i="11"/>
  <c r="F823" i="11"/>
  <c r="H823" i="11" s="1"/>
  <c r="G823" i="11"/>
  <c r="F824" i="11"/>
  <c r="H824" i="11" s="1"/>
  <c r="G824" i="11"/>
  <c r="F825" i="11"/>
  <c r="H825" i="11" s="1"/>
  <c r="G825" i="11"/>
  <c r="F826" i="11"/>
  <c r="H826" i="11" s="1"/>
  <c r="G826" i="11"/>
  <c r="F827" i="11"/>
  <c r="H827" i="11" s="1"/>
  <c r="G827" i="11"/>
  <c r="F828" i="11"/>
  <c r="H828" i="11" s="1"/>
  <c r="G828" i="11"/>
  <c r="F829" i="11"/>
  <c r="H829" i="11" s="1"/>
  <c r="G829" i="11"/>
  <c r="F830" i="11"/>
  <c r="H830" i="11" s="1"/>
  <c r="G830" i="11"/>
  <c r="F831" i="11"/>
  <c r="H831" i="11" s="1"/>
  <c r="G831" i="11"/>
  <c r="F832" i="11"/>
  <c r="H832" i="11" s="1"/>
  <c r="G832" i="11"/>
  <c r="F833" i="11"/>
  <c r="H833" i="11" s="1"/>
  <c r="G833" i="11"/>
  <c r="F834" i="11"/>
  <c r="H834" i="11" s="1"/>
  <c r="G834" i="11"/>
  <c r="F835" i="11"/>
  <c r="H835" i="11" s="1"/>
  <c r="G835" i="11"/>
  <c r="F836" i="11"/>
  <c r="H836" i="11" s="1"/>
  <c r="G836" i="11"/>
  <c r="F837" i="11"/>
  <c r="H837" i="11" s="1"/>
  <c r="G837" i="11"/>
  <c r="F838" i="11"/>
  <c r="H838" i="11" s="1"/>
  <c r="G838" i="11"/>
  <c r="F839" i="11"/>
  <c r="H839" i="11" s="1"/>
  <c r="G839" i="11"/>
  <c r="F840" i="11"/>
  <c r="H840" i="11" s="1"/>
  <c r="G840" i="11"/>
  <c r="F841" i="11"/>
  <c r="H841" i="11" s="1"/>
  <c r="G841" i="11"/>
  <c r="F842" i="11"/>
  <c r="H842" i="11" s="1"/>
  <c r="G842" i="11"/>
  <c r="F843" i="11"/>
  <c r="H843" i="11" s="1"/>
  <c r="G843" i="11"/>
  <c r="F844" i="11"/>
  <c r="H844" i="11" s="1"/>
  <c r="G844" i="11"/>
  <c r="F845" i="11"/>
  <c r="H845" i="11" s="1"/>
  <c r="G845" i="11"/>
  <c r="F846" i="11"/>
  <c r="H846" i="11" s="1"/>
  <c r="G846" i="11"/>
  <c r="F847" i="11"/>
  <c r="H847" i="11" s="1"/>
  <c r="G847" i="11"/>
  <c r="F848" i="11"/>
  <c r="H848" i="11" s="1"/>
  <c r="G848" i="11"/>
  <c r="F849" i="11"/>
  <c r="H849" i="11" s="1"/>
  <c r="G849" i="11"/>
  <c r="F850" i="11"/>
  <c r="H850" i="11" s="1"/>
  <c r="G850" i="11"/>
  <c r="F851" i="11"/>
  <c r="H851" i="11" s="1"/>
  <c r="G851" i="11"/>
  <c r="F852" i="11"/>
  <c r="H852" i="11" s="1"/>
  <c r="G852" i="11"/>
  <c r="F853" i="11"/>
  <c r="H853" i="11" s="1"/>
  <c r="G853" i="11"/>
  <c r="F854" i="11"/>
  <c r="H854" i="11" s="1"/>
  <c r="G854" i="11"/>
  <c r="F855" i="11"/>
  <c r="H855" i="11" s="1"/>
  <c r="G855" i="11"/>
  <c r="F856" i="11"/>
  <c r="H856" i="11" s="1"/>
  <c r="G856" i="11"/>
  <c r="F857" i="11"/>
  <c r="H857" i="11" s="1"/>
  <c r="G857" i="11"/>
  <c r="F858" i="11"/>
  <c r="H858" i="11" s="1"/>
  <c r="G858" i="11"/>
  <c r="F859" i="11"/>
  <c r="H859" i="11" s="1"/>
  <c r="G859" i="11"/>
  <c r="F860" i="11"/>
  <c r="H860" i="11" s="1"/>
  <c r="G860" i="11"/>
  <c r="F861" i="11"/>
  <c r="H861" i="11" s="1"/>
  <c r="G861" i="11"/>
  <c r="F862" i="11"/>
  <c r="H862" i="11" s="1"/>
  <c r="G862" i="11"/>
  <c r="F863" i="11"/>
  <c r="H863" i="11" s="1"/>
  <c r="G863" i="11"/>
  <c r="F864" i="11"/>
  <c r="H864" i="11" s="1"/>
  <c r="G864" i="11"/>
  <c r="F865" i="11"/>
  <c r="H865" i="11" s="1"/>
  <c r="G865" i="11"/>
  <c r="F866" i="11"/>
  <c r="H866" i="11" s="1"/>
  <c r="G866" i="11"/>
  <c r="F867" i="11"/>
  <c r="H867" i="11" s="1"/>
  <c r="G867" i="11"/>
  <c r="F868" i="11"/>
  <c r="H868" i="11" s="1"/>
  <c r="G868" i="11"/>
  <c r="F869" i="11"/>
  <c r="H869" i="11" s="1"/>
  <c r="G869" i="11"/>
  <c r="F870" i="11"/>
  <c r="H870" i="11" s="1"/>
  <c r="G870" i="11"/>
  <c r="F871" i="11"/>
  <c r="H871" i="11" s="1"/>
  <c r="G871" i="11"/>
  <c r="F872" i="11"/>
  <c r="H872" i="11" s="1"/>
  <c r="G872" i="11"/>
  <c r="F873" i="11"/>
  <c r="H873" i="11" s="1"/>
  <c r="G873" i="11"/>
  <c r="F874" i="11"/>
  <c r="H874" i="11" s="1"/>
  <c r="G874" i="11"/>
  <c r="F875" i="11"/>
  <c r="H875" i="11" s="1"/>
  <c r="G875" i="11"/>
  <c r="F876" i="11"/>
  <c r="H876" i="11" s="1"/>
  <c r="G876" i="11"/>
  <c r="F877" i="11"/>
  <c r="H877" i="11" s="1"/>
  <c r="G877" i="11"/>
  <c r="F878" i="11"/>
  <c r="H878" i="11" s="1"/>
  <c r="G878" i="11"/>
  <c r="F879" i="11"/>
  <c r="H879" i="11" s="1"/>
  <c r="G879" i="11"/>
  <c r="F880" i="11"/>
  <c r="H880" i="11" s="1"/>
  <c r="G880" i="11"/>
  <c r="F881" i="11"/>
  <c r="H881" i="11" s="1"/>
  <c r="G881" i="11"/>
  <c r="F882" i="11"/>
  <c r="H882" i="11" s="1"/>
  <c r="G882" i="11"/>
  <c r="F883" i="11"/>
  <c r="H883" i="11" s="1"/>
  <c r="G883" i="11"/>
  <c r="F884" i="11"/>
  <c r="H884" i="11" s="1"/>
  <c r="G884" i="11"/>
  <c r="F885" i="11"/>
  <c r="H885" i="11" s="1"/>
  <c r="G885" i="11"/>
  <c r="F886" i="11"/>
  <c r="H886" i="11" s="1"/>
  <c r="G886" i="11"/>
  <c r="F887" i="11"/>
  <c r="H887" i="11" s="1"/>
  <c r="G887" i="11"/>
  <c r="F888" i="11"/>
  <c r="H888" i="11" s="1"/>
  <c r="G888" i="11"/>
  <c r="F889" i="11"/>
  <c r="H889" i="11" s="1"/>
  <c r="G889" i="11"/>
  <c r="F890" i="11"/>
  <c r="H890" i="11" s="1"/>
  <c r="G890" i="11"/>
  <c r="F891" i="11"/>
  <c r="H891" i="11" s="1"/>
  <c r="G891" i="11"/>
  <c r="F892" i="11"/>
  <c r="H892" i="11" s="1"/>
  <c r="G892" i="11"/>
  <c r="F893" i="11"/>
  <c r="H893" i="11" s="1"/>
  <c r="G893" i="11"/>
  <c r="F894" i="11"/>
  <c r="H894" i="11" s="1"/>
  <c r="G894" i="11"/>
  <c r="F895" i="11"/>
  <c r="H895" i="11" s="1"/>
  <c r="G895" i="11"/>
  <c r="F896" i="11"/>
  <c r="H896" i="11" s="1"/>
  <c r="G896" i="11"/>
  <c r="F897" i="11"/>
  <c r="H897" i="11" s="1"/>
  <c r="G897" i="11"/>
  <c r="F898" i="11"/>
  <c r="H898" i="11" s="1"/>
  <c r="G898" i="11"/>
  <c r="F899" i="11"/>
  <c r="H899" i="11" s="1"/>
  <c r="G899" i="11"/>
  <c r="F900" i="11"/>
  <c r="H900" i="11" s="1"/>
  <c r="G900" i="11"/>
  <c r="F901" i="11"/>
  <c r="H901" i="11" s="1"/>
  <c r="G901" i="11"/>
  <c r="F902" i="11"/>
  <c r="H902" i="11" s="1"/>
  <c r="G902" i="11"/>
  <c r="F903" i="11"/>
  <c r="H903" i="11" s="1"/>
  <c r="G903" i="11"/>
  <c r="F904" i="11"/>
  <c r="H904" i="11" s="1"/>
  <c r="G904" i="11"/>
  <c r="F905" i="11"/>
  <c r="H905" i="11" s="1"/>
  <c r="G905" i="11"/>
  <c r="F906" i="11"/>
  <c r="H906" i="11" s="1"/>
  <c r="G906" i="11"/>
  <c r="F907" i="11"/>
  <c r="H907" i="11" s="1"/>
  <c r="G907" i="11"/>
  <c r="F908" i="11"/>
  <c r="H908" i="11" s="1"/>
  <c r="G908" i="11"/>
  <c r="F909" i="11"/>
  <c r="H909" i="11" s="1"/>
  <c r="G909" i="11"/>
  <c r="F910" i="11"/>
  <c r="H910" i="11" s="1"/>
  <c r="G910" i="11"/>
  <c r="F911" i="11"/>
  <c r="H911" i="11" s="1"/>
  <c r="G911" i="11"/>
  <c r="F912" i="11"/>
  <c r="H912" i="11" s="1"/>
  <c r="G912" i="11"/>
  <c r="F913" i="11"/>
  <c r="H913" i="11" s="1"/>
  <c r="G913" i="11"/>
  <c r="F914" i="11"/>
  <c r="H914" i="11" s="1"/>
  <c r="G914" i="11"/>
  <c r="F915" i="11"/>
  <c r="H915" i="11" s="1"/>
  <c r="G915" i="11"/>
  <c r="F916" i="11"/>
  <c r="H916" i="11" s="1"/>
  <c r="G916" i="11"/>
  <c r="F917" i="11"/>
  <c r="H917" i="11" s="1"/>
  <c r="G917" i="11"/>
  <c r="F918" i="11"/>
  <c r="H918" i="11" s="1"/>
  <c r="G918" i="11"/>
  <c r="F919" i="11"/>
  <c r="H919" i="11" s="1"/>
  <c r="G919" i="11"/>
  <c r="F920" i="11"/>
  <c r="H920" i="11" s="1"/>
  <c r="G920" i="11"/>
  <c r="F921" i="11"/>
  <c r="H921" i="11" s="1"/>
  <c r="G921" i="11"/>
  <c r="F922" i="11"/>
  <c r="H922" i="11" s="1"/>
  <c r="G922" i="11"/>
  <c r="F923" i="11"/>
  <c r="H923" i="11" s="1"/>
  <c r="G923" i="11"/>
  <c r="F924" i="11"/>
  <c r="H924" i="11" s="1"/>
  <c r="G924" i="11"/>
  <c r="F925" i="11"/>
  <c r="H925" i="11" s="1"/>
  <c r="G925" i="11"/>
  <c r="F926" i="11"/>
  <c r="H926" i="11" s="1"/>
  <c r="G926" i="11"/>
  <c r="F927" i="11"/>
  <c r="H927" i="11" s="1"/>
  <c r="G927" i="11"/>
  <c r="F928" i="11"/>
  <c r="H928" i="11" s="1"/>
  <c r="G928" i="11"/>
  <c r="F929" i="11"/>
  <c r="H929" i="11" s="1"/>
  <c r="G929" i="11"/>
  <c r="F930" i="11"/>
  <c r="H930" i="11" s="1"/>
  <c r="G930" i="11"/>
  <c r="F931" i="11"/>
  <c r="H931" i="11" s="1"/>
  <c r="G931" i="11"/>
  <c r="F932" i="11"/>
  <c r="H932" i="11" s="1"/>
  <c r="G932" i="11"/>
  <c r="F933" i="11"/>
  <c r="H933" i="11" s="1"/>
  <c r="G933" i="11"/>
  <c r="F934" i="11"/>
  <c r="H934" i="11" s="1"/>
  <c r="G934" i="11"/>
  <c r="F935" i="11"/>
  <c r="G935" i="11"/>
  <c r="H935" i="11"/>
  <c r="F936" i="11"/>
  <c r="H936" i="11" s="1"/>
  <c r="G936" i="11"/>
  <c r="F937" i="11"/>
  <c r="H937" i="11" s="1"/>
  <c r="G937" i="11"/>
  <c r="F938" i="11"/>
  <c r="H938" i="11" s="1"/>
  <c r="G938" i="11"/>
  <c r="F939" i="11"/>
  <c r="H939" i="11" s="1"/>
  <c r="G939" i="11"/>
  <c r="F940" i="11"/>
  <c r="H940" i="11" s="1"/>
  <c r="G940" i="11"/>
  <c r="F941" i="11"/>
  <c r="H941" i="11" s="1"/>
  <c r="G941" i="11"/>
  <c r="F942" i="11"/>
  <c r="H942" i="11" s="1"/>
  <c r="G942" i="11"/>
  <c r="F943" i="11"/>
  <c r="H943" i="11" s="1"/>
  <c r="G943" i="11"/>
  <c r="F944" i="11"/>
  <c r="H944" i="11" s="1"/>
  <c r="G944" i="11"/>
  <c r="F945" i="11"/>
  <c r="H945" i="11" s="1"/>
  <c r="G945" i="11"/>
  <c r="F946" i="11"/>
  <c r="H946" i="11" s="1"/>
  <c r="G946" i="11"/>
  <c r="F947" i="11"/>
  <c r="H947" i="11" s="1"/>
  <c r="G947" i="11"/>
  <c r="F948" i="11"/>
  <c r="H948" i="11" s="1"/>
  <c r="G948" i="11"/>
  <c r="F949" i="11"/>
  <c r="H949" i="11" s="1"/>
  <c r="G949" i="11"/>
  <c r="F950" i="11"/>
  <c r="H950" i="11" s="1"/>
  <c r="G950" i="11"/>
  <c r="F951" i="11"/>
  <c r="H951" i="11" s="1"/>
  <c r="G951" i="11"/>
  <c r="F952" i="11"/>
  <c r="H952" i="11" s="1"/>
  <c r="G952" i="11"/>
  <c r="F953" i="11"/>
  <c r="H953" i="11" s="1"/>
  <c r="G953" i="11"/>
  <c r="F954" i="11"/>
  <c r="H954" i="11" s="1"/>
  <c r="G954" i="11"/>
  <c r="F955" i="11"/>
  <c r="H955" i="11" s="1"/>
  <c r="G955" i="11"/>
  <c r="F956" i="11"/>
  <c r="H956" i="11" s="1"/>
  <c r="G956" i="11"/>
  <c r="F957" i="11"/>
  <c r="H957" i="11" s="1"/>
  <c r="G957" i="11"/>
  <c r="F958" i="11"/>
  <c r="H958" i="11" s="1"/>
  <c r="G958" i="11"/>
  <c r="F959" i="11"/>
  <c r="H959" i="11" s="1"/>
  <c r="G959" i="11"/>
  <c r="F960" i="11"/>
  <c r="H960" i="11" s="1"/>
  <c r="G960" i="11"/>
  <c r="F961" i="11"/>
  <c r="H961" i="11" s="1"/>
  <c r="G961" i="11"/>
  <c r="F962" i="11"/>
  <c r="H962" i="11" s="1"/>
  <c r="G962" i="11"/>
  <c r="F963" i="11"/>
  <c r="H963" i="11" s="1"/>
  <c r="G963" i="11"/>
  <c r="F964" i="11"/>
  <c r="H964" i="11" s="1"/>
  <c r="G964" i="11"/>
  <c r="F965" i="11"/>
  <c r="H965" i="11" s="1"/>
  <c r="G965" i="11"/>
  <c r="F966" i="11"/>
  <c r="H966" i="11" s="1"/>
  <c r="G966" i="11"/>
  <c r="F967" i="11"/>
  <c r="H967" i="11" s="1"/>
  <c r="G967" i="11"/>
  <c r="F968" i="11"/>
  <c r="H968" i="11" s="1"/>
  <c r="G968" i="11"/>
  <c r="F969" i="11"/>
  <c r="H969" i="11" s="1"/>
  <c r="G969" i="11"/>
  <c r="F970" i="11"/>
  <c r="H970" i="11" s="1"/>
  <c r="G970" i="11"/>
  <c r="F971" i="11"/>
  <c r="H971" i="11" s="1"/>
  <c r="G971" i="11"/>
  <c r="F972" i="11"/>
  <c r="H972" i="11" s="1"/>
  <c r="G972" i="11"/>
  <c r="F973" i="11"/>
  <c r="H973" i="11" s="1"/>
  <c r="G973" i="11"/>
  <c r="F974" i="11"/>
  <c r="H974" i="11" s="1"/>
  <c r="G974" i="11"/>
  <c r="F975" i="11"/>
  <c r="H975" i="11" s="1"/>
  <c r="G975" i="11"/>
  <c r="F976" i="11"/>
  <c r="H976" i="11" s="1"/>
  <c r="G976" i="11"/>
  <c r="F977" i="11"/>
  <c r="H977" i="11" s="1"/>
  <c r="G977" i="11"/>
  <c r="F978" i="11"/>
  <c r="H978" i="11" s="1"/>
  <c r="G978" i="11"/>
  <c r="F979" i="11"/>
  <c r="H979" i="11" s="1"/>
  <c r="G979" i="11"/>
  <c r="F980" i="11"/>
  <c r="H980" i="11" s="1"/>
  <c r="G980" i="11"/>
  <c r="F981" i="11"/>
  <c r="H981" i="11" s="1"/>
  <c r="G981" i="11"/>
  <c r="F982" i="11"/>
  <c r="H982" i="11" s="1"/>
  <c r="G982" i="11"/>
  <c r="F983" i="11"/>
  <c r="H983" i="11" s="1"/>
  <c r="G983" i="11"/>
  <c r="F984" i="11"/>
  <c r="H984" i="11" s="1"/>
  <c r="G984" i="11"/>
  <c r="F985" i="11"/>
  <c r="H985" i="11" s="1"/>
  <c r="G985" i="11"/>
  <c r="F986" i="11"/>
  <c r="H986" i="11" s="1"/>
  <c r="G986" i="11"/>
  <c r="F987" i="11"/>
  <c r="H987" i="11" s="1"/>
  <c r="G987" i="11"/>
  <c r="F988" i="11"/>
  <c r="H988" i="11" s="1"/>
  <c r="G988" i="11"/>
  <c r="F989" i="11"/>
  <c r="H989" i="11" s="1"/>
  <c r="G989" i="11"/>
  <c r="F990" i="11"/>
  <c r="H990" i="11" s="1"/>
  <c r="G990" i="11"/>
  <c r="F991" i="11"/>
  <c r="H991" i="11" s="1"/>
  <c r="G991" i="11"/>
  <c r="F992" i="11"/>
  <c r="H992" i="11" s="1"/>
  <c r="G992" i="11"/>
  <c r="F993" i="11"/>
  <c r="H993" i="11" s="1"/>
  <c r="G993" i="11"/>
  <c r="F994" i="11"/>
  <c r="H994" i="11" s="1"/>
  <c r="G994" i="11"/>
  <c r="F995" i="11"/>
  <c r="H995" i="11" s="1"/>
  <c r="G995" i="11"/>
  <c r="F996" i="11"/>
  <c r="H996" i="11" s="1"/>
  <c r="G996" i="11"/>
  <c r="F997" i="11"/>
  <c r="H997" i="11" s="1"/>
  <c r="G997" i="11"/>
  <c r="F998" i="11"/>
  <c r="H998" i="11" s="1"/>
  <c r="G998" i="11"/>
  <c r="F999" i="11"/>
  <c r="H999" i="11" s="1"/>
  <c r="G999" i="11"/>
  <c r="F1000" i="11"/>
  <c r="H1000" i="11" s="1"/>
  <c r="G1000" i="11"/>
  <c r="F1001" i="11"/>
  <c r="H1001" i="11" s="1"/>
  <c r="G1001" i="11"/>
  <c r="F1002" i="11"/>
  <c r="H1002" i="11" s="1"/>
  <c r="G1002" i="11"/>
  <c r="F1003" i="11"/>
  <c r="H1003" i="11" s="1"/>
  <c r="G1003" i="11"/>
  <c r="F1004" i="11"/>
  <c r="H1004" i="11" s="1"/>
  <c r="G1004" i="11"/>
  <c r="F1005" i="11"/>
  <c r="H1005" i="11" s="1"/>
  <c r="G1005" i="11"/>
  <c r="F1006" i="11"/>
  <c r="H1006" i="11" s="1"/>
  <c r="G1006" i="11"/>
  <c r="F1007" i="11"/>
  <c r="H1007" i="11" s="1"/>
  <c r="G1007" i="11"/>
  <c r="F1008" i="11"/>
  <c r="H1008" i="11" s="1"/>
  <c r="G1008" i="11"/>
  <c r="F1009" i="11"/>
  <c r="H1009" i="11" s="1"/>
  <c r="G1009" i="11"/>
  <c r="F1010" i="11"/>
  <c r="H1010" i="11" s="1"/>
  <c r="G1010" i="11"/>
  <c r="F1011" i="11"/>
  <c r="H1011" i="11" s="1"/>
  <c r="G1011" i="11"/>
  <c r="F1012" i="11"/>
  <c r="H1012" i="11" s="1"/>
  <c r="G1012" i="11"/>
  <c r="F1013" i="11"/>
  <c r="H1013" i="11" s="1"/>
  <c r="G1013" i="11"/>
  <c r="F1014" i="11"/>
  <c r="H1014" i="11" s="1"/>
  <c r="G1014" i="11"/>
  <c r="F1015" i="11"/>
  <c r="H1015" i="11" s="1"/>
  <c r="G1015" i="11"/>
  <c r="F1016" i="11"/>
  <c r="H1016" i="11" s="1"/>
  <c r="G1016" i="11"/>
  <c r="F1017" i="11"/>
  <c r="H1017" i="11" s="1"/>
  <c r="G1017" i="11"/>
  <c r="F1018" i="11"/>
  <c r="H1018" i="11" s="1"/>
  <c r="G1018" i="11"/>
  <c r="F1019" i="11"/>
  <c r="H1019" i="11" s="1"/>
  <c r="G1019" i="11"/>
  <c r="F1020" i="11"/>
  <c r="H1020" i="11" s="1"/>
  <c r="G1020" i="11"/>
  <c r="F1021" i="11"/>
  <c r="H1021" i="11" s="1"/>
  <c r="G1021" i="11"/>
  <c r="F1022" i="11"/>
  <c r="H1022" i="11" s="1"/>
  <c r="G1022" i="11"/>
  <c r="F1023" i="11"/>
  <c r="H1023" i="11" s="1"/>
  <c r="G1023" i="11"/>
  <c r="F1024" i="11"/>
  <c r="H1024" i="11" s="1"/>
  <c r="G1024" i="11"/>
  <c r="F1025" i="11"/>
  <c r="H1025" i="11" s="1"/>
  <c r="G1025" i="11"/>
  <c r="F1026" i="11"/>
  <c r="H1026" i="11" s="1"/>
  <c r="G1026" i="11"/>
  <c r="F1027" i="11"/>
  <c r="H1027" i="11" s="1"/>
  <c r="G1027" i="11"/>
  <c r="F1028" i="11"/>
  <c r="H1028" i="11" s="1"/>
  <c r="G1028" i="11"/>
  <c r="F1029" i="11"/>
  <c r="H1029" i="11" s="1"/>
  <c r="G1029" i="11"/>
  <c r="F1030" i="11"/>
  <c r="H1030" i="11" s="1"/>
  <c r="G1030" i="11"/>
  <c r="F1031" i="11"/>
  <c r="H1031" i="11" s="1"/>
  <c r="G1031" i="11"/>
  <c r="F1032" i="11"/>
  <c r="H1032" i="11" s="1"/>
  <c r="G1032" i="11"/>
  <c r="F1033" i="11"/>
  <c r="H1033" i="11" s="1"/>
  <c r="G1033" i="11"/>
  <c r="F1034" i="11"/>
  <c r="H1034" i="11" s="1"/>
  <c r="G1034" i="11"/>
  <c r="F1035" i="11"/>
  <c r="H1035" i="11" s="1"/>
  <c r="G1035" i="11"/>
  <c r="F1036" i="11"/>
  <c r="H1036" i="11" s="1"/>
  <c r="G1036" i="11"/>
  <c r="F1037" i="11"/>
  <c r="H1037" i="11" s="1"/>
  <c r="G1037" i="11"/>
  <c r="F1038" i="11"/>
  <c r="H1038" i="11" s="1"/>
  <c r="G1038" i="11"/>
  <c r="F1039" i="11"/>
  <c r="H1039" i="11" s="1"/>
  <c r="G1039" i="11"/>
  <c r="F1040" i="11"/>
  <c r="H1040" i="11" s="1"/>
  <c r="G1040" i="11"/>
  <c r="F1041" i="11"/>
  <c r="H1041" i="11" s="1"/>
  <c r="G1041" i="11"/>
  <c r="F1042" i="11"/>
  <c r="H1042" i="11" s="1"/>
  <c r="G1042" i="11"/>
  <c r="F1043" i="11"/>
  <c r="H1043" i="11" s="1"/>
  <c r="G1043" i="11"/>
  <c r="F1044" i="11"/>
  <c r="H1044" i="11" s="1"/>
  <c r="G1044" i="11"/>
  <c r="F1045" i="11"/>
  <c r="H1045" i="11" s="1"/>
  <c r="G1045" i="11"/>
  <c r="F1046" i="11"/>
  <c r="H1046" i="11" s="1"/>
  <c r="G1046" i="11"/>
  <c r="F1047" i="11"/>
  <c r="H1047" i="11" s="1"/>
  <c r="G1047" i="11"/>
  <c r="F1048" i="11"/>
  <c r="H1048" i="11" s="1"/>
  <c r="G1048" i="11"/>
  <c r="F1049" i="11"/>
  <c r="H1049" i="11" s="1"/>
  <c r="G1049" i="11"/>
  <c r="F1050" i="11"/>
  <c r="H1050" i="11" s="1"/>
  <c r="G1050" i="11"/>
  <c r="F1051" i="11"/>
  <c r="H1051" i="11" s="1"/>
  <c r="G1051" i="11"/>
  <c r="F1052" i="11"/>
  <c r="H1052" i="11" s="1"/>
  <c r="G1052" i="11"/>
  <c r="F1053" i="11"/>
  <c r="H1053" i="11" s="1"/>
  <c r="G1053" i="11"/>
  <c r="F1054" i="11"/>
  <c r="H1054" i="11" s="1"/>
  <c r="G1054" i="11"/>
  <c r="F1055" i="11"/>
  <c r="H1055" i="11" s="1"/>
  <c r="G1055" i="11"/>
  <c r="F1056" i="11"/>
  <c r="H1056" i="11" s="1"/>
  <c r="G1056" i="11"/>
  <c r="F1057" i="11"/>
  <c r="H1057" i="11" s="1"/>
  <c r="G1057" i="11"/>
  <c r="F1058" i="11"/>
  <c r="H1058" i="11" s="1"/>
  <c r="G1058" i="11"/>
  <c r="F1059" i="11"/>
  <c r="H1059" i="11" s="1"/>
  <c r="G1059" i="11"/>
  <c r="F1060" i="11"/>
  <c r="H1060" i="11" s="1"/>
  <c r="G1060" i="11"/>
  <c r="F1061" i="11"/>
  <c r="H1061" i="11" s="1"/>
  <c r="G1061" i="11"/>
  <c r="F1062" i="11"/>
  <c r="H1062" i="11" s="1"/>
  <c r="G1062" i="11"/>
  <c r="F1063" i="11"/>
  <c r="H1063" i="11" s="1"/>
  <c r="G1063" i="11"/>
  <c r="F1064" i="11"/>
  <c r="H1064" i="11" s="1"/>
  <c r="G1064" i="11"/>
  <c r="F1065" i="11"/>
  <c r="H1065" i="11" s="1"/>
  <c r="G1065" i="11"/>
  <c r="F1066" i="11"/>
  <c r="H1066" i="11" s="1"/>
  <c r="G1066" i="11"/>
  <c r="F1067" i="11"/>
  <c r="H1067" i="11" s="1"/>
  <c r="G1067" i="11"/>
  <c r="F1068" i="11"/>
  <c r="H1068" i="11" s="1"/>
  <c r="G1068" i="11"/>
  <c r="F1069" i="11"/>
  <c r="H1069" i="11" s="1"/>
  <c r="G1069" i="11"/>
  <c r="F1070" i="11"/>
  <c r="H1070" i="11" s="1"/>
  <c r="G1070" i="11"/>
  <c r="F1071" i="11"/>
  <c r="H1071" i="11" s="1"/>
  <c r="G1071" i="11"/>
  <c r="F1072" i="11"/>
  <c r="H1072" i="11" s="1"/>
  <c r="G1072" i="11"/>
  <c r="F1073" i="11"/>
  <c r="H1073" i="11" s="1"/>
  <c r="G1073" i="11"/>
  <c r="F1074" i="11"/>
  <c r="H1074" i="11" s="1"/>
  <c r="G1074" i="11"/>
  <c r="F1075" i="11"/>
  <c r="H1075" i="11" s="1"/>
  <c r="G1075" i="11"/>
  <c r="F1076" i="11"/>
  <c r="H1076" i="11" s="1"/>
  <c r="G1076" i="11"/>
  <c r="F1077" i="11"/>
  <c r="H1077" i="11" s="1"/>
  <c r="G1077" i="11"/>
  <c r="F1078" i="11"/>
  <c r="H1078" i="11" s="1"/>
  <c r="G1078" i="11"/>
  <c r="F1079" i="11"/>
  <c r="G1079" i="11"/>
  <c r="H1079" i="11"/>
  <c r="F1080" i="11"/>
  <c r="H1080" i="11" s="1"/>
  <c r="G1080" i="11"/>
  <c r="F1081" i="11"/>
  <c r="H1081" i="11" s="1"/>
  <c r="G1081" i="11"/>
  <c r="F1082" i="11"/>
  <c r="H1082" i="11" s="1"/>
  <c r="G1082" i="11"/>
  <c r="F1083" i="11"/>
  <c r="H1083" i="11" s="1"/>
  <c r="G1083" i="11"/>
  <c r="F1084" i="11"/>
  <c r="H1084" i="11" s="1"/>
  <c r="G1084" i="11"/>
  <c r="F1085" i="11"/>
  <c r="H1085" i="11" s="1"/>
  <c r="G1085" i="11"/>
  <c r="F1086" i="11"/>
  <c r="H1086" i="11" s="1"/>
  <c r="G1086" i="11"/>
  <c r="F1087" i="11"/>
  <c r="H1087" i="11" s="1"/>
  <c r="G1087" i="11"/>
  <c r="F1088" i="11"/>
  <c r="H1088" i="11" s="1"/>
  <c r="G1088" i="11"/>
  <c r="F1089" i="11"/>
  <c r="H1089" i="11" s="1"/>
  <c r="G1089" i="11"/>
  <c r="F1090" i="11"/>
  <c r="H1090" i="11" s="1"/>
  <c r="G1090" i="11"/>
  <c r="F1091" i="11"/>
  <c r="H1091" i="11" s="1"/>
  <c r="G1091" i="11"/>
  <c r="F1092" i="11"/>
  <c r="H1092" i="11" s="1"/>
  <c r="G1092" i="11"/>
  <c r="F1093" i="11"/>
  <c r="H1093" i="11" s="1"/>
  <c r="G1093" i="11"/>
  <c r="F1094" i="11"/>
  <c r="H1094" i="11" s="1"/>
  <c r="G1094" i="11"/>
  <c r="F1095" i="11"/>
  <c r="H1095" i="11" s="1"/>
  <c r="G1095" i="11"/>
  <c r="F1096" i="11"/>
  <c r="H1096" i="11" s="1"/>
  <c r="G1096" i="11"/>
  <c r="F1097" i="11"/>
  <c r="H1097" i="11" s="1"/>
  <c r="G1097" i="11"/>
  <c r="F1098" i="11"/>
  <c r="H1098" i="11" s="1"/>
  <c r="G1098" i="11"/>
  <c r="F1099" i="11"/>
  <c r="H1099" i="11" s="1"/>
  <c r="G1099" i="11"/>
  <c r="F1100" i="11"/>
  <c r="H1100" i="11" s="1"/>
  <c r="G1100" i="11"/>
  <c r="F1101" i="11"/>
  <c r="H1101" i="11" s="1"/>
  <c r="G1101" i="11"/>
  <c r="F1102" i="11"/>
  <c r="H1102" i="11" s="1"/>
  <c r="G1102" i="11"/>
  <c r="F1103" i="11"/>
  <c r="H1103" i="11" s="1"/>
  <c r="G1103" i="11"/>
  <c r="F1104" i="11"/>
  <c r="H1104" i="11" s="1"/>
  <c r="G1104" i="11"/>
  <c r="F1105" i="11"/>
  <c r="H1105" i="11" s="1"/>
  <c r="G1105" i="11"/>
  <c r="F1106" i="11"/>
  <c r="H1106" i="11" s="1"/>
  <c r="G1106" i="11"/>
  <c r="F1107" i="11"/>
  <c r="H1107" i="11" s="1"/>
  <c r="G1107" i="11"/>
  <c r="F1108" i="11"/>
  <c r="H1108" i="11" s="1"/>
  <c r="G1108" i="11"/>
  <c r="F1109" i="11"/>
  <c r="H1109" i="11" s="1"/>
  <c r="G1109" i="11"/>
  <c r="F1110" i="11"/>
  <c r="H1110" i="11" s="1"/>
  <c r="G1110" i="11"/>
  <c r="F1111" i="11"/>
  <c r="H1111" i="11" s="1"/>
  <c r="G1111" i="11"/>
  <c r="F1112" i="11"/>
  <c r="H1112" i="11" s="1"/>
  <c r="G1112" i="11"/>
  <c r="F1113" i="11"/>
  <c r="H1113" i="11" s="1"/>
  <c r="G1113" i="11"/>
  <c r="F1114" i="11"/>
  <c r="H1114" i="11" s="1"/>
  <c r="G1114" i="11"/>
  <c r="F1115" i="11"/>
  <c r="H1115" i="11" s="1"/>
  <c r="G1115" i="11"/>
  <c r="F1116" i="11"/>
  <c r="H1116" i="11" s="1"/>
  <c r="G1116" i="11"/>
  <c r="F1117" i="11"/>
  <c r="H1117" i="11" s="1"/>
  <c r="G1117" i="11"/>
  <c r="F1118" i="11"/>
  <c r="H1118" i="11" s="1"/>
  <c r="G1118" i="11"/>
  <c r="F1119" i="11"/>
  <c r="H1119" i="11" s="1"/>
  <c r="G1119" i="11"/>
  <c r="F1120" i="11"/>
  <c r="H1120" i="11" s="1"/>
  <c r="G1120" i="11"/>
  <c r="F1121" i="11"/>
  <c r="H1121" i="11" s="1"/>
  <c r="G1121" i="11"/>
  <c r="F1122" i="11"/>
  <c r="H1122" i="11" s="1"/>
  <c r="G1122" i="11"/>
  <c r="F1123" i="11"/>
  <c r="H1123" i="11" s="1"/>
  <c r="G1123" i="11"/>
  <c r="F1124" i="11"/>
  <c r="H1124" i="11" s="1"/>
  <c r="G1124" i="11"/>
  <c r="F1125" i="11"/>
  <c r="H1125" i="11" s="1"/>
  <c r="G1125" i="11"/>
  <c r="F1126" i="11"/>
  <c r="H1126" i="11" s="1"/>
  <c r="G1126" i="11"/>
  <c r="F1127" i="11"/>
  <c r="H1127" i="11" s="1"/>
  <c r="G1127" i="11"/>
  <c r="F1128" i="11"/>
  <c r="G1128" i="11"/>
  <c r="H1128" i="11"/>
  <c r="F1129" i="11"/>
  <c r="H1129" i="11" s="1"/>
  <c r="G1129" i="11"/>
  <c r="F1130" i="11"/>
  <c r="H1130" i="11" s="1"/>
  <c r="G1130" i="11"/>
  <c r="F1131" i="11"/>
  <c r="H1131" i="11" s="1"/>
  <c r="G1131" i="11"/>
  <c r="F1132" i="11"/>
  <c r="H1132" i="11" s="1"/>
  <c r="G1132" i="11"/>
  <c r="F1133" i="11"/>
  <c r="H1133" i="11" s="1"/>
  <c r="G1133" i="11"/>
  <c r="F1134" i="11"/>
  <c r="H1134" i="11" s="1"/>
  <c r="G1134" i="11"/>
  <c r="F1135" i="11"/>
  <c r="H1135" i="11" s="1"/>
  <c r="G1135" i="11"/>
  <c r="F1136" i="11"/>
  <c r="H1136" i="11" s="1"/>
  <c r="G1136" i="11"/>
  <c r="F1137" i="11"/>
  <c r="H1137" i="11" s="1"/>
  <c r="G1137" i="11"/>
  <c r="F1138" i="11"/>
  <c r="H1138" i="11" s="1"/>
  <c r="G1138" i="11"/>
  <c r="F1139" i="11"/>
  <c r="H1139" i="11" s="1"/>
  <c r="G1139" i="11"/>
  <c r="F1140" i="11"/>
  <c r="G1140" i="11"/>
  <c r="H1140" i="11"/>
  <c r="F1141" i="11"/>
  <c r="H1141" i="11" s="1"/>
  <c r="G1141" i="11"/>
  <c r="F1142" i="11"/>
  <c r="H1142" i="11" s="1"/>
  <c r="G1142" i="11"/>
  <c r="F1143" i="11"/>
  <c r="G1143" i="11"/>
  <c r="H1143" i="11"/>
  <c r="F1144" i="11"/>
  <c r="H1144" i="11" s="1"/>
  <c r="G1144" i="11"/>
  <c r="F1145" i="11"/>
  <c r="H1145" i="11" s="1"/>
  <c r="G1145" i="11"/>
  <c r="F1146" i="11"/>
  <c r="H1146" i="11" s="1"/>
  <c r="G1146" i="11"/>
  <c r="F1147" i="11"/>
  <c r="H1147" i="11" s="1"/>
  <c r="G1147" i="11"/>
  <c r="F1148" i="11"/>
  <c r="G1148" i="11"/>
  <c r="H1148" i="11"/>
  <c r="F1149" i="11"/>
  <c r="H1149" i="11" s="1"/>
  <c r="G1149" i="11"/>
  <c r="F1150" i="11"/>
  <c r="H1150" i="11" s="1"/>
  <c r="G1150" i="11"/>
  <c r="F1151" i="11"/>
  <c r="H1151" i="11" s="1"/>
  <c r="G1151" i="11"/>
  <c r="F1152" i="11"/>
  <c r="H1152" i="11" s="1"/>
  <c r="G1152" i="11"/>
  <c r="F1153" i="11"/>
  <c r="H1153" i="11" s="1"/>
  <c r="G1153" i="11"/>
  <c r="F1154" i="11"/>
  <c r="H1154" i="11" s="1"/>
  <c r="G1154" i="11"/>
  <c r="F1155" i="11"/>
  <c r="H1155" i="11" s="1"/>
  <c r="G1155" i="11"/>
  <c r="F1156" i="11"/>
  <c r="H1156" i="11" s="1"/>
  <c r="G1156" i="11"/>
  <c r="F1157" i="11"/>
  <c r="H1157" i="11" s="1"/>
  <c r="G1157" i="11"/>
  <c r="F1158" i="11"/>
  <c r="H1158" i="11" s="1"/>
  <c r="G1158" i="11"/>
  <c r="F1159" i="11"/>
  <c r="H1159" i="11" s="1"/>
  <c r="G1159" i="11"/>
  <c r="F1160" i="11"/>
  <c r="H1160" i="11" s="1"/>
  <c r="G1160" i="11"/>
  <c r="F1161" i="11"/>
  <c r="H1161" i="11" s="1"/>
  <c r="G1161" i="11"/>
  <c r="F1162" i="11"/>
  <c r="H1162" i="11" s="1"/>
  <c r="G1162" i="11"/>
  <c r="F1163" i="11"/>
  <c r="H1163" i="11" s="1"/>
  <c r="G1163" i="11"/>
  <c r="F1164" i="11"/>
  <c r="H1164" i="11" s="1"/>
  <c r="G1164" i="11"/>
  <c r="F1165" i="11"/>
  <c r="H1165" i="11" s="1"/>
  <c r="G1165" i="11"/>
  <c r="F1166" i="11"/>
  <c r="H1166" i="11" s="1"/>
  <c r="G1166" i="11"/>
  <c r="F1167" i="11"/>
  <c r="H1167" i="11" s="1"/>
  <c r="G1167" i="11"/>
  <c r="F1168" i="11"/>
  <c r="H1168" i="11" s="1"/>
  <c r="G1168" i="11"/>
  <c r="F1169" i="11"/>
  <c r="H1169" i="11" s="1"/>
  <c r="G1169" i="11"/>
  <c r="F1170" i="11"/>
  <c r="H1170" i="11" s="1"/>
  <c r="G1170" i="11"/>
  <c r="F1171" i="11"/>
  <c r="H1171" i="11" s="1"/>
  <c r="G1171" i="11"/>
  <c r="F1172" i="11"/>
  <c r="H1172" i="11" s="1"/>
  <c r="G1172" i="11"/>
  <c r="F1173" i="11"/>
  <c r="H1173" i="11" s="1"/>
  <c r="G1173" i="11"/>
  <c r="F1174" i="11"/>
  <c r="H1174" i="11" s="1"/>
  <c r="G1174" i="11"/>
  <c r="F1175" i="11"/>
  <c r="H1175" i="11" s="1"/>
  <c r="G1175" i="11"/>
  <c r="F1176" i="11"/>
  <c r="H1176" i="11" s="1"/>
  <c r="G1176" i="11"/>
  <c r="F1177" i="11"/>
  <c r="H1177" i="11" s="1"/>
  <c r="G1177" i="11"/>
  <c r="F1178" i="11"/>
  <c r="H1178" i="11" s="1"/>
  <c r="G1178" i="11"/>
  <c r="F1179" i="11"/>
  <c r="H1179" i="11" s="1"/>
  <c r="G1179" i="11"/>
  <c r="F1180" i="11"/>
  <c r="H1180" i="11" s="1"/>
  <c r="G1180" i="11"/>
  <c r="F1181" i="11"/>
  <c r="H1181" i="11" s="1"/>
  <c r="G1181" i="11"/>
  <c r="F1182" i="11"/>
  <c r="H1182" i="11" s="1"/>
  <c r="G1182" i="11"/>
  <c r="F1183" i="11"/>
  <c r="H1183" i="11" s="1"/>
  <c r="G1183" i="11"/>
  <c r="F1184" i="11"/>
  <c r="H1184" i="11" s="1"/>
  <c r="G1184" i="11"/>
  <c r="F1185" i="11"/>
  <c r="H1185" i="11" s="1"/>
  <c r="G1185" i="11"/>
  <c r="F1186" i="11"/>
  <c r="H1186" i="11" s="1"/>
  <c r="G1186" i="11"/>
  <c r="F1187" i="11"/>
  <c r="H1187" i="11" s="1"/>
  <c r="G1187" i="11"/>
  <c r="F1188" i="11"/>
  <c r="H1188" i="11" s="1"/>
  <c r="G1188" i="11"/>
  <c r="F1189" i="11"/>
  <c r="H1189" i="11" s="1"/>
  <c r="G1189" i="11"/>
  <c r="F1190" i="11"/>
  <c r="H1190" i="11" s="1"/>
  <c r="G1190" i="11"/>
  <c r="F1191" i="11"/>
  <c r="H1191" i="11" s="1"/>
  <c r="G1191" i="11"/>
  <c r="F1192" i="11"/>
  <c r="H1192" i="11" s="1"/>
  <c r="G1192" i="11"/>
  <c r="F1193" i="11"/>
  <c r="H1193" i="11" s="1"/>
  <c r="G1193" i="11"/>
  <c r="F1194" i="11"/>
  <c r="H1194" i="11" s="1"/>
  <c r="G1194" i="11"/>
  <c r="F1195" i="11"/>
  <c r="H1195" i="11" s="1"/>
  <c r="G1195" i="11"/>
  <c r="F1196" i="11"/>
  <c r="H1196" i="11" s="1"/>
  <c r="G1196" i="11"/>
  <c r="F1197" i="11"/>
  <c r="H1197" i="11" s="1"/>
  <c r="G1197" i="11"/>
  <c r="F1198" i="11"/>
  <c r="H1198" i="11" s="1"/>
  <c r="G1198" i="11"/>
  <c r="F1199" i="11"/>
  <c r="H1199" i="11" s="1"/>
  <c r="G1199" i="11"/>
  <c r="F1200" i="11"/>
  <c r="H1200" i="11" s="1"/>
  <c r="G1200" i="11"/>
  <c r="F1201" i="11"/>
  <c r="H1201" i="11" s="1"/>
  <c r="G1201" i="11"/>
  <c r="F1202" i="11"/>
  <c r="H1202" i="11" s="1"/>
  <c r="G1202" i="11"/>
  <c r="F1203" i="11"/>
  <c r="H1203" i="11" s="1"/>
  <c r="G1203" i="11"/>
  <c r="F1204" i="11"/>
  <c r="H1204" i="11" s="1"/>
  <c r="G1204" i="11"/>
  <c r="F1205" i="11"/>
  <c r="H1205" i="11" s="1"/>
  <c r="G1205" i="11"/>
  <c r="F1206" i="11"/>
  <c r="H1206" i="11" s="1"/>
  <c r="G1206" i="11"/>
  <c r="F1207" i="11"/>
  <c r="H1207" i="11" s="1"/>
  <c r="G1207" i="11"/>
  <c r="F1208" i="11"/>
  <c r="H1208" i="11" s="1"/>
  <c r="G1208" i="11"/>
  <c r="F1209" i="11"/>
  <c r="H1209" i="11" s="1"/>
  <c r="G1209" i="11"/>
  <c r="F1210" i="11"/>
  <c r="H1210" i="11" s="1"/>
  <c r="G1210" i="11"/>
  <c r="F1211" i="11"/>
  <c r="H1211" i="11" s="1"/>
  <c r="G1211" i="11"/>
  <c r="F1212" i="11"/>
  <c r="G1212" i="11"/>
  <c r="H1212" i="11"/>
  <c r="F1213" i="11"/>
  <c r="H1213" i="11" s="1"/>
  <c r="G1213" i="11"/>
  <c r="F1214" i="11"/>
  <c r="H1214" i="11" s="1"/>
  <c r="G1214" i="11"/>
  <c r="F1215" i="11"/>
  <c r="H1215" i="11" s="1"/>
  <c r="G1215" i="11"/>
  <c r="F1216" i="11"/>
  <c r="H1216" i="11" s="1"/>
  <c r="G1216" i="11"/>
  <c r="F1217" i="11"/>
  <c r="H1217" i="11" s="1"/>
  <c r="G1217" i="11"/>
  <c r="F1218" i="11"/>
  <c r="H1218" i="11" s="1"/>
  <c r="G1218" i="11"/>
  <c r="F1219" i="11"/>
  <c r="H1219" i="11" s="1"/>
  <c r="G1219" i="11"/>
  <c r="F1220" i="11"/>
  <c r="H1220" i="11" s="1"/>
  <c r="G1220" i="11"/>
  <c r="F1221" i="11"/>
  <c r="H1221" i="11" s="1"/>
  <c r="G1221" i="11"/>
  <c r="F1222" i="11"/>
  <c r="H1222" i="11" s="1"/>
  <c r="G1222" i="11"/>
  <c r="F1223" i="11"/>
  <c r="H1223" i="11" s="1"/>
  <c r="G1223" i="11"/>
  <c r="F1224" i="11"/>
  <c r="H1224" i="11" s="1"/>
  <c r="G1224" i="11"/>
  <c r="F1225" i="11"/>
  <c r="H1225" i="11" s="1"/>
  <c r="G1225" i="11"/>
  <c r="F1226" i="11"/>
  <c r="H1226" i="11" s="1"/>
  <c r="G1226" i="11"/>
  <c r="F1227" i="11"/>
  <c r="H1227" i="11" s="1"/>
  <c r="G1227" i="11"/>
  <c r="F1228" i="11"/>
  <c r="H1228" i="11" s="1"/>
  <c r="G1228" i="11"/>
  <c r="F1229" i="11"/>
  <c r="H1229" i="11" s="1"/>
  <c r="G1229" i="11"/>
  <c r="F1230" i="11"/>
  <c r="H1230" i="11" s="1"/>
  <c r="G1230" i="11"/>
  <c r="F1231" i="11"/>
  <c r="H1231" i="11" s="1"/>
  <c r="G1231" i="11"/>
  <c r="F1232" i="11"/>
  <c r="H1232" i="11" s="1"/>
  <c r="G1232" i="11"/>
  <c r="F1233" i="11"/>
  <c r="H1233" i="11" s="1"/>
  <c r="G1233" i="11"/>
  <c r="F1234" i="11"/>
  <c r="H1234" i="11" s="1"/>
  <c r="G1234" i="11"/>
  <c r="F1235" i="11"/>
  <c r="H1235" i="11" s="1"/>
  <c r="G1235" i="11"/>
  <c r="F1236" i="11"/>
  <c r="H1236" i="11" s="1"/>
  <c r="G1236" i="11"/>
  <c r="F1237" i="11"/>
  <c r="H1237" i="11" s="1"/>
  <c r="G1237" i="11"/>
  <c r="F1238" i="11"/>
  <c r="H1238" i="11" s="1"/>
  <c r="G1238" i="11"/>
  <c r="F1239" i="11"/>
  <c r="H1239" i="11" s="1"/>
  <c r="G1239" i="11"/>
  <c r="F1240" i="11"/>
  <c r="H1240" i="11" s="1"/>
  <c r="G1240" i="11"/>
  <c r="F1241" i="11"/>
  <c r="H1241" i="11" s="1"/>
  <c r="G1241" i="11"/>
  <c r="F1242" i="11"/>
  <c r="H1242" i="11" s="1"/>
  <c r="G1242" i="11"/>
  <c r="F1243" i="11"/>
  <c r="H1243" i="11" s="1"/>
  <c r="G1243" i="11"/>
  <c r="F1244" i="11"/>
  <c r="H1244" i="11" s="1"/>
  <c r="G1244" i="11"/>
  <c r="F1245" i="11"/>
  <c r="H1245" i="11" s="1"/>
  <c r="G1245" i="11"/>
  <c r="F1246" i="11"/>
  <c r="H1246" i="11" s="1"/>
  <c r="G1246" i="11"/>
  <c r="F1247" i="11"/>
  <c r="H1247" i="11" s="1"/>
  <c r="G1247" i="11"/>
  <c r="F1248" i="11"/>
  <c r="H1248" i="11" s="1"/>
  <c r="G1248" i="11"/>
  <c r="F1249" i="11"/>
  <c r="H1249" i="11" s="1"/>
  <c r="G1249" i="11"/>
  <c r="F1250" i="11"/>
  <c r="H1250" i="11" s="1"/>
  <c r="G1250" i="11"/>
  <c r="F1251" i="11"/>
  <c r="H1251" i="11" s="1"/>
  <c r="G1251" i="11"/>
  <c r="F1252" i="11"/>
  <c r="H1252" i="11" s="1"/>
  <c r="G1252" i="11"/>
  <c r="F1253" i="11"/>
  <c r="H1253" i="11" s="1"/>
  <c r="G1253" i="11"/>
  <c r="F1254" i="11"/>
  <c r="H1254" i="11" s="1"/>
  <c r="G1254" i="11"/>
  <c r="F1255" i="11"/>
  <c r="H1255" i="11" s="1"/>
  <c r="G1255" i="11"/>
  <c r="F1256" i="11"/>
  <c r="H1256" i="11" s="1"/>
  <c r="G1256" i="11"/>
  <c r="F1257" i="11"/>
  <c r="H1257" i="11" s="1"/>
  <c r="G1257" i="11"/>
  <c r="F1258" i="11"/>
  <c r="H1258" i="11" s="1"/>
  <c r="G1258" i="11"/>
  <c r="F1259" i="11"/>
  <c r="H1259" i="11" s="1"/>
  <c r="G1259" i="11"/>
  <c r="F1260" i="11"/>
  <c r="H1260" i="11" s="1"/>
  <c r="G1260" i="11"/>
  <c r="F1261" i="11"/>
  <c r="H1261" i="11" s="1"/>
  <c r="G1261" i="11"/>
  <c r="F1262" i="11"/>
  <c r="H1262" i="11" s="1"/>
  <c r="G1262" i="11"/>
  <c r="F1263" i="11"/>
  <c r="H1263" i="11" s="1"/>
  <c r="G1263" i="11"/>
  <c r="F1264" i="11"/>
  <c r="H1264" i="11" s="1"/>
  <c r="G1264" i="11"/>
  <c r="F1265" i="11"/>
  <c r="H1265" i="11" s="1"/>
  <c r="G1265" i="11"/>
  <c r="F1266" i="11"/>
  <c r="H1266" i="11" s="1"/>
  <c r="G1266" i="11"/>
  <c r="F1267" i="11"/>
  <c r="H1267" i="11" s="1"/>
  <c r="G1267" i="11"/>
  <c r="F1268" i="11"/>
  <c r="H1268" i="11" s="1"/>
  <c r="G1268" i="11"/>
  <c r="F1269" i="11"/>
  <c r="H1269" i="11" s="1"/>
  <c r="G1269" i="11"/>
  <c r="F1270" i="11"/>
  <c r="H1270" i="11" s="1"/>
  <c r="G1270" i="11"/>
  <c r="F1271" i="11"/>
  <c r="H1271" i="11" s="1"/>
  <c r="G1271" i="11"/>
  <c r="F1272" i="11"/>
  <c r="H1272" i="11" s="1"/>
  <c r="G1272" i="11"/>
  <c r="F1273" i="11"/>
  <c r="H1273" i="11" s="1"/>
  <c r="G1273" i="11"/>
  <c r="F1274" i="11"/>
  <c r="H1274" i="11" s="1"/>
  <c r="G1274" i="11"/>
  <c r="F1275" i="11"/>
  <c r="H1275" i="11" s="1"/>
  <c r="G1275" i="11"/>
  <c r="F1276" i="11"/>
  <c r="H1276" i="11" s="1"/>
  <c r="G1276" i="11"/>
  <c r="F1277" i="11"/>
  <c r="H1277" i="11" s="1"/>
  <c r="G1277" i="11"/>
  <c r="F1278" i="11"/>
  <c r="H1278" i="11" s="1"/>
  <c r="G1278" i="11"/>
  <c r="F1279" i="11"/>
  <c r="H1279" i="11" s="1"/>
  <c r="G1279" i="11"/>
  <c r="F1280" i="11"/>
  <c r="H1280" i="11" s="1"/>
  <c r="G1280" i="11"/>
  <c r="F1281" i="11"/>
  <c r="H1281" i="11" s="1"/>
  <c r="G1281" i="11"/>
  <c r="F1282" i="11"/>
  <c r="H1282" i="11" s="1"/>
  <c r="G1282" i="11"/>
  <c r="F1283" i="11"/>
  <c r="H1283" i="11" s="1"/>
  <c r="G1283" i="11"/>
  <c r="F1284" i="11"/>
  <c r="H1284" i="11" s="1"/>
  <c r="G1284" i="11"/>
  <c r="F1285" i="11"/>
  <c r="H1285" i="11" s="1"/>
  <c r="G1285" i="11"/>
  <c r="F1286" i="11"/>
  <c r="H1286" i="11" s="1"/>
  <c r="G1286" i="11"/>
  <c r="F1287" i="11"/>
  <c r="H1287" i="11" s="1"/>
  <c r="G1287" i="11"/>
  <c r="F1288" i="11"/>
  <c r="H1288" i="11" s="1"/>
  <c r="G1288" i="11"/>
  <c r="F1289" i="11"/>
  <c r="H1289" i="11" s="1"/>
  <c r="G1289" i="11"/>
  <c r="F1290" i="11"/>
  <c r="H1290" i="11" s="1"/>
  <c r="G1290" i="11"/>
  <c r="F1291" i="11"/>
  <c r="H1291" i="11" s="1"/>
  <c r="G1291" i="11"/>
  <c r="F1292" i="11"/>
  <c r="H1292" i="11" s="1"/>
  <c r="G1292" i="11"/>
  <c r="F1293" i="11"/>
  <c r="H1293" i="11" s="1"/>
  <c r="G1293" i="11"/>
  <c r="F1294" i="11"/>
  <c r="H1294" i="11" s="1"/>
  <c r="G1294" i="11"/>
  <c r="F1295" i="11"/>
  <c r="H1295" i="11" s="1"/>
  <c r="G1295" i="11"/>
  <c r="F1296" i="11"/>
  <c r="H1296" i="11" s="1"/>
  <c r="G1296" i="11"/>
  <c r="F1297" i="11"/>
  <c r="H1297" i="11" s="1"/>
  <c r="G1297" i="11"/>
  <c r="F1298" i="11"/>
  <c r="H1298" i="11" s="1"/>
  <c r="G1298" i="11"/>
  <c r="F1299" i="11"/>
  <c r="H1299" i="11" s="1"/>
  <c r="G1299" i="11"/>
  <c r="F1300" i="11"/>
  <c r="H1300" i="11" s="1"/>
  <c r="G1300" i="11"/>
  <c r="F1301" i="11"/>
  <c r="H1301" i="11" s="1"/>
  <c r="G1301" i="11"/>
  <c r="F1302" i="11"/>
  <c r="H1302" i="11" s="1"/>
  <c r="G1302" i="11"/>
  <c r="F1303" i="11"/>
  <c r="H1303" i="11" s="1"/>
  <c r="G1303" i="11"/>
  <c r="F1304" i="11"/>
  <c r="H1304" i="11" s="1"/>
  <c r="G1304" i="11"/>
  <c r="F1305" i="11"/>
  <c r="H1305" i="11" s="1"/>
  <c r="G1305" i="11"/>
  <c r="F1306" i="11"/>
  <c r="H1306" i="11" s="1"/>
  <c r="G1306" i="11"/>
  <c r="F1307" i="11"/>
  <c r="H1307" i="11" s="1"/>
  <c r="G1307" i="11"/>
  <c r="F1308" i="11"/>
  <c r="H1308" i="11" s="1"/>
  <c r="G1308" i="11"/>
  <c r="F1309" i="11"/>
  <c r="H1309" i="11" s="1"/>
  <c r="G1309" i="11"/>
  <c r="F1310" i="11"/>
  <c r="H1310" i="11" s="1"/>
  <c r="G1310" i="11"/>
  <c r="F1311" i="11"/>
  <c r="H1311" i="11" s="1"/>
  <c r="G1311" i="11"/>
  <c r="F1312" i="11"/>
  <c r="H1312" i="11" s="1"/>
  <c r="G1312" i="11"/>
  <c r="F1313" i="11"/>
  <c r="H1313" i="11" s="1"/>
  <c r="G1313" i="11"/>
  <c r="F1314" i="11"/>
  <c r="H1314" i="11" s="1"/>
  <c r="G1314" i="11"/>
  <c r="F1315" i="11"/>
  <c r="H1315" i="11" s="1"/>
  <c r="G1315" i="11"/>
  <c r="F1316" i="11"/>
  <c r="H1316" i="11" s="1"/>
  <c r="G1316" i="11"/>
  <c r="F1317" i="11"/>
  <c r="H1317" i="11" s="1"/>
  <c r="G1317" i="11"/>
  <c r="F1318" i="11"/>
  <c r="H1318" i="11" s="1"/>
  <c r="G1318" i="11"/>
  <c r="F1319" i="11"/>
  <c r="H1319" i="11" s="1"/>
  <c r="G1319" i="11"/>
  <c r="F1320" i="11"/>
  <c r="G1320" i="11"/>
  <c r="H1320" i="11"/>
  <c r="F1321" i="11"/>
  <c r="H1321" i="11" s="1"/>
  <c r="G1321" i="11"/>
  <c r="F1322" i="11"/>
  <c r="H1322" i="11" s="1"/>
  <c r="G1322" i="11"/>
  <c r="F1323" i="11"/>
  <c r="H1323" i="11" s="1"/>
  <c r="G1323" i="11"/>
  <c r="F1324" i="11"/>
  <c r="H1324" i="11" s="1"/>
  <c r="G1324" i="11"/>
  <c r="F1325" i="11"/>
  <c r="H1325" i="11" s="1"/>
  <c r="G1325" i="11"/>
  <c r="F1326" i="11"/>
  <c r="H1326" i="11" s="1"/>
  <c r="G1326" i="11"/>
  <c r="F1327" i="11"/>
  <c r="H1327" i="11" s="1"/>
  <c r="G1327" i="11"/>
  <c r="F1328" i="11"/>
  <c r="H1328" i="11" s="1"/>
  <c r="G1328" i="11"/>
  <c r="F1329" i="11"/>
  <c r="H1329" i="11" s="1"/>
  <c r="G1329" i="11"/>
  <c r="F1330" i="11"/>
  <c r="H1330" i="11" s="1"/>
  <c r="G1330" i="11"/>
  <c r="F1331" i="11"/>
  <c r="H1331" i="11" s="1"/>
  <c r="G1331" i="11"/>
  <c r="F1332" i="11"/>
  <c r="H1332" i="11" s="1"/>
  <c r="G1332" i="11"/>
  <c r="F1333" i="11"/>
  <c r="H1333" i="11" s="1"/>
  <c r="G1333" i="11"/>
  <c r="F1334" i="11"/>
  <c r="H1334" i="11" s="1"/>
  <c r="G1334" i="11"/>
  <c r="F1335" i="11"/>
  <c r="H1335" i="11" s="1"/>
  <c r="G1335" i="11"/>
  <c r="F1336" i="11"/>
  <c r="H1336" i="11" s="1"/>
  <c r="G1336" i="11"/>
  <c r="F1337" i="11"/>
  <c r="H1337" i="11" s="1"/>
  <c r="G1337" i="11"/>
  <c r="F1338" i="11"/>
  <c r="H1338" i="11" s="1"/>
  <c r="G1338" i="11"/>
  <c r="F1339" i="11"/>
  <c r="G1339" i="11"/>
  <c r="H1339" i="11"/>
  <c r="F1340" i="11"/>
  <c r="H1340" i="11" s="1"/>
  <c r="G1340" i="11"/>
  <c r="F1341" i="11"/>
  <c r="H1341" i="11" s="1"/>
  <c r="G1341" i="11"/>
  <c r="F1342" i="11"/>
  <c r="H1342" i="11" s="1"/>
  <c r="G1342" i="11"/>
  <c r="F1343" i="11"/>
  <c r="H1343" i="11" s="1"/>
  <c r="G1343" i="11"/>
  <c r="F1344" i="11"/>
  <c r="H1344" i="11" s="1"/>
  <c r="G1344" i="11"/>
  <c r="F1345" i="11"/>
  <c r="H1345" i="11" s="1"/>
  <c r="G1345" i="11"/>
  <c r="F1346" i="11"/>
  <c r="H1346" i="11" s="1"/>
  <c r="G1346" i="11"/>
  <c r="F1347" i="11"/>
  <c r="H1347" i="11" s="1"/>
  <c r="G1347" i="11"/>
  <c r="F1348" i="11"/>
  <c r="H1348" i="11" s="1"/>
  <c r="G1348" i="11"/>
  <c r="F1349" i="11"/>
  <c r="H1349" i="11" s="1"/>
  <c r="G1349" i="11"/>
  <c r="F1350" i="11"/>
  <c r="H1350" i="11" s="1"/>
  <c r="G1350" i="11"/>
  <c r="F1351" i="11"/>
  <c r="H1351" i="11" s="1"/>
  <c r="G1351" i="11"/>
  <c r="F1352" i="11"/>
  <c r="H1352" i="11" s="1"/>
  <c r="G1352" i="11"/>
  <c r="F1353" i="11"/>
  <c r="H1353" i="11" s="1"/>
  <c r="G1353" i="11"/>
  <c r="F1354" i="11"/>
  <c r="H1354" i="11" s="1"/>
  <c r="G1354" i="11"/>
  <c r="F1355" i="11"/>
  <c r="H1355" i="11" s="1"/>
  <c r="G1355" i="11"/>
  <c r="F1356" i="11"/>
  <c r="H1356" i="11" s="1"/>
  <c r="G1356" i="11"/>
  <c r="F1357" i="11"/>
  <c r="H1357" i="11" s="1"/>
  <c r="G1357" i="11"/>
  <c r="F1358" i="11"/>
  <c r="H1358" i="11" s="1"/>
  <c r="G1358" i="11"/>
  <c r="F1359" i="11"/>
  <c r="H1359" i="11" s="1"/>
  <c r="G1359" i="11"/>
  <c r="F1360" i="11"/>
  <c r="H1360" i="11" s="1"/>
  <c r="G1360" i="11"/>
  <c r="F1361" i="11"/>
  <c r="H1361" i="11" s="1"/>
  <c r="G1361" i="11"/>
  <c r="F1362" i="11"/>
  <c r="H1362" i="11" s="1"/>
  <c r="G1362" i="11"/>
  <c r="F1363" i="11"/>
  <c r="H1363" i="11" s="1"/>
  <c r="G1363" i="11"/>
  <c r="F1364" i="11"/>
  <c r="H1364" i="11" s="1"/>
  <c r="G1364" i="11"/>
  <c r="F1365" i="11"/>
  <c r="H1365" i="11" s="1"/>
  <c r="G1365" i="11"/>
  <c r="F1366" i="11"/>
  <c r="H1366" i="11" s="1"/>
  <c r="G1366" i="11"/>
  <c r="F1367" i="11"/>
  <c r="H1367" i="11" s="1"/>
  <c r="G1367" i="11"/>
  <c r="F1368" i="11"/>
  <c r="H1368" i="11" s="1"/>
  <c r="G1368" i="11"/>
  <c r="F1369" i="11"/>
  <c r="H1369" i="11" s="1"/>
  <c r="G1369" i="11"/>
  <c r="F1370" i="11"/>
  <c r="H1370" i="11" s="1"/>
  <c r="G1370" i="11"/>
  <c r="F1371" i="11"/>
  <c r="H1371" i="11" s="1"/>
  <c r="G1371" i="11"/>
  <c r="F1372" i="11"/>
  <c r="H1372" i="11" s="1"/>
  <c r="G1372" i="11"/>
  <c r="F1373" i="11"/>
  <c r="H1373" i="11" s="1"/>
  <c r="G1373" i="11"/>
  <c r="F1374" i="11"/>
  <c r="H1374" i="11" s="1"/>
  <c r="G1374" i="11"/>
  <c r="F1375" i="11"/>
  <c r="H1375" i="11" s="1"/>
  <c r="G1375" i="11"/>
  <c r="F1376" i="11"/>
  <c r="H1376" i="11" s="1"/>
  <c r="G1376" i="11"/>
  <c r="F1377" i="11"/>
  <c r="H1377" i="11" s="1"/>
  <c r="G1377" i="11"/>
  <c r="F1378" i="11"/>
  <c r="H1378" i="11" s="1"/>
  <c r="G1378" i="11"/>
  <c r="F1379" i="11"/>
  <c r="H1379" i="11" s="1"/>
  <c r="G1379" i="11"/>
  <c r="F1380" i="11"/>
  <c r="H1380" i="11" s="1"/>
  <c r="G1380" i="11"/>
  <c r="F1381" i="11"/>
  <c r="H1381" i="11" s="1"/>
  <c r="G1381" i="11"/>
  <c r="F1382" i="11"/>
  <c r="H1382" i="11" s="1"/>
  <c r="G1382" i="11"/>
  <c r="F1383" i="11"/>
  <c r="H1383" i="11" s="1"/>
  <c r="G1383" i="11"/>
  <c r="F1384" i="11"/>
  <c r="H1384" i="11" s="1"/>
  <c r="G1384" i="11"/>
  <c r="F1385" i="11"/>
  <c r="H1385" i="11" s="1"/>
  <c r="G1385" i="11"/>
  <c r="F1386" i="11"/>
  <c r="H1386" i="11" s="1"/>
  <c r="G1386" i="11"/>
  <c r="F1387" i="11"/>
  <c r="H1387" i="11" s="1"/>
  <c r="G1387" i="11"/>
  <c r="F1388" i="11"/>
  <c r="H1388" i="11" s="1"/>
  <c r="G1388" i="11"/>
  <c r="F1389" i="11"/>
  <c r="H1389" i="11" s="1"/>
  <c r="G1389" i="11"/>
  <c r="F1390" i="11"/>
  <c r="H1390" i="11" s="1"/>
  <c r="G1390" i="11"/>
  <c r="F1391" i="11"/>
  <c r="H1391" i="11" s="1"/>
  <c r="G1391" i="11"/>
  <c r="F1392" i="11"/>
  <c r="H1392" i="11" s="1"/>
  <c r="G1392" i="11"/>
  <c r="F1393" i="11"/>
  <c r="H1393" i="11" s="1"/>
  <c r="G1393" i="11"/>
  <c r="F1394" i="11"/>
  <c r="H1394" i="11" s="1"/>
  <c r="G1394" i="11"/>
  <c r="F1395" i="11"/>
  <c r="H1395" i="11" s="1"/>
  <c r="G1395" i="11"/>
  <c r="F1396" i="11"/>
  <c r="H1396" i="11" s="1"/>
  <c r="G1396" i="11"/>
  <c r="F1397" i="11"/>
  <c r="H1397" i="11" s="1"/>
  <c r="G1397" i="11"/>
  <c r="F1398" i="11"/>
  <c r="H1398" i="11" s="1"/>
  <c r="G1398" i="11"/>
  <c r="F1399" i="11"/>
  <c r="H1399" i="11" s="1"/>
  <c r="G1399" i="11"/>
  <c r="F1400" i="11"/>
  <c r="H1400" i="11" s="1"/>
  <c r="G1400" i="11"/>
  <c r="F1401" i="11"/>
  <c r="H1401" i="11" s="1"/>
  <c r="G1401" i="11"/>
  <c r="F1402" i="11"/>
  <c r="H1402" i="11" s="1"/>
  <c r="G1402" i="11"/>
  <c r="F1403" i="11"/>
  <c r="H1403" i="11" s="1"/>
  <c r="G1403" i="11"/>
  <c r="F1404" i="11"/>
  <c r="H1404" i="11" s="1"/>
  <c r="G1404" i="11"/>
  <c r="F1405" i="11"/>
  <c r="H1405" i="11" s="1"/>
  <c r="G1405" i="11"/>
  <c r="F1406" i="11"/>
  <c r="H1406" i="11" s="1"/>
  <c r="G1406" i="11"/>
  <c r="F1407" i="11"/>
  <c r="H1407" i="11" s="1"/>
  <c r="G1407" i="11"/>
  <c r="F1408" i="11"/>
  <c r="H1408" i="11" s="1"/>
  <c r="G1408" i="11"/>
  <c r="F1409" i="11"/>
  <c r="H1409" i="11" s="1"/>
  <c r="G1409" i="11"/>
  <c r="F1410" i="11"/>
  <c r="H1410" i="11" s="1"/>
  <c r="G1410" i="11"/>
  <c r="F1411" i="11"/>
  <c r="H1411" i="11" s="1"/>
  <c r="G1411" i="11"/>
  <c r="F1412" i="11"/>
  <c r="H1412" i="11" s="1"/>
  <c r="G1412" i="11"/>
  <c r="F1413" i="11"/>
  <c r="H1413" i="11" s="1"/>
  <c r="G1413" i="11"/>
  <c r="F1414" i="11"/>
  <c r="H1414" i="11" s="1"/>
  <c r="G1414" i="11"/>
  <c r="F1415" i="11"/>
  <c r="H1415" i="11" s="1"/>
  <c r="G1415" i="11"/>
  <c r="F1416" i="11"/>
  <c r="H1416" i="11" s="1"/>
  <c r="G1416" i="11"/>
  <c r="F1417" i="11"/>
  <c r="H1417" i="11" s="1"/>
  <c r="G1417" i="11"/>
  <c r="F1418" i="11"/>
  <c r="H1418" i="11" s="1"/>
  <c r="G1418" i="11"/>
  <c r="F1419" i="11"/>
  <c r="H1419" i="11" s="1"/>
  <c r="G1419" i="11"/>
  <c r="F1420" i="11"/>
  <c r="H1420" i="11" s="1"/>
  <c r="G1420" i="11"/>
  <c r="F1421" i="11"/>
  <c r="H1421" i="11" s="1"/>
  <c r="G1421" i="11"/>
  <c r="F1422" i="11"/>
  <c r="H1422" i="11" s="1"/>
  <c r="G1422" i="11"/>
  <c r="F1423" i="11"/>
  <c r="H1423" i="11" s="1"/>
  <c r="G1423" i="11"/>
  <c r="F1424" i="11"/>
  <c r="H1424" i="11" s="1"/>
  <c r="G1424" i="11"/>
  <c r="F1425" i="11"/>
  <c r="H1425" i="11" s="1"/>
  <c r="G1425" i="11"/>
  <c r="F1426" i="11"/>
  <c r="H1426" i="11" s="1"/>
  <c r="G1426" i="11"/>
  <c r="F1427" i="11"/>
  <c r="H1427" i="11" s="1"/>
  <c r="G1427" i="11"/>
  <c r="F1428" i="11"/>
  <c r="H1428" i="11" s="1"/>
  <c r="G1428" i="11"/>
  <c r="F1429" i="11"/>
  <c r="H1429" i="11" s="1"/>
  <c r="G1429" i="11"/>
  <c r="F1430" i="11"/>
  <c r="H1430" i="11" s="1"/>
  <c r="G1430" i="11"/>
  <c r="F1431" i="11"/>
  <c r="H1431" i="11" s="1"/>
  <c r="G1431" i="11"/>
  <c r="F1432" i="11"/>
  <c r="H1432" i="11" s="1"/>
  <c r="G1432" i="11"/>
  <c r="F1433" i="11"/>
  <c r="H1433" i="11" s="1"/>
  <c r="G1433" i="11"/>
  <c r="F1434" i="11"/>
  <c r="H1434" i="11" s="1"/>
  <c r="G1434" i="11"/>
  <c r="F1435" i="11"/>
  <c r="H1435" i="11" s="1"/>
  <c r="G1435" i="11"/>
  <c r="F1436" i="11"/>
  <c r="H1436" i="11" s="1"/>
  <c r="G1436" i="11"/>
  <c r="F1437" i="11"/>
  <c r="H1437" i="11" s="1"/>
  <c r="G1437" i="11"/>
  <c r="F1438" i="11"/>
  <c r="H1438" i="11" s="1"/>
  <c r="G1438" i="11"/>
  <c r="F1439" i="11"/>
  <c r="H1439" i="11" s="1"/>
  <c r="G1439" i="11"/>
  <c r="F1440" i="11"/>
  <c r="H1440" i="11" s="1"/>
  <c r="G1440" i="11"/>
  <c r="F1441" i="11"/>
  <c r="H1441" i="11" s="1"/>
  <c r="G1441" i="11"/>
  <c r="F1442" i="11"/>
  <c r="H1442" i="11" s="1"/>
  <c r="G1442" i="11"/>
  <c r="F1443" i="11"/>
  <c r="H1443" i="11" s="1"/>
  <c r="G1443" i="11"/>
  <c r="F1444" i="11"/>
  <c r="H1444" i="11" s="1"/>
  <c r="G1444" i="11"/>
  <c r="F1445" i="11"/>
  <c r="H1445" i="11" s="1"/>
  <c r="G1445" i="11"/>
  <c r="F1446" i="11"/>
  <c r="H1446" i="11" s="1"/>
  <c r="G1446" i="11"/>
  <c r="F1447" i="11"/>
  <c r="H1447" i="11" s="1"/>
  <c r="G1447" i="11"/>
  <c r="F1448" i="11"/>
  <c r="H1448" i="11" s="1"/>
  <c r="G1448" i="11"/>
  <c r="F1449" i="11"/>
  <c r="H1449" i="11" s="1"/>
  <c r="G1449" i="11"/>
  <c r="F1450" i="11"/>
  <c r="H1450" i="11" s="1"/>
  <c r="G1450" i="11"/>
  <c r="F1451" i="11"/>
  <c r="H1451" i="11" s="1"/>
  <c r="G1451" i="11"/>
  <c r="F1452" i="11"/>
  <c r="H1452" i="11" s="1"/>
  <c r="G1452" i="11"/>
  <c r="F1453" i="11"/>
  <c r="H1453" i="11"/>
  <c r="G1453" i="11"/>
  <c r="F1454" i="11"/>
  <c r="G1454" i="11"/>
  <c r="H1454" i="11"/>
  <c r="F1455" i="11"/>
  <c r="H1455" i="11" s="1"/>
  <c r="G1455" i="11"/>
  <c r="F1456" i="11"/>
  <c r="H1456" i="11" s="1"/>
  <c r="G1456" i="11"/>
  <c r="F1457" i="11"/>
  <c r="H1457" i="11" s="1"/>
  <c r="G1457" i="11"/>
  <c r="F1458" i="11"/>
  <c r="H1458" i="11" s="1"/>
  <c r="G1458" i="11"/>
  <c r="F1459" i="11"/>
  <c r="H1459" i="11" s="1"/>
  <c r="G1459" i="11"/>
  <c r="F1460" i="11"/>
  <c r="H1460" i="11" s="1"/>
  <c r="G1460" i="11"/>
  <c r="F1461" i="11"/>
  <c r="H1461" i="11" s="1"/>
  <c r="G1461" i="11"/>
  <c r="F1462" i="11"/>
  <c r="H1462" i="11" s="1"/>
  <c r="G1462" i="11"/>
  <c r="F1463" i="11"/>
  <c r="H1463" i="11" s="1"/>
  <c r="G1463" i="11"/>
  <c r="F1464" i="11"/>
  <c r="H1464" i="11" s="1"/>
  <c r="G1464" i="11"/>
  <c r="F1465" i="11"/>
  <c r="H1465" i="11" s="1"/>
  <c r="G1465" i="11"/>
  <c r="F1466" i="11"/>
  <c r="H1466" i="11" s="1"/>
  <c r="G1466" i="11"/>
  <c r="F1467" i="11"/>
  <c r="H1467" i="11" s="1"/>
  <c r="G1467" i="11"/>
  <c r="F1468" i="11"/>
  <c r="H1468" i="11" s="1"/>
  <c r="G1468" i="11"/>
  <c r="F1469" i="11"/>
  <c r="H1469" i="11" s="1"/>
  <c r="G1469" i="11"/>
  <c r="F1470" i="11"/>
  <c r="G1470" i="11"/>
  <c r="H1470" i="11"/>
  <c r="F1471" i="11"/>
  <c r="H1471" i="11" s="1"/>
  <c r="G1471" i="11"/>
  <c r="F1472" i="11"/>
  <c r="H1472" i="11" s="1"/>
  <c r="G1472" i="11"/>
  <c r="F1473" i="11"/>
  <c r="H1473" i="11" s="1"/>
  <c r="G1473" i="11"/>
  <c r="F1474" i="11"/>
  <c r="H1474" i="11" s="1"/>
  <c r="G1474" i="11"/>
  <c r="F1475" i="11"/>
  <c r="H1475" i="11" s="1"/>
  <c r="G1475" i="11"/>
  <c r="F1476" i="11"/>
  <c r="H1476" i="11" s="1"/>
  <c r="G1476" i="11"/>
  <c r="F1477" i="11"/>
  <c r="H1477" i="11" s="1"/>
  <c r="G1477" i="11"/>
  <c r="F1478" i="11"/>
  <c r="H1478" i="11" s="1"/>
  <c r="G1478" i="11"/>
  <c r="F1479" i="11"/>
  <c r="H1479" i="11" s="1"/>
  <c r="G1479" i="11"/>
  <c r="F1480" i="11"/>
  <c r="H1480" i="11" s="1"/>
  <c r="G1480" i="11"/>
  <c r="F1481" i="11"/>
  <c r="H1481" i="11" s="1"/>
  <c r="G1481" i="11"/>
  <c r="F1482" i="11"/>
  <c r="H1482" i="11" s="1"/>
  <c r="G1482" i="11"/>
  <c r="F1483" i="11"/>
  <c r="H1483" i="11" s="1"/>
  <c r="G1483" i="11"/>
  <c r="F1484" i="11"/>
  <c r="H1484" i="11" s="1"/>
  <c r="G1484" i="11"/>
  <c r="F1485" i="11"/>
  <c r="H1485" i="11" s="1"/>
  <c r="G1485" i="11"/>
  <c r="F1486" i="11"/>
  <c r="H1486" i="11" s="1"/>
  <c r="G1486" i="11"/>
  <c r="F1487" i="11"/>
  <c r="H1487" i="11" s="1"/>
  <c r="G1487" i="11"/>
  <c r="F1488" i="11"/>
  <c r="H1488" i="11" s="1"/>
  <c r="G1488" i="11"/>
  <c r="F1489" i="11"/>
  <c r="H1489" i="11" s="1"/>
  <c r="G1489" i="11"/>
  <c r="F1490" i="11"/>
  <c r="H1490" i="11" s="1"/>
  <c r="G1490" i="11"/>
  <c r="F1491" i="11"/>
  <c r="H1491" i="11" s="1"/>
  <c r="G1491" i="11"/>
  <c r="F1492" i="11"/>
  <c r="H1492" i="11" s="1"/>
  <c r="G1492" i="11"/>
  <c r="F1493" i="11"/>
  <c r="H1493" i="11" s="1"/>
  <c r="G1493" i="11"/>
  <c r="F1494" i="11"/>
  <c r="H1494" i="11" s="1"/>
  <c r="G1494" i="11"/>
  <c r="F1495" i="11"/>
  <c r="H1495" i="11" s="1"/>
  <c r="G1495" i="11"/>
  <c r="F1496" i="11"/>
  <c r="H1496" i="11" s="1"/>
  <c r="G1496" i="11"/>
  <c r="F1497" i="11"/>
  <c r="H1497" i="11" s="1"/>
  <c r="G1497" i="11"/>
  <c r="F1498" i="11"/>
  <c r="H1498" i="11" s="1"/>
  <c r="G1498" i="11"/>
  <c r="F1499" i="11"/>
  <c r="H1499" i="11" s="1"/>
  <c r="G1499" i="11"/>
  <c r="F1500" i="11"/>
  <c r="H1500" i="11" s="1"/>
  <c r="G1500" i="11"/>
  <c r="F1501" i="11"/>
  <c r="H1501" i="11" s="1"/>
  <c r="G1501" i="11"/>
  <c r="F1502" i="11"/>
  <c r="H1502" i="11" s="1"/>
  <c r="G1502" i="11"/>
  <c r="F1503" i="11"/>
  <c r="H1503" i="11" s="1"/>
  <c r="G1503" i="11"/>
  <c r="F1504" i="11"/>
  <c r="H1504" i="11" s="1"/>
  <c r="G1504" i="11"/>
  <c r="F1505" i="11"/>
  <c r="H1505" i="11" s="1"/>
  <c r="G1505" i="11"/>
  <c r="F1506" i="11"/>
  <c r="H1506" i="11" s="1"/>
  <c r="G1506" i="11"/>
  <c r="F1507" i="11"/>
  <c r="H1507" i="11" s="1"/>
  <c r="G1507" i="11"/>
  <c r="F1508" i="11"/>
  <c r="H1508" i="11" s="1"/>
  <c r="G1508" i="11"/>
  <c r="F1509" i="11"/>
  <c r="H1509" i="11" s="1"/>
  <c r="G1509" i="11"/>
  <c r="F1510" i="11"/>
  <c r="H1510" i="11" s="1"/>
  <c r="G1510" i="11"/>
  <c r="F1511" i="11"/>
  <c r="H1511" i="11" s="1"/>
  <c r="G1511" i="11"/>
  <c r="F1512" i="11"/>
  <c r="H1512" i="11" s="1"/>
  <c r="G1512" i="11"/>
  <c r="F1513" i="11"/>
  <c r="H1513" i="11" s="1"/>
  <c r="G1513" i="11"/>
  <c r="F1514" i="11"/>
  <c r="H1514" i="11" s="1"/>
  <c r="G1514" i="11"/>
  <c r="F1515" i="11"/>
  <c r="H1515" i="11" s="1"/>
  <c r="G1515" i="11"/>
  <c r="F1516" i="11"/>
  <c r="H1516" i="11" s="1"/>
  <c r="G1516" i="11"/>
  <c r="F1517" i="11"/>
  <c r="H1517" i="11" s="1"/>
  <c r="G1517" i="11"/>
  <c r="F1518" i="11"/>
  <c r="H1518" i="11" s="1"/>
  <c r="G1518" i="11"/>
  <c r="F1519" i="11"/>
  <c r="H1519" i="11" s="1"/>
  <c r="G1519" i="11"/>
  <c r="F1520" i="11"/>
  <c r="H1520" i="11" s="1"/>
  <c r="G1520" i="11"/>
  <c r="F1521" i="11"/>
  <c r="H1521" i="11" s="1"/>
  <c r="G1521" i="11"/>
  <c r="F1522" i="11"/>
  <c r="H1522" i="11" s="1"/>
  <c r="G1522" i="11"/>
  <c r="F1523" i="11"/>
  <c r="H1523" i="11" s="1"/>
  <c r="G1523" i="11"/>
  <c r="F1524" i="11"/>
  <c r="H1524" i="11" s="1"/>
  <c r="G1524" i="11"/>
  <c r="F1525" i="11"/>
  <c r="H1525" i="11" s="1"/>
  <c r="G1525" i="11"/>
  <c r="F1526" i="11"/>
  <c r="H1526" i="11" s="1"/>
  <c r="G1526" i="11"/>
  <c r="F1527" i="11"/>
  <c r="H1527" i="11" s="1"/>
  <c r="G1527" i="11"/>
  <c r="F1528" i="11"/>
  <c r="H1528" i="11" s="1"/>
  <c r="G1528" i="11"/>
  <c r="F1529" i="11"/>
  <c r="H1529" i="11" s="1"/>
  <c r="G1529" i="11"/>
  <c r="F1530" i="11"/>
  <c r="H1530" i="11" s="1"/>
  <c r="G1530" i="11"/>
  <c r="F1531" i="11"/>
  <c r="H1531" i="11" s="1"/>
  <c r="G1531" i="11"/>
  <c r="F1532" i="11"/>
  <c r="H1532" i="11" s="1"/>
  <c r="G1532" i="11"/>
  <c r="F1533" i="11"/>
  <c r="H1533" i="11" s="1"/>
  <c r="G1533" i="11"/>
  <c r="F1534" i="11"/>
  <c r="H1534" i="11" s="1"/>
  <c r="G1534" i="11"/>
  <c r="F1535" i="11"/>
  <c r="H1535" i="11" s="1"/>
  <c r="G1535" i="11"/>
  <c r="F1536" i="11"/>
  <c r="H1536" i="11" s="1"/>
  <c r="G1536" i="11"/>
  <c r="F1537" i="11"/>
  <c r="H1537" i="11" s="1"/>
  <c r="G1537" i="11"/>
  <c r="F1538" i="11"/>
  <c r="H1538" i="11" s="1"/>
  <c r="G1538" i="11"/>
  <c r="F1539" i="11"/>
  <c r="H1539" i="11" s="1"/>
  <c r="G1539" i="11"/>
  <c r="F1540" i="11"/>
  <c r="H1540" i="11" s="1"/>
  <c r="G1540" i="11"/>
  <c r="F1541" i="11"/>
  <c r="H1541" i="11" s="1"/>
  <c r="G1541" i="11"/>
  <c r="F1542" i="11"/>
  <c r="G1542" i="11"/>
  <c r="H1542" i="11"/>
  <c r="F1543" i="11"/>
  <c r="H1543" i="11" s="1"/>
  <c r="G1543" i="11"/>
  <c r="F1544" i="11"/>
  <c r="H1544" i="11" s="1"/>
  <c r="G1544" i="11"/>
  <c r="F1545" i="11"/>
  <c r="H1545" i="11" s="1"/>
  <c r="G1545" i="11"/>
  <c r="F1546" i="11"/>
  <c r="H1546" i="11" s="1"/>
  <c r="G1546" i="11"/>
  <c r="F1547" i="11"/>
  <c r="H1547" i="11" s="1"/>
  <c r="G1547" i="11"/>
  <c r="F1548" i="11"/>
  <c r="H1548" i="11" s="1"/>
  <c r="G1548" i="11"/>
  <c r="F1549" i="11"/>
  <c r="H1549" i="11" s="1"/>
  <c r="G1549" i="11"/>
  <c r="F1550" i="11"/>
  <c r="H1550" i="11" s="1"/>
  <c r="G1550" i="11"/>
  <c r="F1551" i="11"/>
  <c r="H1551" i="11" s="1"/>
  <c r="G1551" i="11"/>
  <c r="F1552" i="11"/>
  <c r="H1552" i="11" s="1"/>
  <c r="G1552" i="11"/>
  <c r="F1553" i="11"/>
  <c r="H1553" i="11" s="1"/>
  <c r="G1553" i="11"/>
  <c r="F1554" i="11"/>
  <c r="H1554" i="11" s="1"/>
  <c r="G1554" i="11"/>
  <c r="F1555" i="11"/>
  <c r="H1555" i="11" s="1"/>
  <c r="G1555" i="11"/>
  <c r="F1556" i="11"/>
  <c r="H1556" i="11" s="1"/>
  <c r="G1556" i="11"/>
  <c r="F1557" i="11"/>
  <c r="H1557" i="11" s="1"/>
  <c r="G1557" i="11"/>
  <c r="F1558" i="11"/>
  <c r="H1558" i="11" s="1"/>
  <c r="G1558" i="11"/>
  <c r="F1559" i="11"/>
  <c r="H1559" i="11" s="1"/>
  <c r="G1559" i="11"/>
  <c r="F1560" i="11"/>
  <c r="H1560" i="11" s="1"/>
  <c r="G1560" i="11"/>
  <c r="F1561" i="11"/>
  <c r="H1561" i="11" s="1"/>
  <c r="G1561" i="11"/>
  <c r="F1562" i="11"/>
  <c r="H1562" i="11" s="1"/>
  <c r="G1562" i="11"/>
  <c r="F1563" i="11"/>
  <c r="H1563" i="11" s="1"/>
  <c r="G1563" i="11"/>
  <c r="F1564" i="11"/>
  <c r="H1564" i="11" s="1"/>
  <c r="G1564" i="11"/>
  <c r="F1565" i="11"/>
  <c r="H1565" i="11" s="1"/>
  <c r="G1565" i="11"/>
  <c r="F1566" i="11"/>
  <c r="H1566" i="11" s="1"/>
  <c r="G1566" i="11"/>
  <c r="F1567" i="11"/>
  <c r="H1567" i="11" s="1"/>
  <c r="G1567" i="11"/>
  <c r="F1568" i="11"/>
  <c r="H1568" i="11" s="1"/>
  <c r="G1568" i="11"/>
  <c r="F1569" i="11"/>
  <c r="H1569" i="11" s="1"/>
  <c r="G1569" i="11"/>
  <c r="F1570" i="11"/>
  <c r="H1570" i="11" s="1"/>
  <c r="G1570" i="11"/>
  <c r="F1571" i="11"/>
  <c r="H1571" i="11" s="1"/>
  <c r="G1571" i="11"/>
  <c r="F1572" i="11"/>
  <c r="H1572" i="11" s="1"/>
  <c r="G1572" i="11"/>
  <c r="F1573" i="11"/>
  <c r="H1573" i="11" s="1"/>
  <c r="G1573" i="11"/>
  <c r="F1574" i="11"/>
  <c r="H1574" i="11" s="1"/>
  <c r="G1574" i="11"/>
  <c r="F1575" i="11"/>
  <c r="H1575" i="11" s="1"/>
  <c r="G1575" i="11"/>
  <c r="F1576" i="11"/>
  <c r="H1576" i="11" s="1"/>
  <c r="G1576" i="11"/>
  <c r="F1577" i="11"/>
  <c r="H1577" i="11" s="1"/>
  <c r="G1577" i="11"/>
  <c r="F1578" i="11"/>
  <c r="H1578" i="11" s="1"/>
  <c r="G1578" i="11"/>
  <c r="F1579" i="11"/>
  <c r="H1579" i="11" s="1"/>
  <c r="G1579" i="11"/>
  <c r="F1580" i="11"/>
  <c r="H1580" i="11" s="1"/>
  <c r="G1580" i="11"/>
  <c r="F1581" i="11"/>
  <c r="H1581" i="11" s="1"/>
  <c r="G1581" i="11"/>
  <c r="F1582" i="11"/>
  <c r="H1582" i="11" s="1"/>
  <c r="G1582" i="11"/>
  <c r="F1583" i="11"/>
  <c r="H1583" i="11" s="1"/>
  <c r="G1583" i="11"/>
  <c r="F1584" i="11"/>
  <c r="H1584" i="11" s="1"/>
  <c r="G1584" i="11"/>
  <c r="F1585" i="11"/>
  <c r="H1585" i="11" s="1"/>
  <c r="G1585" i="11"/>
  <c r="F1586" i="11"/>
  <c r="H1586" i="11" s="1"/>
  <c r="G1586" i="11"/>
  <c r="F1587" i="11"/>
  <c r="H1587" i="11" s="1"/>
  <c r="G1587" i="11"/>
  <c r="F1588" i="11"/>
  <c r="H1588" i="11" s="1"/>
  <c r="G1588" i="11"/>
  <c r="F1589" i="11"/>
  <c r="H1589" i="11" s="1"/>
  <c r="G1589" i="11"/>
  <c r="F1590" i="11"/>
  <c r="H1590" i="11" s="1"/>
  <c r="G1590" i="11"/>
  <c r="F1591" i="11"/>
  <c r="H1591" i="11" s="1"/>
  <c r="G1591" i="11"/>
  <c r="F1592" i="11"/>
  <c r="H1592" i="11" s="1"/>
  <c r="G1592" i="11"/>
  <c r="F1593" i="11"/>
  <c r="H1593" i="11" s="1"/>
  <c r="G1593" i="11"/>
  <c r="F1594" i="11"/>
  <c r="H1594" i="11" s="1"/>
  <c r="G1594" i="11"/>
  <c r="F1595" i="11"/>
  <c r="H1595" i="11" s="1"/>
  <c r="G1595" i="11"/>
  <c r="F1596" i="11"/>
  <c r="H1596" i="11" s="1"/>
  <c r="G1596" i="11"/>
  <c r="F1597" i="11"/>
  <c r="H1597" i="11" s="1"/>
  <c r="G1597" i="11"/>
  <c r="F1598" i="11"/>
  <c r="G1598" i="11"/>
  <c r="H1598" i="11"/>
  <c r="F1599" i="11"/>
  <c r="H1599" i="11" s="1"/>
  <c r="G1599" i="11"/>
  <c r="F1600" i="11"/>
  <c r="H1600" i="11" s="1"/>
  <c r="G1600" i="11"/>
  <c r="F1601" i="11"/>
  <c r="H1601" i="11" s="1"/>
  <c r="G1601" i="11"/>
  <c r="F1602" i="11"/>
  <c r="H1602" i="11" s="1"/>
  <c r="G1602" i="11"/>
  <c r="F1603" i="11"/>
  <c r="H1603" i="11" s="1"/>
  <c r="G1603" i="11"/>
  <c r="F1604" i="11"/>
  <c r="H1604" i="11" s="1"/>
  <c r="G1604" i="11"/>
  <c r="F1605" i="11"/>
  <c r="H1605" i="11" s="1"/>
  <c r="G1605" i="11"/>
  <c r="F1606" i="11"/>
  <c r="H1606" i="11" s="1"/>
  <c r="G1606" i="11"/>
  <c r="F1607" i="11"/>
  <c r="H1607" i="11" s="1"/>
  <c r="G1607" i="11"/>
  <c r="F1608" i="11"/>
  <c r="H1608" i="11" s="1"/>
  <c r="G1608" i="11"/>
  <c r="F1609" i="11"/>
  <c r="H1609" i="11" s="1"/>
  <c r="G1609" i="11"/>
  <c r="F1610" i="11"/>
  <c r="H1610" i="11" s="1"/>
  <c r="G1610" i="11"/>
  <c r="F1611" i="11"/>
  <c r="H1611" i="11" s="1"/>
  <c r="G1611" i="11"/>
  <c r="F1612" i="11"/>
  <c r="H1612" i="11" s="1"/>
  <c r="G1612" i="11"/>
  <c r="F1613" i="11"/>
  <c r="H1613" i="11" s="1"/>
  <c r="G1613" i="11"/>
  <c r="F1614" i="11"/>
  <c r="H1614" i="11" s="1"/>
  <c r="G1614" i="11"/>
  <c r="F1615" i="11"/>
  <c r="H1615" i="11" s="1"/>
  <c r="G1615" i="11"/>
  <c r="F1616" i="11"/>
  <c r="H1616" i="11" s="1"/>
  <c r="G1616" i="11"/>
  <c r="F1617" i="11"/>
  <c r="H1617" i="11" s="1"/>
  <c r="G1617" i="11"/>
  <c r="F1618" i="11"/>
  <c r="H1618" i="11" s="1"/>
  <c r="G1618" i="11"/>
  <c r="F1619" i="11"/>
  <c r="H1619" i="11" s="1"/>
  <c r="G1619" i="11"/>
  <c r="F1620" i="11"/>
  <c r="H1620" i="11" s="1"/>
  <c r="G1620" i="11"/>
  <c r="F1621" i="11"/>
  <c r="H1621" i="11" s="1"/>
  <c r="G1621" i="11"/>
  <c r="F1622" i="11"/>
  <c r="G1622" i="11"/>
  <c r="H1622" i="11"/>
  <c r="F1623" i="11"/>
  <c r="H1623" i="11" s="1"/>
  <c r="G1623" i="11"/>
  <c r="F1624" i="11"/>
  <c r="H1624" i="11" s="1"/>
  <c r="G1624" i="11"/>
  <c r="F1625" i="11"/>
  <c r="H1625" i="11" s="1"/>
  <c r="G1625" i="11"/>
  <c r="F1626" i="11"/>
  <c r="H1626" i="11" s="1"/>
  <c r="G1626" i="11"/>
  <c r="F1627" i="11"/>
  <c r="H1627" i="11" s="1"/>
  <c r="G1627" i="11"/>
  <c r="F1628" i="11"/>
  <c r="H1628" i="11" s="1"/>
  <c r="G1628" i="11"/>
  <c r="F1629" i="11"/>
  <c r="H1629" i="11" s="1"/>
  <c r="G1629" i="11"/>
  <c r="F1630" i="11"/>
  <c r="H1630" i="11" s="1"/>
  <c r="G1630" i="11"/>
  <c r="F1631" i="11"/>
  <c r="H1631" i="11" s="1"/>
  <c r="G1631" i="11"/>
  <c r="F1632" i="11"/>
  <c r="H1632" i="11" s="1"/>
  <c r="G1632" i="11"/>
  <c r="F1633" i="11"/>
  <c r="H1633" i="11" s="1"/>
  <c r="G1633" i="11"/>
  <c r="F1634" i="11"/>
  <c r="H1634" i="11" s="1"/>
  <c r="G1634" i="11"/>
  <c r="F1635" i="11"/>
  <c r="H1635" i="11" s="1"/>
  <c r="G1635" i="11"/>
  <c r="F1636" i="11"/>
  <c r="H1636" i="11" s="1"/>
  <c r="G1636" i="11"/>
  <c r="F1637" i="11"/>
  <c r="H1637" i="11" s="1"/>
  <c r="G1637" i="11"/>
  <c r="F1638" i="11"/>
  <c r="H1638" i="11" s="1"/>
  <c r="G1638" i="11"/>
  <c r="F1639" i="11"/>
  <c r="H1639" i="11" s="1"/>
  <c r="G1639" i="11"/>
  <c r="F1640" i="11"/>
  <c r="H1640" i="11" s="1"/>
  <c r="G1640" i="11"/>
  <c r="F1641" i="11"/>
  <c r="H1641" i="11" s="1"/>
  <c r="G1641" i="11"/>
  <c r="F1642" i="11"/>
  <c r="H1642" i="11" s="1"/>
  <c r="G1642" i="11"/>
  <c r="F1643" i="11"/>
  <c r="H1643" i="11" s="1"/>
  <c r="G1643" i="11"/>
  <c r="F1644" i="11"/>
  <c r="H1644" i="11" s="1"/>
  <c r="G1644" i="11"/>
  <c r="F1645" i="11"/>
  <c r="H1645" i="11" s="1"/>
  <c r="G1645" i="11"/>
  <c r="F1646" i="11"/>
  <c r="H1646" i="11" s="1"/>
  <c r="G1646" i="11"/>
  <c r="F1647" i="11"/>
  <c r="H1647" i="11" s="1"/>
  <c r="G1647" i="11"/>
  <c r="F1648" i="11"/>
  <c r="H1648" i="11" s="1"/>
  <c r="G1648" i="11"/>
  <c r="F1649" i="11"/>
  <c r="H1649" i="11" s="1"/>
  <c r="G1649" i="11"/>
  <c r="F1650" i="11"/>
  <c r="H1650" i="11" s="1"/>
  <c r="G1650" i="11"/>
  <c r="F1651" i="11"/>
  <c r="H1651" i="11" s="1"/>
  <c r="G1651" i="11"/>
  <c r="F1652" i="11"/>
  <c r="H1652" i="11" s="1"/>
  <c r="G1652" i="11"/>
  <c r="F1653" i="11"/>
  <c r="H1653" i="11" s="1"/>
  <c r="G1653" i="11"/>
  <c r="F1654" i="11"/>
  <c r="H1654" i="11" s="1"/>
  <c r="G1654" i="11"/>
  <c r="F1655" i="11"/>
  <c r="H1655" i="11" s="1"/>
  <c r="G1655" i="11"/>
  <c r="F1656" i="11"/>
  <c r="H1656" i="11" s="1"/>
  <c r="G1656" i="11"/>
  <c r="F1657" i="11"/>
  <c r="H1657" i="11" s="1"/>
  <c r="G1657" i="11"/>
  <c r="F1658" i="11"/>
  <c r="H1658" i="11" s="1"/>
  <c r="G1658" i="11"/>
  <c r="F1659" i="11"/>
  <c r="H1659" i="11" s="1"/>
  <c r="G1659" i="11"/>
  <c r="F1660" i="11"/>
  <c r="H1660" i="11" s="1"/>
  <c r="G1660" i="11"/>
  <c r="F1661" i="11"/>
  <c r="H1661" i="11" s="1"/>
  <c r="G1661" i="11"/>
  <c r="F1662" i="11"/>
  <c r="H1662" i="11" s="1"/>
  <c r="G1662" i="11"/>
  <c r="F1663" i="11"/>
  <c r="H1663" i="11" s="1"/>
  <c r="G1663" i="11"/>
  <c r="F1664" i="11"/>
  <c r="H1664" i="11" s="1"/>
  <c r="G1664" i="11"/>
  <c r="F1665" i="11"/>
  <c r="H1665" i="11" s="1"/>
  <c r="G1665" i="11"/>
  <c r="F1666" i="11"/>
  <c r="H1666" i="11" s="1"/>
  <c r="G1666" i="11"/>
  <c r="F1667" i="11"/>
  <c r="H1667" i="11" s="1"/>
  <c r="G1667" i="11"/>
  <c r="F1668" i="11"/>
  <c r="H1668" i="11" s="1"/>
  <c r="G1668" i="11"/>
  <c r="F1669" i="11"/>
  <c r="H1669" i="11" s="1"/>
  <c r="G1669" i="11"/>
  <c r="F1670" i="11"/>
  <c r="H1670" i="11" s="1"/>
  <c r="G1670" i="11"/>
  <c r="F1671" i="11"/>
  <c r="H1671" i="11" s="1"/>
  <c r="G1671" i="11"/>
  <c r="F1672" i="11"/>
  <c r="H1672" i="11" s="1"/>
  <c r="G1672" i="11"/>
  <c r="F1673" i="11"/>
  <c r="H1673" i="11" s="1"/>
  <c r="G1673" i="11"/>
  <c r="F1674" i="11"/>
  <c r="H1674" i="11" s="1"/>
  <c r="G1674" i="11"/>
  <c r="F1675" i="11"/>
  <c r="H1675" i="11" s="1"/>
  <c r="G1675" i="11"/>
  <c r="F1676" i="11"/>
  <c r="H1676" i="11" s="1"/>
  <c r="G1676" i="11"/>
  <c r="F1677" i="11"/>
  <c r="H1677" i="11" s="1"/>
  <c r="G1677" i="11"/>
  <c r="F1678" i="11"/>
  <c r="H1678" i="11" s="1"/>
  <c r="G1678" i="11"/>
  <c r="F1679" i="11"/>
  <c r="H1679" i="11" s="1"/>
  <c r="G1679" i="11"/>
  <c r="F1680" i="11"/>
  <c r="H1680" i="11" s="1"/>
  <c r="G1680" i="11"/>
  <c r="F1681" i="11"/>
  <c r="H1681" i="11" s="1"/>
  <c r="G1681" i="11"/>
  <c r="F1682" i="11"/>
  <c r="H1682" i="11" s="1"/>
  <c r="G1682" i="11"/>
  <c r="F1683" i="11"/>
  <c r="H1683" i="11" s="1"/>
  <c r="G1683" i="11"/>
  <c r="F1684" i="11"/>
  <c r="H1684" i="11" s="1"/>
  <c r="G1684" i="11"/>
  <c r="F1685" i="11"/>
  <c r="H1685" i="11" s="1"/>
  <c r="G1685" i="11"/>
  <c r="F1686" i="11"/>
  <c r="H1686" i="11" s="1"/>
  <c r="G1686" i="11"/>
  <c r="F1687" i="11"/>
  <c r="H1687" i="11" s="1"/>
  <c r="G1687" i="11"/>
  <c r="F1688" i="11"/>
  <c r="H1688" i="11" s="1"/>
  <c r="G1688" i="11"/>
  <c r="F1689" i="11"/>
  <c r="H1689" i="11" s="1"/>
  <c r="G1689" i="11"/>
  <c r="F1690" i="11"/>
  <c r="H1690" i="11" s="1"/>
  <c r="G1690" i="11"/>
  <c r="F1691" i="11"/>
  <c r="H1691" i="11" s="1"/>
  <c r="G1691" i="11"/>
  <c r="F1692" i="11"/>
  <c r="H1692" i="11" s="1"/>
  <c r="G1692" i="11"/>
  <c r="F1693" i="11"/>
  <c r="H1693" i="11" s="1"/>
  <c r="G1693" i="11"/>
  <c r="F1694" i="11"/>
  <c r="H1694" i="11" s="1"/>
  <c r="G1694" i="11"/>
  <c r="F1695" i="11"/>
  <c r="H1695" i="11" s="1"/>
  <c r="G1695" i="11"/>
  <c r="F1696" i="11"/>
  <c r="H1696" i="11" s="1"/>
  <c r="G1696" i="11"/>
  <c r="F1697" i="11"/>
  <c r="H1697" i="11" s="1"/>
  <c r="G1697" i="11"/>
  <c r="F1698" i="11"/>
  <c r="H1698" i="11" s="1"/>
  <c r="G1698" i="11"/>
  <c r="F1699" i="11"/>
  <c r="H1699" i="11" s="1"/>
  <c r="G1699" i="11"/>
  <c r="F1700" i="11"/>
  <c r="H1700" i="11" s="1"/>
  <c r="G1700" i="11"/>
  <c r="F1701" i="11"/>
  <c r="H1701" i="11" s="1"/>
  <c r="G1701" i="11"/>
  <c r="F1702" i="11"/>
  <c r="H1702" i="11" s="1"/>
  <c r="G1702" i="11"/>
  <c r="F1703" i="11"/>
  <c r="H1703" i="11" s="1"/>
  <c r="G1703" i="11"/>
  <c r="F1704" i="11"/>
  <c r="H1704" i="11" s="1"/>
  <c r="G1704" i="11"/>
  <c r="F1705" i="11"/>
  <c r="H1705" i="11" s="1"/>
  <c r="G1705" i="11"/>
  <c r="F1706" i="11"/>
  <c r="H1706" i="11" s="1"/>
  <c r="G1706" i="11"/>
  <c r="F1707" i="11"/>
  <c r="H1707" i="11" s="1"/>
  <c r="G1707" i="11"/>
  <c r="F1708" i="11"/>
  <c r="H1708" i="11" s="1"/>
  <c r="G1708" i="11"/>
  <c r="F1709" i="11"/>
  <c r="H1709" i="11" s="1"/>
  <c r="G1709" i="11"/>
  <c r="F1710" i="11"/>
  <c r="H1710" i="11" s="1"/>
  <c r="G1710" i="11"/>
  <c r="F1711" i="11"/>
  <c r="H1711" i="11" s="1"/>
  <c r="G1711" i="11"/>
  <c r="F1712" i="11"/>
  <c r="H1712" i="11" s="1"/>
  <c r="G1712" i="11"/>
  <c r="F1713" i="11"/>
  <c r="H1713" i="11" s="1"/>
  <c r="G1713" i="11"/>
  <c r="F1714" i="11"/>
  <c r="H1714" i="11" s="1"/>
  <c r="G1714" i="11"/>
  <c r="F1715" i="11"/>
  <c r="H1715" i="11" s="1"/>
  <c r="G1715" i="11"/>
  <c r="F1716" i="11"/>
  <c r="H1716" i="11" s="1"/>
  <c r="G1716" i="11"/>
  <c r="F1717" i="11"/>
  <c r="H1717" i="11" s="1"/>
  <c r="G1717" i="11"/>
  <c r="F1718" i="11"/>
  <c r="H1718" i="11" s="1"/>
  <c r="G1718" i="11"/>
  <c r="F1719" i="11"/>
  <c r="H1719" i="11" s="1"/>
  <c r="G1719" i="11"/>
  <c r="F1720" i="11"/>
  <c r="H1720" i="11" s="1"/>
  <c r="G1720" i="11"/>
  <c r="F1721" i="11"/>
  <c r="H1721" i="11" s="1"/>
  <c r="G1721" i="11"/>
  <c r="F1722" i="11"/>
  <c r="H1722" i="11" s="1"/>
  <c r="G1722" i="11"/>
  <c r="F1723" i="11"/>
  <c r="H1723" i="11" s="1"/>
  <c r="G1723" i="11"/>
  <c r="F1724" i="11"/>
  <c r="H1724" i="11" s="1"/>
  <c r="G1724" i="11"/>
  <c r="F1725" i="11"/>
  <c r="H1725" i="11" s="1"/>
  <c r="G1725" i="11"/>
  <c r="F1726" i="11"/>
  <c r="H1726" i="11" s="1"/>
  <c r="G1726" i="11"/>
  <c r="F1727" i="11"/>
  <c r="H1727" i="11" s="1"/>
  <c r="G1727" i="11"/>
  <c r="F1728" i="11"/>
  <c r="H1728" i="11" s="1"/>
  <c r="G1728" i="11"/>
  <c r="F1729" i="11"/>
  <c r="H1729" i="11" s="1"/>
  <c r="G1729" i="11"/>
  <c r="F1730" i="11"/>
  <c r="H1730" i="11" s="1"/>
  <c r="G1730" i="11"/>
  <c r="F1731" i="11"/>
  <c r="H1731" i="11" s="1"/>
  <c r="G1731" i="11"/>
  <c r="F1732" i="11"/>
  <c r="H1732" i="11" s="1"/>
  <c r="G1732" i="11"/>
  <c r="F1733" i="11"/>
  <c r="H1733" i="11" s="1"/>
  <c r="G1733" i="11"/>
  <c r="F1734" i="11"/>
  <c r="H1734" i="11" s="1"/>
  <c r="G1734" i="11"/>
  <c r="F1735" i="11"/>
  <c r="H1735" i="11" s="1"/>
  <c r="G1735" i="11"/>
  <c r="F1736" i="11"/>
  <c r="H1736" i="11" s="1"/>
  <c r="G1736" i="11"/>
  <c r="F1737" i="11"/>
  <c r="H1737" i="11" s="1"/>
  <c r="G1737" i="11"/>
  <c r="F1738" i="11"/>
  <c r="H1738" i="11" s="1"/>
  <c r="G1738" i="11"/>
  <c r="F1739" i="11"/>
  <c r="H1739" i="11" s="1"/>
  <c r="G1739" i="11"/>
  <c r="F1740" i="11"/>
  <c r="H1740" i="11" s="1"/>
  <c r="G1740" i="11"/>
  <c r="F1741" i="11"/>
  <c r="H1741" i="11" s="1"/>
  <c r="G1741" i="11"/>
  <c r="F1742" i="11"/>
  <c r="H1742" i="11" s="1"/>
  <c r="G1742" i="11"/>
  <c r="F1743" i="11"/>
  <c r="H1743" i="11" s="1"/>
  <c r="G1743" i="11"/>
  <c r="F1744" i="11"/>
  <c r="H1744" i="11" s="1"/>
  <c r="G1744" i="11"/>
  <c r="F1745" i="11"/>
  <c r="H1745" i="11" s="1"/>
  <c r="G1745" i="11"/>
  <c r="F1746" i="11"/>
  <c r="H1746" i="11" s="1"/>
  <c r="G1746" i="11"/>
  <c r="F1747" i="11"/>
  <c r="H1747" i="11" s="1"/>
  <c r="G1747" i="11"/>
  <c r="F1748" i="11"/>
  <c r="H1748" i="11" s="1"/>
  <c r="G1748" i="11"/>
  <c r="F1749" i="11"/>
  <c r="H1749" i="11" s="1"/>
  <c r="G1749" i="11"/>
  <c r="F1750" i="11"/>
  <c r="G1750" i="11"/>
  <c r="H1750" i="11"/>
  <c r="F1751" i="11"/>
  <c r="H1751" i="11" s="1"/>
  <c r="G1751" i="11"/>
  <c r="F1752" i="11"/>
  <c r="H1752" i="11" s="1"/>
  <c r="G1752" i="11"/>
  <c r="F1753" i="11"/>
  <c r="H1753" i="11" s="1"/>
  <c r="G1753" i="11"/>
  <c r="F1754" i="11"/>
  <c r="H1754" i="11" s="1"/>
  <c r="G1754" i="11"/>
  <c r="F1755" i="11"/>
  <c r="H1755" i="11" s="1"/>
  <c r="G1755" i="11"/>
  <c r="F1756" i="11"/>
  <c r="H1756" i="11" s="1"/>
  <c r="G1756" i="11"/>
  <c r="F1757" i="11"/>
  <c r="H1757" i="11" s="1"/>
  <c r="G1757" i="11"/>
  <c r="F1758" i="11"/>
  <c r="H1758" i="11" s="1"/>
  <c r="G1758" i="11"/>
  <c r="F1759" i="11"/>
  <c r="H1759" i="11" s="1"/>
  <c r="G1759" i="11"/>
  <c r="F1760" i="11"/>
  <c r="H1760" i="11" s="1"/>
  <c r="G1760" i="11"/>
  <c r="F1761" i="11"/>
  <c r="H1761" i="11" s="1"/>
  <c r="G1761" i="11"/>
  <c r="F1762" i="11"/>
  <c r="H1762" i="11" s="1"/>
  <c r="G1762" i="11"/>
  <c r="F1763" i="11"/>
  <c r="H1763" i="11" s="1"/>
  <c r="G1763" i="11"/>
  <c r="F1764" i="11"/>
  <c r="H1764" i="11" s="1"/>
  <c r="G1764" i="11"/>
  <c r="F1765" i="11"/>
  <c r="H1765" i="11" s="1"/>
  <c r="G1765" i="11"/>
  <c r="F1766" i="11"/>
  <c r="H1766" i="11" s="1"/>
  <c r="G1766" i="11"/>
  <c r="F1767" i="11"/>
  <c r="H1767" i="11" s="1"/>
  <c r="G1767" i="11"/>
  <c r="F1768" i="11"/>
  <c r="H1768" i="11" s="1"/>
  <c r="G1768" i="11"/>
  <c r="F1769" i="11"/>
  <c r="H1769" i="11" s="1"/>
  <c r="G1769" i="11"/>
  <c r="F1770" i="11"/>
  <c r="H1770" i="11" s="1"/>
  <c r="G1770" i="11"/>
  <c r="F1771" i="11"/>
  <c r="H1771" i="11" s="1"/>
  <c r="G1771" i="11"/>
  <c r="F1772" i="11"/>
  <c r="H1772" i="11" s="1"/>
  <c r="G1772" i="11"/>
  <c r="F1773" i="11"/>
  <c r="H1773" i="11" s="1"/>
  <c r="G1773" i="11"/>
  <c r="F1774" i="11"/>
  <c r="H1774" i="11" s="1"/>
  <c r="G1774" i="11"/>
  <c r="F1775" i="11"/>
  <c r="H1775" i="11" s="1"/>
  <c r="G1775" i="11"/>
  <c r="F1776" i="11"/>
  <c r="H1776" i="11" s="1"/>
  <c r="G1776" i="11"/>
  <c r="F1777" i="11"/>
  <c r="H1777" i="11" s="1"/>
  <c r="G1777" i="11"/>
  <c r="F1778" i="11"/>
  <c r="G1778" i="11"/>
  <c r="H1778" i="11"/>
  <c r="F1779" i="11"/>
  <c r="H1779" i="11" s="1"/>
  <c r="G1779" i="11"/>
  <c r="F1780" i="11"/>
  <c r="H1780" i="11" s="1"/>
  <c r="G1780" i="11"/>
  <c r="F1781" i="11"/>
  <c r="H1781" i="11" s="1"/>
  <c r="G1781" i="11"/>
  <c r="F1782" i="11"/>
  <c r="H1782" i="11" s="1"/>
  <c r="G1782" i="11"/>
  <c r="F1783" i="11"/>
  <c r="H1783" i="11" s="1"/>
  <c r="G1783" i="11"/>
  <c r="F1784" i="11"/>
  <c r="H1784" i="11"/>
  <c r="G1784" i="11"/>
  <c r="F1785" i="11"/>
  <c r="H1785" i="11" s="1"/>
  <c r="G1785" i="11"/>
  <c r="F1786" i="11"/>
  <c r="H1786" i="11" s="1"/>
  <c r="G1786" i="11"/>
  <c r="F1787" i="11"/>
  <c r="H1787" i="11" s="1"/>
  <c r="G1787" i="11"/>
  <c r="F1788" i="11"/>
  <c r="H1788" i="11" s="1"/>
  <c r="G1788" i="11"/>
  <c r="F1789" i="11"/>
  <c r="H1789" i="11" s="1"/>
  <c r="G1789" i="11"/>
  <c r="F1790" i="11"/>
  <c r="H1790" i="11" s="1"/>
  <c r="G1790" i="11"/>
  <c r="F1791" i="11"/>
  <c r="H1791" i="11" s="1"/>
  <c r="G1791" i="11"/>
  <c r="F1792" i="11"/>
  <c r="H1792" i="11" s="1"/>
  <c r="G1792" i="11"/>
  <c r="F1793" i="11"/>
  <c r="H1793" i="11" s="1"/>
  <c r="G1793" i="11"/>
  <c r="F1794" i="11"/>
  <c r="H1794" i="11" s="1"/>
  <c r="G1794" i="11"/>
  <c r="F1795" i="11"/>
  <c r="H1795" i="11" s="1"/>
  <c r="G1795" i="11"/>
  <c r="F1796" i="11"/>
  <c r="H1796" i="11" s="1"/>
  <c r="G1796" i="11"/>
  <c r="F1797" i="11"/>
  <c r="H1797" i="11" s="1"/>
  <c r="G1797" i="11"/>
  <c r="F1798" i="11"/>
  <c r="H1798" i="11" s="1"/>
  <c r="G1798" i="11"/>
  <c r="F1799" i="11"/>
  <c r="H1799" i="11" s="1"/>
  <c r="G1799" i="11"/>
  <c r="F1800" i="11"/>
  <c r="H1800" i="11" s="1"/>
  <c r="G1800" i="11"/>
  <c r="F1801" i="11"/>
  <c r="H1801" i="11" s="1"/>
  <c r="G1801" i="11"/>
  <c r="F1802" i="11"/>
  <c r="H1802" i="11" s="1"/>
  <c r="G1802" i="11"/>
  <c r="F1803" i="11"/>
  <c r="H1803" i="11" s="1"/>
  <c r="G1803" i="11"/>
  <c r="F1804" i="11"/>
  <c r="H1804" i="11" s="1"/>
  <c r="G1804" i="11"/>
  <c r="F1805" i="11"/>
  <c r="H1805" i="11" s="1"/>
  <c r="G1805" i="11"/>
  <c r="F1806" i="11"/>
  <c r="G1806" i="11"/>
  <c r="H1806" i="11"/>
  <c r="F1807" i="11"/>
  <c r="H1807" i="11" s="1"/>
  <c r="G1807" i="11"/>
  <c r="F1808" i="11"/>
  <c r="H1808" i="11" s="1"/>
  <c r="G1808" i="11"/>
  <c r="F1809" i="11"/>
  <c r="H1809" i="11" s="1"/>
  <c r="G1809" i="11"/>
  <c r="F1810" i="11"/>
  <c r="H1810" i="11" s="1"/>
  <c r="G1810" i="11"/>
  <c r="F1811" i="11"/>
  <c r="H1811" i="11" s="1"/>
  <c r="G1811" i="11"/>
  <c r="F1812" i="11"/>
  <c r="H1812" i="11" s="1"/>
  <c r="G1812" i="11"/>
  <c r="F1813" i="11"/>
  <c r="H1813" i="11" s="1"/>
  <c r="G1813" i="11"/>
  <c r="F1814" i="11"/>
  <c r="H1814" i="11" s="1"/>
  <c r="G1814" i="11"/>
  <c r="F1815" i="11"/>
  <c r="H1815" i="11" s="1"/>
  <c r="G1815" i="11"/>
  <c r="F1816" i="11"/>
  <c r="H1816" i="11" s="1"/>
  <c r="G1816" i="11"/>
  <c r="F1817" i="11"/>
  <c r="H1817" i="11" s="1"/>
  <c r="G1817" i="11"/>
  <c r="F1818" i="11"/>
  <c r="H1818" i="11" s="1"/>
  <c r="G1818" i="11"/>
  <c r="F1819" i="11"/>
  <c r="H1819" i="11" s="1"/>
  <c r="G1819" i="11"/>
  <c r="F1820" i="11"/>
  <c r="H1820" i="11" s="1"/>
  <c r="G1820" i="11"/>
  <c r="F1821" i="11"/>
  <c r="H1821" i="11" s="1"/>
  <c r="G1821" i="11"/>
  <c r="F1822" i="11"/>
  <c r="G1822" i="11"/>
  <c r="H1822" i="11"/>
  <c r="F1823" i="11"/>
  <c r="H1823" i="11" s="1"/>
  <c r="G1823" i="11"/>
  <c r="F1824" i="11"/>
  <c r="H1824" i="11" s="1"/>
  <c r="G1824" i="11"/>
  <c r="F1825" i="11"/>
  <c r="H1825" i="11" s="1"/>
  <c r="G1825" i="11"/>
  <c r="F1826" i="11"/>
  <c r="H1826" i="11" s="1"/>
  <c r="G1826" i="11"/>
  <c r="F1827" i="11"/>
  <c r="H1827" i="11" s="1"/>
  <c r="G1827" i="11"/>
  <c r="F1828" i="11"/>
  <c r="H1828" i="11" s="1"/>
  <c r="G1828" i="11"/>
  <c r="F1829" i="11"/>
  <c r="H1829" i="11" s="1"/>
  <c r="G1829" i="11"/>
  <c r="F1830" i="11"/>
  <c r="H1830" i="11" s="1"/>
  <c r="G1830" i="11"/>
  <c r="F1831" i="11"/>
  <c r="H1831" i="11" s="1"/>
  <c r="G1831" i="11"/>
  <c r="F1832" i="11"/>
  <c r="H1832" i="11" s="1"/>
  <c r="G1832" i="11"/>
  <c r="F1833" i="11"/>
  <c r="H1833" i="11" s="1"/>
  <c r="G1833" i="11"/>
  <c r="F1834" i="11"/>
  <c r="H1834" i="11" s="1"/>
  <c r="G1834" i="11"/>
  <c r="F1835" i="11"/>
  <c r="H1835" i="11" s="1"/>
  <c r="G1835" i="11"/>
  <c r="F1836" i="11"/>
  <c r="H1836" i="11" s="1"/>
  <c r="G1836" i="11"/>
  <c r="F1837" i="11"/>
  <c r="H1837" i="11" s="1"/>
  <c r="G1837" i="11"/>
  <c r="F1838" i="11"/>
  <c r="H1838" i="11" s="1"/>
  <c r="G1838" i="11"/>
  <c r="F1839" i="11"/>
  <c r="H1839" i="11" s="1"/>
  <c r="G1839" i="11"/>
  <c r="F1840" i="11"/>
  <c r="H1840" i="11" s="1"/>
  <c r="G1840" i="11"/>
  <c r="F1841" i="11"/>
  <c r="H1841" i="11" s="1"/>
  <c r="G1841" i="11"/>
  <c r="F1842" i="11"/>
  <c r="H1842" i="11" s="1"/>
  <c r="G1842" i="11"/>
  <c r="F1843" i="11"/>
  <c r="H1843" i="11" s="1"/>
  <c r="G1843" i="11"/>
  <c r="F1844" i="11"/>
  <c r="H1844" i="11" s="1"/>
  <c r="G1844" i="11"/>
  <c r="F1845" i="11"/>
  <c r="H1845" i="11" s="1"/>
  <c r="G1845" i="11"/>
  <c r="F1846" i="11"/>
  <c r="H1846" i="11" s="1"/>
  <c r="G1846" i="11"/>
  <c r="F1847" i="11"/>
  <c r="H1847" i="11" s="1"/>
  <c r="G1847" i="11"/>
  <c r="F1848" i="11"/>
  <c r="H1848" i="11" s="1"/>
  <c r="G1848" i="11"/>
  <c r="F1849" i="11"/>
  <c r="H1849" i="11" s="1"/>
  <c r="G1849" i="11"/>
  <c r="F1850" i="11"/>
  <c r="H1850" i="11" s="1"/>
  <c r="G1850" i="11"/>
  <c r="F1851" i="11"/>
  <c r="H1851" i="11" s="1"/>
  <c r="G1851" i="11"/>
  <c r="F1852" i="11"/>
  <c r="H1852" i="11" s="1"/>
  <c r="G1852" i="11"/>
  <c r="F1853" i="11"/>
  <c r="H1853" i="11" s="1"/>
  <c r="G1853" i="11"/>
  <c r="F1854" i="11"/>
  <c r="H1854" i="11" s="1"/>
  <c r="G1854" i="11"/>
  <c r="F1855" i="11"/>
  <c r="H1855" i="11" s="1"/>
  <c r="G1855" i="11"/>
  <c r="F1856" i="11"/>
  <c r="H1856" i="11" s="1"/>
  <c r="G1856" i="11"/>
  <c r="F1857" i="11"/>
  <c r="H1857" i="11" s="1"/>
  <c r="G1857" i="11"/>
  <c r="F1858" i="11"/>
  <c r="H1858" i="11" s="1"/>
  <c r="G1858" i="11"/>
  <c r="F1859" i="11"/>
  <c r="H1859" i="11" s="1"/>
  <c r="G1859" i="11"/>
  <c r="F1860" i="11"/>
  <c r="H1860" i="11" s="1"/>
  <c r="G1860" i="11"/>
  <c r="F1861" i="11"/>
  <c r="H1861" i="11" s="1"/>
  <c r="G1861" i="11"/>
  <c r="F1862" i="11"/>
  <c r="H1862" i="11" s="1"/>
  <c r="G1862" i="11"/>
  <c r="F1863" i="11"/>
  <c r="H1863" i="11" s="1"/>
  <c r="G1863" i="11"/>
  <c r="F1864" i="11"/>
  <c r="H1864" i="11" s="1"/>
  <c r="G1864" i="11"/>
  <c r="F1865" i="11"/>
  <c r="H1865" i="11"/>
  <c r="G1865" i="11"/>
  <c r="F1866" i="11"/>
  <c r="H1866" i="11" s="1"/>
  <c r="G1866" i="11"/>
  <c r="F1867" i="11"/>
  <c r="H1867" i="11" s="1"/>
  <c r="G1867" i="11"/>
  <c r="F1868" i="11"/>
  <c r="H1868" i="11" s="1"/>
  <c r="G1868" i="11"/>
  <c r="F1869" i="11"/>
  <c r="H1869" i="11" s="1"/>
  <c r="G1869" i="11"/>
  <c r="F1870" i="11"/>
  <c r="H1870" i="11" s="1"/>
  <c r="G1870" i="11"/>
  <c r="F1871" i="11"/>
  <c r="H1871" i="11" s="1"/>
  <c r="G1871" i="11"/>
  <c r="F1872" i="11"/>
  <c r="H1872" i="11" s="1"/>
  <c r="G1872" i="11"/>
  <c r="F1873" i="11"/>
  <c r="H1873" i="11" s="1"/>
  <c r="G1873" i="11"/>
  <c r="F1874" i="11"/>
  <c r="H1874" i="11" s="1"/>
  <c r="G1874" i="11"/>
  <c r="F1875" i="11"/>
  <c r="H1875" i="11" s="1"/>
  <c r="G1875" i="11"/>
  <c r="F1876" i="11"/>
  <c r="H1876" i="11" s="1"/>
  <c r="G1876" i="11"/>
  <c r="F1877" i="11"/>
  <c r="H1877" i="11" s="1"/>
  <c r="G1877" i="11"/>
  <c r="F1878" i="11"/>
  <c r="H1878" i="11" s="1"/>
  <c r="G1878" i="11"/>
  <c r="F1879" i="11"/>
  <c r="H1879" i="11" s="1"/>
  <c r="G1879" i="11"/>
  <c r="F1880" i="11"/>
  <c r="H1880" i="11" s="1"/>
  <c r="G1880" i="11"/>
  <c r="F1881" i="11"/>
  <c r="H1881" i="11" s="1"/>
  <c r="G1881" i="11"/>
  <c r="F1882" i="11"/>
  <c r="G1882" i="11"/>
  <c r="H1882" i="11"/>
  <c r="F1883" i="11"/>
  <c r="H1883" i="11" s="1"/>
  <c r="G1883" i="11"/>
  <c r="F1884" i="11"/>
  <c r="H1884" i="11" s="1"/>
  <c r="G1884" i="11"/>
  <c r="F1885" i="11"/>
  <c r="H1885" i="11" s="1"/>
  <c r="G1885" i="11"/>
  <c r="F1886" i="11"/>
  <c r="H1886" i="11" s="1"/>
  <c r="G1886" i="11"/>
  <c r="F1887" i="11"/>
  <c r="H1887" i="11" s="1"/>
  <c r="G1887" i="11"/>
  <c r="F1888" i="11"/>
  <c r="H1888" i="11" s="1"/>
  <c r="G1888" i="11"/>
  <c r="F1889" i="11"/>
  <c r="H1889" i="11" s="1"/>
  <c r="G1889" i="11"/>
  <c r="F1890" i="11"/>
  <c r="H1890" i="11" s="1"/>
  <c r="G1890" i="11"/>
  <c r="F1891" i="11"/>
  <c r="H1891" i="11" s="1"/>
  <c r="G1891" i="11"/>
  <c r="F1892" i="11"/>
  <c r="H1892" i="11" s="1"/>
  <c r="G1892" i="11"/>
  <c r="F1893" i="11"/>
  <c r="H1893" i="11" s="1"/>
  <c r="G1893" i="11"/>
  <c r="F1894" i="11"/>
  <c r="H1894" i="11" s="1"/>
  <c r="G1894" i="11"/>
  <c r="F1895" i="11"/>
  <c r="H1895" i="11" s="1"/>
  <c r="G1895" i="11"/>
  <c r="F1896" i="11"/>
  <c r="H1896" i="11" s="1"/>
  <c r="G1896" i="11"/>
  <c r="F1897" i="11"/>
  <c r="H1897" i="11" s="1"/>
  <c r="G1897" i="11"/>
  <c r="F1898" i="11"/>
  <c r="H1898" i="11" s="1"/>
  <c r="G1898" i="11"/>
  <c r="F1899" i="11"/>
  <c r="H1899" i="11" s="1"/>
  <c r="G1899" i="11"/>
  <c r="F1900" i="11"/>
  <c r="H1900" i="11" s="1"/>
  <c r="G1900" i="11"/>
  <c r="F1901" i="11"/>
  <c r="H1901" i="11" s="1"/>
  <c r="G1901" i="11"/>
  <c r="F1902" i="11"/>
  <c r="H1902" i="11" s="1"/>
  <c r="G1902" i="11"/>
  <c r="F1903" i="11"/>
  <c r="H1903" i="11" s="1"/>
  <c r="G1903" i="11"/>
  <c r="F1904" i="11"/>
  <c r="H1904" i="11" s="1"/>
  <c r="G1904" i="11"/>
  <c r="F1905" i="11"/>
  <c r="H1905" i="11" s="1"/>
  <c r="G1905" i="11"/>
  <c r="F1906" i="11"/>
  <c r="H1906" i="11" s="1"/>
  <c r="G1906" i="11"/>
  <c r="F1907" i="11"/>
  <c r="H1907" i="11" s="1"/>
  <c r="G1907" i="11"/>
  <c r="F1908" i="11"/>
  <c r="H1908" i="11" s="1"/>
  <c r="G1908" i="11"/>
  <c r="F1909" i="11"/>
  <c r="H1909" i="11" s="1"/>
  <c r="G1909" i="11"/>
  <c r="F1910" i="11"/>
  <c r="H1910" i="11" s="1"/>
  <c r="G1910" i="11"/>
  <c r="F1911" i="11"/>
  <c r="H1911" i="11" s="1"/>
  <c r="G1911" i="11"/>
  <c r="F1912" i="11"/>
  <c r="H1912" i="11" s="1"/>
  <c r="G1912" i="11"/>
  <c r="F1913" i="11"/>
  <c r="H1913" i="11" s="1"/>
  <c r="G1913" i="11"/>
  <c r="F1914" i="11"/>
  <c r="H1914" i="11" s="1"/>
  <c r="G1914" i="11"/>
  <c r="F1915" i="11"/>
  <c r="H1915" i="11" s="1"/>
  <c r="G1915" i="11"/>
  <c r="F1916" i="11"/>
  <c r="H1916" i="11" s="1"/>
  <c r="G1916" i="11"/>
  <c r="F1917" i="11"/>
  <c r="H1917" i="11" s="1"/>
  <c r="G1917" i="11"/>
  <c r="F1918" i="11"/>
  <c r="H1918" i="11" s="1"/>
  <c r="G1918" i="11"/>
  <c r="F1919" i="11"/>
  <c r="H1919" i="11" s="1"/>
  <c r="G1919" i="11"/>
  <c r="F1920" i="11"/>
  <c r="H1920" i="11" s="1"/>
  <c r="G1920" i="11"/>
  <c r="F1921" i="11"/>
  <c r="H1921" i="11" s="1"/>
  <c r="G1921" i="11"/>
  <c r="F1922" i="11"/>
  <c r="H1922" i="11" s="1"/>
  <c r="G1922" i="11"/>
  <c r="F1923" i="11"/>
  <c r="H1923" i="11" s="1"/>
  <c r="G1923" i="11"/>
  <c r="F1924" i="11"/>
  <c r="H1924" i="11" s="1"/>
  <c r="G1924" i="11"/>
  <c r="F1925" i="11"/>
  <c r="H1925" i="11" s="1"/>
  <c r="G1925" i="11"/>
  <c r="F1926" i="11"/>
  <c r="H1926" i="11" s="1"/>
  <c r="G1926" i="11"/>
  <c r="F1927" i="11"/>
  <c r="H1927" i="11" s="1"/>
  <c r="G1927" i="11"/>
  <c r="F1928" i="11"/>
  <c r="H1928" i="11" s="1"/>
  <c r="G1928" i="11"/>
  <c r="F1929" i="11"/>
  <c r="H1929" i="11" s="1"/>
  <c r="G1929" i="11"/>
  <c r="F1930" i="11"/>
  <c r="H1930" i="11" s="1"/>
  <c r="G1930" i="11"/>
  <c r="F1931" i="11"/>
  <c r="H1931" i="11" s="1"/>
  <c r="G1931" i="11"/>
  <c r="F1932" i="11"/>
  <c r="H1932" i="11" s="1"/>
  <c r="G1932" i="11"/>
  <c r="F1933" i="11"/>
  <c r="H1933" i="11" s="1"/>
  <c r="G1933" i="11"/>
  <c r="F1934" i="11"/>
  <c r="H1934" i="11" s="1"/>
  <c r="G1934" i="11"/>
  <c r="F1935" i="11"/>
  <c r="H1935" i="11" s="1"/>
  <c r="G1935" i="11"/>
  <c r="F1936" i="11"/>
  <c r="H1936" i="11" s="1"/>
  <c r="G1936" i="11"/>
  <c r="F1937" i="11"/>
  <c r="H1937" i="11"/>
  <c r="G1937" i="11"/>
  <c r="F1938" i="11"/>
  <c r="H1938" i="11" s="1"/>
  <c r="G1938" i="11"/>
  <c r="F1939" i="11"/>
  <c r="H1939" i="11" s="1"/>
  <c r="G1939" i="11"/>
  <c r="F1940" i="11"/>
  <c r="H1940" i="11" s="1"/>
  <c r="G1940" i="11"/>
  <c r="F1941" i="11"/>
  <c r="H1941" i="11" s="1"/>
  <c r="G1941" i="11"/>
  <c r="F1942" i="11"/>
  <c r="H1942" i="11" s="1"/>
  <c r="G1942" i="11"/>
  <c r="F1943" i="11"/>
  <c r="H1943" i="11" s="1"/>
  <c r="G1943" i="11"/>
  <c r="F1944" i="11"/>
  <c r="H1944" i="11" s="1"/>
  <c r="G1944" i="11"/>
  <c r="F1945" i="11"/>
  <c r="H1945" i="11" s="1"/>
  <c r="G1945" i="11"/>
  <c r="F1946" i="11"/>
  <c r="H1946" i="11" s="1"/>
  <c r="G1946" i="11"/>
  <c r="F1947" i="11"/>
  <c r="H1947" i="11" s="1"/>
  <c r="G1947" i="11"/>
  <c r="F1948" i="11"/>
  <c r="H1948" i="11" s="1"/>
  <c r="G1948" i="11"/>
  <c r="F1949" i="11"/>
  <c r="H1949" i="11" s="1"/>
  <c r="G1949" i="11"/>
  <c r="F1950" i="11"/>
  <c r="H1950" i="11" s="1"/>
  <c r="G1950" i="11"/>
  <c r="F1951" i="11"/>
  <c r="H1951" i="11" s="1"/>
  <c r="G1951" i="11"/>
  <c r="F1952" i="11"/>
  <c r="H1952" i="11" s="1"/>
  <c r="G1952" i="11"/>
  <c r="F1953" i="11"/>
  <c r="H1953" i="11" s="1"/>
  <c r="G1953" i="11"/>
  <c r="F1954" i="11"/>
  <c r="H1954" i="11" s="1"/>
  <c r="G1954" i="11"/>
  <c r="F1955" i="11"/>
  <c r="H1955" i="11" s="1"/>
  <c r="G1955" i="11"/>
  <c r="F1956" i="11"/>
  <c r="H1956" i="11" s="1"/>
  <c r="G1956" i="11"/>
  <c r="F1957" i="11"/>
  <c r="H1957" i="11" s="1"/>
  <c r="G1957" i="11"/>
  <c r="F1958" i="11"/>
  <c r="H1958" i="11" s="1"/>
  <c r="G1958" i="11"/>
  <c r="F1959" i="11"/>
  <c r="H1959" i="11" s="1"/>
  <c r="G1959" i="11"/>
  <c r="F1960" i="11"/>
  <c r="H1960" i="11" s="1"/>
  <c r="G1960" i="11"/>
  <c r="F1961" i="11"/>
  <c r="H1961" i="11" s="1"/>
  <c r="G1961" i="11"/>
  <c r="F1962" i="11"/>
  <c r="H1962" i="11" s="1"/>
  <c r="G1962" i="11"/>
  <c r="F1963" i="11"/>
  <c r="H1963" i="11" s="1"/>
  <c r="G1963" i="11"/>
  <c r="F1964" i="11"/>
  <c r="H1964" i="11" s="1"/>
  <c r="G1964" i="11"/>
  <c r="F1965" i="11"/>
  <c r="H1965" i="11" s="1"/>
  <c r="G1965" i="11"/>
  <c r="F1966" i="11"/>
  <c r="H1966" i="11" s="1"/>
  <c r="G1966" i="11"/>
  <c r="F1967" i="11"/>
  <c r="H1967" i="11" s="1"/>
  <c r="G1967" i="11"/>
  <c r="F1968" i="11"/>
  <c r="H1968" i="11" s="1"/>
  <c r="G1968" i="11"/>
  <c r="F1969" i="11"/>
  <c r="H1969" i="11" s="1"/>
  <c r="G1969" i="11"/>
  <c r="F1970" i="11"/>
  <c r="H1970" i="11" s="1"/>
  <c r="G1970" i="11"/>
  <c r="F1971" i="11"/>
  <c r="H1971" i="11" s="1"/>
  <c r="G1971" i="11"/>
  <c r="F1972" i="11"/>
  <c r="H1972" i="11" s="1"/>
  <c r="G1972" i="11"/>
  <c r="F1973" i="11"/>
  <c r="H1973" i="11" s="1"/>
  <c r="G1973" i="11"/>
  <c r="F1974" i="11"/>
  <c r="G1974" i="11"/>
  <c r="H1974" i="11"/>
  <c r="F1975" i="11"/>
  <c r="H1975" i="11" s="1"/>
  <c r="G1975" i="11"/>
  <c r="F1976" i="11"/>
  <c r="H1976" i="11" s="1"/>
  <c r="G1976" i="11"/>
  <c r="F1977" i="11"/>
  <c r="H1977" i="11" s="1"/>
  <c r="G1977" i="11"/>
  <c r="F1978" i="11"/>
  <c r="H1978" i="11" s="1"/>
  <c r="G1978" i="11"/>
  <c r="F1979" i="11"/>
  <c r="H1979" i="11" s="1"/>
  <c r="G1979" i="11"/>
  <c r="F1980" i="11"/>
  <c r="H1980" i="11" s="1"/>
  <c r="G1980" i="11"/>
  <c r="F1981" i="11"/>
  <c r="H1981" i="11" s="1"/>
  <c r="G1981" i="11"/>
  <c r="F1982" i="11"/>
  <c r="H1982" i="11" s="1"/>
  <c r="G1982" i="11"/>
  <c r="F1983" i="11"/>
  <c r="H1983" i="11" s="1"/>
  <c r="G1983" i="11"/>
  <c r="F1984" i="11"/>
  <c r="H1984" i="11" s="1"/>
  <c r="G1984" i="11"/>
  <c r="F1985" i="11"/>
  <c r="H1985" i="11" s="1"/>
  <c r="G1985" i="11"/>
  <c r="F1986" i="11"/>
  <c r="H1986" i="11" s="1"/>
  <c r="G1986" i="11"/>
  <c r="F1987" i="11"/>
  <c r="H1987" i="11" s="1"/>
  <c r="G1987" i="11"/>
  <c r="F1988" i="11"/>
  <c r="H1988" i="11" s="1"/>
  <c r="G1988" i="11"/>
  <c r="F1989" i="11"/>
  <c r="H1989" i="11" s="1"/>
  <c r="G1989" i="11"/>
  <c r="F1990" i="11"/>
  <c r="H1990" i="11" s="1"/>
  <c r="G1990" i="11"/>
  <c r="F1991" i="11"/>
  <c r="H1991" i="11" s="1"/>
  <c r="G1991" i="11"/>
  <c r="F1992" i="11"/>
  <c r="H1992" i="11" s="1"/>
  <c r="G1992" i="11"/>
  <c r="F1993" i="11"/>
  <c r="H1993" i="11" s="1"/>
  <c r="G1993" i="11"/>
  <c r="F1994" i="11"/>
  <c r="H1994" i="11" s="1"/>
  <c r="G1994" i="11"/>
  <c r="F1995" i="11"/>
  <c r="H1995" i="11" s="1"/>
  <c r="G1995" i="11"/>
  <c r="F1996" i="11"/>
  <c r="H1996" i="11" s="1"/>
  <c r="G1996" i="11"/>
  <c r="F1997" i="11"/>
  <c r="H1997" i="11" s="1"/>
  <c r="G1997" i="11"/>
  <c r="F1998" i="11"/>
  <c r="H1998" i="11" s="1"/>
  <c r="G1998" i="11"/>
  <c r="F1999" i="11"/>
  <c r="H1999" i="11" s="1"/>
  <c r="G1999" i="11"/>
  <c r="F2000" i="11"/>
  <c r="H2000" i="11" s="1"/>
  <c r="G2000" i="11"/>
  <c r="F2001" i="11"/>
  <c r="H2001" i="11" s="1"/>
  <c r="G2001" i="11"/>
  <c r="F2002" i="11"/>
  <c r="H2002" i="11" s="1"/>
  <c r="G2002" i="11"/>
  <c r="F2003" i="11"/>
  <c r="H2003" i="11" s="1"/>
  <c r="G2003" i="11"/>
  <c r="B4" i="11"/>
  <c r="B5" i="11"/>
  <c r="B2" i="11" l="1"/>
  <c r="L2" i="18"/>
  <c r="L2" i="19"/>
  <c r="L2" i="9"/>
  <c r="C25" i="1" s="1"/>
  <c r="L3" i="19"/>
  <c r="L3" i="18"/>
  <c r="B3" i="11"/>
  <c r="P20" i="1"/>
  <c r="G15" i="1"/>
  <c r="G14" i="23"/>
  <c r="B15" i="1"/>
  <c r="B14" i="23"/>
  <c r="C5" i="17"/>
  <c r="B5" i="17" s="1"/>
  <c r="A6" i="17"/>
  <c r="P18" i="1"/>
  <c r="P19" i="1"/>
  <c r="E6" i="11"/>
  <c r="B6" i="11"/>
  <c r="A7" i="11"/>
  <c r="N19" i="1"/>
  <c r="N20" i="1"/>
  <c r="L3" i="11"/>
  <c r="N18" i="1"/>
  <c r="U3" i="11" l="1"/>
  <c r="U5" i="11" s="1"/>
  <c r="X3" i="11"/>
  <c r="X5" i="11" s="1"/>
  <c r="V3" i="11"/>
  <c r="W3" i="11"/>
  <c r="W5" i="11" s="1"/>
  <c r="E24" i="23"/>
  <c r="C24" i="23"/>
  <c r="B24" i="1"/>
  <c r="B23" i="23"/>
  <c r="Q19" i="1"/>
  <c r="Q20" i="1"/>
  <c r="Q18" i="1"/>
  <c r="A7" i="17"/>
  <c r="C6" i="17"/>
  <c r="B6" i="17" s="1"/>
  <c r="L7" i="11"/>
  <c r="M7" i="11" s="1"/>
  <c r="L17" i="11"/>
  <c r="E7" i="11"/>
  <c r="O18" i="1"/>
  <c r="B7" i="11"/>
  <c r="A8" i="11"/>
  <c r="L8" i="11"/>
  <c r="M8" i="11" s="1"/>
  <c r="L6" i="11"/>
  <c r="M6" i="11" s="1"/>
  <c r="L5" i="11"/>
  <c r="M5" i="11" s="1"/>
  <c r="O19" i="1"/>
  <c r="O20" i="1"/>
  <c r="V5" i="11" l="1"/>
  <c r="N21" i="1"/>
  <c r="G24" i="1"/>
  <c r="G23" i="23"/>
  <c r="I24" i="23"/>
  <c r="K24" i="23"/>
  <c r="A8" i="17"/>
  <c r="C7" i="17"/>
  <c r="B7" i="17" s="1"/>
  <c r="I25" i="1"/>
  <c r="E8" i="11"/>
  <c r="A9" i="11"/>
  <c r="B8" i="11"/>
  <c r="K25" i="1"/>
  <c r="M18" i="1" l="1"/>
  <c r="M17" i="23"/>
  <c r="V17" i="23" s="1"/>
  <c r="AE17" i="23" s="1"/>
  <c r="A9" i="17"/>
  <c r="C8" i="17"/>
  <c r="B8" i="17" s="1"/>
  <c r="E9" i="11"/>
  <c r="A10" i="11"/>
  <c r="B9" i="11"/>
  <c r="M19" i="1" l="1"/>
  <c r="M18" i="23"/>
  <c r="V18" i="23" s="1"/>
  <c r="AE18" i="23" s="1"/>
  <c r="A10" i="17"/>
  <c r="C9" i="17"/>
  <c r="B9" i="17" s="1"/>
  <c r="E10" i="11"/>
  <c r="A11" i="11"/>
  <c r="B10" i="11"/>
  <c r="M20" i="1" l="1"/>
  <c r="M19" i="23"/>
  <c r="V19" i="23" s="1"/>
  <c r="AE19" i="23" s="1"/>
  <c r="A11" i="17"/>
  <c r="C10" i="17"/>
  <c r="B10" i="17" s="1"/>
  <c r="E11" i="11"/>
  <c r="A12" i="11"/>
  <c r="B11" i="11"/>
  <c r="B25" i="1" l="1"/>
  <c r="B24" i="23"/>
  <c r="A12" i="17"/>
  <c r="C11" i="17"/>
  <c r="B11" i="17" s="1"/>
  <c r="E12" i="11"/>
  <c r="A13" i="11"/>
  <c r="B12" i="11"/>
  <c r="D25" i="1" l="1"/>
  <c r="D24" i="23"/>
  <c r="A13" i="17"/>
  <c r="C12" i="17"/>
  <c r="B12" i="17" s="1"/>
  <c r="E13" i="11"/>
  <c r="A14" i="11"/>
  <c r="B13" i="11"/>
  <c r="G25" i="1" l="1"/>
  <c r="G24" i="23"/>
  <c r="A14" i="17"/>
  <c r="C13" i="17"/>
  <c r="B13" i="17" s="1"/>
  <c r="E14" i="11"/>
  <c r="B14" i="11"/>
  <c r="A15" i="11"/>
  <c r="J25" i="1" l="1"/>
  <c r="J24" i="23"/>
  <c r="A15" i="17"/>
  <c r="C14" i="17"/>
  <c r="B14" i="17" s="1"/>
  <c r="E15" i="11"/>
  <c r="B15" i="11"/>
  <c r="A16" i="11"/>
  <c r="M8" i="1" l="1"/>
  <c r="B10" i="1" s="1"/>
  <c r="M7" i="23"/>
  <c r="A16" i="17"/>
  <c r="C15" i="17"/>
  <c r="B15" i="17" s="1"/>
  <c r="E16" i="11"/>
  <c r="B16" i="11"/>
  <c r="A17" i="11"/>
  <c r="M9" i="1" l="1"/>
  <c r="G10" i="1" s="1"/>
  <c r="M8" i="23"/>
  <c r="B9" i="23"/>
  <c r="V7" i="23"/>
  <c r="AE7" i="23" s="1"/>
  <c r="A17" i="17"/>
  <c r="C16" i="17"/>
  <c r="B16" i="17" s="1"/>
  <c r="E17" i="11"/>
  <c r="A18" i="11"/>
  <c r="B17" i="11"/>
  <c r="G9" i="23" l="1"/>
  <c r="V8" i="23"/>
  <c r="AE8" i="23" s="1"/>
  <c r="M10" i="1"/>
  <c r="B11" i="1" s="1"/>
  <c r="M9" i="23"/>
  <c r="A18" i="17"/>
  <c r="C17" i="17"/>
  <c r="B17" i="17" s="1"/>
  <c r="E18" i="11"/>
  <c r="B18" i="11"/>
  <c r="A19" i="11"/>
  <c r="B10" i="23" l="1"/>
  <c r="V9" i="23"/>
  <c r="AE9" i="23" s="1"/>
  <c r="M11" i="1"/>
  <c r="G11" i="1" s="1"/>
  <c r="M10" i="23"/>
  <c r="A19" i="17"/>
  <c r="C18" i="17"/>
  <c r="B18" i="17" s="1"/>
  <c r="E19" i="11"/>
  <c r="B19" i="11"/>
  <c r="A20" i="11"/>
  <c r="G10" i="23" l="1"/>
  <c r="V10" i="23"/>
  <c r="AE10" i="23" s="1"/>
  <c r="M12" i="1"/>
  <c r="B12" i="1" s="1"/>
  <c r="M11" i="23"/>
  <c r="A20" i="17"/>
  <c r="C19" i="17"/>
  <c r="B19" i="17" s="1"/>
  <c r="E20" i="11"/>
  <c r="A21" i="11"/>
  <c r="B20" i="11"/>
  <c r="B11" i="23" l="1"/>
  <c r="V11" i="23"/>
  <c r="AE11" i="23" s="1"/>
  <c r="M13" i="1"/>
  <c r="G12" i="1" s="1"/>
  <c r="M12" i="23"/>
  <c r="A21" i="17"/>
  <c r="C20" i="17"/>
  <c r="B20" i="17" s="1"/>
  <c r="E21" i="11"/>
  <c r="A22" i="11"/>
  <c r="B21" i="11"/>
  <c r="M14" i="1" l="1"/>
  <c r="B13" i="1" s="1"/>
  <c r="M13" i="23"/>
  <c r="G11" i="23"/>
  <c r="V12" i="23"/>
  <c r="AE12" i="23" s="1"/>
  <c r="A22" i="17"/>
  <c r="C21" i="17"/>
  <c r="B21" i="17" s="1"/>
  <c r="E22" i="11"/>
  <c r="B22" i="11"/>
  <c r="A23" i="11"/>
  <c r="M15" i="1" l="1"/>
  <c r="G13" i="1" s="1"/>
  <c r="M14" i="23"/>
  <c r="V13" i="23"/>
  <c r="AE13" i="23" s="1"/>
  <c r="B12" i="23"/>
  <c r="A23" i="17"/>
  <c r="C22" i="17"/>
  <c r="B22" i="17" s="1"/>
  <c r="E23" i="11"/>
  <c r="B23" i="11"/>
  <c r="A24" i="11"/>
  <c r="M16" i="1" l="1"/>
  <c r="B14" i="1" s="1"/>
  <c r="M15" i="23"/>
  <c r="G12" i="23"/>
  <c r="V14" i="23"/>
  <c r="AE14" i="23" s="1"/>
  <c r="A24" i="17"/>
  <c r="C23" i="17"/>
  <c r="B23" i="17" s="1"/>
  <c r="E24" i="11"/>
  <c r="B24" i="11"/>
  <c r="A25" i="11"/>
  <c r="M17" i="1" l="1"/>
  <c r="G14" i="1" s="1"/>
  <c r="M16" i="23"/>
  <c r="V15" i="23"/>
  <c r="AE15" i="23" s="1"/>
  <c r="B13" i="23"/>
  <c r="A25" i="17"/>
  <c r="C24" i="17"/>
  <c r="B24" i="17" s="1"/>
  <c r="E25" i="11"/>
  <c r="A26" i="11"/>
  <c r="B25" i="11"/>
  <c r="B5" i="1" l="1"/>
  <c r="B4" i="23"/>
  <c r="G13" i="23"/>
  <c r="V16" i="23"/>
  <c r="AE16" i="23" s="1"/>
  <c r="A26" i="17"/>
  <c r="C25" i="17"/>
  <c r="B25" i="17" s="1"/>
  <c r="E26" i="11"/>
  <c r="B26" i="11"/>
  <c r="A27" i="11"/>
  <c r="B6" i="1" l="1"/>
  <c r="B5" i="23"/>
  <c r="A27" i="17"/>
  <c r="C26" i="17"/>
  <c r="B26" i="17" s="1"/>
  <c r="E27" i="11"/>
  <c r="B27" i="11"/>
  <c r="A28" i="11"/>
  <c r="B7" i="1" l="1"/>
  <c r="B6" i="23"/>
  <c r="A28" i="17"/>
  <c r="C27" i="17"/>
  <c r="B27" i="17" s="1"/>
  <c r="E28" i="11"/>
  <c r="A29" i="11"/>
  <c r="B28" i="11"/>
  <c r="G5" i="1" l="1"/>
  <c r="G4" i="23"/>
  <c r="A29" i="17"/>
  <c r="C28" i="17"/>
  <c r="B28" i="17" s="1"/>
  <c r="E29" i="11"/>
  <c r="A30" i="11"/>
  <c r="B29" i="11"/>
  <c r="G6" i="1" l="1"/>
  <c r="G5" i="23"/>
  <c r="A30" i="17"/>
  <c r="C29" i="17"/>
  <c r="B29" i="17" s="1"/>
  <c r="E30" i="11"/>
  <c r="B30" i="11"/>
  <c r="A31" i="11"/>
  <c r="G7" i="1" l="1"/>
  <c r="G6" i="23"/>
  <c r="C30" i="17"/>
  <c r="B30" i="17" s="1"/>
  <c r="A31" i="17"/>
  <c r="E31" i="11"/>
  <c r="B31" i="11"/>
  <c r="A32" i="11"/>
  <c r="B8" i="1" l="1"/>
  <c r="B7" i="23"/>
  <c r="C31" i="17"/>
  <c r="B31" i="17" s="1"/>
  <c r="A32" i="17"/>
  <c r="E32" i="11"/>
  <c r="B32" i="11"/>
  <c r="A33" i="11"/>
  <c r="B27" i="1" l="1"/>
  <c r="B26" i="23"/>
  <c r="C32" i="17"/>
  <c r="B32" i="17" s="1"/>
  <c r="A33" i="17"/>
  <c r="E33" i="11"/>
  <c r="A34" i="11"/>
  <c r="B33" i="11"/>
  <c r="B28" i="1" l="1"/>
  <c r="B27" i="23"/>
  <c r="C33" i="17"/>
  <c r="B33" i="17" s="1"/>
  <c r="A34" i="17"/>
  <c r="E34" i="11"/>
  <c r="A35" i="11"/>
  <c r="B34" i="11"/>
  <c r="G28" i="1" l="1"/>
  <c r="G27" i="23"/>
  <c r="C34" i="17"/>
  <c r="B34" i="17" s="1"/>
  <c r="A35" i="17"/>
  <c r="E35" i="11"/>
  <c r="B35" i="11"/>
  <c r="A36" i="11"/>
  <c r="B29" i="1" l="1"/>
  <c r="B28" i="23"/>
  <c r="C35" i="17"/>
  <c r="B35" i="17" s="1"/>
  <c r="A36" i="17"/>
  <c r="E36" i="11"/>
  <c r="A37" i="11"/>
  <c r="B36" i="11"/>
  <c r="D30" i="1" l="1"/>
  <c r="D29" i="23"/>
  <c r="C36" i="17"/>
  <c r="B36" i="17" s="1"/>
  <c r="A37" i="17"/>
  <c r="E37" i="11"/>
  <c r="A38" i="11"/>
  <c r="B37" i="11"/>
  <c r="D31" i="1" l="1"/>
  <c r="D30" i="23"/>
  <c r="A38" i="17"/>
  <c r="C37" i="17"/>
  <c r="B37" i="17" s="1"/>
  <c r="E38" i="11"/>
  <c r="B38" i="11"/>
  <c r="A39" i="11"/>
  <c r="C38" i="17" l="1"/>
  <c r="B38" i="17" s="1"/>
  <c r="B8" i="23" s="1"/>
  <c r="G8" i="23" s="1"/>
  <c r="A39" i="17"/>
  <c r="B32" i="1"/>
  <c r="B31" i="23"/>
  <c r="E39" i="11"/>
  <c r="B39" i="11"/>
  <c r="A40" i="11"/>
  <c r="B9" i="1" l="1"/>
  <c r="G9" i="1" s="1"/>
  <c r="A40" i="17"/>
  <c r="C39" i="17"/>
  <c r="B39" i="17" s="1"/>
  <c r="E40" i="11"/>
  <c r="B40" i="11"/>
  <c r="A41" i="11"/>
  <c r="C8" i="23" l="1"/>
  <c r="H8" i="23" s="1"/>
  <c r="C9" i="1"/>
  <c r="H9" i="1" s="1"/>
  <c r="A41" i="17"/>
  <c r="C40" i="17"/>
  <c r="B40" i="17" s="1"/>
  <c r="E41" i="11"/>
  <c r="A42" i="11"/>
  <c r="B41" i="11"/>
  <c r="D9" i="1" l="1"/>
  <c r="I9" i="1" s="1"/>
  <c r="D8" i="23"/>
  <c r="I8" i="23" s="1"/>
  <c r="A42" i="17"/>
  <c r="C41" i="17"/>
  <c r="B41" i="17" s="1"/>
  <c r="E42" i="11"/>
  <c r="A43" i="11"/>
  <c r="B42" i="11"/>
  <c r="E9" i="1" l="1"/>
  <c r="J9" i="1" s="1"/>
  <c r="E8" i="23"/>
  <c r="J8" i="23" s="1"/>
  <c r="A43" i="17"/>
  <c r="C42" i="17"/>
  <c r="B42" i="17" s="1"/>
  <c r="E43" i="11"/>
  <c r="B43" i="11"/>
  <c r="A44" i="11"/>
  <c r="F9" i="1" l="1"/>
  <c r="K9" i="1" s="1"/>
  <c r="F8" i="23"/>
  <c r="K8" i="23" s="1"/>
  <c r="A44" i="17"/>
  <c r="C43" i="17"/>
  <c r="B43" i="17" s="1"/>
  <c r="E44" i="11"/>
  <c r="A45" i="11"/>
  <c r="B44" i="11"/>
  <c r="N7" i="1" l="1"/>
  <c r="N6" i="23"/>
  <c r="W6" i="23" s="1"/>
  <c r="AF6" i="23" s="1"/>
  <c r="A45" i="17"/>
  <c r="C44" i="17"/>
  <c r="B44" i="17" s="1"/>
  <c r="E45" i="11"/>
  <c r="A46" i="11"/>
  <c r="B45" i="11"/>
  <c r="O6" i="23" l="1"/>
  <c r="X6" i="23" s="1"/>
  <c r="AG6" i="23" s="1"/>
  <c r="O7" i="1"/>
  <c r="A46" i="17"/>
  <c r="C45" i="17"/>
  <c r="B45" i="17" s="1"/>
  <c r="E46" i="11"/>
  <c r="B46" i="11"/>
  <c r="A47" i="11"/>
  <c r="P6" i="23" l="1"/>
  <c r="Y6" i="23" s="1"/>
  <c r="AH6" i="23" s="1"/>
  <c r="P7" i="1"/>
  <c r="A47" i="17"/>
  <c r="C46" i="17"/>
  <c r="B46" i="17" s="1"/>
  <c r="E47" i="11"/>
  <c r="B47" i="11"/>
  <c r="A48" i="11"/>
  <c r="A48" i="17" l="1"/>
  <c r="C47" i="17"/>
  <c r="B47" i="17" s="1"/>
  <c r="Q7" i="1"/>
  <c r="Q6" i="23"/>
  <c r="Z6" i="23" s="1"/>
  <c r="AI6" i="23" s="1"/>
  <c r="E48" i="11"/>
  <c r="B48" i="11"/>
  <c r="A49" i="11"/>
  <c r="R7" i="1" l="1"/>
  <c r="R6" i="23"/>
  <c r="AA6" i="23" s="1"/>
  <c r="AJ6" i="23" s="1"/>
  <c r="A49" i="17"/>
  <c r="C48" i="17"/>
  <c r="B48" i="17" s="1"/>
  <c r="E49" i="11"/>
  <c r="A50" i="11"/>
  <c r="B49" i="11"/>
  <c r="C49" i="17" l="1"/>
  <c r="B49" i="17" s="1"/>
  <c r="A50" i="17"/>
  <c r="C50" i="17" s="1"/>
  <c r="B50" i="17" s="1"/>
  <c r="M21" i="1" s="1"/>
  <c r="S7" i="1"/>
  <c r="S6" i="23"/>
  <c r="AB6" i="23" s="1"/>
  <c r="AK6" i="23" s="1"/>
  <c r="E50" i="11"/>
  <c r="A51" i="11"/>
  <c r="B50" i="11"/>
  <c r="T7" i="1" l="1"/>
  <c r="T6" i="23"/>
  <c r="AC6" i="23" s="1"/>
  <c r="AL6" i="23" s="1"/>
  <c r="E51" i="11"/>
  <c r="B51" i="11"/>
  <c r="A52" i="11"/>
  <c r="E52" i="11" l="1"/>
  <c r="A53" i="11"/>
  <c r="B52" i="11"/>
  <c r="E53" i="11" l="1"/>
  <c r="A54" i="11"/>
  <c r="B53" i="11"/>
  <c r="E54" i="11" l="1"/>
  <c r="B54" i="11"/>
  <c r="A55" i="11"/>
  <c r="E55" i="11" l="1"/>
  <c r="B55" i="11"/>
  <c r="A56" i="11"/>
  <c r="E56" i="11" l="1"/>
  <c r="B56" i="11"/>
  <c r="A57" i="11"/>
  <c r="E57" i="11" l="1"/>
  <c r="A58" i="11"/>
  <c r="B57" i="11"/>
  <c r="E58" i="11" l="1"/>
  <c r="B58" i="11"/>
  <c r="A59" i="11"/>
  <c r="E59" i="11" l="1"/>
  <c r="B59" i="11"/>
  <c r="A60" i="11"/>
  <c r="E60" i="11" l="1"/>
  <c r="A61" i="11"/>
  <c r="B60" i="11"/>
  <c r="E61" i="11" l="1"/>
  <c r="A62" i="11"/>
  <c r="B61" i="11"/>
  <c r="E62" i="11" l="1"/>
  <c r="B62" i="11"/>
  <c r="A63" i="11"/>
  <c r="E63" i="11" l="1"/>
  <c r="B63" i="11"/>
  <c r="A64" i="11"/>
  <c r="E64" i="11" l="1"/>
  <c r="A65" i="11"/>
  <c r="B64" i="11"/>
  <c r="E65" i="11" l="1"/>
  <c r="A66" i="11"/>
  <c r="B65" i="11"/>
  <c r="E66" i="11" l="1"/>
  <c r="A67" i="11"/>
  <c r="B66" i="11"/>
  <c r="E67" i="11" l="1"/>
  <c r="B67" i="11"/>
  <c r="A68" i="11"/>
  <c r="E68" i="11" l="1"/>
  <c r="B68" i="11"/>
  <c r="A69" i="11"/>
  <c r="E69" i="11" l="1"/>
  <c r="A70" i="11"/>
  <c r="B69" i="11"/>
  <c r="E70" i="11" l="1"/>
  <c r="A71" i="11"/>
  <c r="B70" i="11"/>
  <c r="E71" i="11" l="1"/>
  <c r="B71" i="11"/>
  <c r="A72" i="11"/>
  <c r="E72" i="11" l="1"/>
  <c r="B72" i="11"/>
  <c r="A73" i="11"/>
  <c r="E73" i="11" l="1"/>
  <c r="B73" i="11"/>
  <c r="A74" i="11"/>
  <c r="E74" i="11" l="1"/>
  <c r="A75" i="11"/>
  <c r="B74" i="11"/>
  <c r="E75" i="11" l="1"/>
  <c r="A76" i="11"/>
  <c r="B75" i="11"/>
  <c r="E76" i="11" l="1"/>
  <c r="B76" i="11"/>
  <c r="A77" i="11"/>
  <c r="E77" i="11" l="1"/>
  <c r="B77" i="11"/>
  <c r="A78" i="11"/>
  <c r="E78" i="11" l="1"/>
  <c r="A79" i="11"/>
  <c r="B78" i="11"/>
  <c r="E79" i="11" l="1"/>
  <c r="B79" i="11"/>
  <c r="A80" i="11"/>
  <c r="E80" i="11" l="1"/>
  <c r="A81" i="11"/>
  <c r="B80" i="11"/>
  <c r="E81" i="11" l="1"/>
  <c r="A82" i="11"/>
  <c r="B81" i="11"/>
  <c r="E82" i="11" l="1"/>
  <c r="A83" i="11"/>
  <c r="B82" i="11"/>
  <c r="E83" i="11" l="1"/>
  <c r="A84" i="11"/>
  <c r="B83" i="11"/>
  <c r="E84" i="11" l="1"/>
  <c r="A85" i="11"/>
  <c r="B84" i="11"/>
  <c r="E85" i="11" l="1"/>
  <c r="A86" i="11"/>
  <c r="B85" i="11"/>
  <c r="E86" i="11" l="1"/>
  <c r="B86" i="11"/>
  <c r="A87" i="11"/>
  <c r="E87" i="11" l="1"/>
  <c r="A88" i="11"/>
  <c r="B87" i="11"/>
  <c r="E88" i="11" l="1"/>
  <c r="A89" i="11"/>
  <c r="B88" i="11"/>
  <c r="E89" i="11" l="1"/>
  <c r="B89" i="11"/>
  <c r="A90" i="11"/>
  <c r="E90" i="11" l="1"/>
  <c r="B90" i="11"/>
  <c r="A91" i="11"/>
  <c r="E91" i="11" l="1"/>
  <c r="A92" i="11"/>
  <c r="B91" i="11"/>
  <c r="E92" i="11" l="1"/>
  <c r="A93" i="11"/>
  <c r="B92" i="11"/>
  <c r="E93" i="11" l="1"/>
  <c r="B93" i="11"/>
  <c r="A94" i="11"/>
  <c r="E94" i="11" l="1"/>
  <c r="B94" i="11"/>
  <c r="A95" i="11"/>
  <c r="E95" i="11" l="1"/>
  <c r="A96" i="11"/>
  <c r="B95" i="11"/>
  <c r="E96" i="11" l="1"/>
  <c r="A97" i="11"/>
  <c r="B96" i="11"/>
  <c r="E97" i="11" l="1"/>
  <c r="A98" i="11"/>
  <c r="B97" i="11"/>
  <c r="E98" i="11" l="1"/>
  <c r="A99" i="11"/>
  <c r="B98" i="11"/>
  <c r="E99" i="11" l="1"/>
  <c r="A100" i="11"/>
  <c r="B99" i="11"/>
  <c r="E100" i="11" l="1"/>
  <c r="A101" i="11"/>
  <c r="B100" i="11"/>
  <c r="E101" i="11" l="1"/>
  <c r="B101" i="11"/>
  <c r="A102" i="11"/>
  <c r="E102" i="11" l="1"/>
  <c r="B102" i="11"/>
  <c r="A103" i="11"/>
  <c r="E103" i="11" l="1"/>
  <c r="A104" i="11"/>
  <c r="B103" i="11"/>
  <c r="E104" i="11" l="1"/>
  <c r="A105" i="11"/>
  <c r="B104" i="11"/>
  <c r="E105" i="11" l="1"/>
  <c r="A106" i="11"/>
  <c r="B105" i="11"/>
  <c r="E106" i="11" l="1"/>
  <c r="B106" i="11"/>
  <c r="A107" i="11"/>
  <c r="E107" i="11" l="1"/>
  <c r="A108" i="11"/>
  <c r="B107" i="11"/>
  <c r="E108" i="11" l="1"/>
  <c r="A109" i="11"/>
  <c r="B108" i="11"/>
  <c r="E109" i="11" l="1"/>
  <c r="A110" i="11"/>
  <c r="B109" i="11"/>
  <c r="E110" i="11" l="1"/>
  <c r="B110" i="11"/>
  <c r="A111" i="11"/>
  <c r="E111" i="11" l="1"/>
  <c r="B111" i="11"/>
  <c r="A112" i="11"/>
  <c r="E112" i="11" l="1"/>
  <c r="A113" i="11"/>
  <c r="B112" i="11"/>
  <c r="E113" i="11" l="1"/>
  <c r="B113" i="11"/>
  <c r="A114" i="11"/>
  <c r="E114" i="11" l="1"/>
  <c r="B114" i="11"/>
  <c r="A115" i="11"/>
  <c r="E115" i="11" l="1"/>
  <c r="A116" i="11"/>
  <c r="B115" i="11"/>
  <c r="E116" i="11" l="1"/>
  <c r="A117" i="11"/>
  <c r="B116" i="11"/>
  <c r="E117" i="11" l="1"/>
  <c r="A118" i="11"/>
  <c r="B117" i="11"/>
  <c r="E118" i="11" l="1"/>
  <c r="B118" i="11"/>
  <c r="A119" i="11"/>
  <c r="E119" i="11" l="1"/>
  <c r="B119" i="11"/>
  <c r="A120" i="11"/>
  <c r="E120" i="11" l="1"/>
  <c r="A121" i="11"/>
  <c r="B120" i="11"/>
  <c r="E121" i="11" l="1"/>
  <c r="A122" i="11"/>
  <c r="B121" i="11"/>
  <c r="E122" i="11" l="1"/>
  <c r="B122" i="11"/>
  <c r="A123" i="11"/>
  <c r="E123" i="11" l="1"/>
  <c r="B123" i="11"/>
  <c r="A124" i="11"/>
  <c r="E124" i="11" l="1"/>
  <c r="A125" i="11"/>
  <c r="B124" i="11"/>
  <c r="E125" i="11" l="1"/>
  <c r="A126" i="11"/>
  <c r="B125" i="11"/>
  <c r="E126" i="11" l="1"/>
  <c r="B126" i="11"/>
  <c r="A127" i="11"/>
  <c r="E127" i="11" l="1"/>
  <c r="B127" i="11"/>
  <c r="A128" i="11"/>
  <c r="E128" i="11" l="1"/>
  <c r="A129" i="11"/>
  <c r="B128" i="11"/>
  <c r="E129" i="11" l="1"/>
  <c r="A130" i="11"/>
  <c r="B129" i="11"/>
  <c r="E130" i="11" l="1"/>
  <c r="B130" i="11"/>
  <c r="A131" i="11"/>
  <c r="E131" i="11" l="1"/>
  <c r="A132" i="11"/>
  <c r="B131" i="11"/>
  <c r="E132" i="11" l="1"/>
  <c r="A133" i="11"/>
  <c r="B132" i="11"/>
  <c r="E133" i="11" l="1"/>
  <c r="A134" i="11"/>
  <c r="B133" i="11"/>
  <c r="E134" i="11" l="1"/>
  <c r="B134" i="11"/>
  <c r="A135" i="11"/>
  <c r="E135" i="11" l="1"/>
  <c r="B135" i="11"/>
  <c r="A136" i="11"/>
  <c r="E136" i="11" l="1"/>
  <c r="A137" i="11"/>
  <c r="B136" i="11"/>
  <c r="E137" i="11" l="1"/>
  <c r="A138" i="11"/>
  <c r="B137" i="11"/>
  <c r="E138" i="11" l="1"/>
  <c r="A139" i="11"/>
  <c r="B138" i="11"/>
  <c r="E139" i="11" l="1"/>
  <c r="A140" i="11"/>
  <c r="B139" i="11"/>
  <c r="E140" i="11" l="1"/>
  <c r="A141" i="11"/>
  <c r="B140" i="11"/>
  <c r="E141" i="11" l="1"/>
  <c r="A142" i="11"/>
  <c r="B141" i="11"/>
  <c r="E142" i="11" l="1"/>
  <c r="A143" i="11"/>
  <c r="B142" i="11"/>
  <c r="E143" i="11" l="1"/>
  <c r="B143" i="11"/>
  <c r="A144" i="11"/>
  <c r="E144" i="11" l="1"/>
  <c r="B144" i="11"/>
  <c r="A145" i="11"/>
  <c r="E145" i="11" l="1"/>
  <c r="B145" i="11"/>
  <c r="A146" i="11"/>
  <c r="E146" i="11" l="1"/>
  <c r="A147" i="11"/>
  <c r="B146" i="11"/>
  <c r="E147" i="11" l="1"/>
  <c r="A148" i="11"/>
  <c r="B147" i="11"/>
  <c r="E148" i="11" l="1"/>
  <c r="B148" i="11"/>
  <c r="A149" i="11"/>
  <c r="E149" i="11" l="1"/>
  <c r="A150" i="11"/>
  <c r="B149" i="11"/>
  <c r="E150" i="11" l="1"/>
  <c r="A151" i="11"/>
  <c r="B150" i="11"/>
  <c r="E151" i="11" l="1"/>
  <c r="A152" i="11"/>
  <c r="B151" i="11"/>
  <c r="E152" i="11" l="1"/>
  <c r="B152" i="11"/>
  <c r="A153" i="11"/>
  <c r="E153" i="11" l="1"/>
  <c r="B153" i="11"/>
  <c r="A154" i="11"/>
  <c r="E154" i="11" l="1"/>
  <c r="A155" i="11"/>
  <c r="B154" i="11"/>
  <c r="E155" i="11" l="1"/>
  <c r="B155" i="11"/>
  <c r="A156" i="11"/>
  <c r="E156" i="11" l="1"/>
  <c r="B156" i="11"/>
  <c r="A157" i="11"/>
  <c r="E157" i="11" l="1"/>
  <c r="A158" i="11"/>
  <c r="B157" i="11"/>
  <c r="E158" i="11" l="1"/>
  <c r="A159" i="11"/>
  <c r="B158" i="11"/>
  <c r="E159" i="11" l="1"/>
  <c r="A160" i="11"/>
  <c r="B159" i="11"/>
  <c r="E160" i="11" l="1"/>
  <c r="B160" i="11"/>
  <c r="A161" i="11"/>
  <c r="E161" i="11" l="1"/>
  <c r="B161" i="11"/>
  <c r="A162" i="11"/>
  <c r="E162" i="11" l="1"/>
  <c r="B162" i="11"/>
  <c r="A163" i="11"/>
  <c r="E163" i="11" l="1"/>
  <c r="A164" i="11"/>
  <c r="B163" i="11"/>
  <c r="E164" i="11" l="1"/>
  <c r="B164" i="11"/>
  <c r="A165" i="11"/>
  <c r="E165" i="11" l="1"/>
  <c r="A166" i="11"/>
  <c r="B165" i="11"/>
  <c r="E166" i="11" l="1"/>
  <c r="A167" i="11"/>
  <c r="B166" i="11"/>
  <c r="E167" i="11" l="1"/>
  <c r="A168" i="11"/>
  <c r="B167" i="11"/>
  <c r="E168" i="11" l="1"/>
  <c r="B168" i="11"/>
  <c r="A169" i="11"/>
  <c r="E169" i="11" l="1"/>
  <c r="A170" i="11"/>
  <c r="B169" i="11"/>
  <c r="E170" i="11" l="1"/>
  <c r="A171" i="11"/>
  <c r="B170" i="11"/>
  <c r="E171" i="11" l="1"/>
  <c r="B171" i="11"/>
  <c r="A172" i="11"/>
  <c r="E172" i="11" l="1"/>
  <c r="B172" i="11"/>
  <c r="A173" i="11"/>
  <c r="E173" i="11" l="1"/>
  <c r="A174" i="11"/>
  <c r="B173" i="11"/>
  <c r="E174" i="11" l="1"/>
  <c r="A175" i="11"/>
  <c r="B174" i="11"/>
  <c r="E175" i="11" l="1"/>
  <c r="B175" i="11"/>
  <c r="A176" i="11"/>
  <c r="E176" i="11" l="1"/>
  <c r="B176" i="11"/>
  <c r="A177" i="11"/>
  <c r="E177" i="11" l="1"/>
  <c r="A178" i="11"/>
  <c r="B177" i="11"/>
  <c r="E178" i="11" l="1"/>
  <c r="A179" i="11"/>
  <c r="B178" i="11"/>
  <c r="E179" i="11" l="1"/>
  <c r="B179" i="11"/>
  <c r="A180" i="11"/>
  <c r="E180" i="11" l="1"/>
  <c r="B180" i="11"/>
  <c r="A181" i="11"/>
  <c r="E181" i="11" l="1"/>
  <c r="A182" i="11"/>
  <c r="B181" i="11"/>
  <c r="E182" i="11" l="1"/>
  <c r="A183" i="11"/>
  <c r="B182" i="11"/>
  <c r="E183" i="11" l="1"/>
  <c r="B183" i="11"/>
  <c r="A184" i="11"/>
  <c r="E184" i="11" l="1"/>
  <c r="B184" i="11"/>
  <c r="A185" i="11"/>
  <c r="E185" i="11" l="1"/>
  <c r="B185" i="11"/>
  <c r="A186" i="11"/>
  <c r="E186" i="11" l="1"/>
  <c r="A187" i="11"/>
  <c r="B186" i="11"/>
  <c r="E187" i="11" l="1"/>
  <c r="B187" i="11"/>
  <c r="A188" i="11"/>
  <c r="E188" i="11" l="1"/>
  <c r="A189" i="11"/>
  <c r="B188" i="11"/>
  <c r="E189" i="11" l="1"/>
  <c r="B189" i="11"/>
  <c r="A190" i="11"/>
  <c r="E190" i="11" l="1"/>
  <c r="A191" i="11"/>
  <c r="B190" i="11"/>
  <c r="E191" i="11" l="1"/>
  <c r="A192" i="11"/>
  <c r="B191" i="11"/>
  <c r="E192" i="11" l="1"/>
  <c r="B192" i="11"/>
  <c r="A193" i="11"/>
  <c r="E193" i="11" l="1"/>
  <c r="B193" i="11"/>
  <c r="A194" i="11"/>
  <c r="E194" i="11" l="1"/>
  <c r="B194" i="11"/>
  <c r="A195" i="11"/>
  <c r="E195" i="11" l="1"/>
  <c r="B195" i="11"/>
  <c r="A196" i="11"/>
  <c r="E196" i="11" l="1"/>
  <c r="B196" i="11"/>
  <c r="A197" i="11"/>
  <c r="E197" i="11" l="1"/>
  <c r="A198" i="11"/>
  <c r="B197" i="11"/>
  <c r="E198" i="11" l="1"/>
  <c r="A199" i="11"/>
  <c r="B198" i="11"/>
  <c r="E199" i="11" l="1"/>
  <c r="A200" i="11"/>
  <c r="B199" i="11"/>
  <c r="E200" i="11" l="1"/>
  <c r="B200" i="11"/>
  <c r="A201" i="11"/>
  <c r="E201" i="11" l="1"/>
  <c r="B201" i="11"/>
  <c r="A202" i="11"/>
  <c r="E202" i="11" l="1"/>
  <c r="A203" i="11"/>
  <c r="B202" i="11"/>
  <c r="E203" i="11" l="1"/>
  <c r="B203" i="11"/>
  <c r="A204" i="11"/>
  <c r="E204" i="11" l="1"/>
  <c r="A205" i="11"/>
  <c r="B204" i="11"/>
  <c r="E205" i="11" l="1"/>
  <c r="A206" i="11"/>
  <c r="B205" i="11"/>
  <c r="E206" i="11" l="1"/>
  <c r="A207" i="11"/>
  <c r="B206" i="11"/>
  <c r="E207" i="11" l="1"/>
  <c r="B207" i="11"/>
  <c r="A208" i="11"/>
  <c r="E208" i="11" l="1"/>
  <c r="A209" i="11"/>
  <c r="B208" i="11"/>
  <c r="E209" i="11" l="1"/>
  <c r="B209" i="11"/>
  <c r="A210" i="11"/>
  <c r="E210" i="11" l="1"/>
  <c r="B210" i="11"/>
  <c r="A211" i="11"/>
  <c r="E211" i="11" l="1"/>
  <c r="A212" i="11"/>
  <c r="B211" i="11"/>
  <c r="E212" i="11" l="1"/>
  <c r="A213" i="11"/>
  <c r="B212" i="11"/>
  <c r="E213" i="11" l="1"/>
  <c r="B213" i="11"/>
  <c r="A214" i="11"/>
  <c r="E214" i="11" l="1"/>
  <c r="B214" i="11"/>
  <c r="A215" i="11"/>
  <c r="E215" i="11" l="1"/>
  <c r="B215" i="11"/>
  <c r="A216" i="11"/>
  <c r="E216" i="11" l="1"/>
  <c r="B216" i="11"/>
  <c r="A217" i="11"/>
  <c r="E217" i="11" l="1"/>
  <c r="B217" i="11"/>
  <c r="A218" i="11"/>
  <c r="E218" i="11" l="1"/>
  <c r="B218" i="11"/>
  <c r="A219" i="11"/>
  <c r="E219" i="11" l="1"/>
  <c r="A220" i="11"/>
  <c r="B219" i="11"/>
  <c r="E220" i="11" l="1"/>
  <c r="A221" i="11"/>
  <c r="B220" i="11"/>
  <c r="E221" i="11" l="1"/>
  <c r="A222" i="11"/>
  <c r="B221" i="11"/>
  <c r="E222" i="11" l="1"/>
  <c r="B222" i="11"/>
  <c r="A223" i="11"/>
  <c r="E223" i="11" l="1"/>
  <c r="B223" i="11"/>
  <c r="A224" i="11"/>
  <c r="E224" i="11" l="1"/>
  <c r="A225" i="11"/>
  <c r="B224" i="11"/>
  <c r="E225" i="11" l="1"/>
  <c r="B225" i="11"/>
  <c r="A226" i="11"/>
  <c r="E226" i="11" l="1"/>
  <c r="B226" i="11"/>
  <c r="A227" i="11"/>
  <c r="E227" i="11" l="1"/>
  <c r="A228" i="11"/>
  <c r="B227" i="11"/>
  <c r="E228" i="11" l="1"/>
  <c r="A229" i="11"/>
  <c r="B228" i="11"/>
  <c r="E229" i="11" l="1"/>
  <c r="A230" i="11"/>
  <c r="B229" i="11"/>
  <c r="E230" i="11" l="1"/>
  <c r="A231" i="11"/>
  <c r="B230" i="11"/>
  <c r="E231" i="11" l="1"/>
  <c r="B231" i="11"/>
  <c r="A232" i="11"/>
  <c r="E232" i="11" l="1"/>
  <c r="A233" i="11"/>
  <c r="B232" i="11"/>
  <c r="E233" i="11" l="1"/>
  <c r="A234" i="11"/>
  <c r="B233" i="11"/>
  <c r="E234" i="11" l="1"/>
  <c r="B234" i="11"/>
  <c r="A235" i="11"/>
  <c r="E235" i="11" l="1"/>
  <c r="B235" i="11"/>
  <c r="A236" i="11"/>
  <c r="E236" i="11" l="1"/>
  <c r="A237" i="11"/>
  <c r="B236" i="11"/>
  <c r="E237" i="11" l="1"/>
  <c r="B237" i="11"/>
  <c r="A238" i="11"/>
  <c r="E238" i="11" l="1"/>
  <c r="B238" i="11"/>
  <c r="A239" i="11"/>
  <c r="E239" i="11" l="1"/>
  <c r="B239" i="11"/>
  <c r="A240" i="11"/>
  <c r="E240" i="11" l="1"/>
  <c r="A241" i="11"/>
  <c r="B240" i="11"/>
  <c r="E241" i="11" l="1"/>
  <c r="B241" i="11"/>
  <c r="A242" i="11"/>
  <c r="E242" i="11" l="1"/>
  <c r="B242" i="11"/>
  <c r="A243" i="11"/>
  <c r="E243" i="11" l="1"/>
  <c r="B243" i="11"/>
  <c r="A244" i="11"/>
  <c r="E244" i="11" l="1"/>
  <c r="A245" i="11"/>
  <c r="B244" i="11"/>
  <c r="E245" i="11" l="1"/>
  <c r="A246" i="11"/>
  <c r="B245" i="11"/>
  <c r="E246" i="11" l="1"/>
  <c r="B246" i="11"/>
  <c r="A247" i="11"/>
  <c r="E247" i="11" l="1"/>
  <c r="B247" i="11"/>
  <c r="A248" i="11"/>
  <c r="E248" i="11" l="1"/>
  <c r="A249" i="11"/>
  <c r="B248" i="11"/>
  <c r="E249" i="11" l="1"/>
  <c r="B249" i="11"/>
  <c r="A250" i="11"/>
  <c r="E250" i="11" l="1"/>
  <c r="B250" i="11"/>
  <c r="A251" i="11"/>
  <c r="E251" i="11" l="1"/>
  <c r="B251" i="11"/>
  <c r="A252" i="11"/>
  <c r="E252" i="11" l="1"/>
  <c r="A253" i="11"/>
  <c r="B252" i="11"/>
  <c r="E253" i="11" l="1"/>
  <c r="B253" i="11"/>
  <c r="A254" i="11"/>
  <c r="E254" i="11" l="1"/>
  <c r="B254" i="11"/>
  <c r="A255" i="11"/>
  <c r="E255" i="11" l="1"/>
  <c r="A256" i="11"/>
  <c r="B255" i="11"/>
  <c r="E256" i="11" l="1"/>
  <c r="A257" i="11"/>
  <c r="B257" i="11" s="1"/>
  <c r="B256" i="11"/>
  <c r="E257" i="11" l="1"/>
  <c r="E258" i="11" l="1"/>
  <c r="E259" i="11" l="1"/>
  <c r="E260" i="11" l="1"/>
  <c r="E261" i="11" l="1"/>
  <c r="E262" i="11" l="1"/>
  <c r="E263" i="11" l="1"/>
  <c r="E264" i="11" l="1"/>
  <c r="E265" i="11" l="1"/>
  <c r="E266" i="11" l="1"/>
  <c r="E267" i="11" l="1"/>
  <c r="E268" i="11" l="1"/>
  <c r="E269" i="11" l="1"/>
  <c r="E270" i="11" l="1"/>
  <c r="E271" i="11" l="1"/>
  <c r="E272" i="11" l="1"/>
  <c r="E273" i="11" l="1"/>
  <c r="E274" i="11" l="1"/>
  <c r="E275" i="11" l="1"/>
  <c r="E276" i="11" l="1"/>
  <c r="E277" i="11" l="1"/>
  <c r="E278" i="11" l="1"/>
  <c r="E279" i="11" l="1"/>
  <c r="E280" i="11" l="1"/>
  <c r="E281" i="11" l="1"/>
  <c r="E282" i="11" l="1"/>
  <c r="E283" i="11" l="1"/>
  <c r="E284" i="11" l="1"/>
  <c r="E285" i="11" l="1"/>
  <c r="E286" i="11" l="1"/>
  <c r="E287" i="11" l="1"/>
  <c r="E288" i="11" l="1"/>
  <c r="E289" i="11" l="1"/>
  <c r="E290" i="11" l="1"/>
  <c r="E291" i="11" l="1"/>
  <c r="E292" i="11" l="1"/>
  <c r="E293" i="11" l="1"/>
  <c r="E294" i="11" l="1"/>
  <c r="E295" i="11" l="1"/>
  <c r="E296" i="11" l="1"/>
  <c r="E297" i="11" l="1"/>
  <c r="E298" i="11" l="1"/>
  <c r="E299" i="11" l="1"/>
  <c r="E300" i="11" l="1"/>
  <c r="E301" i="11" l="1"/>
  <c r="E302" i="11" l="1"/>
  <c r="E303" i="11" l="1"/>
  <c r="E304" i="11" l="1"/>
  <c r="E305" i="11" l="1"/>
  <c r="E306" i="11" l="1"/>
  <c r="E307" i="11" l="1"/>
  <c r="E308" i="11" l="1"/>
  <c r="E309" i="11" l="1"/>
  <c r="E310" i="11" l="1"/>
  <c r="E311" i="11" l="1"/>
  <c r="E312" i="11" l="1"/>
  <c r="E313" i="11" l="1"/>
  <c r="E314" i="11" l="1"/>
  <c r="E315" i="11" l="1"/>
  <c r="E316" i="11" l="1"/>
  <c r="E317" i="11" l="1"/>
  <c r="E318" i="11" l="1"/>
  <c r="E319" i="11" l="1"/>
  <c r="E320" i="11" l="1"/>
  <c r="E321" i="11" l="1"/>
  <c r="E322" i="11" l="1"/>
  <c r="E323" i="11" l="1"/>
  <c r="E324" i="11" l="1"/>
  <c r="E325" i="11" l="1"/>
  <c r="E326" i="11" l="1"/>
  <c r="E327" i="11" l="1"/>
  <c r="E328" i="11" l="1"/>
  <c r="E329" i="11" l="1"/>
  <c r="E330" i="11" l="1"/>
  <c r="E331" i="11" l="1"/>
  <c r="E332" i="11" l="1"/>
  <c r="E333" i="11" l="1"/>
  <c r="E334" i="11" l="1"/>
  <c r="E335" i="11" l="1"/>
  <c r="E336" i="11" l="1"/>
  <c r="E337" i="11" l="1"/>
  <c r="E338" i="11" l="1"/>
  <c r="E339" i="11" l="1"/>
  <c r="E340" i="11" l="1"/>
  <c r="E341" i="11" l="1"/>
  <c r="E342" i="11" l="1"/>
  <c r="E343" i="11" l="1"/>
  <c r="E344" i="11" l="1"/>
  <c r="E345" i="11" l="1"/>
  <c r="E346" i="11" l="1"/>
  <c r="E347" i="11" l="1"/>
  <c r="E348" i="11" l="1"/>
  <c r="E349" i="11" l="1"/>
  <c r="E350" i="11" l="1"/>
  <c r="E351" i="11" l="1"/>
  <c r="E352" i="11" l="1"/>
  <c r="E353" i="11" l="1"/>
  <c r="E354" i="11" l="1"/>
  <c r="E355" i="11" l="1"/>
  <c r="E356" i="11" l="1"/>
  <c r="E357" i="11" l="1"/>
  <c r="E358" i="11" l="1"/>
  <c r="E359" i="11" l="1"/>
  <c r="E360" i="11" l="1"/>
  <c r="E361" i="11" l="1"/>
  <c r="E362" i="11" l="1"/>
  <c r="E363" i="11" l="1"/>
  <c r="E364" i="11" l="1"/>
  <c r="E365" i="11" l="1"/>
  <c r="E366" i="11" l="1"/>
  <c r="E367" i="11" l="1"/>
  <c r="E368" i="11" l="1"/>
  <c r="E369" i="11" l="1"/>
  <c r="E370" i="11" l="1"/>
  <c r="E371" i="11" l="1"/>
  <c r="E372" i="11" l="1"/>
  <c r="E373" i="11" l="1"/>
  <c r="E374" i="11" l="1"/>
  <c r="E375" i="11" l="1"/>
  <c r="E376" i="11" l="1"/>
  <c r="E377" i="11" l="1"/>
  <c r="E378" i="11" l="1"/>
  <c r="E379" i="11" l="1"/>
  <c r="E380" i="11" l="1"/>
  <c r="E381" i="11" l="1"/>
  <c r="E382" i="11" l="1"/>
  <c r="E383" i="11" l="1"/>
  <c r="E384" i="11" l="1"/>
  <c r="E385" i="11" l="1"/>
  <c r="E386" i="11" l="1"/>
  <c r="E387" i="11" l="1"/>
  <c r="E388" i="11" l="1"/>
  <c r="E389" i="11" l="1"/>
  <c r="E390" i="11" l="1"/>
  <c r="E391" i="11" l="1"/>
  <c r="E392" i="11" l="1"/>
  <c r="E393" i="11" l="1"/>
  <c r="E394" i="11" l="1"/>
  <c r="E395" i="11" l="1"/>
  <c r="E396" i="11" l="1"/>
  <c r="E397" i="11" l="1"/>
  <c r="E398" i="11" l="1"/>
  <c r="E399" i="11" l="1"/>
  <c r="E400" i="11" l="1"/>
  <c r="E401" i="11" l="1"/>
  <c r="E402" i="11" l="1"/>
  <c r="E403" i="11" l="1"/>
  <c r="E404" i="11" l="1"/>
  <c r="E405" i="11" l="1"/>
  <c r="E406" i="11" l="1"/>
  <c r="E407" i="11" l="1"/>
  <c r="E408" i="11" l="1"/>
  <c r="E409" i="11" l="1"/>
  <c r="E410" i="11" l="1"/>
  <c r="E411" i="11" l="1"/>
  <c r="E412" i="11" l="1"/>
  <c r="E413" i="11" l="1"/>
  <c r="E414" i="11" l="1"/>
  <c r="E415" i="11" l="1"/>
  <c r="E416" i="11" l="1"/>
  <c r="E417" i="11" l="1"/>
  <c r="E418" i="11" l="1"/>
  <c r="E419" i="11" l="1"/>
  <c r="E420" i="11" l="1"/>
  <c r="E421" i="11" l="1"/>
  <c r="E422" i="11" l="1"/>
  <c r="E423" i="11" l="1"/>
  <c r="E424" i="11" l="1"/>
  <c r="E425" i="11" l="1"/>
  <c r="E426" i="11" l="1"/>
  <c r="E427" i="11" l="1"/>
  <c r="E428" i="11" l="1"/>
  <c r="E429" i="11" l="1"/>
  <c r="E430" i="11" l="1"/>
  <c r="E431" i="11" l="1"/>
  <c r="E432" i="11" l="1"/>
  <c r="E433" i="11" l="1"/>
  <c r="E434" i="11" l="1"/>
  <c r="E435" i="11" l="1"/>
  <c r="E436" i="11" l="1"/>
  <c r="E437" i="11" l="1"/>
  <c r="E438" i="11" l="1"/>
  <c r="E439" i="11" l="1"/>
  <c r="E440" i="11" l="1"/>
  <c r="E441" i="11" l="1"/>
  <c r="E442" i="11" l="1"/>
  <c r="E443" i="11" l="1"/>
  <c r="E444" i="11" l="1"/>
  <c r="E445" i="11" l="1"/>
  <c r="E446" i="11" l="1"/>
  <c r="E447" i="11" l="1"/>
  <c r="E448" i="11" l="1"/>
  <c r="E449" i="11" l="1"/>
  <c r="E450" i="11" l="1"/>
  <c r="E451" i="11" l="1"/>
  <c r="E452" i="11" l="1"/>
  <c r="E453" i="11" l="1"/>
  <c r="E454" i="11" l="1"/>
  <c r="E455" i="11" l="1"/>
  <c r="E456" i="11" l="1"/>
  <c r="E457" i="11" l="1"/>
  <c r="E458" i="11" l="1"/>
  <c r="E459" i="11" l="1"/>
  <c r="E460" i="11" l="1"/>
  <c r="E461" i="11" l="1"/>
  <c r="E462" i="11" l="1"/>
  <c r="E463" i="11" l="1"/>
  <c r="E464" i="11" l="1"/>
  <c r="E465" i="11" l="1"/>
  <c r="E466" i="11" l="1"/>
  <c r="E467" i="11" l="1"/>
  <c r="E468" i="11" l="1"/>
  <c r="E469" i="11" l="1"/>
  <c r="E470" i="11" l="1"/>
  <c r="E471" i="11" l="1"/>
  <c r="E472" i="11" l="1"/>
  <c r="E473" i="11" l="1"/>
  <c r="E474" i="11" l="1"/>
  <c r="E475" i="11" l="1"/>
  <c r="E476" i="11" l="1"/>
  <c r="E477" i="11" l="1"/>
  <c r="E478" i="11" l="1"/>
  <c r="E479" i="11" l="1"/>
  <c r="E480" i="11" l="1"/>
  <c r="E481" i="11" l="1"/>
  <c r="E482" i="11" l="1"/>
  <c r="E483" i="11" l="1"/>
  <c r="E484" i="11" l="1"/>
  <c r="E485" i="11" l="1"/>
  <c r="E486" i="11" l="1"/>
  <c r="E487" i="11" l="1"/>
  <c r="E488" i="11" l="1"/>
  <c r="E489" i="11" l="1"/>
  <c r="E490" i="11" l="1"/>
  <c r="E491" i="11" l="1"/>
  <c r="E492" i="11" l="1"/>
  <c r="E493" i="11" l="1"/>
  <c r="E494" i="11" l="1"/>
  <c r="E495" i="11" l="1"/>
  <c r="E496" i="11" l="1"/>
  <c r="E497" i="11" l="1"/>
  <c r="E498" i="11" l="1"/>
  <c r="E499" i="11" l="1"/>
  <c r="E500" i="11" l="1"/>
  <c r="E501" i="11" l="1"/>
  <c r="E502" i="11" l="1"/>
  <c r="E503" i="11" l="1"/>
  <c r="E504" i="11" l="1"/>
  <c r="E505" i="11" l="1"/>
  <c r="E506" i="11" l="1"/>
  <c r="E507" i="11" l="1"/>
  <c r="E508" i="11" l="1"/>
  <c r="E509" i="11" l="1"/>
  <c r="E510" i="11" l="1"/>
  <c r="E511" i="11" l="1"/>
  <c r="E512" i="11" l="1"/>
  <c r="E513" i="11" l="1"/>
  <c r="E514" i="11" l="1"/>
  <c r="E515" i="11" l="1"/>
  <c r="E516" i="11" l="1"/>
  <c r="E517" i="11" l="1"/>
  <c r="E518" i="11" l="1"/>
  <c r="E519" i="11" l="1"/>
  <c r="E520" i="11" l="1"/>
  <c r="E521" i="11" l="1"/>
  <c r="E522" i="11" l="1"/>
  <c r="E523" i="11" l="1"/>
  <c r="E524" i="11" l="1"/>
  <c r="E525" i="11" l="1"/>
  <c r="E526" i="11" l="1"/>
  <c r="E527" i="11" l="1"/>
  <c r="E528" i="11" l="1"/>
  <c r="E529" i="11" l="1"/>
  <c r="E530" i="11" l="1"/>
  <c r="E531" i="11" l="1"/>
  <c r="E532" i="11" l="1"/>
  <c r="E533" i="11" l="1"/>
  <c r="E534" i="11" l="1"/>
  <c r="E535" i="11" l="1"/>
  <c r="E536" i="11" l="1"/>
  <c r="E537" i="11" l="1"/>
  <c r="E538" i="11" l="1"/>
  <c r="E539" i="11" l="1"/>
  <c r="E540" i="11" l="1"/>
  <c r="E541" i="11" l="1"/>
  <c r="E542" i="11" l="1"/>
  <c r="E543" i="11" l="1"/>
  <c r="E544" i="11" l="1"/>
  <c r="E545" i="11" l="1"/>
  <c r="E546" i="11" l="1"/>
  <c r="E547" i="11" l="1"/>
  <c r="E548" i="11" l="1"/>
  <c r="E549" i="11" l="1"/>
  <c r="E550" i="11" l="1"/>
  <c r="E551" i="11" l="1"/>
  <c r="E552" i="11" l="1"/>
  <c r="E553" i="11" l="1"/>
  <c r="E554" i="11" l="1"/>
  <c r="E555" i="11" l="1"/>
  <c r="E556" i="11" l="1"/>
  <c r="E557" i="11" l="1"/>
  <c r="E558" i="11" l="1"/>
  <c r="E559" i="11" l="1"/>
  <c r="E560" i="11" l="1"/>
  <c r="E561" i="11" l="1"/>
  <c r="E562" i="11" l="1"/>
  <c r="E563" i="11" l="1"/>
  <c r="E564" i="11" l="1"/>
  <c r="E565" i="11" l="1"/>
  <c r="E566" i="11" l="1"/>
  <c r="E567" i="11" l="1"/>
  <c r="E568" i="11" l="1"/>
  <c r="E569" i="11" l="1"/>
  <c r="E570" i="11" l="1"/>
  <c r="E571" i="11" l="1"/>
  <c r="E572" i="11" l="1"/>
  <c r="E573" i="11" l="1"/>
  <c r="E574" i="11" l="1"/>
  <c r="E575" i="11" l="1"/>
  <c r="E576" i="11" l="1"/>
  <c r="E577" i="11" l="1"/>
  <c r="E578" i="11" l="1"/>
  <c r="E579" i="11" l="1"/>
  <c r="E580" i="11" l="1"/>
  <c r="E581" i="11" l="1"/>
  <c r="E582" i="11" l="1"/>
  <c r="E583" i="11" l="1"/>
  <c r="E584" i="11" l="1"/>
  <c r="E585" i="11" l="1"/>
  <c r="E586" i="11" l="1"/>
  <c r="E587" i="11" l="1"/>
  <c r="E588" i="11" l="1"/>
  <c r="E589" i="11" l="1"/>
  <c r="E590" i="11" l="1"/>
  <c r="E591" i="11" l="1"/>
  <c r="E592" i="11" l="1"/>
  <c r="E593" i="11" l="1"/>
  <c r="E594" i="11" l="1"/>
  <c r="E595" i="11" l="1"/>
  <c r="E596" i="11" l="1"/>
  <c r="E597" i="11" l="1"/>
  <c r="E598" i="11" l="1"/>
  <c r="E599" i="11" l="1"/>
  <c r="E600" i="11" l="1"/>
  <c r="E601" i="11" l="1"/>
  <c r="E602" i="11" l="1"/>
  <c r="E603" i="11" l="1"/>
  <c r="E604" i="11" l="1"/>
  <c r="E605" i="11" l="1"/>
  <c r="E606" i="11" l="1"/>
  <c r="E607" i="11" l="1"/>
  <c r="E608" i="11" l="1"/>
  <c r="E609" i="11" l="1"/>
  <c r="E610" i="11" l="1"/>
  <c r="E611" i="11" l="1"/>
  <c r="E612" i="11" l="1"/>
  <c r="E613" i="11" l="1"/>
  <c r="E614" i="11" l="1"/>
  <c r="E615" i="11" l="1"/>
  <c r="E616" i="11" l="1"/>
  <c r="E617" i="11" l="1"/>
  <c r="E618" i="11" l="1"/>
  <c r="E619" i="11" l="1"/>
  <c r="E620" i="11" l="1"/>
  <c r="E621" i="11" l="1"/>
  <c r="E622" i="11" l="1"/>
  <c r="E623" i="11" l="1"/>
  <c r="E624" i="11" l="1"/>
  <c r="E625" i="11" l="1"/>
  <c r="E626" i="11" l="1"/>
  <c r="E627" i="11" l="1"/>
  <c r="E628" i="11" l="1"/>
  <c r="E629" i="11" l="1"/>
  <c r="E630" i="11" l="1"/>
  <c r="E631" i="11" l="1"/>
  <c r="E632" i="11" l="1"/>
  <c r="E633" i="11" l="1"/>
  <c r="E634" i="11" l="1"/>
  <c r="E635" i="11" l="1"/>
  <c r="E636" i="11" l="1"/>
  <c r="E637" i="11" l="1"/>
  <c r="E638" i="11" l="1"/>
  <c r="E639" i="11" l="1"/>
  <c r="E640" i="11" l="1"/>
  <c r="E641" i="11" l="1"/>
  <c r="E642" i="11" l="1"/>
  <c r="E643" i="11" l="1"/>
  <c r="E644" i="11" l="1"/>
  <c r="E645" i="11" l="1"/>
  <c r="E646" i="11" l="1"/>
  <c r="E647" i="11" l="1"/>
  <c r="E648" i="11" l="1"/>
  <c r="E649" i="11" l="1"/>
  <c r="E650" i="11" l="1"/>
  <c r="E651" i="11" l="1"/>
  <c r="E652" i="11" l="1"/>
  <c r="E653" i="11" l="1"/>
  <c r="E654" i="11" l="1"/>
  <c r="E655" i="11" l="1"/>
  <c r="E656" i="11" l="1"/>
  <c r="E657" i="11" l="1"/>
  <c r="E658" i="11" l="1"/>
  <c r="E659" i="11" l="1"/>
  <c r="E660" i="11" l="1"/>
  <c r="E661" i="11" l="1"/>
  <c r="E662" i="11" l="1"/>
  <c r="E663" i="11" l="1"/>
  <c r="E664" i="11" l="1"/>
  <c r="E665" i="11" l="1"/>
  <c r="E666" i="11" l="1"/>
  <c r="E667" i="11" l="1"/>
  <c r="E668" i="11" l="1"/>
  <c r="E669" i="11" l="1"/>
  <c r="E670" i="11" l="1"/>
  <c r="E671" i="11" l="1"/>
  <c r="E672" i="11" l="1"/>
  <c r="E673" i="11" l="1"/>
  <c r="E674" i="11" l="1"/>
  <c r="E675" i="11" l="1"/>
  <c r="E676" i="11" l="1"/>
  <c r="E677" i="11" l="1"/>
  <c r="E678" i="11" l="1"/>
  <c r="E679" i="11" l="1"/>
  <c r="E680" i="11" l="1"/>
  <c r="E681" i="11" l="1"/>
  <c r="E682" i="11" l="1"/>
  <c r="E683" i="11" l="1"/>
  <c r="E684" i="11" l="1"/>
  <c r="E685" i="11" l="1"/>
  <c r="E686" i="11" l="1"/>
  <c r="E687" i="11" l="1"/>
  <c r="E688" i="11" l="1"/>
  <c r="E689" i="11" l="1"/>
  <c r="E690" i="11" l="1"/>
  <c r="E691" i="11" l="1"/>
  <c r="E692" i="11" l="1"/>
  <c r="E693" i="11" l="1"/>
  <c r="E694" i="11" l="1"/>
  <c r="E695" i="11" l="1"/>
  <c r="E696" i="11" l="1"/>
  <c r="E697" i="11" l="1"/>
  <c r="E698" i="11" l="1"/>
  <c r="E699" i="11" l="1"/>
  <c r="E700" i="11" l="1"/>
  <c r="E701" i="11" l="1"/>
  <c r="E702" i="11" l="1"/>
  <c r="E703" i="11" l="1"/>
  <c r="E704" i="11" l="1"/>
  <c r="E705" i="11" l="1"/>
  <c r="E706" i="11" l="1"/>
  <c r="E707" i="11" l="1"/>
  <c r="E708" i="11" l="1"/>
  <c r="E709" i="11" l="1"/>
  <c r="E710" i="11" l="1"/>
  <c r="E711" i="11" l="1"/>
  <c r="E712" i="11" l="1"/>
  <c r="E713" i="11" l="1"/>
  <c r="E714" i="11" l="1"/>
  <c r="E715" i="11" l="1"/>
  <c r="E716" i="11" l="1"/>
  <c r="E717" i="11" l="1"/>
  <c r="E718" i="11" l="1"/>
  <c r="E719" i="11" l="1"/>
  <c r="E720" i="11" l="1"/>
  <c r="E721" i="11" l="1"/>
  <c r="E722" i="11" l="1"/>
  <c r="E723" i="11" l="1"/>
  <c r="E724" i="11" l="1"/>
  <c r="E725" i="11" l="1"/>
  <c r="E726" i="11" l="1"/>
  <c r="E727" i="11" l="1"/>
  <c r="E728" i="11" l="1"/>
  <c r="E729" i="11" l="1"/>
  <c r="E730" i="11" l="1"/>
  <c r="E731" i="11" l="1"/>
  <c r="E732" i="11" l="1"/>
  <c r="E733" i="11" l="1"/>
  <c r="E734" i="11" l="1"/>
  <c r="E735" i="11" l="1"/>
  <c r="E736" i="11" l="1"/>
  <c r="E737" i="11" l="1"/>
  <c r="E738" i="11" l="1"/>
  <c r="E739" i="11" l="1"/>
  <c r="E740" i="11" l="1"/>
  <c r="E741" i="11" l="1"/>
  <c r="E742" i="11" l="1"/>
  <c r="E743" i="11" l="1"/>
  <c r="E744" i="11" l="1"/>
  <c r="E745" i="11" l="1"/>
  <c r="E746" i="11" l="1"/>
  <c r="E747" i="11" l="1"/>
  <c r="E748" i="11" l="1"/>
  <c r="E749" i="11" l="1"/>
  <c r="E750" i="11" l="1"/>
  <c r="E751" i="11" l="1"/>
  <c r="E752" i="11" l="1"/>
  <c r="E753" i="11" l="1"/>
  <c r="E754" i="11" l="1"/>
  <c r="E755" i="11" l="1"/>
  <c r="E756" i="11" l="1"/>
  <c r="E757" i="11" l="1"/>
  <c r="E758" i="11" l="1"/>
  <c r="E759" i="11" l="1"/>
  <c r="E760" i="11" l="1"/>
  <c r="E761" i="11" l="1"/>
  <c r="E762" i="11" l="1"/>
  <c r="E763" i="11" l="1"/>
  <c r="E764" i="11" l="1"/>
  <c r="E765" i="11" l="1"/>
  <c r="E766" i="11" l="1"/>
  <c r="E767" i="11" l="1"/>
  <c r="E768" i="11" l="1"/>
  <c r="E769" i="11" l="1"/>
  <c r="E770" i="11" l="1"/>
  <c r="E771" i="11" l="1"/>
  <c r="E772" i="11" l="1"/>
  <c r="E773" i="11" l="1"/>
  <c r="E774" i="11" l="1"/>
  <c r="E775" i="11" l="1"/>
  <c r="E776" i="11" l="1"/>
  <c r="E777" i="11" l="1"/>
  <c r="E778" i="11" l="1"/>
  <c r="E779" i="11" l="1"/>
  <c r="E780" i="11" l="1"/>
  <c r="E781" i="11" l="1"/>
  <c r="E782" i="11" l="1"/>
  <c r="E783" i="11" l="1"/>
  <c r="E784" i="11" l="1"/>
  <c r="E785" i="11" l="1"/>
  <c r="E786" i="11" l="1"/>
  <c r="E787" i="11" l="1"/>
  <c r="E788" i="11" l="1"/>
  <c r="E789" i="11" l="1"/>
  <c r="E790" i="11" l="1"/>
  <c r="E791" i="11" l="1"/>
  <c r="E792" i="11" l="1"/>
  <c r="E793" i="11" l="1"/>
  <c r="E794" i="11" l="1"/>
  <c r="E795" i="11" l="1"/>
  <c r="E796" i="11" l="1"/>
  <c r="E797" i="11" l="1"/>
  <c r="E798" i="11" l="1"/>
  <c r="E799" i="11" l="1"/>
  <c r="E800" i="11" l="1"/>
  <c r="E801" i="11" l="1"/>
  <c r="E802" i="11" l="1"/>
  <c r="E803" i="11" l="1"/>
  <c r="E804" i="11" l="1"/>
  <c r="E805" i="11" l="1"/>
  <c r="E806" i="11" l="1"/>
  <c r="E807" i="11" l="1"/>
  <c r="E808" i="11" l="1"/>
  <c r="E809" i="11" l="1"/>
  <c r="E810" i="11" l="1"/>
  <c r="E811" i="11" l="1"/>
  <c r="E812" i="11" l="1"/>
  <c r="E813" i="11" l="1"/>
  <c r="E814" i="11" l="1"/>
  <c r="E815" i="11" l="1"/>
  <c r="E816" i="11" l="1"/>
  <c r="E817" i="11" l="1"/>
  <c r="E818" i="11" l="1"/>
  <c r="E819" i="11" l="1"/>
  <c r="E820" i="11" l="1"/>
  <c r="E821" i="11" l="1"/>
  <c r="E822" i="11" l="1"/>
  <c r="E823" i="11" l="1"/>
  <c r="E824" i="11" l="1"/>
  <c r="E825" i="11" l="1"/>
  <c r="E826" i="11" l="1"/>
  <c r="E827" i="11" l="1"/>
  <c r="E828" i="11" l="1"/>
  <c r="E829" i="11" l="1"/>
  <c r="E830" i="11" l="1"/>
  <c r="E831" i="11" l="1"/>
  <c r="E832" i="11" l="1"/>
  <c r="E833" i="11" l="1"/>
  <c r="E834" i="11" l="1"/>
  <c r="E835" i="11" l="1"/>
  <c r="E836" i="11" l="1"/>
  <c r="E837" i="11" l="1"/>
  <c r="E838" i="11" l="1"/>
  <c r="E839" i="11" l="1"/>
  <c r="E840" i="11" l="1"/>
  <c r="E841" i="11" l="1"/>
  <c r="E842" i="11" l="1"/>
  <c r="E843" i="11" l="1"/>
  <c r="E844" i="11" l="1"/>
  <c r="E845" i="11" l="1"/>
  <c r="E846" i="11" l="1"/>
  <c r="E847" i="11" l="1"/>
  <c r="E848" i="11" l="1"/>
  <c r="E849" i="11" l="1"/>
  <c r="E850" i="11" l="1"/>
  <c r="E851" i="11" l="1"/>
  <c r="E852" i="11" l="1"/>
  <c r="E853" i="11" l="1"/>
  <c r="E854" i="11" l="1"/>
  <c r="E855" i="11" l="1"/>
  <c r="E856" i="11" l="1"/>
  <c r="E857" i="11" l="1"/>
  <c r="E858" i="11" l="1"/>
  <c r="E859" i="11" l="1"/>
  <c r="E860" i="11" l="1"/>
  <c r="E861" i="11" l="1"/>
  <c r="E862" i="11" l="1"/>
  <c r="E863" i="11" l="1"/>
  <c r="E864" i="11" l="1"/>
  <c r="E865" i="11" l="1"/>
  <c r="E866" i="11" l="1"/>
  <c r="E867" i="11" l="1"/>
  <c r="E868" i="11" l="1"/>
  <c r="E869" i="11" l="1"/>
  <c r="E870" i="11" l="1"/>
  <c r="E871" i="11" l="1"/>
  <c r="E872" i="11" l="1"/>
  <c r="E873" i="11" l="1"/>
  <c r="E874" i="11" l="1"/>
  <c r="E875" i="11" l="1"/>
  <c r="E876" i="11" l="1"/>
  <c r="E877" i="11" l="1"/>
  <c r="E878" i="11" l="1"/>
  <c r="E879" i="11" l="1"/>
  <c r="E880" i="11" l="1"/>
  <c r="E881" i="11" l="1"/>
  <c r="E882" i="11" l="1"/>
  <c r="E883" i="11" l="1"/>
  <c r="E884" i="11" l="1"/>
  <c r="E885" i="11" l="1"/>
  <c r="E886" i="11" l="1"/>
  <c r="E887" i="11" l="1"/>
  <c r="E888" i="11" l="1"/>
  <c r="E889" i="11" l="1"/>
  <c r="E890" i="11" l="1"/>
  <c r="E891" i="11" l="1"/>
  <c r="E892" i="11" l="1"/>
  <c r="E893" i="11" l="1"/>
  <c r="E894" i="11" l="1"/>
  <c r="E895" i="11" l="1"/>
  <c r="E896" i="11" l="1"/>
  <c r="E897" i="11" l="1"/>
  <c r="E898" i="11" l="1"/>
  <c r="E899" i="11" l="1"/>
  <c r="E900" i="11" l="1"/>
  <c r="E901" i="11" l="1"/>
  <c r="E902" i="11" l="1"/>
  <c r="E903" i="11" l="1"/>
  <c r="E904" i="11" l="1"/>
  <c r="E905" i="11" l="1"/>
  <c r="E906" i="11" l="1"/>
  <c r="E907" i="11" l="1"/>
  <c r="E908" i="11" l="1"/>
  <c r="E909" i="11" l="1"/>
  <c r="E910" i="11" l="1"/>
  <c r="E911" i="11" l="1"/>
  <c r="E912" i="11" l="1"/>
  <c r="E913" i="11" l="1"/>
  <c r="E914" i="11" l="1"/>
  <c r="E915" i="11" l="1"/>
  <c r="E916" i="11" l="1"/>
  <c r="E917" i="11" l="1"/>
  <c r="E918" i="11" l="1"/>
  <c r="E919" i="11" l="1"/>
  <c r="E920" i="11" l="1"/>
  <c r="E921" i="11" l="1"/>
  <c r="E922" i="11" l="1"/>
  <c r="E923" i="11" l="1"/>
  <c r="E924" i="11" l="1"/>
  <c r="E925" i="11" l="1"/>
  <c r="E926" i="11" l="1"/>
  <c r="E927" i="11" l="1"/>
  <c r="E928" i="11" l="1"/>
  <c r="E929" i="11" l="1"/>
  <c r="E930" i="11" l="1"/>
  <c r="E931" i="11" l="1"/>
  <c r="E932" i="11" l="1"/>
  <c r="E933" i="11" l="1"/>
  <c r="E934" i="11" l="1"/>
  <c r="E935" i="11" l="1"/>
  <c r="E936" i="11" l="1"/>
  <c r="E937" i="11" l="1"/>
  <c r="E938" i="11" l="1"/>
  <c r="E939" i="11" l="1"/>
  <c r="E940" i="11" l="1"/>
  <c r="E941" i="11" l="1"/>
  <c r="E942" i="11" l="1"/>
  <c r="E943" i="11" l="1"/>
  <c r="E944" i="11" l="1"/>
  <c r="E945" i="11" l="1"/>
  <c r="E946" i="11" l="1"/>
  <c r="E947" i="11" l="1"/>
  <c r="E948" i="11" l="1"/>
  <c r="E949" i="11" l="1"/>
  <c r="E950" i="11" l="1"/>
  <c r="E951" i="11" l="1"/>
  <c r="E952" i="11" l="1"/>
  <c r="E953" i="11" l="1"/>
  <c r="E954" i="11" l="1"/>
  <c r="E955" i="11" l="1"/>
  <c r="E956" i="11" l="1"/>
  <c r="E957" i="11" l="1"/>
  <c r="E958" i="11" l="1"/>
  <c r="E959" i="11" l="1"/>
  <c r="E960" i="11" l="1"/>
  <c r="E961" i="11" l="1"/>
  <c r="E962" i="11" l="1"/>
  <c r="E963" i="11" l="1"/>
  <c r="E964" i="11" l="1"/>
  <c r="E965" i="11" l="1"/>
  <c r="E966" i="11" l="1"/>
  <c r="E967" i="11" l="1"/>
  <c r="E968" i="11" l="1"/>
  <c r="E969" i="11" l="1"/>
  <c r="E970" i="11" l="1"/>
  <c r="E971" i="11" l="1"/>
  <c r="E972" i="11" l="1"/>
  <c r="E973" i="11" l="1"/>
  <c r="E974" i="11" l="1"/>
  <c r="E975" i="11" l="1"/>
  <c r="E976" i="11" l="1"/>
  <c r="E977" i="11" l="1"/>
  <c r="E978" i="11" l="1"/>
  <c r="E979" i="11" l="1"/>
  <c r="E980" i="11" l="1"/>
  <c r="E981" i="11" l="1"/>
  <c r="E982" i="11" l="1"/>
  <c r="E983" i="11" l="1"/>
  <c r="E984" i="11" l="1"/>
  <c r="E985" i="11" l="1"/>
  <c r="E986" i="11" l="1"/>
  <c r="E987" i="11" l="1"/>
  <c r="E988" i="11" l="1"/>
  <c r="E989" i="11" l="1"/>
  <c r="E990" i="11" l="1"/>
  <c r="E991" i="11" l="1"/>
  <c r="E992" i="11" l="1"/>
  <c r="E993" i="11" l="1"/>
  <c r="E994" i="11" l="1"/>
  <c r="E995" i="11" l="1"/>
  <c r="E996" i="11" l="1"/>
  <c r="E997" i="11" l="1"/>
  <c r="E998" i="11" l="1"/>
  <c r="E999" i="11" l="1"/>
  <c r="E1000" i="11" l="1"/>
  <c r="E1001" i="11" l="1"/>
  <c r="E1002" i="11" l="1"/>
  <c r="E1003" i="11" l="1"/>
  <c r="E1004" i="11" l="1"/>
  <c r="E1005" i="11" l="1"/>
  <c r="E1006" i="11" l="1"/>
  <c r="E1007" i="11" l="1"/>
  <c r="E1008" i="11" l="1"/>
  <c r="E1009" i="11" l="1"/>
  <c r="E1010" i="11" l="1"/>
  <c r="E1011" i="11" l="1"/>
  <c r="E1012" i="11" l="1"/>
  <c r="E1013" i="11" l="1"/>
  <c r="E1014" i="11" l="1"/>
  <c r="E1015" i="11" l="1"/>
  <c r="E1016" i="11" l="1"/>
  <c r="E1017" i="11" l="1"/>
  <c r="E1018" i="11" l="1"/>
  <c r="E1019" i="11" l="1"/>
  <c r="E1020" i="11" l="1"/>
  <c r="E1021" i="11" l="1"/>
  <c r="E1022" i="11" l="1"/>
  <c r="E1023" i="11" l="1"/>
  <c r="E1024" i="11" l="1"/>
  <c r="E1025" i="11" l="1"/>
  <c r="E1026" i="11" l="1"/>
  <c r="E1027" i="11" l="1"/>
  <c r="E1028" i="11" l="1"/>
  <c r="E1029" i="11" l="1"/>
  <c r="E1030" i="11" l="1"/>
  <c r="E1031" i="11" l="1"/>
  <c r="E1032" i="11" l="1"/>
  <c r="E1033" i="11" l="1"/>
  <c r="E1034" i="11" l="1"/>
  <c r="E1035" i="11" l="1"/>
  <c r="E1036" i="11" l="1"/>
  <c r="E1037" i="11" l="1"/>
  <c r="E1038" i="11" l="1"/>
  <c r="E1039" i="11" l="1"/>
  <c r="E1040" i="11" l="1"/>
  <c r="E1041" i="11" l="1"/>
  <c r="E1042" i="11" l="1"/>
  <c r="E1043" i="11" l="1"/>
  <c r="E1044" i="11" l="1"/>
  <c r="E1045" i="11" l="1"/>
  <c r="E1046" i="11" l="1"/>
  <c r="E1047" i="11" l="1"/>
  <c r="E1048" i="11" l="1"/>
  <c r="E1049" i="11" l="1"/>
  <c r="E1050" i="11" l="1"/>
  <c r="E1051" i="11" l="1"/>
  <c r="E1052" i="11" l="1"/>
  <c r="E1053" i="11" l="1"/>
  <c r="E1054" i="11" l="1"/>
  <c r="E1055" i="11" l="1"/>
  <c r="E1056" i="11" l="1"/>
  <c r="E1057" i="11" l="1"/>
  <c r="E1058" i="11" l="1"/>
  <c r="E1059" i="11" l="1"/>
  <c r="E1060" i="11" l="1"/>
  <c r="E1061" i="11" l="1"/>
  <c r="E1062" i="11" l="1"/>
  <c r="E1063" i="11" l="1"/>
  <c r="E1064" i="11" l="1"/>
  <c r="E1065" i="11" l="1"/>
  <c r="E1066" i="11" l="1"/>
  <c r="E1067" i="11" l="1"/>
  <c r="E1068" i="11" l="1"/>
  <c r="E1069" i="11" l="1"/>
  <c r="E1070" i="11" l="1"/>
  <c r="E1071" i="11" l="1"/>
  <c r="E1072" i="11" l="1"/>
  <c r="E1073" i="11" l="1"/>
  <c r="E1074" i="11" l="1"/>
  <c r="E1075" i="11" l="1"/>
  <c r="E1076" i="11" l="1"/>
  <c r="E1077" i="11" l="1"/>
  <c r="E1078" i="11" l="1"/>
  <c r="E1079" i="11" l="1"/>
  <c r="E1080" i="11" l="1"/>
  <c r="E1081" i="11" l="1"/>
  <c r="E1082" i="11" l="1"/>
  <c r="E1083" i="11" l="1"/>
  <c r="E1084" i="11" l="1"/>
  <c r="E1085" i="11" l="1"/>
  <c r="E1086" i="11" l="1"/>
  <c r="E1087" i="11" l="1"/>
  <c r="E1088" i="11" l="1"/>
  <c r="E1089" i="11" l="1"/>
  <c r="E1090" i="11" l="1"/>
  <c r="E1091" i="11" l="1"/>
  <c r="E1092" i="11" l="1"/>
  <c r="E1093" i="11" l="1"/>
  <c r="E1094" i="11" l="1"/>
  <c r="E1095" i="11" l="1"/>
  <c r="E1096" i="11" l="1"/>
  <c r="E1097" i="11" l="1"/>
  <c r="E1098" i="11" l="1"/>
  <c r="E1099" i="11" l="1"/>
  <c r="E1100" i="11" l="1"/>
  <c r="E1101" i="11" l="1"/>
  <c r="E1102" i="11" l="1"/>
  <c r="E1103" i="11" l="1"/>
  <c r="E1104" i="11" l="1"/>
  <c r="E1105" i="11" l="1"/>
  <c r="E1106" i="11" l="1"/>
  <c r="E1107" i="11" l="1"/>
  <c r="E1108" i="11" l="1"/>
  <c r="E1109" i="11" l="1"/>
  <c r="E1110" i="11" l="1"/>
  <c r="E1111" i="11" l="1"/>
  <c r="E1112" i="11" l="1"/>
  <c r="E1113" i="11" l="1"/>
  <c r="E1114" i="11" l="1"/>
  <c r="E1115" i="11" l="1"/>
  <c r="E1116" i="11" l="1"/>
  <c r="E1117" i="11" l="1"/>
  <c r="E1118" i="11" l="1"/>
  <c r="E1119" i="11" l="1"/>
  <c r="E1120" i="11" l="1"/>
  <c r="E1121" i="11" l="1"/>
  <c r="E1122" i="11" l="1"/>
  <c r="E1123" i="11" l="1"/>
  <c r="E1124" i="11" l="1"/>
  <c r="E1125" i="11" l="1"/>
  <c r="E1126" i="11" l="1"/>
  <c r="E1127" i="11" l="1"/>
  <c r="E1128" i="11" l="1"/>
  <c r="E1129" i="11" l="1"/>
  <c r="E1130" i="11" l="1"/>
  <c r="E1131" i="11" l="1"/>
  <c r="E1132" i="11" l="1"/>
  <c r="E1133" i="11" l="1"/>
  <c r="E1134" i="11" l="1"/>
  <c r="E1135" i="11" l="1"/>
  <c r="E1136" i="11" l="1"/>
  <c r="E1137" i="11" l="1"/>
  <c r="E1138" i="11" l="1"/>
  <c r="E1139" i="11" l="1"/>
  <c r="E1140" i="11" l="1"/>
  <c r="E1141" i="11" l="1"/>
  <c r="E1142" i="11" l="1"/>
  <c r="E1143" i="11" l="1"/>
  <c r="E1144" i="11" l="1"/>
  <c r="E1145" i="11" l="1"/>
  <c r="E1146" i="11" l="1"/>
  <c r="E1147" i="11" l="1"/>
  <c r="E1148" i="11" l="1"/>
  <c r="E1149" i="11" l="1"/>
  <c r="E1150" i="11" l="1"/>
  <c r="E1151" i="11" l="1"/>
  <c r="E1152" i="11" l="1"/>
  <c r="E1153" i="11" l="1"/>
  <c r="E1154" i="11" l="1"/>
  <c r="E1155" i="11" l="1"/>
  <c r="E1156" i="11" l="1"/>
  <c r="E1157" i="11" l="1"/>
  <c r="E1158" i="11" l="1"/>
  <c r="E1159" i="11" l="1"/>
  <c r="E1160" i="11" l="1"/>
  <c r="E1161" i="11" l="1"/>
  <c r="E1162" i="11" l="1"/>
  <c r="E1163" i="11" l="1"/>
  <c r="E1164" i="11" l="1"/>
  <c r="E1165" i="11" l="1"/>
  <c r="E1166" i="11" l="1"/>
  <c r="E1167" i="11" l="1"/>
  <c r="E1168" i="11" l="1"/>
  <c r="E1169" i="11" l="1"/>
  <c r="E1170" i="11" l="1"/>
  <c r="E1171" i="11" l="1"/>
  <c r="E1172" i="11" l="1"/>
  <c r="E1173" i="11" l="1"/>
  <c r="E1174" i="11" l="1"/>
  <c r="E1175" i="11" l="1"/>
  <c r="E1176" i="11" l="1"/>
  <c r="E1177" i="11" l="1"/>
  <c r="E1178" i="11" l="1"/>
  <c r="E1179" i="11" l="1"/>
  <c r="E1180" i="11" l="1"/>
  <c r="E1181" i="11" l="1"/>
  <c r="E1182" i="11" l="1"/>
  <c r="E1183" i="11" l="1"/>
  <c r="E1184" i="11" l="1"/>
  <c r="E1185" i="11" l="1"/>
  <c r="E1186" i="11" l="1"/>
  <c r="E1187" i="11" l="1"/>
  <c r="E1188" i="11" l="1"/>
  <c r="E1189" i="11" l="1"/>
  <c r="E1190" i="11" l="1"/>
  <c r="E1191" i="11" l="1"/>
  <c r="E1192" i="11" l="1"/>
  <c r="E1193" i="11" l="1"/>
  <c r="E1194" i="11" l="1"/>
  <c r="E1195" i="11" l="1"/>
  <c r="E1196" i="11" l="1"/>
  <c r="E1197" i="11" l="1"/>
  <c r="E1198" i="11" l="1"/>
  <c r="E1199" i="11" l="1"/>
  <c r="E1200" i="11" l="1"/>
  <c r="E1201" i="11" l="1"/>
  <c r="E1202" i="11" l="1"/>
  <c r="E1203" i="11" l="1"/>
  <c r="E1204" i="11" l="1"/>
  <c r="E1205" i="11" l="1"/>
  <c r="E1206" i="11" l="1"/>
  <c r="E1207" i="11" l="1"/>
  <c r="E1208" i="11" l="1"/>
  <c r="E1209" i="11" l="1"/>
  <c r="E1210" i="11" l="1"/>
  <c r="E1211" i="11" l="1"/>
  <c r="E1212" i="11" l="1"/>
  <c r="E1213" i="11" l="1"/>
  <c r="E1214" i="11" l="1"/>
  <c r="E1215" i="11" l="1"/>
  <c r="E1216" i="11" l="1"/>
  <c r="E1217" i="11" l="1"/>
  <c r="E1218" i="11" l="1"/>
  <c r="E1219" i="11" l="1"/>
  <c r="E1220" i="11" l="1"/>
  <c r="E1221" i="11" l="1"/>
  <c r="E1222" i="11" l="1"/>
  <c r="E1223" i="11" l="1"/>
  <c r="E1224" i="11" l="1"/>
  <c r="E1225" i="11" l="1"/>
  <c r="E1226" i="11" l="1"/>
  <c r="E1227" i="11" l="1"/>
  <c r="E1228" i="11" l="1"/>
  <c r="E1229" i="11" l="1"/>
  <c r="E1230" i="11" l="1"/>
  <c r="E1231" i="11" l="1"/>
  <c r="E1232" i="11" l="1"/>
  <c r="E1233" i="11" l="1"/>
  <c r="E1234" i="11" l="1"/>
  <c r="E1235" i="11" l="1"/>
  <c r="E1236" i="11" l="1"/>
  <c r="E1237" i="11" l="1"/>
  <c r="E1238" i="11" l="1"/>
  <c r="E1239" i="11" l="1"/>
  <c r="E1240" i="11" l="1"/>
  <c r="E1241" i="11" l="1"/>
  <c r="E1242" i="11" l="1"/>
  <c r="E1243" i="11" l="1"/>
  <c r="E1244" i="11" l="1"/>
  <c r="E1245" i="11" l="1"/>
  <c r="E1246" i="11" l="1"/>
  <c r="E1247" i="11" l="1"/>
  <c r="E1248" i="11" l="1"/>
  <c r="E1249" i="11" l="1"/>
  <c r="E1250" i="11" l="1"/>
  <c r="E1251" i="11" l="1"/>
  <c r="E1252" i="11" l="1"/>
  <c r="E1253" i="11" l="1"/>
  <c r="E1254" i="11" l="1"/>
  <c r="E1255" i="11" l="1"/>
  <c r="E1256" i="11" l="1"/>
  <c r="E1257" i="11" l="1"/>
  <c r="E1258" i="11" l="1"/>
  <c r="E1259" i="11" l="1"/>
  <c r="E1260" i="11" l="1"/>
  <c r="E1261" i="11" l="1"/>
  <c r="E1262" i="11" l="1"/>
  <c r="E1263" i="11" l="1"/>
  <c r="E1264" i="11" l="1"/>
  <c r="E1265" i="11" l="1"/>
  <c r="E1266" i="11" l="1"/>
  <c r="E1267" i="11" l="1"/>
  <c r="E1268" i="11" l="1"/>
  <c r="E1269" i="11" l="1"/>
  <c r="E1270" i="11" l="1"/>
  <c r="E1271" i="11" l="1"/>
  <c r="E1272" i="11" l="1"/>
  <c r="E1273" i="11" l="1"/>
  <c r="E1274" i="11" l="1"/>
  <c r="E1275" i="11" l="1"/>
  <c r="E1276" i="11" l="1"/>
  <c r="E1277" i="11" l="1"/>
  <c r="E1278" i="11" l="1"/>
  <c r="E1279" i="11" l="1"/>
  <c r="E1280" i="11" l="1"/>
  <c r="E1281" i="11" l="1"/>
  <c r="E1282" i="11" l="1"/>
  <c r="E1283" i="11" l="1"/>
  <c r="E1284" i="11" l="1"/>
  <c r="E1285" i="11" l="1"/>
  <c r="E1286" i="11" l="1"/>
  <c r="E1287" i="11" l="1"/>
  <c r="E1288" i="11" l="1"/>
  <c r="E1289" i="11" l="1"/>
  <c r="E1290" i="11" l="1"/>
  <c r="E1291" i="11" l="1"/>
  <c r="E1292" i="11" l="1"/>
  <c r="E1293" i="11" l="1"/>
  <c r="E1294" i="11" l="1"/>
  <c r="E1295" i="11" l="1"/>
  <c r="E1296" i="11" l="1"/>
  <c r="E1297" i="11" l="1"/>
  <c r="E1298" i="11" l="1"/>
  <c r="E1299" i="11" l="1"/>
  <c r="E1300" i="11" l="1"/>
  <c r="E1301" i="11" l="1"/>
  <c r="E1302" i="11" l="1"/>
  <c r="E1303" i="11" l="1"/>
  <c r="E1304" i="11" l="1"/>
  <c r="E1305" i="11" l="1"/>
  <c r="E1306" i="11" l="1"/>
  <c r="E1307" i="11" l="1"/>
  <c r="E1308" i="11" l="1"/>
  <c r="E1309" i="11" l="1"/>
  <c r="E1310" i="11" l="1"/>
  <c r="E1311" i="11" l="1"/>
  <c r="E1312" i="11" l="1"/>
  <c r="E1313" i="11" l="1"/>
  <c r="E1314" i="11" l="1"/>
  <c r="E1315" i="11" l="1"/>
  <c r="E1316" i="11" l="1"/>
  <c r="E1317" i="11" l="1"/>
  <c r="E1318" i="11" l="1"/>
  <c r="E1319" i="11" l="1"/>
  <c r="E1320" i="11" l="1"/>
  <c r="E1321" i="11" l="1"/>
  <c r="E1322" i="11" l="1"/>
  <c r="E1323" i="11" l="1"/>
  <c r="E1324" i="11" l="1"/>
  <c r="E1325" i="11" l="1"/>
  <c r="E1326" i="11" l="1"/>
  <c r="E1327" i="11" l="1"/>
  <c r="E1328" i="11" l="1"/>
  <c r="E1329" i="11" l="1"/>
  <c r="E1330" i="11" l="1"/>
  <c r="E1331" i="11" l="1"/>
  <c r="E1332" i="11" l="1"/>
  <c r="E1333" i="11" l="1"/>
  <c r="E1334" i="11" l="1"/>
  <c r="E1335" i="11" l="1"/>
  <c r="E1336" i="11" l="1"/>
  <c r="E1337" i="11" l="1"/>
  <c r="E1338" i="11" l="1"/>
  <c r="E1339" i="11" l="1"/>
  <c r="E1340" i="11" l="1"/>
  <c r="E1341" i="11" l="1"/>
  <c r="E1342" i="11" l="1"/>
  <c r="E1343" i="11" l="1"/>
  <c r="E1344" i="11" l="1"/>
  <c r="E1345" i="11" l="1"/>
  <c r="E1346" i="11" l="1"/>
  <c r="E1347" i="11" l="1"/>
  <c r="E1348" i="11" l="1"/>
  <c r="E1349" i="11" l="1"/>
  <c r="E1350" i="11" l="1"/>
  <c r="E1351" i="11" l="1"/>
  <c r="E1352" i="11" l="1"/>
  <c r="E1353" i="11" l="1"/>
  <c r="E1354" i="11" l="1"/>
  <c r="E1355" i="11" l="1"/>
  <c r="E1356" i="11" l="1"/>
  <c r="E1357" i="11" l="1"/>
  <c r="E1358" i="11" l="1"/>
  <c r="E1359" i="11" l="1"/>
  <c r="E1360" i="11" l="1"/>
  <c r="E1361" i="11" l="1"/>
  <c r="E1362" i="11" l="1"/>
  <c r="E1363" i="11" l="1"/>
  <c r="E1364" i="11" l="1"/>
  <c r="E1365" i="11" l="1"/>
  <c r="E1366" i="11" l="1"/>
  <c r="E1367" i="11" l="1"/>
  <c r="E1368" i="11" l="1"/>
  <c r="E1369" i="11" l="1"/>
  <c r="E1370" i="11" l="1"/>
  <c r="E1371" i="11" l="1"/>
  <c r="E1372" i="11" l="1"/>
  <c r="E1373" i="11" l="1"/>
  <c r="E1374" i="11" l="1"/>
  <c r="E1375" i="11" l="1"/>
  <c r="E1376" i="11" l="1"/>
  <c r="E1377" i="11" l="1"/>
  <c r="E1378" i="11" l="1"/>
  <c r="E1379" i="11" l="1"/>
  <c r="E1380" i="11" l="1"/>
  <c r="E1381" i="11" l="1"/>
  <c r="E1382" i="11" l="1"/>
  <c r="E1383" i="11" l="1"/>
  <c r="E1384" i="11" l="1"/>
  <c r="E1385" i="11" l="1"/>
  <c r="E1386" i="11" l="1"/>
  <c r="E1387" i="11" l="1"/>
  <c r="E1388" i="11" l="1"/>
  <c r="E1389" i="11" l="1"/>
  <c r="E1390" i="11" l="1"/>
  <c r="E1391" i="11" l="1"/>
  <c r="E1392" i="11" l="1"/>
  <c r="E1393" i="11" l="1"/>
  <c r="E1394" i="11" l="1"/>
  <c r="E1395" i="11" l="1"/>
  <c r="E1396" i="11" l="1"/>
  <c r="E1397" i="11" l="1"/>
  <c r="E1398" i="11" l="1"/>
  <c r="E1399" i="11" l="1"/>
  <c r="E1400" i="11" l="1"/>
  <c r="E1401" i="11" l="1"/>
  <c r="E1402" i="11" l="1"/>
  <c r="E1403" i="11" l="1"/>
  <c r="E1404" i="11" l="1"/>
  <c r="E1405" i="11" l="1"/>
  <c r="E1406" i="11" l="1"/>
  <c r="E1407" i="11" l="1"/>
  <c r="E1408" i="11" l="1"/>
  <c r="E1409" i="11" l="1"/>
  <c r="E1410" i="11" l="1"/>
  <c r="E1411" i="11" l="1"/>
  <c r="E1412" i="11" l="1"/>
  <c r="E1413" i="11" l="1"/>
  <c r="E1414" i="11" l="1"/>
  <c r="E1415" i="11" l="1"/>
  <c r="E1416" i="11" l="1"/>
  <c r="E1417" i="11" l="1"/>
  <c r="E1418" i="11" l="1"/>
  <c r="E1419" i="11" l="1"/>
  <c r="E1420" i="11" l="1"/>
  <c r="E1421" i="11" l="1"/>
  <c r="E1422" i="11" l="1"/>
  <c r="E1423" i="11" l="1"/>
  <c r="E1424" i="11" l="1"/>
  <c r="E1425" i="11" l="1"/>
  <c r="E1426" i="11" l="1"/>
  <c r="E1427" i="11" l="1"/>
  <c r="E1428" i="11" l="1"/>
  <c r="E1429" i="11" l="1"/>
  <c r="E1430" i="11" l="1"/>
  <c r="E1431" i="11" l="1"/>
  <c r="E1432" i="11" l="1"/>
  <c r="E1433" i="11" l="1"/>
  <c r="E1434" i="11" l="1"/>
  <c r="E1435" i="11" l="1"/>
  <c r="E1436" i="11" l="1"/>
  <c r="E1437" i="11" l="1"/>
  <c r="E1438" i="11" l="1"/>
  <c r="E1439" i="11" l="1"/>
  <c r="E1440" i="11" l="1"/>
  <c r="E1441" i="11" l="1"/>
  <c r="E1442" i="11" l="1"/>
  <c r="E1443" i="11" l="1"/>
  <c r="E1444" i="11" l="1"/>
  <c r="E1445" i="11" l="1"/>
  <c r="E1446" i="11" l="1"/>
  <c r="E1447" i="11" l="1"/>
  <c r="E1448" i="11" l="1"/>
  <c r="E1449" i="11" l="1"/>
  <c r="E1450" i="11" l="1"/>
  <c r="E1451" i="11" l="1"/>
  <c r="E1452" i="11" l="1"/>
  <c r="E1453" i="11" l="1"/>
  <c r="E1454" i="11" l="1"/>
  <c r="E1455" i="11" l="1"/>
  <c r="E1456" i="11" l="1"/>
  <c r="E1457" i="11" l="1"/>
  <c r="E1458" i="11" l="1"/>
  <c r="E1459" i="11" l="1"/>
  <c r="E1460" i="11" l="1"/>
  <c r="E1461" i="11" l="1"/>
  <c r="E1462" i="11" l="1"/>
  <c r="E1463" i="11" l="1"/>
  <c r="E1464" i="11" l="1"/>
  <c r="E1465" i="11" l="1"/>
  <c r="E1466" i="11" l="1"/>
  <c r="E1467" i="11" l="1"/>
  <c r="E1468" i="11" l="1"/>
  <c r="E1469" i="11" l="1"/>
  <c r="E1470" i="11" l="1"/>
  <c r="E1471" i="11" l="1"/>
  <c r="E1472" i="11" l="1"/>
  <c r="E1473" i="11" l="1"/>
  <c r="E1474" i="11" l="1"/>
  <c r="E1475" i="11" l="1"/>
  <c r="E1476" i="11" l="1"/>
  <c r="E1477" i="11" l="1"/>
  <c r="E1478" i="11" l="1"/>
  <c r="E1479" i="11" l="1"/>
  <c r="E1480" i="11" l="1"/>
  <c r="E1481" i="11" l="1"/>
  <c r="E1482" i="11" l="1"/>
  <c r="E1483" i="11" l="1"/>
  <c r="E1484" i="11" l="1"/>
  <c r="E1485" i="11" l="1"/>
  <c r="E1486" i="11" l="1"/>
  <c r="E1487" i="11" l="1"/>
  <c r="E1488" i="11" l="1"/>
  <c r="E1489" i="11" l="1"/>
  <c r="E1490" i="11" l="1"/>
  <c r="E1491" i="11" l="1"/>
  <c r="E1492" i="11" l="1"/>
  <c r="E1493" i="11" l="1"/>
  <c r="E1494" i="11" l="1"/>
  <c r="E1495" i="11" l="1"/>
  <c r="E1496" i="11" l="1"/>
  <c r="E1497" i="11" l="1"/>
  <c r="E1498" i="11" l="1"/>
  <c r="E1499" i="11" l="1"/>
  <c r="E1500" i="11" l="1"/>
  <c r="E1501" i="11" l="1"/>
  <c r="E1502" i="11" l="1"/>
  <c r="E1503" i="11" l="1"/>
  <c r="E1504" i="11" l="1"/>
  <c r="E1505" i="11" l="1"/>
  <c r="E1506" i="11" l="1"/>
  <c r="E1507" i="11" l="1"/>
  <c r="E1508" i="11" l="1"/>
  <c r="E1509" i="11" l="1"/>
  <c r="E1510" i="11" l="1"/>
  <c r="E1511" i="11" l="1"/>
  <c r="E1512" i="11" l="1"/>
  <c r="E1513" i="11" l="1"/>
  <c r="E1514" i="11" l="1"/>
  <c r="E1515" i="11" l="1"/>
  <c r="E1516" i="11" l="1"/>
  <c r="E1517" i="11" l="1"/>
  <c r="E1518" i="11" l="1"/>
  <c r="E1519" i="11" l="1"/>
  <c r="E1520" i="11" l="1"/>
  <c r="E1521" i="11" l="1"/>
  <c r="E1522" i="11" l="1"/>
  <c r="E1523" i="11" l="1"/>
  <c r="E1524" i="11" l="1"/>
  <c r="E1525" i="11" l="1"/>
  <c r="E1526" i="11" l="1"/>
  <c r="E1527" i="11" l="1"/>
  <c r="E1528" i="11" l="1"/>
  <c r="E1529" i="11" l="1"/>
  <c r="E1530" i="11" l="1"/>
  <c r="E1531" i="11" l="1"/>
  <c r="E1532" i="11" l="1"/>
  <c r="E1533" i="11" l="1"/>
  <c r="E1534" i="11" l="1"/>
  <c r="E1535" i="11" l="1"/>
  <c r="E1536" i="11" l="1"/>
  <c r="E1537" i="11" l="1"/>
  <c r="E1538" i="11" l="1"/>
  <c r="E1539" i="11" l="1"/>
  <c r="E1540" i="11" l="1"/>
  <c r="E1541" i="11" l="1"/>
  <c r="E1542" i="11" l="1"/>
  <c r="E1543" i="11" l="1"/>
  <c r="E1544" i="11" l="1"/>
  <c r="E1545" i="11" l="1"/>
  <c r="E1546" i="11" l="1"/>
  <c r="E1547" i="11" l="1"/>
  <c r="E1548" i="11" l="1"/>
  <c r="E1549" i="11" l="1"/>
  <c r="E1550" i="11" l="1"/>
  <c r="E1551" i="11" l="1"/>
  <c r="E1552" i="11" l="1"/>
  <c r="E1553" i="11" l="1"/>
  <c r="E1554" i="11" l="1"/>
  <c r="E1555" i="11" l="1"/>
  <c r="E1556" i="11" l="1"/>
  <c r="E1557" i="11" l="1"/>
  <c r="E1558" i="11" l="1"/>
  <c r="E1559" i="11" l="1"/>
  <c r="E1560" i="11" l="1"/>
  <c r="E1561" i="11" l="1"/>
  <c r="E1562" i="11" l="1"/>
  <c r="E1563" i="11" l="1"/>
  <c r="E1564" i="11" l="1"/>
  <c r="E1565" i="11" l="1"/>
  <c r="E1566" i="11" l="1"/>
  <c r="E1567" i="11" l="1"/>
  <c r="E1568" i="11" l="1"/>
  <c r="E1569" i="11" l="1"/>
  <c r="E1570" i="11" l="1"/>
  <c r="E1571" i="11" l="1"/>
  <c r="E1572" i="11" l="1"/>
  <c r="E1573" i="11" l="1"/>
  <c r="E1574" i="11" l="1"/>
  <c r="E1575" i="11" l="1"/>
  <c r="E1576" i="11" l="1"/>
  <c r="E1577" i="11" l="1"/>
  <c r="E1578" i="11" l="1"/>
  <c r="E1579" i="11" l="1"/>
  <c r="E1580" i="11" l="1"/>
  <c r="E1581" i="11" l="1"/>
  <c r="E1582" i="11" l="1"/>
  <c r="E1583" i="11" l="1"/>
  <c r="E1584" i="11" l="1"/>
  <c r="E1585" i="11" l="1"/>
  <c r="E1586" i="11" l="1"/>
  <c r="E1587" i="11" l="1"/>
  <c r="E1588" i="11" l="1"/>
  <c r="E1589" i="11" l="1"/>
  <c r="E1590" i="11" l="1"/>
  <c r="E1591" i="11" l="1"/>
  <c r="E1592" i="11" l="1"/>
  <c r="E1593" i="11" l="1"/>
  <c r="E1594" i="11" l="1"/>
  <c r="E1595" i="11" l="1"/>
  <c r="E1596" i="11" l="1"/>
  <c r="E1597" i="11" l="1"/>
  <c r="E1598" i="11" l="1"/>
  <c r="E1599" i="11" l="1"/>
  <c r="E1600" i="11" l="1"/>
  <c r="E1601" i="11" l="1"/>
  <c r="E1602" i="11" l="1"/>
  <c r="E1603" i="11" l="1"/>
  <c r="E1604" i="11" l="1"/>
  <c r="E1605" i="11" l="1"/>
  <c r="E1606" i="11" l="1"/>
  <c r="E1607" i="11" l="1"/>
  <c r="E1608" i="11" l="1"/>
  <c r="E1609" i="11" l="1"/>
  <c r="E1610" i="11" l="1"/>
  <c r="E1611" i="11" l="1"/>
  <c r="E1612" i="11" l="1"/>
  <c r="E1613" i="11" l="1"/>
  <c r="E1614" i="11" l="1"/>
  <c r="E1615" i="11" l="1"/>
  <c r="E1616" i="11" l="1"/>
  <c r="E1617" i="11" l="1"/>
  <c r="E1618" i="11" l="1"/>
  <c r="E1619" i="11" l="1"/>
  <c r="E1620" i="11" l="1"/>
  <c r="E1621" i="11" l="1"/>
  <c r="E1622" i="11" l="1"/>
  <c r="E1623" i="11" l="1"/>
  <c r="E1624" i="11" l="1"/>
  <c r="E1625" i="11" l="1"/>
  <c r="E1626" i="11" l="1"/>
  <c r="E1627" i="11" l="1"/>
  <c r="E1628" i="11" l="1"/>
  <c r="E1629" i="11" l="1"/>
  <c r="E1630" i="11" l="1"/>
  <c r="E1631" i="11" l="1"/>
  <c r="E1632" i="11" l="1"/>
  <c r="E1633" i="11" l="1"/>
  <c r="E1634" i="11" l="1"/>
  <c r="E1635" i="11" l="1"/>
  <c r="E1636" i="11" l="1"/>
  <c r="E1637" i="11" l="1"/>
  <c r="E1638" i="11" l="1"/>
  <c r="E1639" i="11" l="1"/>
  <c r="E1640" i="11" l="1"/>
  <c r="E1641" i="11" l="1"/>
  <c r="E1642" i="11" l="1"/>
  <c r="E1643" i="11" l="1"/>
  <c r="E1644" i="11" l="1"/>
  <c r="E1645" i="11" l="1"/>
  <c r="E1646" i="11" l="1"/>
  <c r="E1647" i="11" l="1"/>
  <c r="E1648" i="11" l="1"/>
  <c r="E1649" i="11" l="1"/>
  <c r="E1650" i="11" l="1"/>
  <c r="E1651" i="11" l="1"/>
  <c r="E1652" i="11" l="1"/>
  <c r="E1653" i="11" l="1"/>
  <c r="E1654" i="11" l="1"/>
  <c r="E1655" i="11" l="1"/>
  <c r="E1656" i="11" l="1"/>
  <c r="E1657" i="11" l="1"/>
  <c r="E1658" i="11" l="1"/>
  <c r="E1659" i="11" l="1"/>
  <c r="E1660" i="11" l="1"/>
  <c r="E1661" i="11" l="1"/>
  <c r="E1662" i="11" l="1"/>
  <c r="E1663" i="11" l="1"/>
  <c r="E1664" i="11" l="1"/>
  <c r="E1665" i="11" l="1"/>
  <c r="E1666" i="11" l="1"/>
  <c r="E1667" i="11" l="1"/>
  <c r="E1668" i="11" l="1"/>
  <c r="E1669" i="11" l="1"/>
  <c r="E1670" i="11" l="1"/>
  <c r="E1671" i="11" l="1"/>
  <c r="E1672" i="11" l="1"/>
  <c r="E1673" i="11" l="1"/>
  <c r="E1674" i="11" l="1"/>
  <c r="E1675" i="11" l="1"/>
  <c r="E1676" i="11" l="1"/>
  <c r="E1677" i="11" l="1"/>
  <c r="E1678" i="11" l="1"/>
  <c r="E1679" i="11" l="1"/>
  <c r="E1680" i="11" l="1"/>
  <c r="E1681" i="11" l="1"/>
  <c r="E1682" i="11" l="1"/>
  <c r="E1683" i="11" l="1"/>
  <c r="E1684" i="11" l="1"/>
  <c r="E1685" i="11" l="1"/>
  <c r="E1686" i="11" l="1"/>
  <c r="E1687" i="11" l="1"/>
  <c r="E1688" i="11" l="1"/>
  <c r="E1689" i="11" l="1"/>
  <c r="E1690" i="11" l="1"/>
  <c r="E1691" i="11" l="1"/>
  <c r="E1692" i="11" l="1"/>
  <c r="E1693" i="11" l="1"/>
  <c r="E1694" i="11" l="1"/>
  <c r="E1695" i="11" l="1"/>
  <c r="E1696" i="11" l="1"/>
  <c r="E1697" i="11" l="1"/>
  <c r="E1698" i="11" l="1"/>
  <c r="E1699" i="11" l="1"/>
  <c r="E1700" i="11" l="1"/>
  <c r="E1701" i="11" l="1"/>
  <c r="E1702" i="11" l="1"/>
  <c r="E1703" i="11" l="1"/>
  <c r="E1704" i="11" l="1"/>
  <c r="E1705" i="11" l="1"/>
  <c r="E1706" i="11" l="1"/>
  <c r="E1707" i="11" l="1"/>
  <c r="E1708" i="11" l="1"/>
  <c r="E1709" i="11" l="1"/>
  <c r="E1710" i="11" l="1"/>
  <c r="E1711" i="11" l="1"/>
  <c r="E1712" i="11" l="1"/>
  <c r="E1713" i="11" l="1"/>
  <c r="E1714" i="11" l="1"/>
  <c r="E1715" i="11" l="1"/>
  <c r="E1716" i="11" l="1"/>
  <c r="E1717" i="11" l="1"/>
  <c r="E1718" i="11" l="1"/>
  <c r="E1719" i="11" l="1"/>
  <c r="E1720" i="11" l="1"/>
  <c r="E1721" i="11" l="1"/>
  <c r="E1722" i="11" l="1"/>
  <c r="E1723" i="11" l="1"/>
  <c r="E1724" i="11" l="1"/>
  <c r="E1725" i="11" l="1"/>
  <c r="E1726" i="11" l="1"/>
  <c r="E1727" i="11" l="1"/>
  <c r="E1728" i="11" l="1"/>
  <c r="E1729" i="11" l="1"/>
  <c r="E1730" i="11" l="1"/>
  <c r="E1731" i="11" l="1"/>
  <c r="E1732" i="11" l="1"/>
  <c r="E1733" i="11" l="1"/>
  <c r="E1734" i="11" l="1"/>
  <c r="E1735" i="11" l="1"/>
  <c r="E1736" i="11" l="1"/>
  <c r="E1737" i="11" l="1"/>
  <c r="E1738" i="11" l="1"/>
  <c r="E1739" i="11" l="1"/>
  <c r="E1740" i="11" l="1"/>
  <c r="E1741" i="11" l="1"/>
  <c r="E1742" i="11" l="1"/>
  <c r="E1743" i="11" l="1"/>
  <c r="E1744" i="11" l="1"/>
  <c r="E1745" i="11" l="1"/>
  <c r="E1746" i="11" l="1"/>
  <c r="E1747" i="11" l="1"/>
  <c r="E1748" i="11" l="1"/>
  <c r="E1749" i="11" l="1"/>
  <c r="E1750" i="11" l="1"/>
  <c r="E1751" i="11" l="1"/>
  <c r="E1752" i="11" l="1"/>
  <c r="E1753" i="11" l="1"/>
  <c r="E1754" i="11" l="1"/>
  <c r="E1755" i="11" l="1"/>
  <c r="E1756" i="11" l="1"/>
  <c r="E1757" i="11" l="1"/>
  <c r="E1758" i="11" l="1"/>
  <c r="E1759" i="11" l="1"/>
  <c r="E1760" i="11" l="1"/>
  <c r="E1761" i="11" l="1"/>
  <c r="E1762" i="11" l="1"/>
  <c r="E1763" i="11" l="1"/>
  <c r="E1764" i="11" l="1"/>
  <c r="E1765" i="11" l="1"/>
  <c r="E1766" i="11" l="1"/>
  <c r="E1767" i="11" l="1"/>
  <c r="E1768" i="11" l="1"/>
  <c r="E1769" i="11" l="1"/>
  <c r="E1770" i="11" l="1"/>
  <c r="E1771" i="11" l="1"/>
  <c r="E1772" i="11" l="1"/>
  <c r="E1773" i="11" l="1"/>
  <c r="E1774" i="11" l="1"/>
  <c r="E1775" i="11" l="1"/>
  <c r="E1776" i="11" l="1"/>
  <c r="E1777" i="11" l="1"/>
  <c r="E1778" i="11" l="1"/>
  <c r="E1779" i="11" l="1"/>
  <c r="E1780" i="11" l="1"/>
  <c r="E1781" i="11" l="1"/>
  <c r="E1782" i="11" l="1"/>
  <c r="E1783" i="11" l="1"/>
  <c r="E1784" i="11" l="1"/>
  <c r="E1785" i="11" l="1"/>
  <c r="E1786" i="11" l="1"/>
  <c r="E1787" i="11" l="1"/>
  <c r="E1788" i="11" l="1"/>
  <c r="E1789" i="11" l="1"/>
  <c r="E1790" i="11" l="1"/>
  <c r="E1791" i="11" l="1"/>
  <c r="E1792" i="11" l="1"/>
  <c r="E1793" i="11" l="1"/>
  <c r="E1794" i="11" l="1"/>
  <c r="E1795" i="11" l="1"/>
  <c r="E1796" i="11" l="1"/>
  <c r="E1797" i="11" l="1"/>
  <c r="E1798" i="11" l="1"/>
  <c r="E1799" i="11" l="1"/>
  <c r="E1800" i="11" l="1"/>
  <c r="E1801" i="11" l="1"/>
  <c r="E1802" i="11" l="1"/>
  <c r="E1803" i="11" l="1"/>
  <c r="E1804" i="11" l="1"/>
  <c r="E1805" i="11" l="1"/>
  <c r="E1806" i="11" l="1"/>
  <c r="E1807" i="11" l="1"/>
  <c r="E1808" i="11" l="1"/>
  <c r="E1809" i="11" l="1"/>
  <c r="E1810" i="11" l="1"/>
  <c r="E1811" i="11" l="1"/>
  <c r="E1812" i="11" l="1"/>
  <c r="E1813" i="11" l="1"/>
  <c r="E1814" i="11" l="1"/>
  <c r="E1815" i="11" l="1"/>
  <c r="E1816" i="11" l="1"/>
  <c r="E1817" i="11" l="1"/>
  <c r="E1818" i="11" l="1"/>
  <c r="E1819" i="11" l="1"/>
  <c r="E1820" i="11" l="1"/>
  <c r="E1821" i="11" l="1"/>
  <c r="E1822" i="11" l="1"/>
  <c r="E1823" i="11" l="1"/>
  <c r="E1824" i="11" l="1"/>
  <c r="E1825" i="11" l="1"/>
  <c r="E1826" i="11" l="1"/>
  <c r="E1827" i="11" l="1"/>
  <c r="E1828" i="11" l="1"/>
  <c r="E1829" i="11" l="1"/>
  <c r="E1830" i="11" l="1"/>
  <c r="E1831" i="11" l="1"/>
  <c r="E1832" i="11" l="1"/>
  <c r="E1833" i="11" l="1"/>
  <c r="E1834" i="11" l="1"/>
  <c r="E1835" i="11" l="1"/>
  <c r="E1836" i="11" l="1"/>
  <c r="E1837" i="11" l="1"/>
  <c r="E1838" i="11" l="1"/>
  <c r="E1839" i="11" l="1"/>
  <c r="E1840" i="11" l="1"/>
  <c r="E1841" i="11" l="1"/>
  <c r="E1842" i="11" l="1"/>
  <c r="E1843" i="11" l="1"/>
  <c r="E1844" i="11" l="1"/>
  <c r="E1845" i="11" l="1"/>
  <c r="E1846" i="11" l="1"/>
  <c r="E1847" i="11" l="1"/>
  <c r="E1848" i="11" l="1"/>
  <c r="E1849" i="11" l="1"/>
  <c r="E1850" i="11" l="1"/>
  <c r="E1851" i="11" l="1"/>
  <c r="E1852" i="11" l="1"/>
  <c r="E1853" i="11" l="1"/>
  <c r="E1854" i="11" l="1"/>
  <c r="E1855" i="11" l="1"/>
  <c r="E1856" i="11" l="1"/>
  <c r="E1857" i="11" l="1"/>
  <c r="E1858" i="11" l="1"/>
  <c r="E1859" i="11" l="1"/>
  <c r="E1860" i="11" l="1"/>
  <c r="E1861" i="11" l="1"/>
  <c r="E1862" i="11" l="1"/>
  <c r="E1863" i="11" l="1"/>
  <c r="E1864" i="11" l="1"/>
  <c r="E1865" i="11" l="1"/>
  <c r="E1866" i="11" l="1"/>
  <c r="E1867" i="11" l="1"/>
  <c r="E1868" i="11" l="1"/>
  <c r="E1869" i="11" l="1"/>
  <c r="E1870" i="11" l="1"/>
  <c r="E1871" i="11" l="1"/>
  <c r="E1872" i="11" l="1"/>
  <c r="E1873" i="11" l="1"/>
  <c r="E1874" i="11" l="1"/>
  <c r="E1875" i="11" l="1"/>
  <c r="E1876" i="11" l="1"/>
  <c r="E1877" i="11" l="1"/>
  <c r="E1878" i="11" l="1"/>
  <c r="E1879" i="11" l="1"/>
  <c r="E1880" i="11" l="1"/>
  <c r="E1881" i="11" l="1"/>
  <c r="E1882" i="11" l="1"/>
  <c r="E1883" i="11" l="1"/>
  <c r="E1884" i="11" l="1"/>
  <c r="E1885" i="11" l="1"/>
  <c r="E1886" i="11" l="1"/>
  <c r="E1887" i="11" l="1"/>
  <c r="E1888" i="11" l="1"/>
  <c r="E1889" i="11" l="1"/>
  <c r="E1890" i="11" l="1"/>
  <c r="E1891" i="11" l="1"/>
  <c r="E1892" i="11" l="1"/>
  <c r="E1893" i="11" l="1"/>
  <c r="E1894" i="11" l="1"/>
  <c r="E1895" i="11" l="1"/>
  <c r="E1896" i="11" l="1"/>
  <c r="E1897" i="11" l="1"/>
  <c r="E1898" i="11" l="1"/>
  <c r="E1899" i="11" l="1"/>
  <c r="E1900" i="11" l="1"/>
  <c r="E1901" i="11" l="1"/>
  <c r="E1902" i="11" l="1"/>
  <c r="E1903" i="11" l="1"/>
  <c r="E1904" i="11" l="1"/>
  <c r="E1905" i="11" l="1"/>
  <c r="E1906" i="11" l="1"/>
  <c r="E1907" i="11" l="1"/>
  <c r="E1908" i="11" l="1"/>
  <c r="E1909" i="11" l="1"/>
  <c r="E1910" i="11" l="1"/>
  <c r="E1911" i="11" l="1"/>
  <c r="E1912" i="11" l="1"/>
  <c r="E1913" i="11" l="1"/>
  <c r="E1914" i="11" l="1"/>
  <c r="E1915" i="11" l="1"/>
  <c r="E1916" i="11" l="1"/>
  <c r="E1917" i="11" l="1"/>
  <c r="E1918" i="11" l="1"/>
  <c r="E1919" i="11" l="1"/>
  <c r="E1920" i="11" l="1"/>
  <c r="E1921" i="11" l="1"/>
  <c r="E1922" i="11" l="1"/>
  <c r="E1923" i="11" l="1"/>
  <c r="E1924" i="11" l="1"/>
  <c r="E1925" i="11" l="1"/>
  <c r="E1926" i="11" l="1"/>
  <c r="E1927" i="11" l="1"/>
  <c r="E1928" i="11" l="1"/>
  <c r="E1929" i="11" l="1"/>
  <c r="E1930" i="11" l="1"/>
  <c r="E1931" i="11" l="1"/>
  <c r="E1932" i="11" l="1"/>
  <c r="E1933" i="11" l="1"/>
  <c r="E1934" i="11" l="1"/>
  <c r="E1935" i="11" l="1"/>
  <c r="E1936" i="11" l="1"/>
  <c r="E1937" i="11" l="1"/>
  <c r="E1938" i="11" l="1"/>
  <c r="E1939" i="11" l="1"/>
  <c r="E1940" i="11" l="1"/>
  <c r="E1941" i="11" l="1"/>
  <c r="E1942" i="11" l="1"/>
  <c r="E1943" i="11" l="1"/>
  <c r="E1944" i="11" l="1"/>
  <c r="E1945" i="11" l="1"/>
  <c r="E1946" i="11" l="1"/>
  <c r="E1947" i="11" l="1"/>
  <c r="E1948" i="11" l="1"/>
  <c r="E1949" i="11" l="1"/>
  <c r="E1950" i="11" l="1"/>
  <c r="E1951" i="11" l="1"/>
  <c r="E1952" i="11" l="1"/>
  <c r="E1953" i="11" l="1"/>
  <c r="E1954" i="11" l="1"/>
  <c r="E1955" i="11" l="1"/>
  <c r="E1956" i="11" l="1"/>
  <c r="E1957" i="11" l="1"/>
  <c r="E1958" i="11" l="1"/>
  <c r="E1959" i="11" l="1"/>
  <c r="E1960" i="11" l="1"/>
  <c r="E1961" i="11" l="1"/>
  <c r="E1962" i="11" l="1"/>
  <c r="E1963" i="11" l="1"/>
  <c r="E1964" i="11" l="1"/>
  <c r="E1965" i="11" l="1"/>
  <c r="E1966" i="11" l="1"/>
  <c r="E1967" i="11" l="1"/>
  <c r="E1968" i="11" l="1"/>
  <c r="E1969" i="11" l="1"/>
  <c r="E1970" i="11" l="1"/>
  <c r="E1971" i="11" l="1"/>
  <c r="E1972" i="11" l="1"/>
  <c r="E1973" i="11" l="1"/>
  <c r="E1974" i="11" l="1"/>
  <c r="E1975" i="11" l="1"/>
  <c r="E1976" i="11" l="1"/>
  <c r="E1977" i="11" l="1"/>
  <c r="E1978" i="11" l="1"/>
  <c r="E1979" i="11" l="1"/>
  <c r="E1980" i="11" l="1"/>
  <c r="E1981" i="11" l="1"/>
  <c r="E1982" i="11" l="1"/>
  <c r="E1983" i="11" l="1"/>
  <c r="E1984" i="11" l="1"/>
  <c r="E1985" i="11" l="1"/>
  <c r="E1986" i="11" l="1"/>
  <c r="E1987" i="11" l="1"/>
  <c r="E1988" i="11" l="1"/>
  <c r="E1989" i="11" l="1"/>
  <c r="E1990" i="11" l="1"/>
  <c r="E1991" i="11" l="1"/>
  <c r="E1992" i="11" l="1"/>
  <c r="E1993" i="11" l="1"/>
  <c r="E1994" i="11" l="1"/>
  <c r="E1995" i="11" l="1"/>
  <c r="E1996" i="11" l="1"/>
  <c r="E1997" i="11" l="1"/>
  <c r="E1998" i="11" l="1"/>
  <c r="E1999" i="11" l="1"/>
  <c r="R3" i="11" l="1" a="1"/>
  <c r="R3" i="11" s="1"/>
  <c r="E2000" i="11"/>
  <c r="R10" i="11" a="1"/>
  <c r="R10" i="11" s="1"/>
  <c r="P10" i="11" s="1"/>
  <c r="R27" i="11" a="1"/>
  <c r="R27" i="11" s="1"/>
  <c r="P27" i="11" s="1"/>
  <c r="R11" i="11" a="1"/>
  <c r="R11" i="11" s="1"/>
  <c r="P11" i="11" s="1"/>
  <c r="R26" i="11" a="1"/>
  <c r="R26" i="11" s="1"/>
  <c r="P26" i="11" s="1"/>
  <c r="R19" i="11" a="1"/>
  <c r="R19" i="11" s="1"/>
  <c r="P19" i="11" s="1"/>
  <c r="R23" i="11" a="1"/>
  <c r="R23" i="11" s="1"/>
  <c r="P23" i="11" s="1"/>
  <c r="L15" i="11" a="1"/>
  <c r="L15" i="11" s="1"/>
  <c r="L16" i="11" s="1"/>
  <c r="R4" i="11" a="1"/>
  <c r="R4" i="11" s="1"/>
  <c r="R16" i="11" a="1"/>
  <c r="R16" i="11" s="1"/>
  <c r="P16" i="11" s="1"/>
  <c r="Q3" i="11" l="1"/>
  <c r="Q11" i="11"/>
  <c r="Q16" i="11"/>
  <c r="Q23" i="11"/>
  <c r="Q27" i="11"/>
  <c r="Q19" i="11"/>
  <c r="Q10" i="11"/>
  <c r="Q4" i="11"/>
  <c r="S4" i="11" s="1"/>
  <c r="B2" i="16" s="1" a="1"/>
  <c r="B2" i="16" s="1"/>
  <c r="Q26" i="11"/>
  <c r="L11" i="11"/>
  <c r="L12" i="11" s="1"/>
  <c r="R13" i="11" a="1"/>
  <c r="R13" i="11" s="1"/>
  <c r="P13" i="11" s="1"/>
  <c r="R12" i="11" a="1"/>
  <c r="R12" i="11" s="1"/>
  <c r="P12" i="11" s="1"/>
  <c r="R5" i="11" a="1"/>
  <c r="R5" i="11" s="1"/>
  <c r="P5" i="11" s="1"/>
  <c r="R14" i="11" a="1"/>
  <c r="R14" i="11" s="1"/>
  <c r="P14" i="11" s="1"/>
  <c r="R22" i="11" a="1"/>
  <c r="R22" i="11" s="1"/>
  <c r="P22" i="11" s="1"/>
  <c r="R8" i="11" a="1"/>
  <c r="R8" i="11" s="1"/>
  <c r="P8" i="11" s="1"/>
  <c r="R20" i="11" a="1"/>
  <c r="R20" i="11" s="1"/>
  <c r="P20" i="11" s="1"/>
  <c r="R25" i="11" a="1"/>
  <c r="R25" i="11" s="1"/>
  <c r="P25" i="11" s="1"/>
  <c r="R15" i="11" a="1"/>
  <c r="R15" i="11" s="1"/>
  <c r="P15" i="11" s="1"/>
  <c r="L13" i="11" a="1"/>
  <c r="L13" i="11" s="1"/>
  <c r="L14" i="11" s="1"/>
  <c r="R7" i="11" a="1"/>
  <c r="R7" i="11" s="1"/>
  <c r="P7" i="11" s="1"/>
  <c r="R9" i="11" a="1"/>
  <c r="R9" i="11" s="1"/>
  <c r="P9" i="11" s="1"/>
  <c r="R18" i="11" a="1"/>
  <c r="R18" i="11" s="1"/>
  <c r="P18" i="11" s="1"/>
  <c r="R17" i="11" a="1"/>
  <c r="R17" i="11" s="1"/>
  <c r="P17" i="11" s="1"/>
  <c r="R21" i="11" a="1"/>
  <c r="R21" i="11" s="1"/>
  <c r="P21" i="11" s="1"/>
  <c r="R6" i="11" a="1"/>
  <c r="R6" i="11" s="1"/>
  <c r="P6" i="11" s="1"/>
  <c r="R24" i="11" a="1"/>
  <c r="R24" i="11" s="1"/>
  <c r="P24" i="11" s="1"/>
  <c r="Q17" i="11" l="1"/>
  <c r="S17" i="11" s="1"/>
  <c r="O2" i="16" s="1" a="1"/>
  <c r="O2" i="16" s="1"/>
  <c r="Q8" i="11"/>
  <c r="Q12" i="11"/>
  <c r="Q24" i="11"/>
  <c r="S24" i="11" s="1"/>
  <c r="V2" i="16" s="1" a="1"/>
  <c r="V2" i="16" s="1"/>
  <c r="Q18" i="11"/>
  <c r="Q15" i="11"/>
  <c r="Q22" i="11"/>
  <c r="Q13" i="11"/>
  <c r="Q6" i="11"/>
  <c r="Q9" i="11"/>
  <c r="Q25" i="11"/>
  <c r="Q14" i="11"/>
  <c r="Q21" i="11"/>
  <c r="Q7" i="11"/>
  <c r="Q20" i="11"/>
  <c r="Q5" i="11"/>
  <c r="S5" i="11" s="1"/>
  <c r="C2" i="16" s="1" a="1"/>
  <c r="C2" i="16" s="1"/>
  <c r="S3" i="11"/>
  <c r="S20" i="11" l="1"/>
  <c r="S12" i="11"/>
  <c r="J2" i="16" s="1" a="1"/>
  <c r="J2" i="16" s="1"/>
  <c r="R2" i="16" a="1"/>
  <c r="R2" i="16" s="1"/>
  <c r="S21" i="11"/>
  <c r="S2" i="16" s="1" a="1"/>
  <c r="S2" i="16" s="1"/>
  <c r="S22" i="11"/>
  <c r="T2" i="16" s="1" a="1"/>
  <c r="T2" i="16" s="1"/>
  <c r="S9" i="11"/>
  <c r="G2" i="16" s="1" a="1"/>
  <c r="G2" i="16" s="1"/>
  <c r="S15" i="11"/>
  <c r="M2" i="16" s="1" a="1"/>
  <c r="M2" i="16" s="1"/>
  <c r="S27" i="11"/>
  <c r="Y2" i="16" s="1" a="1"/>
  <c r="Y2" i="16" s="1"/>
  <c r="S14" i="11"/>
  <c r="L2" i="16" s="1" a="1"/>
  <c r="L2" i="16" s="1"/>
  <c r="S11" i="11"/>
  <c r="I2" i="16" s="1" a="1"/>
  <c r="I2" i="16" s="1"/>
  <c r="S13" i="11"/>
  <c r="S8" i="11"/>
  <c r="F2" i="16" s="1" a="1"/>
  <c r="F2" i="16" s="1"/>
  <c r="S7" i="11"/>
  <c r="S6" i="11" l="1"/>
  <c r="D2" i="16" s="1" a="1"/>
  <c r="D2" i="16" s="1"/>
  <c r="S23" i="11"/>
  <c r="U2" i="16" s="1" a="1"/>
  <c r="U2" i="16" s="1"/>
  <c r="S19" i="11"/>
  <c r="Q2" i="16" s="1" a="1"/>
  <c r="Q2" i="16" s="1"/>
  <c r="S16" i="11"/>
  <c r="N2" i="16" s="1" a="1"/>
  <c r="N2" i="16" s="1"/>
  <c r="E2" i="16" a="1"/>
  <c r="E2" i="16" s="1"/>
  <c r="K2" i="16" a="1"/>
  <c r="K2" i="16" s="1"/>
  <c r="S26" i="11"/>
  <c r="X2" i="16" s="1" a="1"/>
  <c r="X2" i="16" s="1"/>
  <c r="S18" i="11"/>
  <c r="P2" i="16" s="1" a="1"/>
  <c r="P2" i="16" s="1"/>
  <c r="S25" i="11"/>
  <c r="W2" i="16" s="1" a="1"/>
  <c r="W2" i="16" s="1"/>
  <c r="S10" i="11"/>
  <c r="H2" i="16" s="1" a="1"/>
  <c r="H2" i="16" s="1"/>
  <c r="L3" i="9" l="1"/>
  <c r="E25" i="1" l="1"/>
</calcChain>
</file>

<file path=xl/sharedStrings.xml><?xml version="1.0" encoding="utf-8"?>
<sst xmlns="http://schemas.openxmlformats.org/spreadsheetml/2006/main" count="701" uniqueCount="517">
  <si>
    <t>Testing Result for mental-functional state</t>
  </si>
  <si>
    <t>Name</t>
  </si>
  <si>
    <t>ID</t>
  </si>
  <si>
    <t>Gender</t>
  </si>
  <si>
    <t xml:space="preserve"> Date</t>
  </si>
  <si>
    <t>1st Test</t>
  </si>
  <si>
    <t>Age</t>
  </si>
  <si>
    <t>Σ Vi</t>
  </si>
  <si>
    <t>M</t>
  </si>
  <si>
    <t>S</t>
  </si>
  <si>
    <t>Vi (S/M)</t>
  </si>
  <si>
    <t>bMin</t>
  </si>
  <si>
    <t>cMin</t>
  </si>
  <si>
    <t>bMax</t>
  </si>
  <si>
    <t>cMax</t>
  </si>
  <si>
    <t>10 Parameter Results</t>
  </si>
  <si>
    <t>Aggression</t>
  </si>
  <si>
    <t>Parameter</t>
  </si>
  <si>
    <t>Min</t>
  </si>
  <si>
    <t>Avg</t>
  </si>
  <si>
    <t>Max</t>
  </si>
  <si>
    <t>Vi</t>
  </si>
  <si>
    <t>Stress</t>
  </si>
  <si>
    <t>Tension</t>
  </si>
  <si>
    <t>Suspect</t>
  </si>
  <si>
    <t>Balance</t>
  </si>
  <si>
    <t>Charm</t>
  </si>
  <si>
    <t>Energy</t>
  </si>
  <si>
    <t>Parameter Chart</t>
  </si>
  <si>
    <t>Emotion distribution Chart</t>
  </si>
  <si>
    <t>Self-Regulation</t>
  </si>
  <si>
    <t>Inhibition</t>
  </si>
  <si>
    <t>Neuroticism</t>
  </si>
  <si>
    <t>Positive</t>
  </si>
  <si>
    <t>Negative</t>
  </si>
  <si>
    <t>Physiological</t>
  </si>
  <si>
    <t xml:space="preserve">Psy variability - Mental basal metabolism </t>
  </si>
  <si>
    <t>Mf</t>
  </si>
  <si>
    <t>Psy change rate</t>
  </si>
  <si>
    <t>Kcal/min</t>
  </si>
  <si>
    <t xml:space="preserve">Your testing result for mental functional state is </t>
  </si>
  <si>
    <t xml:space="preserve"> Normal</t>
  </si>
  <si>
    <t xml:space="preserve"> To recommend a professional consultation</t>
  </si>
  <si>
    <t>Comments</t>
  </si>
  <si>
    <t>n</t>
  </si>
  <si>
    <t>fps</t>
  </si>
  <si>
    <t>FH_h</t>
  </si>
  <si>
    <t>FH_ha</t>
  </si>
  <si>
    <t>FT_E</t>
  </si>
  <si>
    <t>FT_PSY</t>
  </si>
  <si>
    <t>FT_FLAG</t>
  </si>
  <si>
    <t>fpsMax=</t>
  </si>
  <si>
    <t>FT_CNT=</t>
  </si>
  <si>
    <t>FTE_MIN</t>
  </si>
  <si>
    <t>FTE_MAX</t>
  </si>
  <si>
    <t>FT_PSY_MIN</t>
  </si>
  <si>
    <t>FT_PSY_MAX</t>
  </si>
  <si>
    <t>title</t>
  </si>
  <si>
    <t>BMin</t>
  </si>
  <si>
    <t>CMin</t>
  </si>
  <si>
    <t>BMax</t>
  </si>
  <si>
    <t>CMax</t>
  </si>
  <si>
    <t>ΣVi (P23)</t>
  </si>
  <si>
    <t>A1 (fast)</t>
  </si>
  <si>
    <t>A1</t>
  </si>
  <si>
    <t>A2</t>
  </si>
  <si>
    <t>A3</t>
  </si>
  <si>
    <t>A4 (fast)</t>
  </si>
  <si>
    <t>A4</t>
  </si>
  <si>
    <t>F1 (fast)</t>
  </si>
  <si>
    <t>dF1 (fast)</t>
  </si>
  <si>
    <t>F1</t>
  </si>
  <si>
    <t>F2</t>
  </si>
  <si>
    <t>F3</t>
  </si>
  <si>
    <t>F4</t>
  </si>
  <si>
    <t>F5 (fast)</t>
  </si>
  <si>
    <t>F5</t>
  </si>
  <si>
    <t>F6</t>
  </si>
  <si>
    <t>F7</t>
  </si>
  <si>
    <t>F8</t>
  </si>
  <si>
    <t>F9</t>
  </si>
  <si>
    <t>S1</t>
  </si>
  <si>
    <t>S2</t>
  </si>
  <si>
    <t>S3</t>
  </si>
  <si>
    <t>S4</t>
  </si>
  <si>
    <t>S5</t>
  </si>
  <si>
    <t>S6</t>
  </si>
  <si>
    <t>S7</t>
  </si>
  <si>
    <t>P1</t>
  </si>
  <si>
    <t>P2</t>
  </si>
  <si>
    <t>P3</t>
  </si>
  <si>
    <t>P4</t>
  </si>
  <si>
    <t>FT_TXT</t>
  </si>
  <si>
    <t>FT_T</t>
  </si>
  <si>
    <t>nq</t>
  </si>
  <si>
    <t>n1</t>
  </si>
  <si>
    <t>n2</t>
  </si>
  <si>
    <t>nt</t>
  </si>
  <si>
    <t>nw</t>
  </si>
  <si>
    <t>ref</t>
  </si>
  <si>
    <t>en</t>
  </si>
  <si>
    <t>ru</t>
  </si>
  <si>
    <t>cn</t>
  </si>
  <si>
    <t>kr</t>
  </si>
  <si>
    <t>jp</t>
  </si>
  <si>
    <t>心理生理状态分析结果</t>
  </si>
  <si>
    <t>精神判定結果</t>
  </si>
  <si>
    <t>정신기능상태 측정 결과표</t>
  </si>
  <si>
    <t>Результаты психо-эмоционального тестирования</t>
  </si>
  <si>
    <t>参数表</t>
  </si>
  <si>
    <t>情感状态分布图</t>
  </si>
  <si>
    <t>频率分布直方图</t>
  </si>
  <si>
    <t xml:space="preserve">心理变化 - 心理基础代谢 </t>
  </si>
  <si>
    <t>評価要素チャート</t>
  </si>
  <si>
    <t>感情分布チャート</t>
  </si>
  <si>
    <t>周波数のヒストグラム</t>
  </si>
  <si>
    <t xml:space="preserve">精神的流動性- 精神的基礎代謝 </t>
  </si>
  <si>
    <t>平均频率</t>
  </si>
  <si>
    <t>频率方差</t>
  </si>
  <si>
    <t>生理变化率</t>
  </si>
  <si>
    <t>千卡l/分钟</t>
  </si>
  <si>
    <t>攻击性</t>
  </si>
  <si>
    <t>压力</t>
  </si>
  <si>
    <t>焦虑</t>
  </si>
  <si>
    <t>可疑</t>
  </si>
  <si>
    <t>平衡</t>
  </si>
  <si>
    <t>自信</t>
  </si>
  <si>
    <t>活力</t>
  </si>
  <si>
    <t>自我调节</t>
  </si>
  <si>
    <t>抑郁</t>
  </si>
  <si>
    <t>神经质</t>
  </si>
  <si>
    <t>攻撃性</t>
    <rPh sb="0" eb="2">
      <t>こうげき</t>
    </rPh>
    <rPh sb="2" eb="3">
      <t>ｾｲ</t>
    </rPh>
    <phoneticPr fontId="1" type="noConversion"/>
  </si>
  <si>
    <t>緊張</t>
    <rPh sb="0" eb="2">
      <t>きんちょう</t>
    </rPh>
    <phoneticPr fontId="1" type="noConversion"/>
  </si>
  <si>
    <t>疑心</t>
    <rPh sb="0" eb="2">
      <t>ぎしん</t>
    </rPh>
    <phoneticPr fontId="1" type="noConversion"/>
  </si>
  <si>
    <t>安定性</t>
    <rPh sb="0" eb="3">
      <t>あんていせい</t>
    </rPh>
    <phoneticPr fontId="1" type="noConversion"/>
  </si>
  <si>
    <t>カリスマ性</t>
    <rPh sb="4" eb="5">
      <t>せい</t>
    </rPh>
    <phoneticPr fontId="1" type="noConversion"/>
  </si>
  <si>
    <t>自制心</t>
    <rPh sb="0" eb="3">
      <t>じせいしん</t>
    </rPh>
    <phoneticPr fontId="1" type="noConversion"/>
  </si>
  <si>
    <t>精神変化率</t>
  </si>
  <si>
    <t>평균값(Mf)</t>
  </si>
  <si>
    <t>편차</t>
  </si>
  <si>
    <t>Kcal/분</t>
  </si>
  <si>
    <t>кКал/мин</t>
  </si>
  <si>
    <t>Psy</t>
  </si>
  <si>
    <t>Агрессия</t>
  </si>
  <si>
    <t>Стресс</t>
  </si>
  <si>
    <t>Тревожность</t>
  </si>
  <si>
    <t>Опасность</t>
  </si>
  <si>
    <t>Уравновешенность</t>
  </si>
  <si>
    <t>Харизматичность</t>
  </si>
  <si>
    <t>Энергичность</t>
  </si>
  <si>
    <t>Саморегуляция</t>
  </si>
  <si>
    <t>Торможение</t>
  </si>
  <si>
    <t>Невротизм</t>
  </si>
  <si>
    <t>Позитивные</t>
  </si>
  <si>
    <t>Негативные</t>
  </si>
  <si>
    <t>Физиологические</t>
  </si>
  <si>
    <t>긍정감정</t>
    <phoneticPr fontId="1" type="noConversion"/>
  </si>
  <si>
    <t>부정감정</t>
    <phoneticPr fontId="1" type="noConversion"/>
  </si>
  <si>
    <t>생리감정</t>
    <phoneticPr fontId="1" type="noConversion"/>
  </si>
  <si>
    <t>공격성</t>
    <phoneticPr fontId="1" type="noConversion"/>
  </si>
  <si>
    <t>스트레스</t>
    <phoneticPr fontId="1" type="noConversion"/>
  </si>
  <si>
    <t>불안</t>
    <phoneticPr fontId="1" type="noConversion"/>
  </si>
  <si>
    <t>의심</t>
    <phoneticPr fontId="1" type="noConversion"/>
  </si>
  <si>
    <t>밸런스</t>
    <phoneticPr fontId="1" type="noConversion"/>
  </si>
  <si>
    <t>매력</t>
    <phoneticPr fontId="1" type="noConversion"/>
  </si>
  <si>
    <t>에너지</t>
    <phoneticPr fontId="1" type="noConversion"/>
  </si>
  <si>
    <t>자기조절</t>
    <phoneticPr fontId="1" type="noConversion"/>
  </si>
  <si>
    <t>억제</t>
    <phoneticPr fontId="1" type="noConversion"/>
  </si>
  <si>
    <t>신경증</t>
    <phoneticPr fontId="1" type="noConversion"/>
  </si>
  <si>
    <t>姓名</t>
  </si>
  <si>
    <t>性别</t>
  </si>
  <si>
    <t>年龄</t>
  </si>
  <si>
    <t>编号</t>
    <phoneticPr fontId="0" type="noConversion"/>
  </si>
  <si>
    <r>
      <rPr>
        <b/>
        <sz val="9"/>
        <color rgb="FF000000"/>
        <rFont val="Calibri"/>
        <family val="2"/>
      </rPr>
      <t xml:space="preserve"> </t>
    </r>
    <r>
      <rPr>
        <b/>
        <sz val="9"/>
        <color rgb="FF000000"/>
        <rFont val="宋体"/>
        <family val="3"/>
        <charset val="134"/>
      </rPr>
      <t>日期</t>
    </r>
  </si>
  <si>
    <t>误差率（%）</t>
    <phoneticPr fontId="0" type="noConversion"/>
  </si>
  <si>
    <t>10项参数结果</t>
  </si>
  <si>
    <t>日付</t>
    <rPh sb="0" eb="2">
      <t>ひづけ</t>
    </rPh>
    <phoneticPr fontId="1" type="noConversion"/>
  </si>
  <si>
    <t>10の評価要素からの判定結果</t>
  </si>
  <si>
    <t>Имя</t>
  </si>
  <si>
    <t>Пол</t>
  </si>
  <si>
    <t>Возраст</t>
  </si>
  <si>
    <t>Дата</t>
  </si>
  <si>
    <t>Результаты по 10 параметрам</t>
  </si>
  <si>
    <t>Result [Quality</t>
  </si>
  <si>
    <t>Результат тестирования: [Достоверность</t>
  </si>
  <si>
    <t>외향성-심리안정성 결과 [품질 [</t>
  </si>
  <si>
    <t>Extraversion</t>
  </si>
  <si>
    <t>Stability</t>
  </si>
  <si>
    <t>外向性</t>
  </si>
  <si>
    <t>稳定性</t>
  </si>
  <si>
    <t xml:space="preserve">心理生理状态分析结果： </t>
  </si>
  <si>
    <t xml:space="preserve"> 正常</t>
  </si>
  <si>
    <t>找专业人员咨询</t>
  </si>
  <si>
    <t>意见</t>
  </si>
  <si>
    <t>감정심리 차트</t>
  </si>
  <si>
    <t>Диаграмма параметров</t>
  </si>
  <si>
    <t>평군값-감정변이도 분포율</t>
  </si>
  <si>
    <t>Диаграмма эмоций</t>
  </si>
  <si>
    <t>주파수 히스토그램</t>
  </si>
  <si>
    <t>Психо-энергетическая диаграмма</t>
  </si>
  <si>
    <t>Частотная гистограмма</t>
  </si>
  <si>
    <t>情緒安定性</t>
  </si>
  <si>
    <t>あなたの精神判定結果は</t>
  </si>
  <si>
    <t>正常</t>
  </si>
  <si>
    <t>専門家への相談をおすすめします</t>
  </si>
  <si>
    <t>당신의 정신기능상태의 측정 결과는</t>
  </si>
  <si>
    <t>정상상태</t>
  </si>
  <si>
    <t xml:space="preserve"> 전문가 상담을 권장함</t>
  </si>
  <si>
    <t>의 견</t>
  </si>
  <si>
    <t xml:space="preserve">Результат тестирования: </t>
  </si>
  <si>
    <t>Экстравертность</t>
  </si>
  <si>
    <t>Стабильность</t>
  </si>
  <si>
    <t>Состояние в пределах нормы</t>
  </si>
  <si>
    <t>Рекомендована консультация со специалистом</t>
  </si>
  <si>
    <t>Комментарии</t>
  </si>
  <si>
    <t>이름</t>
    <phoneticPr fontId="1" type="noConversion"/>
  </si>
  <si>
    <t>성별</t>
    <phoneticPr fontId="1" type="noConversion"/>
  </si>
  <si>
    <t>나이</t>
    <phoneticPr fontId="1" type="noConversion"/>
  </si>
  <si>
    <t>날자</t>
    <phoneticPr fontId="1" type="noConversion"/>
  </si>
  <si>
    <t>Параметр</t>
  </si>
  <si>
    <t>Мин</t>
  </si>
  <si>
    <t>Ср</t>
  </si>
  <si>
    <t>Макс</t>
  </si>
  <si>
    <t>변수</t>
    <phoneticPr fontId="1" type="noConversion"/>
  </si>
  <si>
    <t>최소값</t>
    <phoneticPr fontId="1" type="noConversion"/>
  </si>
  <si>
    <t>평균값</t>
    <phoneticPr fontId="1" type="noConversion"/>
  </si>
  <si>
    <t>최대값</t>
    <phoneticPr fontId="1" type="noConversion"/>
  </si>
  <si>
    <r>
      <t>Vi(</t>
    </r>
    <r>
      <rPr>
        <b/>
        <sz val="8"/>
        <rFont val="돋움"/>
        <family val="3"/>
        <charset val="129"/>
      </rPr>
      <t>변이도</t>
    </r>
    <r>
      <rPr>
        <b/>
        <sz val="8"/>
        <rFont val="Calibri"/>
        <family val="2"/>
      </rPr>
      <t>)</t>
    </r>
  </si>
  <si>
    <t>M(평균값)</t>
    <phoneticPr fontId="1" type="noConversion"/>
  </si>
  <si>
    <t>S(편차)</t>
    <phoneticPr fontId="1" type="noConversion"/>
  </si>
  <si>
    <r>
      <t>Vi (</t>
    </r>
    <r>
      <rPr>
        <b/>
        <sz val="8"/>
        <color indexed="8"/>
        <rFont val="돋움"/>
        <family val="3"/>
        <charset val="129"/>
      </rPr>
      <t>변이도</t>
    </r>
    <r>
      <rPr>
        <b/>
        <sz val="8"/>
        <color indexed="8"/>
        <rFont val="Calibri"/>
        <family val="2"/>
      </rPr>
      <t>)</t>
    </r>
  </si>
  <si>
    <t>일반     최소값</t>
    <phoneticPr fontId="1" type="noConversion"/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</si>
  <si>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</t>
    </r>
    <r>
      <rPr>
        <b/>
        <sz val="8"/>
        <color indexed="8"/>
        <rFont val="돋움"/>
        <family val="3"/>
        <charset val="129"/>
      </rPr>
      <t>최소값</t>
    </r>
  </si>
  <si>
    <r>
      <rPr>
        <b/>
        <sz val="8"/>
        <color indexed="8"/>
        <rFont val="돋움"/>
        <family val="3"/>
        <charset val="129"/>
      </rPr>
      <t>일반</t>
    </r>
    <r>
      <rPr>
        <b/>
        <sz val="8"/>
        <color indexed="8"/>
        <rFont val="Calibri"/>
        <family val="2"/>
      </rPr>
      <t xml:space="preserve">       </t>
    </r>
    <r>
      <rPr>
        <b/>
        <sz val="8"/>
        <color indexed="8"/>
        <rFont val="돋움"/>
        <family val="3"/>
        <charset val="129"/>
      </rPr>
      <t>최대값</t>
    </r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</si>
  <si>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  </t>
    </r>
    <r>
      <rPr>
        <b/>
        <sz val="8"/>
        <color indexed="8"/>
        <rFont val="돋움"/>
        <family val="3"/>
        <charset val="129"/>
      </rPr>
      <t>최대값</t>
    </r>
  </si>
  <si>
    <t>I-E 그래프</t>
  </si>
  <si>
    <t>정보(I)변화량</t>
  </si>
  <si>
    <t>정서불안정성</t>
  </si>
  <si>
    <t>외향성</t>
  </si>
  <si>
    <t>10 매개변수 측정값</t>
  </si>
  <si>
    <t>Ч/к Вход</t>
  </si>
  <si>
    <t>Ч/к БО</t>
  </si>
  <si>
    <t>Ч/к ОО</t>
  </si>
  <si>
    <t>Агрессия (P7)</t>
  </si>
  <si>
    <t>Стресс (P6)</t>
  </si>
  <si>
    <t>Тревожность (F5X)</t>
  </si>
  <si>
    <t>Опасность (P19)</t>
  </si>
  <si>
    <t>Уравновешенность (P16)</t>
  </si>
  <si>
    <t>Харизматичность (P17)</t>
  </si>
  <si>
    <t>Энергичность (P8)</t>
  </si>
  <si>
    <t>Саморегуляция (P18)</t>
  </si>
  <si>
    <t>Торможение (F6)</t>
  </si>
  <si>
    <t>Невротизм (F9)</t>
  </si>
  <si>
    <t>Здоровье (P21)</t>
  </si>
  <si>
    <t>Здоровье? (P22)</t>
  </si>
  <si>
    <t>Экстраверсия (P26)</t>
  </si>
  <si>
    <t>Стабильность (P27)</t>
  </si>
  <si>
    <t>D Test</t>
  </si>
  <si>
    <t>2nd Test</t>
  </si>
  <si>
    <t>h'</t>
  </si>
  <si>
    <t>ha'</t>
  </si>
  <si>
    <t>ポジティブ</t>
  </si>
  <si>
    <t>ネガティブ</t>
  </si>
  <si>
    <t>生理的反応</t>
  </si>
  <si>
    <t>ストレス</t>
    <phoneticPr fontId="1" type="noConversion"/>
  </si>
  <si>
    <t>活力</t>
    <phoneticPr fontId="1" type="noConversion"/>
  </si>
  <si>
    <t>抑圧</t>
    <phoneticPr fontId="1" type="noConversion"/>
  </si>
  <si>
    <t>神経質</t>
    <phoneticPr fontId="1" type="noConversion"/>
  </si>
  <si>
    <t>名前</t>
    <phoneticPr fontId="1" type="noConversion"/>
  </si>
  <si>
    <t>性別</t>
    <phoneticPr fontId="1" type="noConversion"/>
  </si>
  <si>
    <t>年齢</t>
    <phoneticPr fontId="1" type="noConversion"/>
  </si>
  <si>
    <t>品質</t>
  </si>
  <si>
    <t>評価要素</t>
  </si>
  <si>
    <t>最小</t>
  </si>
  <si>
    <t>平均</t>
    <phoneticPr fontId="1" type="noConversion"/>
  </si>
  <si>
    <t>最大</t>
  </si>
  <si>
    <t>平均値</t>
  </si>
  <si>
    <t>S=</t>
  </si>
  <si>
    <t>コメント</t>
  </si>
  <si>
    <t>Sat</t>
  </si>
  <si>
    <t>Удв</t>
  </si>
  <si>
    <t>M=</t>
  </si>
  <si>
    <t>h'*n</t>
  </si>
  <si>
    <t>n^2*h'</t>
  </si>
  <si>
    <t>m0=</t>
  </si>
  <si>
    <t>I1</t>
  </si>
  <si>
    <t>I2</t>
  </si>
  <si>
    <t>E1</t>
  </si>
  <si>
    <t>E2</t>
  </si>
  <si>
    <t>Frequency Histogram</t>
  </si>
  <si>
    <t>山西省精神卫生中心</t>
    <phoneticPr fontId="1" type="noConversion"/>
  </si>
  <si>
    <t>title</t>
    <phoneticPr fontId="29" type="noConversion"/>
  </si>
  <si>
    <t>每秒输入帧率</t>
    <phoneticPr fontId="29" type="noConversion"/>
  </si>
  <si>
    <t>M</t>
    <phoneticPr fontId="29" type="noConversion"/>
  </si>
  <si>
    <t>S</t>
    <phoneticPr fontId="29" type="noConversion"/>
  </si>
  <si>
    <t>Vi</t>
    <phoneticPr fontId="29" type="noConversion"/>
  </si>
  <si>
    <t>BMin</t>
    <phoneticPr fontId="29" type="noConversion"/>
  </si>
  <si>
    <t>CMin</t>
    <phoneticPr fontId="29" type="noConversion"/>
  </si>
  <si>
    <t>BMax</t>
    <phoneticPr fontId="29" type="noConversion"/>
  </si>
  <si>
    <t>CMax</t>
    <phoneticPr fontId="29" type="noConversion"/>
  </si>
  <si>
    <t>每秒输出帧率</t>
    <phoneticPr fontId="29" type="noConversion"/>
  </si>
  <si>
    <t>实际每秒输出帧率</t>
    <phoneticPr fontId="29" type="noConversion"/>
  </si>
  <si>
    <t>攻击性(P7)</t>
    <phoneticPr fontId="29" type="noConversion"/>
  </si>
  <si>
    <t>压力(P6)</t>
    <phoneticPr fontId="29" type="noConversion"/>
  </si>
  <si>
    <t>紧张/焦虑 (F5X)</t>
    <phoneticPr fontId="29" type="noConversion"/>
  </si>
  <si>
    <t>可疑(P19)</t>
    <phoneticPr fontId="29" type="noConversion"/>
  </si>
  <si>
    <t>平衡(P16)</t>
    <phoneticPr fontId="29" type="noConversion"/>
  </si>
  <si>
    <t>魅力(P17)</t>
    <phoneticPr fontId="29" type="noConversion"/>
  </si>
  <si>
    <t>活力(P8)</t>
    <phoneticPr fontId="29" type="noConversion"/>
  </si>
  <si>
    <t>自我调节(P18)</t>
    <phoneticPr fontId="29" type="noConversion"/>
  </si>
  <si>
    <t>抑郁(F6)</t>
    <phoneticPr fontId="29" type="noConversion"/>
  </si>
  <si>
    <t>神经质或情绪不稳定(F9)</t>
    <phoneticPr fontId="29" type="noConversion"/>
  </si>
  <si>
    <t>健康 (P21)</t>
    <phoneticPr fontId="29" type="noConversion"/>
  </si>
  <si>
    <t>健康? (P22)</t>
    <phoneticPr fontId="29" type="noConversion"/>
  </si>
  <si>
    <t>ΣVi (P23)</t>
    <phoneticPr fontId="29" type="noConversion"/>
  </si>
  <si>
    <t>外向性(P26)</t>
    <phoneticPr fontId="29" type="noConversion"/>
  </si>
  <si>
    <t>稳定性(P27)</t>
    <phoneticPr fontId="29" type="noConversion"/>
  </si>
  <si>
    <t>A1 (fast)</t>
    <phoneticPr fontId="29" type="noConversion"/>
  </si>
  <si>
    <t>A1</t>
    <phoneticPr fontId="29" type="noConversion"/>
  </si>
  <si>
    <t>A2</t>
    <phoneticPr fontId="29" type="noConversion"/>
  </si>
  <si>
    <t>A3</t>
    <phoneticPr fontId="29" type="noConversion"/>
  </si>
  <si>
    <t>A4 (fast)</t>
    <phoneticPr fontId="29" type="noConversion"/>
  </si>
  <si>
    <t>A4</t>
    <phoneticPr fontId="29" type="noConversion"/>
  </si>
  <si>
    <t>F1 (快速)</t>
    <phoneticPr fontId="29" type="noConversion"/>
  </si>
  <si>
    <t>dF1 (fast)</t>
    <phoneticPr fontId="29" type="noConversion"/>
  </si>
  <si>
    <t>F1</t>
    <phoneticPr fontId="29" type="noConversion"/>
  </si>
  <si>
    <t>F2</t>
    <phoneticPr fontId="29" type="noConversion"/>
  </si>
  <si>
    <t>F3</t>
    <phoneticPr fontId="29" type="noConversion"/>
  </si>
  <si>
    <t>F4</t>
    <phoneticPr fontId="29" type="noConversion"/>
  </si>
  <si>
    <t>F5 (fast)</t>
    <phoneticPr fontId="29" type="noConversion"/>
  </si>
  <si>
    <t>F5</t>
    <phoneticPr fontId="29" type="noConversion"/>
  </si>
  <si>
    <t>F6</t>
    <phoneticPr fontId="29" type="noConversion"/>
  </si>
  <si>
    <t>F7</t>
    <phoneticPr fontId="29" type="noConversion"/>
  </si>
  <si>
    <t>F8</t>
    <phoneticPr fontId="29" type="noConversion"/>
  </si>
  <si>
    <t>F9</t>
    <phoneticPr fontId="29" type="noConversion"/>
  </si>
  <si>
    <t>S1</t>
    <phoneticPr fontId="29" type="noConversion"/>
  </si>
  <si>
    <t>S2</t>
    <phoneticPr fontId="29" type="noConversion"/>
  </si>
  <si>
    <t>S3</t>
    <phoneticPr fontId="29" type="noConversion"/>
  </si>
  <si>
    <t>S4</t>
    <phoneticPr fontId="29" type="noConversion"/>
  </si>
  <si>
    <t>S5</t>
    <phoneticPr fontId="29" type="noConversion"/>
  </si>
  <si>
    <t>S6</t>
    <phoneticPr fontId="29" type="noConversion"/>
  </si>
  <si>
    <t>S7</t>
    <phoneticPr fontId="29" type="noConversion"/>
  </si>
  <si>
    <t>P1</t>
    <phoneticPr fontId="29" type="noConversion"/>
  </si>
  <si>
    <t>P2</t>
    <phoneticPr fontId="29" type="noConversion"/>
  </si>
  <si>
    <t>P3</t>
    <phoneticPr fontId="29" type="noConversion"/>
  </si>
  <si>
    <t>P4</t>
    <phoneticPr fontId="29" type="noConversion"/>
  </si>
  <si>
    <t>A1</t>
    <phoneticPr fontId="29" type="noConversion"/>
  </si>
  <si>
    <t>A4 (fast)</t>
    <phoneticPr fontId="29" type="noConversion"/>
  </si>
  <si>
    <t>h</t>
    <phoneticPr fontId="29" type="noConversion"/>
  </si>
  <si>
    <t>ha</t>
    <phoneticPr fontId="29" type="noConversion"/>
  </si>
  <si>
    <t>E</t>
    <phoneticPr fontId="29" type="noConversion"/>
  </si>
  <si>
    <t>Ph</t>
    <phoneticPr fontId="29" type="noConversion"/>
  </si>
  <si>
    <t>dt</t>
    <phoneticPr fontId="29" type="noConversion"/>
  </si>
  <si>
    <t>nq</t>
    <phoneticPr fontId="29" type="noConversion"/>
  </si>
  <si>
    <t>txt</t>
    <phoneticPr fontId="29" type="noConversion"/>
  </si>
  <si>
    <t>1 [0.000000]</t>
    <phoneticPr fontId="29" type="noConversion"/>
  </si>
  <si>
    <t>1 [0.362506]</t>
  </si>
  <si>
    <t>1 [0.769104]</t>
  </si>
  <si>
    <t>1 [1.171515]</t>
  </si>
  <si>
    <t>1 [1.579183]</t>
  </si>
  <si>
    <t>1 [1.985837]</t>
  </si>
  <si>
    <t>1 [2.392045]</t>
  </si>
  <si>
    <t>1 [2.799762]</t>
  </si>
  <si>
    <t>1 [3.202719]</t>
  </si>
  <si>
    <t>1 [3.614299]</t>
  </si>
  <si>
    <t>1 [4.015556]</t>
  </si>
  <si>
    <t>1 [4.421279]</t>
  </si>
  <si>
    <t>1 [4.827273]</t>
  </si>
  <si>
    <t>1 [5.235012]</t>
  </si>
  <si>
    <t>1 [5.645634]</t>
  </si>
  <si>
    <t>1 [6.048053]</t>
  </si>
  <si>
    <t>1 [6.453840]</t>
  </si>
  <si>
    <t>1 [6.861714]</t>
  </si>
  <si>
    <t>1 [7.269093]</t>
  </si>
  <si>
    <t>1 [7.673030]</t>
  </si>
  <si>
    <t>1 [8.078560]</t>
  </si>
  <si>
    <t>1 [8.482773]</t>
  </si>
  <si>
    <t>1 [8.894218]</t>
  </si>
  <si>
    <t>1 [9.295883]</t>
  </si>
  <si>
    <t>1 [9.703974]</t>
  </si>
  <si>
    <t>1 [10.108718]</t>
  </si>
  <si>
    <t>1 [10.513915]</t>
  </si>
  <si>
    <t>1 [10.923256]</t>
  </si>
  <si>
    <t>1 [11.331913]</t>
  </si>
  <si>
    <t>1 [11.737164]</t>
  </si>
  <si>
    <t>1 [12.139905]</t>
  </si>
  <si>
    <t>1 [12.545539]</t>
  </si>
  <si>
    <t>1 [12.952305]</t>
  </si>
  <si>
    <t>1 [13.362454]</t>
  </si>
  <si>
    <t>1 [13.765224]</t>
  </si>
  <si>
    <t>1 [14.171941]</t>
  </si>
  <si>
    <t>1 [14.578107]</t>
  </si>
  <si>
    <t>1 [14.983255]</t>
  </si>
  <si>
    <t>1 [15.391702]</t>
  </si>
  <si>
    <t>1 [15.798129]</t>
  </si>
  <si>
    <t>1 [16.206735]</t>
  </si>
  <si>
    <t>1 [16.608588]</t>
  </si>
  <si>
    <t>1 [17.015978]</t>
  </si>
  <si>
    <t>1 [17.420167]</t>
  </si>
  <si>
    <t>1 [17.828720]</t>
  </si>
  <si>
    <t>1 [18.234736]</t>
  </si>
  <si>
    <t>1 [18.638736]</t>
  </si>
  <si>
    <t>1 [19.046669]</t>
  </si>
  <si>
    <t>1 [19.451631]</t>
  </si>
  <si>
    <t>1 [19.864359]</t>
  </si>
  <si>
    <t>1 [20.268100]</t>
  </si>
  <si>
    <t>1 [20.670008]</t>
  </si>
  <si>
    <t>1 [21.075133]</t>
  </si>
  <si>
    <t>1 [21.486231]</t>
  </si>
  <si>
    <t>1 [21.891899]</t>
  </si>
  <si>
    <t>1 [22.299201]</t>
  </si>
  <si>
    <t>1 [22.702905]</t>
  </si>
  <si>
    <t>1 [23.108309]</t>
  </si>
  <si>
    <t>1 [23.515475]</t>
  </si>
  <si>
    <t>1 [23.920604]</t>
  </si>
  <si>
    <t>1 [24.328624]</t>
  </si>
  <si>
    <t>1 [24.734797]</t>
  </si>
  <si>
    <t>1 [25.145167]</t>
  </si>
  <si>
    <t>1 [25.549819]</t>
  </si>
  <si>
    <t>1 [25.952526]</t>
  </si>
  <si>
    <t>1 [26.363686]</t>
  </si>
  <si>
    <t>1 [26.765754]</t>
  </si>
  <si>
    <t>1 [27.170181]</t>
  </si>
  <si>
    <t>1 [27.580368]</t>
  </si>
  <si>
    <t>1 [27.983594]</t>
  </si>
  <si>
    <t>1 [28.389455]</t>
  </si>
  <si>
    <t>1 [28.795565]</t>
  </si>
  <si>
    <t>1 [29.203516]</t>
  </si>
  <si>
    <t>1 [29.609951]</t>
  </si>
  <si>
    <t>2 [30.014119]</t>
  </si>
  <si>
    <t>2 [30.607797]</t>
  </si>
  <si>
    <t>2 [30.982825]</t>
  </si>
  <si>
    <t>2 [31.360520]</t>
  </si>
  <si>
    <t>2 [31.734065]</t>
  </si>
  <si>
    <t>2 [32.112021]</t>
  </si>
  <si>
    <t>2 [32.515422]</t>
  </si>
  <si>
    <t>2 [32.921194]</t>
  </si>
  <si>
    <t>2 [33.329736]</t>
  </si>
  <si>
    <t>2 [33.733988]</t>
  </si>
  <si>
    <t>2 [34.140085]</t>
  </si>
  <si>
    <t>2 [34.549127]</t>
  </si>
  <si>
    <t>2 [34.953395]</t>
  </si>
  <si>
    <t>2 [35.361591]</t>
  </si>
  <si>
    <t>2 [35.765170]</t>
  </si>
  <si>
    <t>2 [36.171463]</t>
  </si>
  <si>
    <t>2 [36.577672]</t>
  </si>
  <si>
    <t>2 [36.987343]</t>
  </si>
  <si>
    <t>2 [37.388215]</t>
  </si>
  <si>
    <t>2 [37.797378]</t>
  </si>
  <si>
    <t>2 [38.204446]</t>
  </si>
  <si>
    <t>2 [38.606738]</t>
  </si>
  <si>
    <t>2 [39.016568]</t>
  </si>
  <si>
    <t>2 [39.424258]</t>
  </si>
  <si>
    <t>2 [39.832411]</t>
  </si>
  <si>
    <t>2 [40.236658]</t>
  </si>
  <si>
    <t>2 [40.639933]</t>
  </si>
  <si>
    <t>2 [41.047192]</t>
  </si>
  <si>
    <t>2 [41.453371]</t>
  </si>
  <si>
    <t>2 [41.862556]</t>
  </si>
  <si>
    <t>2 [42.265053]</t>
  </si>
  <si>
    <t>2 [42.671583]</t>
  </si>
  <si>
    <t>2 [43.076771]</t>
  </si>
  <si>
    <t>2 [43.485993]</t>
  </si>
  <si>
    <t>2 [43.892951]</t>
  </si>
  <si>
    <t>2 [44.297192]</t>
  </si>
  <si>
    <t>2 [44.703224]</t>
  </si>
  <si>
    <t>2 [45.107132]</t>
  </si>
  <si>
    <t>2 [45.513210]</t>
  </si>
  <si>
    <t>2 [45.920942]</t>
  </si>
  <si>
    <t>2 [46.333799]</t>
  </si>
  <si>
    <t>2 [46.735832]</t>
  </si>
  <si>
    <t>2 [47.143107]</t>
  </si>
  <si>
    <t>2 [47.548858]</t>
  </si>
  <si>
    <t>2 [47.952642]</t>
  </si>
  <si>
    <t>2 [48.355831]</t>
  </si>
  <si>
    <t>2 [48.764739]</t>
  </si>
  <si>
    <t>2 [49.174468]</t>
  </si>
  <si>
    <t>2 [49.578387]</t>
  </si>
  <si>
    <t>2 [49.981727]</t>
  </si>
  <si>
    <t>2 [50.389310]</t>
  </si>
  <si>
    <t>2 [50.800632]</t>
  </si>
  <si>
    <t>2 [51.203828]</t>
  </si>
  <si>
    <t>2 [51.612555]</t>
  </si>
  <si>
    <t>2 [52.014921]</t>
  </si>
  <si>
    <t>2 [52.421579]</t>
  </si>
  <si>
    <t>2 [52.831630]</t>
  </si>
  <si>
    <t>2 [53.236686]</t>
  </si>
  <si>
    <t>2 [53.640187]</t>
  </si>
  <si>
    <t>2 [54.044657]</t>
  </si>
  <si>
    <t>2 [54.453197]</t>
  </si>
  <si>
    <t>2 [54.861430]</t>
  </si>
  <si>
    <t>2 [55.263794]</t>
  </si>
  <si>
    <t>2 [55.674003]</t>
  </si>
  <si>
    <t>2 [56.078065]</t>
  </si>
  <si>
    <t>2 [56.486645]</t>
  </si>
  <si>
    <t>2 [56.891722]</t>
  </si>
  <si>
    <t>2 [57.296917]</t>
  </si>
  <si>
    <t>2 [57.705733]</t>
  </si>
  <si>
    <t>2 [58.106480]</t>
  </si>
  <si>
    <t>2 [58.514633]</t>
  </si>
  <si>
    <t>2 [58.921019]</t>
  </si>
  <si>
    <t>2 [59.330445]</t>
  </si>
  <si>
    <t>2 [59.734607]</t>
  </si>
  <si>
    <t>name</t>
    <phoneticPr fontId="29" type="noConversion"/>
  </si>
  <si>
    <t>.</t>
  </si>
  <si>
    <t>bd</t>
    <phoneticPr fontId="29" type="noConversion"/>
  </si>
  <si>
    <t>comment</t>
    <phoneticPr fontId="29" type="noConversion"/>
  </si>
  <si>
    <t>fpsMax</t>
    <phoneticPr fontId="29" type="noConversion"/>
  </si>
  <si>
    <t>vMin</t>
    <phoneticPr fontId="29" type="noConversion"/>
  </si>
  <si>
    <t>vMax</t>
    <phoneticPr fontId="29" type="noConversion"/>
  </si>
  <si>
    <t>xMax</t>
    <phoneticPr fontId="29" type="noConversion"/>
  </si>
  <si>
    <t>xMaxA</t>
    <phoneticPr fontId="29" type="noConversion"/>
  </si>
  <si>
    <t>err</t>
    <phoneticPr fontId="29" type="noConversion"/>
  </si>
  <si>
    <t>lang</t>
    <phoneticPr fontId="29" type="noConversion"/>
  </si>
  <si>
    <t>cn</t>
    <phoneticPr fontId="29" type="noConversion"/>
  </si>
  <si>
    <t>男</t>
    <phoneticPr fontId="1" type="noConversion"/>
  </si>
  <si>
    <t>毕随顺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</si>
</sst>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76" formatCode="_-* #,##0_-;\-* #,##0_-;_-* &quot;-&quot;_-;_-@_-"/>
    <numFmt numFmtId="177" formatCode="0.00_ "/>
    <numFmt numFmtId="178" formatCode="0.0%"/>
    <numFmt numFmtId="179" formatCode="0.0_ "/>
    <numFmt numFmtId="180" formatCode="#,##0.000_ "/>
    <numFmt numFmtId="181" formatCode="0.0"/>
    <numFmt numFmtId="182" formatCode="0.000"/>
    <numFmt numFmtId="183" formatCode="dd/mm/yy\ h:mm;@"/>
  </numFmts>
  <fonts count="36">
    <font>
      <sz val="11"/>
      <color theme="1"/>
      <name val="宋体"/>
      <family val="3"/>
      <charset val="129"/>
      <scheme val="minor"/>
    </font>
    <font>
      <sz val="8"/>
      <name val="맑은 고딕"/>
      <family val="3"/>
      <charset val="129"/>
    </font>
    <font>
      <sz val="11"/>
      <color indexed="8"/>
      <name val="Calibri"/>
      <family val="3"/>
      <charset val="129"/>
    </font>
    <font>
      <b/>
      <sz val="11"/>
      <color indexed="8"/>
      <name val="Calibri"/>
      <family val="3"/>
      <charset val="129"/>
    </font>
    <font>
      <b/>
      <sz val="14"/>
      <color indexed="8"/>
      <name val="Calibri"/>
      <family val="3"/>
      <charset val="129"/>
    </font>
    <font>
      <sz val="9"/>
      <color indexed="8"/>
      <name val="Calibri"/>
      <family val="3"/>
      <charset val="129"/>
    </font>
    <font>
      <b/>
      <sz val="9"/>
      <color indexed="8"/>
      <name val="Calibri"/>
      <family val="3"/>
      <charset val="129"/>
    </font>
    <font>
      <b/>
      <sz val="9"/>
      <name val="Calibri"/>
      <family val="3"/>
      <charset val="129"/>
    </font>
    <font>
      <sz val="8"/>
      <color indexed="8"/>
      <name val="Calibri"/>
      <family val="3"/>
      <charset val="129"/>
    </font>
    <font>
      <b/>
      <sz val="8"/>
      <color indexed="8"/>
      <name val="Calibri"/>
      <family val="3"/>
      <charset val="129"/>
    </font>
    <font>
      <sz val="9"/>
      <name val="Calibri"/>
      <family val="3"/>
      <charset val="129"/>
    </font>
    <font>
      <sz val="10"/>
      <color indexed="8"/>
      <name val="Calibri"/>
      <family val="3"/>
      <charset val="129"/>
    </font>
    <font>
      <b/>
      <sz val="12"/>
      <color indexed="8"/>
      <name val="Calibri"/>
      <family val="3"/>
      <charset val="129"/>
    </font>
    <font>
      <b/>
      <sz val="12"/>
      <color indexed="8"/>
      <name val="맑은 고딕"/>
      <family val="3"/>
      <charset val="129"/>
    </font>
    <font>
      <b/>
      <sz val="10"/>
      <color indexed="8"/>
      <name val="Calibri"/>
      <family val="3"/>
      <charset val="129"/>
    </font>
    <font>
      <sz val="12"/>
      <color indexed="8"/>
      <name val="Calibri"/>
      <family val="3"/>
      <charset val="129"/>
    </font>
    <font>
      <sz val="12"/>
      <color indexed="8"/>
      <name val="맑은 고딕"/>
      <family val="3"/>
      <charset val="129"/>
    </font>
    <font>
      <b/>
      <sz val="20"/>
      <color indexed="8"/>
      <name val="맑은 고딕"/>
      <family val="3"/>
      <charset val="129"/>
    </font>
    <font>
      <b/>
      <sz val="11"/>
      <color indexed="8"/>
      <name val="Calibri"/>
      <family val="2"/>
    </font>
    <font>
      <sz val="11"/>
      <color theme="1"/>
      <name val="宋体"/>
      <family val="3"/>
      <charset val="129"/>
      <scheme val="minor"/>
    </font>
    <font>
      <b/>
      <sz val="9"/>
      <color rgb="FF000000"/>
      <name val="Calibri"/>
      <family val="2"/>
    </font>
    <font>
      <sz val="5"/>
      <color indexed="8"/>
      <name val="Calibri"/>
      <family val="3"/>
      <charset val="129"/>
    </font>
    <font>
      <sz val="5"/>
      <name val="Calibri"/>
      <family val="3"/>
      <charset val="129"/>
    </font>
    <font>
      <b/>
      <sz val="8"/>
      <name val="Calibri"/>
      <family val="2"/>
    </font>
    <font>
      <b/>
      <sz val="8"/>
      <name val="돋움"/>
      <family val="3"/>
      <charset val="129"/>
    </font>
    <font>
      <b/>
      <sz val="8"/>
      <color indexed="8"/>
      <name val="돋움"/>
      <family val="3"/>
      <charset val="129"/>
    </font>
    <font>
      <b/>
      <sz val="8"/>
      <color indexed="8"/>
      <name val="Calibri"/>
      <family val="2"/>
    </font>
    <font>
      <b/>
      <sz val="7"/>
      <color indexed="8"/>
      <name val="Calibri"/>
      <family val="3"/>
      <charset val="129"/>
    </font>
    <font>
      <b/>
      <sz val="9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b/>
      <sz val="18"/>
      <color indexed="8"/>
      <name val="宋体"/>
      <family val="3"/>
      <charset val="134"/>
    </font>
    <font>
      <b/>
      <sz val="18"/>
      <color indexed="8"/>
      <name val="Calibri"/>
      <family val="3"/>
      <charset val="129"/>
    </font>
    <font>
      <sz val="8"/>
      <name val="Calibri"/>
      <family val="3"/>
      <charset val="129"/>
    </font>
    <font>
      <sz val="10"/>
      <name val="Calibri"/>
      <family val="3"/>
      <charset val="129"/>
    </font>
    <font>
      <sz val="9"/>
      <color indexed="8"/>
      <name val="宋体"/>
      <family val="3"/>
      <charset val="134"/>
    </font>
    <font>
      <sz val="9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4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176" fontId="2" fillId="0" borderId="0" applyFont="0" applyFill="0" applyBorder="0" applyAlignment="0" applyProtection="0">
      <alignment vertical="center"/>
    </xf>
    <xf numFmtId="0" fontId="19" fillId="0" borderId="0">
      <alignment vertical="center"/>
    </xf>
  </cellStyleXfs>
  <cellXfs count="19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>
      <alignment vertical="center"/>
    </xf>
    <xf numFmtId="0" fontId="0" fillId="0" borderId="0" xfId="0" applyAlignment="1">
      <alignment vertical="center"/>
    </xf>
    <xf numFmtId="0" fontId="6" fillId="0" borderId="1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/>
    </xf>
    <xf numFmtId="0" fontId="3" fillId="0" borderId="0" xfId="2" applyFont="1">
      <alignment vertical="center"/>
    </xf>
    <xf numFmtId="0" fontId="19" fillId="0" borderId="0" xfId="2">
      <alignment vertical="center"/>
    </xf>
    <xf numFmtId="0" fontId="2" fillId="0" borderId="0" xfId="2" applyFont="1">
      <alignment vertical="center"/>
    </xf>
    <xf numFmtId="0" fontId="5" fillId="0" borderId="0" xfId="2" applyFont="1">
      <alignment vertical="center"/>
    </xf>
    <xf numFmtId="0" fontId="2" fillId="0" borderId="0" xfId="2" applyFont="1" applyFill="1">
      <alignment vertical="center"/>
    </xf>
    <xf numFmtId="178" fontId="0" fillId="0" borderId="0" xfId="0" applyNumberFormat="1">
      <alignment vertical="center"/>
    </xf>
    <xf numFmtId="0" fontId="8" fillId="0" borderId="0" xfId="0" applyFont="1">
      <alignment vertical="center"/>
    </xf>
    <xf numFmtId="0" fontId="0" fillId="0" borderId="0" xfId="0" applyBorder="1">
      <alignment vertical="center"/>
    </xf>
    <xf numFmtId="0" fontId="8" fillId="0" borderId="0" xfId="2" applyFont="1">
      <alignment vertical="center"/>
    </xf>
    <xf numFmtId="0" fontId="8" fillId="0" borderId="0" xfId="2" applyFont="1" applyFill="1">
      <alignment vertical="center"/>
    </xf>
    <xf numFmtId="178" fontId="8" fillId="0" borderId="0" xfId="0" applyNumberFormat="1" applyFont="1">
      <alignment vertical="center"/>
    </xf>
    <xf numFmtId="0" fontId="9" fillId="2" borderId="3" xfId="2" applyFont="1" applyFill="1" applyBorder="1" applyAlignment="1">
      <alignment horizontal="center" vertical="center"/>
    </xf>
    <xf numFmtId="179" fontId="10" fillId="0" borderId="3" xfId="0" applyNumberFormat="1" applyFont="1" applyBorder="1" applyAlignment="1">
      <alignment horizontal="center" vertical="center" wrapText="1"/>
    </xf>
    <xf numFmtId="179" fontId="10" fillId="0" borderId="5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8" fillId="2" borderId="3" xfId="2" applyFont="1" applyFill="1" applyBorder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0" xfId="0" applyBorder="1" applyAlignment="1">
      <alignment vertical="center"/>
    </xf>
    <xf numFmtId="177" fontId="0" fillId="0" borderId="0" xfId="0" applyNumberFormat="1">
      <alignment vertical="center"/>
    </xf>
    <xf numFmtId="0" fontId="12" fillId="0" borderId="7" xfId="0" applyFont="1" applyBorder="1" applyAlignment="1">
      <alignment horizontal="left" vertical="center" wrapText="1"/>
    </xf>
    <xf numFmtId="0" fontId="12" fillId="0" borderId="0" xfId="0" applyFont="1" applyBorder="1" applyAlignment="1">
      <alignment horizontal="left" vertical="center"/>
    </xf>
    <xf numFmtId="0" fontId="12" fillId="0" borderId="10" xfId="0" applyFont="1" applyBorder="1" applyAlignment="1">
      <alignment horizontal="left" vertical="center"/>
    </xf>
    <xf numFmtId="0" fontId="12" fillId="0" borderId="7" xfId="0" applyFont="1" applyBorder="1" applyAlignment="1">
      <alignment horizontal="center" vertical="center"/>
    </xf>
    <xf numFmtId="0" fontId="11" fillId="0" borderId="11" xfId="0" applyFont="1" applyBorder="1" applyAlignment="1">
      <alignment vertical="center"/>
    </xf>
    <xf numFmtId="176" fontId="2" fillId="0" borderId="9" xfId="1" applyFont="1" applyBorder="1" applyAlignment="1">
      <alignment vertical="center"/>
    </xf>
    <xf numFmtId="180" fontId="11" fillId="0" borderId="12" xfId="1" applyNumberFormat="1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14" xfId="0" applyFont="1" applyBorder="1" applyAlignment="1">
      <alignment vertical="center"/>
    </xf>
    <xf numFmtId="176" fontId="11" fillId="0" borderId="15" xfId="1" applyFont="1" applyBorder="1" applyAlignment="1">
      <alignment horizontal="center" vertical="center"/>
    </xf>
    <xf numFmtId="176" fontId="11" fillId="0" borderId="12" xfId="1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 wrapText="1"/>
    </xf>
    <xf numFmtId="179" fontId="10" fillId="0" borderId="3" xfId="0" applyNumberFormat="1" applyFont="1" applyBorder="1" applyAlignment="1">
      <alignment horizontal="center" vertical="center"/>
    </xf>
    <xf numFmtId="179" fontId="10" fillId="0" borderId="12" xfId="0" applyNumberFormat="1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/>
    </xf>
    <xf numFmtId="179" fontId="10" fillId="0" borderId="12" xfId="0" applyNumberFormat="1" applyFont="1" applyBorder="1" applyAlignment="1">
      <alignment horizontal="center" vertical="center"/>
    </xf>
    <xf numFmtId="179" fontId="10" fillId="0" borderId="18" xfId="0" applyNumberFormat="1" applyFont="1" applyBorder="1" applyAlignment="1">
      <alignment horizontal="center" vertical="center"/>
    </xf>
    <xf numFmtId="0" fontId="0" fillId="0" borderId="0" xfId="0" quotePrefix="1" applyNumberFormat="1">
      <alignment vertical="center"/>
    </xf>
    <xf numFmtId="2" fontId="11" fillId="0" borderId="3" xfId="2" applyNumberFormat="1" applyFont="1" applyFill="1" applyBorder="1">
      <alignment vertical="center"/>
    </xf>
    <xf numFmtId="0" fontId="0" fillId="0" borderId="0" xfId="0" quotePrefix="1" applyNumberFormat="1">
      <alignment vertical="center"/>
    </xf>
    <xf numFmtId="2" fontId="0" fillId="0" borderId="0" xfId="0" applyNumberFormat="1">
      <alignment vertical="center"/>
    </xf>
    <xf numFmtId="181" fontId="11" fillId="0" borderId="13" xfId="0" applyNumberFormat="1" applyFont="1" applyBorder="1" applyAlignment="1">
      <alignment horizontal="center" vertical="center"/>
    </xf>
    <xf numFmtId="182" fontId="0" fillId="0" borderId="0" xfId="0" applyNumberFormat="1">
      <alignment vertical="center"/>
    </xf>
    <xf numFmtId="0" fontId="17" fillId="0" borderId="0" xfId="0" applyFont="1" applyBorder="1" applyAlignment="1">
      <alignment horizontal="center" vertical="center"/>
    </xf>
    <xf numFmtId="2" fontId="8" fillId="0" borderId="0" xfId="0" applyNumberFormat="1" applyFont="1">
      <alignment vertical="center"/>
    </xf>
    <xf numFmtId="0" fontId="0" fillId="0" borderId="0" xfId="0" quotePrefix="1" applyNumberFormat="1">
      <alignment vertical="center"/>
    </xf>
    <xf numFmtId="0" fontId="0" fillId="0" borderId="0" xfId="0" quotePrefix="1">
      <alignment vertical="center"/>
    </xf>
    <xf numFmtId="0" fontId="0" fillId="0" borderId="0" xfId="0" quotePrefix="1" applyNumberFormat="1" applyBorder="1">
      <alignment vertical="center"/>
    </xf>
    <xf numFmtId="0" fontId="0" fillId="0" borderId="0" xfId="0" applyAlignment="1">
      <alignment vertical="center" shrinkToFit="1"/>
    </xf>
    <xf numFmtId="0" fontId="0" fillId="0" borderId="0" xfId="0" applyAlignment="1">
      <alignment vertical="center" wrapText="1"/>
    </xf>
    <xf numFmtId="0" fontId="21" fillId="0" borderId="17" xfId="0" applyFont="1" applyBorder="1" applyAlignment="1">
      <alignment horizontal="center" vertical="center" wrapText="1"/>
    </xf>
    <xf numFmtId="0" fontId="21" fillId="0" borderId="15" xfId="0" applyFont="1" applyBorder="1" applyAlignment="1">
      <alignment horizontal="center" vertical="center" wrapText="1"/>
    </xf>
    <xf numFmtId="0" fontId="22" fillId="0" borderId="3" xfId="0" applyFont="1" applyBorder="1" applyAlignment="1">
      <alignment horizontal="center" vertical="center" wrapText="1"/>
    </xf>
    <xf numFmtId="0" fontId="22" fillId="0" borderId="12" xfId="0" applyFont="1" applyBorder="1" applyAlignment="1">
      <alignment horizontal="center" vertical="center" wrapText="1"/>
    </xf>
    <xf numFmtId="14" fontId="0" fillId="0" borderId="0" xfId="0" quotePrefix="1" applyNumberFormat="1">
      <alignment vertical="center"/>
    </xf>
    <xf numFmtId="0" fontId="21" fillId="0" borderId="43" xfId="0" applyFont="1" applyBorder="1" applyAlignment="1">
      <alignment horizontal="center" vertical="center" wrapText="1"/>
    </xf>
    <xf numFmtId="179" fontId="10" fillId="0" borderId="13" xfId="0" applyNumberFormat="1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/>
    </xf>
    <xf numFmtId="179" fontId="10" fillId="0" borderId="13" xfId="0" applyNumberFormat="1" applyFont="1" applyBorder="1" applyAlignment="1">
      <alignment horizontal="center" vertical="center"/>
    </xf>
    <xf numFmtId="0" fontId="22" fillId="0" borderId="13" xfId="0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 wrapText="1"/>
    </xf>
    <xf numFmtId="179" fontId="10" fillId="0" borderId="44" xfId="0" applyNumberFormat="1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6" fillId="0" borderId="19" xfId="0" applyFont="1" applyBorder="1" applyAlignment="1">
      <alignment horizontal="center" vertical="center" wrapText="1"/>
    </xf>
    <xf numFmtId="0" fontId="27" fillId="2" borderId="3" xfId="2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0" fontId="8" fillId="0" borderId="0" xfId="0" applyNumberFormat="1" applyFont="1">
      <alignment vertical="center"/>
    </xf>
    <xf numFmtId="0" fontId="0" fillId="0" borderId="0" xfId="0" quotePrefix="1" applyNumberFormat="1" applyFill="1" applyBorder="1">
      <alignment vertical="center"/>
    </xf>
    <xf numFmtId="0" fontId="4" fillId="0" borderId="0" xfId="0" applyFont="1" applyAlignment="1">
      <alignment horizontal="center" vertical="center"/>
    </xf>
    <xf numFmtId="179" fontId="32" fillId="0" borderId="13" xfId="0" applyNumberFormat="1" applyFont="1" applyBorder="1" applyAlignment="1">
      <alignment horizontal="center" vertical="center"/>
    </xf>
    <xf numFmtId="179" fontId="32" fillId="0" borderId="44" xfId="0" applyNumberFormat="1" applyFont="1" applyBorder="1" applyAlignment="1">
      <alignment horizontal="center" vertical="center" wrapText="1"/>
    </xf>
    <xf numFmtId="179" fontId="32" fillId="0" borderId="3" xfId="0" applyNumberFormat="1" applyFont="1" applyBorder="1" applyAlignment="1">
      <alignment horizontal="center" vertical="center" wrapText="1"/>
    </xf>
    <xf numFmtId="179" fontId="32" fillId="0" borderId="3" xfId="0" applyNumberFormat="1" applyFont="1" applyBorder="1" applyAlignment="1">
      <alignment horizontal="center" vertical="center"/>
    </xf>
    <xf numFmtId="179" fontId="32" fillId="0" borderId="5" xfId="0" applyNumberFormat="1" applyFont="1" applyBorder="1" applyAlignment="1">
      <alignment horizontal="center" vertical="center" wrapText="1"/>
    </xf>
    <xf numFmtId="179" fontId="32" fillId="0" borderId="12" xfId="0" applyNumberFormat="1" applyFont="1" applyBorder="1" applyAlignment="1">
      <alignment horizontal="center" vertical="center"/>
    </xf>
    <xf numFmtId="179" fontId="32" fillId="0" borderId="18" xfId="0" applyNumberFormat="1" applyFont="1" applyBorder="1" applyAlignment="1">
      <alignment horizontal="center" vertical="center"/>
    </xf>
    <xf numFmtId="179" fontId="33" fillId="0" borderId="13" xfId="0" applyNumberFormat="1" applyFont="1" applyBorder="1" applyAlignment="1">
      <alignment horizontal="center" vertical="center" wrapText="1"/>
    </xf>
    <xf numFmtId="0" fontId="33" fillId="0" borderId="13" xfId="0" applyFont="1" applyBorder="1" applyAlignment="1">
      <alignment horizontal="center" vertical="center"/>
    </xf>
    <xf numFmtId="179" fontId="33" fillId="0" borderId="13" xfId="0" applyNumberFormat="1" applyFont="1" applyBorder="1" applyAlignment="1">
      <alignment horizontal="center" vertical="center"/>
    </xf>
    <xf numFmtId="179" fontId="33" fillId="0" borderId="3" xfId="0" applyNumberFormat="1" applyFont="1" applyBorder="1" applyAlignment="1">
      <alignment horizontal="center" vertical="center" wrapText="1"/>
    </xf>
    <xf numFmtId="0" fontId="33" fillId="0" borderId="3" xfId="0" applyFont="1" applyBorder="1" applyAlignment="1">
      <alignment horizontal="center" vertical="center"/>
    </xf>
    <xf numFmtId="179" fontId="33" fillId="0" borderId="3" xfId="0" applyNumberFormat="1" applyFont="1" applyBorder="1" applyAlignment="1">
      <alignment horizontal="center" vertical="center"/>
    </xf>
    <xf numFmtId="0" fontId="33" fillId="0" borderId="3" xfId="0" applyFont="1" applyBorder="1" applyAlignment="1">
      <alignment horizontal="center" vertical="center" wrapText="1"/>
    </xf>
    <xf numFmtId="179" fontId="33" fillId="0" borderId="12" xfId="0" applyNumberFormat="1" applyFont="1" applyBorder="1" applyAlignment="1">
      <alignment horizontal="center" vertical="center" wrapText="1"/>
    </xf>
    <xf numFmtId="0" fontId="33" fillId="0" borderId="12" xfId="0" applyFont="1" applyBorder="1" applyAlignment="1">
      <alignment horizontal="center" vertical="center"/>
    </xf>
    <xf numFmtId="179" fontId="33" fillId="0" borderId="12" xfId="0" applyNumberFormat="1" applyFont="1" applyBorder="1" applyAlignment="1">
      <alignment horizontal="center" vertical="center"/>
    </xf>
    <xf numFmtId="0" fontId="33" fillId="0" borderId="13" xfId="0" applyFont="1" applyBorder="1" applyAlignment="1">
      <alignment horizontal="center" vertical="center" wrapText="1"/>
    </xf>
    <xf numFmtId="0" fontId="5" fillId="0" borderId="43" xfId="0" applyFont="1" applyBorder="1" applyAlignment="1">
      <alignment horizontal="center" vertical="center" wrapText="1"/>
    </xf>
    <xf numFmtId="0" fontId="5" fillId="0" borderId="17" xfId="0" applyFont="1" applyBorder="1" applyAlignment="1">
      <alignment horizontal="center" vertical="center" wrapText="1"/>
    </xf>
    <xf numFmtId="0" fontId="5" fillId="0" borderId="15" xfId="0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76" fontId="2" fillId="0" borderId="20" xfId="1" applyFont="1" applyBorder="1" applyAlignment="1">
      <alignment vertical="center"/>
    </xf>
    <xf numFmtId="176" fontId="2" fillId="0" borderId="21" xfId="1" applyFont="1" applyBorder="1" applyAlignment="1">
      <alignment vertical="center"/>
    </xf>
    <xf numFmtId="176" fontId="2" fillId="0" borderId="22" xfId="1" applyFont="1" applyBorder="1" applyAlignment="1">
      <alignment vertical="center"/>
    </xf>
    <xf numFmtId="0" fontId="0" fillId="0" borderId="15" xfId="0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23" xfId="0" applyBorder="1" applyAlignment="1">
      <alignment vertical="center"/>
    </xf>
    <xf numFmtId="0" fontId="0" fillId="0" borderId="18" xfId="0" applyBorder="1" applyAlignment="1">
      <alignment vertical="center"/>
    </xf>
    <xf numFmtId="0" fontId="14" fillId="0" borderId="24" xfId="0" applyFont="1" applyBorder="1" applyAlignment="1">
      <alignment horizontal="center" vertical="center"/>
    </xf>
    <xf numFmtId="0" fontId="11" fillId="0" borderId="25" xfId="0" applyFont="1" applyBorder="1" applyAlignment="1">
      <alignment vertical="center"/>
    </xf>
    <xf numFmtId="0" fontId="11" fillId="0" borderId="26" xfId="0" applyFont="1" applyBorder="1" applyAlignment="1">
      <alignment vertical="center"/>
    </xf>
    <xf numFmtId="0" fontId="0" fillId="0" borderId="1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11" fillId="0" borderId="29" xfId="0" applyFont="1" applyBorder="1" applyAlignment="1">
      <alignment horizontal="center" vertical="center"/>
    </xf>
    <xf numFmtId="0" fontId="11" fillId="0" borderId="3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180" fontId="11" fillId="0" borderId="23" xfId="1" applyNumberFormat="1" applyFont="1" applyBorder="1" applyAlignment="1">
      <alignment horizontal="center" vertical="center"/>
    </xf>
    <xf numFmtId="180" fontId="11" fillId="0" borderId="31" xfId="1" applyNumberFormat="1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14" fillId="0" borderId="28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 wrapText="1"/>
    </xf>
    <xf numFmtId="0" fontId="14" fillId="0" borderId="9" xfId="0" applyFont="1" applyBorder="1" applyAlignment="1">
      <alignment horizontal="center" vertical="center" wrapText="1"/>
    </xf>
    <xf numFmtId="0" fontId="14" fillId="0" borderId="28" xfId="0" applyFont="1" applyBorder="1" applyAlignment="1">
      <alignment horizontal="center" vertical="center" wrapText="1"/>
    </xf>
    <xf numFmtId="0" fontId="5" fillId="0" borderId="36" xfId="0" applyFont="1" applyBorder="1" applyAlignment="1">
      <alignment vertical="center"/>
    </xf>
    <xf numFmtId="0" fontId="5" fillId="0" borderId="37" xfId="0" applyFont="1" applyBorder="1" applyAlignment="1">
      <alignment vertical="center"/>
    </xf>
    <xf numFmtId="0" fontId="0" fillId="0" borderId="38" xfId="0" applyBorder="1" applyAlignment="1">
      <alignment vertical="center"/>
    </xf>
    <xf numFmtId="0" fontId="5" fillId="0" borderId="41" xfId="0" applyFont="1" applyBorder="1" applyAlignment="1">
      <alignment vertical="center"/>
    </xf>
    <xf numFmtId="0" fontId="30" fillId="0" borderId="0" xfId="0" applyFont="1" applyBorder="1" applyAlignment="1">
      <alignment horizontal="center" vertical="center"/>
    </xf>
    <xf numFmtId="0" fontId="31" fillId="0" borderId="0" xfId="0" applyFont="1" applyBorder="1" applyAlignment="1">
      <alignment horizontal="center" vertical="center"/>
    </xf>
    <xf numFmtId="0" fontId="16" fillId="0" borderId="7" xfId="0" applyFont="1" applyBorder="1" applyAlignment="1">
      <alignment horizontal="center" vertical="center" wrapText="1"/>
    </xf>
    <xf numFmtId="0" fontId="16" fillId="0" borderId="0" xfId="0" applyFont="1" applyBorder="1" applyAlignment="1">
      <alignment horizontal="center" vertical="center" wrapText="1"/>
    </xf>
    <xf numFmtId="0" fontId="16" fillId="0" borderId="10" xfId="0" applyFont="1" applyBorder="1" applyAlignment="1">
      <alignment horizontal="center" vertical="center" wrapText="1"/>
    </xf>
    <xf numFmtId="0" fontId="16" fillId="0" borderId="8" xfId="0" applyFont="1" applyBorder="1" applyAlignment="1">
      <alignment horizontal="center" vertical="center" wrapText="1"/>
    </xf>
    <xf numFmtId="0" fontId="16" fillId="0" borderId="9" xfId="0" applyFont="1" applyBorder="1" applyAlignment="1">
      <alignment horizontal="center" vertical="center" wrapText="1"/>
    </xf>
    <xf numFmtId="0" fontId="16" fillId="0" borderId="28" xfId="0" applyFont="1" applyBorder="1" applyAlignment="1">
      <alignment horizontal="center" vertical="center" wrapText="1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12" fillId="0" borderId="11" xfId="0" applyFont="1" applyBorder="1" applyAlignment="1">
      <alignment horizontal="left" vertical="center" wrapText="1"/>
    </xf>
    <xf numFmtId="0" fontId="15" fillId="0" borderId="6" xfId="0" applyFont="1" applyBorder="1" applyAlignment="1">
      <alignment horizontal="left" vertical="center" wrapText="1"/>
    </xf>
    <xf numFmtId="0" fontId="15" fillId="0" borderId="27" xfId="0" applyFont="1" applyBorder="1" applyAlignment="1">
      <alignment horizontal="left" vertical="center" wrapText="1"/>
    </xf>
    <xf numFmtId="0" fontId="14" fillId="0" borderId="11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11" fillId="0" borderId="27" xfId="0" applyFont="1" applyBorder="1" applyAlignment="1">
      <alignment horizontal="center" vertical="center"/>
    </xf>
    <xf numFmtId="183" fontId="5" fillId="0" borderId="32" xfId="0" applyNumberFormat="1" applyFont="1" applyBorder="1" applyAlignment="1">
      <alignment vertical="center"/>
    </xf>
    <xf numFmtId="183" fontId="5" fillId="0" borderId="33" xfId="0" applyNumberFormat="1" applyFont="1" applyBorder="1" applyAlignment="1">
      <alignment vertical="center"/>
    </xf>
    <xf numFmtId="183" fontId="5" fillId="0" borderId="34" xfId="0" applyNumberFormat="1" applyFont="1" applyBorder="1" applyAlignment="1">
      <alignment vertical="center"/>
    </xf>
    <xf numFmtId="0" fontId="5" fillId="0" borderId="23" xfId="0" applyFont="1" applyBorder="1" applyAlignment="1">
      <alignment horizontal="left" vertical="center"/>
    </xf>
    <xf numFmtId="0" fontId="5" fillId="0" borderId="35" xfId="0" applyFont="1" applyBorder="1" applyAlignment="1">
      <alignment horizontal="left" vertical="center"/>
    </xf>
    <xf numFmtId="0" fontId="5" fillId="0" borderId="31" xfId="0" applyFont="1" applyBorder="1" applyAlignment="1">
      <alignment horizontal="left" vertical="center"/>
    </xf>
    <xf numFmtId="176" fontId="18" fillId="3" borderId="24" xfId="1" applyFont="1" applyFill="1" applyBorder="1" applyAlignment="1">
      <alignment horizontal="center" vertical="center" wrapText="1"/>
    </xf>
    <xf numFmtId="176" fontId="18" fillId="3" borderId="25" xfId="1" applyFont="1" applyFill="1" applyBorder="1" applyAlignment="1">
      <alignment horizontal="center" vertical="center" wrapText="1"/>
    </xf>
    <xf numFmtId="176" fontId="18" fillId="3" borderId="26" xfId="1" applyFont="1" applyFill="1" applyBorder="1" applyAlignment="1">
      <alignment horizontal="center" vertical="center" wrapText="1"/>
    </xf>
    <xf numFmtId="0" fontId="0" fillId="0" borderId="24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3" fillId="0" borderId="16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0" fontId="15" fillId="0" borderId="27" xfId="0" applyFont="1" applyBorder="1" applyAlignment="1">
      <alignment horizontal="center" vertical="center" wrapText="1"/>
    </xf>
    <xf numFmtId="0" fontId="10" fillId="0" borderId="32" xfId="0" applyFont="1" applyBorder="1" applyAlignment="1">
      <alignment vertical="center"/>
    </xf>
    <xf numFmtId="0" fontId="10" fillId="0" borderId="33" xfId="0" applyFont="1" applyBorder="1" applyAlignment="1">
      <alignment vertical="center"/>
    </xf>
    <xf numFmtId="0" fontId="0" fillId="0" borderId="39" xfId="0" applyBorder="1" applyAlignment="1">
      <alignment vertical="center"/>
    </xf>
    <xf numFmtId="0" fontId="5" fillId="0" borderId="23" xfId="0" applyNumberFormat="1" applyFont="1" applyBorder="1" applyAlignment="1">
      <alignment horizontal="left" vertical="center"/>
    </xf>
    <xf numFmtId="0" fontId="5" fillId="0" borderId="35" xfId="0" applyNumberFormat="1" applyFont="1" applyBorder="1" applyAlignment="1">
      <alignment horizontal="left" vertical="center"/>
    </xf>
    <xf numFmtId="0" fontId="0" fillId="0" borderId="40" xfId="0" applyNumberFormat="1" applyBorder="1" applyAlignment="1">
      <alignment horizontal="left" vertical="center"/>
    </xf>
    <xf numFmtId="0" fontId="14" fillId="0" borderId="42" xfId="0" applyFont="1" applyBorder="1" applyAlignment="1">
      <alignment horizontal="center" vertical="center"/>
    </xf>
    <xf numFmtId="0" fontId="14" fillId="0" borderId="37" xfId="0" applyFont="1" applyBorder="1" applyAlignment="1">
      <alignment horizontal="center" vertical="center"/>
    </xf>
    <xf numFmtId="0" fontId="14" fillId="0" borderId="41" xfId="0" applyFont="1" applyBorder="1" applyAlignment="1">
      <alignment horizontal="center" vertical="center"/>
    </xf>
    <xf numFmtId="11" fontId="0" fillId="0" borderId="0" xfId="0" quotePrefix="1" applyNumberFormat="1">
      <alignment vertical="center"/>
    </xf>
    <xf numFmtId="0" fontId="34" fillId="0" borderId="36" xfId="0" applyFont="1" applyBorder="1" applyAlignment="1">
      <alignment vertical="center"/>
    </xf>
    <xf numFmtId="0" fontId="35" fillId="0" borderId="32" xfId="0" applyFont="1" applyBorder="1" applyAlignment="1">
      <alignment vertical="center"/>
    </xf>
  </cellXfs>
  <cellStyles count="3">
    <cellStyle name="常规" xfId="0" builtinId="0"/>
    <cellStyle name="千位分隔[0]" xfId="1" builtinId="6"/>
    <cellStyle name="표준 2" xfId="2"/>
  </cellStyles>
  <dxfs count="11"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</dxfs>
  <tableStyles count="0" defaultTableStyle="TableStyleMedium9" defaultPivotStyle="PivotStyleLight16"/>
  <colors>
    <mruColors>
      <color rgb="FFFE0E0E"/>
      <color rgb="FFFF0DFF"/>
      <color rgb="FF03E98C"/>
      <color rgb="FF999623"/>
      <color rgb="FFDCE101"/>
      <color rgb="FF5F2B5D"/>
      <color rgb="FF80D1DC"/>
      <color rgb="FF37D93F"/>
      <color rgb="FFD2CF3D"/>
      <color rgb="FFFFFF0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chartUserShapes" Target="../drawings/drawing3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Relationship Id="rId4" Type="http://schemas.openxmlformats.org/officeDocument/2006/relationships/chartUserShapes" Target="../drawings/drawing5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marker>
            <c:symbol val="none"/>
          </c:marker>
          <c:dLbls>
            <c:dLbl>
              <c:idx val="7"/>
              <c:layout>
                <c:manualLayout>
                  <c:x val="-1.3640238704177339E-2"/>
                  <c:y val="-7.4766355140186994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97A9-4538-A6C6-F91180CFDB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Measurement!$M$8:$M$17</c:f>
              <c:strCache>
                <c:ptCount val="10"/>
                <c:pt idx="0">
                  <c:v>攻击性</c:v>
                </c:pt>
                <c:pt idx="1">
                  <c:v>压力</c:v>
                </c:pt>
                <c:pt idx="2">
                  <c:v>焦虑</c:v>
                </c:pt>
                <c:pt idx="3">
                  <c:v>可疑</c:v>
                </c:pt>
                <c:pt idx="4">
                  <c:v>平衡</c:v>
                </c:pt>
                <c:pt idx="5">
                  <c:v>自信</c:v>
                </c:pt>
                <c:pt idx="6">
                  <c:v>活力</c:v>
                </c:pt>
                <c:pt idx="7">
                  <c:v>自我调节</c:v>
                </c:pt>
                <c:pt idx="8">
                  <c:v>抑郁</c:v>
                </c:pt>
                <c:pt idx="9">
                  <c:v>神经质</c:v>
                </c:pt>
              </c:strCache>
            </c:strRef>
          </c:cat>
          <c:val>
            <c:numRef>
              <c:f>Measurement!$N$8:$N$17</c:f>
              <c:numCache>
                <c:formatCode>0.00</c:formatCode>
                <c:ptCount val="10"/>
                <c:pt idx="0">
                  <c:v>36.770499999999998</c:v>
                </c:pt>
                <c:pt idx="1">
                  <c:v>37.580199999999998</c:v>
                </c:pt>
                <c:pt idx="2">
                  <c:v>23.836300000000001</c:v>
                </c:pt>
                <c:pt idx="3">
                  <c:v>32.2104</c:v>
                </c:pt>
                <c:pt idx="4">
                  <c:v>70.609099999999998</c:v>
                </c:pt>
                <c:pt idx="5">
                  <c:v>77.253900000000002</c:v>
                </c:pt>
                <c:pt idx="6">
                  <c:v>17.846299999999999</c:v>
                </c:pt>
                <c:pt idx="7">
                  <c:v>74.366699999999994</c:v>
                </c:pt>
                <c:pt idx="8">
                  <c:v>17.9222</c:v>
                </c:pt>
                <c:pt idx="9">
                  <c:v>30.012699999999999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A9-4538-A6C6-F91180CFDB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0368"/>
        <c:axId val="293680760"/>
      </c:radarChart>
      <c:catAx>
        <c:axId val="293680368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0760"/>
        <c:crosses val="autoZero"/>
        <c:auto val="0"/>
        <c:lblAlgn val="ctr"/>
        <c:lblOffset val="100"/>
        <c:noMultiLvlLbl val="0"/>
      </c:catAx>
      <c:valAx>
        <c:axId val="293680760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zh-CN"/>
          </a:p>
        </c:txPr>
        <c:crossAx val="293680368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85A8-4348-9DC0-3F418CD941BA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5A8-4348-9DC0-3F418CD941BA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5A8-4348-9DC0-3F418CD941B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Measurement!$M$18:$M$20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Measurement!$O$18:$O$20</c:f>
              <c:numCache>
                <c:formatCode>0.0%</c:formatCode>
                <c:ptCount val="3"/>
                <c:pt idx="0">
                  <c:v>0.51480540511794748</c:v>
                </c:pt>
                <c:pt idx="1">
                  <c:v>0.27961681439763675</c:v>
                </c:pt>
                <c:pt idx="2">
                  <c:v>0.20557778048441577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81-4214-B838-DC7D00C15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24E-2"/>
          <c:y val="0.78944553805774265"/>
          <c:w val="0.91304347826086951"/>
          <c:h val="0.20682274090738656"/>
        </c:manualLayout>
      </c:layout>
      <c:overlay val="0"/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11E-2"/>
          <c:w val="0.95277777777777772"/>
          <c:h val="0.80763123359580213"/>
        </c:manualLayout>
      </c:layout>
      <c:lineChart>
        <c:grouping val="standard"/>
        <c:varyColors val="0"/>
        <c:ser>
          <c:idx val="0"/>
          <c:order val="0"/>
          <c:tx>
            <c:strRef>
              <c:f>info!$C$1</c:f>
              <c:strCache>
                <c:ptCount val="1"/>
                <c:pt idx="0">
                  <c:v>FH_h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1.9307490196078431E-2</c:v>
                </c:pt>
                <c:pt idx="2">
                  <c:v>3.8614980392156863E-2</c:v>
                </c:pt>
                <c:pt idx="3">
                  <c:v>5.7922470588235291E-2</c:v>
                </c:pt>
                <c:pt idx="4">
                  <c:v>7.7229960784313725E-2</c:v>
                </c:pt>
                <c:pt idx="5">
                  <c:v>9.6537450980392153E-2</c:v>
                </c:pt>
                <c:pt idx="6">
                  <c:v>0.11584494117647058</c:v>
                </c:pt>
                <c:pt idx="7">
                  <c:v>0.13515243137254901</c:v>
                </c:pt>
                <c:pt idx="8">
                  <c:v>0.15445992156862745</c:v>
                </c:pt>
                <c:pt idx="9">
                  <c:v>0.17376741176470586</c:v>
                </c:pt>
                <c:pt idx="10">
                  <c:v>0.19307490196078431</c:v>
                </c:pt>
                <c:pt idx="11">
                  <c:v>0.21238239215686272</c:v>
                </c:pt>
                <c:pt idx="12">
                  <c:v>0.23168988235294116</c:v>
                </c:pt>
                <c:pt idx="13">
                  <c:v>0.2509973725490196</c:v>
                </c:pt>
                <c:pt idx="14">
                  <c:v>0.27030486274509802</c:v>
                </c:pt>
                <c:pt idx="15">
                  <c:v>0.28961235294117643</c:v>
                </c:pt>
                <c:pt idx="16">
                  <c:v>0.3089198431372549</c:v>
                </c:pt>
                <c:pt idx="17">
                  <c:v>0.32822733333333332</c:v>
                </c:pt>
                <c:pt idx="18">
                  <c:v>0.34753482352941173</c:v>
                </c:pt>
                <c:pt idx="19">
                  <c:v>0.36684231372549014</c:v>
                </c:pt>
                <c:pt idx="20">
                  <c:v>0.38614980392156861</c:v>
                </c:pt>
                <c:pt idx="21">
                  <c:v>0.40545729411764703</c:v>
                </c:pt>
                <c:pt idx="22">
                  <c:v>0.42476478431372544</c:v>
                </c:pt>
                <c:pt idx="23">
                  <c:v>0.44407227450980385</c:v>
                </c:pt>
                <c:pt idx="24">
                  <c:v>0.46337976470588232</c:v>
                </c:pt>
                <c:pt idx="25">
                  <c:v>0.48268725490196074</c:v>
                </c:pt>
                <c:pt idx="26">
                  <c:v>0.50199474509803921</c:v>
                </c:pt>
                <c:pt idx="27">
                  <c:v>0.52130223529411757</c:v>
                </c:pt>
                <c:pt idx="28">
                  <c:v>0.54060972549019604</c:v>
                </c:pt>
                <c:pt idx="29">
                  <c:v>0.55991721568627451</c:v>
                </c:pt>
                <c:pt idx="30">
                  <c:v>0.57922470588235286</c:v>
                </c:pt>
                <c:pt idx="31">
                  <c:v>0.59853219607843133</c:v>
                </c:pt>
                <c:pt idx="32">
                  <c:v>0.6178396862745098</c:v>
                </c:pt>
                <c:pt idx="33">
                  <c:v>0.63714717647058827</c:v>
                </c:pt>
                <c:pt idx="34">
                  <c:v>0.65645466666666663</c:v>
                </c:pt>
                <c:pt idx="35">
                  <c:v>0.6757621568627451</c:v>
                </c:pt>
                <c:pt idx="36">
                  <c:v>0.69506964705882346</c:v>
                </c:pt>
                <c:pt idx="37">
                  <c:v>0.71437713725490193</c:v>
                </c:pt>
                <c:pt idx="38">
                  <c:v>0.73368462745098029</c:v>
                </c:pt>
                <c:pt idx="39">
                  <c:v>0.75299211764705887</c:v>
                </c:pt>
                <c:pt idx="40">
                  <c:v>0.77229960784313723</c:v>
                </c:pt>
                <c:pt idx="41">
                  <c:v>0.7916070980392157</c:v>
                </c:pt>
                <c:pt idx="42">
                  <c:v>0.81091458823529405</c:v>
                </c:pt>
                <c:pt idx="43">
                  <c:v>0.83022207843137252</c:v>
                </c:pt>
                <c:pt idx="44">
                  <c:v>0.84952956862745088</c:v>
                </c:pt>
                <c:pt idx="45">
                  <c:v>0.86883705882352935</c:v>
                </c:pt>
                <c:pt idx="46">
                  <c:v>0.88814454901960771</c:v>
                </c:pt>
                <c:pt idx="47">
                  <c:v>0.90745203921568629</c:v>
                </c:pt>
                <c:pt idx="48">
                  <c:v>0.92675952941176465</c:v>
                </c:pt>
                <c:pt idx="49">
                  <c:v>0.94606701960784312</c:v>
                </c:pt>
                <c:pt idx="50">
                  <c:v>0.96537450980392148</c:v>
                </c:pt>
                <c:pt idx="51">
                  <c:v>0.98468199999999995</c:v>
                </c:pt>
                <c:pt idx="52">
                  <c:v>1.0039894901960784</c:v>
                </c:pt>
                <c:pt idx="53">
                  <c:v>1.0232969803921568</c:v>
                </c:pt>
                <c:pt idx="54">
                  <c:v>1.0426044705882351</c:v>
                </c:pt>
                <c:pt idx="55">
                  <c:v>1.0619119607843137</c:v>
                </c:pt>
                <c:pt idx="56">
                  <c:v>1.0812194509803921</c:v>
                </c:pt>
                <c:pt idx="57">
                  <c:v>1.1005269411764707</c:v>
                </c:pt>
                <c:pt idx="58">
                  <c:v>1.119834431372549</c:v>
                </c:pt>
                <c:pt idx="59">
                  <c:v>1.1391419215686274</c:v>
                </c:pt>
                <c:pt idx="60">
                  <c:v>1.1584494117647057</c:v>
                </c:pt>
                <c:pt idx="61">
                  <c:v>1.1777569019607843</c:v>
                </c:pt>
                <c:pt idx="62">
                  <c:v>1.1970643921568627</c:v>
                </c:pt>
                <c:pt idx="63">
                  <c:v>1.216371882352941</c:v>
                </c:pt>
                <c:pt idx="64">
                  <c:v>1.2356793725490196</c:v>
                </c:pt>
                <c:pt idx="65">
                  <c:v>1.254986862745098</c:v>
                </c:pt>
                <c:pt idx="66">
                  <c:v>1.2742943529411765</c:v>
                </c:pt>
                <c:pt idx="67">
                  <c:v>1.2936018431372549</c:v>
                </c:pt>
                <c:pt idx="68">
                  <c:v>1.3129093333333333</c:v>
                </c:pt>
                <c:pt idx="69">
                  <c:v>1.3322168235294116</c:v>
                </c:pt>
                <c:pt idx="70">
                  <c:v>1.3515243137254902</c:v>
                </c:pt>
                <c:pt idx="71">
                  <c:v>1.3708318039215686</c:v>
                </c:pt>
                <c:pt idx="72">
                  <c:v>1.3901392941176469</c:v>
                </c:pt>
                <c:pt idx="73">
                  <c:v>1.4094467843137253</c:v>
                </c:pt>
                <c:pt idx="74">
                  <c:v>1.4287542745098039</c:v>
                </c:pt>
                <c:pt idx="75">
                  <c:v>1.4480617647058822</c:v>
                </c:pt>
                <c:pt idx="76">
                  <c:v>1.4673692549019606</c:v>
                </c:pt>
                <c:pt idx="77">
                  <c:v>1.4866767450980389</c:v>
                </c:pt>
                <c:pt idx="78">
                  <c:v>1.5059842352941177</c:v>
                </c:pt>
                <c:pt idx="79">
                  <c:v>1.5252917254901961</c:v>
                </c:pt>
                <c:pt idx="80">
                  <c:v>1.5445992156862745</c:v>
                </c:pt>
                <c:pt idx="81">
                  <c:v>1.5639067058823528</c:v>
                </c:pt>
                <c:pt idx="82">
                  <c:v>1.5832141960784314</c:v>
                </c:pt>
                <c:pt idx="83">
                  <c:v>1.6025216862745097</c:v>
                </c:pt>
                <c:pt idx="84">
                  <c:v>1.6218291764705881</c:v>
                </c:pt>
                <c:pt idx="85">
                  <c:v>1.6411366666666665</c:v>
                </c:pt>
                <c:pt idx="86">
                  <c:v>1.660444156862745</c:v>
                </c:pt>
                <c:pt idx="87">
                  <c:v>1.6797516470588234</c:v>
                </c:pt>
                <c:pt idx="88">
                  <c:v>1.6990591372549018</c:v>
                </c:pt>
                <c:pt idx="89">
                  <c:v>1.7183666274509801</c:v>
                </c:pt>
                <c:pt idx="90">
                  <c:v>1.7376741176470587</c:v>
                </c:pt>
                <c:pt idx="91">
                  <c:v>1.7569816078431371</c:v>
                </c:pt>
                <c:pt idx="92">
                  <c:v>1.7762890980392154</c:v>
                </c:pt>
                <c:pt idx="93">
                  <c:v>1.7955965882352938</c:v>
                </c:pt>
                <c:pt idx="94">
                  <c:v>1.8149040784313726</c:v>
                </c:pt>
                <c:pt idx="95">
                  <c:v>1.8342115686274509</c:v>
                </c:pt>
                <c:pt idx="96">
                  <c:v>1.8535190588235293</c:v>
                </c:pt>
                <c:pt idx="97">
                  <c:v>1.8728265490196077</c:v>
                </c:pt>
                <c:pt idx="98">
                  <c:v>1.8921340392156862</c:v>
                </c:pt>
                <c:pt idx="99">
                  <c:v>1.9114415294117646</c:v>
                </c:pt>
                <c:pt idx="100">
                  <c:v>1.930749019607843</c:v>
                </c:pt>
                <c:pt idx="101">
                  <c:v>1.9500565098039213</c:v>
                </c:pt>
                <c:pt idx="102">
                  <c:v>1.9693639999999999</c:v>
                </c:pt>
                <c:pt idx="103">
                  <c:v>1.9886714901960783</c:v>
                </c:pt>
                <c:pt idx="104">
                  <c:v>2.0079789803921568</c:v>
                </c:pt>
                <c:pt idx="105">
                  <c:v>2.0272864705882352</c:v>
                </c:pt>
                <c:pt idx="106">
                  <c:v>2.0465939607843135</c:v>
                </c:pt>
                <c:pt idx="107">
                  <c:v>2.0659014509803919</c:v>
                </c:pt>
                <c:pt idx="108">
                  <c:v>2.0852089411764703</c:v>
                </c:pt>
                <c:pt idx="109">
                  <c:v>2.1045164313725486</c:v>
                </c:pt>
                <c:pt idx="110">
                  <c:v>2.1238239215686274</c:v>
                </c:pt>
                <c:pt idx="111">
                  <c:v>2.1431314117647058</c:v>
                </c:pt>
                <c:pt idx="112">
                  <c:v>2.1624389019607841</c:v>
                </c:pt>
                <c:pt idx="113">
                  <c:v>2.1817463921568625</c:v>
                </c:pt>
                <c:pt idx="114">
                  <c:v>2.2010538823529413</c:v>
                </c:pt>
                <c:pt idx="115">
                  <c:v>2.2203613725490197</c:v>
                </c:pt>
                <c:pt idx="116">
                  <c:v>2.239668862745098</c:v>
                </c:pt>
                <c:pt idx="117">
                  <c:v>2.2589763529411764</c:v>
                </c:pt>
                <c:pt idx="118">
                  <c:v>2.2782838431372547</c:v>
                </c:pt>
                <c:pt idx="119">
                  <c:v>2.2975913333333331</c:v>
                </c:pt>
                <c:pt idx="120">
                  <c:v>2.3168988235294115</c:v>
                </c:pt>
                <c:pt idx="121">
                  <c:v>2.3362063137254898</c:v>
                </c:pt>
                <c:pt idx="122">
                  <c:v>2.3555138039215686</c:v>
                </c:pt>
                <c:pt idx="123">
                  <c:v>2.374821294117647</c:v>
                </c:pt>
                <c:pt idx="124">
                  <c:v>2.3941287843137253</c:v>
                </c:pt>
                <c:pt idx="125">
                  <c:v>2.4134362745098037</c:v>
                </c:pt>
                <c:pt idx="126">
                  <c:v>2.4327437647058821</c:v>
                </c:pt>
                <c:pt idx="127">
                  <c:v>2.4520512549019604</c:v>
                </c:pt>
                <c:pt idx="128">
                  <c:v>2.4713587450980392</c:v>
                </c:pt>
                <c:pt idx="129">
                  <c:v>2.4906662352941176</c:v>
                </c:pt>
                <c:pt idx="130">
                  <c:v>2.5099737254901959</c:v>
                </c:pt>
                <c:pt idx="131">
                  <c:v>2.5292812156862743</c:v>
                </c:pt>
                <c:pt idx="132">
                  <c:v>2.5485887058823531</c:v>
                </c:pt>
                <c:pt idx="133">
                  <c:v>2.5678961960784314</c:v>
                </c:pt>
                <c:pt idx="134">
                  <c:v>2.5872036862745098</c:v>
                </c:pt>
                <c:pt idx="135">
                  <c:v>2.6065111764705882</c:v>
                </c:pt>
                <c:pt idx="136">
                  <c:v>2.6258186666666665</c:v>
                </c:pt>
                <c:pt idx="137">
                  <c:v>2.6451261568627449</c:v>
                </c:pt>
                <c:pt idx="138">
                  <c:v>2.6644336470588232</c:v>
                </c:pt>
                <c:pt idx="139">
                  <c:v>2.6837411372549016</c:v>
                </c:pt>
                <c:pt idx="140">
                  <c:v>2.7030486274509804</c:v>
                </c:pt>
                <c:pt idx="141">
                  <c:v>2.7223561176470588</c:v>
                </c:pt>
                <c:pt idx="142">
                  <c:v>2.7416636078431371</c:v>
                </c:pt>
                <c:pt idx="143">
                  <c:v>2.7609710980392155</c:v>
                </c:pt>
                <c:pt idx="144">
                  <c:v>2.7802785882352938</c:v>
                </c:pt>
                <c:pt idx="145">
                  <c:v>2.7995860784313722</c:v>
                </c:pt>
                <c:pt idx="146">
                  <c:v>2.8188935686274506</c:v>
                </c:pt>
                <c:pt idx="147">
                  <c:v>2.8382010588235289</c:v>
                </c:pt>
                <c:pt idx="148">
                  <c:v>2.8575085490196077</c:v>
                </c:pt>
                <c:pt idx="149">
                  <c:v>2.8768160392156861</c:v>
                </c:pt>
                <c:pt idx="150">
                  <c:v>2.8961235294117644</c:v>
                </c:pt>
                <c:pt idx="151">
                  <c:v>2.9154310196078428</c:v>
                </c:pt>
                <c:pt idx="152">
                  <c:v>2.9347385098039211</c:v>
                </c:pt>
                <c:pt idx="153">
                  <c:v>2.9540459999999995</c:v>
                </c:pt>
                <c:pt idx="154">
                  <c:v>2.9733534901960779</c:v>
                </c:pt>
                <c:pt idx="155">
                  <c:v>2.9926609803921562</c:v>
                </c:pt>
                <c:pt idx="156">
                  <c:v>3.0119684705882355</c:v>
                </c:pt>
                <c:pt idx="157">
                  <c:v>3.0312759607843138</c:v>
                </c:pt>
                <c:pt idx="158">
                  <c:v>3.0505834509803922</c:v>
                </c:pt>
                <c:pt idx="159">
                  <c:v>3.0698909411764705</c:v>
                </c:pt>
                <c:pt idx="160">
                  <c:v>3.0891984313725489</c:v>
                </c:pt>
                <c:pt idx="161">
                  <c:v>3.1085059215686273</c:v>
                </c:pt>
                <c:pt idx="162">
                  <c:v>3.1278134117647056</c:v>
                </c:pt>
                <c:pt idx="163">
                  <c:v>3.147120901960784</c:v>
                </c:pt>
                <c:pt idx="164">
                  <c:v>3.1664283921568628</c:v>
                </c:pt>
                <c:pt idx="165">
                  <c:v>3.1857358823529411</c:v>
                </c:pt>
                <c:pt idx="166">
                  <c:v>3.2050433725490195</c:v>
                </c:pt>
                <c:pt idx="167">
                  <c:v>3.2243508627450979</c:v>
                </c:pt>
                <c:pt idx="168">
                  <c:v>3.2436583529411762</c:v>
                </c:pt>
                <c:pt idx="169">
                  <c:v>3.2629658431372546</c:v>
                </c:pt>
                <c:pt idx="170">
                  <c:v>3.2822733333333329</c:v>
                </c:pt>
                <c:pt idx="171">
                  <c:v>3.3015808235294113</c:v>
                </c:pt>
                <c:pt idx="172">
                  <c:v>3.3208883137254901</c:v>
                </c:pt>
                <c:pt idx="173">
                  <c:v>3.3401958039215685</c:v>
                </c:pt>
                <c:pt idx="174">
                  <c:v>3.3595032941176468</c:v>
                </c:pt>
                <c:pt idx="175">
                  <c:v>3.3788107843137252</c:v>
                </c:pt>
                <c:pt idx="176">
                  <c:v>3.3981182745098035</c:v>
                </c:pt>
                <c:pt idx="177">
                  <c:v>3.4174257647058819</c:v>
                </c:pt>
                <c:pt idx="178">
                  <c:v>3.4367332549019602</c:v>
                </c:pt>
                <c:pt idx="179">
                  <c:v>3.4560407450980386</c:v>
                </c:pt>
                <c:pt idx="180">
                  <c:v>3.4753482352941174</c:v>
                </c:pt>
                <c:pt idx="181">
                  <c:v>3.4946557254901958</c:v>
                </c:pt>
                <c:pt idx="182">
                  <c:v>3.5139632156862741</c:v>
                </c:pt>
                <c:pt idx="183">
                  <c:v>3.5332707058823525</c:v>
                </c:pt>
                <c:pt idx="184">
                  <c:v>3.5525781960784308</c:v>
                </c:pt>
                <c:pt idx="185">
                  <c:v>3.5718856862745092</c:v>
                </c:pt>
                <c:pt idx="186">
                  <c:v>3.5911931764705876</c:v>
                </c:pt>
                <c:pt idx="187">
                  <c:v>3.6105006666666659</c:v>
                </c:pt>
                <c:pt idx="188">
                  <c:v>3.6298081568627452</c:v>
                </c:pt>
                <c:pt idx="189">
                  <c:v>3.6491156470588235</c:v>
                </c:pt>
                <c:pt idx="190">
                  <c:v>3.6684231372549019</c:v>
                </c:pt>
                <c:pt idx="191">
                  <c:v>3.6877306274509802</c:v>
                </c:pt>
                <c:pt idx="192">
                  <c:v>3.7070381176470586</c:v>
                </c:pt>
                <c:pt idx="193">
                  <c:v>3.726345607843137</c:v>
                </c:pt>
                <c:pt idx="194">
                  <c:v>3.7456530980392153</c:v>
                </c:pt>
                <c:pt idx="195">
                  <c:v>3.7649605882352937</c:v>
                </c:pt>
                <c:pt idx="196">
                  <c:v>3.7842680784313725</c:v>
                </c:pt>
                <c:pt idx="197">
                  <c:v>3.8035755686274508</c:v>
                </c:pt>
                <c:pt idx="198">
                  <c:v>3.8228830588235292</c:v>
                </c:pt>
                <c:pt idx="199">
                  <c:v>3.8421905490196075</c:v>
                </c:pt>
                <c:pt idx="200">
                  <c:v>3.8614980392156859</c:v>
                </c:pt>
                <c:pt idx="201">
                  <c:v>3.8808055294117643</c:v>
                </c:pt>
                <c:pt idx="202">
                  <c:v>3.9001130196078426</c:v>
                </c:pt>
                <c:pt idx="203">
                  <c:v>3.919420509803921</c:v>
                </c:pt>
                <c:pt idx="204">
                  <c:v>3.9387279999999998</c:v>
                </c:pt>
                <c:pt idx="205">
                  <c:v>3.9580354901960781</c:v>
                </c:pt>
                <c:pt idx="206">
                  <c:v>3.9773429803921565</c:v>
                </c:pt>
                <c:pt idx="207">
                  <c:v>3.9966504705882349</c:v>
                </c:pt>
                <c:pt idx="208">
                  <c:v>4.0159579607843137</c:v>
                </c:pt>
                <c:pt idx="209">
                  <c:v>4.0352654509803916</c:v>
                </c:pt>
                <c:pt idx="210">
                  <c:v>4.0545729411764704</c:v>
                </c:pt>
                <c:pt idx="211">
                  <c:v>4.0738804313725483</c:v>
                </c:pt>
                <c:pt idx="212">
                  <c:v>4.0931879215686271</c:v>
                </c:pt>
                <c:pt idx="213">
                  <c:v>4.1124954117647059</c:v>
                </c:pt>
                <c:pt idx="214">
                  <c:v>4.1318029019607838</c:v>
                </c:pt>
                <c:pt idx="215">
                  <c:v>4.1511103921568626</c:v>
                </c:pt>
                <c:pt idx="216">
                  <c:v>4.1704178823529405</c:v>
                </c:pt>
                <c:pt idx="217">
                  <c:v>4.1897253725490193</c:v>
                </c:pt>
                <c:pt idx="218">
                  <c:v>4.2090328627450972</c:v>
                </c:pt>
                <c:pt idx="219">
                  <c:v>4.2283403529411761</c:v>
                </c:pt>
                <c:pt idx="220">
                  <c:v>4.2476478431372549</c:v>
                </c:pt>
                <c:pt idx="221">
                  <c:v>4.2669553333333328</c:v>
                </c:pt>
                <c:pt idx="222">
                  <c:v>4.2862628235294116</c:v>
                </c:pt>
                <c:pt idx="223">
                  <c:v>4.3055703137254895</c:v>
                </c:pt>
                <c:pt idx="224">
                  <c:v>4.3248778039215683</c:v>
                </c:pt>
                <c:pt idx="225">
                  <c:v>4.3441852941176462</c:v>
                </c:pt>
                <c:pt idx="226">
                  <c:v>4.363492784313725</c:v>
                </c:pt>
                <c:pt idx="227">
                  <c:v>4.3828002745098029</c:v>
                </c:pt>
                <c:pt idx="228">
                  <c:v>4.4021077647058826</c:v>
                </c:pt>
                <c:pt idx="229">
                  <c:v>4.4214152549019605</c:v>
                </c:pt>
                <c:pt idx="230">
                  <c:v>4.4407227450980393</c:v>
                </c:pt>
                <c:pt idx="231">
                  <c:v>4.4600302352941172</c:v>
                </c:pt>
                <c:pt idx="232">
                  <c:v>4.479337725490196</c:v>
                </c:pt>
                <c:pt idx="233">
                  <c:v>4.498645215686274</c:v>
                </c:pt>
                <c:pt idx="234">
                  <c:v>4.5179527058823528</c:v>
                </c:pt>
                <c:pt idx="235">
                  <c:v>4.5372601960784307</c:v>
                </c:pt>
                <c:pt idx="236">
                  <c:v>4.5565676862745095</c:v>
                </c:pt>
                <c:pt idx="237">
                  <c:v>4.5758751764705883</c:v>
                </c:pt>
                <c:pt idx="238">
                  <c:v>4.5951826666666662</c:v>
                </c:pt>
                <c:pt idx="239">
                  <c:v>4.614490156862745</c:v>
                </c:pt>
                <c:pt idx="240">
                  <c:v>4.6337976470588229</c:v>
                </c:pt>
                <c:pt idx="241">
                  <c:v>4.6531051372549017</c:v>
                </c:pt>
                <c:pt idx="242">
                  <c:v>4.6724126274509796</c:v>
                </c:pt>
                <c:pt idx="243">
                  <c:v>4.6917201176470584</c:v>
                </c:pt>
                <c:pt idx="244">
                  <c:v>4.7110276078431372</c:v>
                </c:pt>
                <c:pt idx="245">
                  <c:v>4.7303350980392151</c:v>
                </c:pt>
                <c:pt idx="246">
                  <c:v>4.7496425882352939</c:v>
                </c:pt>
                <c:pt idx="247">
                  <c:v>4.7689500784313719</c:v>
                </c:pt>
                <c:pt idx="248">
                  <c:v>4.7882575686274507</c:v>
                </c:pt>
                <c:pt idx="249">
                  <c:v>4.8075650588235286</c:v>
                </c:pt>
                <c:pt idx="250">
                  <c:v>4.8268725490196074</c:v>
                </c:pt>
                <c:pt idx="251">
                  <c:v>4.8461800392156853</c:v>
                </c:pt>
                <c:pt idx="252">
                  <c:v>4.8654875294117641</c:v>
                </c:pt>
                <c:pt idx="253">
                  <c:v>4.8847950196078429</c:v>
                </c:pt>
                <c:pt idx="254">
                  <c:v>4.9041025098039208</c:v>
                </c:pt>
                <c:pt idx="255">
                  <c:v>4.9234099999999996</c:v>
                </c:pt>
              </c:numCache>
            </c:numRef>
          </c:cat>
          <c:val>
            <c:numRef>
              <c:f>info!$C$2:$C$257</c:f>
              <c:numCache>
                <c:formatCode>0.00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766</c:v>
                </c:pt>
                <c:pt idx="7">
                  <c:v>0</c:v>
                </c:pt>
                <c:pt idx="8">
                  <c:v>1610</c:v>
                </c:pt>
                <c:pt idx="9">
                  <c:v>0</c:v>
                </c:pt>
                <c:pt idx="10">
                  <c:v>0</c:v>
                </c:pt>
                <c:pt idx="11">
                  <c:v>3837</c:v>
                </c:pt>
                <c:pt idx="12">
                  <c:v>0</c:v>
                </c:pt>
                <c:pt idx="13">
                  <c:v>8592</c:v>
                </c:pt>
                <c:pt idx="14">
                  <c:v>0</c:v>
                </c:pt>
                <c:pt idx="15">
                  <c:v>0</c:v>
                </c:pt>
                <c:pt idx="16">
                  <c:v>15663</c:v>
                </c:pt>
                <c:pt idx="17">
                  <c:v>0</c:v>
                </c:pt>
                <c:pt idx="18">
                  <c:v>0</c:v>
                </c:pt>
                <c:pt idx="19">
                  <c:v>33962</c:v>
                </c:pt>
                <c:pt idx="20">
                  <c:v>0</c:v>
                </c:pt>
                <c:pt idx="21">
                  <c:v>52154</c:v>
                </c:pt>
                <c:pt idx="22">
                  <c:v>0</c:v>
                </c:pt>
                <c:pt idx="23">
                  <c:v>0</c:v>
                </c:pt>
                <c:pt idx="24">
                  <c:v>75485</c:v>
                </c:pt>
                <c:pt idx="25">
                  <c:v>0</c:v>
                </c:pt>
                <c:pt idx="26">
                  <c:v>75172</c:v>
                </c:pt>
                <c:pt idx="27">
                  <c:v>0</c:v>
                </c:pt>
                <c:pt idx="28">
                  <c:v>0</c:v>
                </c:pt>
                <c:pt idx="29">
                  <c:v>85504</c:v>
                </c:pt>
                <c:pt idx="30">
                  <c:v>0</c:v>
                </c:pt>
                <c:pt idx="31">
                  <c:v>90266</c:v>
                </c:pt>
                <c:pt idx="32">
                  <c:v>0</c:v>
                </c:pt>
                <c:pt idx="33">
                  <c:v>0</c:v>
                </c:pt>
                <c:pt idx="34">
                  <c:v>95674</c:v>
                </c:pt>
                <c:pt idx="35">
                  <c:v>0</c:v>
                </c:pt>
                <c:pt idx="36">
                  <c:v>0</c:v>
                </c:pt>
                <c:pt idx="37">
                  <c:v>97011</c:v>
                </c:pt>
                <c:pt idx="38">
                  <c:v>0</c:v>
                </c:pt>
                <c:pt idx="39">
                  <c:v>101881</c:v>
                </c:pt>
                <c:pt idx="40">
                  <c:v>0</c:v>
                </c:pt>
                <c:pt idx="41">
                  <c:v>0</c:v>
                </c:pt>
                <c:pt idx="42">
                  <c:v>103076</c:v>
                </c:pt>
                <c:pt idx="43">
                  <c:v>0</c:v>
                </c:pt>
                <c:pt idx="44">
                  <c:v>105880</c:v>
                </c:pt>
                <c:pt idx="45">
                  <c:v>0</c:v>
                </c:pt>
                <c:pt idx="46">
                  <c:v>0</c:v>
                </c:pt>
                <c:pt idx="47">
                  <c:v>116348</c:v>
                </c:pt>
                <c:pt idx="48">
                  <c:v>0</c:v>
                </c:pt>
                <c:pt idx="49">
                  <c:v>117554</c:v>
                </c:pt>
                <c:pt idx="50">
                  <c:v>0</c:v>
                </c:pt>
                <c:pt idx="51">
                  <c:v>0</c:v>
                </c:pt>
                <c:pt idx="52">
                  <c:v>126123</c:v>
                </c:pt>
                <c:pt idx="53">
                  <c:v>0</c:v>
                </c:pt>
                <c:pt idx="54">
                  <c:v>0</c:v>
                </c:pt>
                <c:pt idx="55">
                  <c:v>135504</c:v>
                </c:pt>
                <c:pt idx="56">
                  <c:v>0</c:v>
                </c:pt>
                <c:pt idx="57">
                  <c:v>130783</c:v>
                </c:pt>
                <c:pt idx="58">
                  <c:v>0</c:v>
                </c:pt>
                <c:pt idx="59">
                  <c:v>0</c:v>
                </c:pt>
                <c:pt idx="60">
                  <c:v>136344</c:v>
                </c:pt>
                <c:pt idx="61">
                  <c:v>0</c:v>
                </c:pt>
                <c:pt idx="62">
                  <c:v>139375</c:v>
                </c:pt>
                <c:pt idx="63">
                  <c:v>0</c:v>
                </c:pt>
                <c:pt idx="64">
                  <c:v>0</c:v>
                </c:pt>
                <c:pt idx="65">
                  <c:v>145501</c:v>
                </c:pt>
                <c:pt idx="66">
                  <c:v>0</c:v>
                </c:pt>
                <c:pt idx="67">
                  <c:v>141075</c:v>
                </c:pt>
                <c:pt idx="68">
                  <c:v>0</c:v>
                </c:pt>
                <c:pt idx="69">
                  <c:v>0</c:v>
                </c:pt>
                <c:pt idx="70">
                  <c:v>145825</c:v>
                </c:pt>
                <c:pt idx="71">
                  <c:v>0</c:v>
                </c:pt>
                <c:pt idx="72">
                  <c:v>0</c:v>
                </c:pt>
                <c:pt idx="73">
                  <c:v>145525</c:v>
                </c:pt>
                <c:pt idx="74">
                  <c:v>0</c:v>
                </c:pt>
                <c:pt idx="75">
                  <c:v>131480</c:v>
                </c:pt>
                <c:pt idx="76">
                  <c:v>0</c:v>
                </c:pt>
                <c:pt idx="77">
                  <c:v>0</c:v>
                </c:pt>
                <c:pt idx="78">
                  <c:v>126455</c:v>
                </c:pt>
                <c:pt idx="79">
                  <c:v>0</c:v>
                </c:pt>
                <c:pt idx="80">
                  <c:v>123571</c:v>
                </c:pt>
                <c:pt idx="81">
                  <c:v>0</c:v>
                </c:pt>
                <c:pt idx="82">
                  <c:v>0</c:v>
                </c:pt>
                <c:pt idx="83">
                  <c:v>122480</c:v>
                </c:pt>
                <c:pt idx="84">
                  <c:v>0</c:v>
                </c:pt>
                <c:pt idx="85">
                  <c:v>0</c:v>
                </c:pt>
                <c:pt idx="86">
                  <c:v>114709</c:v>
                </c:pt>
                <c:pt idx="87">
                  <c:v>0</c:v>
                </c:pt>
                <c:pt idx="88">
                  <c:v>116736</c:v>
                </c:pt>
                <c:pt idx="89">
                  <c:v>0</c:v>
                </c:pt>
                <c:pt idx="90">
                  <c:v>0</c:v>
                </c:pt>
                <c:pt idx="91">
                  <c:v>105277</c:v>
                </c:pt>
                <c:pt idx="92">
                  <c:v>0</c:v>
                </c:pt>
                <c:pt idx="93">
                  <c:v>103902</c:v>
                </c:pt>
                <c:pt idx="94">
                  <c:v>0</c:v>
                </c:pt>
                <c:pt idx="95">
                  <c:v>0</c:v>
                </c:pt>
                <c:pt idx="96">
                  <c:v>102548</c:v>
                </c:pt>
                <c:pt idx="97">
                  <c:v>0</c:v>
                </c:pt>
                <c:pt idx="98">
                  <c:v>102516</c:v>
                </c:pt>
                <c:pt idx="99">
                  <c:v>0</c:v>
                </c:pt>
                <c:pt idx="100">
                  <c:v>0</c:v>
                </c:pt>
                <c:pt idx="101">
                  <c:v>102689</c:v>
                </c:pt>
                <c:pt idx="102">
                  <c:v>0</c:v>
                </c:pt>
                <c:pt idx="103">
                  <c:v>0</c:v>
                </c:pt>
                <c:pt idx="104">
                  <c:v>97562</c:v>
                </c:pt>
                <c:pt idx="105">
                  <c:v>0</c:v>
                </c:pt>
                <c:pt idx="106">
                  <c:v>93162</c:v>
                </c:pt>
                <c:pt idx="107">
                  <c:v>0</c:v>
                </c:pt>
                <c:pt idx="108">
                  <c:v>0</c:v>
                </c:pt>
                <c:pt idx="109">
                  <c:v>91423</c:v>
                </c:pt>
                <c:pt idx="110">
                  <c:v>0</c:v>
                </c:pt>
                <c:pt idx="111">
                  <c:v>82673</c:v>
                </c:pt>
                <c:pt idx="112">
                  <c:v>0</c:v>
                </c:pt>
                <c:pt idx="113">
                  <c:v>0</c:v>
                </c:pt>
                <c:pt idx="114">
                  <c:v>74547</c:v>
                </c:pt>
                <c:pt idx="115">
                  <c:v>0</c:v>
                </c:pt>
                <c:pt idx="116">
                  <c:v>70010</c:v>
                </c:pt>
                <c:pt idx="117">
                  <c:v>0</c:v>
                </c:pt>
                <c:pt idx="118">
                  <c:v>0</c:v>
                </c:pt>
                <c:pt idx="119">
                  <c:v>64719</c:v>
                </c:pt>
                <c:pt idx="120">
                  <c:v>0</c:v>
                </c:pt>
                <c:pt idx="121">
                  <c:v>0</c:v>
                </c:pt>
                <c:pt idx="122">
                  <c:v>58915</c:v>
                </c:pt>
                <c:pt idx="123">
                  <c:v>0</c:v>
                </c:pt>
                <c:pt idx="124">
                  <c:v>52247</c:v>
                </c:pt>
                <c:pt idx="125">
                  <c:v>0</c:v>
                </c:pt>
                <c:pt idx="126">
                  <c:v>0</c:v>
                </c:pt>
                <c:pt idx="127">
                  <c:v>48823</c:v>
                </c:pt>
                <c:pt idx="128">
                  <c:v>0</c:v>
                </c:pt>
                <c:pt idx="129">
                  <c:v>45494</c:v>
                </c:pt>
                <c:pt idx="130">
                  <c:v>0</c:v>
                </c:pt>
                <c:pt idx="131">
                  <c:v>0</c:v>
                </c:pt>
                <c:pt idx="132">
                  <c:v>42234</c:v>
                </c:pt>
                <c:pt idx="133">
                  <c:v>0</c:v>
                </c:pt>
                <c:pt idx="134">
                  <c:v>36204</c:v>
                </c:pt>
                <c:pt idx="135">
                  <c:v>0</c:v>
                </c:pt>
                <c:pt idx="136">
                  <c:v>0</c:v>
                </c:pt>
                <c:pt idx="137">
                  <c:v>33172</c:v>
                </c:pt>
                <c:pt idx="138">
                  <c:v>0</c:v>
                </c:pt>
                <c:pt idx="139">
                  <c:v>0</c:v>
                </c:pt>
                <c:pt idx="140">
                  <c:v>28638</c:v>
                </c:pt>
                <c:pt idx="141">
                  <c:v>0</c:v>
                </c:pt>
                <c:pt idx="142">
                  <c:v>23921</c:v>
                </c:pt>
                <c:pt idx="143">
                  <c:v>0</c:v>
                </c:pt>
                <c:pt idx="144">
                  <c:v>0</c:v>
                </c:pt>
                <c:pt idx="145">
                  <c:v>19998</c:v>
                </c:pt>
                <c:pt idx="146">
                  <c:v>0</c:v>
                </c:pt>
                <c:pt idx="147">
                  <c:v>13157</c:v>
                </c:pt>
                <c:pt idx="148">
                  <c:v>0</c:v>
                </c:pt>
                <c:pt idx="149">
                  <c:v>0</c:v>
                </c:pt>
                <c:pt idx="150">
                  <c:v>10595</c:v>
                </c:pt>
                <c:pt idx="151">
                  <c:v>0</c:v>
                </c:pt>
                <c:pt idx="152">
                  <c:v>7952</c:v>
                </c:pt>
                <c:pt idx="153">
                  <c:v>0</c:v>
                </c:pt>
                <c:pt idx="154">
                  <c:v>0</c:v>
                </c:pt>
                <c:pt idx="155">
                  <c:v>6463</c:v>
                </c:pt>
                <c:pt idx="156">
                  <c:v>0</c:v>
                </c:pt>
                <c:pt idx="157">
                  <c:v>0</c:v>
                </c:pt>
                <c:pt idx="158">
                  <c:v>4450</c:v>
                </c:pt>
                <c:pt idx="159">
                  <c:v>0</c:v>
                </c:pt>
                <c:pt idx="160">
                  <c:v>3504</c:v>
                </c:pt>
                <c:pt idx="161">
                  <c:v>0</c:v>
                </c:pt>
                <c:pt idx="162">
                  <c:v>0</c:v>
                </c:pt>
                <c:pt idx="163">
                  <c:v>2299</c:v>
                </c:pt>
                <c:pt idx="164">
                  <c:v>0</c:v>
                </c:pt>
                <c:pt idx="165">
                  <c:v>911</c:v>
                </c:pt>
                <c:pt idx="166">
                  <c:v>0</c:v>
                </c:pt>
                <c:pt idx="167">
                  <c:v>0</c:v>
                </c:pt>
                <c:pt idx="168">
                  <c:v>516</c:v>
                </c:pt>
                <c:pt idx="169">
                  <c:v>0</c:v>
                </c:pt>
                <c:pt idx="170">
                  <c:v>0</c:v>
                </c:pt>
                <c:pt idx="171">
                  <c:v>237</c:v>
                </c:pt>
                <c:pt idx="172">
                  <c:v>0</c:v>
                </c:pt>
                <c:pt idx="173">
                  <c:v>152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F1-47E5-BBF9-9C7BD5184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3681936"/>
        <c:axId val="293682328"/>
      </c:lineChart>
      <c:catAx>
        <c:axId val="293681936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2328"/>
        <c:crosses val="autoZero"/>
        <c:auto val="1"/>
        <c:lblAlgn val="ctr"/>
        <c:lblOffset val="100"/>
        <c:tickMarkSkip val="1"/>
        <c:noMultiLvlLbl val="0"/>
      </c:catAx>
      <c:valAx>
        <c:axId val="293682328"/>
        <c:scaling>
          <c:orientation val="minMax"/>
        </c:scaling>
        <c:delete val="1"/>
        <c:axPos val="l"/>
        <c:majorGridlines/>
        <c:numFmt formatCode="0.00" sourceLinked="1"/>
        <c:majorTickMark val="out"/>
        <c:minorTickMark val="none"/>
        <c:tickLblPos val="nextTo"/>
        <c:crossAx val="2936819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43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148"/>
                <c:pt idx="0">
                  <c:v>1.7180400000000002</c:v>
                </c:pt>
                <c:pt idx="1">
                  <c:v>1.76193</c:v>
                </c:pt>
                <c:pt idx="2">
                  <c:v>1.80619</c:v>
                </c:pt>
                <c:pt idx="3">
                  <c:v>1.84931</c:v>
                </c:pt>
                <c:pt idx="4">
                  <c:v>1.8915899999999999</c:v>
                </c:pt>
                <c:pt idx="5">
                  <c:v>1.93252</c:v>
                </c:pt>
                <c:pt idx="6">
                  <c:v>1.9722700000000002</c:v>
                </c:pt>
                <c:pt idx="7">
                  <c:v>2.0112199999999998</c:v>
                </c:pt>
                <c:pt idx="8">
                  <c:v>2.0497899999999998</c:v>
                </c:pt>
                <c:pt idx="9">
                  <c:v>2.0885799999999999</c:v>
                </c:pt>
                <c:pt idx="10">
                  <c:v>2.1273400000000002</c:v>
                </c:pt>
                <c:pt idx="11">
                  <c:v>2.1656500000000003</c:v>
                </c:pt>
                <c:pt idx="12">
                  <c:v>2.20316</c:v>
                </c:pt>
                <c:pt idx="13">
                  <c:v>2.2399499999999999</c:v>
                </c:pt>
                <c:pt idx="14">
                  <c:v>2.2751099999999997</c:v>
                </c:pt>
                <c:pt idx="15">
                  <c:v>2.3094600000000001</c:v>
                </c:pt>
                <c:pt idx="16">
                  <c:v>2.3450600000000001</c:v>
                </c:pt>
                <c:pt idx="17">
                  <c:v>2.3799100000000002</c:v>
                </c:pt>
                <c:pt idx="18">
                  <c:v>2.41384</c:v>
                </c:pt>
                <c:pt idx="19">
                  <c:v>2.4466099999999997</c:v>
                </c:pt>
                <c:pt idx="20">
                  <c:v>2.4775499999999999</c:v>
                </c:pt>
                <c:pt idx="21">
                  <c:v>2.5090400000000002</c:v>
                </c:pt>
                <c:pt idx="22">
                  <c:v>2.5404100000000001</c:v>
                </c:pt>
                <c:pt idx="23">
                  <c:v>2.57043</c:v>
                </c:pt>
                <c:pt idx="24">
                  <c:v>2.59931</c:v>
                </c:pt>
                <c:pt idx="25">
                  <c:v>2.6290200000000001</c:v>
                </c:pt>
                <c:pt idx="26">
                  <c:v>2.6585900000000002</c:v>
                </c:pt>
                <c:pt idx="27">
                  <c:v>2.6878099999999998</c:v>
                </c:pt>
                <c:pt idx="28">
                  <c:v>2.7148499999999998</c:v>
                </c:pt>
                <c:pt idx="29">
                  <c:v>2.7411300000000001</c:v>
                </c:pt>
                <c:pt idx="30">
                  <c:v>2.7660499999999999</c:v>
                </c:pt>
                <c:pt idx="31">
                  <c:v>2.7914400000000001</c:v>
                </c:pt>
                <c:pt idx="32">
                  <c:v>2.8158899999999996</c:v>
                </c:pt>
                <c:pt idx="33">
                  <c:v>2.8378100000000002</c:v>
                </c:pt>
                <c:pt idx="34">
                  <c:v>2.8566500000000001</c:v>
                </c:pt>
                <c:pt idx="35">
                  <c:v>2.8734999999999999</c:v>
                </c:pt>
                <c:pt idx="36">
                  <c:v>2.8900999999999999</c:v>
                </c:pt>
                <c:pt idx="37">
                  <c:v>2.9055599999999999</c:v>
                </c:pt>
                <c:pt idx="38">
                  <c:v>2.9209700000000001</c:v>
                </c:pt>
                <c:pt idx="39">
                  <c:v>2.9386400000000004</c:v>
                </c:pt>
                <c:pt idx="40">
                  <c:v>2.9572399999999996</c:v>
                </c:pt>
                <c:pt idx="41">
                  <c:v>2.9739599999999999</c:v>
                </c:pt>
                <c:pt idx="42">
                  <c:v>2.9917700000000003</c:v>
                </c:pt>
                <c:pt idx="43">
                  <c:v>3.0091600000000001</c:v>
                </c:pt>
                <c:pt idx="44">
                  <c:v>3.0260500000000001</c:v>
                </c:pt>
                <c:pt idx="45">
                  <c:v>3.0470299999999999</c:v>
                </c:pt>
                <c:pt idx="46">
                  <c:v>3.0673899999999996</c:v>
                </c:pt>
                <c:pt idx="47">
                  <c:v>3.0878000000000001</c:v>
                </c:pt>
                <c:pt idx="48">
                  <c:v>3.1073899999999997</c:v>
                </c:pt>
                <c:pt idx="49">
                  <c:v>3.1253399999999996</c:v>
                </c:pt>
                <c:pt idx="50">
                  <c:v>3.1368800000000001</c:v>
                </c:pt>
                <c:pt idx="51">
                  <c:v>3.1509</c:v>
                </c:pt>
                <c:pt idx="52">
                  <c:v>3.1638000000000002</c:v>
                </c:pt>
                <c:pt idx="53">
                  <c:v>3.1775599999999997</c:v>
                </c:pt>
                <c:pt idx="54">
                  <c:v>3.1900200000000001</c:v>
                </c:pt>
                <c:pt idx="55">
                  <c:v>3.2027200000000002</c:v>
                </c:pt>
                <c:pt idx="56">
                  <c:v>3.21529</c:v>
                </c:pt>
                <c:pt idx="57">
                  <c:v>3.22614</c:v>
                </c:pt>
                <c:pt idx="58">
                  <c:v>3.2358799999999999</c:v>
                </c:pt>
                <c:pt idx="59">
                  <c:v>3.2444299999999999</c:v>
                </c:pt>
                <c:pt idx="60">
                  <c:v>3.25318</c:v>
                </c:pt>
                <c:pt idx="61">
                  <c:v>3.26342</c:v>
                </c:pt>
                <c:pt idx="62">
                  <c:v>3.2750499999999998</c:v>
                </c:pt>
                <c:pt idx="63">
                  <c:v>3.2862400000000003</c:v>
                </c:pt>
                <c:pt idx="64">
                  <c:v>3.2949099999999998</c:v>
                </c:pt>
                <c:pt idx="65">
                  <c:v>3.3028400000000002</c:v>
                </c:pt>
                <c:pt idx="66">
                  <c:v>3.3111299999999999</c:v>
                </c:pt>
                <c:pt idx="67">
                  <c:v>3.3176499999999995</c:v>
                </c:pt>
                <c:pt idx="68">
                  <c:v>3.3261099999999999</c:v>
                </c:pt>
                <c:pt idx="69">
                  <c:v>3.3362500000000002</c:v>
                </c:pt>
                <c:pt idx="70">
                  <c:v>3.3468300000000002</c:v>
                </c:pt>
                <c:pt idx="71">
                  <c:v>3.3605299999999998</c:v>
                </c:pt>
                <c:pt idx="72">
                  <c:v>3.3758899999999996</c:v>
                </c:pt>
                <c:pt idx="73">
                  <c:v>3.3925200000000002</c:v>
                </c:pt>
                <c:pt idx="74">
                  <c:v>3.4095999999999997</c:v>
                </c:pt>
                <c:pt idx="75">
                  <c:v>3.4330799999999999</c:v>
                </c:pt>
                <c:pt idx="76">
                  <c:v>3.45072</c:v>
                </c:pt>
                <c:pt idx="77">
                  <c:v>3.4677899999999999</c:v>
                </c:pt>
                <c:pt idx="78">
                  <c:v>3.4855100000000001</c:v>
                </c:pt>
                <c:pt idx="79">
                  <c:v>3.5019099999999996</c:v>
                </c:pt>
                <c:pt idx="80">
                  <c:v>3.5178099999999999</c:v>
                </c:pt>
                <c:pt idx="81">
                  <c:v>3.53146</c:v>
                </c:pt>
                <c:pt idx="82">
                  <c:v>3.5470000000000002</c:v>
                </c:pt>
                <c:pt idx="83">
                  <c:v>3.5626799999999998</c:v>
                </c:pt>
                <c:pt idx="84">
                  <c:v>3.57952</c:v>
                </c:pt>
                <c:pt idx="85">
                  <c:v>3.5950300000000004</c:v>
                </c:pt>
                <c:pt idx="86">
                  <c:v>3.6074899999999999</c:v>
                </c:pt>
                <c:pt idx="87">
                  <c:v>3.61721</c:v>
                </c:pt>
                <c:pt idx="88">
                  <c:v>3.6247199999999999</c:v>
                </c:pt>
                <c:pt idx="89">
                  <c:v>3.6295999999999999</c:v>
                </c:pt>
                <c:pt idx="90">
                  <c:v>3.6327199999999999</c:v>
                </c:pt>
                <c:pt idx="91">
                  <c:v>3.63489</c:v>
                </c:pt>
                <c:pt idx="92">
                  <c:v>3.6352600000000002</c:v>
                </c:pt>
                <c:pt idx="93">
                  <c:v>3.6331899999999999</c:v>
                </c:pt>
                <c:pt idx="94">
                  <c:v>3.6255799999999998</c:v>
                </c:pt>
                <c:pt idx="95">
                  <c:v>3.6111</c:v>
                </c:pt>
                <c:pt idx="96">
                  <c:v>3.5911</c:v>
                </c:pt>
                <c:pt idx="97">
                  <c:v>3.5664400000000001</c:v>
                </c:pt>
                <c:pt idx="98">
                  <c:v>3.5398000000000001</c:v>
                </c:pt>
                <c:pt idx="99">
                  <c:v>3.5124300000000002</c:v>
                </c:pt>
                <c:pt idx="100">
                  <c:v>3.4835899999999995</c:v>
                </c:pt>
                <c:pt idx="101">
                  <c:v>3.4516400000000003</c:v>
                </c:pt>
                <c:pt idx="102">
                  <c:v>3.41736</c:v>
                </c:pt>
                <c:pt idx="103">
                  <c:v>3.3826800000000001</c:v>
                </c:pt>
                <c:pt idx="104">
                  <c:v>3.3502000000000001</c:v>
                </c:pt>
                <c:pt idx="105">
                  <c:v>3.3159300000000003</c:v>
                </c:pt>
                <c:pt idx="106">
                  <c:v>3.2823899999999999</c:v>
                </c:pt>
                <c:pt idx="107">
                  <c:v>3.2487899999999996</c:v>
                </c:pt>
                <c:pt idx="108">
                  <c:v>3.2134099999999997</c:v>
                </c:pt>
                <c:pt idx="109">
                  <c:v>3.1768099999999997</c:v>
                </c:pt>
                <c:pt idx="110">
                  <c:v>3.1384699999999999</c:v>
                </c:pt>
                <c:pt idx="111">
                  <c:v>3.09917</c:v>
                </c:pt>
                <c:pt idx="112">
                  <c:v>3.0610599999999999</c:v>
                </c:pt>
                <c:pt idx="113">
                  <c:v>3.0238800000000001</c:v>
                </c:pt>
                <c:pt idx="114">
                  <c:v>2.9893100000000001</c:v>
                </c:pt>
                <c:pt idx="115">
                  <c:v>2.9540999999999999</c:v>
                </c:pt>
                <c:pt idx="116">
                  <c:v>2.9179399999999998</c:v>
                </c:pt>
                <c:pt idx="117">
                  <c:v>2.88043</c:v>
                </c:pt>
                <c:pt idx="118">
                  <c:v>2.8448899999999999</c:v>
                </c:pt>
                <c:pt idx="119">
                  <c:v>2.8140300000000003</c:v>
                </c:pt>
                <c:pt idx="120">
                  <c:v>2.7872400000000002</c:v>
                </c:pt>
                <c:pt idx="121">
                  <c:v>2.76633</c:v>
                </c:pt>
                <c:pt idx="122">
                  <c:v>2.7486999999999999</c:v>
                </c:pt>
                <c:pt idx="123">
                  <c:v>2.7333400000000001</c:v>
                </c:pt>
                <c:pt idx="124">
                  <c:v>2.72173</c:v>
                </c:pt>
                <c:pt idx="125">
                  <c:v>2.7100600000000004</c:v>
                </c:pt>
                <c:pt idx="126">
                  <c:v>2.7018599999999999</c:v>
                </c:pt>
                <c:pt idx="127">
                  <c:v>2.6947399999999999</c:v>
                </c:pt>
                <c:pt idx="128">
                  <c:v>2.6864700000000004</c:v>
                </c:pt>
                <c:pt idx="129">
                  <c:v>2.67503</c:v>
                </c:pt>
                <c:pt idx="130">
                  <c:v>2.6645999999999996</c:v>
                </c:pt>
                <c:pt idx="131">
                  <c:v>2.6540699999999999</c:v>
                </c:pt>
                <c:pt idx="132">
                  <c:v>2.64032</c:v>
                </c:pt>
                <c:pt idx="133">
                  <c:v>2.6269799999999996</c:v>
                </c:pt>
                <c:pt idx="134">
                  <c:v>2.6151799999999996</c:v>
                </c:pt>
                <c:pt idx="135">
                  <c:v>2.6064100000000003</c:v>
                </c:pt>
                <c:pt idx="136">
                  <c:v>2.6002999999999998</c:v>
                </c:pt>
                <c:pt idx="137">
                  <c:v>2.5929799999999998</c:v>
                </c:pt>
                <c:pt idx="138">
                  <c:v>2.5882000000000001</c:v>
                </c:pt>
                <c:pt idx="139">
                  <c:v>2.58155</c:v>
                </c:pt>
                <c:pt idx="140">
                  <c:v>2.5793500000000003</c:v>
                </c:pt>
                <c:pt idx="141">
                  <c:v>2.5840000000000001</c:v>
                </c:pt>
                <c:pt idx="142">
                  <c:v>2.5954199999999998</c:v>
                </c:pt>
                <c:pt idx="143">
                  <c:v>2.6027</c:v>
                </c:pt>
                <c:pt idx="144">
                  <c:v>2.61348</c:v>
                </c:pt>
                <c:pt idx="145">
                  <c:v>2.63009</c:v>
                </c:pt>
                <c:pt idx="146">
                  <c:v>2.6357499999999998</c:v>
                </c:pt>
                <c:pt idx="147">
                  <c:v>2.64079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63.641400000000004</c:v>
                </c:pt>
                <c:pt idx="1">
                  <c:v>62.920200000000001</c:v>
                </c:pt>
                <c:pt idx="2">
                  <c:v>62.155000000000001</c:v>
                </c:pt>
                <c:pt idx="3">
                  <c:v>61.371200000000002</c:v>
                </c:pt>
                <c:pt idx="4">
                  <c:v>60.558199999999992</c:v>
                </c:pt>
                <c:pt idx="5">
                  <c:v>59.765000000000001</c:v>
                </c:pt>
                <c:pt idx="6">
                  <c:v>58.959799999999994</c:v>
                </c:pt>
                <c:pt idx="7">
                  <c:v>58.121100000000006</c:v>
                </c:pt>
                <c:pt idx="8">
                  <c:v>57.166200000000003</c:v>
                </c:pt>
                <c:pt idx="9">
                  <c:v>56.0824</c:v>
                </c:pt>
                <c:pt idx="10">
                  <c:v>54.947199999999995</c:v>
                </c:pt>
                <c:pt idx="11">
                  <c:v>53.837699999999998</c:v>
                </c:pt>
                <c:pt idx="12">
                  <c:v>52.732700000000001</c:v>
                </c:pt>
                <c:pt idx="13">
                  <c:v>51.715900000000005</c:v>
                </c:pt>
                <c:pt idx="14">
                  <c:v>50.764499999999998</c:v>
                </c:pt>
                <c:pt idx="15">
                  <c:v>49.8628</c:v>
                </c:pt>
                <c:pt idx="16">
                  <c:v>48.927999999999997</c:v>
                </c:pt>
                <c:pt idx="17">
                  <c:v>48.089599999999997</c:v>
                </c:pt>
                <c:pt idx="18">
                  <c:v>47.274699999999996</c:v>
                </c:pt>
                <c:pt idx="19">
                  <c:v>46.473500000000001</c:v>
                </c:pt>
                <c:pt idx="20">
                  <c:v>45.749600000000001</c:v>
                </c:pt>
                <c:pt idx="21">
                  <c:v>45.058599999999998</c:v>
                </c:pt>
                <c:pt idx="22">
                  <c:v>44.351500000000001</c:v>
                </c:pt>
                <c:pt idx="23">
                  <c:v>43.638199999999998</c:v>
                </c:pt>
                <c:pt idx="24">
                  <c:v>42.949799999999996</c:v>
                </c:pt>
                <c:pt idx="25">
                  <c:v>42.265300000000003</c:v>
                </c:pt>
                <c:pt idx="26">
                  <c:v>41.582900000000002</c:v>
                </c:pt>
                <c:pt idx="27">
                  <c:v>40.947899999999997</c:v>
                </c:pt>
                <c:pt idx="28">
                  <c:v>40.3949</c:v>
                </c:pt>
                <c:pt idx="29">
                  <c:v>39.872399999999999</c:v>
                </c:pt>
                <c:pt idx="30">
                  <c:v>39.426699999999997</c:v>
                </c:pt>
                <c:pt idx="31">
                  <c:v>39.0169</c:v>
                </c:pt>
                <c:pt idx="32">
                  <c:v>38.631300000000003</c:v>
                </c:pt>
                <c:pt idx="33">
                  <c:v>38.302</c:v>
                </c:pt>
                <c:pt idx="34">
                  <c:v>38.0383</c:v>
                </c:pt>
                <c:pt idx="35">
                  <c:v>37.825499999999998</c:v>
                </c:pt>
                <c:pt idx="36">
                  <c:v>37.634499999999996</c:v>
                </c:pt>
                <c:pt idx="37">
                  <c:v>37.471499999999999</c:v>
                </c:pt>
                <c:pt idx="38">
                  <c:v>37.321899999999999</c:v>
                </c:pt>
                <c:pt idx="39">
                  <c:v>37.157899999999998</c:v>
                </c:pt>
                <c:pt idx="40">
                  <c:v>36.973500000000001</c:v>
                </c:pt>
                <c:pt idx="41">
                  <c:v>36.783700000000003</c:v>
                </c:pt>
                <c:pt idx="42">
                  <c:v>36.546299999999995</c:v>
                </c:pt>
                <c:pt idx="43">
                  <c:v>36.320900000000002</c:v>
                </c:pt>
                <c:pt idx="44">
                  <c:v>36.1633</c:v>
                </c:pt>
                <c:pt idx="45">
                  <c:v>35.970700000000001</c:v>
                </c:pt>
                <c:pt idx="46">
                  <c:v>35.802299999999995</c:v>
                </c:pt>
                <c:pt idx="47">
                  <c:v>35.682600000000001</c:v>
                </c:pt>
                <c:pt idx="48">
                  <c:v>35.597799999999999</c:v>
                </c:pt>
                <c:pt idx="49">
                  <c:v>35.561999999999998</c:v>
                </c:pt>
                <c:pt idx="50">
                  <c:v>35.558</c:v>
                </c:pt>
                <c:pt idx="51">
                  <c:v>35.581000000000003</c:v>
                </c:pt>
                <c:pt idx="52">
                  <c:v>35.591200000000001</c:v>
                </c:pt>
                <c:pt idx="53">
                  <c:v>35.625</c:v>
                </c:pt>
                <c:pt idx="54">
                  <c:v>35.667000000000002</c:v>
                </c:pt>
                <c:pt idx="55">
                  <c:v>35.690800000000003</c:v>
                </c:pt>
                <c:pt idx="56">
                  <c:v>35.728400000000001</c:v>
                </c:pt>
                <c:pt idx="57">
                  <c:v>35.815899999999999</c:v>
                </c:pt>
                <c:pt idx="58">
                  <c:v>35.932900000000004</c:v>
                </c:pt>
                <c:pt idx="59">
                  <c:v>35.980800000000002</c:v>
                </c:pt>
                <c:pt idx="60">
                  <c:v>36.036099999999998</c:v>
                </c:pt>
                <c:pt idx="61">
                  <c:v>36.079599999999999</c:v>
                </c:pt>
                <c:pt idx="62">
                  <c:v>36.134899999999995</c:v>
                </c:pt>
                <c:pt idx="63">
                  <c:v>36.165900000000001</c:v>
                </c:pt>
                <c:pt idx="64">
                  <c:v>36.263600000000004</c:v>
                </c:pt>
                <c:pt idx="65">
                  <c:v>36.389600000000002</c:v>
                </c:pt>
                <c:pt idx="66">
                  <c:v>36.5533</c:v>
                </c:pt>
                <c:pt idx="67">
                  <c:v>36.757400000000004</c:v>
                </c:pt>
                <c:pt idx="68">
                  <c:v>37.027300000000004</c:v>
                </c:pt>
                <c:pt idx="69">
                  <c:v>37.286200000000001</c:v>
                </c:pt>
                <c:pt idx="70">
                  <c:v>37.476300000000002</c:v>
                </c:pt>
                <c:pt idx="71">
                  <c:v>37.612499999999997</c:v>
                </c:pt>
                <c:pt idx="72">
                  <c:v>37.764499999999998</c:v>
                </c:pt>
                <c:pt idx="73">
                  <c:v>37.9223</c:v>
                </c:pt>
                <c:pt idx="74">
                  <c:v>38.080000000000005</c:v>
                </c:pt>
                <c:pt idx="75">
                  <c:v>38.3429</c:v>
                </c:pt>
                <c:pt idx="76">
                  <c:v>38.602599999999995</c:v>
                </c:pt>
                <c:pt idx="77">
                  <c:v>38.839500000000001</c:v>
                </c:pt>
                <c:pt idx="78">
                  <c:v>39.088799999999999</c:v>
                </c:pt>
                <c:pt idx="79">
                  <c:v>39.3919</c:v>
                </c:pt>
                <c:pt idx="80">
                  <c:v>39.674300000000002</c:v>
                </c:pt>
                <c:pt idx="81">
                  <c:v>39.958399999999997</c:v>
                </c:pt>
                <c:pt idx="82">
                  <c:v>40.227400000000003</c:v>
                </c:pt>
                <c:pt idx="83">
                  <c:v>40.539199999999994</c:v>
                </c:pt>
                <c:pt idx="84">
                  <c:v>40.8521</c:v>
                </c:pt>
                <c:pt idx="85">
                  <c:v>41.142499999999998</c:v>
                </c:pt>
                <c:pt idx="86">
                  <c:v>41.418399999999998</c:v>
                </c:pt>
                <c:pt idx="87">
                  <c:v>41.729799999999997</c:v>
                </c:pt>
                <c:pt idx="88">
                  <c:v>42.024699999999996</c:v>
                </c:pt>
                <c:pt idx="89">
                  <c:v>42.321100000000001</c:v>
                </c:pt>
                <c:pt idx="90">
                  <c:v>42.6113</c:v>
                </c:pt>
                <c:pt idx="91">
                  <c:v>42.909100000000002</c:v>
                </c:pt>
                <c:pt idx="92">
                  <c:v>43.178699999999999</c:v>
                </c:pt>
                <c:pt idx="93">
                  <c:v>43.417200000000001</c:v>
                </c:pt>
                <c:pt idx="94">
                  <c:v>43.655699999999996</c:v>
                </c:pt>
                <c:pt idx="95">
                  <c:v>43.917299999999997</c:v>
                </c:pt>
                <c:pt idx="96">
                  <c:v>44.1081</c:v>
                </c:pt>
                <c:pt idx="97">
                  <c:v>44.277899999999995</c:v>
                </c:pt>
                <c:pt idx="98">
                  <c:v>44.468299999999999</c:v>
                </c:pt>
                <c:pt idx="99">
                  <c:v>44.6477</c:v>
                </c:pt>
                <c:pt idx="100">
                  <c:v>44.815600000000003</c:v>
                </c:pt>
                <c:pt idx="101">
                  <c:v>44.924199999999999</c:v>
                </c:pt>
                <c:pt idx="102">
                  <c:v>45.0762</c:v>
                </c:pt>
                <c:pt idx="103">
                  <c:v>45.287700000000001</c:v>
                </c:pt>
                <c:pt idx="104">
                  <c:v>45.5244</c:v>
                </c:pt>
                <c:pt idx="105">
                  <c:v>45.789200000000001</c:v>
                </c:pt>
                <c:pt idx="106">
                  <c:v>46.049199999999999</c:v>
                </c:pt>
                <c:pt idx="107">
                  <c:v>46.360500000000002</c:v>
                </c:pt>
                <c:pt idx="108">
                  <c:v>46.713900000000002</c:v>
                </c:pt>
                <c:pt idx="109">
                  <c:v>47.098800000000004</c:v>
                </c:pt>
                <c:pt idx="110">
                  <c:v>47.527900000000002</c:v>
                </c:pt>
                <c:pt idx="111">
                  <c:v>47.967399999999998</c:v>
                </c:pt>
                <c:pt idx="112">
                  <c:v>48.396099999999997</c:v>
                </c:pt>
                <c:pt idx="113">
                  <c:v>48.820799999999998</c:v>
                </c:pt>
                <c:pt idx="114">
                  <c:v>49.207699999999996</c:v>
                </c:pt>
                <c:pt idx="115">
                  <c:v>49.571199999999997</c:v>
                </c:pt>
                <c:pt idx="116">
                  <c:v>49.939799999999998</c:v>
                </c:pt>
                <c:pt idx="117">
                  <c:v>50.349500000000006</c:v>
                </c:pt>
                <c:pt idx="118">
                  <c:v>50.799300000000002</c:v>
                </c:pt>
                <c:pt idx="119">
                  <c:v>51.157200000000003</c:v>
                </c:pt>
                <c:pt idx="120">
                  <c:v>51.421099999999996</c:v>
                </c:pt>
                <c:pt idx="121">
                  <c:v>51.641899999999993</c:v>
                </c:pt>
                <c:pt idx="122">
                  <c:v>51.800800000000002</c:v>
                </c:pt>
                <c:pt idx="123">
                  <c:v>51.912300000000002</c:v>
                </c:pt>
                <c:pt idx="124">
                  <c:v>51.976299999999995</c:v>
                </c:pt>
                <c:pt idx="125">
                  <c:v>52.028799999999997</c:v>
                </c:pt>
                <c:pt idx="126">
                  <c:v>52.012100000000004</c:v>
                </c:pt>
                <c:pt idx="127">
                  <c:v>51.956400000000002</c:v>
                </c:pt>
                <c:pt idx="128">
                  <c:v>51.9069</c:v>
                </c:pt>
                <c:pt idx="129">
                  <c:v>51.913499999999999</c:v>
                </c:pt>
                <c:pt idx="130">
                  <c:v>51.912499999999994</c:v>
                </c:pt>
                <c:pt idx="131">
                  <c:v>51.919400000000003</c:v>
                </c:pt>
                <c:pt idx="132">
                  <c:v>51.996699999999997</c:v>
                </c:pt>
                <c:pt idx="133">
                  <c:v>52.044599999999996</c:v>
                </c:pt>
                <c:pt idx="134">
                  <c:v>52.117400000000004</c:v>
                </c:pt>
                <c:pt idx="135">
                  <c:v>52.160600000000002</c:v>
                </c:pt>
                <c:pt idx="136">
                  <c:v>52.180999999999997</c:v>
                </c:pt>
                <c:pt idx="137">
                  <c:v>52.242599999999996</c:v>
                </c:pt>
                <c:pt idx="138">
                  <c:v>52.292200000000001</c:v>
                </c:pt>
                <c:pt idx="139">
                  <c:v>52.385800000000003</c:v>
                </c:pt>
                <c:pt idx="140">
                  <c:v>52.503799999999998</c:v>
                </c:pt>
                <c:pt idx="141">
                  <c:v>52.589399999999998</c:v>
                </c:pt>
                <c:pt idx="142">
                  <c:v>52.6479</c:v>
                </c:pt>
                <c:pt idx="143">
                  <c:v>52.714700000000001</c:v>
                </c:pt>
                <c:pt idx="144">
                  <c:v>52.731999999999999</c:v>
                </c:pt>
                <c:pt idx="145">
                  <c:v>52.812800000000003</c:v>
                </c:pt>
                <c:pt idx="146">
                  <c:v>53.031700000000001</c:v>
                </c:pt>
                <c:pt idx="147">
                  <c:v>53.244400000000006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617-4C0A-A933-69757AEDE77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74"/>
                <c:pt idx="0">
                  <c:v>1.7180400000000002</c:v>
                </c:pt>
                <c:pt idx="1">
                  <c:v>1.76193</c:v>
                </c:pt>
                <c:pt idx="2">
                  <c:v>1.80619</c:v>
                </c:pt>
                <c:pt idx="3">
                  <c:v>1.84931</c:v>
                </c:pt>
                <c:pt idx="4">
                  <c:v>1.8915899999999999</c:v>
                </c:pt>
                <c:pt idx="5">
                  <c:v>1.93252</c:v>
                </c:pt>
                <c:pt idx="6">
                  <c:v>1.9722700000000002</c:v>
                </c:pt>
                <c:pt idx="7">
                  <c:v>2.0112199999999998</c:v>
                </c:pt>
                <c:pt idx="8">
                  <c:v>2.0497899999999998</c:v>
                </c:pt>
                <c:pt idx="9">
                  <c:v>2.0885799999999999</c:v>
                </c:pt>
                <c:pt idx="10">
                  <c:v>2.1273400000000002</c:v>
                </c:pt>
                <c:pt idx="11">
                  <c:v>2.1656500000000003</c:v>
                </c:pt>
                <c:pt idx="12">
                  <c:v>2.20316</c:v>
                </c:pt>
                <c:pt idx="13">
                  <c:v>2.2399499999999999</c:v>
                </c:pt>
                <c:pt idx="14">
                  <c:v>2.2751099999999997</c:v>
                </c:pt>
                <c:pt idx="15">
                  <c:v>2.3094600000000001</c:v>
                </c:pt>
                <c:pt idx="16">
                  <c:v>2.3450600000000001</c:v>
                </c:pt>
                <c:pt idx="17">
                  <c:v>2.3799100000000002</c:v>
                </c:pt>
                <c:pt idx="18">
                  <c:v>2.41384</c:v>
                </c:pt>
                <c:pt idx="19">
                  <c:v>2.4466099999999997</c:v>
                </c:pt>
                <c:pt idx="20">
                  <c:v>2.4775499999999999</c:v>
                </c:pt>
                <c:pt idx="21">
                  <c:v>2.5090400000000002</c:v>
                </c:pt>
                <c:pt idx="22">
                  <c:v>2.5404100000000001</c:v>
                </c:pt>
                <c:pt idx="23">
                  <c:v>2.57043</c:v>
                </c:pt>
                <c:pt idx="24">
                  <c:v>2.59931</c:v>
                </c:pt>
                <c:pt idx="25">
                  <c:v>2.6290200000000001</c:v>
                </c:pt>
                <c:pt idx="26">
                  <c:v>2.6585900000000002</c:v>
                </c:pt>
                <c:pt idx="27">
                  <c:v>2.6878099999999998</c:v>
                </c:pt>
                <c:pt idx="28">
                  <c:v>2.7148499999999998</c:v>
                </c:pt>
                <c:pt idx="29">
                  <c:v>2.7411300000000001</c:v>
                </c:pt>
                <c:pt idx="30">
                  <c:v>2.7660499999999999</c:v>
                </c:pt>
                <c:pt idx="31">
                  <c:v>2.7914400000000001</c:v>
                </c:pt>
                <c:pt idx="32">
                  <c:v>2.8158899999999996</c:v>
                </c:pt>
                <c:pt idx="33">
                  <c:v>2.8378100000000002</c:v>
                </c:pt>
                <c:pt idx="34">
                  <c:v>2.8566500000000001</c:v>
                </c:pt>
                <c:pt idx="35">
                  <c:v>2.8734999999999999</c:v>
                </c:pt>
                <c:pt idx="36">
                  <c:v>2.8900999999999999</c:v>
                </c:pt>
                <c:pt idx="37">
                  <c:v>2.9055599999999999</c:v>
                </c:pt>
                <c:pt idx="38">
                  <c:v>2.9209700000000001</c:v>
                </c:pt>
                <c:pt idx="39">
                  <c:v>2.9386400000000004</c:v>
                </c:pt>
                <c:pt idx="40">
                  <c:v>2.9572399999999996</c:v>
                </c:pt>
                <c:pt idx="41">
                  <c:v>2.9739599999999999</c:v>
                </c:pt>
                <c:pt idx="42">
                  <c:v>2.9917700000000003</c:v>
                </c:pt>
                <c:pt idx="43">
                  <c:v>3.0091600000000001</c:v>
                </c:pt>
                <c:pt idx="44">
                  <c:v>3.0260500000000001</c:v>
                </c:pt>
                <c:pt idx="45">
                  <c:v>3.0470299999999999</c:v>
                </c:pt>
                <c:pt idx="46">
                  <c:v>3.0673899999999996</c:v>
                </c:pt>
                <c:pt idx="47">
                  <c:v>3.0878000000000001</c:v>
                </c:pt>
                <c:pt idx="48">
                  <c:v>3.1073899999999997</c:v>
                </c:pt>
                <c:pt idx="49">
                  <c:v>3.1253399999999996</c:v>
                </c:pt>
                <c:pt idx="50">
                  <c:v>3.1368800000000001</c:v>
                </c:pt>
                <c:pt idx="51">
                  <c:v>3.1509</c:v>
                </c:pt>
                <c:pt idx="52">
                  <c:v>3.1638000000000002</c:v>
                </c:pt>
                <c:pt idx="53">
                  <c:v>3.1775599999999997</c:v>
                </c:pt>
                <c:pt idx="54">
                  <c:v>3.1900200000000001</c:v>
                </c:pt>
                <c:pt idx="55">
                  <c:v>3.2027200000000002</c:v>
                </c:pt>
                <c:pt idx="56">
                  <c:v>3.21529</c:v>
                </c:pt>
                <c:pt idx="57">
                  <c:v>3.22614</c:v>
                </c:pt>
                <c:pt idx="58">
                  <c:v>3.2358799999999999</c:v>
                </c:pt>
                <c:pt idx="59">
                  <c:v>3.2444299999999999</c:v>
                </c:pt>
                <c:pt idx="60">
                  <c:v>3.25318</c:v>
                </c:pt>
                <c:pt idx="61">
                  <c:v>3.26342</c:v>
                </c:pt>
                <c:pt idx="62">
                  <c:v>3.2750499999999998</c:v>
                </c:pt>
                <c:pt idx="63">
                  <c:v>3.2862400000000003</c:v>
                </c:pt>
                <c:pt idx="64">
                  <c:v>3.2949099999999998</c:v>
                </c:pt>
                <c:pt idx="65">
                  <c:v>3.3028400000000002</c:v>
                </c:pt>
                <c:pt idx="66">
                  <c:v>3.3111299999999999</c:v>
                </c:pt>
                <c:pt idx="67">
                  <c:v>3.3176499999999995</c:v>
                </c:pt>
                <c:pt idx="68">
                  <c:v>3.3261099999999999</c:v>
                </c:pt>
                <c:pt idx="69">
                  <c:v>3.3362500000000002</c:v>
                </c:pt>
                <c:pt idx="70">
                  <c:v>3.3468300000000002</c:v>
                </c:pt>
                <c:pt idx="71">
                  <c:v>3.3605299999999998</c:v>
                </c:pt>
                <c:pt idx="72">
                  <c:v>3.3758899999999996</c:v>
                </c:pt>
                <c:pt idx="73">
                  <c:v>3.3925200000000002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63.641400000000004</c:v>
                </c:pt>
                <c:pt idx="1">
                  <c:v>62.920200000000001</c:v>
                </c:pt>
                <c:pt idx="2">
                  <c:v>62.155000000000001</c:v>
                </c:pt>
                <c:pt idx="3">
                  <c:v>61.371200000000002</c:v>
                </c:pt>
                <c:pt idx="4">
                  <c:v>60.558199999999992</c:v>
                </c:pt>
                <c:pt idx="5">
                  <c:v>59.765000000000001</c:v>
                </c:pt>
                <c:pt idx="6">
                  <c:v>58.959799999999994</c:v>
                </c:pt>
                <c:pt idx="7">
                  <c:v>58.121100000000006</c:v>
                </c:pt>
                <c:pt idx="8">
                  <c:v>57.166200000000003</c:v>
                </c:pt>
                <c:pt idx="9">
                  <c:v>56.0824</c:v>
                </c:pt>
                <c:pt idx="10">
                  <c:v>54.947199999999995</c:v>
                </c:pt>
                <c:pt idx="11">
                  <c:v>53.837699999999998</c:v>
                </c:pt>
                <c:pt idx="12">
                  <c:v>52.732700000000001</c:v>
                </c:pt>
                <c:pt idx="13">
                  <c:v>51.715900000000005</c:v>
                </c:pt>
                <c:pt idx="14">
                  <c:v>50.764499999999998</c:v>
                </c:pt>
                <c:pt idx="15">
                  <c:v>49.8628</c:v>
                </c:pt>
                <c:pt idx="16">
                  <c:v>48.927999999999997</c:v>
                </c:pt>
                <c:pt idx="17">
                  <c:v>48.089599999999997</c:v>
                </c:pt>
                <c:pt idx="18">
                  <c:v>47.274699999999996</c:v>
                </c:pt>
                <c:pt idx="19">
                  <c:v>46.473500000000001</c:v>
                </c:pt>
                <c:pt idx="20">
                  <c:v>45.749600000000001</c:v>
                </c:pt>
                <c:pt idx="21">
                  <c:v>45.058599999999998</c:v>
                </c:pt>
                <c:pt idx="22">
                  <c:v>44.351500000000001</c:v>
                </c:pt>
                <c:pt idx="23">
                  <c:v>43.638199999999998</c:v>
                </c:pt>
                <c:pt idx="24">
                  <c:v>42.949799999999996</c:v>
                </c:pt>
                <c:pt idx="25">
                  <c:v>42.265300000000003</c:v>
                </c:pt>
                <c:pt idx="26">
                  <c:v>41.582900000000002</c:v>
                </c:pt>
                <c:pt idx="27">
                  <c:v>40.947899999999997</c:v>
                </c:pt>
                <c:pt idx="28">
                  <c:v>40.3949</c:v>
                </c:pt>
                <c:pt idx="29">
                  <c:v>39.872399999999999</c:v>
                </c:pt>
                <c:pt idx="30">
                  <c:v>39.426699999999997</c:v>
                </c:pt>
                <c:pt idx="31">
                  <c:v>39.0169</c:v>
                </c:pt>
                <c:pt idx="32">
                  <c:v>38.631300000000003</c:v>
                </c:pt>
                <c:pt idx="33">
                  <c:v>38.302</c:v>
                </c:pt>
                <c:pt idx="34">
                  <c:v>38.0383</c:v>
                </c:pt>
                <c:pt idx="35">
                  <c:v>37.825499999999998</c:v>
                </c:pt>
                <c:pt idx="36">
                  <c:v>37.634499999999996</c:v>
                </c:pt>
                <c:pt idx="37">
                  <c:v>37.471499999999999</c:v>
                </c:pt>
                <c:pt idx="38">
                  <c:v>37.321899999999999</c:v>
                </c:pt>
                <c:pt idx="39">
                  <c:v>37.157899999999998</c:v>
                </c:pt>
                <c:pt idx="40">
                  <c:v>36.973500000000001</c:v>
                </c:pt>
                <c:pt idx="41">
                  <c:v>36.783700000000003</c:v>
                </c:pt>
                <c:pt idx="42">
                  <c:v>36.546299999999995</c:v>
                </c:pt>
                <c:pt idx="43">
                  <c:v>36.320900000000002</c:v>
                </c:pt>
                <c:pt idx="44">
                  <c:v>36.1633</c:v>
                </c:pt>
                <c:pt idx="45">
                  <c:v>35.970700000000001</c:v>
                </c:pt>
                <c:pt idx="46">
                  <c:v>35.802299999999995</c:v>
                </c:pt>
                <c:pt idx="47">
                  <c:v>35.682600000000001</c:v>
                </c:pt>
                <c:pt idx="48">
                  <c:v>35.597799999999999</c:v>
                </c:pt>
                <c:pt idx="49">
                  <c:v>35.561999999999998</c:v>
                </c:pt>
                <c:pt idx="50">
                  <c:v>35.558</c:v>
                </c:pt>
                <c:pt idx="51">
                  <c:v>35.581000000000003</c:v>
                </c:pt>
                <c:pt idx="52">
                  <c:v>35.591200000000001</c:v>
                </c:pt>
                <c:pt idx="53">
                  <c:v>35.625</c:v>
                </c:pt>
                <c:pt idx="54">
                  <c:v>35.667000000000002</c:v>
                </c:pt>
                <c:pt idx="55">
                  <c:v>35.690800000000003</c:v>
                </c:pt>
                <c:pt idx="56">
                  <c:v>35.728400000000001</c:v>
                </c:pt>
                <c:pt idx="57">
                  <c:v>35.815899999999999</c:v>
                </c:pt>
                <c:pt idx="58">
                  <c:v>35.932900000000004</c:v>
                </c:pt>
                <c:pt idx="59">
                  <c:v>35.980800000000002</c:v>
                </c:pt>
                <c:pt idx="60">
                  <c:v>36.036099999999998</c:v>
                </c:pt>
                <c:pt idx="61">
                  <c:v>36.079599999999999</c:v>
                </c:pt>
                <c:pt idx="62">
                  <c:v>36.134899999999995</c:v>
                </c:pt>
                <c:pt idx="63">
                  <c:v>36.165900000000001</c:v>
                </c:pt>
                <c:pt idx="64">
                  <c:v>36.263600000000004</c:v>
                </c:pt>
                <c:pt idx="65">
                  <c:v>36.389600000000002</c:v>
                </c:pt>
                <c:pt idx="66">
                  <c:v>36.5533</c:v>
                </c:pt>
                <c:pt idx="67">
                  <c:v>36.757400000000004</c:v>
                </c:pt>
                <c:pt idx="68">
                  <c:v>37.027300000000004</c:v>
                </c:pt>
                <c:pt idx="69">
                  <c:v>37.286200000000001</c:v>
                </c:pt>
                <c:pt idx="70">
                  <c:v>37.476300000000002</c:v>
                </c:pt>
                <c:pt idx="71">
                  <c:v>37.612499999999997</c:v>
                </c:pt>
                <c:pt idx="72">
                  <c:v>37.764499999999998</c:v>
                </c:pt>
                <c:pt idx="73">
                  <c:v>37.9223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7-4C0A-A933-69757AEDE77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75"/>
                <c:pt idx="0">
                  <c:v>3.3925200000000002</c:v>
                </c:pt>
                <c:pt idx="1">
                  <c:v>3.4095999999999997</c:v>
                </c:pt>
                <c:pt idx="2">
                  <c:v>3.4330799999999999</c:v>
                </c:pt>
                <c:pt idx="3">
                  <c:v>3.45072</c:v>
                </c:pt>
                <c:pt idx="4">
                  <c:v>3.4677899999999999</c:v>
                </c:pt>
                <c:pt idx="5">
                  <c:v>3.4855100000000001</c:v>
                </c:pt>
                <c:pt idx="6">
                  <c:v>3.5019099999999996</c:v>
                </c:pt>
                <c:pt idx="7">
                  <c:v>3.5178099999999999</c:v>
                </c:pt>
                <c:pt idx="8">
                  <c:v>3.53146</c:v>
                </c:pt>
                <c:pt idx="9">
                  <c:v>3.5470000000000002</c:v>
                </c:pt>
                <c:pt idx="10">
                  <c:v>3.5626799999999998</c:v>
                </c:pt>
                <c:pt idx="11">
                  <c:v>3.57952</c:v>
                </c:pt>
                <c:pt idx="12">
                  <c:v>3.5950300000000004</c:v>
                </c:pt>
                <c:pt idx="13">
                  <c:v>3.6074899999999999</c:v>
                </c:pt>
                <c:pt idx="14">
                  <c:v>3.61721</c:v>
                </c:pt>
                <c:pt idx="15">
                  <c:v>3.6247199999999999</c:v>
                </c:pt>
                <c:pt idx="16">
                  <c:v>3.6295999999999999</c:v>
                </c:pt>
                <c:pt idx="17">
                  <c:v>3.6327199999999999</c:v>
                </c:pt>
                <c:pt idx="18">
                  <c:v>3.63489</c:v>
                </c:pt>
                <c:pt idx="19">
                  <c:v>3.6352600000000002</c:v>
                </c:pt>
                <c:pt idx="20">
                  <c:v>3.6331899999999999</c:v>
                </c:pt>
                <c:pt idx="21">
                  <c:v>3.6255799999999998</c:v>
                </c:pt>
                <c:pt idx="22">
                  <c:v>3.6111</c:v>
                </c:pt>
                <c:pt idx="23">
                  <c:v>3.5911</c:v>
                </c:pt>
                <c:pt idx="24">
                  <c:v>3.5664400000000001</c:v>
                </c:pt>
                <c:pt idx="25">
                  <c:v>3.5398000000000001</c:v>
                </c:pt>
                <c:pt idx="26">
                  <c:v>3.5124300000000002</c:v>
                </c:pt>
                <c:pt idx="27">
                  <c:v>3.4835899999999995</c:v>
                </c:pt>
                <c:pt idx="28">
                  <c:v>3.4516400000000003</c:v>
                </c:pt>
                <c:pt idx="29">
                  <c:v>3.41736</c:v>
                </c:pt>
                <c:pt idx="30">
                  <c:v>3.3826800000000001</c:v>
                </c:pt>
                <c:pt idx="31">
                  <c:v>3.3502000000000001</c:v>
                </c:pt>
                <c:pt idx="32">
                  <c:v>3.3159300000000003</c:v>
                </c:pt>
                <c:pt idx="33">
                  <c:v>3.2823899999999999</c:v>
                </c:pt>
                <c:pt idx="34">
                  <c:v>3.2487899999999996</c:v>
                </c:pt>
                <c:pt idx="35">
                  <c:v>3.2134099999999997</c:v>
                </c:pt>
                <c:pt idx="36">
                  <c:v>3.1768099999999997</c:v>
                </c:pt>
                <c:pt idx="37">
                  <c:v>3.1384699999999999</c:v>
                </c:pt>
                <c:pt idx="38">
                  <c:v>3.09917</c:v>
                </c:pt>
                <c:pt idx="39">
                  <c:v>3.0610599999999999</c:v>
                </c:pt>
                <c:pt idx="40">
                  <c:v>3.0238800000000001</c:v>
                </c:pt>
                <c:pt idx="41">
                  <c:v>2.9893100000000001</c:v>
                </c:pt>
                <c:pt idx="42">
                  <c:v>2.9540999999999999</c:v>
                </c:pt>
                <c:pt idx="43">
                  <c:v>2.9179399999999998</c:v>
                </c:pt>
                <c:pt idx="44">
                  <c:v>2.88043</c:v>
                </c:pt>
                <c:pt idx="45">
                  <c:v>2.8448899999999999</c:v>
                </c:pt>
                <c:pt idx="46">
                  <c:v>2.8140300000000003</c:v>
                </c:pt>
                <c:pt idx="47">
                  <c:v>2.7872400000000002</c:v>
                </c:pt>
                <c:pt idx="48">
                  <c:v>2.76633</c:v>
                </c:pt>
                <c:pt idx="49">
                  <c:v>2.7486999999999999</c:v>
                </c:pt>
                <c:pt idx="50">
                  <c:v>2.7333400000000001</c:v>
                </c:pt>
                <c:pt idx="51">
                  <c:v>2.72173</c:v>
                </c:pt>
                <c:pt idx="52">
                  <c:v>2.7100600000000004</c:v>
                </c:pt>
                <c:pt idx="53">
                  <c:v>2.7018599999999999</c:v>
                </c:pt>
                <c:pt idx="54">
                  <c:v>2.6947399999999999</c:v>
                </c:pt>
                <c:pt idx="55">
                  <c:v>2.6864700000000004</c:v>
                </c:pt>
                <c:pt idx="56">
                  <c:v>2.67503</c:v>
                </c:pt>
                <c:pt idx="57">
                  <c:v>2.6645999999999996</c:v>
                </c:pt>
                <c:pt idx="58">
                  <c:v>2.6540699999999999</c:v>
                </c:pt>
                <c:pt idx="59">
                  <c:v>2.64032</c:v>
                </c:pt>
                <c:pt idx="60">
                  <c:v>2.6269799999999996</c:v>
                </c:pt>
                <c:pt idx="61">
                  <c:v>2.6151799999999996</c:v>
                </c:pt>
                <c:pt idx="62">
                  <c:v>2.6064100000000003</c:v>
                </c:pt>
                <c:pt idx="63">
                  <c:v>2.6002999999999998</c:v>
                </c:pt>
                <c:pt idx="64">
                  <c:v>2.5929799999999998</c:v>
                </c:pt>
                <c:pt idx="65">
                  <c:v>2.5882000000000001</c:v>
                </c:pt>
                <c:pt idx="66">
                  <c:v>2.58155</c:v>
                </c:pt>
                <c:pt idx="67">
                  <c:v>2.5793500000000003</c:v>
                </c:pt>
                <c:pt idx="68">
                  <c:v>2.5840000000000001</c:v>
                </c:pt>
                <c:pt idx="69">
                  <c:v>2.5954199999999998</c:v>
                </c:pt>
                <c:pt idx="70">
                  <c:v>2.6027</c:v>
                </c:pt>
                <c:pt idx="71">
                  <c:v>2.61348</c:v>
                </c:pt>
                <c:pt idx="72">
                  <c:v>2.63009</c:v>
                </c:pt>
                <c:pt idx="73">
                  <c:v>2.6357499999999998</c:v>
                </c:pt>
                <c:pt idx="74">
                  <c:v>2.64079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37.9223</c:v>
                </c:pt>
                <c:pt idx="1">
                  <c:v>38.080000000000005</c:v>
                </c:pt>
                <c:pt idx="2">
                  <c:v>38.3429</c:v>
                </c:pt>
                <c:pt idx="3">
                  <c:v>38.602599999999995</c:v>
                </c:pt>
                <c:pt idx="4">
                  <c:v>38.839500000000001</c:v>
                </c:pt>
                <c:pt idx="5">
                  <c:v>39.088799999999999</c:v>
                </c:pt>
                <c:pt idx="6">
                  <c:v>39.3919</c:v>
                </c:pt>
                <c:pt idx="7">
                  <c:v>39.674300000000002</c:v>
                </c:pt>
                <c:pt idx="8">
                  <c:v>39.958399999999997</c:v>
                </c:pt>
                <c:pt idx="9">
                  <c:v>40.227400000000003</c:v>
                </c:pt>
                <c:pt idx="10">
                  <c:v>40.539199999999994</c:v>
                </c:pt>
                <c:pt idx="11">
                  <c:v>40.8521</c:v>
                </c:pt>
                <c:pt idx="12">
                  <c:v>41.142499999999998</c:v>
                </c:pt>
                <c:pt idx="13">
                  <c:v>41.418399999999998</c:v>
                </c:pt>
                <c:pt idx="14">
                  <c:v>41.729799999999997</c:v>
                </c:pt>
                <c:pt idx="15">
                  <c:v>42.024699999999996</c:v>
                </c:pt>
                <c:pt idx="16">
                  <c:v>42.321100000000001</c:v>
                </c:pt>
                <c:pt idx="17">
                  <c:v>42.6113</c:v>
                </c:pt>
                <c:pt idx="18">
                  <c:v>42.909100000000002</c:v>
                </c:pt>
                <c:pt idx="19">
                  <c:v>43.178699999999999</c:v>
                </c:pt>
                <c:pt idx="20">
                  <c:v>43.417200000000001</c:v>
                </c:pt>
                <c:pt idx="21">
                  <c:v>43.655699999999996</c:v>
                </c:pt>
                <c:pt idx="22">
                  <c:v>43.917299999999997</c:v>
                </c:pt>
                <c:pt idx="23">
                  <c:v>44.1081</c:v>
                </c:pt>
                <c:pt idx="24">
                  <c:v>44.277899999999995</c:v>
                </c:pt>
                <c:pt idx="25">
                  <c:v>44.468299999999999</c:v>
                </c:pt>
                <c:pt idx="26">
                  <c:v>44.6477</c:v>
                </c:pt>
                <c:pt idx="27">
                  <c:v>44.815600000000003</c:v>
                </c:pt>
                <c:pt idx="28">
                  <c:v>44.924199999999999</c:v>
                </c:pt>
                <c:pt idx="29">
                  <c:v>45.0762</c:v>
                </c:pt>
                <c:pt idx="30">
                  <c:v>45.287700000000001</c:v>
                </c:pt>
                <c:pt idx="31">
                  <c:v>45.5244</c:v>
                </c:pt>
                <c:pt idx="32">
                  <c:v>45.789200000000001</c:v>
                </c:pt>
                <c:pt idx="33">
                  <c:v>46.049199999999999</c:v>
                </c:pt>
                <c:pt idx="34">
                  <c:v>46.360500000000002</c:v>
                </c:pt>
                <c:pt idx="35">
                  <c:v>46.713900000000002</c:v>
                </c:pt>
                <c:pt idx="36">
                  <c:v>47.098800000000004</c:v>
                </c:pt>
                <c:pt idx="37">
                  <c:v>47.527900000000002</c:v>
                </c:pt>
                <c:pt idx="38">
                  <c:v>47.967399999999998</c:v>
                </c:pt>
                <c:pt idx="39">
                  <c:v>48.396099999999997</c:v>
                </c:pt>
                <c:pt idx="40">
                  <c:v>48.820799999999998</c:v>
                </c:pt>
                <c:pt idx="41">
                  <c:v>49.207699999999996</c:v>
                </c:pt>
                <c:pt idx="42">
                  <c:v>49.571199999999997</c:v>
                </c:pt>
                <c:pt idx="43">
                  <c:v>49.939799999999998</c:v>
                </c:pt>
                <c:pt idx="44">
                  <c:v>50.349500000000006</c:v>
                </c:pt>
                <c:pt idx="45">
                  <c:v>50.799300000000002</c:v>
                </c:pt>
                <c:pt idx="46">
                  <c:v>51.157200000000003</c:v>
                </c:pt>
                <c:pt idx="47">
                  <c:v>51.421099999999996</c:v>
                </c:pt>
                <c:pt idx="48">
                  <c:v>51.641899999999993</c:v>
                </c:pt>
                <c:pt idx="49">
                  <c:v>51.800800000000002</c:v>
                </c:pt>
                <c:pt idx="50">
                  <c:v>51.912300000000002</c:v>
                </c:pt>
                <c:pt idx="51">
                  <c:v>51.976299999999995</c:v>
                </c:pt>
                <c:pt idx="52">
                  <c:v>52.028799999999997</c:v>
                </c:pt>
                <c:pt idx="53">
                  <c:v>52.012100000000004</c:v>
                </c:pt>
                <c:pt idx="54">
                  <c:v>51.956400000000002</c:v>
                </c:pt>
                <c:pt idx="55">
                  <c:v>51.9069</c:v>
                </c:pt>
                <c:pt idx="56">
                  <c:v>51.913499999999999</c:v>
                </c:pt>
                <c:pt idx="57">
                  <c:v>51.912499999999994</c:v>
                </c:pt>
                <c:pt idx="58">
                  <c:v>51.919400000000003</c:v>
                </c:pt>
                <c:pt idx="59">
                  <c:v>51.996699999999997</c:v>
                </c:pt>
                <c:pt idx="60">
                  <c:v>52.044599999999996</c:v>
                </c:pt>
                <c:pt idx="61">
                  <c:v>52.117400000000004</c:v>
                </c:pt>
                <c:pt idx="62">
                  <c:v>52.160600000000002</c:v>
                </c:pt>
                <c:pt idx="63">
                  <c:v>52.180999999999997</c:v>
                </c:pt>
                <c:pt idx="64">
                  <c:v>52.242599999999996</c:v>
                </c:pt>
                <c:pt idx="65">
                  <c:v>52.292200000000001</c:v>
                </c:pt>
                <c:pt idx="66">
                  <c:v>52.385800000000003</c:v>
                </c:pt>
                <c:pt idx="67">
                  <c:v>52.503799999999998</c:v>
                </c:pt>
                <c:pt idx="68">
                  <c:v>52.589399999999998</c:v>
                </c:pt>
                <c:pt idx="69">
                  <c:v>52.6479</c:v>
                </c:pt>
                <c:pt idx="70">
                  <c:v>52.714700000000001</c:v>
                </c:pt>
                <c:pt idx="71">
                  <c:v>52.731999999999999</c:v>
                </c:pt>
                <c:pt idx="72">
                  <c:v>52.812800000000003</c:v>
                </c:pt>
                <c:pt idx="73">
                  <c:v>53.031700000000001</c:v>
                </c:pt>
                <c:pt idx="74">
                  <c:v>53.244400000000006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7-4C0A-A933-69757AEDE772}"/>
            </c:ext>
          </c:extLst>
        </c:ser>
        <c:ser>
          <c:idx val="25"/>
          <c:order val="3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1.7180400000000002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63.641400000000004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617-4C0A-A933-69757AEDE772}"/>
            </c:ext>
          </c:extLst>
        </c:ser>
        <c:ser>
          <c:idx val="26"/>
          <c:order val="4"/>
          <c:tx>
            <c:v>avgP1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E0E0E"/>
              </a:solidFill>
              <a:ln w="12700">
                <a:solidFill>
                  <a:srgbClr val="FE0E0E"/>
                </a:solidFill>
              </a:ln>
            </c:spPr>
          </c:marker>
          <c:xVal>
            <c:numRef>
              <c:f>info!$W$5</c:f>
              <c:numCache>
                <c:formatCode>General</c:formatCode>
                <c:ptCount val="1"/>
                <c:pt idx="0">
                  <c:v>2.7769132432432428</c:v>
                </c:pt>
              </c:numCache>
            </c:numRef>
          </c:xVal>
          <c:yVal>
            <c:numRef>
              <c:f>info!$U$5</c:f>
              <c:numCache>
                <c:formatCode>General</c:formatCode>
                <c:ptCount val="1"/>
                <c:pt idx="0">
                  <c:v>42.527679729729734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FD-4A50-9414-F5036213B506}"/>
            </c:ext>
          </c:extLst>
        </c:ser>
        <c:ser>
          <c:idx val="27"/>
          <c:order val="5"/>
          <c:tx>
            <c:v>avgP2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info!$X$5</c:f>
              <c:numCache>
                <c:formatCode>General</c:formatCode>
                <c:ptCount val="1"/>
                <c:pt idx="0">
                  <c:v>3.1063160810810801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47.201366216216201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1FD-4A50-9414-F5036213B506}"/>
            </c:ext>
          </c:extLst>
        </c:ser>
        <c:ser>
          <c:idx val="3"/>
          <c:order val="6"/>
          <c:tx>
            <c:v>avgP2</c:v>
          </c:tx>
          <c:spPr>
            <a:ln>
              <a:noFill/>
            </a:ln>
          </c:spPr>
          <c:marker>
            <c:symbol val="none"/>
          </c:marker>
          <c:xVal>
            <c:numRef>
              <c:f>info!$X$5</c:f>
              <c:numCache>
                <c:formatCode>General</c:formatCode>
                <c:ptCount val="1"/>
                <c:pt idx="0">
                  <c:v>3.1063160810810801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47.201366216216201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1FD-4A50-9414-F5036213B5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3112"/>
        <c:axId val="293683504"/>
        <c:extLst/>
      </c:scatterChart>
      <c:valAx>
        <c:axId val="293683112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293683504"/>
        <c:crosses val="autoZero"/>
        <c:crossBetween val="midCat"/>
        <c:majorUnit val="2"/>
        <c:minorUnit val="0.2"/>
      </c:valAx>
      <c:valAx>
        <c:axId val="293683504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93683112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894D-43D0-8D2F-45F38C695700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94D-43D0-8D2F-45F38C695700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94D-43D0-8D2F-45F38C69570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Measurement!$M$18:$M$20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Measurement!$Q$18:$Q$20</c:f>
              <c:numCache>
                <c:formatCode>0.0%</c:formatCode>
                <c:ptCount val="3"/>
                <c:pt idx="0">
                  <c:v>0.18386861284843922</c:v>
                </c:pt>
                <c:pt idx="1">
                  <c:v>0.32601842749055432</c:v>
                </c:pt>
                <c:pt idx="2">
                  <c:v>0.49011295966100643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F6-45F8-BAF7-FBA1FF1E6F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0.36250599999999999</c:v>
                </c:pt>
                <c:pt idx="2">
                  <c:v>0.76910400000000001</c:v>
                </c:pt>
                <c:pt idx="3">
                  <c:v>1.1715199999999999</c:v>
                </c:pt>
                <c:pt idx="4">
                  <c:v>1.57918</c:v>
                </c:pt>
                <c:pt idx="5">
                  <c:v>1.98584</c:v>
                </c:pt>
                <c:pt idx="6">
                  <c:v>2.3920400000000002</c:v>
                </c:pt>
                <c:pt idx="7">
                  <c:v>2.79976</c:v>
                </c:pt>
                <c:pt idx="8">
                  <c:v>3.2027199999999998</c:v>
                </c:pt>
                <c:pt idx="9">
                  <c:v>3.6143000000000001</c:v>
                </c:pt>
                <c:pt idx="10">
                  <c:v>4.0155599999999998</c:v>
                </c:pt>
                <c:pt idx="11">
                  <c:v>4.4212800000000003</c:v>
                </c:pt>
                <c:pt idx="12">
                  <c:v>4.8272700000000004</c:v>
                </c:pt>
                <c:pt idx="13">
                  <c:v>5.2350099999999999</c:v>
                </c:pt>
                <c:pt idx="14">
                  <c:v>5.6456299999999997</c:v>
                </c:pt>
                <c:pt idx="15">
                  <c:v>6.0480499999999999</c:v>
                </c:pt>
                <c:pt idx="16">
                  <c:v>6.4538399999999996</c:v>
                </c:pt>
                <c:pt idx="17">
                  <c:v>6.8617100000000004</c:v>
                </c:pt>
                <c:pt idx="18">
                  <c:v>7.2690900000000003</c:v>
                </c:pt>
                <c:pt idx="19">
                  <c:v>7.6730299999999998</c:v>
                </c:pt>
                <c:pt idx="20">
                  <c:v>8.0785599999999995</c:v>
                </c:pt>
                <c:pt idx="21">
                  <c:v>8.4827700000000004</c:v>
                </c:pt>
                <c:pt idx="22">
                  <c:v>8.8942200000000007</c:v>
                </c:pt>
                <c:pt idx="23">
                  <c:v>9.2958800000000004</c:v>
                </c:pt>
                <c:pt idx="24">
                  <c:v>9.70397</c:v>
                </c:pt>
                <c:pt idx="25">
                  <c:v>10.108700000000001</c:v>
                </c:pt>
                <c:pt idx="26">
                  <c:v>10.5139</c:v>
                </c:pt>
                <c:pt idx="27">
                  <c:v>10.923299999999999</c:v>
                </c:pt>
                <c:pt idx="28">
                  <c:v>11.331899999999999</c:v>
                </c:pt>
                <c:pt idx="29">
                  <c:v>11.7372</c:v>
                </c:pt>
                <c:pt idx="30">
                  <c:v>12.139900000000001</c:v>
                </c:pt>
                <c:pt idx="31">
                  <c:v>12.545500000000001</c:v>
                </c:pt>
                <c:pt idx="32">
                  <c:v>12.952299999999999</c:v>
                </c:pt>
                <c:pt idx="33">
                  <c:v>13.362500000000001</c:v>
                </c:pt>
                <c:pt idx="34">
                  <c:v>13.7652</c:v>
                </c:pt>
                <c:pt idx="35">
                  <c:v>14.171900000000001</c:v>
                </c:pt>
                <c:pt idx="36">
                  <c:v>14.578099999999999</c:v>
                </c:pt>
                <c:pt idx="37">
                  <c:v>14.9833</c:v>
                </c:pt>
                <c:pt idx="38">
                  <c:v>15.3917</c:v>
                </c:pt>
                <c:pt idx="39">
                  <c:v>15.7981</c:v>
                </c:pt>
                <c:pt idx="40">
                  <c:v>16.206700000000001</c:v>
                </c:pt>
                <c:pt idx="41">
                  <c:v>16.608599999999999</c:v>
                </c:pt>
                <c:pt idx="42">
                  <c:v>17.015999999999998</c:v>
                </c:pt>
                <c:pt idx="43">
                  <c:v>17.420200000000001</c:v>
                </c:pt>
                <c:pt idx="44">
                  <c:v>17.828700000000001</c:v>
                </c:pt>
                <c:pt idx="45">
                  <c:v>18.2347</c:v>
                </c:pt>
                <c:pt idx="46">
                  <c:v>18.6387</c:v>
                </c:pt>
                <c:pt idx="47">
                  <c:v>19.046700000000001</c:v>
                </c:pt>
                <c:pt idx="48">
                  <c:v>19.451599999999999</c:v>
                </c:pt>
                <c:pt idx="49">
                  <c:v>19.8644</c:v>
                </c:pt>
                <c:pt idx="50">
                  <c:v>20.2681</c:v>
                </c:pt>
                <c:pt idx="51">
                  <c:v>20.67</c:v>
                </c:pt>
                <c:pt idx="52">
                  <c:v>21.075099999999999</c:v>
                </c:pt>
                <c:pt idx="53">
                  <c:v>21.4862</c:v>
                </c:pt>
                <c:pt idx="54">
                  <c:v>21.8919</c:v>
                </c:pt>
                <c:pt idx="55">
                  <c:v>22.299199999999999</c:v>
                </c:pt>
                <c:pt idx="56">
                  <c:v>22.7029</c:v>
                </c:pt>
                <c:pt idx="57">
                  <c:v>23.1083</c:v>
                </c:pt>
                <c:pt idx="58">
                  <c:v>23.515499999999999</c:v>
                </c:pt>
                <c:pt idx="59">
                  <c:v>23.9206</c:v>
                </c:pt>
                <c:pt idx="60">
                  <c:v>24.328600000000002</c:v>
                </c:pt>
                <c:pt idx="61">
                  <c:v>24.7348</c:v>
                </c:pt>
                <c:pt idx="62">
                  <c:v>25.145199999999999</c:v>
                </c:pt>
                <c:pt idx="63">
                  <c:v>25.549800000000001</c:v>
                </c:pt>
                <c:pt idx="64">
                  <c:v>25.952500000000001</c:v>
                </c:pt>
                <c:pt idx="65">
                  <c:v>26.363700000000001</c:v>
                </c:pt>
                <c:pt idx="66">
                  <c:v>26.765799999999999</c:v>
                </c:pt>
                <c:pt idx="67">
                  <c:v>27.170200000000001</c:v>
                </c:pt>
                <c:pt idx="68">
                  <c:v>27.580400000000001</c:v>
                </c:pt>
                <c:pt idx="69">
                  <c:v>27.983599999999999</c:v>
                </c:pt>
                <c:pt idx="70">
                  <c:v>28.389500000000002</c:v>
                </c:pt>
                <c:pt idx="71">
                  <c:v>28.7956</c:v>
                </c:pt>
                <c:pt idx="72">
                  <c:v>29.203499999999998</c:v>
                </c:pt>
                <c:pt idx="73">
                  <c:v>29.61</c:v>
                </c:pt>
                <c:pt idx="74">
                  <c:v>30.014099999999999</c:v>
                </c:pt>
                <c:pt idx="75">
                  <c:v>30.607800000000001</c:v>
                </c:pt>
                <c:pt idx="76">
                  <c:v>30.982800000000001</c:v>
                </c:pt>
                <c:pt idx="77">
                  <c:v>31.360499999999998</c:v>
                </c:pt>
                <c:pt idx="78">
                  <c:v>31.734100000000002</c:v>
                </c:pt>
                <c:pt idx="79">
                  <c:v>32.112000000000002</c:v>
                </c:pt>
                <c:pt idx="80">
                  <c:v>32.5154</c:v>
                </c:pt>
                <c:pt idx="81">
                  <c:v>32.921199999999999</c:v>
                </c:pt>
                <c:pt idx="82">
                  <c:v>33.329700000000003</c:v>
                </c:pt>
                <c:pt idx="83">
                  <c:v>33.734000000000002</c:v>
                </c:pt>
                <c:pt idx="84">
                  <c:v>34.140099999999997</c:v>
                </c:pt>
                <c:pt idx="85">
                  <c:v>34.549100000000003</c:v>
                </c:pt>
                <c:pt idx="86">
                  <c:v>34.953400000000002</c:v>
                </c:pt>
                <c:pt idx="87">
                  <c:v>35.361600000000003</c:v>
                </c:pt>
                <c:pt idx="88">
                  <c:v>35.7652</c:v>
                </c:pt>
                <c:pt idx="89">
                  <c:v>36.171500000000002</c:v>
                </c:pt>
                <c:pt idx="90">
                  <c:v>36.5777</c:v>
                </c:pt>
                <c:pt idx="91">
                  <c:v>36.987299999999998</c:v>
                </c:pt>
                <c:pt idx="92">
                  <c:v>37.388199999999998</c:v>
                </c:pt>
                <c:pt idx="93">
                  <c:v>37.797400000000003</c:v>
                </c:pt>
                <c:pt idx="94">
                  <c:v>38.2044</c:v>
                </c:pt>
                <c:pt idx="95">
                  <c:v>38.606699999999996</c:v>
                </c:pt>
                <c:pt idx="96">
                  <c:v>39.016599999999997</c:v>
                </c:pt>
                <c:pt idx="97">
                  <c:v>39.424300000000002</c:v>
                </c:pt>
                <c:pt idx="98">
                  <c:v>39.8324</c:v>
                </c:pt>
                <c:pt idx="99">
                  <c:v>40.236699999999999</c:v>
                </c:pt>
                <c:pt idx="100">
                  <c:v>40.639899999999997</c:v>
                </c:pt>
                <c:pt idx="101">
                  <c:v>41.047199999999997</c:v>
                </c:pt>
                <c:pt idx="102">
                  <c:v>41.453400000000002</c:v>
                </c:pt>
                <c:pt idx="103">
                  <c:v>41.8626</c:v>
                </c:pt>
                <c:pt idx="104">
                  <c:v>42.265099999999997</c:v>
                </c:pt>
                <c:pt idx="105">
                  <c:v>42.671599999999998</c:v>
                </c:pt>
                <c:pt idx="106">
                  <c:v>43.076799999999999</c:v>
                </c:pt>
                <c:pt idx="107">
                  <c:v>43.485999999999997</c:v>
                </c:pt>
                <c:pt idx="108">
                  <c:v>43.893000000000001</c:v>
                </c:pt>
                <c:pt idx="109">
                  <c:v>44.297199999999997</c:v>
                </c:pt>
                <c:pt idx="110">
                  <c:v>44.703200000000002</c:v>
                </c:pt>
                <c:pt idx="111">
                  <c:v>45.107100000000003</c:v>
                </c:pt>
                <c:pt idx="112">
                  <c:v>45.513199999999998</c:v>
                </c:pt>
                <c:pt idx="113">
                  <c:v>45.920900000000003</c:v>
                </c:pt>
                <c:pt idx="114">
                  <c:v>46.333799999999997</c:v>
                </c:pt>
                <c:pt idx="115">
                  <c:v>46.735799999999998</c:v>
                </c:pt>
                <c:pt idx="116">
                  <c:v>47.143099999999997</c:v>
                </c:pt>
                <c:pt idx="117">
                  <c:v>47.548900000000003</c:v>
                </c:pt>
                <c:pt idx="118">
                  <c:v>47.952599999999997</c:v>
                </c:pt>
                <c:pt idx="119">
                  <c:v>48.355800000000002</c:v>
                </c:pt>
                <c:pt idx="120">
                  <c:v>48.764699999999998</c:v>
                </c:pt>
                <c:pt idx="121">
                  <c:v>49.174500000000002</c:v>
                </c:pt>
                <c:pt idx="122">
                  <c:v>49.578400000000002</c:v>
                </c:pt>
                <c:pt idx="123">
                  <c:v>49.981699999999996</c:v>
                </c:pt>
                <c:pt idx="124">
                  <c:v>50.389299999999999</c:v>
                </c:pt>
                <c:pt idx="125">
                  <c:v>50.800600000000003</c:v>
                </c:pt>
                <c:pt idx="126">
                  <c:v>51.203800000000001</c:v>
                </c:pt>
                <c:pt idx="127">
                  <c:v>51.6126</c:v>
                </c:pt>
                <c:pt idx="128">
                  <c:v>52.014899999999997</c:v>
                </c:pt>
                <c:pt idx="129">
                  <c:v>52.421599999999998</c:v>
                </c:pt>
                <c:pt idx="130">
                  <c:v>52.831600000000002</c:v>
                </c:pt>
                <c:pt idx="131">
                  <c:v>53.236699999999999</c:v>
                </c:pt>
                <c:pt idx="132">
                  <c:v>53.6402</c:v>
                </c:pt>
                <c:pt idx="133">
                  <c:v>54.044699999999999</c:v>
                </c:pt>
                <c:pt idx="134">
                  <c:v>54.453200000000002</c:v>
                </c:pt>
                <c:pt idx="135">
                  <c:v>54.861400000000003</c:v>
                </c:pt>
                <c:pt idx="136">
                  <c:v>55.263800000000003</c:v>
                </c:pt>
                <c:pt idx="137">
                  <c:v>55.673999999999999</c:v>
                </c:pt>
                <c:pt idx="138">
                  <c:v>56.078099999999999</c:v>
                </c:pt>
                <c:pt idx="139">
                  <c:v>56.486600000000003</c:v>
                </c:pt>
                <c:pt idx="140">
                  <c:v>56.8917</c:v>
                </c:pt>
                <c:pt idx="141">
                  <c:v>57.296900000000001</c:v>
                </c:pt>
                <c:pt idx="142">
                  <c:v>57.7057</c:v>
                </c:pt>
                <c:pt idx="143">
                  <c:v>58.106499999999997</c:v>
                </c:pt>
                <c:pt idx="144">
                  <c:v>58.514600000000002</c:v>
                </c:pt>
                <c:pt idx="145">
                  <c:v>58.920999999999999</c:v>
                </c:pt>
                <c:pt idx="146">
                  <c:v>59.330399999999997</c:v>
                </c:pt>
                <c:pt idx="147">
                  <c:v>59.7346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148"/>
                <c:pt idx="0">
                  <c:v>1.7180400000000002</c:v>
                </c:pt>
                <c:pt idx="1">
                  <c:v>1.76193</c:v>
                </c:pt>
                <c:pt idx="2">
                  <c:v>1.80619</c:v>
                </c:pt>
                <c:pt idx="3">
                  <c:v>1.84931</c:v>
                </c:pt>
                <c:pt idx="4">
                  <c:v>1.8915899999999999</c:v>
                </c:pt>
                <c:pt idx="5">
                  <c:v>1.93252</c:v>
                </c:pt>
                <c:pt idx="6">
                  <c:v>1.9722700000000002</c:v>
                </c:pt>
                <c:pt idx="7">
                  <c:v>2.0112199999999998</c:v>
                </c:pt>
                <c:pt idx="8">
                  <c:v>2.0497899999999998</c:v>
                </c:pt>
                <c:pt idx="9">
                  <c:v>2.0885799999999999</c:v>
                </c:pt>
                <c:pt idx="10">
                  <c:v>2.1273400000000002</c:v>
                </c:pt>
                <c:pt idx="11">
                  <c:v>2.1656500000000003</c:v>
                </c:pt>
                <c:pt idx="12">
                  <c:v>2.20316</c:v>
                </c:pt>
                <c:pt idx="13">
                  <c:v>2.2399499999999999</c:v>
                </c:pt>
                <c:pt idx="14">
                  <c:v>2.2751099999999997</c:v>
                </c:pt>
                <c:pt idx="15">
                  <c:v>2.3094600000000001</c:v>
                </c:pt>
                <c:pt idx="16">
                  <c:v>2.3450600000000001</c:v>
                </c:pt>
                <c:pt idx="17">
                  <c:v>2.3799100000000002</c:v>
                </c:pt>
                <c:pt idx="18">
                  <c:v>2.41384</c:v>
                </c:pt>
                <c:pt idx="19">
                  <c:v>2.4466099999999997</c:v>
                </c:pt>
                <c:pt idx="20">
                  <c:v>2.4775499999999999</c:v>
                </c:pt>
                <c:pt idx="21">
                  <c:v>2.5090400000000002</c:v>
                </c:pt>
                <c:pt idx="22">
                  <c:v>2.5404100000000001</c:v>
                </c:pt>
                <c:pt idx="23">
                  <c:v>2.57043</c:v>
                </c:pt>
                <c:pt idx="24">
                  <c:v>2.59931</c:v>
                </c:pt>
                <c:pt idx="25">
                  <c:v>2.6290200000000001</c:v>
                </c:pt>
                <c:pt idx="26">
                  <c:v>2.6585900000000002</c:v>
                </c:pt>
                <c:pt idx="27">
                  <c:v>2.6878099999999998</c:v>
                </c:pt>
                <c:pt idx="28">
                  <c:v>2.7148499999999998</c:v>
                </c:pt>
                <c:pt idx="29">
                  <c:v>2.7411300000000001</c:v>
                </c:pt>
                <c:pt idx="30">
                  <c:v>2.7660499999999999</c:v>
                </c:pt>
                <c:pt idx="31">
                  <c:v>2.7914400000000001</c:v>
                </c:pt>
                <c:pt idx="32">
                  <c:v>2.8158899999999996</c:v>
                </c:pt>
                <c:pt idx="33">
                  <c:v>2.8378100000000002</c:v>
                </c:pt>
                <c:pt idx="34">
                  <c:v>2.8566500000000001</c:v>
                </c:pt>
                <c:pt idx="35">
                  <c:v>2.8734999999999999</c:v>
                </c:pt>
                <c:pt idx="36">
                  <c:v>2.8900999999999999</c:v>
                </c:pt>
                <c:pt idx="37">
                  <c:v>2.9055599999999999</c:v>
                </c:pt>
                <c:pt idx="38">
                  <c:v>2.9209700000000001</c:v>
                </c:pt>
                <c:pt idx="39">
                  <c:v>2.9386400000000004</c:v>
                </c:pt>
                <c:pt idx="40">
                  <c:v>2.9572399999999996</c:v>
                </c:pt>
                <c:pt idx="41">
                  <c:v>2.9739599999999999</c:v>
                </c:pt>
                <c:pt idx="42">
                  <c:v>2.9917700000000003</c:v>
                </c:pt>
                <c:pt idx="43">
                  <c:v>3.0091600000000001</c:v>
                </c:pt>
                <c:pt idx="44">
                  <c:v>3.0260500000000001</c:v>
                </c:pt>
                <c:pt idx="45">
                  <c:v>3.0470299999999999</c:v>
                </c:pt>
                <c:pt idx="46">
                  <c:v>3.0673899999999996</c:v>
                </c:pt>
                <c:pt idx="47">
                  <c:v>3.0878000000000001</c:v>
                </c:pt>
                <c:pt idx="48">
                  <c:v>3.1073899999999997</c:v>
                </c:pt>
                <c:pt idx="49">
                  <c:v>3.1253399999999996</c:v>
                </c:pt>
                <c:pt idx="50">
                  <c:v>3.1368800000000001</c:v>
                </c:pt>
                <c:pt idx="51">
                  <c:v>3.1509</c:v>
                </c:pt>
                <c:pt idx="52">
                  <c:v>3.1638000000000002</c:v>
                </c:pt>
                <c:pt idx="53">
                  <c:v>3.1775599999999997</c:v>
                </c:pt>
                <c:pt idx="54">
                  <c:v>3.1900200000000001</c:v>
                </c:pt>
                <c:pt idx="55">
                  <c:v>3.2027200000000002</c:v>
                </c:pt>
                <c:pt idx="56">
                  <c:v>3.21529</c:v>
                </c:pt>
                <c:pt idx="57">
                  <c:v>3.22614</c:v>
                </c:pt>
                <c:pt idx="58">
                  <c:v>3.2358799999999999</c:v>
                </c:pt>
                <c:pt idx="59">
                  <c:v>3.2444299999999999</c:v>
                </c:pt>
                <c:pt idx="60">
                  <c:v>3.25318</c:v>
                </c:pt>
                <c:pt idx="61">
                  <c:v>3.26342</c:v>
                </c:pt>
                <c:pt idx="62">
                  <c:v>3.2750499999999998</c:v>
                </c:pt>
                <c:pt idx="63">
                  <c:v>3.2862400000000003</c:v>
                </c:pt>
                <c:pt idx="64">
                  <c:v>3.2949099999999998</c:v>
                </c:pt>
                <c:pt idx="65">
                  <c:v>3.3028400000000002</c:v>
                </c:pt>
                <c:pt idx="66">
                  <c:v>3.3111299999999999</c:v>
                </c:pt>
                <c:pt idx="67">
                  <c:v>3.3176499999999995</c:v>
                </c:pt>
                <c:pt idx="68">
                  <c:v>3.3261099999999999</c:v>
                </c:pt>
                <c:pt idx="69">
                  <c:v>3.3362500000000002</c:v>
                </c:pt>
                <c:pt idx="70">
                  <c:v>3.3468300000000002</c:v>
                </c:pt>
                <c:pt idx="71">
                  <c:v>3.3605299999999998</c:v>
                </c:pt>
                <c:pt idx="72">
                  <c:v>3.3758899999999996</c:v>
                </c:pt>
                <c:pt idx="73">
                  <c:v>3.3925200000000002</c:v>
                </c:pt>
                <c:pt idx="74">
                  <c:v>3.4095999999999997</c:v>
                </c:pt>
                <c:pt idx="75">
                  <c:v>3.4330799999999999</c:v>
                </c:pt>
                <c:pt idx="76">
                  <c:v>3.45072</c:v>
                </c:pt>
                <c:pt idx="77">
                  <c:v>3.4677899999999999</c:v>
                </c:pt>
                <c:pt idx="78">
                  <c:v>3.4855100000000001</c:v>
                </c:pt>
                <c:pt idx="79">
                  <c:v>3.5019099999999996</c:v>
                </c:pt>
                <c:pt idx="80">
                  <c:v>3.5178099999999999</c:v>
                </c:pt>
                <c:pt idx="81">
                  <c:v>3.53146</c:v>
                </c:pt>
                <c:pt idx="82">
                  <c:v>3.5470000000000002</c:v>
                </c:pt>
                <c:pt idx="83">
                  <c:v>3.5626799999999998</c:v>
                </c:pt>
                <c:pt idx="84">
                  <c:v>3.57952</c:v>
                </c:pt>
                <c:pt idx="85">
                  <c:v>3.5950300000000004</c:v>
                </c:pt>
                <c:pt idx="86">
                  <c:v>3.6074899999999999</c:v>
                </c:pt>
                <c:pt idx="87">
                  <c:v>3.61721</c:v>
                </c:pt>
                <c:pt idx="88">
                  <c:v>3.6247199999999999</c:v>
                </c:pt>
                <c:pt idx="89">
                  <c:v>3.6295999999999999</c:v>
                </c:pt>
                <c:pt idx="90">
                  <c:v>3.6327199999999999</c:v>
                </c:pt>
                <c:pt idx="91">
                  <c:v>3.63489</c:v>
                </c:pt>
                <c:pt idx="92">
                  <c:v>3.6352600000000002</c:v>
                </c:pt>
                <c:pt idx="93">
                  <c:v>3.6331899999999999</c:v>
                </c:pt>
                <c:pt idx="94">
                  <c:v>3.6255799999999998</c:v>
                </c:pt>
                <c:pt idx="95">
                  <c:v>3.6111</c:v>
                </c:pt>
                <c:pt idx="96">
                  <c:v>3.5911</c:v>
                </c:pt>
                <c:pt idx="97">
                  <c:v>3.5664400000000001</c:v>
                </c:pt>
                <c:pt idx="98">
                  <c:v>3.5398000000000001</c:v>
                </c:pt>
                <c:pt idx="99">
                  <c:v>3.5124300000000002</c:v>
                </c:pt>
                <c:pt idx="100">
                  <c:v>3.4835899999999995</c:v>
                </c:pt>
                <c:pt idx="101">
                  <c:v>3.4516400000000003</c:v>
                </c:pt>
                <c:pt idx="102">
                  <c:v>3.41736</c:v>
                </c:pt>
                <c:pt idx="103">
                  <c:v>3.3826800000000001</c:v>
                </c:pt>
                <c:pt idx="104">
                  <c:v>3.3502000000000001</c:v>
                </c:pt>
                <c:pt idx="105">
                  <c:v>3.3159300000000003</c:v>
                </c:pt>
                <c:pt idx="106">
                  <c:v>3.2823899999999999</c:v>
                </c:pt>
                <c:pt idx="107">
                  <c:v>3.2487899999999996</c:v>
                </c:pt>
                <c:pt idx="108">
                  <c:v>3.2134099999999997</c:v>
                </c:pt>
                <c:pt idx="109">
                  <c:v>3.1768099999999997</c:v>
                </c:pt>
                <c:pt idx="110">
                  <c:v>3.1384699999999999</c:v>
                </c:pt>
                <c:pt idx="111">
                  <c:v>3.09917</c:v>
                </c:pt>
                <c:pt idx="112">
                  <c:v>3.0610599999999999</c:v>
                </c:pt>
                <c:pt idx="113">
                  <c:v>3.0238800000000001</c:v>
                </c:pt>
                <c:pt idx="114">
                  <c:v>2.9893100000000001</c:v>
                </c:pt>
                <c:pt idx="115">
                  <c:v>2.9540999999999999</c:v>
                </c:pt>
                <c:pt idx="116">
                  <c:v>2.9179399999999998</c:v>
                </c:pt>
                <c:pt idx="117">
                  <c:v>2.88043</c:v>
                </c:pt>
                <c:pt idx="118">
                  <c:v>2.8448899999999999</c:v>
                </c:pt>
                <c:pt idx="119">
                  <c:v>2.8140300000000003</c:v>
                </c:pt>
                <c:pt idx="120">
                  <c:v>2.7872400000000002</c:v>
                </c:pt>
                <c:pt idx="121">
                  <c:v>2.76633</c:v>
                </c:pt>
                <c:pt idx="122">
                  <c:v>2.7486999999999999</c:v>
                </c:pt>
                <c:pt idx="123">
                  <c:v>2.7333400000000001</c:v>
                </c:pt>
                <c:pt idx="124">
                  <c:v>2.72173</c:v>
                </c:pt>
                <c:pt idx="125">
                  <c:v>2.7100600000000004</c:v>
                </c:pt>
                <c:pt idx="126">
                  <c:v>2.7018599999999999</c:v>
                </c:pt>
                <c:pt idx="127">
                  <c:v>2.6947399999999999</c:v>
                </c:pt>
                <c:pt idx="128">
                  <c:v>2.6864700000000004</c:v>
                </c:pt>
                <c:pt idx="129">
                  <c:v>2.67503</c:v>
                </c:pt>
                <c:pt idx="130">
                  <c:v>2.6645999999999996</c:v>
                </c:pt>
                <c:pt idx="131">
                  <c:v>2.6540699999999999</c:v>
                </c:pt>
                <c:pt idx="132">
                  <c:v>2.64032</c:v>
                </c:pt>
                <c:pt idx="133">
                  <c:v>2.6269799999999996</c:v>
                </c:pt>
                <c:pt idx="134">
                  <c:v>2.6151799999999996</c:v>
                </c:pt>
                <c:pt idx="135">
                  <c:v>2.6064100000000003</c:v>
                </c:pt>
                <c:pt idx="136">
                  <c:v>2.6002999999999998</c:v>
                </c:pt>
                <c:pt idx="137">
                  <c:v>2.5929799999999998</c:v>
                </c:pt>
                <c:pt idx="138">
                  <c:v>2.5882000000000001</c:v>
                </c:pt>
                <c:pt idx="139">
                  <c:v>2.58155</c:v>
                </c:pt>
                <c:pt idx="140">
                  <c:v>2.5793500000000003</c:v>
                </c:pt>
                <c:pt idx="141">
                  <c:v>2.5840000000000001</c:v>
                </c:pt>
                <c:pt idx="142">
                  <c:v>2.5954199999999998</c:v>
                </c:pt>
                <c:pt idx="143">
                  <c:v>2.6027</c:v>
                </c:pt>
                <c:pt idx="144">
                  <c:v>2.61348</c:v>
                </c:pt>
                <c:pt idx="145">
                  <c:v>2.63009</c:v>
                </c:pt>
                <c:pt idx="146">
                  <c:v>2.6357499999999998</c:v>
                </c:pt>
                <c:pt idx="147">
                  <c:v>2.64079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E-4BA8-8A29-17BDB2F5F64B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8064A2">
                  <a:lumMod val="40000"/>
                  <a:lumOff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0.36250599999999999</c:v>
                </c:pt>
                <c:pt idx="2">
                  <c:v>0.76910400000000001</c:v>
                </c:pt>
                <c:pt idx="3">
                  <c:v>1.1715199999999999</c:v>
                </c:pt>
                <c:pt idx="4">
                  <c:v>1.57918</c:v>
                </c:pt>
                <c:pt idx="5">
                  <c:v>1.98584</c:v>
                </c:pt>
                <c:pt idx="6">
                  <c:v>2.3920400000000002</c:v>
                </c:pt>
                <c:pt idx="7">
                  <c:v>2.79976</c:v>
                </c:pt>
                <c:pt idx="8">
                  <c:v>3.2027199999999998</c:v>
                </c:pt>
                <c:pt idx="9">
                  <c:v>3.6143000000000001</c:v>
                </c:pt>
                <c:pt idx="10">
                  <c:v>4.0155599999999998</c:v>
                </c:pt>
                <c:pt idx="11">
                  <c:v>4.4212800000000003</c:v>
                </c:pt>
                <c:pt idx="12">
                  <c:v>4.8272700000000004</c:v>
                </c:pt>
                <c:pt idx="13">
                  <c:v>5.2350099999999999</c:v>
                </c:pt>
                <c:pt idx="14">
                  <c:v>5.6456299999999997</c:v>
                </c:pt>
                <c:pt idx="15">
                  <c:v>6.0480499999999999</c:v>
                </c:pt>
                <c:pt idx="16">
                  <c:v>6.4538399999999996</c:v>
                </c:pt>
                <c:pt idx="17">
                  <c:v>6.8617100000000004</c:v>
                </c:pt>
                <c:pt idx="18">
                  <c:v>7.2690900000000003</c:v>
                </c:pt>
                <c:pt idx="19">
                  <c:v>7.6730299999999998</c:v>
                </c:pt>
                <c:pt idx="20">
                  <c:v>8.0785599999999995</c:v>
                </c:pt>
                <c:pt idx="21">
                  <c:v>8.4827700000000004</c:v>
                </c:pt>
                <c:pt idx="22">
                  <c:v>8.8942200000000007</c:v>
                </c:pt>
                <c:pt idx="23">
                  <c:v>9.2958800000000004</c:v>
                </c:pt>
                <c:pt idx="24">
                  <c:v>9.70397</c:v>
                </c:pt>
                <c:pt idx="25">
                  <c:v>10.108700000000001</c:v>
                </c:pt>
                <c:pt idx="26">
                  <c:v>10.5139</c:v>
                </c:pt>
                <c:pt idx="27">
                  <c:v>10.923299999999999</c:v>
                </c:pt>
                <c:pt idx="28">
                  <c:v>11.331899999999999</c:v>
                </c:pt>
                <c:pt idx="29">
                  <c:v>11.7372</c:v>
                </c:pt>
                <c:pt idx="30">
                  <c:v>12.139900000000001</c:v>
                </c:pt>
                <c:pt idx="31">
                  <c:v>12.545500000000001</c:v>
                </c:pt>
                <c:pt idx="32">
                  <c:v>12.952299999999999</c:v>
                </c:pt>
                <c:pt idx="33">
                  <c:v>13.362500000000001</c:v>
                </c:pt>
                <c:pt idx="34">
                  <c:v>13.7652</c:v>
                </c:pt>
                <c:pt idx="35">
                  <c:v>14.171900000000001</c:v>
                </c:pt>
                <c:pt idx="36">
                  <c:v>14.578099999999999</c:v>
                </c:pt>
                <c:pt idx="37">
                  <c:v>14.9833</c:v>
                </c:pt>
                <c:pt idx="38">
                  <c:v>15.3917</c:v>
                </c:pt>
                <c:pt idx="39">
                  <c:v>15.7981</c:v>
                </c:pt>
                <c:pt idx="40">
                  <c:v>16.206700000000001</c:v>
                </c:pt>
                <c:pt idx="41">
                  <c:v>16.608599999999999</c:v>
                </c:pt>
                <c:pt idx="42">
                  <c:v>17.015999999999998</c:v>
                </c:pt>
                <c:pt idx="43">
                  <c:v>17.420200000000001</c:v>
                </c:pt>
                <c:pt idx="44">
                  <c:v>17.828700000000001</c:v>
                </c:pt>
                <c:pt idx="45">
                  <c:v>18.2347</c:v>
                </c:pt>
                <c:pt idx="46">
                  <c:v>18.6387</c:v>
                </c:pt>
                <c:pt idx="47">
                  <c:v>19.046700000000001</c:v>
                </c:pt>
                <c:pt idx="48">
                  <c:v>19.451599999999999</c:v>
                </c:pt>
                <c:pt idx="49">
                  <c:v>19.8644</c:v>
                </c:pt>
                <c:pt idx="50">
                  <c:v>20.2681</c:v>
                </c:pt>
                <c:pt idx="51">
                  <c:v>20.67</c:v>
                </c:pt>
                <c:pt idx="52">
                  <c:v>21.075099999999999</c:v>
                </c:pt>
                <c:pt idx="53">
                  <c:v>21.4862</c:v>
                </c:pt>
                <c:pt idx="54">
                  <c:v>21.8919</c:v>
                </c:pt>
                <c:pt idx="55">
                  <c:v>22.299199999999999</c:v>
                </c:pt>
                <c:pt idx="56">
                  <c:v>22.7029</c:v>
                </c:pt>
                <c:pt idx="57">
                  <c:v>23.1083</c:v>
                </c:pt>
                <c:pt idx="58">
                  <c:v>23.515499999999999</c:v>
                </c:pt>
                <c:pt idx="59">
                  <c:v>23.9206</c:v>
                </c:pt>
                <c:pt idx="60">
                  <c:v>24.328600000000002</c:v>
                </c:pt>
                <c:pt idx="61">
                  <c:v>24.7348</c:v>
                </c:pt>
                <c:pt idx="62">
                  <c:v>25.145199999999999</c:v>
                </c:pt>
                <c:pt idx="63">
                  <c:v>25.549800000000001</c:v>
                </c:pt>
                <c:pt idx="64">
                  <c:v>25.952500000000001</c:v>
                </c:pt>
                <c:pt idx="65">
                  <c:v>26.363700000000001</c:v>
                </c:pt>
                <c:pt idx="66">
                  <c:v>26.765799999999999</c:v>
                </c:pt>
                <c:pt idx="67">
                  <c:v>27.170200000000001</c:v>
                </c:pt>
                <c:pt idx="68">
                  <c:v>27.580400000000001</c:v>
                </c:pt>
                <c:pt idx="69">
                  <c:v>27.983599999999999</c:v>
                </c:pt>
                <c:pt idx="70">
                  <c:v>28.389500000000002</c:v>
                </c:pt>
                <c:pt idx="71">
                  <c:v>28.7956</c:v>
                </c:pt>
                <c:pt idx="72">
                  <c:v>29.203499999999998</c:v>
                </c:pt>
                <c:pt idx="73">
                  <c:v>29.61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74"/>
                <c:pt idx="0">
                  <c:v>1.7180400000000002</c:v>
                </c:pt>
                <c:pt idx="1">
                  <c:v>1.76193</c:v>
                </c:pt>
                <c:pt idx="2">
                  <c:v>1.80619</c:v>
                </c:pt>
                <c:pt idx="3">
                  <c:v>1.84931</c:v>
                </c:pt>
                <c:pt idx="4">
                  <c:v>1.8915899999999999</c:v>
                </c:pt>
                <c:pt idx="5">
                  <c:v>1.93252</c:v>
                </c:pt>
                <c:pt idx="6">
                  <c:v>1.9722700000000002</c:v>
                </c:pt>
                <c:pt idx="7">
                  <c:v>2.0112199999999998</c:v>
                </c:pt>
                <c:pt idx="8">
                  <c:v>2.0497899999999998</c:v>
                </c:pt>
                <c:pt idx="9">
                  <c:v>2.0885799999999999</c:v>
                </c:pt>
                <c:pt idx="10">
                  <c:v>2.1273400000000002</c:v>
                </c:pt>
                <c:pt idx="11">
                  <c:v>2.1656500000000003</c:v>
                </c:pt>
                <c:pt idx="12">
                  <c:v>2.20316</c:v>
                </c:pt>
                <c:pt idx="13">
                  <c:v>2.2399499999999999</c:v>
                </c:pt>
                <c:pt idx="14">
                  <c:v>2.2751099999999997</c:v>
                </c:pt>
                <c:pt idx="15">
                  <c:v>2.3094600000000001</c:v>
                </c:pt>
                <c:pt idx="16">
                  <c:v>2.3450600000000001</c:v>
                </c:pt>
                <c:pt idx="17">
                  <c:v>2.3799100000000002</c:v>
                </c:pt>
                <c:pt idx="18">
                  <c:v>2.41384</c:v>
                </c:pt>
                <c:pt idx="19">
                  <c:v>2.4466099999999997</c:v>
                </c:pt>
                <c:pt idx="20">
                  <c:v>2.4775499999999999</c:v>
                </c:pt>
                <c:pt idx="21">
                  <c:v>2.5090400000000002</c:v>
                </c:pt>
                <c:pt idx="22">
                  <c:v>2.5404100000000001</c:v>
                </c:pt>
                <c:pt idx="23">
                  <c:v>2.57043</c:v>
                </c:pt>
                <c:pt idx="24">
                  <c:v>2.59931</c:v>
                </c:pt>
                <c:pt idx="25">
                  <c:v>2.6290200000000001</c:v>
                </c:pt>
                <c:pt idx="26">
                  <c:v>2.6585900000000002</c:v>
                </c:pt>
                <c:pt idx="27">
                  <c:v>2.6878099999999998</c:v>
                </c:pt>
                <c:pt idx="28">
                  <c:v>2.7148499999999998</c:v>
                </c:pt>
                <c:pt idx="29">
                  <c:v>2.7411300000000001</c:v>
                </c:pt>
                <c:pt idx="30">
                  <c:v>2.7660499999999999</c:v>
                </c:pt>
                <c:pt idx="31">
                  <c:v>2.7914400000000001</c:v>
                </c:pt>
                <c:pt idx="32">
                  <c:v>2.8158899999999996</c:v>
                </c:pt>
                <c:pt idx="33">
                  <c:v>2.8378100000000002</c:v>
                </c:pt>
                <c:pt idx="34">
                  <c:v>2.8566500000000001</c:v>
                </c:pt>
                <c:pt idx="35">
                  <c:v>2.8734999999999999</c:v>
                </c:pt>
                <c:pt idx="36">
                  <c:v>2.8900999999999999</c:v>
                </c:pt>
                <c:pt idx="37">
                  <c:v>2.9055599999999999</c:v>
                </c:pt>
                <c:pt idx="38">
                  <c:v>2.9209700000000001</c:v>
                </c:pt>
                <c:pt idx="39">
                  <c:v>2.9386400000000004</c:v>
                </c:pt>
                <c:pt idx="40">
                  <c:v>2.9572399999999996</c:v>
                </c:pt>
                <c:pt idx="41">
                  <c:v>2.9739599999999999</c:v>
                </c:pt>
                <c:pt idx="42">
                  <c:v>2.9917700000000003</c:v>
                </c:pt>
                <c:pt idx="43">
                  <c:v>3.0091600000000001</c:v>
                </c:pt>
                <c:pt idx="44">
                  <c:v>3.0260500000000001</c:v>
                </c:pt>
                <c:pt idx="45">
                  <c:v>3.0470299999999999</c:v>
                </c:pt>
                <c:pt idx="46">
                  <c:v>3.0673899999999996</c:v>
                </c:pt>
                <c:pt idx="47">
                  <c:v>3.0878000000000001</c:v>
                </c:pt>
                <c:pt idx="48">
                  <c:v>3.1073899999999997</c:v>
                </c:pt>
                <c:pt idx="49">
                  <c:v>3.1253399999999996</c:v>
                </c:pt>
                <c:pt idx="50">
                  <c:v>3.1368800000000001</c:v>
                </c:pt>
                <c:pt idx="51">
                  <c:v>3.1509</c:v>
                </c:pt>
                <c:pt idx="52">
                  <c:v>3.1638000000000002</c:v>
                </c:pt>
                <c:pt idx="53">
                  <c:v>3.1775599999999997</c:v>
                </c:pt>
                <c:pt idx="54">
                  <c:v>3.1900200000000001</c:v>
                </c:pt>
                <c:pt idx="55">
                  <c:v>3.2027200000000002</c:v>
                </c:pt>
                <c:pt idx="56">
                  <c:v>3.21529</c:v>
                </c:pt>
                <c:pt idx="57">
                  <c:v>3.22614</c:v>
                </c:pt>
                <c:pt idx="58">
                  <c:v>3.2358799999999999</c:v>
                </c:pt>
                <c:pt idx="59">
                  <c:v>3.2444299999999999</c:v>
                </c:pt>
                <c:pt idx="60">
                  <c:v>3.25318</c:v>
                </c:pt>
                <c:pt idx="61">
                  <c:v>3.26342</c:v>
                </c:pt>
                <c:pt idx="62">
                  <c:v>3.2750499999999998</c:v>
                </c:pt>
                <c:pt idx="63">
                  <c:v>3.2862400000000003</c:v>
                </c:pt>
                <c:pt idx="64">
                  <c:v>3.2949099999999998</c:v>
                </c:pt>
                <c:pt idx="65">
                  <c:v>3.3028400000000002</c:v>
                </c:pt>
                <c:pt idx="66">
                  <c:v>3.3111299999999999</c:v>
                </c:pt>
                <c:pt idx="67">
                  <c:v>3.3176499999999995</c:v>
                </c:pt>
                <c:pt idx="68">
                  <c:v>3.3261099999999999</c:v>
                </c:pt>
                <c:pt idx="69">
                  <c:v>3.3362500000000002</c:v>
                </c:pt>
                <c:pt idx="70">
                  <c:v>3.3468300000000002</c:v>
                </c:pt>
                <c:pt idx="71">
                  <c:v>3.3605299999999998</c:v>
                </c:pt>
                <c:pt idx="72">
                  <c:v>3.3758899999999996</c:v>
                </c:pt>
                <c:pt idx="73">
                  <c:v>3.3925200000000002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E-4BA8-8A29-17BDB2F5F64B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29.61</c:v>
                </c:pt>
                <c:pt idx="1">
                  <c:v>30.014099999999999</c:v>
                </c:pt>
                <c:pt idx="2">
                  <c:v>30.607800000000001</c:v>
                </c:pt>
                <c:pt idx="3">
                  <c:v>30.982800000000001</c:v>
                </c:pt>
                <c:pt idx="4">
                  <c:v>31.360499999999998</c:v>
                </c:pt>
                <c:pt idx="5">
                  <c:v>31.734100000000002</c:v>
                </c:pt>
                <c:pt idx="6">
                  <c:v>32.112000000000002</c:v>
                </c:pt>
                <c:pt idx="7">
                  <c:v>32.5154</c:v>
                </c:pt>
                <c:pt idx="8">
                  <c:v>32.921199999999999</c:v>
                </c:pt>
                <c:pt idx="9">
                  <c:v>33.329700000000003</c:v>
                </c:pt>
                <c:pt idx="10">
                  <c:v>33.734000000000002</c:v>
                </c:pt>
                <c:pt idx="11">
                  <c:v>34.140099999999997</c:v>
                </c:pt>
                <c:pt idx="12">
                  <c:v>34.549100000000003</c:v>
                </c:pt>
                <c:pt idx="13">
                  <c:v>34.953400000000002</c:v>
                </c:pt>
                <c:pt idx="14">
                  <c:v>35.361600000000003</c:v>
                </c:pt>
                <c:pt idx="15">
                  <c:v>35.7652</c:v>
                </c:pt>
                <c:pt idx="16">
                  <c:v>36.171500000000002</c:v>
                </c:pt>
                <c:pt idx="17">
                  <c:v>36.5777</c:v>
                </c:pt>
                <c:pt idx="18">
                  <c:v>36.987299999999998</c:v>
                </c:pt>
                <c:pt idx="19">
                  <c:v>37.388199999999998</c:v>
                </c:pt>
                <c:pt idx="20">
                  <c:v>37.797400000000003</c:v>
                </c:pt>
                <c:pt idx="21">
                  <c:v>38.2044</c:v>
                </c:pt>
                <c:pt idx="22">
                  <c:v>38.606699999999996</c:v>
                </c:pt>
                <c:pt idx="23">
                  <c:v>39.016599999999997</c:v>
                </c:pt>
                <c:pt idx="24">
                  <c:v>39.424300000000002</c:v>
                </c:pt>
                <c:pt idx="25">
                  <c:v>39.8324</c:v>
                </c:pt>
                <c:pt idx="26">
                  <c:v>40.236699999999999</c:v>
                </c:pt>
                <c:pt idx="27">
                  <c:v>40.639899999999997</c:v>
                </c:pt>
                <c:pt idx="28">
                  <c:v>41.047199999999997</c:v>
                </c:pt>
                <c:pt idx="29">
                  <c:v>41.453400000000002</c:v>
                </c:pt>
                <c:pt idx="30">
                  <c:v>41.8626</c:v>
                </c:pt>
                <c:pt idx="31">
                  <c:v>42.265099999999997</c:v>
                </c:pt>
                <c:pt idx="32">
                  <c:v>42.671599999999998</c:v>
                </c:pt>
                <c:pt idx="33">
                  <c:v>43.076799999999999</c:v>
                </c:pt>
                <c:pt idx="34">
                  <c:v>43.485999999999997</c:v>
                </c:pt>
                <c:pt idx="35">
                  <c:v>43.893000000000001</c:v>
                </c:pt>
                <c:pt idx="36">
                  <c:v>44.297199999999997</c:v>
                </c:pt>
                <c:pt idx="37">
                  <c:v>44.703200000000002</c:v>
                </c:pt>
                <c:pt idx="38">
                  <c:v>45.107100000000003</c:v>
                </c:pt>
                <c:pt idx="39">
                  <c:v>45.513199999999998</c:v>
                </c:pt>
                <c:pt idx="40">
                  <c:v>45.920900000000003</c:v>
                </c:pt>
                <c:pt idx="41">
                  <c:v>46.333799999999997</c:v>
                </c:pt>
                <c:pt idx="42">
                  <c:v>46.735799999999998</c:v>
                </c:pt>
                <c:pt idx="43">
                  <c:v>47.143099999999997</c:v>
                </c:pt>
                <c:pt idx="44">
                  <c:v>47.548900000000003</c:v>
                </c:pt>
                <c:pt idx="45">
                  <c:v>47.952599999999997</c:v>
                </c:pt>
                <c:pt idx="46">
                  <c:v>48.355800000000002</c:v>
                </c:pt>
                <c:pt idx="47">
                  <c:v>48.764699999999998</c:v>
                </c:pt>
                <c:pt idx="48">
                  <c:v>49.174500000000002</c:v>
                </c:pt>
                <c:pt idx="49">
                  <c:v>49.578400000000002</c:v>
                </c:pt>
                <c:pt idx="50">
                  <c:v>49.981699999999996</c:v>
                </c:pt>
                <c:pt idx="51">
                  <c:v>50.389299999999999</c:v>
                </c:pt>
                <c:pt idx="52">
                  <c:v>50.800600000000003</c:v>
                </c:pt>
                <c:pt idx="53">
                  <c:v>51.203800000000001</c:v>
                </c:pt>
                <c:pt idx="54">
                  <c:v>51.6126</c:v>
                </c:pt>
                <c:pt idx="55">
                  <c:v>52.014899999999997</c:v>
                </c:pt>
                <c:pt idx="56">
                  <c:v>52.421599999999998</c:v>
                </c:pt>
                <c:pt idx="57">
                  <c:v>52.831600000000002</c:v>
                </c:pt>
                <c:pt idx="58">
                  <c:v>53.236699999999999</c:v>
                </c:pt>
                <c:pt idx="59">
                  <c:v>53.6402</c:v>
                </c:pt>
                <c:pt idx="60">
                  <c:v>54.044699999999999</c:v>
                </c:pt>
                <c:pt idx="61">
                  <c:v>54.453200000000002</c:v>
                </c:pt>
                <c:pt idx="62">
                  <c:v>54.861400000000003</c:v>
                </c:pt>
                <c:pt idx="63">
                  <c:v>55.263800000000003</c:v>
                </c:pt>
                <c:pt idx="64">
                  <c:v>55.673999999999999</c:v>
                </c:pt>
                <c:pt idx="65">
                  <c:v>56.078099999999999</c:v>
                </c:pt>
                <c:pt idx="66">
                  <c:v>56.486600000000003</c:v>
                </c:pt>
                <c:pt idx="67">
                  <c:v>56.8917</c:v>
                </c:pt>
                <c:pt idx="68">
                  <c:v>57.296900000000001</c:v>
                </c:pt>
                <c:pt idx="69">
                  <c:v>57.7057</c:v>
                </c:pt>
                <c:pt idx="70">
                  <c:v>58.106499999999997</c:v>
                </c:pt>
                <c:pt idx="71">
                  <c:v>58.514600000000002</c:v>
                </c:pt>
                <c:pt idx="72">
                  <c:v>58.920999999999999</c:v>
                </c:pt>
                <c:pt idx="73">
                  <c:v>59.330399999999997</c:v>
                </c:pt>
                <c:pt idx="74">
                  <c:v>59.7346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75"/>
                <c:pt idx="0">
                  <c:v>3.3925200000000002</c:v>
                </c:pt>
                <c:pt idx="1">
                  <c:v>3.4095999999999997</c:v>
                </c:pt>
                <c:pt idx="2">
                  <c:v>3.4330799999999999</c:v>
                </c:pt>
                <c:pt idx="3">
                  <c:v>3.45072</c:v>
                </c:pt>
                <c:pt idx="4">
                  <c:v>3.4677899999999999</c:v>
                </c:pt>
                <c:pt idx="5">
                  <c:v>3.4855100000000001</c:v>
                </c:pt>
                <c:pt idx="6">
                  <c:v>3.5019099999999996</c:v>
                </c:pt>
                <c:pt idx="7">
                  <c:v>3.5178099999999999</c:v>
                </c:pt>
                <c:pt idx="8">
                  <c:v>3.53146</c:v>
                </c:pt>
                <c:pt idx="9">
                  <c:v>3.5470000000000002</c:v>
                </c:pt>
                <c:pt idx="10">
                  <c:v>3.5626799999999998</c:v>
                </c:pt>
                <c:pt idx="11">
                  <c:v>3.57952</c:v>
                </c:pt>
                <c:pt idx="12">
                  <c:v>3.5950300000000004</c:v>
                </c:pt>
                <c:pt idx="13">
                  <c:v>3.6074899999999999</c:v>
                </c:pt>
                <c:pt idx="14">
                  <c:v>3.61721</c:v>
                </c:pt>
                <c:pt idx="15">
                  <c:v>3.6247199999999999</c:v>
                </c:pt>
                <c:pt idx="16">
                  <c:v>3.6295999999999999</c:v>
                </c:pt>
                <c:pt idx="17">
                  <c:v>3.6327199999999999</c:v>
                </c:pt>
                <c:pt idx="18">
                  <c:v>3.63489</c:v>
                </c:pt>
                <c:pt idx="19">
                  <c:v>3.6352600000000002</c:v>
                </c:pt>
                <c:pt idx="20">
                  <c:v>3.6331899999999999</c:v>
                </c:pt>
                <c:pt idx="21">
                  <c:v>3.6255799999999998</c:v>
                </c:pt>
                <c:pt idx="22">
                  <c:v>3.6111</c:v>
                </c:pt>
                <c:pt idx="23">
                  <c:v>3.5911</c:v>
                </c:pt>
                <c:pt idx="24">
                  <c:v>3.5664400000000001</c:v>
                </c:pt>
                <c:pt idx="25">
                  <c:v>3.5398000000000001</c:v>
                </c:pt>
                <c:pt idx="26">
                  <c:v>3.5124300000000002</c:v>
                </c:pt>
                <c:pt idx="27">
                  <c:v>3.4835899999999995</c:v>
                </c:pt>
                <c:pt idx="28">
                  <c:v>3.4516400000000003</c:v>
                </c:pt>
                <c:pt idx="29">
                  <c:v>3.41736</c:v>
                </c:pt>
                <c:pt idx="30">
                  <c:v>3.3826800000000001</c:v>
                </c:pt>
                <c:pt idx="31">
                  <c:v>3.3502000000000001</c:v>
                </c:pt>
                <c:pt idx="32">
                  <c:v>3.3159300000000003</c:v>
                </c:pt>
                <c:pt idx="33">
                  <c:v>3.2823899999999999</c:v>
                </c:pt>
                <c:pt idx="34">
                  <c:v>3.2487899999999996</c:v>
                </c:pt>
                <c:pt idx="35">
                  <c:v>3.2134099999999997</c:v>
                </c:pt>
                <c:pt idx="36">
                  <c:v>3.1768099999999997</c:v>
                </c:pt>
                <c:pt idx="37">
                  <c:v>3.1384699999999999</c:v>
                </c:pt>
                <c:pt idx="38">
                  <c:v>3.09917</c:v>
                </c:pt>
                <c:pt idx="39">
                  <c:v>3.0610599999999999</c:v>
                </c:pt>
                <c:pt idx="40">
                  <c:v>3.0238800000000001</c:v>
                </c:pt>
                <c:pt idx="41">
                  <c:v>2.9893100000000001</c:v>
                </c:pt>
                <c:pt idx="42">
                  <c:v>2.9540999999999999</c:v>
                </c:pt>
                <c:pt idx="43">
                  <c:v>2.9179399999999998</c:v>
                </c:pt>
                <c:pt idx="44">
                  <c:v>2.88043</c:v>
                </c:pt>
                <c:pt idx="45">
                  <c:v>2.8448899999999999</c:v>
                </c:pt>
                <c:pt idx="46">
                  <c:v>2.8140300000000003</c:v>
                </c:pt>
                <c:pt idx="47">
                  <c:v>2.7872400000000002</c:v>
                </c:pt>
                <c:pt idx="48">
                  <c:v>2.76633</c:v>
                </c:pt>
                <c:pt idx="49">
                  <c:v>2.7486999999999999</c:v>
                </c:pt>
                <c:pt idx="50">
                  <c:v>2.7333400000000001</c:v>
                </c:pt>
                <c:pt idx="51">
                  <c:v>2.72173</c:v>
                </c:pt>
                <c:pt idx="52">
                  <c:v>2.7100600000000004</c:v>
                </c:pt>
                <c:pt idx="53">
                  <c:v>2.7018599999999999</c:v>
                </c:pt>
                <c:pt idx="54">
                  <c:v>2.6947399999999999</c:v>
                </c:pt>
                <c:pt idx="55">
                  <c:v>2.6864700000000004</c:v>
                </c:pt>
                <c:pt idx="56">
                  <c:v>2.67503</c:v>
                </c:pt>
                <c:pt idx="57">
                  <c:v>2.6645999999999996</c:v>
                </c:pt>
                <c:pt idx="58">
                  <c:v>2.6540699999999999</c:v>
                </c:pt>
                <c:pt idx="59">
                  <c:v>2.64032</c:v>
                </c:pt>
                <c:pt idx="60">
                  <c:v>2.6269799999999996</c:v>
                </c:pt>
                <c:pt idx="61">
                  <c:v>2.6151799999999996</c:v>
                </c:pt>
                <c:pt idx="62">
                  <c:v>2.6064100000000003</c:v>
                </c:pt>
                <c:pt idx="63">
                  <c:v>2.6002999999999998</c:v>
                </c:pt>
                <c:pt idx="64">
                  <c:v>2.5929799999999998</c:v>
                </c:pt>
                <c:pt idx="65">
                  <c:v>2.5882000000000001</c:v>
                </c:pt>
                <c:pt idx="66">
                  <c:v>2.58155</c:v>
                </c:pt>
                <c:pt idx="67">
                  <c:v>2.5793500000000003</c:v>
                </c:pt>
                <c:pt idx="68">
                  <c:v>2.5840000000000001</c:v>
                </c:pt>
                <c:pt idx="69">
                  <c:v>2.5954199999999998</c:v>
                </c:pt>
                <c:pt idx="70">
                  <c:v>2.6027</c:v>
                </c:pt>
                <c:pt idx="71">
                  <c:v>2.61348</c:v>
                </c:pt>
                <c:pt idx="72">
                  <c:v>2.63009</c:v>
                </c:pt>
                <c:pt idx="73">
                  <c:v>2.6357499999999998</c:v>
                </c:pt>
                <c:pt idx="74">
                  <c:v>2.64079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DE-4BA8-8A29-17BDB2F5F64B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1.7180400000000002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DE-4BA8-8A29-17BDB2F5F64B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1.7180400000000002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DE-4BA8-8A29-17BDB2F5F64B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1.7180400000000002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DE-4BA8-8A29-17BDB2F5F64B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1.7180400000000002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DE-4BA8-8A29-17BDB2F5F64B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1.7180400000000002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DE-4BA8-8A29-17BDB2F5F64B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1.7180400000000002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DE-4BA8-8A29-17BDB2F5F64B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1.7180400000000002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DE-4BA8-8A29-17BDB2F5F64B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1.7180400000000002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DE-4BA8-8A29-17BDB2F5F64B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1.7180400000000002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DE-4BA8-8A29-17BDB2F5F64B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1.7180400000000002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DE-4BA8-8A29-17BDB2F5F64B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1.7180400000000002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DE-4BA8-8A29-17BDB2F5F64B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1.7180400000000002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E-4BA8-8A29-17BDB2F5F64B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1.7180400000000002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E-4BA8-8A29-17BDB2F5F64B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1.7180400000000002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E-4BA8-8A29-17BDB2F5F64B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1.7180400000000002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E-4BA8-8A29-17BDB2F5F64B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1.7180400000000002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E-4BA8-8A29-17BDB2F5F64B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1.7180400000000002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E-4BA8-8A29-17BDB2F5F64B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1.7180400000000002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DE-4BA8-8A29-17BDB2F5F64B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1.7180400000000002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DE-4BA8-8A29-17BDB2F5F64B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1.7180400000000002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DE-4BA8-8A29-17BDB2F5F64B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1.7180400000000002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DE-4BA8-8A29-17BDB2F5F64B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1.7180400000000002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DE-4BA8-8A29-17BDB2F5F64B}"/>
            </c:ext>
          </c:extLst>
        </c:ser>
        <c:ser>
          <c:idx val="51"/>
          <c:order val="51"/>
          <c:tx>
            <c:v>avgE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rgbClr val="8064A2">
                    <a:lumMod val="50000"/>
                    <a:lumOff val="50000"/>
                  </a:srgbClr>
                </a:solidFill>
              </a:ln>
              <a:effectLst/>
            </c:spPr>
          </c:marker>
          <c:xVal>
            <c:numRef>
              <c:f>info!$W$4:$X$4</c:f>
              <c:numCache>
                <c:formatCode>General</c:formatCode>
                <c:ptCount val="2"/>
                <c:pt idx="0">
                  <c:v>14.93365</c:v>
                </c:pt>
                <c:pt idx="1">
                  <c:v>44.80095</c:v>
                </c:pt>
              </c:numCache>
            </c:numRef>
          </c:xVal>
          <c:yVal>
            <c:numRef>
              <c:f>info!$W$5:$X$5</c:f>
              <c:numCache>
                <c:formatCode>General</c:formatCode>
                <c:ptCount val="2"/>
                <c:pt idx="0">
                  <c:v>2.7769132432432428</c:v>
                </c:pt>
                <c:pt idx="1">
                  <c:v>3.1063160810810801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13-4A8A-8D22-ED57EE6EF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5072"/>
        <c:axId val="293684680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0.36250599999999999</c:v>
                </c:pt>
                <c:pt idx="2">
                  <c:v>0.76910400000000001</c:v>
                </c:pt>
                <c:pt idx="3">
                  <c:v>1.1715199999999999</c:v>
                </c:pt>
                <c:pt idx="4">
                  <c:v>1.57918</c:v>
                </c:pt>
                <c:pt idx="5">
                  <c:v>1.98584</c:v>
                </c:pt>
                <c:pt idx="6">
                  <c:v>2.3920400000000002</c:v>
                </c:pt>
                <c:pt idx="7">
                  <c:v>2.79976</c:v>
                </c:pt>
                <c:pt idx="8">
                  <c:v>3.2027199999999998</c:v>
                </c:pt>
                <c:pt idx="9">
                  <c:v>3.6143000000000001</c:v>
                </c:pt>
                <c:pt idx="10">
                  <c:v>4.0155599999999998</c:v>
                </c:pt>
                <c:pt idx="11">
                  <c:v>4.4212800000000003</c:v>
                </c:pt>
                <c:pt idx="12">
                  <c:v>4.8272700000000004</c:v>
                </c:pt>
                <c:pt idx="13">
                  <c:v>5.2350099999999999</c:v>
                </c:pt>
                <c:pt idx="14">
                  <c:v>5.6456299999999997</c:v>
                </c:pt>
                <c:pt idx="15">
                  <c:v>6.0480499999999999</c:v>
                </c:pt>
                <c:pt idx="16">
                  <c:v>6.4538399999999996</c:v>
                </c:pt>
                <c:pt idx="17">
                  <c:v>6.8617100000000004</c:v>
                </c:pt>
                <c:pt idx="18">
                  <c:v>7.2690900000000003</c:v>
                </c:pt>
                <c:pt idx="19">
                  <c:v>7.6730299999999998</c:v>
                </c:pt>
                <c:pt idx="20">
                  <c:v>8.0785599999999995</c:v>
                </c:pt>
                <c:pt idx="21">
                  <c:v>8.4827700000000004</c:v>
                </c:pt>
                <c:pt idx="22">
                  <c:v>8.8942200000000007</c:v>
                </c:pt>
                <c:pt idx="23">
                  <c:v>9.2958800000000004</c:v>
                </c:pt>
                <c:pt idx="24">
                  <c:v>9.70397</c:v>
                </c:pt>
                <c:pt idx="25">
                  <c:v>10.108700000000001</c:v>
                </c:pt>
                <c:pt idx="26">
                  <c:v>10.5139</c:v>
                </c:pt>
                <c:pt idx="27">
                  <c:v>10.923299999999999</c:v>
                </c:pt>
                <c:pt idx="28">
                  <c:v>11.331899999999999</c:v>
                </c:pt>
                <c:pt idx="29">
                  <c:v>11.7372</c:v>
                </c:pt>
                <c:pt idx="30">
                  <c:v>12.139900000000001</c:v>
                </c:pt>
                <c:pt idx="31">
                  <c:v>12.545500000000001</c:v>
                </c:pt>
                <c:pt idx="32">
                  <c:v>12.952299999999999</c:v>
                </c:pt>
                <c:pt idx="33">
                  <c:v>13.362500000000001</c:v>
                </c:pt>
                <c:pt idx="34">
                  <c:v>13.7652</c:v>
                </c:pt>
                <c:pt idx="35">
                  <c:v>14.171900000000001</c:v>
                </c:pt>
                <c:pt idx="36">
                  <c:v>14.578099999999999</c:v>
                </c:pt>
                <c:pt idx="37">
                  <c:v>14.9833</c:v>
                </c:pt>
                <c:pt idx="38">
                  <c:v>15.3917</c:v>
                </c:pt>
                <c:pt idx="39">
                  <c:v>15.7981</c:v>
                </c:pt>
                <c:pt idx="40">
                  <c:v>16.206700000000001</c:v>
                </c:pt>
                <c:pt idx="41">
                  <c:v>16.608599999999999</c:v>
                </c:pt>
                <c:pt idx="42">
                  <c:v>17.015999999999998</c:v>
                </c:pt>
                <c:pt idx="43">
                  <c:v>17.420200000000001</c:v>
                </c:pt>
                <c:pt idx="44">
                  <c:v>17.828700000000001</c:v>
                </c:pt>
                <c:pt idx="45">
                  <c:v>18.2347</c:v>
                </c:pt>
                <c:pt idx="46">
                  <c:v>18.6387</c:v>
                </c:pt>
                <c:pt idx="47">
                  <c:v>19.046700000000001</c:v>
                </c:pt>
                <c:pt idx="48">
                  <c:v>19.451599999999999</c:v>
                </c:pt>
                <c:pt idx="49">
                  <c:v>19.8644</c:v>
                </c:pt>
                <c:pt idx="50">
                  <c:v>20.2681</c:v>
                </c:pt>
                <c:pt idx="51">
                  <c:v>20.67</c:v>
                </c:pt>
                <c:pt idx="52">
                  <c:v>21.075099999999999</c:v>
                </c:pt>
                <c:pt idx="53">
                  <c:v>21.4862</c:v>
                </c:pt>
                <c:pt idx="54">
                  <c:v>21.8919</c:v>
                </c:pt>
                <c:pt idx="55">
                  <c:v>22.299199999999999</c:v>
                </c:pt>
                <c:pt idx="56">
                  <c:v>22.7029</c:v>
                </c:pt>
                <c:pt idx="57">
                  <c:v>23.1083</c:v>
                </c:pt>
                <c:pt idx="58">
                  <c:v>23.515499999999999</c:v>
                </c:pt>
                <c:pt idx="59">
                  <c:v>23.9206</c:v>
                </c:pt>
                <c:pt idx="60">
                  <c:v>24.328600000000002</c:v>
                </c:pt>
                <c:pt idx="61">
                  <c:v>24.7348</c:v>
                </c:pt>
                <c:pt idx="62">
                  <c:v>25.145199999999999</c:v>
                </c:pt>
                <c:pt idx="63">
                  <c:v>25.549800000000001</c:v>
                </c:pt>
                <c:pt idx="64">
                  <c:v>25.952500000000001</c:v>
                </c:pt>
                <c:pt idx="65">
                  <c:v>26.363700000000001</c:v>
                </c:pt>
                <c:pt idx="66">
                  <c:v>26.765799999999999</c:v>
                </c:pt>
                <c:pt idx="67">
                  <c:v>27.170200000000001</c:v>
                </c:pt>
                <c:pt idx="68">
                  <c:v>27.580400000000001</c:v>
                </c:pt>
                <c:pt idx="69">
                  <c:v>27.983599999999999</c:v>
                </c:pt>
                <c:pt idx="70">
                  <c:v>28.389500000000002</c:v>
                </c:pt>
                <c:pt idx="71">
                  <c:v>28.7956</c:v>
                </c:pt>
                <c:pt idx="72">
                  <c:v>29.203499999999998</c:v>
                </c:pt>
                <c:pt idx="73">
                  <c:v>29.61</c:v>
                </c:pt>
                <c:pt idx="74">
                  <c:v>30.014099999999999</c:v>
                </c:pt>
                <c:pt idx="75">
                  <c:v>30.607800000000001</c:v>
                </c:pt>
                <c:pt idx="76">
                  <c:v>30.982800000000001</c:v>
                </c:pt>
                <c:pt idx="77">
                  <c:v>31.360499999999998</c:v>
                </c:pt>
                <c:pt idx="78">
                  <c:v>31.734100000000002</c:v>
                </c:pt>
                <c:pt idx="79">
                  <c:v>32.112000000000002</c:v>
                </c:pt>
                <c:pt idx="80">
                  <c:v>32.5154</c:v>
                </c:pt>
                <c:pt idx="81">
                  <c:v>32.921199999999999</c:v>
                </c:pt>
                <c:pt idx="82">
                  <c:v>33.329700000000003</c:v>
                </c:pt>
                <c:pt idx="83">
                  <c:v>33.734000000000002</c:v>
                </c:pt>
                <c:pt idx="84">
                  <c:v>34.140099999999997</c:v>
                </c:pt>
                <c:pt idx="85">
                  <c:v>34.549100000000003</c:v>
                </c:pt>
                <c:pt idx="86">
                  <c:v>34.953400000000002</c:v>
                </c:pt>
                <c:pt idx="87">
                  <c:v>35.361600000000003</c:v>
                </c:pt>
                <c:pt idx="88">
                  <c:v>35.7652</c:v>
                </c:pt>
                <c:pt idx="89">
                  <c:v>36.171500000000002</c:v>
                </c:pt>
                <c:pt idx="90">
                  <c:v>36.5777</c:v>
                </c:pt>
                <c:pt idx="91">
                  <c:v>36.987299999999998</c:v>
                </c:pt>
                <c:pt idx="92">
                  <c:v>37.388199999999998</c:v>
                </c:pt>
                <c:pt idx="93">
                  <c:v>37.797400000000003</c:v>
                </c:pt>
                <c:pt idx="94">
                  <c:v>38.2044</c:v>
                </c:pt>
                <c:pt idx="95">
                  <c:v>38.606699999999996</c:v>
                </c:pt>
                <c:pt idx="96">
                  <c:v>39.016599999999997</c:v>
                </c:pt>
                <c:pt idx="97">
                  <c:v>39.424300000000002</c:v>
                </c:pt>
                <c:pt idx="98">
                  <c:v>39.8324</c:v>
                </c:pt>
                <c:pt idx="99">
                  <c:v>40.236699999999999</c:v>
                </c:pt>
                <c:pt idx="100">
                  <c:v>40.639899999999997</c:v>
                </c:pt>
                <c:pt idx="101">
                  <c:v>41.047199999999997</c:v>
                </c:pt>
                <c:pt idx="102">
                  <c:v>41.453400000000002</c:v>
                </c:pt>
                <c:pt idx="103">
                  <c:v>41.8626</c:v>
                </c:pt>
                <c:pt idx="104">
                  <c:v>42.265099999999997</c:v>
                </c:pt>
                <c:pt idx="105">
                  <c:v>42.671599999999998</c:v>
                </c:pt>
                <c:pt idx="106">
                  <c:v>43.076799999999999</c:v>
                </c:pt>
                <c:pt idx="107">
                  <c:v>43.485999999999997</c:v>
                </c:pt>
                <c:pt idx="108">
                  <c:v>43.893000000000001</c:v>
                </c:pt>
                <c:pt idx="109">
                  <c:v>44.297199999999997</c:v>
                </c:pt>
                <c:pt idx="110">
                  <c:v>44.703200000000002</c:v>
                </c:pt>
                <c:pt idx="111">
                  <c:v>45.107100000000003</c:v>
                </c:pt>
                <c:pt idx="112">
                  <c:v>45.513199999999998</c:v>
                </c:pt>
                <c:pt idx="113">
                  <c:v>45.920900000000003</c:v>
                </c:pt>
                <c:pt idx="114">
                  <c:v>46.333799999999997</c:v>
                </c:pt>
                <c:pt idx="115">
                  <c:v>46.735799999999998</c:v>
                </c:pt>
                <c:pt idx="116">
                  <c:v>47.143099999999997</c:v>
                </c:pt>
                <c:pt idx="117">
                  <c:v>47.548900000000003</c:v>
                </c:pt>
                <c:pt idx="118">
                  <c:v>47.952599999999997</c:v>
                </c:pt>
                <c:pt idx="119">
                  <c:v>48.355800000000002</c:v>
                </c:pt>
                <c:pt idx="120">
                  <c:v>48.764699999999998</c:v>
                </c:pt>
                <c:pt idx="121">
                  <c:v>49.174500000000002</c:v>
                </c:pt>
                <c:pt idx="122">
                  <c:v>49.578400000000002</c:v>
                </c:pt>
                <c:pt idx="123">
                  <c:v>49.981699999999996</c:v>
                </c:pt>
                <c:pt idx="124">
                  <c:v>50.389299999999999</c:v>
                </c:pt>
                <c:pt idx="125">
                  <c:v>50.800600000000003</c:v>
                </c:pt>
                <c:pt idx="126">
                  <c:v>51.203800000000001</c:v>
                </c:pt>
                <c:pt idx="127">
                  <c:v>51.6126</c:v>
                </c:pt>
                <c:pt idx="128">
                  <c:v>52.014899999999997</c:v>
                </c:pt>
                <c:pt idx="129">
                  <c:v>52.421599999999998</c:v>
                </c:pt>
                <c:pt idx="130">
                  <c:v>52.831600000000002</c:v>
                </c:pt>
                <c:pt idx="131">
                  <c:v>53.236699999999999</c:v>
                </c:pt>
                <c:pt idx="132">
                  <c:v>53.6402</c:v>
                </c:pt>
                <c:pt idx="133">
                  <c:v>54.044699999999999</c:v>
                </c:pt>
                <c:pt idx="134">
                  <c:v>54.453200000000002</c:v>
                </c:pt>
                <c:pt idx="135">
                  <c:v>54.861400000000003</c:v>
                </c:pt>
                <c:pt idx="136">
                  <c:v>55.263800000000003</c:v>
                </c:pt>
                <c:pt idx="137">
                  <c:v>55.673999999999999</c:v>
                </c:pt>
                <c:pt idx="138">
                  <c:v>56.078099999999999</c:v>
                </c:pt>
                <c:pt idx="139">
                  <c:v>56.486600000000003</c:v>
                </c:pt>
                <c:pt idx="140">
                  <c:v>56.8917</c:v>
                </c:pt>
                <c:pt idx="141">
                  <c:v>57.296900000000001</c:v>
                </c:pt>
                <c:pt idx="142">
                  <c:v>57.7057</c:v>
                </c:pt>
                <c:pt idx="143">
                  <c:v>58.106499999999997</c:v>
                </c:pt>
                <c:pt idx="144">
                  <c:v>58.514600000000002</c:v>
                </c:pt>
                <c:pt idx="145">
                  <c:v>58.920999999999999</c:v>
                </c:pt>
                <c:pt idx="146">
                  <c:v>59.330399999999997</c:v>
                </c:pt>
                <c:pt idx="147">
                  <c:v>59.7346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63.641400000000004</c:v>
                </c:pt>
                <c:pt idx="1">
                  <c:v>62.920200000000001</c:v>
                </c:pt>
                <c:pt idx="2">
                  <c:v>62.155000000000001</c:v>
                </c:pt>
                <c:pt idx="3">
                  <c:v>61.371200000000002</c:v>
                </c:pt>
                <c:pt idx="4">
                  <c:v>60.558199999999992</c:v>
                </c:pt>
                <c:pt idx="5">
                  <c:v>59.765000000000001</c:v>
                </c:pt>
                <c:pt idx="6">
                  <c:v>58.959799999999994</c:v>
                </c:pt>
                <c:pt idx="7">
                  <c:v>58.121100000000006</c:v>
                </c:pt>
                <c:pt idx="8">
                  <c:v>57.166200000000003</c:v>
                </c:pt>
                <c:pt idx="9">
                  <c:v>56.0824</c:v>
                </c:pt>
                <c:pt idx="10">
                  <c:v>54.947199999999995</c:v>
                </c:pt>
                <c:pt idx="11">
                  <c:v>53.837699999999998</c:v>
                </c:pt>
                <c:pt idx="12">
                  <c:v>52.732700000000001</c:v>
                </c:pt>
                <c:pt idx="13">
                  <c:v>51.715900000000005</c:v>
                </c:pt>
                <c:pt idx="14">
                  <c:v>50.764499999999998</c:v>
                </c:pt>
                <c:pt idx="15">
                  <c:v>49.8628</c:v>
                </c:pt>
                <c:pt idx="16">
                  <c:v>48.927999999999997</c:v>
                </c:pt>
                <c:pt idx="17">
                  <c:v>48.089599999999997</c:v>
                </c:pt>
                <c:pt idx="18">
                  <c:v>47.274699999999996</c:v>
                </c:pt>
                <c:pt idx="19">
                  <c:v>46.473500000000001</c:v>
                </c:pt>
                <c:pt idx="20">
                  <c:v>45.749600000000001</c:v>
                </c:pt>
                <c:pt idx="21">
                  <c:v>45.058599999999998</c:v>
                </c:pt>
                <c:pt idx="22">
                  <c:v>44.351500000000001</c:v>
                </c:pt>
                <c:pt idx="23">
                  <c:v>43.638199999999998</c:v>
                </c:pt>
                <c:pt idx="24">
                  <c:v>42.949799999999996</c:v>
                </c:pt>
                <c:pt idx="25">
                  <c:v>42.265300000000003</c:v>
                </c:pt>
                <c:pt idx="26">
                  <c:v>41.582900000000002</c:v>
                </c:pt>
                <c:pt idx="27">
                  <c:v>40.947899999999997</c:v>
                </c:pt>
                <c:pt idx="28">
                  <c:v>40.3949</c:v>
                </c:pt>
                <c:pt idx="29">
                  <c:v>39.872399999999999</c:v>
                </c:pt>
                <c:pt idx="30">
                  <c:v>39.426699999999997</c:v>
                </c:pt>
                <c:pt idx="31">
                  <c:v>39.0169</c:v>
                </c:pt>
                <c:pt idx="32">
                  <c:v>38.631300000000003</c:v>
                </c:pt>
                <c:pt idx="33">
                  <c:v>38.302</c:v>
                </c:pt>
                <c:pt idx="34">
                  <c:v>38.0383</c:v>
                </c:pt>
                <c:pt idx="35">
                  <c:v>37.825499999999998</c:v>
                </c:pt>
                <c:pt idx="36">
                  <c:v>37.634499999999996</c:v>
                </c:pt>
                <c:pt idx="37">
                  <c:v>37.471499999999999</c:v>
                </c:pt>
                <c:pt idx="38">
                  <c:v>37.321899999999999</c:v>
                </c:pt>
                <c:pt idx="39">
                  <c:v>37.157899999999998</c:v>
                </c:pt>
                <c:pt idx="40">
                  <c:v>36.973500000000001</c:v>
                </c:pt>
                <c:pt idx="41">
                  <c:v>36.783700000000003</c:v>
                </c:pt>
                <c:pt idx="42">
                  <c:v>36.546299999999995</c:v>
                </c:pt>
                <c:pt idx="43">
                  <c:v>36.320900000000002</c:v>
                </c:pt>
                <c:pt idx="44">
                  <c:v>36.1633</c:v>
                </c:pt>
                <c:pt idx="45">
                  <c:v>35.970700000000001</c:v>
                </c:pt>
                <c:pt idx="46">
                  <c:v>35.802299999999995</c:v>
                </c:pt>
                <c:pt idx="47">
                  <c:v>35.682600000000001</c:v>
                </c:pt>
                <c:pt idx="48">
                  <c:v>35.597799999999999</c:v>
                </c:pt>
                <c:pt idx="49">
                  <c:v>35.561999999999998</c:v>
                </c:pt>
                <c:pt idx="50">
                  <c:v>35.558</c:v>
                </c:pt>
                <c:pt idx="51">
                  <c:v>35.581000000000003</c:v>
                </c:pt>
                <c:pt idx="52">
                  <c:v>35.591200000000001</c:v>
                </c:pt>
                <c:pt idx="53">
                  <c:v>35.625</c:v>
                </c:pt>
                <c:pt idx="54">
                  <c:v>35.667000000000002</c:v>
                </c:pt>
                <c:pt idx="55">
                  <c:v>35.690800000000003</c:v>
                </c:pt>
                <c:pt idx="56">
                  <c:v>35.728400000000001</c:v>
                </c:pt>
                <c:pt idx="57">
                  <c:v>35.815899999999999</c:v>
                </c:pt>
                <c:pt idx="58">
                  <c:v>35.932900000000004</c:v>
                </c:pt>
                <c:pt idx="59">
                  <c:v>35.980800000000002</c:v>
                </c:pt>
                <c:pt idx="60">
                  <c:v>36.036099999999998</c:v>
                </c:pt>
                <c:pt idx="61">
                  <c:v>36.079599999999999</c:v>
                </c:pt>
                <c:pt idx="62">
                  <c:v>36.134899999999995</c:v>
                </c:pt>
                <c:pt idx="63">
                  <c:v>36.165900000000001</c:v>
                </c:pt>
                <c:pt idx="64">
                  <c:v>36.263600000000004</c:v>
                </c:pt>
                <c:pt idx="65">
                  <c:v>36.389600000000002</c:v>
                </c:pt>
                <c:pt idx="66">
                  <c:v>36.5533</c:v>
                </c:pt>
                <c:pt idx="67">
                  <c:v>36.757400000000004</c:v>
                </c:pt>
                <c:pt idx="68">
                  <c:v>37.027300000000004</c:v>
                </c:pt>
                <c:pt idx="69">
                  <c:v>37.286200000000001</c:v>
                </c:pt>
                <c:pt idx="70">
                  <c:v>37.476300000000002</c:v>
                </c:pt>
                <c:pt idx="71">
                  <c:v>37.612499999999997</c:v>
                </c:pt>
                <c:pt idx="72">
                  <c:v>37.764499999999998</c:v>
                </c:pt>
                <c:pt idx="73">
                  <c:v>37.9223</c:v>
                </c:pt>
                <c:pt idx="74">
                  <c:v>38.080000000000005</c:v>
                </c:pt>
                <c:pt idx="75">
                  <c:v>38.3429</c:v>
                </c:pt>
                <c:pt idx="76">
                  <c:v>38.602599999999995</c:v>
                </c:pt>
                <c:pt idx="77">
                  <c:v>38.839500000000001</c:v>
                </c:pt>
                <c:pt idx="78">
                  <c:v>39.088799999999999</c:v>
                </c:pt>
                <c:pt idx="79">
                  <c:v>39.3919</c:v>
                </c:pt>
                <c:pt idx="80">
                  <c:v>39.674300000000002</c:v>
                </c:pt>
                <c:pt idx="81">
                  <c:v>39.958399999999997</c:v>
                </c:pt>
                <c:pt idx="82">
                  <c:v>40.227400000000003</c:v>
                </c:pt>
                <c:pt idx="83">
                  <c:v>40.539199999999994</c:v>
                </c:pt>
                <c:pt idx="84">
                  <c:v>40.8521</c:v>
                </c:pt>
                <c:pt idx="85">
                  <c:v>41.142499999999998</c:v>
                </c:pt>
                <c:pt idx="86">
                  <c:v>41.418399999999998</c:v>
                </c:pt>
                <c:pt idx="87">
                  <c:v>41.729799999999997</c:v>
                </c:pt>
                <c:pt idx="88">
                  <c:v>42.024699999999996</c:v>
                </c:pt>
                <c:pt idx="89">
                  <c:v>42.321100000000001</c:v>
                </c:pt>
                <c:pt idx="90">
                  <c:v>42.6113</c:v>
                </c:pt>
                <c:pt idx="91">
                  <c:v>42.909100000000002</c:v>
                </c:pt>
                <c:pt idx="92">
                  <c:v>43.178699999999999</c:v>
                </c:pt>
                <c:pt idx="93">
                  <c:v>43.417200000000001</c:v>
                </c:pt>
                <c:pt idx="94">
                  <c:v>43.655699999999996</c:v>
                </c:pt>
                <c:pt idx="95">
                  <c:v>43.917299999999997</c:v>
                </c:pt>
                <c:pt idx="96">
                  <c:v>44.1081</c:v>
                </c:pt>
                <c:pt idx="97">
                  <c:v>44.277899999999995</c:v>
                </c:pt>
                <c:pt idx="98">
                  <c:v>44.468299999999999</c:v>
                </c:pt>
                <c:pt idx="99">
                  <c:v>44.6477</c:v>
                </c:pt>
                <c:pt idx="100">
                  <c:v>44.815600000000003</c:v>
                </c:pt>
                <c:pt idx="101">
                  <c:v>44.924199999999999</c:v>
                </c:pt>
                <c:pt idx="102">
                  <c:v>45.0762</c:v>
                </c:pt>
                <c:pt idx="103">
                  <c:v>45.287700000000001</c:v>
                </c:pt>
                <c:pt idx="104">
                  <c:v>45.5244</c:v>
                </c:pt>
                <c:pt idx="105">
                  <c:v>45.789200000000001</c:v>
                </c:pt>
                <c:pt idx="106">
                  <c:v>46.049199999999999</c:v>
                </c:pt>
                <c:pt idx="107">
                  <c:v>46.360500000000002</c:v>
                </c:pt>
                <c:pt idx="108">
                  <c:v>46.713900000000002</c:v>
                </c:pt>
                <c:pt idx="109">
                  <c:v>47.098800000000004</c:v>
                </c:pt>
                <c:pt idx="110">
                  <c:v>47.527900000000002</c:v>
                </c:pt>
                <c:pt idx="111">
                  <c:v>47.967399999999998</c:v>
                </c:pt>
                <c:pt idx="112">
                  <c:v>48.396099999999997</c:v>
                </c:pt>
                <c:pt idx="113">
                  <c:v>48.820799999999998</c:v>
                </c:pt>
                <c:pt idx="114">
                  <c:v>49.207699999999996</c:v>
                </c:pt>
                <c:pt idx="115">
                  <c:v>49.571199999999997</c:v>
                </c:pt>
                <c:pt idx="116">
                  <c:v>49.939799999999998</c:v>
                </c:pt>
                <c:pt idx="117">
                  <c:v>50.349500000000006</c:v>
                </c:pt>
                <c:pt idx="118">
                  <c:v>50.799300000000002</c:v>
                </c:pt>
                <c:pt idx="119">
                  <c:v>51.157200000000003</c:v>
                </c:pt>
                <c:pt idx="120">
                  <c:v>51.421099999999996</c:v>
                </c:pt>
                <c:pt idx="121">
                  <c:v>51.641899999999993</c:v>
                </c:pt>
                <c:pt idx="122">
                  <c:v>51.800800000000002</c:v>
                </c:pt>
                <c:pt idx="123">
                  <c:v>51.912300000000002</c:v>
                </c:pt>
                <c:pt idx="124">
                  <c:v>51.976299999999995</c:v>
                </c:pt>
                <c:pt idx="125">
                  <c:v>52.028799999999997</c:v>
                </c:pt>
                <c:pt idx="126">
                  <c:v>52.012100000000004</c:v>
                </c:pt>
                <c:pt idx="127">
                  <c:v>51.956400000000002</c:v>
                </c:pt>
                <c:pt idx="128">
                  <c:v>51.9069</c:v>
                </c:pt>
                <c:pt idx="129">
                  <c:v>51.913499999999999</c:v>
                </c:pt>
                <c:pt idx="130">
                  <c:v>51.912499999999994</c:v>
                </c:pt>
                <c:pt idx="131">
                  <c:v>51.919400000000003</c:v>
                </c:pt>
                <c:pt idx="132">
                  <c:v>51.996699999999997</c:v>
                </c:pt>
                <c:pt idx="133">
                  <c:v>52.044599999999996</c:v>
                </c:pt>
                <c:pt idx="134">
                  <c:v>52.117400000000004</c:v>
                </c:pt>
                <c:pt idx="135">
                  <c:v>52.160600000000002</c:v>
                </c:pt>
                <c:pt idx="136">
                  <c:v>52.180999999999997</c:v>
                </c:pt>
                <c:pt idx="137">
                  <c:v>52.242599999999996</c:v>
                </c:pt>
                <c:pt idx="138">
                  <c:v>52.292200000000001</c:v>
                </c:pt>
                <c:pt idx="139">
                  <c:v>52.385800000000003</c:v>
                </c:pt>
                <c:pt idx="140">
                  <c:v>52.503799999999998</c:v>
                </c:pt>
                <c:pt idx="141">
                  <c:v>52.589399999999998</c:v>
                </c:pt>
                <c:pt idx="142">
                  <c:v>52.6479</c:v>
                </c:pt>
                <c:pt idx="143">
                  <c:v>52.714700000000001</c:v>
                </c:pt>
                <c:pt idx="144">
                  <c:v>52.731999999999999</c:v>
                </c:pt>
                <c:pt idx="145">
                  <c:v>52.812800000000003</c:v>
                </c:pt>
                <c:pt idx="146">
                  <c:v>53.031700000000001</c:v>
                </c:pt>
                <c:pt idx="147">
                  <c:v>53.244400000000006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DE-4BA8-8A29-17BDB2F5F64B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0.36250599999999999</c:v>
                </c:pt>
                <c:pt idx="2">
                  <c:v>0.76910400000000001</c:v>
                </c:pt>
                <c:pt idx="3">
                  <c:v>1.1715199999999999</c:v>
                </c:pt>
                <c:pt idx="4">
                  <c:v>1.57918</c:v>
                </c:pt>
                <c:pt idx="5">
                  <c:v>1.98584</c:v>
                </c:pt>
                <c:pt idx="6">
                  <c:v>2.3920400000000002</c:v>
                </c:pt>
                <c:pt idx="7">
                  <c:v>2.79976</c:v>
                </c:pt>
                <c:pt idx="8">
                  <c:v>3.2027199999999998</c:v>
                </c:pt>
                <c:pt idx="9">
                  <c:v>3.6143000000000001</c:v>
                </c:pt>
                <c:pt idx="10">
                  <c:v>4.0155599999999998</c:v>
                </c:pt>
                <c:pt idx="11">
                  <c:v>4.4212800000000003</c:v>
                </c:pt>
                <c:pt idx="12">
                  <c:v>4.8272700000000004</c:v>
                </c:pt>
                <c:pt idx="13">
                  <c:v>5.2350099999999999</c:v>
                </c:pt>
                <c:pt idx="14">
                  <c:v>5.6456299999999997</c:v>
                </c:pt>
                <c:pt idx="15">
                  <c:v>6.0480499999999999</c:v>
                </c:pt>
                <c:pt idx="16">
                  <c:v>6.4538399999999996</c:v>
                </c:pt>
                <c:pt idx="17">
                  <c:v>6.8617100000000004</c:v>
                </c:pt>
                <c:pt idx="18">
                  <c:v>7.2690900000000003</c:v>
                </c:pt>
                <c:pt idx="19">
                  <c:v>7.6730299999999998</c:v>
                </c:pt>
                <c:pt idx="20">
                  <c:v>8.0785599999999995</c:v>
                </c:pt>
                <c:pt idx="21">
                  <c:v>8.4827700000000004</c:v>
                </c:pt>
                <c:pt idx="22">
                  <c:v>8.8942200000000007</c:v>
                </c:pt>
                <c:pt idx="23">
                  <c:v>9.2958800000000004</c:v>
                </c:pt>
                <c:pt idx="24">
                  <c:v>9.70397</c:v>
                </c:pt>
                <c:pt idx="25">
                  <c:v>10.108700000000001</c:v>
                </c:pt>
                <c:pt idx="26">
                  <c:v>10.5139</c:v>
                </c:pt>
                <c:pt idx="27">
                  <c:v>10.923299999999999</c:v>
                </c:pt>
                <c:pt idx="28">
                  <c:v>11.331899999999999</c:v>
                </c:pt>
                <c:pt idx="29">
                  <c:v>11.7372</c:v>
                </c:pt>
                <c:pt idx="30">
                  <c:v>12.139900000000001</c:v>
                </c:pt>
                <c:pt idx="31">
                  <c:v>12.545500000000001</c:v>
                </c:pt>
                <c:pt idx="32">
                  <c:v>12.952299999999999</c:v>
                </c:pt>
                <c:pt idx="33">
                  <c:v>13.362500000000001</c:v>
                </c:pt>
                <c:pt idx="34">
                  <c:v>13.7652</c:v>
                </c:pt>
                <c:pt idx="35">
                  <c:v>14.171900000000001</c:v>
                </c:pt>
                <c:pt idx="36">
                  <c:v>14.578099999999999</c:v>
                </c:pt>
                <c:pt idx="37">
                  <c:v>14.9833</c:v>
                </c:pt>
                <c:pt idx="38">
                  <c:v>15.3917</c:v>
                </c:pt>
                <c:pt idx="39">
                  <c:v>15.7981</c:v>
                </c:pt>
                <c:pt idx="40">
                  <c:v>16.206700000000001</c:v>
                </c:pt>
                <c:pt idx="41">
                  <c:v>16.608599999999999</c:v>
                </c:pt>
                <c:pt idx="42">
                  <c:v>17.015999999999998</c:v>
                </c:pt>
                <c:pt idx="43">
                  <c:v>17.420200000000001</c:v>
                </c:pt>
                <c:pt idx="44">
                  <c:v>17.828700000000001</c:v>
                </c:pt>
                <c:pt idx="45">
                  <c:v>18.2347</c:v>
                </c:pt>
                <c:pt idx="46">
                  <c:v>18.6387</c:v>
                </c:pt>
                <c:pt idx="47">
                  <c:v>19.046700000000001</c:v>
                </c:pt>
                <c:pt idx="48">
                  <c:v>19.451599999999999</c:v>
                </c:pt>
                <c:pt idx="49">
                  <c:v>19.8644</c:v>
                </c:pt>
                <c:pt idx="50">
                  <c:v>20.2681</c:v>
                </c:pt>
                <c:pt idx="51">
                  <c:v>20.67</c:v>
                </c:pt>
                <c:pt idx="52">
                  <c:v>21.075099999999999</c:v>
                </c:pt>
                <c:pt idx="53">
                  <c:v>21.4862</c:v>
                </c:pt>
                <c:pt idx="54">
                  <c:v>21.8919</c:v>
                </c:pt>
                <c:pt idx="55">
                  <c:v>22.299199999999999</c:v>
                </c:pt>
                <c:pt idx="56">
                  <c:v>22.7029</c:v>
                </c:pt>
                <c:pt idx="57">
                  <c:v>23.1083</c:v>
                </c:pt>
                <c:pt idx="58">
                  <c:v>23.515499999999999</c:v>
                </c:pt>
                <c:pt idx="59">
                  <c:v>23.9206</c:v>
                </c:pt>
                <c:pt idx="60">
                  <c:v>24.328600000000002</c:v>
                </c:pt>
                <c:pt idx="61">
                  <c:v>24.7348</c:v>
                </c:pt>
                <c:pt idx="62">
                  <c:v>25.145199999999999</c:v>
                </c:pt>
                <c:pt idx="63">
                  <c:v>25.549800000000001</c:v>
                </c:pt>
                <c:pt idx="64">
                  <c:v>25.952500000000001</c:v>
                </c:pt>
                <c:pt idx="65">
                  <c:v>26.363700000000001</c:v>
                </c:pt>
                <c:pt idx="66">
                  <c:v>26.765799999999999</c:v>
                </c:pt>
                <c:pt idx="67">
                  <c:v>27.170200000000001</c:v>
                </c:pt>
                <c:pt idx="68">
                  <c:v>27.580400000000001</c:v>
                </c:pt>
                <c:pt idx="69">
                  <c:v>27.983599999999999</c:v>
                </c:pt>
                <c:pt idx="70">
                  <c:v>28.389500000000002</c:v>
                </c:pt>
                <c:pt idx="71">
                  <c:v>28.7956</c:v>
                </c:pt>
                <c:pt idx="72">
                  <c:v>29.203499999999998</c:v>
                </c:pt>
                <c:pt idx="73">
                  <c:v>29.61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63.641400000000004</c:v>
                </c:pt>
                <c:pt idx="1">
                  <c:v>62.920200000000001</c:v>
                </c:pt>
                <c:pt idx="2">
                  <c:v>62.155000000000001</c:v>
                </c:pt>
                <c:pt idx="3">
                  <c:v>61.371200000000002</c:v>
                </c:pt>
                <c:pt idx="4">
                  <c:v>60.558199999999992</c:v>
                </c:pt>
                <c:pt idx="5">
                  <c:v>59.765000000000001</c:v>
                </c:pt>
                <c:pt idx="6">
                  <c:v>58.959799999999994</c:v>
                </c:pt>
                <c:pt idx="7">
                  <c:v>58.121100000000006</c:v>
                </c:pt>
                <c:pt idx="8">
                  <c:v>57.166200000000003</c:v>
                </c:pt>
                <c:pt idx="9">
                  <c:v>56.0824</c:v>
                </c:pt>
                <c:pt idx="10">
                  <c:v>54.947199999999995</c:v>
                </c:pt>
                <c:pt idx="11">
                  <c:v>53.837699999999998</c:v>
                </c:pt>
                <c:pt idx="12">
                  <c:v>52.732700000000001</c:v>
                </c:pt>
                <c:pt idx="13">
                  <c:v>51.715900000000005</c:v>
                </c:pt>
                <c:pt idx="14">
                  <c:v>50.764499999999998</c:v>
                </c:pt>
                <c:pt idx="15">
                  <c:v>49.8628</c:v>
                </c:pt>
                <c:pt idx="16">
                  <c:v>48.927999999999997</c:v>
                </c:pt>
                <c:pt idx="17">
                  <c:v>48.089599999999997</c:v>
                </c:pt>
                <c:pt idx="18">
                  <c:v>47.274699999999996</c:v>
                </c:pt>
                <c:pt idx="19">
                  <c:v>46.473500000000001</c:v>
                </c:pt>
                <c:pt idx="20">
                  <c:v>45.749600000000001</c:v>
                </c:pt>
                <c:pt idx="21">
                  <c:v>45.058599999999998</c:v>
                </c:pt>
                <c:pt idx="22">
                  <c:v>44.351500000000001</c:v>
                </c:pt>
                <c:pt idx="23">
                  <c:v>43.638199999999998</c:v>
                </c:pt>
                <c:pt idx="24">
                  <c:v>42.949799999999996</c:v>
                </c:pt>
                <c:pt idx="25">
                  <c:v>42.265300000000003</c:v>
                </c:pt>
                <c:pt idx="26">
                  <c:v>41.582900000000002</c:v>
                </c:pt>
                <c:pt idx="27">
                  <c:v>40.947899999999997</c:v>
                </c:pt>
                <c:pt idx="28">
                  <c:v>40.3949</c:v>
                </c:pt>
                <c:pt idx="29">
                  <c:v>39.872399999999999</c:v>
                </c:pt>
                <c:pt idx="30">
                  <c:v>39.426699999999997</c:v>
                </c:pt>
                <c:pt idx="31">
                  <c:v>39.0169</c:v>
                </c:pt>
                <c:pt idx="32">
                  <c:v>38.631300000000003</c:v>
                </c:pt>
                <c:pt idx="33">
                  <c:v>38.302</c:v>
                </c:pt>
                <c:pt idx="34">
                  <c:v>38.0383</c:v>
                </c:pt>
                <c:pt idx="35">
                  <c:v>37.825499999999998</c:v>
                </c:pt>
                <c:pt idx="36">
                  <c:v>37.634499999999996</c:v>
                </c:pt>
                <c:pt idx="37">
                  <c:v>37.471499999999999</c:v>
                </c:pt>
                <c:pt idx="38">
                  <c:v>37.321899999999999</c:v>
                </c:pt>
                <c:pt idx="39">
                  <c:v>37.157899999999998</c:v>
                </c:pt>
                <c:pt idx="40">
                  <c:v>36.973500000000001</c:v>
                </c:pt>
                <c:pt idx="41">
                  <c:v>36.783700000000003</c:v>
                </c:pt>
                <c:pt idx="42">
                  <c:v>36.546299999999995</c:v>
                </c:pt>
                <c:pt idx="43">
                  <c:v>36.320900000000002</c:v>
                </c:pt>
                <c:pt idx="44">
                  <c:v>36.1633</c:v>
                </c:pt>
                <c:pt idx="45">
                  <c:v>35.970700000000001</c:v>
                </c:pt>
                <c:pt idx="46">
                  <c:v>35.802299999999995</c:v>
                </c:pt>
                <c:pt idx="47">
                  <c:v>35.682600000000001</c:v>
                </c:pt>
                <c:pt idx="48">
                  <c:v>35.597799999999999</c:v>
                </c:pt>
                <c:pt idx="49">
                  <c:v>35.561999999999998</c:v>
                </c:pt>
                <c:pt idx="50">
                  <c:v>35.558</c:v>
                </c:pt>
                <c:pt idx="51">
                  <c:v>35.581000000000003</c:v>
                </c:pt>
                <c:pt idx="52">
                  <c:v>35.591200000000001</c:v>
                </c:pt>
                <c:pt idx="53">
                  <c:v>35.625</c:v>
                </c:pt>
                <c:pt idx="54">
                  <c:v>35.667000000000002</c:v>
                </c:pt>
                <c:pt idx="55">
                  <c:v>35.690800000000003</c:v>
                </c:pt>
                <c:pt idx="56">
                  <c:v>35.728400000000001</c:v>
                </c:pt>
                <c:pt idx="57">
                  <c:v>35.815899999999999</c:v>
                </c:pt>
                <c:pt idx="58">
                  <c:v>35.932900000000004</c:v>
                </c:pt>
                <c:pt idx="59">
                  <c:v>35.980800000000002</c:v>
                </c:pt>
                <c:pt idx="60">
                  <c:v>36.036099999999998</c:v>
                </c:pt>
                <c:pt idx="61">
                  <c:v>36.079599999999999</c:v>
                </c:pt>
                <c:pt idx="62">
                  <c:v>36.134899999999995</c:v>
                </c:pt>
                <c:pt idx="63">
                  <c:v>36.165900000000001</c:v>
                </c:pt>
                <c:pt idx="64">
                  <c:v>36.263600000000004</c:v>
                </c:pt>
                <c:pt idx="65">
                  <c:v>36.389600000000002</c:v>
                </c:pt>
                <c:pt idx="66">
                  <c:v>36.5533</c:v>
                </c:pt>
                <c:pt idx="67">
                  <c:v>36.757400000000004</c:v>
                </c:pt>
                <c:pt idx="68">
                  <c:v>37.027300000000004</c:v>
                </c:pt>
                <c:pt idx="69">
                  <c:v>37.286200000000001</c:v>
                </c:pt>
                <c:pt idx="70">
                  <c:v>37.476300000000002</c:v>
                </c:pt>
                <c:pt idx="71">
                  <c:v>37.612499999999997</c:v>
                </c:pt>
                <c:pt idx="72">
                  <c:v>37.764499999999998</c:v>
                </c:pt>
                <c:pt idx="73">
                  <c:v>37.9223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DE-4BA8-8A29-17BDB2F5F64B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79646">
                  <a:lumMod val="40000"/>
                  <a:lumOff val="60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29.61</c:v>
                </c:pt>
                <c:pt idx="1">
                  <c:v>30.014099999999999</c:v>
                </c:pt>
                <c:pt idx="2">
                  <c:v>30.607800000000001</c:v>
                </c:pt>
                <c:pt idx="3">
                  <c:v>30.982800000000001</c:v>
                </c:pt>
                <c:pt idx="4">
                  <c:v>31.360499999999998</c:v>
                </c:pt>
                <c:pt idx="5">
                  <c:v>31.734100000000002</c:v>
                </c:pt>
                <c:pt idx="6">
                  <c:v>32.112000000000002</c:v>
                </c:pt>
                <c:pt idx="7">
                  <c:v>32.5154</c:v>
                </c:pt>
                <c:pt idx="8">
                  <c:v>32.921199999999999</c:v>
                </c:pt>
                <c:pt idx="9">
                  <c:v>33.329700000000003</c:v>
                </c:pt>
                <c:pt idx="10">
                  <c:v>33.734000000000002</c:v>
                </c:pt>
                <c:pt idx="11">
                  <c:v>34.140099999999997</c:v>
                </c:pt>
                <c:pt idx="12">
                  <c:v>34.549100000000003</c:v>
                </c:pt>
                <c:pt idx="13">
                  <c:v>34.953400000000002</c:v>
                </c:pt>
                <c:pt idx="14">
                  <c:v>35.361600000000003</c:v>
                </c:pt>
                <c:pt idx="15">
                  <c:v>35.7652</c:v>
                </c:pt>
                <c:pt idx="16">
                  <c:v>36.171500000000002</c:v>
                </c:pt>
                <c:pt idx="17">
                  <c:v>36.5777</c:v>
                </c:pt>
                <c:pt idx="18">
                  <c:v>36.987299999999998</c:v>
                </c:pt>
                <c:pt idx="19">
                  <c:v>37.388199999999998</c:v>
                </c:pt>
                <c:pt idx="20">
                  <c:v>37.797400000000003</c:v>
                </c:pt>
                <c:pt idx="21">
                  <c:v>38.2044</c:v>
                </c:pt>
                <c:pt idx="22">
                  <c:v>38.606699999999996</c:v>
                </c:pt>
                <c:pt idx="23">
                  <c:v>39.016599999999997</c:v>
                </c:pt>
                <c:pt idx="24">
                  <c:v>39.424300000000002</c:v>
                </c:pt>
                <c:pt idx="25">
                  <c:v>39.8324</c:v>
                </c:pt>
                <c:pt idx="26">
                  <c:v>40.236699999999999</c:v>
                </c:pt>
                <c:pt idx="27">
                  <c:v>40.639899999999997</c:v>
                </c:pt>
                <c:pt idx="28">
                  <c:v>41.047199999999997</c:v>
                </c:pt>
                <c:pt idx="29">
                  <c:v>41.453400000000002</c:v>
                </c:pt>
                <c:pt idx="30">
                  <c:v>41.8626</c:v>
                </c:pt>
                <c:pt idx="31">
                  <c:v>42.265099999999997</c:v>
                </c:pt>
                <c:pt idx="32">
                  <c:v>42.671599999999998</c:v>
                </c:pt>
                <c:pt idx="33">
                  <c:v>43.076799999999999</c:v>
                </c:pt>
                <c:pt idx="34">
                  <c:v>43.485999999999997</c:v>
                </c:pt>
                <c:pt idx="35">
                  <c:v>43.893000000000001</c:v>
                </c:pt>
                <c:pt idx="36">
                  <c:v>44.297199999999997</c:v>
                </c:pt>
                <c:pt idx="37">
                  <c:v>44.703200000000002</c:v>
                </c:pt>
                <c:pt idx="38">
                  <c:v>45.107100000000003</c:v>
                </c:pt>
                <c:pt idx="39">
                  <c:v>45.513199999999998</c:v>
                </c:pt>
                <c:pt idx="40">
                  <c:v>45.920900000000003</c:v>
                </c:pt>
                <c:pt idx="41">
                  <c:v>46.333799999999997</c:v>
                </c:pt>
                <c:pt idx="42">
                  <c:v>46.735799999999998</c:v>
                </c:pt>
                <c:pt idx="43">
                  <c:v>47.143099999999997</c:v>
                </c:pt>
                <c:pt idx="44">
                  <c:v>47.548900000000003</c:v>
                </c:pt>
                <c:pt idx="45">
                  <c:v>47.952599999999997</c:v>
                </c:pt>
                <c:pt idx="46">
                  <c:v>48.355800000000002</c:v>
                </c:pt>
                <c:pt idx="47">
                  <c:v>48.764699999999998</c:v>
                </c:pt>
                <c:pt idx="48">
                  <c:v>49.174500000000002</c:v>
                </c:pt>
                <c:pt idx="49">
                  <c:v>49.578400000000002</c:v>
                </c:pt>
                <c:pt idx="50">
                  <c:v>49.981699999999996</c:v>
                </c:pt>
                <c:pt idx="51">
                  <c:v>50.389299999999999</c:v>
                </c:pt>
                <c:pt idx="52">
                  <c:v>50.800600000000003</c:v>
                </c:pt>
                <c:pt idx="53">
                  <c:v>51.203800000000001</c:v>
                </c:pt>
                <c:pt idx="54">
                  <c:v>51.6126</c:v>
                </c:pt>
                <c:pt idx="55">
                  <c:v>52.014899999999997</c:v>
                </c:pt>
                <c:pt idx="56">
                  <c:v>52.421599999999998</c:v>
                </c:pt>
                <c:pt idx="57">
                  <c:v>52.831600000000002</c:v>
                </c:pt>
                <c:pt idx="58">
                  <c:v>53.236699999999999</c:v>
                </c:pt>
                <c:pt idx="59">
                  <c:v>53.6402</c:v>
                </c:pt>
                <c:pt idx="60">
                  <c:v>54.044699999999999</c:v>
                </c:pt>
                <c:pt idx="61">
                  <c:v>54.453200000000002</c:v>
                </c:pt>
                <c:pt idx="62">
                  <c:v>54.861400000000003</c:v>
                </c:pt>
                <c:pt idx="63">
                  <c:v>55.263800000000003</c:v>
                </c:pt>
                <c:pt idx="64">
                  <c:v>55.673999999999999</c:v>
                </c:pt>
                <c:pt idx="65">
                  <c:v>56.078099999999999</c:v>
                </c:pt>
                <c:pt idx="66">
                  <c:v>56.486600000000003</c:v>
                </c:pt>
                <c:pt idx="67">
                  <c:v>56.8917</c:v>
                </c:pt>
                <c:pt idx="68">
                  <c:v>57.296900000000001</c:v>
                </c:pt>
                <c:pt idx="69">
                  <c:v>57.7057</c:v>
                </c:pt>
                <c:pt idx="70">
                  <c:v>58.106499999999997</c:v>
                </c:pt>
                <c:pt idx="71">
                  <c:v>58.514600000000002</c:v>
                </c:pt>
                <c:pt idx="72">
                  <c:v>58.920999999999999</c:v>
                </c:pt>
                <c:pt idx="73">
                  <c:v>59.330399999999997</c:v>
                </c:pt>
                <c:pt idx="74">
                  <c:v>59.7346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37.9223</c:v>
                </c:pt>
                <c:pt idx="1">
                  <c:v>38.080000000000005</c:v>
                </c:pt>
                <c:pt idx="2">
                  <c:v>38.3429</c:v>
                </c:pt>
                <c:pt idx="3">
                  <c:v>38.602599999999995</c:v>
                </c:pt>
                <c:pt idx="4">
                  <c:v>38.839500000000001</c:v>
                </c:pt>
                <c:pt idx="5">
                  <c:v>39.088799999999999</c:v>
                </c:pt>
                <c:pt idx="6">
                  <c:v>39.3919</c:v>
                </c:pt>
                <c:pt idx="7">
                  <c:v>39.674300000000002</c:v>
                </c:pt>
                <c:pt idx="8">
                  <c:v>39.958399999999997</c:v>
                </c:pt>
                <c:pt idx="9">
                  <c:v>40.227400000000003</c:v>
                </c:pt>
                <c:pt idx="10">
                  <c:v>40.539199999999994</c:v>
                </c:pt>
                <c:pt idx="11">
                  <c:v>40.8521</c:v>
                </c:pt>
                <c:pt idx="12">
                  <c:v>41.142499999999998</c:v>
                </c:pt>
                <c:pt idx="13">
                  <c:v>41.418399999999998</c:v>
                </c:pt>
                <c:pt idx="14">
                  <c:v>41.729799999999997</c:v>
                </c:pt>
                <c:pt idx="15">
                  <c:v>42.024699999999996</c:v>
                </c:pt>
                <c:pt idx="16">
                  <c:v>42.321100000000001</c:v>
                </c:pt>
                <c:pt idx="17">
                  <c:v>42.6113</c:v>
                </c:pt>
                <c:pt idx="18">
                  <c:v>42.909100000000002</c:v>
                </c:pt>
                <c:pt idx="19">
                  <c:v>43.178699999999999</c:v>
                </c:pt>
                <c:pt idx="20">
                  <c:v>43.417200000000001</c:v>
                </c:pt>
                <c:pt idx="21">
                  <c:v>43.655699999999996</c:v>
                </c:pt>
                <c:pt idx="22">
                  <c:v>43.917299999999997</c:v>
                </c:pt>
                <c:pt idx="23">
                  <c:v>44.1081</c:v>
                </c:pt>
                <c:pt idx="24">
                  <c:v>44.277899999999995</c:v>
                </c:pt>
                <c:pt idx="25">
                  <c:v>44.468299999999999</c:v>
                </c:pt>
                <c:pt idx="26">
                  <c:v>44.6477</c:v>
                </c:pt>
                <c:pt idx="27">
                  <c:v>44.815600000000003</c:v>
                </c:pt>
                <c:pt idx="28">
                  <c:v>44.924199999999999</c:v>
                </c:pt>
                <c:pt idx="29">
                  <c:v>45.0762</c:v>
                </c:pt>
                <c:pt idx="30">
                  <c:v>45.287700000000001</c:v>
                </c:pt>
                <c:pt idx="31">
                  <c:v>45.5244</c:v>
                </c:pt>
                <c:pt idx="32">
                  <c:v>45.789200000000001</c:v>
                </c:pt>
                <c:pt idx="33">
                  <c:v>46.049199999999999</c:v>
                </c:pt>
                <c:pt idx="34">
                  <c:v>46.360500000000002</c:v>
                </c:pt>
                <c:pt idx="35">
                  <c:v>46.713900000000002</c:v>
                </c:pt>
                <c:pt idx="36">
                  <c:v>47.098800000000004</c:v>
                </c:pt>
                <c:pt idx="37">
                  <c:v>47.527900000000002</c:v>
                </c:pt>
                <c:pt idx="38">
                  <c:v>47.967399999999998</c:v>
                </c:pt>
                <c:pt idx="39">
                  <c:v>48.396099999999997</c:v>
                </c:pt>
                <c:pt idx="40">
                  <c:v>48.820799999999998</c:v>
                </c:pt>
                <c:pt idx="41">
                  <c:v>49.207699999999996</c:v>
                </c:pt>
                <c:pt idx="42">
                  <c:v>49.571199999999997</c:v>
                </c:pt>
                <c:pt idx="43">
                  <c:v>49.939799999999998</c:v>
                </c:pt>
                <c:pt idx="44">
                  <c:v>50.349500000000006</c:v>
                </c:pt>
                <c:pt idx="45">
                  <c:v>50.799300000000002</c:v>
                </c:pt>
                <c:pt idx="46">
                  <c:v>51.157200000000003</c:v>
                </c:pt>
                <c:pt idx="47">
                  <c:v>51.421099999999996</c:v>
                </c:pt>
                <c:pt idx="48">
                  <c:v>51.641899999999993</c:v>
                </c:pt>
                <c:pt idx="49">
                  <c:v>51.800800000000002</c:v>
                </c:pt>
                <c:pt idx="50">
                  <c:v>51.912300000000002</c:v>
                </c:pt>
                <c:pt idx="51">
                  <c:v>51.976299999999995</c:v>
                </c:pt>
                <c:pt idx="52">
                  <c:v>52.028799999999997</c:v>
                </c:pt>
                <c:pt idx="53">
                  <c:v>52.012100000000004</c:v>
                </c:pt>
                <c:pt idx="54">
                  <c:v>51.956400000000002</c:v>
                </c:pt>
                <c:pt idx="55">
                  <c:v>51.9069</c:v>
                </c:pt>
                <c:pt idx="56">
                  <c:v>51.913499999999999</c:v>
                </c:pt>
                <c:pt idx="57">
                  <c:v>51.912499999999994</c:v>
                </c:pt>
                <c:pt idx="58">
                  <c:v>51.919400000000003</c:v>
                </c:pt>
                <c:pt idx="59">
                  <c:v>51.996699999999997</c:v>
                </c:pt>
                <c:pt idx="60">
                  <c:v>52.044599999999996</c:v>
                </c:pt>
                <c:pt idx="61">
                  <c:v>52.117400000000004</c:v>
                </c:pt>
                <c:pt idx="62">
                  <c:v>52.160600000000002</c:v>
                </c:pt>
                <c:pt idx="63">
                  <c:v>52.180999999999997</c:v>
                </c:pt>
                <c:pt idx="64">
                  <c:v>52.242599999999996</c:v>
                </c:pt>
                <c:pt idx="65">
                  <c:v>52.292200000000001</c:v>
                </c:pt>
                <c:pt idx="66">
                  <c:v>52.385800000000003</c:v>
                </c:pt>
                <c:pt idx="67">
                  <c:v>52.503799999999998</c:v>
                </c:pt>
                <c:pt idx="68">
                  <c:v>52.589399999999998</c:v>
                </c:pt>
                <c:pt idx="69">
                  <c:v>52.6479</c:v>
                </c:pt>
                <c:pt idx="70">
                  <c:v>52.714700000000001</c:v>
                </c:pt>
                <c:pt idx="71">
                  <c:v>52.731999999999999</c:v>
                </c:pt>
                <c:pt idx="72">
                  <c:v>52.812800000000003</c:v>
                </c:pt>
                <c:pt idx="73">
                  <c:v>53.031700000000001</c:v>
                </c:pt>
                <c:pt idx="74">
                  <c:v>53.244400000000006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CDE-4BA8-8A29-17BDB2F5F64B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63.641400000000004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CDE-4BA8-8A29-17BDB2F5F64B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63.641400000000004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DE-4BA8-8A29-17BDB2F5F64B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63.641400000000004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CDE-4BA8-8A29-17BDB2F5F64B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63.641400000000004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DE-4BA8-8A29-17BDB2F5F64B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63.641400000000004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CDE-4BA8-8A29-17BDB2F5F64B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63.641400000000004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DE-4BA8-8A29-17BDB2F5F64B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63.641400000000004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CDE-4BA8-8A29-17BDB2F5F64B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63.641400000000004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DE-4BA8-8A29-17BDB2F5F64B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63.641400000000004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CDE-4BA8-8A29-17BDB2F5F64B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63.641400000000004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DE-4BA8-8A29-17BDB2F5F64B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63.641400000000004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CDE-4BA8-8A29-17BDB2F5F64B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63.641400000000004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DE-4BA8-8A29-17BDB2F5F64B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63.641400000000004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CDE-4BA8-8A29-17BDB2F5F64B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63.641400000000004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DE-4BA8-8A29-17BDB2F5F64B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63.641400000000004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CDE-4BA8-8A29-17BDB2F5F64B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63.641400000000004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DE-4BA8-8A29-17BDB2F5F64B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63.641400000000004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CDE-4BA8-8A29-17BDB2F5F64B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63.641400000000004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DE-4BA8-8A29-17BDB2F5F64B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63.641400000000004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CDE-4BA8-8A29-17BDB2F5F64B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63.641400000000004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CDE-4BA8-8A29-17BDB2F5F64B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63.641400000000004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DE-4BA8-8A29-17BDB2F5F64B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63.641400000000004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CDE-4BA8-8A29-17BDB2F5F64B}"/>
            </c:ext>
          </c:extLst>
        </c:ser>
        <c:ser>
          <c:idx val="50"/>
          <c:order val="50"/>
          <c:tx>
            <c:v>avgI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info!$U$4:$V$4</c:f>
              <c:numCache>
                <c:formatCode>General</c:formatCode>
                <c:ptCount val="2"/>
                <c:pt idx="0">
                  <c:v>14.93365</c:v>
                </c:pt>
                <c:pt idx="1">
                  <c:v>44.80095</c:v>
                </c:pt>
              </c:numCache>
            </c:numRef>
          </c:xVal>
          <c:yVal>
            <c:numRef>
              <c:f>info!$U$5:$V$5</c:f>
              <c:numCache>
                <c:formatCode>General</c:formatCode>
                <c:ptCount val="2"/>
                <c:pt idx="0">
                  <c:v>42.527679729729734</c:v>
                </c:pt>
                <c:pt idx="1">
                  <c:v>47.201366216216201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13-4A8A-8D22-ED57EE6EF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5856"/>
        <c:axId val="293684288"/>
      </c:scatterChart>
      <c:valAx>
        <c:axId val="293685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4680"/>
        <c:crosses val="autoZero"/>
        <c:crossBetween val="midCat"/>
      </c:valAx>
      <c:valAx>
        <c:axId val="293684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5072"/>
        <c:crosses val="autoZero"/>
        <c:crossBetween val="midCat"/>
      </c:valAx>
      <c:valAx>
        <c:axId val="293684288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5856"/>
        <c:crosses val="max"/>
        <c:crossBetween val="midCat"/>
      </c:valAx>
      <c:valAx>
        <c:axId val="2936858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3684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4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tx>
            <c:v>1</c:v>
          </c:tx>
          <c:spPr>
            <a:ln>
              <a:solidFill>
                <a:schemeClr val="accent2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7"/>
              <c:layout>
                <c:manualLayout>
                  <c:x val="-1.3640238704177339E-2"/>
                  <c:y val="-7.4766355140186994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00B-49A2-9434-699169B611A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dMeasurement!$M$7:$M$16</c:f>
              <c:strCache>
                <c:ptCount val="10"/>
                <c:pt idx="0">
                  <c:v>攻击性</c:v>
                </c:pt>
                <c:pt idx="1">
                  <c:v>压力</c:v>
                </c:pt>
                <c:pt idx="2">
                  <c:v>焦虑</c:v>
                </c:pt>
                <c:pt idx="3">
                  <c:v>可疑</c:v>
                </c:pt>
                <c:pt idx="4">
                  <c:v>平衡</c:v>
                </c:pt>
                <c:pt idx="5">
                  <c:v>自信</c:v>
                </c:pt>
                <c:pt idx="6">
                  <c:v>活力</c:v>
                </c:pt>
                <c:pt idx="7">
                  <c:v>自我调节</c:v>
                </c:pt>
                <c:pt idx="8">
                  <c:v>抑郁</c:v>
                </c:pt>
                <c:pt idx="9">
                  <c:v>神经质</c:v>
                </c:pt>
              </c:strCache>
            </c:strRef>
          </c:cat>
          <c:val>
            <c:numRef>
              <c:f>dMeasurement!$W$7:$W$16</c:f>
              <c:numCache>
                <c:formatCode>0.00</c:formatCode>
                <c:ptCount val="10"/>
                <c:pt idx="0">
                  <c:v>35.8598</c:v>
                </c:pt>
                <c:pt idx="1">
                  <c:v>43.032800000000002</c:v>
                </c:pt>
                <c:pt idx="2">
                  <c:v>24.7453</c:v>
                </c:pt>
                <c:pt idx="3">
                  <c:v>34.526699999999998</c:v>
                </c:pt>
                <c:pt idx="4">
                  <c:v>70.0244</c:v>
                </c:pt>
                <c:pt idx="5">
                  <c:v>74.634900000000002</c:v>
                </c:pt>
                <c:pt idx="6">
                  <c:v>15.0695</c:v>
                </c:pt>
                <c:pt idx="7">
                  <c:v>72.482100000000003</c:v>
                </c:pt>
                <c:pt idx="8">
                  <c:v>17.883199999999999</c:v>
                </c:pt>
                <c:pt idx="9">
                  <c:v>24.476600000000001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0B-49A2-9434-699169B611A5}"/>
            </c:ext>
          </c:extLst>
        </c:ser>
        <c:ser>
          <c:idx val="1"/>
          <c:order val="1"/>
          <c:tx>
            <c:v>2</c:v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val>
            <c:numRef>
              <c:f>dMeasurement!$AF$7:$AF$16</c:f>
              <c:numCache>
                <c:formatCode>0.00</c:formatCode>
                <c:ptCount val="10"/>
                <c:pt idx="0">
                  <c:v>37.975499999999997</c:v>
                </c:pt>
                <c:pt idx="1">
                  <c:v>33.324399999999997</c:v>
                </c:pt>
                <c:pt idx="2">
                  <c:v>21.898700000000002</c:v>
                </c:pt>
                <c:pt idx="3">
                  <c:v>31.802399999999999</c:v>
                </c:pt>
                <c:pt idx="4">
                  <c:v>71.428799999999995</c:v>
                </c:pt>
                <c:pt idx="5">
                  <c:v>79.203299999999999</c:v>
                </c:pt>
                <c:pt idx="6">
                  <c:v>20.729399999999998</c:v>
                </c:pt>
                <c:pt idx="7">
                  <c:v>75.158100000000005</c:v>
                </c:pt>
                <c:pt idx="8">
                  <c:v>18.023399999999999</c:v>
                </c:pt>
                <c:pt idx="9">
                  <c:v>33.777700000000003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00B-49A2-9434-699169B61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6640"/>
        <c:axId val="293687032"/>
      </c:radarChart>
      <c:catAx>
        <c:axId val="293686640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7032"/>
        <c:crosses val="autoZero"/>
        <c:auto val="0"/>
        <c:lblAlgn val="ctr"/>
        <c:lblOffset val="100"/>
        <c:noMultiLvlLbl val="0"/>
      </c:catAx>
      <c:valAx>
        <c:axId val="293687032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zh-CN"/>
          </a:p>
        </c:txPr>
        <c:crossAx val="293686640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4A4A-4C15-9E3C-99739EEEDB25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4A4A-4C15-9E3C-99739EEEDB25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4A4A-4C15-9E3C-99739EEEDB2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dMeasurement!$X$17:$X$19</c:f>
              <c:numCache>
                <c:formatCode>0.0%</c:formatCode>
                <c:ptCount val="3"/>
                <c:pt idx="0">
                  <c:v>0.51024697914787487</c:v>
                </c:pt>
                <c:pt idx="1">
                  <c:v>0.30359500684582191</c:v>
                </c:pt>
                <c:pt idx="2">
                  <c:v>0.1861580140063033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F1C-4CF4-AB0B-8A7F3EAB99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24E-2"/>
          <c:y val="0.77976190476190477"/>
          <c:w val="0.91304347826086951"/>
          <c:h val="0.22023809523809521"/>
        </c:manualLayout>
      </c:layout>
      <c:overlay val="0"/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11E-2"/>
          <c:w val="0.95277777777777772"/>
          <c:h val="0.80763123359580213"/>
        </c:manualLayout>
      </c:layout>
      <c:lineChart>
        <c:grouping val="standard"/>
        <c:varyColors val="0"/>
        <c:ser>
          <c:idx val="0"/>
          <c:order val="0"/>
          <c:tx>
            <c:v>H1</c:v>
          </c:tx>
          <c:spPr>
            <a:ln>
              <a:solidFill>
                <a:schemeClr val="accent2">
                  <a:lumMod val="75000"/>
                  <a:alpha val="50000"/>
                </a:schemeClr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1.9307490196078431E-2</c:v>
                </c:pt>
                <c:pt idx="2">
                  <c:v>3.8614980392156863E-2</c:v>
                </c:pt>
                <c:pt idx="3">
                  <c:v>5.7922470588235291E-2</c:v>
                </c:pt>
                <c:pt idx="4">
                  <c:v>7.7229960784313725E-2</c:v>
                </c:pt>
                <c:pt idx="5">
                  <c:v>9.6537450980392153E-2</c:v>
                </c:pt>
                <c:pt idx="6">
                  <c:v>0.11584494117647058</c:v>
                </c:pt>
                <c:pt idx="7">
                  <c:v>0.13515243137254901</c:v>
                </c:pt>
                <c:pt idx="8">
                  <c:v>0.15445992156862745</c:v>
                </c:pt>
                <c:pt idx="9">
                  <c:v>0.17376741176470586</c:v>
                </c:pt>
                <c:pt idx="10">
                  <c:v>0.19307490196078431</c:v>
                </c:pt>
                <c:pt idx="11">
                  <c:v>0.21238239215686272</c:v>
                </c:pt>
                <c:pt idx="12">
                  <c:v>0.23168988235294116</c:v>
                </c:pt>
                <c:pt idx="13">
                  <c:v>0.2509973725490196</c:v>
                </c:pt>
                <c:pt idx="14">
                  <c:v>0.27030486274509802</c:v>
                </c:pt>
                <c:pt idx="15">
                  <c:v>0.28961235294117643</c:v>
                </c:pt>
                <c:pt idx="16">
                  <c:v>0.3089198431372549</c:v>
                </c:pt>
                <c:pt idx="17">
                  <c:v>0.32822733333333332</c:v>
                </c:pt>
                <c:pt idx="18">
                  <c:v>0.34753482352941173</c:v>
                </c:pt>
                <c:pt idx="19">
                  <c:v>0.36684231372549014</c:v>
                </c:pt>
                <c:pt idx="20">
                  <c:v>0.38614980392156861</c:v>
                </c:pt>
                <c:pt idx="21">
                  <c:v>0.40545729411764703</c:v>
                </c:pt>
                <c:pt idx="22">
                  <c:v>0.42476478431372544</c:v>
                </c:pt>
                <c:pt idx="23">
                  <c:v>0.44407227450980385</c:v>
                </c:pt>
                <c:pt idx="24">
                  <c:v>0.46337976470588232</c:v>
                </c:pt>
                <c:pt idx="25">
                  <c:v>0.48268725490196074</c:v>
                </c:pt>
                <c:pt idx="26">
                  <c:v>0.50199474509803921</c:v>
                </c:pt>
                <c:pt idx="27">
                  <c:v>0.52130223529411757</c:v>
                </c:pt>
                <c:pt idx="28">
                  <c:v>0.54060972549019604</c:v>
                </c:pt>
                <c:pt idx="29">
                  <c:v>0.55991721568627451</c:v>
                </c:pt>
                <c:pt idx="30">
                  <c:v>0.57922470588235286</c:v>
                </c:pt>
                <c:pt idx="31">
                  <c:v>0.59853219607843133</c:v>
                </c:pt>
                <c:pt idx="32">
                  <c:v>0.6178396862745098</c:v>
                </c:pt>
                <c:pt idx="33">
                  <c:v>0.63714717647058827</c:v>
                </c:pt>
                <c:pt idx="34">
                  <c:v>0.65645466666666663</c:v>
                </c:pt>
                <c:pt idx="35">
                  <c:v>0.6757621568627451</c:v>
                </c:pt>
                <c:pt idx="36">
                  <c:v>0.69506964705882346</c:v>
                </c:pt>
                <c:pt idx="37">
                  <c:v>0.71437713725490193</c:v>
                </c:pt>
                <c:pt idx="38">
                  <c:v>0.73368462745098029</c:v>
                </c:pt>
                <c:pt idx="39">
                  <c:v>0.75299211764705887</c:v>
                </c:pt>
                <c:pt idx="40">
                  <c:v>0.77229960784313723</c:v>
                </c:pt>
                <c:pt idx="41">
                  <c:v>0.7916070980392157</c:v>
                </c:pt>
                <c:pt idx="42">
                  <c:v>0.81091458823529405</c:v>
                </c:pt>
                <c:pt idx="43">
                  <c:v>0.83022207843137252</c:v>
                </c:pt>
                <c:pt idx="44">
                  <c:v>0.84952956862745088</c:v>
                </c:pt>
                <c:pt idx="45">
                  <c:v>0.86883705882352935</c:v>
                </c:pt>
                <c:pt idx="46">
                  <c:v>0.88814454901960771</c:v>
                </c:pt>
                <c:pt idx="47">
                  <c:v>0.90745203921568629</c:v>
                </c:pt>
                <c:pt idx="48">
                  <c:v>0.92675952941176465</c:v>
                </c:pt>
                <c:pt idx="49">
                  <c:v>0.94606701960784312</c:v>
                </c:pt>
                <c:pt idx="50">
                  <c:v>0.96537450980392148</c:v>
                </c:pt>
                <c:pt idx="51">
                  <c:v>0.98468199999999995</c:v>
                </c:pt>
                <c:pt idx="52">
                  <c:v>1.0039894901960784</c:v>
                </c:pt>
                <c:pt idx="53">
                  <c:v>1.0232969803921568</c:v>
                </c:pt>
                <c:pt idx="54">
                  <c:v>1.0426044705882351</c:v>
                </c:pt>
                <c:pt idx="55">
                  <c:v>1.0619119607843137</c:v>
                </c:pt>
                <c:pt idx="56">
                  <c:v>1.0812194509803921</c:v>
                </c:pt>
                <c:pt idx="57">
                  <c:v>1.1005269411764707</c:v>
                </c:pt>
                <c:pt idx="58">
                  <c:v>1.119834431372549</c:v>
                </c:pt>
                <c:pt idx="59">
                  <c:v>1.1391419215686274</c:v>
                </c:pt>
                <c:pt idx="60">
                  <c:v>1.1584494117647057</c:v>
                </c:pt>
                <c:pt idx="61">
                  <c:v>1.1777569019607843</c:v>
                </c:pt>
                <c:pt idx="62">
                  <c:v>1.1970643921568627</c:v>
                </c:pt>
                <c:pt idx="63">
                  <c:v>1.216371882352941</c:v>
                </c:pt>
                <c:pt idx="64">
                  <c:v>1.2356793725490196</c:v>
                </c:pt>
                <c:pt idx="65">
                  <c:v>1.254986862745098</c:v>
                </c:pt>
                <c:pt idx="66">
                  <c:v>1.2742943529411765</c:v>
                </c:pt>
                <c:pt idx="67">
                  <c:v>1.2936018431372549</c:v>
                </c:pt>
                <c:pt idx="68">
                  <c:v>1.3129093333333333</c:v>
                </c:pt>
                <c:pt idx="69">
                  <c:v>1.3322168235294116</c:v>
                </c:pt>
                <c:pt idx="70">
                  <c:v>1.3515243137254902</c:v>
                </c:pt>
                <c:pt idx="71">
                  <c:v>1.3708318039215686</c:v>
                </c:pt>
                <c:pt idx="72">
                  <c:v>1.3901392941176469</c:v>
                </c:pt>
                <c:pt idx="73">
                  <c:v>1.4094467843137253</c:v>
                </c:pt>
                <c:pt idx="74">
                  <c:v>1.4287542745098039</c:v>
                </c:pt>
                <c:pt idx="75">
                  <c:v>1.4480617647058822</c:v>
                </c:pt>
                <c:pt idx="76">
                  <c:v>1.4673692549019606</c:v>
                </c:pt>
                <c:pt idx="77">
                  <c:v>1.4866767450980389</c:v>
                </c:pt>
                <c:pt idx="78">
                  <c:v>1.5059842352941177</c:v>
                </c:pt>
                <c:pt idx="79">
                  <c:v>1.5252917254901961</c:v>
                </c:pt>
                <c:pt idx="80">
                  <c:v>1.5445992156862745</c:v>
                </c:pt>
                <c:pt idx="81">
                  <c:v>1.5639067058823528</c:v>
                </c:pt>
                <c:pt idx="82">
                  <c:v>1.5832141960784314</c:v>
                </c:pt>
                <c:pt idx="83">
                  <c:v>1.6025216862745097</c:v>
                </c:pt>
                <c:pt idx="84">
                  <c:v>1.6218291764705881</c:v>
                </c:pt>
                <c:pt idx="85">
                  <c:v>1.6411366666666665</c:v>
                </c:pt>
                <c:pt idx="86">
                  <c:v>1.660444156862745</c:v>
                </c:pt>
                <c:pt idx="87">
                  <c:v>1.6797516470588234</c:v>
                </c:pt>
                <c:pt idx="88">
                  <c:v>1.6990591372549018</c:v>
                </c:pt>
                <c:pt idx="89">
                  <c:v>1.7183666274509801</c:v>
                </c:pt>
                <c:pt idx="90">
                  <c:v>1.7376741176470587</c:v>
                </c:pt>
                <c:pt idx="91">
                  <c:v>1.7569816078431371</c:v>
                </c:pt>
                <c:pt idx="92">
                  <c:v>1.7762890980392154</c:v>
                </c:pt>
                <c:pt idx="93">
                  <c:v>1.7955965882352938</c:v>
                </c:pt>
                <c:pt idx="94">
                  <c:v>1.8149040784313726</c:v>
                </c:pt>
                <c:pt idx="95">
                  <c:v>1.8342115686274509</c:v>
                </c:pt>
                <c:pt idx="96">
                  <c:v>1.8535190588235293</c:v>
                </c:pt>
                <c:pt idx="97">
                  <c:v>1.8728265490196077</c:v>
                </c:pt>
                <c:pt idx="98">
                  <c:v>1.8921340392156862</c:v>
                </c:pt>
                <c:pt idx="99">
                  <c:v>1.9114415294117646</c:v>
                </c:pt>
                <c:pt idx="100">
                  <c:v>1.930749019607843</c:v>
                </c:pt>
                <c:pt idx="101">
                  <c:v>1.9500565098039213</c:v>
                </c:pt>
                <c:pt idx="102">
                  <c:v>1.9693639999999999</c:v>
                </c:pt>
                <c:pt idx="103">
                  <c:v>1.9886714901960783</c:v>
                </c:pt>
                <c:pt idx="104">
                  <c:v>2.0079789803921568</c:v>
                </c:pt>
                <c:pt idx="105">
                  <c:v>2.0272864705882352</c:v>
                </c:pt>
                <c:pt idx="106">
                  <c:v>2.0465939607843135</c:v>
                </c:pt>
                <c:pt idx="107">
                  <c:v>2.0659014509803919</c:v>
                </c:pt>
                <c:pt idx="108">
                  <c:v>2.0852089411764703</c:v>
                </c:pt>
                <c:pt idx="109">
                  <c:v>2.1045164313725486</c:v>
                </c:pt>
                <c:pt idx="110">
                  <c:v>2.1238239215686274</c:v>
                </c:pt>
                <c:pt idx="111">
                  <c:v>2.1431314117647058</c:v>
                </c:pt>
                <c:pt idx="112">
                  <c:v>2.1624389019607841</c:v>
                </c:pt>
                <c:pt idx="113">
                  <c:v>2.1817463921568625</c:v>
                </c:pt>
                <c:pt idx="114">
                  <c:v>2.2010538823529413</c:v>
                </c:pt>
                <c:pt idx="115">
                  <c:v>2.2203613725490197</c:v>
                </c:pt>
                <c:pt idx="116">
                  <c:v>2.239668862745098</c:v>
                </c:pt>
                <c:pt idx="117">
                  <c:v>2.2589763529411764</c:v>
                </c:pt>
                <c:pt idx="118">
                  <c:v>2.2782838431372547</c:v>
                </c:pt>
                <c:pt idx="119">
                  <c:v>2.2975913333333331</c:v>
                </c:pt>
                <c:pt idx="120">
                  <c:v>2.3168988235294115</c:v>
                </c:pt>
                <c:pt idx="121">
                  <c:v>2.3362063137254898</c:v>
                </c:pt>
                <c:pt idx="122">
                  <c:v>2.3555138039215686</c:v>
                </c:pt>
                <c:pt idx="123">
                  <c:v>2.374821294117647</c:v>
                </c:pt>
                <c:pt idx="124">
                  <c:v>2.3941287843137253</c:v>
                </c:pt>
                <c:pt idx="125">
                  <c:v>2.4134362745098037</c:v>
                </c:pt>
                <c:pt idx="126">
                  <c:v>2.4327437647058821</c:v>
                </c:pt>
                <c:pt idx="127">
                  <c:v>2.4520512549019604</c:v>
                </c:pt>
                <c:pt idx="128">
                  <c:v>2.4713587450980392</c:v>
                </c:pt>
                <c:pt idx="129">
                  <c:v>2.4906662352941176</c:v>
                </c:pt>
                <c:pt idx="130">
                  <c:v>2.5099737254901959</c:v>
                </c:pt>
                <c:pt idx="131">
                  <c:v>2.5292812156862743</c:v>
                </c:pt>
                <c:pt idx="132">
                  <c:v>2.5485887058823531</c:v>
                </c:pt>
                <c:pt idx="133">
                  <c:v>2.5678961960784314</c:v>
                </c:pt>
                <c:pt idx="134">
                  <c:v>2.5872036862745098</c:v>
                </c:pt>
                <c:pt idx="135">
                  <c:v>2.6065111764705882</c:v>
                </c:pt>
                <c:pt idx="136">
                  <c:v>2.6258186666666665</c:v>
                </c:pt>
                <c:pt idx="137">
                  <c:v>2.6451261568627449</c:v>
                </c:pt>
                <c:pt idx="138">
                  <c:v>2.6644336470588232</c:v>
                </c:pt>
                <c:pt idx="139">
                  <c:v>2.6837411372549016</c:v>
                </c:pt>
                <c:pt idx="140">
                  <c:v>2.7030486274509804</c:v>
                </c:pt>
                <c:pt idx="141">
                  <c:v>2.7223561176470588</c:v>
                </c:pt>
                <c:pt idx="142">
                  <c:v>2.7416636078431371</c:v>
                </c:pt>
                <c:pt idx="143">
                  <c:v>2.7609710980392155</c:v>
                </c:pt>
                <c:pt idx="144">
                  <c:v>2.7802785882352938</c:v>
                </c:pt>
                <c:pt idx="145">
                  <c:v>2.7995860784313722</c:v>
                </c:pt>
                <c:pt idx="146">
                  <c:v>2.8188935686274506</c:v>
                </c:pt>
                <c:pt idx="147">
                  <c:v>2.8382010588235289</c:v>
                </c:pt>
                <c:pt idx="148">
                  <c:v>2.8575085490196077</c:v>
                </c:pt>
                <c:pt idx="149">
                  <c:v>2.8768160392156861</c:v>
                </c:pt>
                <c:pt idx="150">
                  <c:v>2.8961235294117644</c:v>
                </c:pt>
                <c:pt idx="151">
                  <c:v>2.9154310196078428</c:v>
                </c:pt>
                <c:pt idx="152">
                  <c:v>2.9347385098039211</c:v>
                </c:pt>
                <c:pt idx="153">
                  <c:v>2.9540459999999995</c:v>
                </c:pt>
                <c:pt idx="154">
                  <c:v>2.9733534901960779</c:v>
                </c:pt>
                <c:pt idx="155">
                  <c:v>2.9926609803921562</c:v>
                </c:pt>
                <c:pt idx="156">
                  <c:v>3.0119684705882355</c:v>
                </c:pt>
                <c:pt idx="157">
                  <c:v>3.0312759607843138</c:v>
                </c:pt>
                <c:pt idx="158">
                  <c:v>3.0505834509803922</c:v>
                </c:pt>
                <c:pt idx="159">
                  <c:v>3.0698909411764705</c:v>
                </c:pt>
                <c:pt idx="160">
                  <c:v>3.0891984313725489</c:v>
                </c:pt>
                <c:pt idx="161">
                  <c:v>3.1085059215686273</c:v>
                </c:pt>
                <c:pt idx="162">
                  <c:v>3.1278134117647056</c:v>
                </c:pt>
                <c:pt idx="163">
                  <c:v>3.147120901960784</c:v>
                </c:pt>
                <c:pt idx="164">
                  <c:v>3.1664283921568628</c:v>
                </c:pt>
                <c:pt idx="165">
                  <c:v>3.1857358823529411</c:v>
                </c:pt>
                <c:pt idx="166">
                  <c:v>3.2050433725490195</c:v>
                </c:pt>
                <c:pt idx="167">
                  <c:v>3.2243508627450979</c:v>
                </c:pt>
                <c:pt idx="168">
                  <c:v>3.2436583529411762</c:v>
                </c:pt>
                <c:pt idx="169">
                  <c:v>3.2629658431372546</c:v>
                </c:pt>
                <c:pt idx="170">
                  <c:v>3.2822733333333329</c:v>
                </c:pt>
                <c:pt idx="171">
                  <c:v>3.3015808235294113</c:v>
                </c:pt>
                <c:pt idx="172">
                  <c:v>3.3208883137254901</c:v>
                </c:pt>
                <c:pt idx="173">
                  <c:v>3.3401958039215685</c:v>
                </c:pt>
                <c:pt idx="174">
                  <c:v>3.3595032941176468</c:v>
                </c:pt>
                <c:pt idx="175">
                  <c:v>3.3788107843137252</c:v>
                </c:pt>
                <c:pt idx="176">
                  <c:v>3.3981182745098035</c:v>
                </c:pt>
                <c:pt idx="177">
                  <c:v>3.4174257647058819</c:v>
                </c:pt>
                <c:pt idx="178">
                  <c:v>3.4367332549019602</c:v>
                </c:pt>
                <c:pt idx="179">
                  <c:v>3.4560407450980386</c:v>
                </c:pt>
                <c:pt idx="180">
                  <c:v>3.4753482352941174</c:v>
                </c:pt>
                <c:pt idx="181">
                  <c:v>3.4946557254901958</c:v>
                </c:pt>
                <c:pt idx="182">
                  <c:v>3.5139632156862741</c:v>
                </c:pt>
                <c:pt idx="183">
                  <c:v>3.5332707058823525</c:v>
                </c:pt>
                <c:pt idx="184">
                  <c:v>3.5525781960784308</c:v>
                </c:pt>
                <c:pt idx="185">
                  <c:v>3.5718856862745092</c:v>
                </c:pt>
                <c:pt idx="186">
                  <c:v>3.5911931764705876</c:v>
                </c:pt>
                <c:pt idx="187">
                  <c:v>3.6105006666666659</c:v>
                </c:pt>
                <c:pt idx="188">
                  <c:v>3.6298081568627452</c:v>
                </c:pt>
                <c:pt idx="189">
                  <c:v>3.6491156470588235</c:v>
                </c:pt>
                <c:pt idx="190">
                  <c:v>3.6684231372549019</c:v>
                </c:pt>
                <c:pt idx="191">
                  <c:v>3.6877306274509802</c:v>
                </c:pt>
                <c:pt idx="192">
                  <c:v>3.7070381176470586</c:v>
                </c:pt>
                <c:pt idx="193">
                  <c:v>3.726345607843137</c:v>
                </c:pt>
                <c:pt idx="194">
                  <c:v>3.7456530980392153</c:v>
                </c:pt>
                <c:pt idx="195">
                  <c:v>3.7649605882352937</c:v>
                </c:pt>
                <c:pt idx="196">
                  <c:v>3.7842680784313725</c:v>
                </c:pt>
                <c:pt idx="197">
                  <c:v>3.8035755686274508</c:v>
                </c:pt>
                <c:pt idx="198">
                  <c:v>3.8228830588235292</c:v>
                </c:pt>
                <c:pt idx="199">
                  <c:v>3.8421905490196075</c:v>
                </c:pt>
                <c:pt idx="200">
                  <c:v>3.8614980392156859</c:v>
                </c:pt>
                <c:pt idx="201">
                  <c:v>3.8808055294117643</c:v>
                </c:pt>
                <c:pt idx="202">
                  <c:v>3.9001130196078426</c:v>
                </c:pt>
                <c:pt idx="203">
                  <c:v>3.919420509803921</c:v>
                </c:pt>
                <c:pt idx="204">
                  <c:v>3.9387279999999998</c:v>
                </c:pt>
                <c:pt idx="205">
                  <c:v>3.9580354901960781</c:v>
                </c:pt>
                <c:pt idx="206">
                  <c:v>3.9773429803921565</c:v>
                </c:pt>
                <c:pt idx="207">
                  <c:v>3.9966504705882349</c:v>
                </c:pt>
                <c:pt idx="208">
                  <c:v>4.0159579607843137</c:v>
                </c:pt>
                <c:pt idx="209">
                  <c:v>4.0352654509803916</c:v>
                </c:pt>
                <c:pt idx="210">
                  <c:v>4.0545729411764704</c:v>
                </c:pt>
                <c:pt idx="211">
                  <c:v>4.0738804313725483</c:v>
                </c:pt>
                <c:pt idx="212">
                  <c:v>4.0931879215686271</c:v>
                </c:pt>
                <c:pt idx="213">
                  <c:v>4.1124954117647059</c:v>
                </c:pt>
                <c:pt idx="214">
                  <c:v>4.1318029019607838</c:v>
                </c:pt>
                <c:pt idx="215">
                  <c:v>4.1511103921568626</c:v>
                </c:pt>
                <c:pt idx="216">
                  <c:v>4.1704178823529405</c:v>
                </c:pt>
                <c:pt idx="217">
                  <c:v>4.1897253725490193</c:v>
                </c:pt>
                <c:pt idx="218">
                  <c:v>4.2090328627450972</c:v>
                </c:pt>
                <c:pt idx="219">
                  <c:v>4.2283403529411761</c:v>
                </c:pt>
                <c:pt idx="220">
                  <c:v>4.2476478431372549</c:v>
                </c:pt>
                <c:pt idx="221">
                  <c:v>4.2669553333333328</c:v>
                </c:pt>
                <c:pt idx="222">
                  <c:v>4.2862628235294116</c:v>
                </c:pt>
                <c:pt idx="223">
                  <c:v>4.3055703137254895</c:v>
                </c:pt>
                <c:pt idx="224">
                  <c:v>4.3248778039215683</c:v>
                </c:pt>
                <c:pt idx="225">
                  <c:v>4.3441852941176462</c:v>
                </c:pt>
                <c:pt idx="226">
                  <c:v>4.363492784313725</c:v>
                </c:pt>
                <c:pt idx="227">
                  <c:v>4.3828002745098029</c:v>
                </c:pt>
                <c:pt idx="228">
                  <c:v>4.4021077647058826</c:v>
                </c:pt>
                <c:pt idx="229">
                  <c:v>4.4214152549019605</c:v>
                </c:pt>
                <c:pt idx="230">
                  <c:v>4.4407227450980393</c:v>
                </c:pt>
                <c:pt idx="231">
                  <c:v>4.4600302352941172</c:v>
                </c:pt>
                <c:pt idx="232">
                  <c:v>4.479337725490196</c:v>
                </c:pt>
                <c:pt idx="233">
                  <c:v>4.498645215686274</c:v>
                </c:pt>
                <c:pt idx="234">
                  <c:v>4.5179527058823528</c:v>
                </c:pt>
                <c:pt idx="235">
                  <c:v>4.5372601960784307</c:v>
                </c:pt>
                <c:pt idx="236">
                  <c:v>4.5565676862745095</c:v>
                </c:pt>
                <c:pt idx="237">
                  <c:v>4.5758751764705883</c:v>
                </c:pt>
                <c:pt idx="238">
                  <c:v>4.5951826666666662</c:v>
                </c:pt>
                <c:pt idx="239">
                  <c:v>4.614490156862745</c:v>
                </c:pt>
                <c:pt idx="240">
                  <c:v>4.6337976470588229</c:v>
                </c:pt>
                <c:pt idx="241">
                  <c:v>4.6531051372549017</c:v>
                </c:pt>
                <c:pt idx="242">
                  <c:v>4.6724126274509796</c:v>
                </c:pt>
                <c:pt idx="243">
                  <c:v>4.6917201176470584</c:v>
                </c:pt>
                <c:pt idx="244">
                  <c:v>4.7110276078431372</c:v>
                </c:pt>
                <c:pt idx="245">
                  <c:v>4.7303350980392151</c:v>
                </c:pt>
                <c:pt idx="246">
                  <c:v>4.7496425882352939</c:v>
                </c:pt>
                <c:pt idx="247">
                  <c:v>4.7689500784313719</c:v>
                </c:pt>
                <c:pt idx="248">
                  <c:v>4.7882575686274507</c:v>
                </c:pt>
                <c:pt idx="249">
                  <c:v>4.8075650588235286</c:v>
                </c:pt>
                <c:pt idx="250">
                  <c:v>4.8268725490196074</c:v>
                </c:pt>
                <c:pt idx="251">
                  <c:v>4.8461800392156853</c:v>
                </c:pt>
                <c:pt idx="252">
                  <c:v>4.8654875294117641</c:v>
                </c:pt>
                <c:pt idx="253">
                  <c:v>4.8847950196078429</c:v>
                </c:pt>
                <c:pt idx="254">
                  <c:v>4.9041025098039208</c:v>
                </c:pt>
                <c:pt idx="255">
                  <c:v>4.9234099999999996</c:v>
                </c:pt>
              </c:numCache>
            </c:numRef>
          </c:cat>
          <c:val>
            <c:numRef>
              <c:f>'FH1'!$A$2:$A$257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284</c:v>
                </c:pt>
                <c:pt idx="7">
                  <c:v>0</c:v>
                </c:pt>
                <c:pt idx="8">
                  <c:v>1082</c:v>
                </c:pt>
                <c:pt idx="9">
                  <c:v>0</c:v>
                </c:pt>
                <c:pt idx="10">
                  <c:v>0</c:v>
                </c:pt>
                <c:pt idx="11">
                  <c:v>3303</c:v>
                </c:pt>
                <c:pt idx="12">
                  <c:v>0</c:v>
                </c:pt>
                <c:pt idx="13">
                  <c:v>7485</c:v>
                </c:pt>
                <c:pt idx="14">
                  <c:v>0</c:v>
                </c:pt>
                <c:pt idx="15">
                  <c:v>0</c:v>
                </c:pt>
                <c:pt idx="16">
                  <c:v>13537</c:v>
                </c:pt>
                <c:pt idx="17">
                  <c:v>0</c:v>
                </c:pt>
                <c:pt idx="18">
                  <c:v>0</c:v>
                </c:pt>
                <c:pt idx="19">
                  <c:v>29569</c:v>
                </c:pt>
                <c:pt idx="20">
                  <c:v>0</c:v>
                </c:pt>
                <c:pt idx="21">
                  <c:v>44607</c:v>
                </c:pt>
                <c:pt idx="22">
                  <c:v>0</c:v>
                </c:pt>
                <c:pt idx="23">
                  <c:v>0</c:v>
                </c:pt>
                <c:pt idx="24">
                  <c:v>64697</c:v>
                </c:pt>
                <c:pt idx="25">
                  <c:v>0</c:v>
                </c:pt>
                <c:pt idx="26">
                  <c:v>59127</c:v>
                </c:pt>
                <c:pt idx="27">
                  <c:v>0</c:v>
                </c:pt>
                <c:pt idx="28">
                  <c:v>0</c:v>
                </c:pt>
                <c:pt idx="29">
                  <c:v>67215</c:v>
                </c:pt>
                <c:pt idx="30">
                  <c:v>0</c:v>
                </c:pt>
                <c:pt idx="31">
                  <c:v>65447</c:v>
                </c:pt>
                <c:pt idx="32">
                  <c:v>0</c:v>
                </c:pt>
                <c:pt idx="33">
                  <c:v>0</c:v>
                </c:pt>
                <c:pt idx="34">
                  <c:v>66060</c:v>
                </c:pt>
                <c:pt idx="35">
                  <c:v>0</c:v>
                </c:pt>
                <c:pt idx="36">
                  <c:v>0</c:v>
                </c:pt>
                <c:pt idx="37">
                  <c:v>65468</c:v>
                </c:pt>
                <c:pt idx="38">
                  <c:v>0</c:v>
                </c:pt>
                <c:pt idx="39">
                  <c:v>65442</c:v>
                </c:pt>
                <c:pt idx="40">
                  <c:v>0</c:v>
                </c:pt>
                <c:pt idx="41">
                  <c:v>0</c:v>
                </c:pt>
                <c:pt idx="42">
                  <c:v>60005</c:v>
                </c:pt>
                <c:pt idx="43">
                  <c:v>0</c:v>
                </c:pt>
                <c:pt idx="44">
                  <c:v>56264</c:v>
                </c:pt>
                <c:pt idx="45">
                  <c:v>0</c:v>
                </c:pt>
                <c:pt idx="46">
                  <c:v>0</c:v>
                </c:pt>
                <c:pt idx="47">
                  <c:v>63315</c:v>
                </c:pt>
                <c:pt idx="48">
                  <c:v>0</c:v>
                </c:pt>
                <c:pt idx="49">
                  <c:v>58182</c:v>
                </c:pt>
                <c:pt idx="50">
                  <c:v>0</c:v>
                </c:pt>
                <c:pt idx="51">
                  <c:v>0</c:v>
                </c:pt>
                <c:pt idx="52">
                  <c:v>59854</c:v>
                </c:pt>
                <c:pt idx="53">
                  <c:v>0</c:v>
                </c:pt>
                <c:pt idx="54">
                  <c:v>0</c:v>
                </c:pt>
                <c:pt idx="55">
                  <c:v>63542</c:v>
                </c:pt>
                <c:pt idx="56">
                  <c:v>0</c:v>
                </c:pt>
                <c:pt idx="57">
                  <c:v>61338</c:v>
                </c:pt>
                <c:pt idx="58">
                  <c:v>0</c:v>
                </c:pt>
                <c:pt idx="59">
                  <c:v>0</c:v>
                </c:pt>
                <c:pt idx="60">
                  <c:v>63101</c:v>
                </c:pt>
                <c:pt idx="61">
                  <c:v>0</c:v>
                </c:pt>
                <c:pt idx="62">
                  <c:v>56375</c:v>
                </c:pt>
                <c:pt idx="63">
                  <c:v>0</c:v>
                </c:pt>
                <c:pt idx="64">
                  <c:v>0</c:v>
                </c:pt>
                <c:pt idx="65">
                  <c:v>59334</c:v>
                </c:pt>
                <c:pt idx="66">
                  <c:v>0</c:v>
                </c:pt>
                <c:pt idx="67">
                  <c:v>57820</c:v>
                </c:pt>
                <c:pt idx="68">
                  <c:v>0</c:v>
                </c:pt>
                <c:pt idx="69">
                  <c:v>0</c:v>
                </c:pt>
                <c:pt idx="70">
                  <c:v>61083</c:v>
                </c:pt>
                <c:pt idx="71">
                  <c:v>0</c:v>
                </c:pt>
                <c:pt idx="72">
                  <c:v>0</c:v>
                </c:pt>
                <c:pt idx="73">
                  <c:v>61208</c:v>
                </c:pt>
                <c:pt idx="74">
                  <c:v>0</c:v>
                </c:pt>
                <c:pt idx="75">
                  <c:v>53584</c:v>
                </c:pt>
                <c:pt idx="76">
                  <c:v>0</c:v>
                </c:pt>
                <c:pt idx="77">
                  <c:v>0</c:v>
                </c:pt>
                <c:pt idx="78">
                  <c:v>51169</c:v>
                </c:pt>
                <c:pt idx="79">
                  <c:v>0</c:v>
                </c:pt>
                <c:pt idx="80">
                  <c:v>49369</c:v>
                </c:pt>
                <c:pt idx="81">
                  <c:v>0</c:v>
                </c:pt>
                <c:pt idx="82">
                  <c:v>0</c:v>
                </c:pt>
                <c:pt idx="83">
                  <c:v>44222</c:v>
                </c:pt>
                <c:pt idx="84">
                  <c:v>0</c:v>
                </c:pt>
                <c:pt idx="85">
                  <c:v>0</c:v>
                </c:pt>
                <c:pt idx="86">
                  <c:v>38627</c:v>
                </c:pt>
                <c:pt idx="87">
                  <c:v>0</c:v>
                </c:pt>
                <c:pt idx="88">
                  <c:v>38947</c:v>
                </c:pt>
                <c:pt idx="89">
                  <c:v>0</c:v>
                </c:pt>
                <c:pt idx="90">
                  <c:v>0</c:v>
                </c:pt>
                <c:pt idx="91">
                  <c:v>33111</c:v>
                </c:pt>
                <c:pt idx="92">
                  <c:v>0</c:v>
                </c:pt>
                <c:pt idx="93">
                  <c:v>35156</c:v>
                </c:pt>
                <c:pt idx="94">
                  <c:v>0</c:v>
                </c:pt>
                <c:pt idx="95">
                  <c:v>0</c:v>
                </c:pt>
                <c:pt idx="96">
                  <c:v>31465</c:v>
                </c:pt>
                <c:pt idx="97">
                  <c:v>0</c:v>
                </c:pt>
                <c:pt idx="98">
                  <c:v>31636</c:v>
                </c:pt>
                <c:pt idx="99">
                  <c:v>0</c:v>
                </c:pt>
                <c:pt idx="100">
                  <c:v>0</c:v>
                </c:pt>
                <c:pt idx="101">
                  <c:v>29737</c:v>
                </c:pt>
                <c:pt idx="102">
                  <c:v>0</c:v>
                </c:pt>
                <c:pt idx="103">
                  <c:v>0</c:v>
                </c:pt>
                <c:pt idx="104">
                  <c:v>32415</c:v>
                </c:pt>
                <c:pt idx="105">
                  <c:v>0</c:v>
                </c:pt>
                <c:pt idx="106">
                  <c:v>32437</c:v>
                </c:pt>
                <c:pt idx="107">
                  <c:v>0</c:v>
                </c:pt>
                <c:pt idx="108">
                  <c:v>0</c:v>
                </c:pt>
                <c:pt idx="109">
                  <c:v>30946</c:v>
                </c:pt>
                <c:pt idx="110">
                  <c:v>0</c:v>
                </c:pt>
                <c:pt idx="111">
                  <c:v>29580</c:v>
                </c:pt>
                <c:pt idx="112">
                  <c:v>0</c:v>
                </c:pt>
                <c:pt idx="113">
                  <c:v>0</c:v>
                </c:pt>
                <c:pt idx="114">
                  <c:v>24665</c:v>
                </c:pt>
                <c:pt idx="115">
                  <c:v>0</c:v>
                </c:pt>
                <c:pt idx="116">
                  <c:v>24724</c:v>
                </c:pt>
                <c:pt idx="117">
                  <c:v>0</c:v>
                </c:pt>
                <c:pt idx="118">
                  <c:v>0</c:v>
                </c:pt>
                <c:pt idx="119">
                  <c:v>22282</c:v>
                </c:pt>
                <c:pt idx="120">
                  <c:v>0</c:v>
                </c:pt>
                <c:pt idx="121">
                  <c:v>0</c:v>
                </c:pt>
                <c:pt idx="122">
                  <c:v>21163</c:v>
                </c:pt>
                <c:pt idx="123">
                  <c:v>0</c:v>
                </c:pt>
                <c:pt idx="124">
                  <c:v>18593</c:v>
                </c:pt>
                <c:pt idx="125">
                  <c:v>0</c:v>
                </c:pt>
                <c:pt idx="126">
                  <c:v>0</c:v>
                </c:pt>
                <c:pt idx="127">
                  <c:v>15968</c:v>
                </c:pt>
                <c:pt idx="128">
                  <c:v>0</c:v>
                </c:pt>
                <c:pt idx="129">
                  <c:v>11981</c:v>
                </c:pt>
                <c:pt idx="130">
                  <c:v>0</c:v>
                </c:pt>
                <c:pt idx="131">
                  <c:v>0</c:v>
                </c:pt>
                <c:pt idx="132">
                  <c:v>10992</c:v>
                </c:pt>
                <c:pt idx="133">
                  <c:v>0</c:v>
                </c:pt>
                <c:pt idx="134">
                  <c:v>7937</c:v>
                </c:pt>
                <c:pt idx="135">
                  <c:v>0</c:v>
                </c:pt>
                <c:pt idx="136">
                  <c:v>0</c:v>
                </c:pt>
                <c:pt idx="137">
                  <c:v>8519</c:v>
                </c:pt>
                <c:pt idx="138">
                  <c:v>0</c:v>
                </c:pt>
                <c:pt idx="139">
                  <c:v>0</c:v>
                </c:pt>
                <c:pt idx="140">
                  <c:v>6297</c:v>
                </c:pt>
                <c:pt idx="141">
                  <c:v>0</c:v>
                </c:pt>
                <c:pt idx="142">
                  <c:v>5910</c:v>
                </c:pt>
                <c:pt idx="143">
                  <c:v>0</c:v>
                </c:pt>
                <c:pt idx="144">
                  <c:v>0</c:v>
                </c:pt>
                <c:pt idx="145">
                  <c:v>5901</c:v>
                </c:pt>
                <c:pt idx="146">
                  <c:v>0</c:v>
                </c:pt>
                <c:pt idx="147">
                  <c:v>3950</c:v>
                </c:pt>
                <c:pt idx="148">
                  <c:v>0</c:v>
                </c:pt>
                <c:pt idx="149">
                  <c:v>0</c:v>
                </c:pt>
                <c:pt idx="150">
                  <c:v>3382</c:v>
                </c:pt>
                <c:pt idx="151">
                  <c:v>0</c:v>
                </c:pt>
                <c:pt idx="152">
                  <c:v>3010</c:v>
                </c:pt>
                <c:pt idx="153">
                  <c:v>0</c:v>
                </c:pt>
                <c:pt idx="154">
                  <c:v>0</c:v>
                </c:pt>
                <c:pt idx="155">
                  <c:v>2409</c:v>
                </c:pt>
                <c:pt idx="156">
                  <c:v>0</c:v>
                </c:pt>
                <c:pt idx="157">
                  <c:v>0</c:v>
                </c:pt>
                <c:pt idx="158">
                  <c:v>1695</c:v>
                </c:pt>
                <c:pt idx="159">
                  <c:v>0</c:v>
                </c:pt>
                <c:pt idx="160">
                  <c:v>1059</c:v>
                </c:pt>
                <c:pt idx="161">
                  <c:v>0</c:v>
                </c:pt>
                <c:pt idx="162">
                  <c:v>0</c:v>
                </c:pt>
                <c:pt idx="163">
                  <c:v>928</c:v>
                </c:pt>
                <c:pt idx="164">
                  <c:v>0</c:v>
                </c:pt>
                <c:pt idx="165">
                  <c:v>447</c:v>
                </c:pt>
                <c:pt idx="166">
                  <c:v>0</c:v>
                </c:pt>
                <c:pt idx="167">
                  <c:v>0</c:v>
                </c:pt>
                <c:pt idx="168">
                  <c:v>172</c:v>
                </c:pt>
                <c:pt idx="169">
                  <c:v>0</c:v>
                </c:pt>
                <c:pt idx="170">
                  <c:v>0</c:v>
                </c:pt>
                <c:pt idx="171">
                  <c:v>65</c:v>
                </c:pt>
                <c:pt idx="172">
                  <c:v>0</c:v>
                </c:pt>
                <c:pt idx="173">
                  <c:v>22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2C-4742-AACD-08417B42734E}"/>
            </c:ext>
          </c:extLst>
        </c:ser>
        <c:ser>
          <c:idx val="1"/>
          <c:order val="1"/>
          <c:tx>
            <c:v>H2</c:v>
          </c:tx>
          <c:spPr>
            <a:ln>
              <a:solidFill>
                <a:schemeClr val="accent3">
                  <a:lumMod val="75000"/>
                  <a:alpha val="50000"/>
                </a:schemeClr>
              </a:solidFill>
            </a:ln>
          </c:spPr>
          <c:marker>
            <c:symbol val="none"/>
          </c:marker>
          <c:val>
            <c:numRef>
              <c:f>'FH2'!$A$2:$A$257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490</c:v>
                </c:pt>
                <c:pt idx="7">
                  <c:v>0</c:v>
                </c:pt>
                <c:pt idx="8">
                  <c:v>540</c:v>
                </c:pt>
                <c:pt idx="9">
                  <c:v>0</c:v>
                </c:pt>
                <c:pt idx="10">
                  <c:v>0</c:v>
                </c:pt>
                <c:pt idx="11">
                  <c:v>558</c:v>
                </c:pt>
                <c:pt idx="12">
                  <c:v>0</c:v>
                </c:pt>
                <c:pt idx="13">
                  <c:v>1161</c:v>
                </c:pt>
                <c:pt idx="14">
                  <c:v>0</c:v>
                </c:pt>
                <c:pt idx="15">
                  <c:v>0</c:v>
                </c:pt>
                <c:pt idx="16">
                  <c:v>2200</c:v>
                </c:pt>
                <c:pt idx="17">
                  <c:v>0</c:v>
                </c:pt>
                <c:pt idx="18">
                  <c:v>0</c:v>
                </c:pt>
                <c:pt idx="19">
                  <c:v>4499</c:v>
                </c:pt>
                <c:pt idx="20">
                  <c:v>0</c:v>
                </c:pt>
                <c:pt idx="21">
                  <c:v>7750</c:v>
                </c:pt>
                <c:pt idx="22">
                  <c:v>0</c:v>
                </c:pt>
                <c:pt idx="23">
                  <c:v>0</c:v>
                </c:pt>
                <c:pt idx="24">
                  <c:v>11009</c:v>
                </c:pt>
                <c:pt idx="25">
                  <c:v>0</c:v>
                </c:pt>
                <c:pt idx="26">
                  <c:v>16370</c:v>
                </c:pt>
                <c:pt idx="27">
                  <c:v>0</c:v>
                </c:pt>
                <c:pt idx="28">
                  <c:v>0</c:v>
                </c:pt>
                <c:pt idx="29">
                  <c:v>18685</c:v>
                </c:pt>
                <c:pt idx="30">
                  <c:v>0</c:v>
                </c:pt>
                <c:pt idx="31">
                  <c:v>25239</c:v>
                </c:pt>
                <c:pt idx="32">
                  <c:v>0</c:v>
                </c:pt>
                <c:pt idx="33">
                  <c:v>0</c:v>
                </c:pt>
                <c:pt idx="34">
                  <c:v>29968</c:v>
                </c:pt>
                <c:pt idx="35">
                  <c:v>0</c:v>
                </c:pt>
                <c:pt idx="36">
                  <c:v>0</c:v>
                </c:pt>
                <c:pt idx="37">
                  <c:v>32078</c:v>
                </c:pt>
                <c:pt idx="38">
                  <c:v>0</c:v>
                </c:pt>
                <c:pt idx="39">
                  <c:v>36976</c:v>
                </c:pt>
                <c:pt idx="40">
                  <c:v>0</c:v>
                </c:pt>
                <c:pt idx="41">
                  <c:v>0</c:v>
                </c:pt>
                <c:pt idx="42">
                  <c:v>43477</c:v>
                </c:pt>
                <c:pt idx="43">
                  <c:v>0</c:v>
                </c:pt>
                <c:pt idx="44">
                  <c:v>50058</c:v>
                </c:pt>
                <c:pt idx="45">
                  <c:v>0</c:v>
                </c:pt>
                <c:pt idx="46">
                  <c:v>0</c:v>
                </c:pt>
                <c:pt idx="47">
                  <c:v>53715</c:v>
                </c:pt>
                <c:pt idx="48">
                  <c:v>0</c:v>
                </c:pt>
                <c:pt idx="49">
                  <c:v>60330</c:v>
                </c:pt>
                <c:pt idx="50">
                  <c:v>0</c:v>
                </c:pt>
                <c:pt idx="51">
                  <c:v>0</c:v>
                </c:pt>
                <c:pt idx="52">
                  <c:v>67009</c:v>
                </c:pt>
                <c:pt idx="53">
                  <c:v>0</c:v>
                </c:pt>
                <c:pt idx="54">
                  <c:v>0</c:v>
                </c:pt>
                <c:pt idx="55">
                  <c:v>72925</c:v>
                </c:pt>
                <c:pt idx="56">
                  <c:v>0</c:v>
                </c:pt>
                <c:pt idx="57">
                  <c:v>69935</c:v>
                </c:pt>
                <c:pt idx="58">
                  <c:v>0</c:v>
                </c:pt>
                <c:pt idx="59">
                  <c:v>0</c:v>
                </c:pt>
                <c:pt idx="60">
                  <c:v>73765</c:v>
                </c:pt>
                <c:pt idx="61">
                  <c:v>0</c:v>
                </c:pt>
                <c:pt idx="62">
                  <c:v>83769</c:v>
                </c:pt>
                <c:pt idx="63">
                  <c:v>0</c:v>
                </c:pt>
                <c:pt idx="64">
                  <c:v>0</c:v>
                </c:pt>
                <c:pt idx="65">
                  <c:v>86898</c:v>
                </c:pt>
                <c:pt idx="66">
                  <c:v>0</c:v>
                </c:pt>
                <c:pt idx="67">
                  <c:v>84059</c:v>
                </c:pt>
                <c:pt idx="68">
                  <c:v>0</c:v>
                </c:pt>
                <c:pt idx="69">
                  <c:v>0</c:v>
                </c:pt>
                <c:pt idx="70">
                  <c:v>85437</c:v>
                </c:pt>
                <c:pt idx="71">
                  <c:v>0</c:v>
                </c:pt>
                <c:pt idx="72">
                  <c:v>0</c:v>
                </c:pt>
                <c:pt idx="73">
                  <c:v>85352</c:v>
                </c:pt>
                <c:pt idx="74">
                  <c:v>0</c:v>
                </c:pt>
                <c:pt idx="75">
                  <c:v>78618</c:v>
                </c:pt>
                <c:pt idx="76">
                  <c:v>0</c:v>
                </c:pt>
                <c:pt idx="77">
                  <c:v>0</c:v>
                </c:pt>
                <c:pt idx="78">
                  <c:v>76097</c:v>
                </c:pt>
                <c:pt idx="79">
                  <c:v>0</c:v>
                </c:pt>
                <c:pt idx="80">
                  <c:v>75105</c:v>
                </c:pt>
                <c:pt idx="81">
                  <c:v>0</c:v>
                </c:pt>
                <c:pt idx="82">
                  <c:v>0</c:v>
                </c:pt>
                <c:pt idx="83">
                  <c:v>78980</c:v>
                </c:pt>
                <c:pt idx="84">
                  <c:v>0</c:v>
                </c:pt>
                <c:pt idx="85">
                  <c:v>0</c:v>
                </c:pt>
                <c:pt idx="86">
                  <c:v>76836</c:v>
                </c:pt>
                <c:pt idx="87">
                  <c:v>0</c:v>
                </c:pt>
                <c:pt idx="88">
                  <c:v>78729</c:v>
                </c:pt>
                <c:pt idx="89">
                  <c:v>0</c:v>
                </c:pt>
                <c:pt idx="90">
                  <c:v>0</c:v>
                </c:pt>
                <c:pt idx="91">
                  <c:v>73479</c:v>
                </c:pt>
                <c:pt idx="92">
                  <c:v>0</c:v>
                </c:pt>
                <c:pt idx="93">
                  <c:v>69476</c:v>
                </c:pt>
                <c:pt idx="94">
                  <c:v>0</c:v>
                </c:pt>
                <c:pt idx="95">
                  <c:v>0</c:v>
                </c:pt>
                <c:pt idx="96">
                  <c:v>71804</c:v>
                </c:pt>
                <c:pt idx="97">
                  <c:v>0</c:v>
                </c:pt>
                <c:pt idx="98">
                  <c:v>71782</c:v>
                </c:pt>
                <c:pt idx="99">
                  <c:v>0</c:v>
                </c:pt>
                <c:pt idx="100">
                  <c:v>0</c:v>
                </c:pt>
                <c:pt idx="101">
                  <c:v>74048</c:v>
                </c:pt>
                <c:pt idx="102">
                  <c:v>0</c:v>
                </c:pt>
                <c:pt idx="103">
                  <c:v>0</c:v>
                </c:pt>
                <c:pt idx="104">
                  <c:v>66005</c:v>
                </c:pt>
                <c:pt idx="105">
                  <c:v>0</c:v>
                </c:pt>
                <c:pt idx="106">
                  <c:v>61753</c:v>
                </c:pt>
                <c:pt idx="107">
                  <c:v>0</c:v>
                </c:pt>
                <c:pt idx="108">
                  <c:v>0</c:v>
                </c:pt>
                <c:pt idx="109">
                  <c:v>61417</c:v>
                </c:pt>
                <c:pt idx="110">
                  <c:v>0</c:v>
                </c:pt>
                <c:pt idx="111">
                  <c:v>53863</c:v>
                </c:pt>
                <c:pt idx="112">
                  <c:v>0</c:v>
                </c:pt>
                <c:pt idx="113">
                  <c:v>0</c:v>
                </c:pt>
                <c:pt idx="114">
                  <c:v>50308</c:v>
                </c:pt>
                <c:pt idx="115">
                  <c:v>0</c:v>
                </c:pt>
                <c:pt idx="116">
                  <c:v>45671</c:v>
                </c:pt>
                <c:pt idx="117">
                  <c:v>0</c:v>
                </c:pt>
                <c:pt idx="118">
                  <c:v>0</c:v>
                </c:pt>
                <c:pt idx="119">
                  <c:v>43154</c:v>
                </c:pt>
                <c:pt idx="120">
                  <c:v>0</c:v>
                </c:pt>
                <c:pt idx="121">
                  <c:v>0</c:v>
                </c:pt>
                <c:pt idx="122">
                  <c:v>38558</c:v>
                </c:pt>
                <c:pt idx="123">
                  <c:v>0</c:v>
                </c:pt>
                <c:pt idx="124">
                  <c:v>34087</c:v>
                </c:pt>
                <c:pt idx="125">
                  <c:v>0</c:v>
                </c:pt>
                <c:pt idx="126">
                  <c:v>0</c:v>
                </c:pt>
                <c:pt idx="127">
                  <c:v>33333</c:v>
                </c:pt>
                <c:pt idx="128">
                  <c:v>0</c:v>
                </c:pt>
                <c:pt idx="129">
                  <c:v>34010</c:v>
                </c:pt>
                <c:pt idx="130">
                  <c:v>0</c:v>
                </c:pt>
                <c:pt idx="131">
                  <c:v>0</c:v>
                </c:pt>
                <c:pt idx="132">
                  <c:v>31714</c:v>
                </c:pt>
                <c:pt idx="133">
                  <c:v>0</c:v>
                </c:pt>
                <c:pt idx="134">
                  <c:v>28662</c:v>
                </c:pt>
                <c:pt idx="135">
                  <c:v>0</c:v>
                </c:pt>
                <c:pt idx="136">
                  <c:v>0</c:v>
                </c:pt>
                <c:pt idx="137">
                  <c:v>24978</c:v>
                </c:pt>
                <c:pt idx="138">
                  <c:v>0</c:v>
                </c:pt>
                <c:pt idx="139">
                  <c:v>0</c:v>
                </c:pt>
                <c:pt idx="140">
                  <c:v>22861</c:v>
                </c:pt>
                <c:pt idx="141">
                  <c:v>0</c:v>
                </c:pt>
                <c:pt idx="142">
                  <c:v>18384</c:v>
                </c:pt>
                <c:pt idx="143">
                  <c:v>0</c:v>
                </c:pt>
                <c:pt idx="144">
                  <c:v>0</c:v>
                </c:pt>
                <c:pt idx="145">
                  <c:v>14280</c:v>
                </c:pt>
                <c:pt idx="146">
                  <c:v>0</c:v>
                </c:pt>
                <c:pt idx="147">
                  <c:v>9379</c:v>
                </c:pt>
                <c:pt idx="148">
                  <c:v>0</c:v>
                </c:pt>
                <c:pt idx="149">
                  <c:v>0</c:v>
                </c:pt>
                <c:pt idx="150">
                  <c:v>7341</c:v>
                </c:pt>
                <c:pt idx="151">
                  <c:v>0</c:v>
                </c:pt>
                <c:pt idx="152">
                  <c:v>5088</c:v>
                </c:pt>
                <c:pt idx="153">
                  <c:v>0</c:v>
                </c:pt>
                <c:pt idx="154">
                  <c:v>0</c:v>
                </c:pt>
                <c:pt idx="155">
                  <c:v>4184</c:v>
                </c:pt>
                <c:pt idx="156">
                  <c:v>0</c:v>
                </c:pt>
                <c:pt idx="157">
                  <c:v>0</c:v>
                </c:pt>
                <c:pt idx="158">
                  <c:v>2920</c:v>
                </c:pt>
                <c:pt idx="159">
                  <c:v>0</c:v>
                </c:pt>
                <c:pt idx="160">
                  <c:v>2478</c:v>
                </c:pt>
                <c:pt idx="161">
                  <c:v>0</c:v>
                </c:pt>
                <c:pt idx="162">
                  <c:v>0</c:v>
                </c:pt>
                <c:pt idx="163">
                  <c:v>1415</c:v>
                </c:pt>
                <c:pt idx="164">
                  <c:v>0</c:v>
                </c:pt>
                <c:pt idx="165">
                  <c:v>464</c:v>
                </c:pt>
                <c:pt idx="166">
                  <c:v>0</c:v>
                </c:pt>
                <c:pt idx="167">
                  <c:v>0</c:v>
                </c:pt>
                <c:pt idx="168">
                  <c:v>344</c:v>
                </c:pt>
                <c:pt idx="169">
                  <c:v>0</c:v>
                </c:pt>
                <c:pt idx="170">
                  <c:v>0</c:v>
                </c:pt>
                <c:pt idx="171">
                  <c:v>172</c:v>
                </c:pt>
                <c:pt idx="172">
                  <c:v>0</c:v>
                </c:pt>
                <c:pt idx="173">
                  <c:v>130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2C-4742-AACD-08417B4273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4149640"/>
        <c:axId val="294150032"/>
      </c:lineChart>
      <c:catAx>
        <c:axId val="294149640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4150032"/>
        <c:crosses val="autoZero"/>
        <c:auto val="1"/>
        <c:lblAlgn val="ctr"/>
        <c:lblOffset val="100"/>
        <c:tickMarkSkip val="1"/>
        <c:noMultiLvlLbl val="0"/>
      </c:catAx>
      <c:valAx>
        <c:axId val="294150032"/>
        <c:scaling>
          <c:orientation val="minMax"/>
        </c:scaling>
        <c:delete val="1"/>
        <c:axPos val="l"/>
        <c:majorGridlines/>
        <c:numFmt formatCode="General" sourceLinked="1"/>
        <c:majorTickMark val="out"/>
        <c:minorTickMark val="none"/>
        <c:tickLblPos val="nextTo"/>
        <c:crossAx val="2941496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4.0728831725615807E-3"/>
          <c:y val="6.8443168741838464E-3"/>
          <c:w val="0.17706323687031084"/>
          <c:h val="0.23754237616849619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9BA4-475A-A05B-2CEEE2C10AC2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BA4-475A-A05B-2CEEE2C10AC2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BA4-475A-A05B-2CEEE2C10A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dMeasurement!$Z$17:$Z$19</c:f>
              <c:numCache>
                <c:formatCode>0.0%</c:formatCode>
                <c:ptCount val="3"/>
                <c:pt idx="0">
                  <c:v>0.17599903944723158</c:v>
                </c:pt>
                <c:pt idx="1">
                  <c:v>0.3159996970338903</c:v>
                </c:pt>
                <c:pt idx="2">
                  <c:v>0.50800126351887809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02-4B25-A66A-0CB2D2501F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40691478782543489"/>
          <c:y val="0.30107526881720431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96E8-4619-97A4-C1F2EF842F73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6E8-4619-97A4-C1F2EF842F73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6E8-4619-97A4-C1F2EF842F7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dMeasurement!$AG$17:$AG$19</c:f>
              <c:numCache>
                <c:formatCode>0.0%</c:formatCode>
                <c:ptCount val="3"/>
                <c:pt idx="0">
                  <c:v>0.51885449403817285</c:v>
                </c:pt>
                <c:pt idx="1">
                  <c:v>0.26309198379871479</c:v>
                </c:pt>
                <c:pt idx="2">
                  <c:v>0.21805352216311238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EF6-4C00-85E5-4AD0FB7D0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39035164082750523"/>
          <c:y val="0.3268817204301075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DC21-4B2B-A652-B776EE16BEC6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DC21-4B2B-A652-B776EE16BEC6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DC21-4B2B-A652-B776EE16BE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dMeasurement!$AH$17:$AH$19</c:f>
              <c:numCache>
                <c:formatCode>General</c:formatCode>
                <c:ptCount val="3"/>
                <c:pt idx="0" formatCode="0.00">
                  <c:v>6.1506825000000003</c:v>
                </c:pt>
                <c:pt idx="1">
                  <c:v>12.715892500000002</c:v>
                </c:pt>
                <c:pt idx="2">
                  <c:v>25.29365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0F0-436B-B7AA-E4DFEAE025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0.36250599999999999</c:v>
                </c:pt>
                <c:pt idx="2">
                  <c:v>0.76910400000000001</c:v>
                </c:pt>
                <c:pt idx="3">
                  <c:v>1.1715199999999999</c:v>
                </c:pt>
                <c:pt idx="4">
                  <c:v>1.57918</c:v>
                </c:pt>
                <c:pt idx="5">
                  <c:v>1.98584</c:v>
                </c:pt>
                <c:pt idx="6">
                  <c:v>2.3920400000000002</c:v>
                </c:pt>
                <c:pt idx="7">
                  <c:v>2.79976</c:v>
                </c:pt>
                <c:pt idx="8">
                  <c:v>3.2027199999999998</c:v>
                </c:pt>
                <c:pt idx="9">
                  <c:v>3.6143000000000001</c:v>
                </c:pt>
                <c:pt idx="10">
                  <c:v>4.0155599999999998</c:v>
                </c:pt>
                <c:pt idx="11">
                  <c:v>4.4212800000000003</c:v>
                </c:pt>
                <c:pt idx="12">
                  <c:v>4.8272700000000004</c:v>
                </c:pt>
                <c:pt idx="13">
                  <c:v>5.2350099999999999</c:v>
                </c:pt>
                <c:pt idx="14">
                  <c:v>5.6456299999999997</c:v>
                </c:pt>
                <c:pt idx="15">
                  <c:v>6.0480499999999999</c:v>
                </c:pt>
                <c:pt idx="16">
                  <c:v>6.4538399999999996</c:v>
                </c:pt>
                <c:pt idx="17">
                  <c:v>6.8617100000000004</c:v>
                </c:pt>
                <c:pt idx="18">
                  <c:v>7.2690900000000003</c:v>
                </c:pt>
                <c:pt idx="19">
                  <c:v>7.6730299999999998</c:v>
                </c:pt>
                <c:pt idx="20">
                  <c:v>8.0785599999999995</c:v>
                </c:pt>
                <c:pt idx="21">
                  <c:v>8.4827700000000004</c:v>
                </c:pt>
                <c:pt idx="22">
                  <c:v>8.8942200000000007</c:v>
                </c:pt>
                <c:pt idx="23">
                  <c:v>9.2958800000000004</c:v>
                </c:pt>
                <c:pt idx="24">
                  <c:v>9.70397</c:v>
                </c:pt>
                <c:pt idx="25">
                  <c:v>10.108700000000001</c:v>
                </c:pt>
                <c:pt idx="26">
                  <c:v>10.5139</c:v>
                </c:pt>
                <c:pt idx="27">
                  <c:v>10.923299999999999</c:v>
                </c:pt>
                <c:pt idx="28">
                  <c:v>11.331899999999999</c:v>
                </c:pt>
                <c:pt idx="29">
                  <c:v>11.7372</c:v>
                </c:pt>
                <c:pt idx="30">
                  <c:v>12.139900000000001</c:v>
                </c:pt>
                <c:pt idx="31">
                  <c:v>12.545500000000001</c:v>
                </c:pt>
                <c:pt idx="32">
                  <c:v>12.952299999999999</c:v>
                </c:pt>
                <c:pt idx="33">
                  <c:v>13.362500000000001</c:v>
                </c:pt>
                <c:pt idx="34">
                  <c:v>13.7652</c:v>
                </c:pt>
                <c:pt idx="35">
                  <c:v>14.171900000000001</c:v>
                </c:pt>
                <c:pt idx="36">
                  <c:v>14.578099999999999</c:v>
                </c:pt>
                <c:pt idx="37">
                  <c:v>14.9833</c:v>
                </c:pt>
                <c:pt idx="38">
                  <c:v>15.3917</c:v>
                </c:pt>
                <c:pt idx="39">
                  <c:v>15.7981</c:v>
                </c:pt>
                <c:pt idx="40">
                  <c:v>16.206700000000001</c:v>
                </c:pt>
                <c:pt idx="41">
                  <c:v>16.608599999999999</c:v>
                </c:pt>
                <c:pt idx="42">
                  <c:v>17.015999999999998</c:v>
                </c:pt>
                <c:pt idx="43">
                  <c:v>17.420200000000001</c:v>
                </c:pt>
                <c:pt idx="44">
                  <c:v>17.828700000000001</c:v>
                </c:pt>
                <c:pt idx="45">
                  <c:v>18.2347</c:v>
                </c:pt>
                <c:pt idx="46">
                  <c:v>18.6387</c:v>
                </c:pt>
                <c:pt idx="47">
                  <c:v>19.046700000000001</c:v>
                </c:pt>
                <c:pt idx="48">
                  <c:v>19.451599999999999</c:v>
                </c:pt>
                <c:pt idx="49">
                  <c:v>19.8644</c:v>
                </c:pt>
                <c:pt idx="50">
                  <c:v>20.2681</c:v>
                </c:pt>
                <c:pt idx="51">
                  <c:v>20.67</c:v>
                </c:pt>
                <c:pt idx="52">
                  <c:v>21.075099999999999</c:v>
                </c:pt>
                <c:pt idx="53">
                  <c:v>21.4862</c:v>
                </c:pt>
                <c:pt idx="54">
                  <c:v>21.8919</c:v>
                </c:pt>
                <c:pt idx="55">
                  <c:v>22.299199999999999</c:v>
                </c:pt>
                <c:pt idx="56">
                  <c:v>22.7029</c:v>
                </c:pt>
                <c:pt idx="57">
                  <c:v>23.1083</c:v>
                </c:pt>
                <c:pt idx="58">
                  <c:v>23.515499999999999</c:v>
                </c:pt>
                <c:pt idx="59">
                  <c:v>23.9206</c:v>
                </c:pt>
                <c:pt idx="60">
                  <c:v>24.328600000000002</c:v>
                </c:pt>
                <c:pt idx="61">
                  <c:v>24.7348</c:v>
                </c:pt>
                <c:pt idx="62">
                  <c:v>25.145199999999999</c:v>
                </c:pt>
                <c:pt idx="63">
                  <c:v>25.549800000000001</c:v>
                </c:pt>
                <c:pt idx="64">
                  <c:v>25.952500000000001</c:v>
                </c:pt>
                <c:pt idx="65">
                  <c:v>26.363700000000001</c:v>
                </c:pt>
                <c:pt idx="66">
                  <c:v>26.765799999999999</c:v>
                </c:pt>
                <c:pt idx="67">
                  <c:v>27.170200000000001</c:v>
                </c:pt>
                <c:pt idx="68">
                  <c:v>27.580400000000001</c:v>
                </c:pt>
                <c:pt idx="69">
                  <c:v>27.983599999999999</c:v>
                </c:pt>
                <c:pt idx="70">
                  <c:v>28.389500000000002</c:v>
                </c:pt>
                <c:pt idx="71">
                  <c:v>28.7956</c:v>
                </c:pt>
                <c:pt idx="72">
                  <c:v>29.203499999999998</c:v>
                </c:pt>
                <c:pt idx="73">
                  <c:v>29.61</c:v>
                </c:pt>
                <c:pt idx="74">
                  <c:v>30.014099999999999</c:v>
                </c:pt>
                <c:pt idx="75">
                  <c:v>30.607800000000001</c:v>
                </c:pt>
                <c:pt idx="76">
                  <c:v>30.982800000000001</c:v>
                </c:pt>
                <c:pt idx="77">
                  <c:v>31.360499999999998</c:v>
                </c:pt>
                <c:pt idx="78">
                  <c:v>31.734100000000002</c:v>
                </c:pt>
                <c:pt idx="79">
                  <c:v>32.112000000000002</c:v>
                </c:pt>
                <c:pt idx="80">
                  <c:v>32.5154</c:v>
                </c:pt>
                <c:pt idx="81">
                  <c:v>32.921199999999999</c:v>
                </c:pt>
                <c:pt idx="82">
                  <c:v>33.329700000000003</c:v>
                </c:pt>
                <c:pt idx="83">
                  <c:v>33.734000000000002</c:v>
                </c:pt>
                <c:pt idx="84">
                  <c:v>34.140099999999997</c:v>
                </c:pt>
                <c:pt idx="85">
                  <c:v>34.549100000000003</c:v>
                </c:pt>
                <c:pt idx="86">
                  <c:v>34.953400000000002</c:v>
                </c:pt>
                <c:pt idx="87">
                  <c:v>35.361600000000003</c:v>
                </c:pt>
                <c:pt idx="88">
                  <c:v>35.7652</c:v>
                </c:pt>
                <c:pt idx="89">
                  <c:v>36.171500000000002</c:v>
                </c:pt>
                <c:pt idx="90">
                  <c:v>36.5777</c:v>
                </c:pt>
                <c:pt idx="91">
                  <c:v>36.987299999999998</c:v>
                </c:pt>
                <c:pt idx="92">
                  <c:v>37.388199999999998</c:v>
                </c:pt>
                <c:pt idx="93">
                  <c:v>37.797400000000003</c:v>
                </c:pt>
                <c:pt idx="94">
                  <c:v>38.2044</c:v>
                </c:pt>
                <c:pt idx="95">
                  <c:v>38.606699999999996</c:v>
                </c:pt>
                <c:pt idx="96">
                  <c:v>39.016599999999997</c:v>
                </c:pt>
                <c:pt idx="97">
                  <c:v>39.424300000000002</c:v>
                </c:pt>
                <c:pt idx="98">
                  <c:v>39.8324</c:v>
                </c:pt>
                <c:pt idx="99">
                  <c:v>40.236699999999999</c:v>
                </c:pt>
                <c:pt idx="100">
                  <c:v>40.639899999999997</c:v>
                </c:pt>
                <c:pt idx="101">
                  <c:v>41.047199999999997</c:v>
                </c:pt>
                <c:pt idx="102">
                  <c:v>41.453400000000002</c:v>
                </c:pt>
                <c:pt idx="103">
                  <c:v>41.8626</c:v>
                </c:pt>
                <c:pt idx="104">
                  <c:v>42.265099999999997</c:v>
                </c:pt>
                <c:pt idx="105">
                  <c:v>42.671599999999998</c:v>
                </c:pt>
                <c:pt idx="106">
                  <c:v>43.076799999999999</c:v>
                </c:pt>
                <c:pt idx="107">
                  <c:v>43.485999999999997</c:v>
                </c:pt>
                <c:pt idx="108">
                  <c:v>43.893000000000001</c:v>
                </c:pt>
                <c:pt idx="109">
                  <c:v>44.297199999999997</c:v>
                </c:pt>
                <c:pt idx="110">
                  <c:v>44.703200000000002</c:v>
                </c:pt>
                <c:pt idx="111">
                  <c:v>45.107100000000003</c:v>
                </c:pt>
                <c:pt idx="112">
                  <c:v>45.513199999999998</c:v>
                </c:pt>
                <c:pt idx="113">
                  <c:v>45.920900000000003</c:v>
                </c:pt>
                <c:pt idx="114">
                  <c:v>46.333799999999997</c:v>
                </c:pt>
                <c:pt idx="115">
                  <c:v>46.735799999999998</c:v>
                </c:pt>
                <c:pt idx="116">
                  <c:v>47.143099999999997</c:v>
                </c:pt>
                <c:pt idx="117">
                  <c:v>47.548900000000003</c:v>
                </c:pt>
                <c:pt idx="118">
                  <c:v>47.952599999999997</c:v>
                </c:pt>
                <c:pt idx="119">
                  <c:v>48.355800000000002</c:v>
                </c:pt>
                <c:pt idx="120">
                  <c:v>48.764699999999998</c:v>
                </c:pt>
                <c:pt idx="121">
                  <c:v>49.174500000000002</c:v>
                </c:pt>
                <c:pt idx="122">
                  <c:v>49.578400000000002</c:v>
                </c:pt>
                <c:pt idx="123">
                  <c:v>49.981699999999996</c:v>
                </c:pt>
                <c:pt idx="124">
                  <c:v>50.389299999999999</c:v>
                </c:pt>
                <c:pt idx="125">
                  <c:v>50.800600000000003</c:v>
                </c:pt>
                <c:pt idx="126">
                  <c:v>51.203800000000001</c:v>
                </c:pt>
                <c:pt idx="127">
                  <c:v>51.6126</c:v>
                </c:pt>
                <c:pt idx="128">
                  <c:v>52.014899999999997</c:v>
                </c:pt>
                <c:pt idx="129">
                  <c:v>52.421599999999998</c:v>
                </c:pt>
                <c:pt idx="130">
                  <c:v>52.831600000000002</c:v>
                </c:pt>
                <c:pt idx="131">
                  <c:v>53.236699999999999</c:v>
                </c:pt>
                <c:pt idx="132">
                  <c:v>53.6402</c:v>
                </c:pt>
                <c:pt idx="133">
                  <c:v>54.044699999999999</c:v>
                </c:pt>
                <c:pt idx="134">
                  <c:v>54.453200000000002</c:v>
                </c:pt>
                <c:pt idx="135">
                  <c:v>54.861400000000003</c:v>
                </c:pt>
                <c:pt idx="136">
                  <c:v>55.263800000000003</c:v>
                </c:pt>
                <c:pt idx="137">
                  <c:v>55.673999999999999</c:v>
                </c:pt>
                <c:pt idx="138">
                  <c:v>56.078099999999999</c:v>
                </c:pt>
                <c:pt idx="139">
                  <c:v>56.486600000000003</c:v>
                </c:pt>
                <c:pt idx="140">
                  <c:v>56.8917</c:v>
                </c:pt>
                <c:pt idx="141">
                  <c:v>57.296900000000001</c:v>
                </c:pt>
                <c:pt idx="142">
                  <c:v>57.7057</c:v>
                </c:pt>
                <c:pt idx="143">
                  <c:v>58.106499999999997</c:v>
                </c:pt>
                <c:pt idx="144">
                  <c:v>58.514600000000002</c:v>
                </c:pt>
                <c:pt idx="145">
                  <c:v>58.920999999999999</c:v>
                </c:pt>
                <c:pt idx="146">
                  <c:v>59.330399999999997</c:v>
                </c:pt>
                <c:pt idx="147">
                  <c:v>59.7346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148"/>
                <c:pt idx="0">
                  <c:v>1.7180400000000002</c:v>
                </c:pt>
                <c:pt idx="1">
                  <c:v>1.76193</c:v>
                </c:pt>
                <c:pt idx="2">
                  <c:v>1.80619</c:v>
                </c:pt>
                <c:pt idx="3">
                  <c:v>1.84931</c:v>
                </c:pt>
                <c:pt idx="4">
                  <c:v>1.8915899999999999</c:v>
                </c:pt>
                <c:pt idx="5">
                  <c:v>1.93252</c:v>
                </c:pt>
                <c:pt idx="6">
                  <c:v>1.9722700000000002</c:v>
                </c:pt>
                <c:pt idx="7">
                  <c:v>2.0112199999999998</c:v>
                </c:pt>
                <c:pt idx="8">
                  <c:v>2.0497899999999998</c:v>
                </c:pt>
                <c:pt idx="9">
                  <c:v>2.0885799999999999</c:v>
                </c:pt>
                <c:pt idx="10">
                  <c:v>2.1273400000000002</c:v>
                </c:pt>
                <c:pt idx="11">
                  <c:v>2.1656500000000003</c:v>
                </c:pt>
                <c:pt idx="12">
                  <c:v>2.20316</c:v>
                </c:pt>
                <c:pt idx="13">
                  <c:v>2.2399499999999999</c:v>
                </c:pt>
                <c:pt idx="14">
                  <c:v>2.2751099999999997</c:v>
                </c:pt>
                <c:pt idx="15">
                  <c:v>2.3094600000000001</c:v>
                </c:pt>
                <c:pt idx="16">
                  <c:v>2.3450600000000001</c:v>
                </c:pt>
                <c:pt idx="17">
                  <c:v>2.3799100000000002</c:v>
                </c:pt>
                <c:pt idx="18">
                  <c:v>2.41384</c:v>
                </c:pt>
                <c:pt idx="19">
                  <c:v>2.4466099999999997</c:v>
                </c:pt>
                <c:pt idx="20">
                  <c:v>2.4775499999999999</c:v>
                </c:pt>
                <c:pt idx="21">
                  <c:v>2.5090400000000002</c:v>
                </c:pt>
                <c:pt idx="22">
                  <c:v>2.5404100000000001</c:v>
                </c:pt>
                <c:pt idx="23">
                  <c:v>2.57043</c:v>
                </c:pt>
                <c:pt idx="24">
                  <c:v>2.59931</c:v>
                </c:pt>
                <c:pt idx="25">
                  <c:v>2.6290200000000001</c:v>
                </c:pt>
                <c:pt idx="26">
                  <c:v>2.6585900000000002</c:v>
                </c:pt>
                <c:pt idx="27">
                  <c:v>2.6878099999999998</c:v>
                </c:pt>
                <c:pt idx="28">
                  <c:v>2.7148499999999998</c:v>
                </c:pt>
                <c:pt idx="29">
                  <c:v>2.7411300000000001</c:v>
                </c:pt>
                <c:pt idx="30">
                  <c:v>2.7660499999999999</c:v>
                </c:pt>
                <c:pt idx="31">
                  <c:v>2.7914400000000001</c:v>
                </c:pt>
                <c:pt idx="32">
                  <c:v>2.8158899999999996</c:v>
                </c:pt>
                <c:pt idx="33">
                  <c:v>2.8378100000000002</c:v>
                </c:pt>
                <c:pt idx="34">
                  <c:v>2.8566500000000001</c:v>
                </c:pt>
                <c:pt idx="35">
                  <c:v>2.8734999999999999</c:v>
                </c:pt>
                <c:pt idx="36">
                  <c:v>2.8900999999999999</c:v>
                </c:pt>
                <c:pt idx="37">
                  <c:v>2.9055599999999999</c:v>
                </c:pt>
                <c:pt idx="38">
                  <c:v>2.9209700000000001</c:v>
                </c:pt>
                <c:pt idx="39">
                  <c:v>2.9386400000000004</c:v>
                </c:pt>
                <c:pt idx="40">
                  <c:v>2.9572399999999996</c:v>
                </c:pt>
                <c:pt idx="41">
                  <c:v>2.9739599999999999</c:v>
                </c:pt>
                <c:pt idx="42">
                  <c:v>2.9917700000000003</c:v>
                </c:pt>
                <c:pt idx="43">
                  <c:v>3.0091600000000001</c:v>
                </c:pt>
                <c:pt idx="44">
                  <c:v>3.0260500000000001</c:v>
                </c:pt>
                <c:pt idx="45">
                  <c:v>3.0470299999999999</c:v>
                </c:pt>
                <c:pt idx="46">
                  <c:v>3.0673899999999996</c:v>
                </c:pt>
                <c:pt idx="47">
                  <c:v>3.0878000000000001</c:v>
                </c:pt>
                <c:pt idx="48">
                  <c:v>3.1073899999999997</c:v>
                </c:pt>
                <c:pt idx="49">
                  <c:v>3.1253399999999996</c:v>
                </c:pt>
                <c:pt idx="50">
                  <c:v>3.1368800000000001</c:v>
                </c:pt>
                <c:pt idx="51">
                  <c:v>3.1509</c:v>
                </c:pt>
                <c:pt idx="52">
                  <c:v>3.1638000000000002</c:v>
                </c:pt>
                <c:pt idx="53">
                  <c:v>3.1775599999999997</c:v>
                </c:pt>
                <c:pt idx="54">
                  <c:v>3.1900200000000001</c:v>
                </c:pt>
                <c:pt idx="55">
                  <c:v>3.2027200000000002</c:v>
                </c:pt>
                <c:pt idx="56">
                  <c:v>3.21529</c:v>
                </c:pt>
                <c:pt idx="57">
                  <c:v>3.22614</c:v>
                </c:pt>
                <c:pt idx="58">
                  <c:v>3.2358799999999999</c:v>
                </c:pt>
                <c:pt idx="59">
                  <c:v>3.2444299999999999</c:v>
                </c:pt>
                <c:pt idx="60">
                  <c:v>3.25318</c:v>
                </c:pt>
                <c:pt idx="61">
                  <c:v>3.26342</c:v>
                </c:pt>
                <c:pt idx="62">
                  <c:v>3.2750499999999998</c:v>
                </c:pt>
                <c:pt idx="63">
                  <c:v>3.2862400000000003</c:v>
                </c:pt>
                <c:pt idx="64">
                  <c:v>3.2949099999999998</c:v>
                </c:pt>
                <c:pt idx="65">
                  <c:v>3.3028400000000002</c:v>
                </c:pt>
                <c:pt idx="66">
                  <c:v>3.3111299999999999</c:v>
                </c:pt>
                <c:pt idx="67">
                  <c:v>3.3176499999999995</c:v>
                </c:pt>
                <c:pt idx="68">
                  <c:v>3.3261099999999999</c:v>
                </c:pt>
                <c:pt idx="69">
                  <c:v>3.3362500000000002</c:v>
                </c:pt>
                <c:pt idx="70">
                  <c:v>3.3468300000000002</c:v>
                </c:pt>
                <c:pt idx="71">
                  <c:v>3.3605299999999998</c:v>
                </c:pt>
                <c:pt idx="72">
                  <c:v>3.3758899999999996</c:v>
                </c:pt>
                <c:pt idx="73">
                  <c:v>3.3925200000000002</c:v>
                </c:pt>
                <c:pt idx="74">
                  <c:v>3.4095999999999997</c:v>
                </c:pt>
                <c:pt idx="75">
                  <c:v>3.4330799999999999</c:v>
                </c:pt>
                <c:pt idx="76">
                  <c:v>3.45072</c:v>
                </c:pt>
                <c:pt idx="77">
                  <c:v>3.4677899999999999</c:v>
                </c:pt>
                <c:pt idx="78">
                  <c:v>3.4855100000000001</c:v>
                </c:pt>
                <c:pt idx="79">
                  <c:v>3.5019099999999996</c:v>
                </c:pt>
                <c:pt idx="80">
                  <c:v>3.5178099999999999</c:v>
                </c:pt>
                <c:pt idx="81">
                  <c:v>3.53146</c:v>
                </c:pt>
                <c:pt idx="82">
                  <c:v>3.5470000000000002</c:v>
                </c:pt>
                <c:pt idx="83">
                  <c:v>3.5626799999999998</c:v>
                </c:pt>
                <c:pt idx="84">
                  <c:v>3.57952</c:v>
                </c:pt>
                <c:pt idx="85">
                  <c:v>3.5950300000000004</c:v>
                </c:pt>
                <c:pt idx="86">
                  <c:v>3.6074899999999999</c:v>
                </c:pt>
                <c:pt idx="87">
                  <c:v>3.61721</c:v>
                </c:pt>
                <c:pt idx="88">
                  <c:v>3.6247199999999999</c:v>
                </c:pt>
                <c:pt idx="89">
                  <c:v>3.6295999999999999</c:v>
                </c:pt>
                <c:pt idx="90">
                  <c:v>3.6327199999999999</c:v>
                </c:pt>
                <c:pt idx="91">
                  <c:v>3.63489</c:v>
                </c:pt>
                <c:pt idx="92">
                  <c:v>3.6352600000000002</c:v>
                </c:pt>
                <c:pt idx="93">
                  <c:v>3.6331899999999999</c:v>
                </c:pt>
                <c:pt idx="94">
                  <c:v>3.6255799999999998</c:v>
                </c:pt>
                <c:pt idx="95">
                  <c:v>3.6111</c:v>
                </c:pt>
                <c:pt idx="96">
                  <c:v>3.5911</c:v>
                </c:pt>
                <c:pt idx="97">
                  <c:v>3.5664400000000001</c:v>
                </c:pt>
                <c:pt idx="98">
                  <c:v>3.5398000000000001</c:v>
                </c:pt>
                <c:pt idx="99">
                  <c:v>3.5124300000000002</c:v>
                </c:pt>
                <c:pt idx="100">
                  <c:v>3.4835899999999995</c:v>
                </c:pt>
                <c:pt idx="101">
                  <c:v>3.4516400000000003</c:v>
                </c:pt>
                <c:pt idx="102">
                  <c:v>3.41736</c:v>
                </c:pt>
                <c:pt idx="103">
                  <c:v>3.3826800000000001</c:v>
                </c:pt>
                <c:pt idx="104">
                  <c:v>3.3502000000000001</c:v>
                </c:pt>
                <c:pt idx="105">
                  <c:v>3.3159300000000003</c:v>
                </c:pt>
                <c:pt idx="106">
                  <c:v>3.2823899999999999</c:v>
                </c:pt>
                <c:pt idx="107">
                  <c:v>3.2487899999999996</c:v>
                </c:pt>
                <c:pt idx="108">
                  <c:v>3.2134099999999997</c:v>
                </c:pt>
                <c:pt idx="109">
                  <c:v>3.1768099999999997</c:v>
                </c:pt>
                <c:pt idx="110">
                  <c:v>3.1384699999999999</c:v>
                </c:pt>
                <c:pt idx="111">
                  <c:v>3.09917</c:v>
                </c:pt>
                <c:pt idx="112">
                  <c:v>3.0610599999999999</c:v>
                </c:pt>
                <c:pt idx="113">
                  <c:v>3.0238800000000001</c:v>
                </c:pt>
                <c:pt idx="114">
                  <c:v>2.9893100000000001</c:v>
                </c:pt>
                <c:pt idx="115">
                  <c:v>2.9540999999999999</c:v>
                </c:pt>
                <c:pt idx="116">
                  <c:v>2.9179399999999998</c:v>
                </c:pt>
                <c:pt idx="117">
                  <c:v>2.88043</c:v>
                </c:pt>
                <c:pt idx="118">
                  <c:v>2.8448899999999999</c:v>
                </c:pt>
                <c:pt idx="119">
                  <c:v>2.8140300000000003</c:v>
                </c:pt>
                <c:pt idx="120">
                  <c:v>2.7872400000000002</c:v>
                </c:pt>
                <c:pt idx="121">
                  <c:v>2.76633</c:v>
                </c:pt>
                <c:pt idx="122">
                  <c:v>2.7486999999999999</c:v>
                </c:pt>
                <c:pt idx="123">
                  <c:v>2.7333400000000001</c:v>
                </c:pt>
                <c:pt idx="124">
                  <c:v>2.72173</c:v>
                </c:pt>
                <c:pt idx="125">
                  <c:v>2.7100600000000004</c:v>
                </c:pt>
                <c:pt idx="126">
                  <c:v>2.7018599999999999</c:v>
                </c:pt>
                <c:pt idx="127">
                  <c:v>2.6947399999999999</c:v>
                </c:pt>
                <c:pt idx="128">
                  <c:v>2.6864700000000004</c:v>
                </c:pt>
                <c:pt idx="129">
                  <c:v>2.67503</c:v>
                </c:pt>
                <c:pt idx="130">
                  <c:v>2.6645999999999996</c:v>
                </c:pt>
                <c:pt idx="131">
                  <c:v>2.6540699999999999</c:v>
                </c:pt>
                <c:pt idx="132">
                  <c:v>2.64032</c:v>
                </c:pt>
                <c:pt idx="133">
                  <c:v>2.6269799999999996</c:v>
                </c:pt>
                <c:pt idx="134">
                  <c:v>2.6151799999999996</c:v>
                </c:pt>
                <c:pt idx="135">
                  <c:v>2.6064100000000003</c:v>
                </c:pt>
                <c:pt idx="136">
                  <c:v>2.6002999999999998</c:v>
                </c:pt>
                <c:pt idx="137">
                  <c:v>2.5929799999999998</c:v>
                </c:pt>
                <c:pt idx="138">
                  <c:v>2.5882000000000001</c:v>
                </c:pt>
                <c:pt idx="139">
                  <c:v>2.58155</c:v>
                </c:pt>
                <c:pt idx="140">
                  <c:v>2.5793500000000003</c:v>
                </c:pt>
                <c:pt idx="141">
                  <c:v>2.5840000000000001</c:v>
                </c:pt>
                <c:pt idx="142">
                  <c:v>2.5954199999999998</c:v>
                </c:pt>
                <c:pt idx="143">
                  <c:v>2.6027</c:v>
                </c:pt>
                <c:pt idx="144">
                  <c:v>2.61348</c:v>
                </c:pt>
                <c:pt idx="145">
                  <c:v>2.63009</c:v>
                </c:pt>
                <c:pt idx="146">
                  <c:v>2.6357499999999998</c:v>
                </c:pt>
                <c:pt idx="147">
                  <c:v>2.64079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E-4BA8-8A29-17BDB2F5F64B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8064A2">
                  <a:lumMod val="40000"/>
                  <a:lumOff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0.36250599999999999</c:v>
                </c:pt>
                <c:pt idx="2">
                  <c:v>0.76910400000000001</c:v>
                </c:pt>
                <c:pt idx="3">
                  <c:v>1.1715199999999999</c:v>
                </c:pt>
                <c:pt idx="4">
                  <c:v>1.57918</c:v>
                </c:pt>
                <c:pt idx="5">
                  <c:v>1.98584</c:v>
                </c:pt>
                <c:pt idx="6">
                  <c:v>2.3920400000000002</c:v>
                </c:pt>
                <c:pt idx="7">
                  <c:v>2.79976</c:v>
                </c:pt>
                <c:pt idx="8">
                  <c:v>3.2027199999999998</c:v>
                </c:pt>
                <c:pt idx="9">
                  <c:v>3.6143000000000001</c:v>
                </c:pt>
                <c:pt idx="10">
                  <c:v>4.0155599999999998</c:v>
                </c:pt>
                <c:pt idx="11">
                  <c:v>4.4212800000000003</c:v>
                </c:pt>
                <c:pt idx="12">
                  <c:v>4.8272700000000004</c:v>
                </c:pt>
                <c:pt idx="13">
                  <c:v>5.2350099999999999</c:v>
                </c:pt>
                <c:pt idx="14">
                  <c:v>5.6456299999999997</c:v>
                </c:pt>
                <c:pt idx="15">
                  <c:v>6.0480499999999999</c:v>
                </c:pt>
                <c:pt idx="16">
                  <c:v>6.4538399999999996</c:v>
                </c:pt>
                <c:pt idx="17">
                  <c:v>6.8617100000000004</c:v>
                </c:pt>
                <c:pt idx="18">
                  <c:v>7.2690900000000003</c:v>
                </c:pt>
                <c:pt idx="19">
                  <c:v>7.6730299999999998</c:v>
                </c:pt>
                <c:pt idx="20">
                  <c:v>8.0785599999999995</c:v>
                </c:pt>
                <c:pt idx="21">
                  <c:v>8.4827700000000004</c:v>
                </c:pt>
                <c:pt idx="22">
                  <c:v>8.8942200000000007</c:v>
                </c:pt>
                <c:pt idx="23">
                  <c:v>9.2958800000000004</c:v>
                </c:pt>
                <c:pt idx="24">
                  <c:v>9.70397</c:v>
                </c:pt>
                <c:pt idx="25">
                  <c:v>10.108700000000001</c:v>
                </c:pt>
                <c:pt idx="26">
                  <c:v>10.5139</c:v>
                </c:pt>
                <c:pt idx="27">
                  <c:v>10.923299999999999</c:v>
                </c:pt>
                <c:pt idx="28">
                  <c:v>11.331899999999999</c:v>
                </c:pt>
                <c:pt idx="29">
                  <c:v>11.7372</c:v>
                </c:pt>
                <c:pt idx="30">
                  <c:v>12.139900000000001</c:v>
                </c:pt>
                <c:pt idx="31">
                  <c:v>12.545500000000001</c:v>
                </c:pt>
                <c:pt idx="32">
                  <c:v>12.952299999999999</c:v>
                </c:pt>
                <c:pt idx="33">
                  <c:v>13.362500000000001</c:v>
                </c:pt>
                <c:pt idx="34">
                  <c:v>13.7652</c:v>
                </c:pt>
                <c:pt idx="35">
                  <c:v>14.171900000000001</c:v>
                </c:pt>
                <c:pt idx="36">
                  <c:v>14.578099999999999</c:v>
                </c:pt>
                <c:pt idx="37">
                  <c:v>14.9833</c:v>
                </c:pt>
                <c:pt idx="38">
                  <c:v>15.3917</c:v>
                </c:pt>
                <c:pt idx="39">
                  <c:v>15.7981</c:v>
                </c:pt>
                <c:pt idx="40">
                  <c:v>16.206700000000001</c:v>
                </c:pt>
                <c:pt idx="41">
                  <c:v>16.608599999999999</c:v>
                </c:pt>
                <c:pt idx="42">
                  <c:v>17.015999999999998</c:v>
                </c:pt>
                <c:pt idx="43">
                  <c:v>17.420200000000001</c:v>
                </c:pt>
                <c:pt idx="44">
                  <c:v>17.828700000000001</c:v>
                </c:pt>
                <c:pt idx="45">
                  <c:v>18.2347</c:v>
                </c:pt>
                <c:pt idx="46">
                  <c:v>18.6387</c:v>
                </c:pt>
                <c:pt idx="47">
                  <c:v>19.046700000000001</c:v>
                </c:pt>
                <c:pt idx="48">
                  <c:v>19.451599999999999</c:v>
                </c:pt>
                <c:pt idx="49">
                  <c:v>19.8644</c:v>
                </c:pt>
                <c:pt idx="50">
                  <c:v>20.2681</c:v>
                </c:pt>
                <c:pt idx="51">
                  <c:v>20.67</c:v>
                </c:pt>
                <c:pt idx="52">
                  <c:v>21.075099999999999</c:v>
                </c:pt>
                <c:pt idx="53">
                  <c:v>21.4862</c:v>
                </c:pt>
                <c:pt idx="54">
                  <c:v>21.8919</c:v>
                </c:pt>
                <c:pt idx="55">
                  <c:v>22.299199999999999</c:v>
                </c:pt>
                <c:pt idx="56">
                  <c:v>22.7029</c:v>
                </c:pt>
                <c:pt idx="57">
                  <c:v>23.1083</c:v>
                </c:pt>
                <c:pt idx="58">
                  <c:v>23.515499999999999</c:v>
                </c:pt>
                <c:pt idx="59">
                  <c:v>23.9206</c:v>
                </c:pt>
                <c:pt idx="60">
                  <c:v>24.328600000000002</c:v>
                </c:pt>
                <c:pt idx="61">
                  <c:v>24.7348</c:v>
                </c:pt>
                <c:pt idx="62">
                  <c:v>25.145199999999999</c:v>
                </c:pt>
                <c:pt idx="63">
                  <c:v>25.549800000000001</c:v>
                </c:pt>
                <c:pt idx="64">
                  <c:v>25.952500000000001</c:v>
                </c:pt>
                <c:pt idx="65">
                  <c:v>26.363700000000001</c:v>
                </c:pt>
                <c:pt idx="66">
                  <c:v>26.765799999999999</c:v>
                </c:pt>
                <c:pt idx="67">
                  <c:v>27.170200000000001</c:v>
                </c:pt>
                <c:pt idx="68">
                  <c:v>27.580400000000001</c:v>
                </c:pt>
                <c:pt idx="69">
                  <c:v>27.983599999999999</c:v>
                </c:pt>
                <c:pt idx="70">
                  <c:v>28.389500000000002</c:v>
                </c:pt>
                <c:pt idx="71">
                  <c:v>28.7956</c:v>
                </c:pt>
                <c:pt idx="72">
                  <c:v>29.203499999999998</c:v>
                </c:pt>
                <c:pt idx="73">
                  <c:v>29.61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74"/>
                <c:pt idx="0">
                  <c:v>1.7180400000000002</c:v>
                </c:pt>
                <c:pt idx="1">
                  <c:v>1.76193</c:v>
                </c:pt>
                <c:pt idx="2">
                  <c:v>1.80619</c:v>
                </c:pt>
                <c:pt idx="3">
                  <c:v>1.84931</c:v>
                </c:pt>
                <c:pt idx="4">
                  <c:v>1.8915899999999999</c:v>
                </c:pt>
                <c:pt idx="5">
                  <c:v>1.93252</c:v>
                </c:pt>
                <c:pt idx="6">
                  <c:v>1.9722700000000002</c:v>
                </c:pt>
                <c:pt idx="7">
                  <c:v>2.0112199999999998</c:v>
                </c:pt>
                <c:pt idx="8">
                  <c:v>2.0497899999999998</c:v>
                </c:pt>
                <c:pt idx="9">
                  <c:v>2.0885799999999999</c:v>
                </c:pt>
                <c:pt idx="10">
                  <c:v>2.1273400000000002</c:v>
                </c:pt>
                <c:pt idx="11">
                  <c:v>2.1656500000000003</c:v>
                </c:pt>
                <c:pt idx="12">
                  <c:v>2.20316</c:v>
                </c:pt>
                <c:pt idx="13">
                  <c:v>2.2399499999999999</c:v>
                </c:pt>
                <c:pt idx="14">
                  <c:v>2.2751099999999997</c:v>
                </c:pt>
                <c:pt idx="15">
                  <c:v>2.3094600000000001</c:v>
                </c:pt>
                <c:pt idx="16">
                  <c:v>2.3450600000000001</c:v>
                </c:pt>
                <c:pt idx="17">
                  <c:v>2.3799100000000002</c:v>
                </c:pt>
                <c:pt idx="18">
                  <c:v>2.41384</c:v>
                </c:pt>
                <c:pt idx="19">
                  <c:v>2.4466099999999997</c:v>
                </c:pt>
                <c:pt idx="20">
                  <c:v>2.4775499999999999</c:v>
                </c:pt>
                <c:pt idx="21">
                  <c:v>2.5090400000000002</c:v>
                </c:pt>
                <c:pt idx="22">
                  <c:v>2.5404100000000001</c:v>
                </c:pt>
                <c:pt idx="23">
                  <c:v>2.57043</c:v>
                </c:pt>
                <c:pt idx="24">
                  <c:v>2.59931</c:v>
                </c:pt>
                <c:pt idx="25">
                  <c:v>2.6290200000000001</c:v>
                </c:pt>
                <c:pt idx="26">
                  <c:v>2.6585900000000002</c:v>
                </c:pt>
                <c:pt idx="27">
                  <c:v>2.6878099999999998</c:v>
                </c:pt>
                <c:pt idx="28">
                  <c:v>2.7148499999999998</c:v>
                </c:pt>
                <c:pt idx="29">
                  <c:v>2.7411300000000001</c:v>
                </c:pt>
                <c:pt idx="30">
                  <c:v>2.7660499999999999</c:v>
                </c:pt>
                <c:pt idx="31">
                  <c:v>2.7914400000000001</c:v>
                </c:pt>
                <c:pt idx="32">
                  <c:v>2.8158899999999996</c:v>
                </c:pt>
                <c:pt idx="33">
                  <c:v>2.8378100000000002</c:v>
                </c:pt>
                <c:pt idx="34">
                  <c:v>2.8566500000000001</c:v>
                </c:pt>
                <c:pt idx="35">
                  <c:v>2.8734999999999999</c:v>
                </c:pt>
                <c:pt idx="36">
                  <c:v>2.8900999999999999</c:v>
                </c:pt>
                <c:pt idx="37">
                  <c:v>2.9055599999999999</c:v>
                </c:pt>
                <c:pt idx="38">
                  <c:v>2.9209700000000001</c:v>
                </c:pt>
                <c:pt idx="39">
                  <c:v>2.9386400000000004</c:v>
                </c:pt>
                <c:pt idx="40">
                  <c:v>2.9572399999999996</c:v>
                </c:pt>
                <c:pt idx="41">
                  <c:v>2.9739599999999999</c:v>
                </c:pt>
                <c:pt idx="42">
                  <c:v>2.9917700000000003</c:v>
                </c:pt>
                <c:pt idx="43">
                  <c:v>3.0091600000000001</c:v>
                </c:pt>
                <c:pt idx="44">
                  <c:v>3.0260500000000001</c:v>
                </c:pt>
                <c:pt idx="45">
                  <c:v>3.0470299999999999</c:v>
                </c:pt>
                <c:pt idx="46">
                  <c:v>3.0673899999999996</c:v>
                </c:pt>
                <c:pt idx="47">
                  <c:v>3.0878000000000001</c:v>
                </c:pt>
                <c:pt idx="48">
                  <c:v>3.1073899999999997</c:v>
                </c:pt>
                <c:pt idx="49">
                  <c:v>3.1253399999999996</c:v>
                </c:pt>
                <c:pt idx="50">
                  <c:v>3.1368800000000001</c:v>
                </c:pt>
                <c:pt idx="51">
                  <c:v>3.1509</c:v>
                </c:pt>
                <c:pt idx="52">
                  <c:v>3.1638000000000002</c:v>
                </c:pt>
                <c:pt idx="53">
                  <c:v>3.1775599999999997</c:v>
                </c:pt>
                <c:pt idx="54">
                  <c:v>3.1900200000000001</c:v>
                </c:pt>
                <c:pt idx="55">
                  <c:v>3.2027200000000002</c:v>
                </c:pt>
                <c:pt idx="56">
                  <c:v>3.21529</c:v>
                </c:pt>
                <c:pt idx="57">
                  <c:v>3.22614</c:v>
                </c:pt>
                <c:pt idx="58">
                  <c:v>3.2358799999999999</c:v>
                </c:pt>
                <c:pt idx="59">
                  <c:v>3.2444299999999999</c:v>
                </c:pt>
                <c:pt idx="60">
                  <c:v>3.25318</c:v>
                </c:pt>
                <c:pt idx="61">
                  <c:v>3.26342</c:v>
                </c:pt>
                <c:pt idx="62">
                  <c:v>3.2750499999999998</c:v>
                </c:pt>
                <c:pt idx="63">
                  <c:v>3.2862400000000003</c:v>
                </c:pt>
                <c:pt idx="64">
                  <c:v>3.2949099999999998</c:v>
                </c:pt>
                <c:pt idx="65">
                  <c:v>3.3028400000000002</c:v>
                </c:pt>
                <c:pt idx="66">
                  <c:v>3.3111299999999999</c:v>
                </c:pt>
                <c:pt idx="67">
                  <c:v>3.3176499999999995</c:v>
                </c:pt>
                <c:pt idx="68">
                  <c:v>3.3261099999999999</c:v>
                </c:pt>
                <c:pt idx="69">
                  <c:v>3.3362500000000002</c:v>
                </c:pt>
                <c:pt idx="70">
                  <c:v>3.3468300000000002</c:v>
                </c:pt>
                <c:pt idx="71">
                  <c:v>3.3605299999999998</c:v>
                </c:pt>
                <c:pt idx="72">
                  <c:v>3.3758899999999996</c:v>
                </c:pt>
                <c:pt idx="73">
                  <c:v>3.3925200000000002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E-4BA8-8A29-17BDB2F5F64B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29.61</c:v>
                </c:pt>
                <c:pt idx="1">
                  <c:v>30.014099999999999</c:v>
                </c:pt>
                <c:pt idx="2">
                  <c:v>30.607800000000001</c:v>
                </c:pt>
                <c:pt idx="3">
                  <c:v>30.982800000000001</c:v>
                </c:pt>
                <c:pt idx="4">
                  <c:v>31.360499999999998</c:v>
                </c:pt>
                <c:pt idx="5">
                  <c:v>31.734100000000002</c:v>
                </c:pt>
                <c:pt idx="6">
                  <c:v>32.112000000000002</c:v>
                </c:pt>
                <c:pt idx="7">
                  <c:v>32.5154</c:v>
                </c:pt>
                <c:pt idx="8">
                  <c:v>32.921199999999999</c:v>
                </c:pt>
                <c:pt idx="9">
                  <c:v>33.329700000000003</c:v>
                </c:pt>
                <c:pt idx="10">
                  <c:v>33.734000000000002</c:v>
                </c:pt>
                <c:pt idx="11">
                  <c:v>34.140099999999997</c:v>
                </c:pt>
                <c:pt idx="12">
                  <c:v>34.549100000000003</c:v>
                </c:pt>
                <c:pt idx="13">
                  <c:v>34.953400000000002</c:v>
                </c:pt>
                <c:pt idx="14">
                  <c:v>35.361600000000003</c:v>
                </c:pt>
                <c:pt idx="15">
                  <c:v>35.7652</c:v>
                </c:pt>
                <c:pt idx="16">
                  <c:v>36.171500000000002</c:v>
                </c:pt>
                <c:pt idx="17">
                  <c:v>36.5777</c:v>
                </c:pt>
                <c:pt idx="18">
                  <c:v>36.987299999999998</c:v>
                </c:pt>
                <c:pt idx="19">
                  <c:v>37.388199999999998</c:v>
                </c:pt>
                <c:pt idx="20">
                  <c:v>37.797400000000003</c:v>
                </c:pt>
                <c:pt idx="21">
                  <c:v>38.2044</c:v>
                </c:pt>
                <c:pt idx="22">
                  <c:v>38.606699999999996</c:v>
                </c:pt>
                <c:pt idx="23">
                  <c:v>39.016599999999997</c:v>
                </c:pt>
                <c:pt idx="24">
                  <c:v>39.424300000000002</c:v>
                </c:pt>
                <c:pt idx="25">
                  <c:v>39.8324</c:v>
                </c:pt>
                <c:pt idx="26">
                  <c:v>40.236699999999999</c:v>
                </c:pt>
                <c:pt idx="27">
                  <c:v>40.639899999999997</c:v>
                </c:pt>
                <c:pt idx="28">
                  <c:v>41.047199999999997</c:v>
                </c:pt>
                <c:pt idx="29">
                  <c:v>41.453400000000002</c:v>
                </c:pt>
                <c:pt idx="30">
                  <c:v>41.8626</c:v>
                </c:pt>
                <c:pt idx="31">
                  <c:v>42.265099999999997</c:v>
                </c:pt>
                <c:pt idx="32">
                  <c:v>42.671599999999998</c:v>
                </c:pt>
                <c:pt idx="33">
                  <c:v>43.076799999999999</c:v>
                </c:pt>
                <c:pt idx="34">
                  <c:v>43.485999999999997</c:v>
                </c:pt>
                <c:pt idx="35">
                  <c:v>43.893000000000001</c:v>
                </c:pt>
                <c:pt idx="36">
                  <c:v>44.297199999999997</c:v>
                </c:pt>
                <c:pt idx="37">
                  <c:v>44.703200000000002</c:v>
                </c:pt>
                <c:pt idx="38">
                  <c:v>45.107100000000003</c:v>
                </c:pt>
                <c:pt idx="39">
                  <c:v>45.513199999999998</c:v>
                </c:pt>
                <c:pt idx="40">
                  <c:v>45.920900000000003</c:v>
                </c:pt>
                <c:pt idx="41">
                  <c:v>46.333799999999997</c:v>
                </c:pt>
                <c:pt idx="42">
                  <c:v>46.735799999999998</c:v>
                </c:pt>
                <c:pt idx="43">
                  <c:v>47.143099999999997</c:v>
                </c:pt>
                <c:pt idx="44">
                  <c:v>47.548900000000003</c:v>
                </c:pt>
                <c:pt idx="45">
                  <c:v>47.952599999999997</c:v>
                </c:pt>
                <c:pt idx="46">
                  <c:v>48.355800000000002</c:v>
                </c:pt>
                <c:pt idx="47">
                  <c:v>48.764699999999998</c:v>
                </c:pt>
                <c:pt idx="48">
                  <c:v>49.174500000000002</c:v>
                </c:pt>
                <c:pt idx="49">
                  <c:v>49.578400000000002</c:v>
                </c:pt>
                <c:pt idx="50">
                  <c:v>49.981699999999996</c:v>
                </c:pt>
                <c:pt idx="51">
                  <c:v>50.389299999999999</c:v>
                </c:pt>
                <c:pt idx="52">
                  <c:v>50.800600000000003</c:v>
                </c:pt>
                <c:pt idx="53">
                  <c:v>51.203800000000001</c:v>
                </c:pt>
                <c:pt idx="54">
                  <c:v>51.6126</c:v>
                </c:pt>
                <c:pt idx="55">
                  <c:v>52.014899999999997</c:v>
                </c:pt>
                <c:pt idx="56">
                  <c:v>52.421599999999998</c:v>
                </c:pt>
                <c:pt idx="57">
                  <c:v>52.831600000000002</c:v>
                </c:pt>
                <c:pt idx="58">
                  <c:v>53.236699999999999</c:v>
                </c:pt>
                <c:pt idx="59">
                  <c:v>53.6402</c:v>
                </c:pt>
                <c:pt idx="60">
                  <c:v>54.044699999999999</c:v>
                </c:pt>
                <c:pt idx="61">
                  <c:v>54.453200000000002</c:v>
                </c:pt>
                <c:pt idx="62">
                  <c:v>54.861400000000003</c:v>
                </c:pt>
                <c:pt idx="63">
                  <c:v>55.263800000000003</c:v>
                </c:pt>
                <c:pt idx="64">
                  <c:v>55.673999999999999</c:v>
                </c:pt>
                <c:pt idx="65">
                  <c:v>56.078099999999999</c:v>
                </c:pt>
                <c:pt idx="66">
                  <c:v>56.486600000000003</c:v>
                </c:pt>
                <c:pt idx="67">
                  <c:v>56.8917</c:v>
                </c:pt>
                <c:pt idx="68">
                  <c:v>57.296900000000001</c:v>
                </c:pt>
                <c:pt idx="69">
                  <c:v>57.7057</c:v>
                </c:pt>
                <c:pt idx="70">
                  <c:v>58.106499999999997</c:v>
                </c:pt>
                <c:pt idx="71">
                  <c:v>58.514600000000002</c:v>
                </c:pt>
                <c:pt idx="72">
                  <c:v>58.920999999999999</c:v>
                </c:pt>
                <c:pt idx="73">
                  <c:v>59.330399999999997</c:v>
                </c:pt>
                <c:pt idx="74">
                  <c:v>59.7346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75"/>
                <c:pt idx="0">
                  <c:v>3.3925200000000002</c:v>
                </c:pt>
                <c:pt idx="1">
                  <c:v>3.4095999999999997</c:v>
                </c:pt>
                <c:pt idx="2">
                  <c:v>3.4330799999999999</c:v>
                </c:pt>
                <c:pt idx="3">
                  <c:v>3.45072</c:v>
                </c:pt>
                <c:pt idx="4">
                  <c:v>3.4677899999999999</c:v>
                </c:pt>
                <c:pt idx="5">
                  <c:v>3.4855100000000001</c:v>
                </c:pt>
                <c:pt idx="6">
                  <c:v>3.5019099999999996</c:v>
                </c:pt>
                <c:pt idx="7">
                  <c:v>3.5178099999999999</c:v>
                </c:pt>
                <c:pt idx="8">
                  <c:v>3.53146</c:v>
                </c:pt>
                <c:pt idx="9">
                  <c:v>3.5470000000000002</c:v>
                </c:pt>
                <c:pt idx="10">
                  <c:v>3.5626799999999998</c:v>
                </c:pt>
                <c:pt idx="11">
                  <c:v>3.57952</c:v>
                </c:pt>
                <c:pt idx="12">
                  <c:v>3.5950300000000004</c:v>
                </c:pt>
                <c:pt idx="13">
                  <c:v>3.6074899999999999</c:v>
                </c:pt>
                <c:pt idx="14">
                  <c:v>3.61721</c:v>
                </c:pt>
                <c:pt idx="15">
                  <c:v>3.6247199999999999</c:v>
                </c:pt>
                <c:pt idx="16">
                  <c:v>3.6295999999999999</c:v>
                </c:pt>
                <c:pt idx="17">
                  <c:v>3.6327199999999999</c:v>
                </c:pt>
                <c:pt idx="18">
                  <c:v>3.63489</c:v>
                </c:pt>
                <c:pt idx="19">
                  <c:v>3.6352600000000002</c:v>
                </c:pt>
                <c:pt idx="20">
                  <c:v>3.6331899999999999</c:v>
                </c:pt>
                <c:pt idx="21">
                  <c:v>3.6255799999999998</c:v>
                </c:pt>
                <c:pt idx="22">
                  <c:v>3.6111</c:v>
                </c:pt>
                <c:pt idx="23">
                  <c:v>3.5911</c:v>
                </c:pt>
                <c:pt idx="24">
                  <c:v>3.5664400000000001</c:v>
                </c:pt>
                <c:pt idx="25">
                  <c:v>3.5398000000000001</c:v>
                </c:pt>
                <c:pt idx="26">
                  <c:v>3.5124300000000002</c:v>
                </c:pt>
                <c:pt idx="27">
                  <c:v>3.4835899999999995</c:v>
                </c:pt>
                <c:pt idx="28">
                  <c:v>3.4516400000000003</c:v>
                </c:pt>
                <c:pt idx="29">
                  <c:v>3.41736</c:v>
                </c:pt>
                <c:pt idx="30">
                  <c:v>3.3826800000000001</c:v>
                </c:pt>
                <c:pt idx="31">
                  <c:v>3.3502000000000001</c:v>
                </c:pt>
                <c:pt idx="32">
                  <c:v>3.3159300000000003</c:v>
                </c:pt>
                <c:pt idx="33">
                  <c:v>3.2823899999999999</c:v>
                </c:pt>
                <c:pt idx="34">
                  <c:v>3.2487899999999996</c:v>
                </c:pt>
                <c:pt idx="35">
                  <c:v>3.2134099999999997</c:v>
                </c:pt>
                <c:pt idx="36">
                  <c:v>3.1768099999999997</c:v>
                </c:pt>
                <c:pt idx="37">
                  <c:v>3.1384699999999999</c:v>
                </c:pt>
                <c:pt idx="38">
                  <c:v>3.09917</c:v>
                </c:pt>
                <c:pt idx="39">
                  <c:v>3.0610599999999999</c:v>
                </c:pt>
                <c:pt idx="40">
                  <c:v>3.0238800000000001</c:v>
                </c:pt>
                <c:pt idx="41">
                  <c:v>2.9893100000000001</c:v>
                </c:pt>
                <c:pt idx="42">
                  <c:v>2.9540999999999999</c:v>
                </c:pt>
                <c:pt idx="43">
                  <c:v>2.9179399999999998</c:v>
                </c:pt>
                <c:pt idx="44">
                  <c:v>2.88043</c:v>
                </c:pt>
                <c:pt idx="45">
                  <c:v>2.8448899999999999</c:v>
                </c:pt>
                <c:pt idx="46">
                  <c:v>2.8140300000000003</c:v>
                </c:pt>
                <c:pt idx="47">
                  <c:v>2.7872400000000002</c:v>
                </c:pt>
                <c:pt idx="48">
                  <c:v>2.76633</c:v>
                </c:pt>
                <c:pt idx="49">
                  <c:v>2.7486999999999999</c:v>
                </c:pt>
                <c:pt idx="50">
                  <c:v>2.7333400000000001</c:v>
                </c:pt>
                <c:pt idx="51">
                  <c:v>2.72173</c:v>
                </c:pt>
                <c:pt idx="52">
                  <c:v>2.7100600000000004</c:v>
                </c:pt>
                <c:pt idx="53">
                  <c:v>2.7018599999999999</c:v>
                </c:pt>
                <c:pt idx="54">
                  <c:v>2.6947399999999999</c:v>
                </c:pt>
                <c:pt idx="55">
                  <c:v>2.6864700000000004</c:v>
                </c:pt>
                <c:pt idx="56">
                  <c:v>2.67503</c:v>
                </c:pt>
                <c:pt idx="57">
                  <c:v>2.6645999999999996</c:v>
                </c:pt>
                <c:pt idx="58">
                  <c:v>2.6540699999999999</c:v>
                </c:pt>
                <c:pt idx="59">
                  <c:v>2.64032</c:v>
                </c:pt>
                <c:pt idx="60">
                  <c:v>2.6269799999999996</c:v>
                </c:pt>
                <c:pt idx="61">
                  <c:v>2.6151799999999996</c:v>
                </c:pt>
                <c:pt idx="62">
                  <c:v>2.6064100000000003</c:v>
                </c:pt>
                <c:pt idx="63">
                  <c:v>2.6002999999999998</c:v>
                </c:pt>
                <c:pt idx="64">
                  <c:v>2.5929799999999998</c:v>
                </c:pt>
                <c:pt idx="65">
                  <c:v>2.5882000000000001</c:v>
                </c:pt>
                <c:pt idx="66">
                  <c:v>2.58155</c:v>
                </c:pt>
                <c:pt idx="67">
                  <c:v>2.5793500000000003</c:v>
                </c:pt>
                <c:pt idx="68">
                  <c:v>2.5840000000000001</c:v>
                </c:pt>
                <c:pt idx="69">
                  <c:v>2.5954199999999998</c:v>
                </c:pt>
                <c:pt idx="70">
                  <c:v>2.6027</c:v>
                </c:pt>
                <c:pt idx="71">
                  <c:v>2.61348</c:v>
                </c:pt>
                <c:pt idx="72">
                  <c:v>2.63009</c:v>
                </c:pt>
                <c:pt idx="73">
                  <c:v>2.6357499999999998</c:v>
                </c:pt>
                <c:pt idx="74">
                  <c:v>2.64079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DE-4BA8-8A29-17BDB2F5F64B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1.7180400000000002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DE-4BA8-8A29-17BDB2F5F64B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1.7180400000000002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DE-4BA8-8A29-17BDB2F5F64B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1.7180400000000002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DE-4BA8-8A29-17BDB2F5F64B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1.7180400000000002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DE-4BA8-8A29-17BDB2F5F64B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1.7180400000000002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DE-4BA8-8A29-17BDB2F5F64B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1.7180400000000002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DE-4BA8-8A29-17BDB2F5F64B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1.7180400000000002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DE-4BA8-8A29-17BDB2F5F64B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1.7180400000000002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DE-4BA8-8A29-17BDB2F5F64B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1.7180400000000002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DE-4BA8-8A29-17BDB2F5F64B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1.7180400000000002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DE-4BA8-8A29-17BDB2F5F64B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1.7180400000000002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DE-4BA8-8A29-17BDB2F5F64B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1.7180400000000002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E-4BA8-8A29-17BDB2F5F64B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1.7180400000000002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E-4BA8-8A29-17BDB2F5F64B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1.7180400000000002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E-4BA8-8A29-17BDB2F5F64B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1.7180400000000002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E-4BA8-8A29-17BDB2F5F64B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1.7180400000000002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E-4BA8-8A29-17BDB2F5F64B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1.7180400000000002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E-4BA8-8A29-17BDB2F5F64B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1.7180400000000002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DE-4BA8-8A29-17BDB2F5F64B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1.7180400000000002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DE-4BA8-8A29-17BDB2F5F64B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1.7180400000000002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DE-4BA8-8A29-17BDB2F5F64B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1.7180400000000002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DE-4BA8-8A29-17BDB2F5F64B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1.7180400000000002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DE-4BA8-8A29-17BDB2F5F64B}"/>
            </c:ext>
          </c:extLst>
        </c:ser>
        <c:ser>
          <c:idx val="51"/>
          <c:order val="51"/>
          <c:tx>
            <c:v>avgE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rgbClr val="8064A2">
                    <a:lumMod val="50000"/>
                    <a:lumOff val="50000"/>
                  </a:srgbClr>
                </a:solidFill>
              </a:ln>
              <a:effectLst/>
            </c:spPr>
          </c:marker>
          <c:xVal>
            <c:numRef>
              <c:f>info!$W$4:$X$4</c:f>
              <c:numCache>
                <c:formatCode>General</c:formatCode>
                <c:ptCount val="2"/>
                <c:pt idx="0">
                  <c:v>14.93365</c:v>
                </c:pt>
                <c:pt idx="1">
                  <c:v>44.80095</c:v>
                </c:pt>
              </c:numCache>
            </c:numRef>
          </c:xVal>
          <c:yVal>
            <c:numRef>
              <c:f>info!$W$5:$X$5</c:f>
              <c:numCache>
                <c:formatCode>General</c:formatCode>
                <c:ptCount val="2"/>
                <c:pt idx="0">
                  <c:v>2.7769132432432428</c:v>
                </c:pt>
                <c:pt idx="1">
                  <c:v>3.1063160810810801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C1-47AC-814E-0C59909E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4151600"/>
        <c:axId val="294151992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0.36250599999999999</c:v>
                </c:pt>
                <c:pt idx="2">
                  <c:v>0.76910400000000001</c:v>
                </c:pt>
                <c:pt idx="3">
                  <c:v>1.1715199999999999</c:v>
                </c:pt>
                <c:pt idx="4">
                  <c:v>1.57918</c:v>
                </c:pt>
                <c:pt idx="5">
                  <c:v>1.98584</c:v>
                </c:pt>
                <c:pt idx="6">
                  <c:v>2.3920400000000002</c:v>
                </c:pt>
                <c:pt idx="7">
                  <c:v>2.79976</c:v>
                </c:pt>
                <c:pt idx="8">
                  <c:v>3.2027199999999998</c:v>
                </c:pt>
                <c:pt idx="9">
                  <c:v>3.6143000000000001</c:v>
                </c:pt>
                <c:pt idx="10">
                  <c:v>4.0155599999999998</c:v>
                </c:pt>
                <c:pt idx="11">
                  <c:v>4.4212800000000003</c:v>
                </c:pt>
                <c:pt idx="12">
                  <c:v>4.8272700000000004</c:v>
                </c:pt>
                <c:pt idx="13">
                  <c:v>5.2350099999999999</c:v>
                </c:pt>
                <c:pt idx="14">
                  <c:v>5.6456299999999997</c:v>
                </c:pt>
                <c:pt idx="15">
                  <c:v>6.0480499999999999</c:v>
                </c:pt>
                <c:pt idx="16">
                  <c:v>6.4538399999999996</c:v>
                </c:pt>
                <c:pt idx="17">
                  <c:v>6.8617100000000004</c:v>
                </c:pt>
                <c:pt idx="18">
                  <c:v>7.2690900000000003</c:v>
                </c:pt>
                <c:pt idx="19">
                  <c:v>7.6730299999999998</c:v>
                </c:pt>
                <c:pt idx="20">
                  <c:v>8.0785599999999995</c:v>
                </c:pt>
                <c:pt idx="21">
                  <c:v>8.4827700000000004</c:v>
                </c:pt>
                <c:pt idx="22">
                  <c:v>8.8942200000000007</c:v>
                </c:pt>
                <c:pt idx="23">
                  <c:v>9.2958800000000004</c:v>
                </c:pt>
                <c:pt idx="24">
                  <c:v>9.70397</c:v>
                </c:pt>
                <c:pt idx="25">
                  <c:v>10.108700000000001</c:v>
                </c:pt>
                <c:pt idx="26">
                  <c:v>10.5139</c:v>
                </c:pt>
                <c:pt idx="27">
                  <c:v>10.923299999999999</c:v>
                </c:pt>
                <c:pt idx="28">
                  <c:v>11.331899999999999</c:v>
                </c:pt>
                <c:pt idx="29">
                  <c:v>11.7372</c:v>
                </c:pt>
                <c:pt idx="30">
                  <c:v>12.139900000000001</c:v>
                </c:pt>
                <c:pt idx="31">
                  <c:v>12.545500000000001</c:v>
                </c:pt>
                <c:pt idx="32">
                  <c:v>12.952299999999999</c:v>
                </c:pt>
                <c:pt idx="33">
                  <c:v>13.362500000000001</c:v>
                </c:pt>
                <c:pt idx="34">
                  <c:v>13.7652</c:v>
                </c:pt>
                <c:pt idx="35">
                  <c:v>14.171900000000001</c:v>
                </c:pt>
                <c:pt idx="36">
                  <c:v>14.578099999999999</c:v>
                </c:pt>
                <c:pt idx="37">
                  <c:v>14.9833</c:v>
                </c:pt>
                <c:pt idx="38">
                  <c:v>15.3917</c:v>
                </c:pt>
                <c:pt idx="39">
                  <c:v>15.7981</c:v>
                </c:pt>
                <c:pt idx="40">
                  <c:v>16.206700000000001</c:v>
                </c:pt>
                <c:pt idx="41">
                  <c:v>16.608599999999999</c:v>
                </c:pt>
                <c:pt idx="42">
                  <c:v>17.015999999999998</c:v>
                </c:pt>
                <c:pt idx="43">
                  <c:v>17.420200000000001</c:v>
                </c:pt>
                <c:pt idx="44">
                  <c:v>17.828700000000001</c:v>
                </c:pt>
                <c:pt idx="45">
                  <c:v>18.2347</c:v>
                </c:pt>
                <c:pt idx="46">
                  <c:v>18.6387</c:v>
                </c:pt>
                <c:pt idx="47">
                  <c:v>19.046700000000001</c:v>
                </c:pt>
                <c:pt idx="48">
                  <c:v>19.451599999999999</c:v>
                </c:pt>
                <c:pt idx="49">
                  <c:v>19.8644</c:v>
                </c:pt>
                <c:pt idx="50">
                  <c:v>20.2681</c:v>
                </c:pt>
                <c:pt idx="51">
                  <c:v>20.67</c:v>
                </c:pt>
                <c:pt idx="52">
                  <c:v>21.075099999999999</c:v>
                </c:pt>
                <c:pt idx="53">
                  <c:v>21.4862</c:v>
                </c:pt>
                <c:pt idx="54">
                  <c:v>21.8919</c:v>
                </c:pt>
                <c:pt idx="55">
                  <c:v>22.299199999999999</c:v>
                </c:pt>
                <c:pt idx="56">
                  <c:v>22.7029</c:v>
                </c:pt>
                <c:pt idx="57">
                  <c:v>23.1083</c:v>
                </c:pt>
                <c:pt idx="58">
                  <c:v>23.515499999999999</c:v>
                </c:pt>
                <c:pt idx="59">
                  <c:v>23.9206</c:v>
                </c:pt>
                <c:pt idx="60">
                  <c:v>24.328600000000002</c:v>
                </c:pt>
                <c:pt idx="61">
                  <c:v>24.7348</c:v>
                </c:pt>
                <c:pt idx="62">
                  <c:v>25.145199999999999</c:v>
                </c:pt>
                <c:pt idx="63">
                  <c:v>25.549800000000001</c:v>
                </c:pt>
                <c:pt idx="64">
                  <c:v>25.952500000000001</c:v>
                </c:pt>
                <c:pt idx="65">
                  <c:v>26.363700000000001</c:v>
                </c:pt>
                <c:pt idx="66">
                  <c:v>26.765799999999999</c:v>
                </c:pt>
                <c:pt idx="67">
                  <c:v>27.170200000000001</c:v>
                </c:pt>
                <c:pt idx="68">
                  <c:v>27.580400000000001</c:v>
                </c:pt>
                <c:pt idx="69">
                  <c:v>27.983599999999999</c:v>
                </c:pt>
                <c:pt idx="70">
                  <c:v>28.389500000000002</c:v>
                </c:pt>
                <c:pt idx="71">
                  <c:v>28.7956</c:v>
                </c:pt>
                <c:pt idx="72">
                  <c:v>29.203499999999998</c:v>
                </c:pt>
                <c:pt idx="73">
                  <c:v>29.61</c:v>
                </c:pt>
                <c:pt idx="74">
                  <c:v>30.014099999999999</c:v>
                </c:pt>
                <c:pt idx="75">
                  <c:v>30.607800000000001</c:v>
                </c:pt>
                <c:pt idx="76">
                  <c:v>30.982800000000001</c:v>
                </c:pt>
                <c:pt idx="77">
                  <c:v>31.360499999999998</c:v>
                </c:pt>
                <c:pt idx="78">
                  <c:v>31.734100000000002</c:v>
                </c:pt>
                <c:pt idx="79">
                  <c:v>32.112000000000002</c:v>
                </c:pt>
                <c:pt idx="80">
                  <c:v>32.5154</c:v>
                </c:pt>
                <c:pt idx="81">
                  <c:v>32.921199999999999</c:v>
                </c:pt>
                <c:pt idx="82">
                  <c:v>33.329700000000003</c:v>
                </c:pt>
                <c:pt idx="83">
                  <c:v>33.734000000000002</c:v>
                </c:pt>
                <c:pt idx="84">
                  <c:v>34.140099999999997</c:v>
                </c:pt>
                <c:pt idx="85">
                  <c:v>34.549100000000003</c:v>
                </c:pt>
                <c:pt idx="86">
                  <c:v>34.953400000000002</c:v>
                </c:pt>
                <c:pt idx="87">
                  <c:v>35.361600000000003</c:v>
                </c:pt>
                <c:pt idx="88">
                  <c:v>35.7652</c:v>
                </c:pt>
                <c:pt idx="89">
                  <c:v>36.171500000000002</c:v>
                </c:pt>
                <c:pt idx="90">
                  <c:v>36.5777</c:v>
                </c:pt>
                <c:pt idx="91">
                  <c:v>36.987299999999998</c:v>
                </c:pt>
                <c:pt idx="92">
                  <c:v>37.388199999999998</c:v>
                </c:pt>
                <c:pt idx="93">
                  <c:v>37.797400000000003</c:v>
                </c:pt>
                <c:pt idx="94">
                  <c:v>38.2044</c:v>
                </c:pt>
                <c:pt idx="95">
                  <c:v>38.606699999999996</c:v>
                </c:pt>
                <c:pt idx="96">
                  <c:v>39.016599999999997</c:v>
                </c:pt>
                <c:pt idx="97">
                  <c:v>39.424300000000002</c:v>
                </c:pt>
                <c:pt idx="98">
                  <c:v>39.8324</c:v>
                </c:pt>
                <c:pt idx="99">
                  <c:v>40.236699999999999</c:v>
                </c:pt>
                <c:pt idx="100">
                  <c:v>40.639899999999997</c:v>
                </c:pt>
                <c:pt idx="101">
                  <c:v>41.047199999999997</c:v>
                </c:pt>
                <c:pt idx="102">
                  <c:v>41.453400000000002</c:v>
                </c:pt>
                <c:pt idx="103">
                  <c:v>41.8626</c:v>
                </c:pt>
                <c:pt idx="104">
                  <c:v>42.265099999999997</c:v>
                </c:pt>
                <c:pt idx="105">
                  <c:v>42.671599999999998</c:v>
                </c:pt>
                <c:pt idx="106">
                  <c:v>43.076799999999999</c:v>
                </c:pt>
                <c:pt idx="107">
                  <c:v>43.485999999999997</c:v>
                </c:pt>
                <c:pt idx="108">
                  <c:v>43.893000000000001</c:v>
                </c:pt>
                <c:pt idx="109">
                  <c:v>44.297199999999997</c:v>
                </c:pt>
                <c:pt idx="110">
                  <c:v>44.703200000000002</c:v>
                </c:pt>
                <c:pt idx="111">
                  <c:v>45.107100000000003</c:v>
                </c:pt>
                <c:pt idx="112">
                  <c:v>45.513199999999998</c:v>
                </c:pt>
                <c:pt idx="113">
                  <c:v>45.920900000000003</c:v>
                </c:pt>
                <c:pt idx="114">
                  <c:v>46.333799999999997</c:v>
                </c:pt>
                <c:pt idx="115">
                  <c:v>46.735799999999998</c:v>
                </c:pt>
                <c:pt idx="116">
                  <c:v>47.143099999999997</c:v>
                </c:pt>
                <c:pt idx="117">
                  <c:v>47.548900000000003</c:v>
                </c:pt>
                <c:pt idx="118">
                  <c:v>47.952599999999997</c:v>
                </c:pt>
                <c:pt idx="119">
                  <c:v>48.355800000000002</c:v>
                </c:pt>
                <c:pt idx="120">
                  <c:v>48.764699999999998</c:v>
                </c:pt>
                <c:pt idx="121">
                  <c:v>49.174500000000002</c:v>
                </c:pt>
                <c:pt idx="122">
                  <c:v>49.578400000000002</c:v>
                </c:pt>
                <c:pt idx="123">
                  <c:v>49.981699999999996</c:v>
                </c:pt>
                <c:pt idx="124">
                  <c:v>50.389299999999999</c:v>
                </c:pt>
                <c:pt idx="125">
                  <c:v>50.800600000000003</c:v>
                </c:pt>
                <c:pt idx="126">
                  <c:v>51.203800000000001</c:v>
                </c:pt>
                <c:pt idx="127">
                  <c:v>51.6126</c:v>
                </c:pt>
                <c:pt idx="128">
                  <c:v>52.014899999999997</c:v>
                </c:pt>
                <c:pt idx="129">
                  <c:v>52.421599999999998</c:v>
                </c:pt>
                <c:pt idx="130">
                  <c:v>52.831600000000002</c:v>
                </c:pt>
                <c:pt idx="131">
                  <c:v>53.236699999999999</c:v>
                </c:pt>
                <c:pt idx="132">
                  <c:v>53.6402</c:v>
                </c:pt>
                <c:pt idx="133">
                  <c:v>54.044699999999999</c:v>
                </c:pt>
                <c:pt idx="134">
                  <c:v>54.453200000000002</c:v>
                </c:pt>
                <c:pt idx="135">
                  <c:v>54.861400000000003</c:v>
                </c:pt>
                <c:pt idx="136">
                  <c:v>55.263800000000003</c:v>
                </c:pt>
                <c:pt idx="137">
                  <c:v>55.673999999999999</c:v>
                </c:pt>
                <c:pt idx="138">
                  <c:v>56.078099999999999</c:v>
                </c:pt>
                <c:pt idx="139">
                  <c:v>56.486600000000003</c:v>
                </c:pt>
                <c:pt idx="140">
                  <c:v>56.8917</c:v>
                </c:pt>
                <c:pt idx="141">
                  <c:v>57.296900000000001</c:v>
                </c:pt>
                <c:pt idx="142">
                  <c:v>57.7057</c:v>
                </c:pt>
                <c:pt idx="143">
                  <c:v>58.106499999999997</c:v>
                </c:pt>
                <c:pt idx="144">
                  <c:v>58.514600000000002</c:v>
                </c:pt>
                <c:pt idx="145">
                  <c:v>58.920999999999999</c:v>
                </c:pt>
                <c:pt idx="146">
                  <c:v>59.330399999999997</c:v>
                </c:pt>
                <c:pt idx="147">
                  <c:v>59.7346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63.641400000000004</c:v>
                </c:pt>
                <c:pt idx="1">
                  <c:v>62.920200000000001</c:v>
                </c:pt>
                <c:pt idx="2">
                  <c:v>62.155000000000001</c:v>
                </c:pt>
                <c:pt idx="3">
                  <c:v>61.371200000000002</c:v>
                </c:pt>
                <c:pt idx="4">
                  <c:v>60.558199999999992</c:v>
                </c:pt>
                <c:pt idx="5">
                  <c:v>59.765000000000001</c:v>
                </c:pt>
                <c:pt idx="6">
                  <c:v>58.959799999999994</c:v>
                </c:pt>
                <c:pt idx="7">
                  <c:v>58.121100000000006</c:v>
                </c:pt>
                <c:pt idx="8">
                  <c:v>57.166200000000003</c:v>
                </c:pt>
                <c:pt idx="9">
                  <c:v>56.0824</c:v>
                </c:pt>
                <c:pt idx="10">
                  <c:v>54.947199999999995</c:v>
                </c:pt>
                <c:pt idx="11">
                  <c:v>53.837699999999998</c:v>
                </c:pt>
                <c:pt idx="12">
                  <c:v>52.732700000000001</c:v>
                </c:pt>
                <c:pt idx="13">
                  <c:v>51.715900000000005</c:v>
                </c:pt>
                <c:pt idx="14">
                  <c:v>50.764499999999998</c:v>
                </c:pt>
                <c:pt idx="15">
                  <c:v>49.8628</c:v>
                </c:pt>
                <c:pt idx="16">
                  <c:v>48.927999999999997</c:v>
                </c:pt>
                <c:pt idx="17">
                  <c:v>48.089599999999997</c:v>
                </c:pt>
                <c:pt idx="18">
                  <c:v>47.274699999999996</c:v>
                </c:pt>
                <c:pt idx="19">
                  <c:v>46.473500000000001</c:v>
                </c:pt>
                <c:pt idx="20">
                  <c:v>45.749600000000001</c:v>
                </c:pt>
                <c:pt idx="21">
                  <c:v>45.058599999999998</c:v>
                </c:pt>
                <c:pt idx="22">
                  <c:v>44.351500000000001</c:v>
                </c:pt>
                <c:pt idx="23">
                  <c:v>43.638199999999998</c:v>
                </c:pt>
                <c:pt idx="24">
                  <c:v>42.949799999999996</c:v>
                </c:pt>
                <c:pt idx="25">
                  <c:v>42.265300000000003</c:v>
                </c:pt>
                <c:pt idx="26">
                  <c:v>41.582900000000002</c:v>
                </c:pt>
                <c:pt idx="27">
                  <c:v>40.947899999999997</c:v>
                </c:pt>
                <c:pt idx="28">
                  <c:v>40.3949</c:v>
                </c:pt>
                <c:pt idx="29">
                  <c:v>39.872399999999999</c:v>
                </c:pt>
                <c:pt idx="30">
                  <c:v>39.426699999999997</c:v>
                </c:pt>
                <c:pt idx="31">
                  <c:v>39.0169</c:v>
                </c:pt>
                <c:pt idx="32">
                  <c:v>38.631300000000003</c:v>
                </c:pt>
                <c:pt idx="33">
                  <c:v>38.302</c:v>
                </c:pt>
                <c:pt idx="34">
                  <c:v>38.0383</c:v>
                </c:pt>
                <c:pt idx="35">
                  <c:v>37.825499999999998</c:v>
                </c:pt>
                <c:pt idx="36">
                  <c:v>37.634499999999996</c:v>
                </c:pt>
                <c:pt idx="37">
                  <c:v>37.471499999999999</c:v>
                </c:pt>
                <c:pt idx="38">
                  <c:v>37.321899999999999</c:v>
                </c:pt>
                <c:pt idx="39">
                  <c:v>37.157899999999998</c:v>
                </c:pt>
                <c:pt idx="40">
                  <c:v>36.973500000000001</c:v>
                </c:pt>
                <c:pt idx="41">
                  <c:v>36.783700000000003</c:v>
                </c:pt>
                <c:pt idx="42">
                  <c:v>36.546299999999995</c:v>
                </c:pt>
                <c:pt idx="43">
                  <c:v>36.320900000000002</c:v>
                </c:pt>
                <c:pt idx="44">
                  <c:v>36.1633</c:v>
                </c:pt>
                <c:pt idx="45">
                  <c:v>35.970700000000001</c:v>
                </c:pt>
                <c:pt idx="46">
                  <c:v>35.802299999999995</c:v>
                </c:pt>
                <c:pt idx="47">
                  <c:v>35.682600000000001</c:v>
                </c:pt>
                <c:pt idx="48">
                  <c:v>35.597799999999999</c:v>
                </c:pt>
                <c:pt idx="49">
                  <c:v>35.561999999999998</c:v>
                </c:pt>
                <c:pt idx="50">
                  <c:v>35.558</c:v>
                </c:pt>
                <c:pt idx="51">
                  <c:v>35.581000000000003</c:v>
                </c:pt>
                <c:pt idx="52">
                  <c:v>35.591200000000001</c:v>
                </c:pt>
                <c:pt idx="53">
                  <c:v>35.625</c:v>
                </c:pt>
                <c:pt idx="54">
                  <c:v>35.667000000000002</c:v>
                </c:pt>
                <c:pt idx="55">
                  <c:v>35.690800000000003</c:v>
                </c:pt>
                <c:pt idx="56">
                  <c:v>35.728400000000001</c:v>
                </c:pt>
                <c:pt idx="57">
                  <c:v>35.815899999999999</c:v>
                </c:pt>
                <c:pt idx="58">
                  <c:v>35.932900000000004</c:v>
                </c:pt>
                <c:pt idx="59">
                  <c:v>35.980800000000002</c:v>
                </c:pt>
                <c:pt idx="60">
                  <c:v>36.036099999999998</c:v>
                </c:pt>
                <c:pt idx="61">
                  <c:v>36.079599999999999</c:v>
                </c:pt>
                <c:pt idx="62">
                  <c:v>36.134899999999995</c:v>
                </c:pt>
                <c:pt idx="63">
                  <c:v>36.165900000000001</c:v>
                </c:pt>
                <c:pt idx="64">
                  <c:v>36.263600000000004</c:v>
                </c:pt>
                <c:pt idx="65">
                  <c:v>36.389600000000002</c:v>
                </c:pt>
                <c:pt idx="66">
                  <c:v>36.5533</c:v>
                </c:pt>
                <c:pt idx="67">
                  <c:v>36.757400000000004</c:v>
                </c:pt>
                <c:pt idx="68">
                  <c:v>37.027300000000004</c:v>
                </c:pt>
                <c:pt idx="69">
                  <c:v>37.286200000000001</c:v>
                </c:pt>
                <c:pt idx="70">
                  <c:v>37.476300000000002</c:v>
                </c:pt>
                <c:pt idx="71">
                  <c:v>37.612499999999997</c:v>
                </c:pt>
                <c:pt idx="72">
                  <c:v>37.764499999999998</c:v>
                </c:pt>
                <c:pt idx="73">
                  <c:v>37.9223</c:v>
                </c:pt>
                <c:pt idx="74">
                  <c:v>38.080000000000005</c:v>
                </c:pt>
                <c:pt idx="75">
                  <c:v>38.3429</c:v>
                </c:pt>
                <c:pt idx="76">
                  <c:v>38.602599999999995</c:v>
                </c:pt>
                <c:pt idx="77">
                  <c:v>38.839500000000001</c:v>
                </c:pt>
                <c:pt idx="78">
                  <c:v>39.088799999999999</c:v>
                </c:pt>
                <c:pt idx="79">
                  <c:v>39.3919</c:v>
                </c:pt>
                <c:pt idx="80">
                  <c:v>39.674300000000002</c:v>
                </c:pt>
                <c:pt idx="81">
                  <c:v>39.958399999999997</c:v>
                </c:pt>
                <c:pt idx="82">
                  <c:v>40.227400000000003</c:v>
                </c:pt>
                <c:pt idx="83">
                  <c:v>40.539199999999994</c:v>
                </c:pt>
                <c:pt idx="84">
                  <c:v>40.8521</c:v>
                </c:pt>
                <c:pt idx="85">
                  <c:v>41.142499999999998</c:v>
                </c:pt>
                <c:pt idx="86">
                  <c:v>41.418399999999998</c:v>
                </c:pt>
                <c:pt idx="87">
                  <c:v>41.729799999999997</c:v>
                </c:pt>
                <c:pt idx="88">
                  <c:v>42.024699999999996</c:v>
                </c:pt>
                <c:pt idx="89">
                  <c:v>42.321100000000001</c:v>
                </c:pt>
                <c:pt idx="90">
                  <c:v>42.6113</c:v>
                </c:pt>
                <c:pt idx="91">
                  <c:v>42.909100000000002</c:v>
                </c:pt>
                <c:pt idx="92">
                  <c:v>43.178699999999999</c:v>
                </c:pt>
                <c:pt idx="93">
                  <c:v>43.417200000000001</c:v>
                </c:pt>
                <c:pt idx="94">
                  <c:v>43.655699999999996</c:v>
                </c:pt>
                <c:pt idx="95">
                  <c:v>43.917299999999997</c:v>
                </c:pt>
                <c:pt idx="96">
                  <c:v>44.1081</c:v>
                </c:pt>
                <c:pt idx="97">
                  <c:v>44.277899999999995</c:v>
                </c:pt>
                <c:pt idx="98">
                  <c:v>44.468299999999999</c:v>
                </c:pt>
                <c:pt idx="99">
                  <c:v>44.6477</c:v>
                </c:pt>
                <c:pt idx="100">
                  <c:v>44.815600000000003</c:v>
                </c:pt>
                <c:pt idx="101">
                  <c:v>44.924199999999999</c:v>
                </c:pt>
                <c:pt idx="102">
                  <c:v>45.0762</c:v>
                </c:pt>
                <c:pt idx="103">
                  <c:v>45.287700000000001</c:v>
                </c:pt>
                <c:pt idx="104">
                  <c:v>45.5244</c:v>
                </c:pt>
                <c:pt idx="105">
                  <c:v>45.789200000000001</c:v>
                </c:pt>
                <c:pt idx="106">
                  <c:v>46.049199999999999</c:v>
                </c:pt>
                <c:pt idx="107">
                  <c:v>46.360500000000002</c:v>
                </c:pt>
                <c:pt idx="108">
                  <c:v>46.713900000000002</c:v>
                </c:pt>
                <c:pt idx="109">
                  <c:v>47.098800000000004</c:v>
                </c:pt>
                <c:pt idx="110">
                  <c:v>47.527900000000002</c:v>
                </c:pt>
                <c:pt idx="111">
                  <c:v>47.967399999999998</c:v>
                </c:pt>
                <c:pt idx="112">
                  <c:v>48.396099999999997</c:v>
                </c:pt>
                <c:pt idx="113">
                  <c:v>48.820799999999998</c:v>
                </c:pt>
                <c:pt idx="114">
                  <c:v>49.207699999999996</c:v>
                </c:pt>
                <c:pt idx="115">
                  <c:v>49.571199999999997</c:v>
                </c:pt>
                <c:pt idx="116">
                  <c:v>49.939799999999998</c:v>
                </c:pt>
                <c:pt idx="117">
                  <c:v>50.349500000000006</c:v>
                </c:pt>
                <c:pt idx="118">
                  <c:v>50.799300000000002</c:v>
                </c:pt>
                <c:pt idx="119">
                  <c:v>51.157200000000003</c:v>
                </c:pt>
                <c:pt idx="120">
                  <c:v>51.421099999999996</c:v>
                </c:pt>
                <c:pt idx="121">
                  <c:v>51.641899999999993</c:v>
                </c:pt>
                <c:pt idx="122">
                  <c:v>51.800800000000002</c:v>
                </c:pt>
                <c:pt idx="123">
                  <c:v>51.912300000000002</c:v>
                </c:pt>
                <c:pt idx="124">
                  <c:v>51.976299999999995</c:v>
                </c:pt>
                <c:pt idx="125">
                  <c:v>52.028799999999997</c:v>
                </c:pt>
                <c:pt idx="126">
                  <c:v>52.012100000000004</c:v>
                </c:pt>
                <c:pt idx="127">
                  <c:v>51.956400000000002</c:v>
                </c:pt>
                <c:pt idx="128">
                  <c:v>51.9069</c:v>
                </c:pt>
                <c:pt idx="129">
                  <c:v>51.913499999999999</c:v>
                </c:pt>
                <c:pt idx="130">
                  <c:v>51.912499999999994</c:v>
                </c:pt>
                <c:pt idx="131">
                  <c:v>51.919400000000003</c:v>
                </c:pt>
                <c:pt idx="132">
                  <c:v>51.996699999999997</c:v>
                </c:pt>
                <c:pt idx="133">
                  <c:v>52.044599999999996</c:v>
                </c:pt>
                <c:pt idx="134">
                  <c:v>52.117400000000004</c:v>
                </c:pt>
                <c:pt idx="135">
                  <c:v>52.160600000000002</c:v>
                </c:pt>
                <c:pt idx="136">
                  <c:v>52.180999999999997</c:v>
                </c:pt>
                <c:pt idx="137">
                  <c:v>52.242599999999996</c:v>
                </c:pt>
                <c:pt idx="138">
                  <c:v>52.292200000000001</c:v>
                </c:pt>
                <c:pt idx="139">
                  <c:v>52.385800000000003</c:v>
                </c:pt>
                <c:pt idx="140">
                  <c:v>52.503799999999998</c:v>
                </c:pt>
                <c:pt idx="141">
                  <c:v>52.589399999999998</c:v>
                </c:pt>
                <c:pt idx="142">
                  <c:v>52.6479</c:v>
                </c:pt>
                <c:pt idx="143">
                  <c:v>52.714700000000001</c:v>
                </c:pt>
                <c:pt idx="144">
                  <c:v>52.731999999999999</c:v>
                </c:pt>
                <c:pt idx="145">
                  <c:v>52.812800000000003</c:v>
                </c:pt>
                <c:pt idx="146">
                  <c:v>53.031700000000001</c:v>
                </c:pt>
                <c:pt idx="147">
                  <c:v>53.244400000000006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DE-4BA8-8A29-17BDB2F5F64B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0.36250599999999999</c:v>
                </c:pt>
                <c:pt idx="2">
                  <c:v>0.76910400000000001</c:v>
                </c:pt>
                <c:pt idx="3">
                  <c:v>1.1715199999999999</c:v>
                </c:pt>
                <c:pt idx="4">
                  <c:v>1.57918</c:v>
                </c:pt>
                <c:pt idx="5">
                  <c:v>1.98584</c:v>
                </c:pt>
                <c:pt idx="6">
                  <c:v>2.3920400000000002</c:v>
                </c:pt>
                <c:pt idx="7">
                  <c:v>2.79976</c:v>
                </c:pt>
                <c:pt idx="8">
                  <c:v>3.2027199999999998</c:v>
                </c:pt>
                <c:pt idx="9">
                  <c:v>3.6143000000000001</c:v>
                </c:pt>
                <c:pt idx="10">
                  <c:v>4.0155599999999998</c:v>
                </c:pt>
                <c:pt idx="11">
                  <c:v>4.4212800000000003</c:v>
                </c:pt>
                <c:pt idx="12">
                  <c:v>4.8272700000000004</c:v>
                </c:pt>
                <c:pt idx="13">
                  <c:v>5.2350099999999999</c:v>
                </c:pt>
                <c:pt idx="14">
                  <c:v>5.6456299999999997</c:v>
                </c:pt>
                <c:pt idx="15">
                  <c:v>6.0480499999999999</c:v>
                </c:pt>
                <c:pt idx="16">
                  <c:v>6.4538399999999996</c:v>
                </c:pt>
                <c:pt idx="17">
                  <c:v>6.8617100000000004</c:v>
                </c:pt>
                <c:pt idx="18">
                  <c:v>7.2690900000000003</c:v>
                </c:pt>
                <c:pt idx="19">
                  <c:v>7.6730299999999998</c:v>
                </c:pt>
                <c:pt idx="20">
                  <c:v>8.0785599999999995</c:v>
                </c:pt>
                <c:pt idx="21">
                  <c:v>8.4827700000000004</c:v>
                </c:pt>
                <c:pt idx="22">
                  <c:v>8.8942200000000007</c:v>
                </c:pt>
                <c:pt idx="23">
                  <c:v>9.2958800000000004</c:v>
                </c:pt>
                <c:pt idx="24">
                  <c:v>9.70397</c:v>
                </c:pt>
                <c:pt idx="25">
                  <c:v>10.108700000000001</c:v>
                </c:pt>
                <c:pt idx="26">
                  <c:v>10.5139</c:v>
                </c:pt>
                <c:pt idx="27">
                  <c:v>10.923299999999999</c:v>
                </c:pt>
                <c:pt idx="28">
                  <c:v>11.331899999999999</c:v>
                </c:pt>
                <c:pt idx="29">
                  <c:v>11.7372</c:v>
                </c:pt>
                <c:pt idx="30">
                  <c:v>12.139900000000001</c:v>
                </c:pt>
                <c:pt idx="31">
                  <c:v>12.545500000000001</c:v>
                </c:pt>
                <c:pt idx="32">
                  <c:v>12.952299999999999</c:v>
                </c:pt>
                <c:pt idx="33">
                  <c:v>13.362500000000001</c:v>
                </c:pt>
                <c:pt idx="34">
                  <c:v>13.7652</c:v>
                </c:pt>
                <c:pt idx="35">
                  <c:v>14.171900000000001</c:v>
                </c:pt>
                <c:pt idx="36">
                  <c:v>14.578099999999999</c:v>
                </c:pt>
                <c:pt idx="37">
                  <c:v>14.9833</c:v>
                </c:pt>
                <c:pt idx="38">
                  <c:v>15.3917</c:v>
                </c:pt>
                <c:pt idx="39">
                  <c:v>15.7981</c:v>
                </c:pt>
                <c:pt idx="40">
                  <c:v>16.206700000000001</c:v>
                </c:pt>
                <c:pt idx="41">
                  <c:v>16.608599999999999</c:v>
                </c:pt>
                <c:pt idx="42">
                  <c:v>17.015999999999998</c:v>
                </c:pt>
                <c:pt idx="43">
                  <c:v>17.420200000000001</c:v>
                </c:pt>
                <c:pt idx="44">
                  <c:v>17.828700000000001</c:v>
                </c:pt>
                <c:pt idx="45">
                  <c:v>18.2347</c:v>
                </c:pt>
                <c:pt idx="46">
                  <c:v>18.6387</c:v>
                </c:pt>
                <c:pt idx="47">
                  <c:v>19.046700000000001</c:v>
                </c:pt>
                <c:pt idx="48">
                  <c:v>19.451599999999999</c:v>
                </c:pt>
                <c:pt idx="49">
                  <c:v>19.8644</c:v>
                </c:pt>
                <c:pt idx="50">
                  <c:v>20.2681</c:v>
                </c:pt>
                <c:pt idx="51">
                  <c:v>20.67</c:v>
                </c:pt>
                <c:pt idx="52">
                  <c:v>21.075099999999999</c:v>
                </c:pt>
                <c:pt idx="53">
                  <c:v>21.4862</c:v>
                </c:pt>
                <c:pt idx="54">
                  <c:v>21.8919</c:v>
                </c:pt>
                <c:pt idx="55">
                  <c:v>22.299199999999999</c:v>
                </c:pt>
                <c:pt idx="56">
                  <c:v>22.7029</c:v>
                </c:pt>
                <c:pt idx="57">
                  <c:v>23.1083</c:v>
                </c:pt>
                <c:pt idx="58">
                  <c:v>23.515499999999999</c:v>
                </c:pt>
                <c:pt idx="59">
                  <c:v>23.9206</c:v>
                </c:pt>
                <c:pt idx="60">
                  <c:v>24.328600000000002</c:v>
                </c:pt>
                <c:pt idx="61">
                  <c:v>24.7348</c:v>
                </c:pt>
                <c:pt idx="62">
                  <c:v>25.145199999999999</c:v>
                </c:pt>
                <c:pt idx="63">
                  <c:v>25.549800000000001</c:v>
                </c:pt>
                <c:pt idx="64">
                  <c:v>25.952500000000001</c:v>
                </c:pt>
                <c:pt idx="65">
                  <c:v>26.363700000000001</c:v>
                </c:pt>
                <c:pt idx="66">
                  <c:v>26.765799999999999</c:v>
                </c:pt>
                <c:pt idx="67">
                  <c:v>27.170200000000001</c:v>
                </c:pt>
                <c:pt idx="68">
                  <c:v>27.580400000000001</c:v>
                </c:pt>
                <c:pt idx="69">
                  <c:v>27.983599999999999</c:v>
                </c:pt>
                <c:pt idx="70">
                  <c:v>28.389500000000002</c:v>
                </c:pt>
                <c:pt idx="71">
                  <c:v>28.7956</c:v>
                </c:pt>
                <c:pt idx="72">
                  <c:v>29.203499999999998</c:v>
                </c:pt>
                <c:pt idx="73">
                  <c:v>29.61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63.641400000000004</c:v>
                </c:pt>
                <c:pt idx="1">
                  <c:v>62.920200000000001</c:v>
                </c:pt>
                <c:pt idx="2">
                  <c:v>62.155000000000001</c:v>
                </c:pt>
                <c:pt idx="3">
                  <c:v>61.371200000000002</c:v>
                </c:pt>
                <c:pt idx="4">
                  <c:v>60.558199999999992</c:v>
                </c:pt>
                <c:pt idx="5">
                  <c:v>59.765000000000001</c:v>
                </c:pt>
                <c:pt idx="6">
                  <c:v>58.959799999999994</c:v>
                </c:pt>
                <c:pt idx="7">
                  <c:v>58.121100000000006</c:v>
                </c:pt>
                <c:pt idx="8">
                  <c:v>57.166200000000003</c:v>
                </c:pt>
                <c:pt idx="9">
                  <c:v>56.0824</c:v>
                </c:pt>
                <c:pt idx="10">
                  <c:v>54.947199999999995</c:v>
                </c:pt>
                <c:pt idx="11">
                  <c:v>53.837699999999998</c:v>
                </c:pt>
                <c:pt idx="12">
                  <c:v>52.732700000000001</c:v>
                </c:pt>
                <c:pt idx="13">
                  <c:v>51.715900000000005</c:v>
                </c:pt>
                <c:pt idx="14">
                  <c:v>50.764499999999998</c:v>
                </c:pt>
                <c:pt idx="15">
                  <c:v>49.8628</c:v>
                </c:pt>
                <c:pt idx="16">
                  <c:v>48.927999999999997</c:v>
                </c:pt>
                <c:pt idx="17">
                  <c:v>48.089599999999997</c:v>
                </c:pt>
                <c:pt idx="18">
                  <c:v>47.274699999999996</c:v>
                </c:pt>
                <c:pt idx="19">
                  <c:v>46.473500000000001</c:v>
                </c:pt>
                <c:pt idx="20">
                  <c:v>45.749600000000001</c:v>
                </c:pt>
                <c:pt idx="21">
                  <c:v>45.058599999999998</c:v>
                </c:pt>
                <c:pt idx="22">
                  <c:v>44.351500000000001</c:v>
                </c:pt>
                <c:pt idx="23">
                  <c:v>43.638199999999998</c:v>
                </c:pt>
                <c:pt idx="24">
                  <c:v>42.949799999999996</c:v>
                </c:pt>
                <c:pt idx="25">
                  <c:v>42.265300000000003</c:v>
                </c:pt>
                <c:pt idx="26">
                  <c:v>41.582900000000002</c:v>
                </c:pt>
                <c:pt idx="27">
                  <c:v>40.947899999999997</c:v>
                </c:pt>
                <c:pt idx="28">
                  <c:v>40.3949</c:v>
                </c:pt>
                <c:pt idx="29">
                  <c:v>39.872399999999999</c:v>
                </c:pt>
                <c:pt idx="30">
                  <c:v>39.426699999999997</c:v>
                </c:pt>
                <c:pt idx="31">
                  <c:v>39.0169</c:v>
                </c:pt>
                <c:pt idx="32">
                  <c:v>38.631300000000003</c:v>
                </c:pt>
                <c:pt idx="33">
                  <c:v>38.302</c:v>
                </c:pt>
                <c:pt idx="34">
                  <c:v>38.0383</c:v>
                </c:pt>
                <c:pt idx="35">
                  <c:v>37.825499999999998</c:v>
                </c:pt>
                <c:pt idx="36">
                  <c:v>37.634499999999996</c:v>
                </c:pt>
                <c:pt idx="37">
                  <c:v>37.471499999999999</c:v>
                </c:pt>
                <c:pt idx="38">
                  <c:v>37.321899999999999</c:v>
                </c:pt>
                <c:pt idx="39">
                  <c:v>37.157899999999998</c:v>
                </c:pt>
                <c:pt idx="40">
                  <c:v>36.973500000000001</c:v>
                </c:pt>
                <c:pt idx="41">
                  <c:v>36.783700000000003</c:v>
                </c:pt>
                <c:pt idx="42">
                  <c:v>36.546299999999995</c:v>
                </c:pt>
                <c:pt idx="43">
                  <c:v>36.320900000000002</c:v>
                </c:pt>
                <c:pt idx="44">
                  <c:v>36.1633</c:v>
                </c:pt>
                <c:pt idx="45">
                  <c:v>35.970700000000001</c:v>
                </c:pt>
                <c:pt idx="46">
                  <c:v>35.802299999999995</c:v>
                </c:pt>
                <c:pt idx="47">
                  <c:v>35.682600000000001</c:v>
                </c:pt>
                <c:pt idx="48">
                  <c:v>35.597799999999999</c:v>
                </c:pt>
                <c:pt idx="49">
                  <c:v>35.561999999999998</c:v>
                </c:pt>
                <c:pt idx="50">
                  <c:v>35.558</c:v>
                </c:pt>
                <c:pt idx="51">
                  <c:v>35.581000000000003</c:v>
                </c:pt>
                <c:pt idx="52">
                  <c:v>35.591200000000001</c:v>
                </c:pt>
                <c:pt idx="53">
                  <c:v>35.625</c:v>
                </c:pt>
                <c:pt idx="54">
                  <c:v>35.667000000000002</c:v>
                </c:pt>
                <c:pt idx="55">
                  <c:v>35.690800000000003</c:v>
                </c:pt>
                <c:pt idx="56">
                  <c:v>35.728400000000001</c:v>
                </c:pt>
                <c:pt idx="57">
                  <c:v>35.815899999999999</c:v>
                </c:pt>
                <c:pt idx="58">
                  <c:v>35.932900000000004</c:v>
                </c:pt>
                <c:pt idx="59">
                  <c:v>35.980800000000002</c:v>
                </c:pt>
                <c:pt idx="60">
                  <c:v>36.036099999999998</c:v>
                </c:pt>
                <c:pt idx="61">
                  <c:v>36.079599999999999</c:v>
                </c:pt>
                <c:pt idx="62">
                  <c:v>36.134899999999995</c:v>
                </c:pt>
                <c:pt idx="63">
                  <c:v>36.165900000000001</c:v>
                </c:pt>
                <c:pt idx="64">
                  <c:v>36.263600000000004</c:v>
                </c:pt>
                <c:pt idx="65">
                  <c:v>36.389600000000002</c:v>
                </c:pt>
                <c:pt idx="66">
                  <c:v>36.5533</c:v>
                </c:pt>
                <c:pt idx="67">
                  <c:v>36.757400000000004</c:v>
                </c:pt>
                <c:pt idx="68">
                  <c:v>37.027300000000004</c:v>
                </c:pt>
                <c:pt idx="69">
                  <c:v>37.286200000000001</c:v>
                </c:pt>
                <c:pt idx="70">
                  <c:v>37.476300000000002</c:v>
                </c:pt>
                <c:pt idx="71">
                  <c:v>37.612499999999997</c:v>
                </c:pt>
                <c:pt idx="72">
                  <c:v>37.764499999999998</c:v>
                </c:pt>
                <c:pt idx="73">
                  <c:v>37.9223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DE-4BA8-8A29-17BDB2F5F64B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79646">
                  <a:lumMod val="40000"/>
                  <a:lumOff val="60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29.61</c:v>
                </c:pt>
                <c:pt idx="1">
                  <c:v>30.014099999999999</c:v>
                </c:pt>
                <c:pt idx="2">
                  <c:v>30.607800000000001</c:v>
                </c:pt>
                <c:pt idx="3">
                  <c:v>30.982800000000001</c:v>
                </c:pt>
                <c:pt idx="4">
                  <c:v>31.360499999999998</c:v>
                </c:pt>
                <c:pt idx="5">
                  <c:v>31.734100000000002</c:v>
                </c:pt>
                <c:pt idx="6">
                  <c:v>32.112000000000002</c:v>
                </c:pt>
                <c:pt idx="7">
                  <c:v>32.5154</c:v>
                </c:pt>
                <c:pt idx="8">
                  <c:v>32.921199999999999</c:v>
                </c:pt>
                <c:pt idx="9">
                  <c:v>33.329700000000003</c:v>
                </c:pt>
                <c:pt idx="10">
                  <c:v>33.734000000000002</c:v>
                </c:pt>
                <c:pt idx="11">
                  <c:v>34.140099999999997</c:v>
                </c:pt>
                <c:pt idx="12">
                  <c:v>34.549100000000003</c:v>
                </c:pt>
                <c:pt idx="13">
                  <c:v>34.953400000000002</c:v>
                </c:pt>
                <c:pt idx="14">
                  <c:v>35.361600000000003</c:v>
                </c:pt>
                <c:pt idx="15">
                  <c:v>35.7652</c:v>
                </c:pt>
                <c:pt idx="16">
                  <c:v>36.171500000000002</c:v>
                </c:pt>
                <c:pt idx="17">
                  <c:v>36.5777</c:v>
                </c:pt>
                <c:pt idx="18">
                  <c:v>36.987299999999998</c:v>
                </c:pt>
                <c:pt idx="19">
                  <c:v>37.388199999999998</c:v>
                </c:pt>
                <c:pt idx="20">
                  <c:v>37.797400000000003</c:v>
                </c:pt>
                <c:pt idx="21">
                  <c:v>38.2044</c:v>
                </c:pt>
                <c:pt idx="22">
                  <c:v>38.606699999999996</c:v>
                </c:pt>
                <c:pt idx="23">
                  <c:v>39.016599999999997</c:v>
                </c:pt>
                <c:pt idx="24">
                  <c:v>39.424300000000002</c:v>
                </c:pt>
                <c:pt idx="25">
                  <c:v>39.8324</c:v>
                </c:pt>
                <c:pt idx="26">
                  <c:v>40.236699999999999</c:v>
                </c:pt>
                <c:pt idx="27">
                  <c:v>40.639899999999997</c:v>
                </c:pt>
                <c:pt idx="28">
                  <c:v>41.047199999999997</c:v>
                </c:pt>
                <c:pt idx="29">
                  <c:v>41.453400000000002</c:v>
                </c:pt>
                <c:pt idx="30">
                  <c:v>41.8626</c:v>
                </c:pt>
                <c:pt idx="31">
                  <c:v>42.265099999999997</c:v>
                </c:pt>
                <c:pt idx="32">
                  <c:v>42.671599999999998</c:v>
                </c:pt>
                <c:pt idx="33">
                  <c:v>43.076799999999999</c:v>
                </c:pt>
                <c:pt idx="34">
                  <c:v>43.485999999999997</c:v>
                </c:pt>
                <c:pt idx="35">
                  <c:v>43.893000000000001</c:v>
                </c:pt>
                <c:pt idx="36">
                  <c:v>44.297199999999997</c:v>
                </c:pt>
                <c:pt idx="37">
                  <c:v>44.703200000000002</c:v>
                </c:pt>
                <c:pt idx="38">
                  <c:v>45.107100000000003</c:v>
                </c:pt>
                <c:pt idx="39">
                  <c:v>45.513199999999998</c:v>
                </c:pt>
                <c:pt idx="40">
                  <c:v>45.920900000000003</c:v>
                </c:pt>
                <c:pt idx="41">
                  <c:v>46.333799999999997</c:v>
                </c:pt>
                <c:pt idx="42">
                  <c:v>46.735799999999998</c:v>
                </c:pt>
                <c:pt idx="43">
                  <c:v>47.143099999999997</c:v>
                </c:pt>
                <c:pt idx="44">
                  <c:v>47.548900000000003</c:v>
                </c:pt>
                <c:pt idx="45">
                  <c:v>47.952599999999997</c:v>
                </c:pt>
                <c:pt idx="46">
                  <c:v>48.355800000000002</c:v>
                </c:pt>
                <c:pt idx="47">
                  <c:v>48.764699999999998</c:v>
                </c:pt>
                <c:pt idx="48">
                  <c:v>49.174500000000002</c:v>
                </c:pt>
                <c:pt idx="49">
                  <c:v>49.578400000000002</c:v>
                </c:pt>
                <c:pt idx="50">
                  <c:v>49.981699999999996</c:v>
                </c:pt>
                <c:pt idx="51">
                  <c:v>50.389299999999999</c:v>
                </c:pt>
                <c:pt idx="52">
                  <c:v>50.800600000000003</c:v>
                </c:pt>
                <c:pt idx="53">
                  <c:v>51.203800000000001</c:v>
                </c:pt>
                <c:pt idx="54">
                  <c:v>51.6126</c:v>
                </c:pt>
                <c:pt idx="55">
                  <c:v>52.014899999999997</c:v>
                </c:pt>
                <c:pt idx="56">
                  <c:v>52.421599999999998</c:v>
                </c:pt>
                <c:pt idx="57">
                  <c:v>52.831600000000002</c:v>
                </c:pt>
                <c:pt idx="58">
                  <c:v>53.236699999999999</c:v>
                </c:pt>
                <c:pt idx="59">
                  <c:v>53.6402</c:v>
                </c:pt>
                <c:pt idx="60">
                  <c:v>54.044699999999999</c:v>
                </c:pt>
                <c:pt idx="61">
                  <c:v>54.453200000000002</c:v>
                </c:pt>
                <c:pt idx="62">
                  <c:v>54.861400000000003</c:v>
                </c:pt>
                <c:pt idx="63">
                  <c:v>55.263800000000003</c:v>
                </c:pt>
                <c:pt idx="64">
                  <c:v>55.673999999999999</c:v>
                </c:pt>
                <c:pt idx="65">
                  <c:v>56.078099999999999</c:v>
                </c:pt>
                <c:pt idx="66">
                  <c:v>56.486600000000003</c:v>
                </c:pt>
                <c:pt idx="67">
                  <c:v>56.8917</c:v>
                </c:pt>
                <c:pt idx="68">
                  <c:v>57.296900000000001</c:v>
                </c:pt>
                <c:pt idx="69">
                  <c:v>57.7057</c:v>
                </c:pt>
                <c:pt idx="70">
                  <c:v>58.106499999999997</c:v>
                </c:pt>
                <c:pt idx="71">
                  <c:v>58.514600000000002</c:v>
                </c:pt>
                <c:pt idx="72">
                  <c:v>58.920999999999999</c:v>
                </c:pt>
                <c:pt idx="73">
                  <c:v>59.330399999999997</c:v>
                </c:pt>
                <c:pt idx="74">
                  <c:v>59.7346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37.9223</c:v>
                </c:pt>
                <c:pt idx="1">
                  <c:v>38.080000000000005</c:v>
                </c:pt>
                <c:pt idx="2">
                  <c:v>38.3429</c:v>
                </c:pt>
                <c:pt idx="3">
                  <c:v>38.602599999999995</c:v>
                </c:pt>
                <c:pt idx="4">
                  <c:v>38.839500000000001</c:v>
                </c:pt>
                <c:pt idx="5">
                  <c:v>39.088799999999999</c:v>
                </c:pt>
                <c:pt idx="6">
                  <c:v>39.3919</c:v>
                </c:pt>
                <c:pt idx="7">
                  <c:v>39.674300000000002</c:v>
                </c:pt>
                <c:pt idx="8">
                  <c:v>39.958399999999997</c:v>
                </c:pt>
                <c:pt idx="9">
                  <c:v>40.227400000000003</c:v>
                </c:pt>
                <c:pt idx="10">
                  <c:v>40.539199999999994</c:v>
                </c:pt>
                <c:pt idx="11">
                  <c:v>40.8521</c:v>
                </c:pt>
                <c:pt idx="12">
                  <c:v>41.142499999999998</c:v>
                </c:pt>
                <c:pt idx="13">
                  <c:v>41.418399999999998</c:v>
                </c:pt>
                <c:pt idx="14">
                  <c:v>41.729799999999997</c:v>
                </c:pt>
                <c:pt idx="15">
                  <c:v>42.024699999999996</c:v>
                </c:pt>
                <c:pt idx="16">
                  <c:v>42.321100000000001</c:v>
                </c:pt>
                <c:pt idx="17">
                  <c:v>42.6113</c:v>
                </c:pt>
                <c:pt idx="18">
                  <c:v>42.909100000000002</c:v>
                </c:pt>
                <c:pt idx="19">
                  <c:v>43.178699999999999</c:v>
                </c:pt>
                <c:pt idx="20">
                  <c:v>43.417200000000001</c:v>
                </c:pt>
                <c:pt idx="21">
                  <c:v>43.655699999999996</c:v>
                </c:pt>
                <c:pt idx="22">
                  <c:v>43.917299999999997</c:v>
                </c:pt>
                <c:pt idx="23">
                  <c:v>44.1081</c:v>
                </c:pt>
                <c:pt idx="24">
                  <c:v>44.277899999999995</c:v>
                </c:pt>
                <c:pt idx="25">
                  <c:v>44.468299999999999</c:v>
                </c:pt>
                <c:pt idx="26">
                  <c:v>44.6477</c:v>
                </c:pt>
                <c:pt idx="27">
                  <c:v>44.815600000000003</c:v>
                </c:pt>
                <c:pt idx="28">
                  <c:v>44.924199999999999</c:v>
                </c:pt>
                <c:pt idx="29">
                  <c:v>45.0762</c:v>
                </c:pt>
                <c:pt idx="30">
                  <c:v>45.287700000000001</c:v>
                </c:pt>
                <c:pt idx="31">
                  <c:v>45.5244</c:v>
                </c:pt>
                <c:pt idx="32">
                  <c:v>45.789200000000001</c:v>
                </c:pt>
                <c:pt idx="33">
                  <c:v>46.049199999999999</c:v>
                </c:pt>
                <c:pt idx="34">
                  <c:v>46.360500000000002</c:v>
                </c:pt>
                <c:pt idx="35">
                  <c:v>46.713900000000002</c:v>
                </c:pt>
                <c:pt idx="36">
                  <c:v>47.098800000000004</c:v>
                </c:pt>
                <c:pt idx="37">
                  <c:v>47.527900000000002</c:v>
                </c:pt>
                <c:pt idx="38">
                  <c:v>47.967399999999998</c:v>
                </c:pt>
                <c:pt idx="39">
                  <c:v>48.396099999999997</c:v>
                </c:pt>
                <c:pt idx="40">
                  <c:v>48.820799999999998</c:v>
                </c:pt>
                <c:pt idx="41">
                  <c:v>49.207699999999996</c:v>
                </c:pt>
                <c:pt idx="42">
                  <c:v>49.571199999999997</c:v>
                </c:pt>
                <c:pt idx="43">
                  <c:v>49.939799999999998</c:v>
                </c:pt>
                <c:pt idx="44">
                  <c:v>50.349500000000006</c:v>
                </c:pt>
                <c:pt idx="45">
                  <c:v>50.799300000000002</c:v>
                </c:pt>
                <c:pt idx="46">
                  <c:v>51.157200000000003</c:v>
                </c:pt>
                <c:pt idx="47">
                  <c:v>51.421099999999996</c:v>
                </c:pt>
                <c:pt idx="48">
                  <c:v>51.641899999999993</c:v>
                </c:pt>
                <c:pt idx="49">
                  <c:v>51.800800000000002</c:v>
                </c:pt>
                <c:pt idx="50">
                  <c:v>51.912300000000002</c:v>
                </c:pt>
                <c:pt idx="51">
                  <c:v>51.976299999999995</c:v>
                </c:pt>
                <c:pt idx="52">
                  <c:v>52.028799999999997</c:v>
                </c:pt>
                <c:pt idx="53">
                  <c:v>52.012100000000004</c:v>
                </c:pt>
                <c:pt idx="54">
                  <c:v>51.956400000000002</c:v>
                </c:pt>
                <c:pt idx="55">
                  <c:v>51.9069</c:v>
                </c:pt>
                <c:pt idx="56">
                  <c:v>51.913499999999999</c:v>
                </c:pt>
                <c:pt idx="57">
                  <c:v>51.912499999999994</c:v>
                </c:pt>
                <c:pt idx="58">
                  <c:v>51.919400000000003</c:v>
                </c:pt>
                <c:pt idx="59">
                  <c:v>51.996699999999997</c:v>
                </c:pt>
                <c:pt idx="60">
                  <c:v>52.044599999999996</c:v>
                </c:pt>
                <c:pt idx="61">
                  <c:v>52.117400000000004</c:v>
                </c:pt>
                <c:pt idx="62">
                  <c:v>52.160600000000002</c:v>
                </c:pt>
                <c:pt idx="63">
                  <c:v>52.180999999999997</c:v>
                </c:pt>
                <c:pt idx="64">
                  <c:v>52.242599999999996</c:v>
                </c:pt>
                <c:pt idx="65">
                  <c:v>52.292200000000001</c:v>
                </c:pt>
                <c:pt idx="66">
                  <c:v>52.385800000000003</c:v>
                </c:pt>
                <c:pt idx="67">
                  <c:v>52.503799999999998</c:v>
                </c:pt>
                <c:pt idx="68">
                  <c:v>52.589399999999998</c:v>
                </c:pt>
                <c:pt idx="69">
                  <c:v>52.6479</c:v>
                </c:pt>
                <c:pt idx="70">
                  <c:v>52.714700000000001</c:v>
                </c:pt>
                <c:pt idx="71">
                  <c:v>52.731999999999999</c:v>
                </c:pt>
                <c:pt idx="72">
                  <c:v>52.812800000000003</c:v>
                </c:pt>
                <c:pt idx="73">
                  <c:v>53.031700000000001</c:v>
                </c:pt>
                <c:pt idx="74">
                  <c:v>53.244400000000006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CDE-4BA8-8A29-17BDB2F5F64B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63.641400000000004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CDE-4BA8-8A29-17BDB2F5F64B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63.641400000000004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DE-4BA8-8A29-17BDB2F5F64B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63.641400000000004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CDE-4BA8-8A29-17BDB2F5F64B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63.641400000000004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DE-4BA8-8A29-17BDB2F5F64B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63.641400000000004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CDE-4BA8-8A29-17BDB2F5F64B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63.641400000000004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DE-4BA8-8A29-17BDB2F5F64B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63.641400000000004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CDE-4BA8-8A29-17BDB2F5F64B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63.641400000000004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DE-4BA8-8A29-17BDB2F5F64B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63.641400000000004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CDE-4BA8-8A29-17BDB2F5F64B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63.641400000000004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DE-4BA8-8A29-17BDB2F5F64B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63.641400000000004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CDE-4BA8-8A29-17BDB2F5F64B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63.641400000000004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DE-4BA8-8A29-17BDB2F5F64B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63.641400000000004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CDE-4BA8-8A29-17BDB2F5F64B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63.641400000000004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DE-4BA8-8A29-17BDB2F5F64B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63.641400000000004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CDE-4BA8-8A29-17BDB2F5F64B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63.641400000000004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DE-4BA8-8A29-17BDB2F5F64B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63.641400000000004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CDE-4BA8-8A29-17BDB2F5F64B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63.641400000000004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DE-4BA8-8A29-17BDB2F5F64B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63.641400000000004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CDE-4BA8-8A29-17BDB2F5F64B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63.641400000000004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CDE-4BA8-8A29-17BDB2F5F64B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63.641400000000004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DE-4BA8-8A29-17BDB2F5F64B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63.641400000000004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CDE-4BA8-8A29-17BDB2F5F64B}"/>
            </c:ext>
          </c:extLst>
        </c:ser>
        <c:ser>
          <c:idx val="50"/>
          <c:order val="50"/>
          <c:tx>
            <c:v>avgI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info!$U$4:$V$4</c:f>
              <c:numCache>
                <c:formatCode>General</c:formatCode>
                <c:ptCount val="2"/>
                <c:pt idx="0">
                  <c:v>14.93365</c:v>
                </c:pt>
                <c:pt idx="1">
                  <c:v>44.80095</c:v>
                </c:pt>
              </c:numCache>
            </c:numRef>
          </c:xVal>
          <c:yVal>
            <c:numRef>
              <c:f>info!$U$5:$V$5</c:f>
              <c:numCache>
                <c:formatCode>General</c:formatCode>
                <c:ptCount val="2"/>
                <c:pt idx="0">
                  <c:v>42.527679729729734</c:v>
                </c:pt>
                <c:pt idx="1">
                  <c:v>47.201366216216201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C1-47AC-814E-0C59909E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60768"/>
        <c:axId val="295960376"/>
      </c:scatterChart>
      <c:valAx>
        <c:axId val="294151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4151992"/>
        <c:crosses val="autoZero"/>
        <c:crossBetween val="midCat"/>
      </c:valAx>
      <c:valAx>
        <c:axId val="294151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4151600"/>
        <c:crosses val="autoZero"/>
        <c:crossBetween val="midCat"/>
      </c:valAx>
      <c:valAx>
        <c:axId val="295960376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5960768"/>
        <c:crosses val="max"/>
        <c:crossBetween val="midCat"/>
      </c:valAx>
      <c:valAx>
        <c:axId val="2959607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5960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4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43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148"/>
                <c:pt idx="0">
                  <c:v>1.7180400000000002</c:v>
                </c:pt>
                <c:pt idx="1">
                  <c:v>1.76193</c:v>
                </c:pt>
                <c:pt idx="2">
                  <c:v>1.80619</c:v>
                </c:pt>
                <c:pt idx="3">
                  <c:v>1.84931</c:v>
                </c:pt>
                <c:pt idx="4">
                  <c:v>1.8915899999999999</c:v>
                </c:pt>
                <c:pt idx="5">
                  <c:v>1.93252</c:v>
                </c:pt>
                <c:pt idx="6">
                  <c:v>1.9722700000000002</c:v>
                </c:pt>
                <c:pt idx="7">
                  <c:v>2.0112199999999998</c:v>
                </c:pt>
                <c:pt idx="8">
                  <c:v>2.0497899999999998</c:v>
                </c:pt>
                <c:pt idx="9">
                  <c:v>2.0885799999999999</c:v>
                </c:pt>
                <c:pt idx="10">
                  <c:v>2.1273400000000002</c:v>
                </c:pt>
                <c:pt idx="11">
                  <c:v>2.1656500000000003</c:v>
                </c:pt>
                <c:pt idx="12">
                  <c:v>2.20316</c:v>
                </c:pt>
                <c:pt idx="13">
                  <c:v>2.2399499999999999</c:v>
                </c:pt>
                <c:pt idx="14">
                  <c:v>2.2751099999999997</c:v>
                </c:pt>
                <c:pt idx="15">
                  <c:v>2.3094600000000001</c:v>
                </c:pt>
                <c:pt idx="16">
                  <c:v>2.3450600000000001</c:v>
                </c:pt>
                <c:pt idx="17">
                  <c:v>2.3799100000000002</c:v>
                </c:pt>
                <c:pt idx="18">
                  <c:v>2.41384</c:v>
                </c:pt>
                <c:pt idx="19">
                  <c:v>2.4466099999999997</c:v>
                </c:pt>
                <c:pt idx="20">
                  <c:v>2.4775499999999999</c:v>
                </c:pt>
                <c:pt idx="21">
                  <c:v>2.5090400000000002</c:v>
                </c:pt>
                <c:pt idx="22">
                  <c:v>2.5404100000000001</c:v>
                </c:pt>
                <c:pt idx="23">
                  <c:v>2.57043</c:v>
                </c:pt>
                <c:pt idx="24">
                  <c:v>2.59931</c:v>
                </c:pt>
                <c:pt idx="25">
                  <c:v>2.6290200000000001</c:v>
                </c:pt>
                <c:pt idx="26">
                  <c:v>2.6585900000000002</c:v>
                </c:pt>
                <c:pt idx="27">
                  <c:v>2.6878099999999998</c:v>
                </c:pt>
                <c:pt idx="28">
                  <c:v>2.7148499999999998</c:v>
                </c:pt>
                <c:pt idx="29">
                  <c:v>2.7411300000000001</c:v>
                </c:pt>
                <c:pt idx="30">
                  <c:v>2.7660499999999999</c:v>
                </c:pt>
                <c:pt idx="31">
                  <c:v>2.7914400000000001</c:v>
                </c:pt>
                <c:pt idx="32">
                  <c:v>2.8158899999999996</c:v>
                </c:pt>
                <c:pt idx="33">
                  <c:v>2.8378100000000002</c:v>
                </c:pt>
                <c:pt idx="34">
                  <c:v>2.8566500000000001</c:v>
                </c:pt>
                <c:pt idx="35">
                  <c:v>2.8734999999999999</c:v>
                </c:pt>
                <c:pt idx="36">
                  <c:v>2.8900999999999999</c:v>
                </c:pt>
                <c:pt idx="37">
                  <c:v>2.9055599999999999</c:v>
                </c:pt>
                <c:pt idx="38">
                  <c:v>2.9209700000000001</c:v>
                </c:pt>
                <c:pt idx="39">
                  <c:v>2.9386400000000004</c:v>
                </c:pt>
                <c:pt idx="40">
                  <c:v>2.9572399999999996</c:v>
                </c:pt>
                <c:pt idx="41">
                  <c:v>2.9739599999999999</c:v>
                </c:pt>
                <c:pt idx="42">
                  <c:v>2.9917700000000003</c:v>
                </c:pt>
                <c:pt idx="43">
                  <c:v>3.0091600000000001</c:v>
                </c:pt>
                <c:pt idx="44">
                  <c:v>3.0260500000000001</c:v>
                </c:pt>
                <c:pt idx="45">
                  <c:v>3.0470299999999999</c:v>
                </c:pt>
                <c:pt idx="46">
                  <c:v>3.0673899999999996</c:v>
                </c:pt>
                <c:pt idx="47">
                  <c:v>3.0878000000000001</c:v>
                </c:pt>
                <c:pt idx="48">
                  <c:v>3.1073899999999997</c:v>
                </c:pt>
                <c:pt idx="49">
                  <c:v>3.1253399999999996</c:v>
                </c:pt>
                <c:pt idx="50">
                  <c:v>3.1368800000000001</c:v>
                </c:pt>
                <c:pt idx="51">
                  <c:v>3.1509</c:v>
                </c:pt>
                <c:pt idx="52">
                  <c:v>3.1638000000000002</c:v>
                </c:pt>
                <c:pt idx="53">
                  <c:v>3.1775599999999997</c:v>
                </c:pt>
                <c:pt idx="54">
                  <c:v>3.1900200000000001</c:v>
                </c:pt>
                <c:pt idx="55">
                  <c:v>3.2027200000000002</c:v>
                </c:pt>
                <c:pt idx="56">
                  <c:v>3.21529</c:v>
                </c:pt>
                <c:pt idx="57">
                  <c:v>3.22614</c:v>
                </c:pt>
                <c:pt idx="58">
                  <c:v>3.2358799999999999</c:v>
                </c:pt>
                <c:pt idx="59">
                  <c:v>3.2444299999999999</c:v>
                </c:pt>
                <c:pt idx="60">
                  <c:v>3.25318</c:v>
                </c:pt>
                <c:pt idx="61">
                  <c:v>3.26342</c:v>
                </c:pt>
                <c:pt idx="62">
                  <c:v>3.2750499999999998</c:v>
                </c:pt>
                <c:pt idx="63">
                  <c:v>3.2862400000000003</c:v>
                </c:pt>
                <c:pt idx="64">
                  <c:v>3.2949099999999998</c:v>
                </c:pt>
                <c:pt idx="65">
                  <c:v>3.3028400000000002</c:v>
                </c:pt>
                <c:pt idx="66">
                  <c:v>3.3111299999999999</c:v>
                </c:pt>
                <c:pt idx="67">
                  <c:v>3.3176499999999995</c:v>
                </c:pt>
                <c:pt idx="68">
                  <c:v>3.3261099999999999</c:v>
                </c:pt>
                <c:pt idx="69">
                  <c:v>3.3362500000000002</c:v>
                </c:pt>
                <c:pt idx="70">
                  <c:v>3.3468300000000002</c:v>
                </c:pt>
                <c:pt idx="71">
                  <c:v>3.3605299999999998</c:v>
                </c:pt>
                <c:pt idx="72">
                  <c:v>3.3758899999999996</c:v>
                </c:pt>
                <c:pt idx="73">
                  <c:v>3.3925200000000002</c:v>
                </c:pt>
                <c:pt idx="74">
                  <c:v>3.4095999999999997</c:v>
                </c:pt>
                <c:pt idx="75">
                  <c:v>3.4330799999999999</c:v>
                </c:pt>
                <c:pt idx="76">
                  <c:v>3.45072</c:v>
                </c:pt>
                <c:pt idx="77">
                  <c:v>3.4677899999999999</c:v>
                </c:pt>
                <c:pt idx="78">
                  <c:v>3.4855100000000001</c:v>
                </c:pt>
                <c:pt idx="79">
                  <c:v>3.5019099999999996</c:v>
                </c:pt>
                <c:pt idx="80">
                  <c:v>3.5178099999999999</c:v>
                </c:pt>
                <c:pt idx="81">
                  <c:v>3.53146</c:v>
                </c:pt>
                <c:pt idx="82">
                  <c:v>3.5470000000000002</c:v>
                </c:pt>
                <c:pt idx="83">
                  <c:v>3.5626799999999998</c:v>
                </c:pt>
                <c:pt idx="84">
                  <c:v>3.57952</c:v>
                </c:pt>
                <c:pt idx="85">
                  <c:v>3.5950300000000004</c:v>
                </c:pt>
                <c:pt idx="86">
                  <c:v>3.6074899999999999</c:v>
                </c:pt>
                <c:pt idx="87">
                  <c:v>3.61721</c:v>
                </c:pt>
                <c:pt idx="88">
                  <c:v>3.6247199999999999</c:v>
                </c:pt>
                <c:pt idx="89">
                  <c:v>3.6295999999999999</c:v>
                </c:pt>
                <c:pt idx="90">
                  <c:v>3.6327199999999999</c:v>
                </c:pt>
                <c:pt idx="91">
                  <c:v>3.63489</c:v>
                </c:pt>
                <c:pt idx="92">
                  <c:v>3.6352600000000002</c:v>
                </c:pt>
                <c:pt idx="93">
                  <c:v>3.6331899999999999</c:v>
                </c:pt>
                <c:pt idx="94">
                  <c:v>3.6255799999999998</c:v>
                </c:pt>
                <c:pt idx="95">
                  <c:v>3.6111</c:v>
                </c:pt>
                <c:pt idx="96">
                  <c:v>3.5911</c:v>
                </c:pt>
                <c:pt idx="97">
                  <c:v>3.5664400000000001</c:v>
                </c:pt>
                <c:pt idx="98">
                  <c:v>3.5398000000000001</c:v>
                </c:pt>
                <c:pt idx="99">
                  <c:v>3.5124300000000002</c:v>
                </c:pt>
                <c:pt idx="100">
                  <c:v>3.4835899999999995</c:v>
                </c:pt>
                <c:pt idx="101">
                  <c:v>3.4516400000000003</c:v>
                </c:pt>
                <c:pt idx="102">
                  <c:v>3.41736</c:v>
                </c:pt>
                <c:pt idx="103">
                  <c:v>3.3826800000000001</c:v>
                </c:pt>
                <c:pt idx="104">
                  <c:v>3.3502000000000001</c:v>
                </c:pt>
                <c:pt idx="105">
                  <c:v>3.3159300000000003</c:v>
                </c:pt>
                <c:pt idx="106">
                  <c:v>3.2823899999999999</c:v>
                </c:pt>
                <c:pt idx="107">
                  <c:v>3.2487899999999996</c:v>
                </c:pt>
                <c:pt idx="108">
                  <c:v>3.2134099999999997</c:v>
                </c:pt>
                <c:pt idx="109">
                  <c:v>3.1768099999999997</c:v>
                </c:pt>
                <c:pt idx="110">
                  <c:v>3.1384699999999999</c:v>
                </c:pt>
                <c:pt idx="111">
                  <c:v>3.09917</c:v>
                </c:pt>
                <c:pt idx="112">
                  <c:v>3.0610599999999999</c:v>
                </c:pt>
                <c:pt idx="113">
                  <c:v>3.0238800000000001</c:v>
                </c:pt>
                <c:pt idx="114">
                  <c:v>2.9893100000000001</c:v>
                </c:pt>
                <c:pt idx="115">
                  <c:v>2.9540999999999999</c:v>
                </c:pt>
                <c:pt idx="116">
                  <c:v>2.9179399999999998</c:v>
                </c:pt>
                <c:pt idx="117">
                  <c:v>2.88043</c:v>
                </c:pt>
                <c:pt idx="118">
                  <c:v>2.8448899999999999</c:v>
                </c:pt>
                <c:pt idx="119">
                  <c:v>2.8140300000000003</c:v>
                </c:pt>
                <c:pt idx="120">
                  <c:v>2.7872400000000002</c:v>
                </c:pt>
                <c:pt idx="121">
                  <c:v>2.76633</c:v>
                </c:pt>
                <c:pt idx="122">
                  <c:v>2.7486999999999999</c:v>
                </c:pt>
                <c:pt idx="123">
                  <c:v>2.7333400000000001</c:v>
                </c:pt>
                <c:pt idx="124">
                  <c:v>2.72173</c:v>
                </c:pt>
                <c:pt idx="125">
                  <c:v>2.7100600000000004</c:v>
                </c:pt>
                <c:pt idx="126">
                  <c:v>2.7018599999999999</c:v>
                </c:pt>
                <c:pt idx="127">
                  <c:v>2.6947399999999999</c:v>
                </c:pt>
                <c:pt idx="128">
                  <c:v>2.6864700000000004</c:v>
                </c:pt>
                <c:pt idx="129">
                  <c:v>2.67503</c:v>
                </c:pt>
                <c:pt idx="130">
                  <c:v>2.6645999999999996</c:v>
                </c:pt>
                <c:pt idx="131">
                  <c:v>2.6540699999999999</c:v>
                </c:pt>
                <c:pt idx="132">
                  <c:v>2.64032</c:v>
                </c:pt>
                <c:pt idx="133">
                  <c:v>2.6269799999999996</c:v>
                </c:pt>
                <c:pt idx="134">
                  <c:v>2.6151799999999996</c:v>
                </c:pt>
                <c:pt idx="135">
                  <c:v>2.6064100000000003</c:v>
                </c:pt>
                <c:pt idx="136">
                  <c:v>2.6002999999999998</c:v>
                </c:pt>
                <c:pt idx="137">
                  <c:v>2.5929799999999998</c:v>
                </c:pt>
                <c:pt idx="138">
                  <c:v>2.5882000000000001</c:v>
                </c:pt>
                <c:pt idx="139">
                  <c:v>2.58155</c:v>
                </c:pt>
                <c:pt idx="140">
                  <c:v>2.5793500000000003</c:v>
                </c:pt>
                <c:pt idx="141">
                  <c:v>2.5840000000000001</c:v>
                </c:pt>
                <c:pt idx="142">
                  <c:v>2.5954199999999998</c:v>
                </c:pt>
                <c:pt idx="143">
                  <c:v>2.6027</c:v>
                </c:pt>
                <c:pt idx="144">
                  <c:v>2.61348</c:v>
                </c:pt>
                <c:pt idx="145">
                  <c:v>2.63009</c:v>
                </c:pt>
                <c:pt idx="146">
                  <c:v>2.6357499999999998</c:v>
                </c:pt>
                <c:pt idx="147">
                  <c:v>2.64079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63.641400000000004</c:v>
                </c:pt>
                <c:pt idx="1">
                  <c:v>62.920200000000001</c:v>
                </c:pt>
                <c:pt idx="2">
                  <c:v>62.155000000000001</c:v>
                </c:pt>
                <c:pt idx="3">
                  <c:v>61.371200000000002</c:v>
                </c:pt>
                <c:pt idx="4">
                  <c:v>60.558199999999992</c:v>
                </c:pt>
                <c:pt idx="5">
                  <c:v>59.765000000000001</c:v>
                </c:pt>
                <c:pt idx="6">
                  <c:v>58.959799999999994</c:v>
                </c:pt>
                <c:pt idx="7">
                  <c:v>58.121100000000006</c:v>
                </c:pt>
                <c:pt idx="8">
                  <c:v>57.166200000000003</c:v>
                </c:pt>
                <c:pt idx="9">
                  <c:v>56.0824</c:v>
                </c:pt>
                <c:pt idx="10">
                  <c:v>54.947199999999995</c:v>
                </c:pt>
                <c:pt idx="11">
                  <c:v>53.837699999999998</c:v>
                </c:pt>
                <c:pt idx="12">
                  <c:v>52.732700000000001</c:v>
                </c:pt>
                <c:pt idx="13">
                  <c:v>51.715900000000005</c:v>
                </c:pt>
                <c:pt idx="14">
                  <c:v>50.764499999999998</c:v>
                </c:pt>
                <c:pt idx="15">
                  <c:v>49.8628</c:v>
                </c:pt>
                <c:pt idx="16">
                  <c:v>48.927999999999997</c:v>
                </c:pt>
                <c:pt idx="17">
                  <c:v>48.089599999999997</c:v>
                </c:pt>
                <c:pt idx="18">
                  <c:v>47.274699999999996</c:v>
                </c:pt>
                <c:pt idx="19">
                  <c:v>46.473500000000001</c:v>
                </c:pt>
                <c:pt idx="20">
                  <c:v>45.749600000000001</c:v>
                </c:pt>
                <c:pt idx="21">
                  <c:v>45.058599999999998</c:v>
                </c:pt>
                <c:pt idx="22">
                  <c:v>44.351500000000001</c:v>
                </c:pt>
                <c:pt idx="23">
                  <c:v>43.638199999999998</c:v>
                </c:pt>
                <c:pt idx="24">
                  <c:v>42.949799999999996</c:v>
                </c:pt>
                <c:pt idx="25">
                  <c:v>42.265300000000003</c:v>
                </c:pt>
                <c:pt idx="26">
                  <c:v>41.582900000000002</c:v>
                </c:pt>
                <c:pt idx="27">
                  <c:v>40.947899999999997</c:v>
                </c:pt>
                <c:pt idx="28">
                  <c:v>40.3949</c:v>
                </c:pt>
                <c:pt idx="29">
                  <c:v>39.872399999999999</c:v>
                </c:pt>
                <c:pt idx="30">
                  <c:v>39.426699999999997</c:v>
                </c:pt>
                <c:pt idx="31">
                  <c:v>39.0169</c:v>
                </c:pt>
                <c:pt idx="32">
                  <c:v>38.631300000000003</c:v>
                </c:pt>
                <c:pt idx="33">
                  <c:v>38.302</c:v>
                </c:pt>
                <c:pt idx="34">
                  <c:v>38.0383</c:v>
                </c:pt>
                <c:pt idx="35">
                  <c:v>37.825499999999998</c:v>
                </c:pt>
                <c:pt idx="36">
                  <c:v>37.634499999999996</c:v>
                </c:pt>
                <c:pt idx="37">
                  <c:v>37.471499999999999</c:v>
                </c:pt>
                <c:pt idx="38">
                  <c:v>37.321899999999999</c:v>
                </c:pt>
                <c:pt idx="39">
                  <c:v>37.157899999999998</c:v>
                </c:pt>
                <c:pt idx="40">
                  <c:v>36.973500000000001</c:v>
                </c:pt>
                <c:pt idx="41">
                  <c:v>36.783700000000003</c:v>
                </c:pt>
                <c:pt idx="42">
                  <c:v>36.546299999999995</c:v>
                </c:pt>
                <c:pt idx="43">
                  <c:v>36.320900000000002</c:v>
                </c:pt>
                <c:pt idx="44">
                  <c:v>36.1633</c:v>
                </c:pt>
                <c:pt idx="45">
                  <c:v>35.970700000000001</c:v>
                </c:pt>
                <c:pt idx="46">
                  <c:v>35.802299999999995</c:v>
                </c:pt>
                <c:pt idx="47">
                  <c:v>35.682600000000001</c:v>
                </c:pt>
                <c:pt idx="48">
                  <c:v>35.597799999999999</c:v>
                </c:pt>
                <c:pt idx="49">
                  <c:v>35.561999999999998</c:v>
                </c:pt>
                <c:pt idx="50">
                  <c:v>35.558</c:v>
                </c:pt>
                <c:pt idx="51">
                  <c:v>35.581000000000003</c:v>
                </c:pt>
                <c:pt idx="52">
                  <c:v>35.591200000000001</c:v>
                </c:pt>
                <c:pt idx="53">
                  <c:v>35.625</c:v>
                </c:pt>
                <c:pt idx="54">
                  <c:v>35.667000000000002</c:v>
                </c:pt>
                <c:pt idx="55">
                  <c:v>35.690800000000003</c:v>
                </c:pt>
                <c:pt idx="56">
                  <c:v>35.728400000000001</c:v>
                </c:pt>
                <c:pt idx="57">
                  <c:v>35.815899999999999</c:v>
                </c:pt>
                <c:pt idx="58">
                  <c:v>35.932900000000004</c:v>
                </c:pt>
                <c:pt idx="59">
                  <c:v>35.980800000000002</c:v>
                </c:pt>
                <c:pt idx="60">
                  <c:v>36.036099999999998</c:v>
                </c:pt>
                <c:pt idx="61">
                  <c:v>36.079599999999999</c:v>
                </c:pt>
                <c:pt idx="62">
                  <c:v>36.134899999999995</c:v>
                </c:pt>
                <c:pt idx="63">
                  <c:v>36.165900000000001</c:v>
                </c:pt>
                <c:pt idx="64">
                  <c:v>36.263600000000004</c:v>
                </c:pt>
                <c:pt idx="65">
                  <c:v>36.389600000000002</c:v>
                </c:pt>
                <c:pt idx="66">
                  <c:v>36.5533</c:v>
                </c:pt>
                <c:pt idx="67">
                  <c:v>36.757400000000004</c:v>
                </c:pt>
                <c:pt idx="68">
                  <c:v>37.027300000000004</c:v>
                </c:pt>
                <c:pt idx="69">
                  <c:v>37.286200000000001</c:v>
                </c:pt>
                <c:pt idx="70">
                  <c:v>37.476300000000002</c:v>
                </c:pt>
                <c:pt idx="71">
                  <c:v>37.612499999999997</c:v>
                </c:pt>
                <c:pt idx="72">
                  <c:v>37.764499999999998</c:v>
                </c:pt>
                <c:pt idx="73">
                  <c:v>37.9223</c:v>
                </c:pt>
                <c:pt idx="74">
                  <c:v>38.080000000000005</c:v>
                </c:pt>
                <c:pt idx="75">
                  <c:v>38.3429</c:v>
                </c:pt>
                <c:pt idx="76">
                  <c:v>38.602599999999995</c:v>
                </c:pt>
                <c:pt idx="77">
                  <c:v>38.839500000000001</c:v>
                </c:pt>
                <c:pt idx="78">
                  <c:v>39.088799999999999</c:v>
                </c:pt>
                <c:pt idx="79">
                  <c:v>39.3919</c:v>
                </c:pt>
                <c:pt idx="80">
                  <c:v>39.674300000000002</c:v>
                </c:pt>
                <c:pt idx="81">
                  <c:v>39.958399999999997</c:v>
                </c:pt>
                <c:pt idx="82">
                  <c:v>40.227400000000003</c:v>
                </c:pt>
                <c:pt idx="83">
                  <c:v>40.539199999999994</c:v>
                </c:pt>
                <c:pt idx="84">
                  <c:v>40.8521</c:v>
                </c:pt>
                <c:pt idx="85">
                  <c:v>41.142499999999998</c:v>
                </c:pt>
                <c:pt idx="86">
                  <c:v>41.418399999999998</c:v>
                </c:pt>
                <c:pt idx="87">
                  <c:v>41.729799999999997</c:v>
                </c:pt>
                <c:pt idx="88">
                  <c:v>42.024699999999996</c:v>
                </c:pt>
                <c:pt idx="89">
                  <c:v>42.321100000000001</c:v>
                </c:pt>
                <c:pt idx="90">
                  <c:v>42.6113</c:v>
                </c:pt>
                <c:pt idx="91">
                  <c:v>42.909100000000002</c:v>
                </c:pt>
                <c:pt idx="92">
                  <c:v>43.178699999999999</c:v>
                </c:pt>
                <c:pt idx="93">
                  <c:v>43.417200000000001</c:v>
                </c:pt>
                <c:pt idx="94">
                  <c:v>43.655699999999996</c:v>
                </c:pt>
                <c:pt idx="95">
                  <c:v>43.917299999999997</c:v>
                </c:pt>
                <c:pt idx="96">
                  <c:v>44.1081</c:v>
                </c:pt>
                <c:pt idx="97">
                  <c:v>44.277899999999995</c:v>
                </c:pt>
                <c:pt idx="98">
                  <c:v>44.468299999999999</c:v>
                </c:pt>
                <c:pt idx="99">
                  <c:v>44.6477</c:v>
                </c:pt>
                <c:pt idx="100">
                  <c:v>44.815600000000003</c:v>
                </c:pt>
                <c:pt idx="101">
                  <c:v>44.924199999999999</c:v>
                </c:pt>
                <c:pt idx="102">
                  <c:v>45.0762</c:v>
                </c:pt>
                <c:pt idx="103">
                  <c:v>45.287700000000001</c:v>
                </c:pt>
                <c:pt idx="104">
                  <c:v>45.5244</c:v>
                </c:pt>
                <c:pt idx="105">
                  <c:v>45.789200000000001</c:v>
                </c:pt>
                <c:pt idx="106">
                  <c:v>46.049199999999999</c:v>
                </c:pt>
                <c:pt idx="107">
                  <c:v>46.360500000000002</c:v>
                </c:pt>
                <c:pt idx="108">
                  <c:v>46.713900000000002</c:v>
                </c:pt>
                <c:pt idx="109">
                  <c:v>47.098800000000004</c:v>
                </c:pt>
                <c:pt idx="110">
                  <c:v>47.527900000000002</c:v>
                </c:pt>
                <c:pt idx="111">
                  <c:v>47.967399999999998</c:v>
                </c:pt>
                <c:pt idx="112">
                  <c:v>48.396099999999997</c:v>
                </c:pt>
                <c:pt idx="113">
                  <c:v>48.820799999999998</c:v>
                </c:pt>
                <c:pt idx="114">
                  <c:v>49.207699999999996</c:v>
                </c:pt>
                <c:pt idx="115">
                  <c:v>49.571199999999997</c:v>
                </c:pt>
                <c:pt idx="116">
                  <c:v>49.939799999999998</c:v>
                </c:pt>
                <c:pt idx="117">
                  <c:v>50.349500000000006</c:v>
                </c:pt>
                <c:pt idx="118">
                  <c:v>50.799300000000002</c:v>
                </c:pt>
                <c:pt idx="119">
                  <c:v>51.157200000000003</c:v>
                </c:pt>
                <c:pt idx="120">
                  <c:v>51.421099999999996</c:v>
                </c:pt>
                <c:pt idx="121">
                  <c:v>51.641899999999993</c:v>
                </c:pt>
                <c:pt idx="122">
                  <c:v>51.800800000000002</c:v>
                </c:pt>
                <c:pt idx="123">
                  <c:v>51.912300000000002</c:v>
                </c:pt>
                <c:pt idx="124">
                  <c:v>51.976299999999995</c:v>
                </c:pt>
                <c:pt idx="125">
                  <c:v>52.028799999999997</c:v>
                </c:pt>
                <c:pt idx="126">
                  <c:v>52.012100000000004</c:v>
                </c:pt>
                <c:pt idx="127">
                  <c:v>51.956400000000002</c:v>
                </c:pt>
                <c:pt idx="128">
                  <c:v>51.9069</c:v>
                </c:pt>
                <c:pt idx="129">
                  <c:v>51.913499999999999</c:v>
                </c:pt>
                <c:pt idx="130">
                  <c:v>51.912499999999994</c:v>
                </c:pt>
                <c:pt idx="131">
                  <c:v>51.919400000000003</c:v>
                </c:pt>
                <c:pt idx="132">
                  <c:v>51.996699999999997</c:v>
                </c:pt>
                <c:pt idx="133">
                  <c:v>52.044599999999996</c:v>
                </c:pt>
                <c:pt idx="134">
                  <c:v>52.117400000000004</c:v>
                </c:pt>
                <c:pt idx="135">
                  <c:v>52.160600000000002</c:v>
                </c:pt>
                <c:pt idx="136">
                  <c:v>52.180999999999997</c:v>
                </c:pt>
                <c:pt idx="137">
                  <c:v>52.242599999999996</c:v>
                </c:pt>
                <c:pt idx="138">
                  <c:v>52.292200000000001</c:v>
                </c:pt>
                <c:pt idx="139">
                  <c:v>52.385800000000003</c:v>
                </c:pt>
                <c:pt idx="140">
                  <c:v>52.503799999999998</c:v>
                </c:pt>
                <c:pt idx="141">
                  <c:v>52.589399999999998</c:v>
                </c:pt>
                <c:pt idx="142">
                  <c:v>52.6479</c:v>
                </c:pt>
                <c:pt idx="143">
                  <c:v>52.714700000000001</c:v>
                </c:pt>
                <c:pt idx="144">
                  <c:v>52.731999999999999</c:v>
                </c:pt>
                <c:pt idx="145">
                  <c:v>52.812800000000003</c:v>
                </c:pt>
                <c:pt idx="146">
                  <c:v>53.031700000000001</c:v>
                </c:pt>
                <c:pt idx="147">
                  <c:v>53.244400000000006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617-4C0A-A933-69757AEDE77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74"/>
                <c:pt idx="0">
                  <c:v>1.7180400000000002</c:v>
                </c:pt>
                <c:pt idx="1">
                  <c:v>1.76193</c:v>
                </c:pt>
                <c:pt idx="2">
                  <c:v>1.80619</c:v>
                </c:pt>
                <c:pt idx="3">
                  <c:v>1.84931</c:v>
                </c:pt>
                <c:pt idx="4">
                  <c:v>1.8915899999999999</c:v>
                </c:pt>
                <c:pt idx="5">
                  <c:v>1.93252</c:v>
                </c:pt>
                <c:pt idx="6">
                  <c:v>1.9722700000000002</c:v>
                </c:pt>
                <c:pt idx="7">
                  <c:v>2.0112199999999998</c:v>
                </c:pt>
                <c:pt idx="8">
                  <c:v>2.0497899999999998</c:v>
                </c:pt>
                <c:pt idx="9">
                  <c:v>2.0885799999999999</c:v>
                </c:pt>
                <c:pt idx="10">
                  <c:v>2.1273400000000002</c:v>
                </c:pt>
                <c:pt idx="11">
                  <c:v>2.1656500000000003</c:v>
                </c:pt>
                <c:pt idx="12">
                  <c:v>2.20316</c:v>
                </c:pt>
                <c:pt idx="13">
                  <c:v>2.2399499999999999</c:v>
                </c:pt>
                <c:pt idx="14">
                  <c:v>2.2751099999999997</c:v>
                </c:pt>
                <c:pt idx="15">
                  <c:v>2.3094600000000001</c:v>
                </c:pt>
                <c:pt idx="16">
                  <c:v>2.3450600000000001</c:v>
                </c:pt>
                <c:pt idx="17">
                  <c:v>2.3799100000000002</c:v>
                </c:pt>
                <c:pt idx="18">
                  <c:v>2.41384</c:v>
                </c:pt>
                <c:pt idx="19">
                  <c:v>2.4466099999999997</c:v>
                </c:pt>
                <c:pt idx="20">
                  <c:v>2.4775499999999999</c:v>
                </c:pt>
                <c:pt idx="21">
                  <c:v>2.5090400000000002</c:v>
                </c:pt>
                <c:pt idx="22">
                  <c:v>2.5404100000000001</c:v>
                </c:pt>
                <c:pt idx="23">
                  <c:v>2.57043</c:v>
                </c:pt>
                <c:pt idx="24">
                  <c:v>2.59931</c:v>
                </c:pt>
                <c:pt idx="25">
                  <c:v>2.6290200000000001</c:v>
                </c:pt>
                <c:pt idx="26">
                  <c:v>2.6585900000000002</c:v>
                </c:pt>
                <c:pt idx="27">
                  <c:v>2.6878099999999998</c:v>
                </c:pt>
                <c:pt idx="28">
                  <c:v>2.7148499999999998</c:v>
                </c:pt>
                <c:pt idx="29">
                  <c:v>2.7411300000000001</c:v>
                </c:pt>
                <c:pt idx="30">
                  <c:v>2.7660499999999999</c:v>
                </c:pt>
                <c:pt idx="31">
                  <c:v>2.7914400000000001</c:v>
                </c:pt>
                <c:pt idx="32">
                  <c:v>2.8158899999999996</c:v>
                </c:pt>
                <c:pt idx="33">
                  <c:v>2.8378100000000002</c:v>
                </c:pt>
                <c:pt idx="34">
                  <c:v>2.8566500000000001</c:v>
                </c:pt>
                <c:pt idx="35">
                  <c:v>2.8734999999999999</c:v>
                </c:pt>
                <c:pt idx="36">
                  <c:v>2.8900999999999999</c:v>
                </c:pt>
                <c:pt idx="37">
                  <c:v>2.9055599999999999</c:v>
                </c:pt>
                <c:pt idx="38">
                  <c:v>2.9209700000000001</c:v>
                </c:pt>
                <c:pt idx="39">
                  <c:v>2.9386400000000004</c:v>
                </c:pt>
                <c:pt idx="40">
                  <c:v>2.9572399999999996</c:v>
                </c:pt>
                <c:pt idx="41">
                  <c:v>2.9739599999999999</c:v>
                </c:pt>
                <c:pt idx="42">
                  <c:v>2.9917700000000003</c:v>
                </c:pt>
                <c:pt idx="43">
                  <c:v>3.0091600000000001</c:v>
                </c:pt>
                <c:pt idx="44">
                  <c:v>3.0260500000000001</c:v>
                </c:pt>
                <c:pt idx="45">
                  <c:v>3.0470299999999999</c:v>
                </c:pt>
                <c:pt idx="46">
                  <c:v>3.0673899999999996</c:v>
                </c:pt>
                <c:pt idx="47">
                  <c:v>3.0878000000000001</c:v>
                </c:pt>
                <c:pt idx="48">
                  <c:v>3.1073899999999997</c:v>
                </c:pt>
                <c:pt idx="49">
                  <c:v>3.1253399999999996</c:v>
                </c:pt>
                <c:pt idx="50">
                  <c:v>3.1368800000000001</c:v>
                </c:pt>
                <c:pt idx="51">
                  <c:v>3.1509</c:v>
                </c:pt>
                <c:pt idx="52">
                  <c:v>3.1638000000000002</c:v>
                </c:pt>
                <c:pt idx="53">
                  <c:v>3.1775599999999997</c:v>
                </c:pt>
                <c:pt idx="54">
                  <c:v>3.1900200000000001</c:v>
                </c:pt>
                <c:pt idx="55">
                  <c:v>3.2027200000000002</c:v>
                </c:pt>
                <c:pt idx="56">
                  <c:v>3.21529</c:v>
                </c:pt>
                <c:pt idx="57">
                  <c:v>3.22614</c:v>
                </c:pt>
                <c:pt idx="58">
                  <c:v>3.2358799999999999</c:v>
                </c:pt>
                <c:pt idx="59">
                  <c:v>3.2444299999999999</c:v>
                </c:pt>
                <c:pt idx="60">
                  <c:v>3.25318</c:v>
                </c:pt>
                <c:pt idx="61">
                  <c:v>3.26342</c:v>
                </c:pt>
                <c:pt idx="62">
                  <c:v>3.2750499999999998</c:v>
                </c:pt>
                <c:pt idx="63">
                  <c:v>3.2862400000000003</c:v>
                </c:pt>
                <c:pt idx="64">
                  <c:v>3.2949099999999998</c:v>
                </c:pt>
                <c:pt idx="65">
                  <c:v>3.3028400000000002</c:v>
                </c:pt>
                <c:pt idx="66">
                  <c:v>3.3111299999999999</c:v>
                </c:pt>
                <c:pt idx="67">
                  <c:v>3.3176499999999995</c:v>
                </c:pt>
                <c:pt idx="68">
                  <c:v>3.3261099999999999</c:v>
                </c:pt>
                <c:pt idx="69">
                  <c:v>3.3362500000000002</c:v>
                </c:pt>
                <c:pt idx="70">
                  <c:v>3.3468300000000002</c:v>
                </c:pt>
                <c:pt idx="71">
                  <c:v>3.3605299999999998</c:v>
                </c:pt>
                <c:pt idx="72">
                  <c:v>3.3758899999999996</c:v>
                </c:pt>
                <c:pt idx="73">
                  <c:v>3.3925200000000002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63.641400000000004</c:v>
                </c:pt>
                <c:pt idx="1">
                  <c:v>62.920200000000001</c:v>
                </c:pt>
                <c:pt idx="2">
                  <c:v>62.155000000000001</c:v>
                </c:pt>
                <c:pt idx="3">
                  <c:v>61.371200000000002</c:v>
                </c:pt>
                <c:pt idx="4">
                  <c:v>60.558199999999992</c:v>
                </c:pt>
                <c:pt idx="5">
                  <c:v>59.765000000000001</c:v>
                </c:pt>
                <c:pt idx="6">
                  <c:v>58.959799999999994</c:v>
                </c:pt>
                <c:pt idx="7">
                  <c:v>58.121100000000006</c:v>
                </c:pt>
                <c:pt idx="8">
                  <c:v>57.166200000000003</c:v>
                </c:pt>
                <c:pt idx="9">
                  <c:v>56.0824</c:v>
                </c:pt>
                <c:pt idx="10">
                  <c:v>54.947199999999995</c:v>
                </c:pt>
                <c:pt idx="11">
                  <c:v>53.837699999999998</c:v>
                </c:pt>
                <c:pt idx="12">
                  <c:v>52.732700000000001</c:v>
                </c:pt>
                <c:pt idx="13">
                  <c:v>51.715900000000005</c:v>
                </c:pt>
                <c:pt idx="14">
                  <c:v>50.764499999999998</c:v>
                </c:pt>
                <c:pt idx="15">
                  <c:v>49.8628</c:v>
                </c:pt>
                <c:pt idx="16">
                  <c:v>48.927999999999997</c:v>
                </c:pt>
                <c:pt idx="17">
                  <c:v>48.089599999999997</c:v>
                </c:pt>
                <c:pt idx="18">
                  <c:v>47.274699999999996</c:v>
                </c:pt>
                <c:pt idx="19">
                  <c:v>46.473500000000001</c:v>
                </c:pt>
                <c:pt idx="20">
                  <c:v>45.749600000000001</c:v>
                </c:pt>
                <c:pt idx="21">
                  <c:v>45.058599999999998</c:v>
                </c:pt>
                <c:pt idx="22">
                  <c:v>44.351500000000001</c:v>
                </c:pt>
                <c:pt idx="23">
                  <c:v>43.638199999999998</c:v>
                </c:pt>
                <c:pt idx="24">
                  <c:v>42.949799999999996</c:v>
                </c:pt>
                <c:pt idx="25">
                  <c:v>42.265300000000003</c:v>
                </c:pt>
                <c:pt idx="26">
                  <c:v>41.582900000000002</c:v>
                </c:pt>
                <c:pt idx="27">
                  <c:v>40.947899999999997</c:v>
                </c:pt>
                <c:pt idx="28">
                  <c:v>40.3949</c:v>
                </c:pt>
                <c:pt idx="29">
                  <c:v>39.872399999999999</c:v>
                </c:pt>
                <c:pt idx="30">
                  <c:v>39.426699999999997</c:v>
                </c:pt>
                <c:pt idx="31">
                  <c:v>39.0169</c:v>
                </c:pt>
                <c:pt idx="32">
                  <c:v>38.631300000000003</c:v>
                </c:pt>
                <c:pt idx="33">
                  <c:v>38.302</c:v>
                </c:pt>
                <c:pt idx="34">
                  <c:v>38.0383</c:v>
                </c:pt>
                <c:pt idx="35">
                  <c:v>37.825499999999998</c:v>
                </c:pt>
                <c:pt idx="36">
                  <c:v>37.634499999999996</c:v>
                </c:pt>
                <c:pt idx="37">
                  <c:v>37.471499999999999</c:v>
                </c:pt>
                <c:pt idx="38">
                  <c:v>37.321899999999999</c:v>
                </c:pt>
                <c:pt idx="39">
                  <c:v>37.157899999999998</c:v>
                </c:pt>
                <c:pt idx="40">
                  <c:v>36.973500000000001</c:v>
                </c:pt>
                <c:pt idx="41">
                  <c:v>36.783700000000003</c:v>
                </c:pt>
                <c:pt idx="42">
                  <c:v>36.546299999999995</c:v>
                </c:pt>
                <c:pt idx="43">
                  <c:v>36.320900000000002</c:v>
                </c:pt>
                <c:pt idx="44">
                  <c:v>36.1633</c:v>
                </c:pt>
                <c:pt idx="45">
                  <c:v>35.970700000000001</c:v>
                </c:pt>
                <c:pt idx="46">
                  <c:v>35.802299999999995</c:v>
                </c:pt>
                <c:pt idx="47">
                  <c:v>35.682600000000001</c:v>
                </c:pt>
                <c:pt idx="48">
                  <c:v>35.597799999999999</c:v>
                </c:pt>
                <c:pt idx="49">
                  <c:v>35.561999999999998</c:v>
                </c:pt>
                <c:pt idx="50">
                  <c:v>35.558</c:v>
                </c:pt>
                <c:pt idx="51">
                  <c:v>35.581000000000003</c:v>
                </c:pt>
                <c:pt idx="52">
                  <c:v>35.591200000000001</c:v>
                </c:pt>
                <c:pt idx="53">
                  <c:v>35.625</c:v>
                </c:pt>
                <c:pt idx="54">
                  <c:v>35.667000000000002</c:v>
                </c:pt>
                <c:pt idx="55">
                  <c:v>35.690800000000003</c:v>
                </c:pt>
                <c:pt idx="56">
                  <c:v>35.728400000000001</c:v>
                </c:pt>
                <c:pt idx="57">
                  <c:v>35.815899999999999</c:v>
                </c:pt>
                <c:pt idx="58">
                  <c:v>35.932900000000004</c:v>
                </c:pt>
                <c:pt idx="59">
                  <c:v>35.980800000000002</c:v>
                </c:pt>
                <c:pt idx="60">
                  <c:v>36.036099999999998</c:v>
                </c:pt>
                <c:pt idx="61">
                  <c:v>36.079599999999999</c:v>
                </c:pt>
                <c:pt idx="62">
                  <c:v>36.134899999999995</c:v>
                </c:pt>
                <c:pt idx="63">
                  <c:v>36.165900000000001</c:v>
                </c:pt>
                <c:pt idx="64">
                  <c:v>36.263600000000004</c:v>
                </c:pt>
                <c:pt idx="65">
                  <c:v>36.389600000000002</c:v>
                </c:pt>
                <c:pt idx="66">
                  <c:v>36.5533</c:v>
                </c:pt>
                <c:pt idx="67">
                  <c:v>36.757400000000004</c:v>
                </c:pt>
                <c:pt idx="68">
                  <c:v>37.027300000000004</c:v>
                </c:pt>
                <c:pt idx="69">
                  <c:v>37.286200000000001</c:v>
                </c:pt>
                <c:pt idx="70">
                  <c:v>37.476300000000002</c:v>
                </c:pt>
                <c:pt idx="71">
                  <c:v>37.612499999999997</c:v>
                </c:pt>
                <c:pt idx="72">
                  <c:v>37.764499999999998</c:v>
                </c:pt>
                <c:pt idx="73">
                  <c:v>37.9223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7-4C0A-A933-69757AEDE77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75"/>
                <c:pt idx="0">
                  <c:v>3.3925200000000002</c:v>
                </c:pt>
                <c:pt idx="1">
                  <c:v>3.4095999999999997</c:v>
                </c:pt>
                <c:pt idx="2">
                  <c:v>3.4330799999999999</c:v>
                </c:pt>
                <c:pt idx="3">
                  <c:v>3.45072</c:v>
                </c:pt>
                <c:pt idx="4">
                  <c:v>3.4677899999999999</c:v>
                </c:pt>
                <c:pt idx="5">
                  <c:v>3.4855100000000001</c:v>
                </c:pt>
                <c:pt idx="6">
                  <c:v>3.5019099999999996</c:v>
                </c:pt>
                <c:pt idx="7">
                  <c:v>3.5178099999999999</c:v>
                </c:pt>
                <c:pt idx="8">
                  <c:v>3.53146</c:v>
                </c:pt>
                <c:pt idx="9">
                  <c:v>3.5470000000000002</c:v>
                </c:pt>
                <c:pt idx="10">
                  <c:v>3.5626799999999998</c:v>
                </c:pt>
                <c:pt idx="11">
                  <c:v>3.57952</c:v>
                </c:pt>
                <c:pt idx="12">
                  <c:v>3.5950300000000004</c:v>
                </c:pt>
                <c:pt idx="13">
                  <c:v>3.6074899999999999</c:v>
                </c:pt>
                <c:pt idx="14">
                  <c:v>3.61721</c:v>
                </c:pt>
                <c:pt idx="15">
                  <c:v>3.6247199999999999</c:v>
                </c:pt>
                <c:pt idx="16">
                  <c:v>3.6295999999999999</c:v>
                </c:pt>
                <c:pt idx="17">
                  <c:v>3.6327199999999999</c:v>
                </c:pt>
                <c:pt idx="18">
                  <c:v>3.63489</c:v>
                </c:pt>
                <c:pt idx="19">
                  <c:v>3.6352600000000002</c:v>
                </c:pt>
                <c:pt idx="20">
                  <c:v>3.6331899999999999</c:v>
                </c:pt>
                <c:pt idx="21">
                  <c:v>3.6255799999999998</c:v>
                </c:pt>
                <c:pt idx="22">
                  <c:v>3.6111</c:v>
                </c:pt>
                <c:pt idx="23">
                  <c:v>3.5911</c:v>
                </c:pt>
                <c:pt idx="24">
                  <c:v>3.5664400000000001</c:v>
                </c:pt>
                <c:pt idx="25">
                  <c:v>3.5398000000000001</c:v>
                </c:pt>
                <c:pt idx="26">
                  <c:v>3.5124300000000002</c:v>
                </c:pt>
                <c:pt idx="27">
                  <c:v>3.4835899999999995</c:v>
                </c:pt>
                <c:pt idx="28">
                  <c:v>3.4516400000000003</c:v>
                </c:pt>
                <c:pt idx="29">
                  <c:v>3.41736</c:v>
                </c:pt>
                <c:pt idx="30">
                  <c:v>3.3826800000000001</c:v>
                </c:pt>
                <c:pt idx="31">
                  <c:v>3.3502000000000001</c:v>
                </c:pt>
                <c:pt idx="32">
                  <c:v>3.3159300000000003</c:v>
                </c:pt>
                <c:pt idx="33">
                  <c:v>3.2823899999999999</c:v>
                </c:pt>
                <c:pt idx="34">
                  <c:v>3.2487899999999996</c:v>
                </c:pt>
                <c:pt idx="35">
                  <c:v>3.2134099999999997</c:v>
                </c:pt>
                <c:pt idx="36">
                  <c:v>3.1768099999999997</c:v>
                </c:pt>
                <c:pt idx="37">
                  <c:v>3.1384699999999999</c:v>
                </c:pt>
                <c:pt idx="38">
                  <c:v>3.09917</c:v>
                </c:pt>
                <c:pt idx="39">
                  <c:v>3.0610599999999999</c:v>
                </c:pt>
                <c:pt idx="40">
                  <c:v>3.0238800000000001</c:v>
                </c:pt>
                <c:pt idx="41">
                  <c:v>2.9893100000000001</c:v>
                </c:pt>
                <c:pt idx="42">
                  <c:v>2.9540999999999999</c:v>
                </c:pt>
                <c:pt idx="43">
                  <c:v>2.9179399999999998</c:v>
                </c:pt>
                <c:pt idx="44">
                  <c:v>2.88043</c:v>
                </c:pt>
                <c:pt idx="45">
                  <c:v>2.8448899999999999</c:v>
                </c:pt>
                <c:pt idx="46">
                  <c:v>2.8140300000000003</c:v>
                </c:pt>
                <c:pt idx="47">
                  <c:v>2.7872400000000002</c:v>
                </c:pt>
                <c:pt idx="48">
                  <c:v>2.76633</c:v>
                </c:pt>
                <c:pt idx="49">
                  <c:v>2.7486999999999999</c:v>
                </c:pt>
                <c:pt idx="50">
                  <c:v>2.7333400000000001</c:v>
                </c:pt>
                <c:pt idx="51">
                  <c:v>2.72173</c:v>
                </c:pt>
                <c:pt idx="52">
                  <c:v>2.7100600000000004</c:v>
                </c:pt>
                <c:pt idx="53">
                  <c:v>2.7018599999999999</c:v>
                </c:pt>
                <c:pt idx="54">
                  <c:v>2.6947399999999999</c:v>
                </c:pt>
                <c:pt idx="55">
                  <c:v>2.6864700000000004</c:v>
                </c:pt>
                <c:pt idx="56">
                  <c:v>2.67503</c:v>
                </c:pt>
                <c:pt idx="57">
                  <c:v>2.6645999999999996</c:v>
                </c:pt>
                <c:pt idx="58">
                  <c:v>2.6540699999999999</c:v>
                </c:pt>
                <c:pt idx="59">
                  <c:v>2.64032</c:v>
                </c:pt>
                <c:pt idx="60">
                  <c:v>2.6269799999999996</c:v>
                </c:pt>
                <c:pt idx="61">
                  <c:v>2.6151799999999996</c:v>
                </c:pt>
                <c:pt idx="62">
                  <c:v>2.6064100000000003</c:v>
                </c:pt>
                <c:pt idx="63">
                  <c:v>2.6002999999999998</c:v>
                </c:pt>
                <c:pt idx="64">
                  <c:v>2.5929799999999998</c:v>
                </c:pt>
                <c:pt idx="65">
                  <c:v>2.5882000000000001</c:v>
                </c:pt>
                <c:pt idx="66">
                  <c:v>2.58155</c:v>
                </c:pt>
                <c:pt idx="67">
                  <c:v>2.5793500000000003</c:v>
                </c:pt>
                <c:pt idx="68">
                  <c:v>2.5840000000000001</c:v>
                </c:pt>
                <c:pt idx="69">
                  <c:v>2.5954199999999998</c:v>
                </c:pt>
                <c:pt idx="70">
                  <c:v>2.6027</c:v>
                </c:pt>
                <c:pt idx="71">
                  <c:v>2.61348</c:v>
                </c:pt>
                <c:pt idx="72">
                  <c:v>2.63009</c:v>
                </c:pt>
                <c:pt idx="73">
                  <c:v>2.6357499999999998</c:v>
                </c:pt>
                <c:pt idx="74">
                  <c:v>2.64079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37.9223</c:v>
                </c:pt>
                <c:pt idx="1">
                  <c:v>38.080000000000005</c:v>
                </c:pt>
                <c:pt idx="2">
                  <c:v>38.3429</c:v>
                </c:pt>
                <c:pt idx="3">
                  <c:v>38.602599999999995</c:v>
                </c:pt>
                <c:pt idx="4">
                  <c:v>38.839500000000001</c:v>
                </c:pt>
                <c:pt idx="5">
                  <c:v>39.088799999999999</c:v>
                </c:pt>
                <c:pt idx="6">
                  <c:v>39.3919</c:v>
                </c:pt>
                <c:pt idx="7">
                  <c:v>39.674300000000002</c:v>
                </c:pt>
                <c:pt idx="8">
                  <c:v>39.958399999999997</c:v>
                </c:pt>
                <c:pt idx="9">
                  <c:v>40.227400000000003</c:v>
                </c:pt>
                <c:pt idx="10">
                  <c:v>40.539199999999994</c:v>
                </c:pt>
                <c:pt idx="11">
                  <c:v>40.8521</c:v>
                </c:pt>
                <c:pt idx="12">
                  <c:v>41.142499999999998</c:v>
                </c:pt>
                <c:pt idx="13">
                  <c:v>41.418399999999998</c:v>
                </c:pt>
                <c:pt idx="14">
                  <c:v>41.729799999999997</c:v>
                </c:pt>
                <c:pt idx="15">
                  <c:v>42.024699999999996</c:v>
                </c:pt>
                <c:pt idx="16">
                  <c:v>42.321100000000001</c:v>
                </c:pt>
                <c:pt idx="17">
                  <c:v>42.6113</c:v>
                </c:pt>
                <c:pt idx="18">
                  <c:v>42.909100000000002</c:v>
                </c:pt>
                <c:pt idx="19">
                  <c:v>43.178699999999999</c:v>
                </c:pt>
                <c:pt idx="20">
                  <c:v>43.417200000000001</c:v>
                </c:pt>
                <c:pt idx="21">
                  <c:v>43.655699999999996</c:v>
                </c:pt>
                <c:pt idx="22">
                  <c:v>43.917299999999997</c:v>
                </c:pt>
                <c:pt idx="23">
                  <c:v>44.1081</c:v>
                </c:pt>
                <c:pt idx="24">
                  <c:v>44.277899999999995</c:v>
                </c:pt>
                <c:pt idx="25">
                  <c:v>44.468299999999999</c:v>
                </c:pt>
                <c:pt idx="26">
                  <c:v>44.6477</c:v>
                </c:pt>
                <c:pt idx="27">
                  <c:v>44.815600000000003</c:v>
                </c:pt>
                <c:pt idx="28">
                  <c:v>44.924199999999999</c:v>
                </c:pt>
                <c:pt idx="29">
                  <c:v>45.0762</c:v>
                </c:pt>
                <c:pt idx="30">
                  <c:v>45.287700000000001</c:v>
                </c:pt>
                <c:pt idx="31">
                  <c:v>45.5244</c:v>
                </c:pt>
                <c:pt idx="32">
                  <c:v>45.789200000000001</c:v>
                </c:pt>
                <c:pt idx="33">
                  <c:v>46.049199999999999</c:v>
                </c:pt>
                <c:pt idx="34">
                  <c:v>46.360500000000002</c:v>
                </c:pt>
                <c:pt idx="35">
                  <c:v>46.713900000000002</c:v>
                </c:pt>
                <c:pt idx="36">
                  <c:v>47.098800000000004</c:v>
                </c:pt>
                <c:pt idx="37">
                  <c:v>47.527900000000002</c:v>
                </c:pt>
                <c:pt idx="38">
                  <c:v>47.967399999999998</c:v>
                </c:pt>
                <c:pt idx="39">
                  <c:v>48.396099999999997</c:v>
                </c:pt>
                <c:pt idx="40">
                  <c:v>48.820799999999998</c:v>
                </c:pt>
                <c:pt idx="41">
                  <c:v>49.207699999999996</c:v>
                </c:pt>
                <c:pt idx="42">
                  <c:v>49.571199999999997</c:v>
                </c:pt>
                <c:pt idx="43">
                  <c:v>49.939799999999998</c:v>
                </c:pt>
                <c:pt idx="44">
                  <c:v>50.349500000000006</c:v>
                </c:pt>
                <c:pt idx="45">
                  <c:v>50.799300000000002</c:v>
                </c:pt>
                <c:pt idx="46">
                  <c:v>51.157200000000003</c:v>
                </c:pt>
                <c:pt idx="47">
                  <c:v>51.421099999999996</c:v>
                </c:pt>
                <c:pt idx="48">
                  <c:v>51.641899999999993</c:v>
                </c:pt>
                <c:pt idx="49">
                  <c:v>51.800800000000002</c:v>
                </c:pt>
                <c:pt idx="50">
                  <c:v>51.912300000000002</c:v>
                </c:pt>
                <c:pt idx="51">
                  <c:v>51.976299999999995</c:v>
                </c:pt>
                <c:pt idx="52">
                  <c:v>52.028799999999997</c:v>
                </c:pt>
                <c:pt idx="53">
                  <c:v>52.012100000000004</c:v>
                </c:pt>
                <c:pt idx="54">
                  <c:v>51.956400000000002</c:v>
                </c:pt>
                <c:pt idx="55">
                  <c:v>51.9069</c:v>
                </c:pt>
                <c:pt idx="56">
                  <c:v>51.913499999999999</c:v>
                </c:pt>
                <c:pt idx="57">
                  <c:v>51.912499999999994</c:v>
                </c:pt>
                <c:pt idx="58">
                  <c:v>51.919400000000003</c:v>
                </c:pt>
                <c:pt idx="59">
                  <c:v>51.996699999999997</c:v>
                </c:pt>
                <c:pt idx="60">
                  <c:v>52.044599999999996</c:v>
                </c:pt>
                <c:pt idx="61">
                  <c:v>52.117400000000004</c:v>
                </c:pt>
                <c:pt idx="62">
                  <c:v>52.160600000000002</c:v>
                </c:pt>
                <c:pt idx="63">
                  <c:v>52.180999999999997</c:v>
                </c:pt>
                <c:pt idx="64">
                  <c:v>52.242599999999996</c:v>
                </c:pt>
                <c:pt idx="65">
                  <c:v>52.292200000000001</c:v>
                </c:pt>
                <c:pt idx="66">
                  <c:v>52.385800000000003</c:v>
                </c:pt>
                <c:pt idx="67">
                  <c:v>52.503799999999998</c:v>
                </c:pt>
                <c:pt idx="68">
                  <c:v>52.589399999999998</c:v>
                </c:pt>
                <c:pt idx="69">
                  <c:v>52.6479</c:v>
                </c:pt>
                <c:pt idx="70">
                  <c:v>52.714700000000001</c:v>
                </c:pt>
                <c:pt idx="71">
                  <c:v>52.731999999999999</c:v>
                </c:pt>
                <c:pt idx="72">
                  <c:v>52.812800000000003</c:v>
                </c:pt>
                <c:pt idx="73">
                  <c:v>53.031700000000001</c:v>
                </c:pt>
                <c:pt idx="74">
                  <c:v>53.244400000000006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7-4C0A-A933-69757AEDE772}"/>
            </c:ext>
          </c:extLst>
        </c:ser>
        <c:ser>
          <c:idx val="25"/>
          <c:order val="3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1.7180400000000002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63.641400000000004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617-4C0A-A933-69757AEDE772}"/>
            </c:ext>
          </c:extLst>
        </c:ser>
        <c:ser>
          <c:idx val="26"/>
          <c:order val="4"/>
          <c:tx>
            <c:v>avgP1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E0E0E"/>
              </a:solidFill>
              <a:ln w="12700">
                <a:solidFill>
                  <a:srgbClr val="FE0E0E"/>
                </a:solidFill>
              </a:ln>
            </c:spPr>
          </c:marker>
          <c:xVal>
            <c:numRef>
              <c:f>info!$W$5</c:f>
              <c:numCache>
                <c:formatCode>General</c:formatCode>
                <c:ptCount val="1"/>
                <c:pt idx="0">
                  <c:v>2.7769132432432428</c:v>
                </c:pt>
              </c:numCache>
            </c:numRef>
          </c:xVal>
          <c:yVal>
            <c:numRef>
              <c:f>info!$U$5</c:f>
              <c:numCache>
                <c:formatCode>General</c:formatCode>
                <c:ptCount val="1"/>
                <c:pt idx="0">
                  <c:v>42.527679729729734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75-482B-9810-000910359D15}"/>
            </c:ext>
          </c:extLst>
        </c:ser>
        <c:ser>
          <c:idx val="27"/>
          <c:order val="5"/>
          <c:tx>
            <c:v>avgP2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info!$X$5</c:f>
              <c:numCache>
                <c:formatCode>General</c:formatCode>
                <c:ptCount val="1"/>
                <c:pt idx="0">
                  <c:v>3.1063160810810801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47.201366216216201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B75-482B-9810-000910359D15}"/>
            </c:ext>
          </c:extLst>
        </c:ser>
        <c:ser>
          <c:idx val="3"/>
          <c:order val="6"/>
          <c:tx>
            <c:v>avgP2</c:v>
          </c:tx>
          <c:spPr>
            <a:ln>
              <a:noFill/>
            </a:ln>
          </c:spPr>
          <c:marker>
            <c:symbol val="none"/>
          </c:marker>
          <c:xVal>
            <c:numRef>
              <c:f>info!$X$5</c:f>
              <c:numCache>
                <c:formatCode>General</c:formatCode>
                <c:ptCount val="1"/>
                <c:pt idx="0">
                  <c:v>3.1063160810810801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47.201366216216201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B75-482B-9810-000910359D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61552"/>
        <c:axId val="295961944"/>
        <c:extLst/>
      </c:scatterChart>
      <c:valAx>
        <c:axId val="295961552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295961944"/>
        <c:crosses val="autoZero"/>
        <c:crossBetween val="midCat"/>
        <c:majorUnit val="2"/>
        <c:minorUnit val="0.2"/>
      </c:valAx>
      <c:valAx>
        <c:axId val="295961944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95961552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15</xdr:row>
      <xdr:rowOff>0</xdr:rowOff>
    </xdr:from>
    <xdr:to>
      <xdr:col>6</xdr:col>
      <xdr:colOff>0</xdr:colOff>
      <xdr:row>23</xdr:row>
      <xdr:rowOff>0</xdr:rowOff>
    </xdr:to>
    <xdr:graphicFrame macro="">
      <xdr:nvGraphicFramePr>
        <xdr:cNvPr id="2423304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800099</xdr:colOff>
      <xdr:row>15</xdr:row>
      <xdr:rowOff>0</xdr:rowOff>
    </xdr:from>
    <xdr:to>
      <xdr:col>8</xdr:col>
      <xdr:colOff>381000</xdr:colOff>
      <xdr:row>22</xdr:row>
      <xdr:rowOff>266700</xdr:rowOff>
    </xdr:to>
    <xdr:graphicFrame macro="">
      <xdr:nvGraphicFramePr>
        <xdr:cNvPr id="2423305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25</xdr:row>
      <xdr:rowOff>9525</xdr:rowOff>
    </xdr:from>
    <xdr:to>
      <xdr:col>5</xdr:col>
      <xdr:colOff>371475</xdr:colOff>
      <xdr:row>25</xdr:row>
      <xdr:rowOff>1943100</xdr:rowOff>
    </xdr:to>
    <xdr:graphicFrame macro="">
      <xdr:nvGraphicFramePr>
        <xdr:cNvPr id="2423306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28575</xdr:colOff>
      <xdr:row>25</xdr:row>
      <xdr:rowOff>0</xdr:rowOff>
    </xdr:from>
    <xdr:to>
      <xdr:col>10</xdr:col>
      <xdr:colOff>600075</xdr:colOff>
      <xdr:row>25</xdr:row>
      <xdr:rowOff>1971675</xdr:rowOff>
    </xdr:to>
    <xdr:graphicFrame macro="">
      <xdr:nvGraphicFramePr>
        <xdr:cNvPr id="2423307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390525</xdr:colOff>
      <xdr:row>15</xdr:row>
      <xdr:rowOff>0</xdr:rowOff>
    </xdr:from>
    <xdr:to>
      <xdr:col>10</xdr:col>
      <xdr:colOff>800100</xdr:colOff>
      <xdr:row>22</xdr:row>
      <xdr:rowOff>266700</xdr:rowOff>
    </xdr:to>
    <xdr:graphicFrame macro="">
      <xdr:nvGraphicFramePr>
        <xdr:cNvPr id="2423308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5</xdr:col>
      <xdr:colOff>419100</xdr:colOff>
      <xdr:row>15</xdr:row>
      <xdr:rowOff>28575</xdr:rowOff>
    </xdr:from>
    <xdr:ext cx="364010" cy="342786"/>
    <xdr:sp macro="" textlink="">
      <xdr:nvSpPr>
        <xdr:cNvPr id="3" name="TextBox 2"/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15</xdr:row>
      <xdr:rowOff>28575</xdr:rowOff>
    </xdr:from>
    <xdr:ext cx="356380" cy="342786"/>
    <xdr:sp macro="" textlink="">
      <xdr:nvSpPr>
        <xdr:cNvPr id="9" name="TextBox 8"/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12</xdr:col>
      <xdr:colOff>19050</xdr:colOff>
      <xdr:row>22</xdr:row>
      <xdr:rowOff>0</xdr:rowOff>
    </xdr:from>
    <xdr:to>
      <xdr:col>23</xdr:col>
      <xdr:colOff>214313</xdr:colOff>
      <xdr:row>26</xdr:row>
      <xdr:rowOff>66675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14</xdr:row>
      <xdr:rowOff>0</xdr:rowOff>
    </xdr:from>
    <xdr:to>
      <xdr:col>6</xdr:col>
      <xdr:colOff>0</xdr:colOff>
      <xdr:row>22</xdr:row>
      <xdr:rowOff>0</xdr:rowOff>
    </xdr:to>
    <xdr:graphicFrame macro="">
      <xdr:nvGraphicFramePr>
        <xdr:cNvPr id="2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447675</xdr:colOff>
      <xdr:row>14</xdr:row>
      <xdr:rowOff>0</xdr:rowOff>
    </xdr:from>
    <xdr:to>
      <xdr:col>8</xdr:col>
      <xdr:colOff>304800</xdr:colOff>
      <xdr:row>21</xdr:row>
      <xdr:rowOff>266700</xdr:rowOff>
    </xdr:to>
    <xdr:graphicFrame macro="">
      <xdr:nvGraphicFramePr>
        <xdr:cNvPr id="3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24</xdr:row>
      <xdr:rowOff>9525</xdr:rowOff>
    </xdr:from>
    <xdr:to>
      <xdr:col>5</xdr:col>
      <xdr:colOff>371475</xdr:colOff>
      <xdr:row>24</xdr:row>
      <xdr:rowOff>1943100</xdr:rowOff>
    </xdr:to>
    <xdr:graphicFrame macro="">
      <xdr:nvGraphicFramePr>
        <xdr:cNvPr id="4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295275</xdr:colOff>
      <xdr:row>14</xdr:row>
      <xdr:rowOff>0</xdr:rowOff>
    </xdr:from>
    <xdr:to>
      <xdr:col>10</xdr:col>
      <xdr:colOff>609600</xdr:colOff>
      <xdr:row>21</xdr:row>
      <xdr:rowOff>266700</xdr:rowOff>
    </xdr:to>
    <xdr:graphicFrame macro="">
      <xdr:nvGraphicFramePr>
        <xdr:cNvPr id="6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419100</xdr:colOff>
      <xdr:row>14</xdr:row>
      <xdr:rowOff>28575</xdr:rowOff>
    </xdr:from>
    <xdr:ext cx="364010" cy="342786"/>
    <xdr:sp macro="" textlink="">
      <xdr:nvSpPr>
        <xdr:cNvPr id="7" name="TextBox 6"/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14</xdr:row>
      <xdr:rowOff>28575</xdr:rowOff>
    </xdr:from>
    <xdr:ext cx="356380" cy="342786"/>
    <xdr:sp macro="" textlink="">
      <xdr:nvSpPr>
        <xdr:cNvPr id="8" name="TextBox 7"/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6</xdr:col>
      <xdr:colOff>0</xdr:colOff>
      <xdr:row>15</xdr:row>
      <xdr:rowOff>0</xdr:rowOff>
    </xdr:from>
    <xdr:to>
      <xdr:col>8</xdr:col>
      <xdr:colOff>304800</xdr:colOff>
      <xdr:row>20</xdr:row>
      <xdr:rowOff>142875</xdr:rowOff>
    </xdr:to>
    <xdr:graphicFrame macro="">
      <xdr:nvGraphicFramePr>
        <xdr:cNvPr id="10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295275</xdr:colOff>
      <xdr:row>15</xdr:row>
      <xdr:rowOff>19050</xdr:rowOff>
    </xdr:from>
    <xdr:to>
      <xdr:col>10</xdr:col>
      <xdr:colOff>609600</xdr:colOff>
      <xdr:row>20</xdr:row>
      <xdr:rowOff>161925</xdr:rowOff>
    </xdr:to>
    <xdr:graphicFrame macro="">
      <xdr:nvGraphicFramePr>
        <xdr:cNvPr id="11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0</xdr:colOff>
      <xdr:row>22</xdr:row>
      <xdr:rowOff>9525</xdr:rowOff>
    </xdr:from>
    <xdr:to>
      <xdr:col>23</xdr:col>
      <xdr:colOff>195263</xdr:colOff>
      <xdr:row>26</xdr:row>
      <xdr:rowOff>161925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9525</xdr:colOff>
      <xdr:row>24</xdr:row>
      <xdr:rowOff>9525</xdr:rowOff>
    </xdr:from>
    <xdr:to>
      <xdr:col>10</xdr:col>
      <xdr:colOff>581026</xdr:colOff>
      <xdr:row>24</xdr:row>
      <xdr:rowOff>1981200</xdr:rowOff>
    </xdr:to>
    <xdr:graphicFrame macro="">
      <xdr:nvGraphicFramePr>
        <xdr:cNvPr id="14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B1:X36"/>
  <sheetViews>
    <sheetView tabSelected="1" zoomScaleNormal="100" workbookViewId="0">
      <selection activeCell="C5" sqref="C5:F5"/>
    </sheetView>
  </sheetViews>
  <sheetFormatPr defaultRowHeight="15"/>
  <cols>
    <col min="1" max="1" width="10.125" customWidth="1"/>
    <col min="2" max="7" width="10.625" style="3" customWidth="1"/>
    <col min="8" max="11" width="10.625" customWidth="1"/>
    <col min="12" max="12" width="5.375" style="1" customWidth="1"/>
    <col min="13" max="13" width="12.625" style="1" customWidth="1"/>
    <col min="14" max="15" width="7.875" customWidth="1"/>
    <col min="16" max="16" width="7" customWidth="1"/>
    <col min="17" max="17" width="5.75" style="1" customWidth="1"/>
    <col min="18" max="18" width="6.375" customWidth="1"/>
    <col min="19" max="19" width="6.25" customWidth="1"/>
    <col min="20" max="20" width="7.625" style="1" customWidth="1"/>
    <col min="21" max="21" width="4.875" customWidth="1"/>
  </cols>
  <sheetData>
    <row r="1" spans="2:21" ht="6" customHeight="1">
      <c r="C1" s="113"/>
      <c r="D1" s="114"/>
      <c r="E1" s="114"/>
      <c r="F1" s="114"/>
      <c r="G1" s="114"/>
      <c r="H1" s="114"/>
      <c r="I1" s="114"/>
      <c r="J1" s="26"/>
      <c r="K1" s="8"/>
      <c r="L1" s="2"/>
      <c r="M1" s="2"/>
      <c r="N1" s="2"/>
      <c r="O1" s="2"/>
      <c r="P1" s="2"/>
    </row>
    <row r="2" spans="2:21" ht="27.75" customHeight="1" thickBot="1">
      <c r="B2" s="154" t="s">
        <v>290</v>
      </c>
      <c r="C2" s="155"/>
      <c r="D2" s="155"/>
      <c r="E2" s="155"/>
      <c r="F2" s="155"/>
      <c r="G2" s="155"/>
      <c r="H2" s="155"/>
      <c r="I2" s="155"/>
      <c r="J2" s="155"/>
      <c r="K2" s="155"/>
      <c r="L2" s="90"/>
      <c r="M2" s="90"/>
      <c r="N2" s="90"/>
      <c r="O2" s="90"/>
      <c r="P2" s="90"/>
    </row>
    <row r="3" spans="2:21" ht="13.5">
      <c r="B3" s="136" t="str">
        <f>lang!B2</f>
        <v>心理生理状态分析结果</v>
      </c>
      <c r="C3" s="137"/>
      <c r="D3" s="137"/>
      <c r="E3" s="137"/>
      <c r="F3" s="137"/>
      <c r="G3" s="137"/>
      <c r="H3" s="137"/>
      <c r="I3" s="137"/>
      <c r="J3" s="137"/>
      <c r="K3" s="138"/>
    </row>
    <row r="4" spans="2:21" ht="34.5" customHeight="1" thickBot="1">
      <c r="B4" s="139"/>
      <c r="C4" s="140"/>
      <c r="D4" s="140"/>
      <c r="E4" s="140"/>
      <c r="F4" s="140"/>
      <c r="G4" s="140"/>
      <c r="H4" s="140"/>
      <c r="I4" s="140"/>
      <c r="J4" s="140"/>
      <c r="K4" s="141"/>
    </row>
    <row r="5" spans="2:21" ht="16.5" customHeight="1">
      <c r="B5" s="45" t="str">
        <f>lang!B24</f>
        <v>姓名</v>
      </c>
      <c r="C5" s="197" t="s">
        <v>516</v>
      </c>
      <c r="D5" s="151"/>
      <c r="E5" s="151"/>
      <c r="F5" s="152"/>
      <c r="G5" s="48" t="str">
        <f>lang!B27</f>
        <v>编号</v>
      </c>
      <c r="H5" s="150">
        <v>24</v>
      </c>
      <c r="I5" s="151"/>
      <c r="J5" s="151"/>
      <c r="K5" s="153"/>
    </row>
    <row r="6" spans="2:21" ht="17.25" customHeight="1">
      <c r="B6" s="46" t="str">
        <f>lang!B25</f>
        <v>性别</v>
      </c>
      <c r="C6" s="198" t="s">
        <v>515</v>
      </c>
      <c r="D6" s="188"/>
      <c r="E6" s="188"/>
      <c r="F6" s="189"/>
      <c r="G6" s="49" t="str">
        <f>lang!B28</f>
        <v xml:space="preserve"> 日期</v>
      </c>
      <c r="H6" s="172">
        <f>FH_info!A2</f>
        <v>43621.447222222225</v>
      </c>
      <c r="I6" s="173"/>
      <c r="J6" s="173"/>
      <c r="K6" s="174"/>
      <c r="M6" s="12" t="s">
        <v>5</v>
      </c>
      <c r="N6" s="13"/>
      <c r="O6" s="13"/>
      <c r="P6" s="13"/>
      <c r="Q6" s="13"/>
      <c r="R6" s="13"/>
      <c r="S6" s="13"/>
      <c r="T6" s="13"/>
      <c r="U6" s="13"/>
    </row>
    <row r="7" spans="2:21" ht="18.75" customHeight="1" thickBot="1">
      <c r="B7" s="47" t="str">
        <f>lang!B26</f>
        <v>年龄</v>
      </c>
      <c r="C7" s="190">
        <v>77</v>
      </c>
      <c r="D7" s="191"/>
      <c r="E7" s="191"/>
      <c r="F7" s="192"/>
      <c r="G7" s="50" t="str">
        <f>lang!B29</f>
        <v>误差率（%）</v>
      </c>
      <c r="H7" s="175">
        <f>M!B17*1</f>
        <v>16.137799999999999</v>
      </c>
      <c r="I7" s="176"/>
      <c r="J7" s="176"/>
      <c r="K7" s="177"/>
      <c r="M7" s="23"/>
      <c r="N7" s="85" t="str">
        <f>lang!B43</f>
        <v>M</v>
      </c>
      <c r="O7" s="85" t="str">
        <f>lang!B44</f>
        <v>S</v>
      </c>
      <c r="P7" s="85" t="str">
        <f>lang!B45</f>
        <v>Vi (S/M)</v>
      </c>
      <c r="Q7" s="85" t="str">
        <f>lang!B46</f>
        <v>bMin</v>
      </c>
      <c r="R7" s="85" t="str">
        <f>lang!B47</f>
        <v>cMin</v>
      </c>
      <c r="S7" s="85" t="str">
        <f>lang!B48</f>
        <v>bMax</v>
      </c>
      <c r="T7" s="85" t="str">
        <f>lang!B49</f>
        <v>cMax</v>
      </c>
      <c r="U7" s="20"/>
    </row>
    <row r="8" spans="2:21" ht="15.75" customHeight="1" thickBot="1">
      <c r="B8" s="168" t="str">
        <f>lang!B30</f>
        <v>10项参数结果</v>
      </c>
      <c r="C8" s="169"/>
      <c r="D8" s="170"/>
      <c r="E8" s="170"/>
      <c r="F8" s="170"/>
      <c r="G8" s="170"/>
      <c r="H8" s="170"/>
      <c r="I8" s="170"/>
      <c r="J8" s="170"/>
      <c r="K8" s="171"/>
      <c r="M8" s="27" t="str">
        <f>lang!B14</f>
        <v>攻击性</v>
      </c>
      <c r="N8" s="59">
        <f>M!B5*1</f>
        <v>36.770499999999998</v>
      </c>
      <c r="O8" s="59">
        <f>M!C5*1</f>
        <v>7.88788</v>
      </c>
      <c r="P8" s="59">
        <f>M!D5*1</f>
        <v>21.451699999999999</v>
      </c>
      <c r="Q8" s="59">
        <f>M!E5*1</f>
        <v>20</v>
      </c>
      <c r="R8" s="59">
        <f>M!F5*1</f>
        <v>11.4427</v>
      </c>
      <c r="S8" s="59">
        <f>M!G5*1</f>
        <v>50</v>
      </c>
      <c r="T8" s="59">
        <f>M!H5*1</f>
        <v>48.744</v>
      </c>
      <c r="U8" s="14"/>
    </row>
    <row r="9" spans="2:21" ht="16.5" customHeight="1" thickBot="1">
      <c r="B9" s="9" t="str">
        <f>lang!B38</f>
        <v>Parameter</v>
      </c>
      <c r="C9" s="10" t="str">
        <f>lang!B39</f>
        <v>Min</v>
      </c>
      <c r="D9" s="11" t="str">
        <f>lang!B40</f>
        <v>Avg</v>
      </c>
      <c r="E9" s="11" t="str">
        <f>lang!B41</f>
        <v>Max</v>
      </c>
      <c r="F9" s="11" t="str">
        <f>lang!B42</f>
        <v>Vi</v>
      </c>
      <c r="G9" s="83" t="str">
        <f>B9</f>
        <v>Parameter</v>
      </c>
      <c r="H9" s="83" t="str">
        <f t="shared" ref="H9:K9" si="0">C9</f>
        <v>Min</v>
      </c>
      <c r="I9" s="83" t="str">
        <f t="shared" si="0"/>
        <v>Avg</v>
      </c>
      <c r="J9" s="83" t="str">
        <f t="shared" si="0"/>
        <v>Max</v>
      </c>
      <c r="K9" s="84" t="str">
        <f t="shared" si="0"/>
        <v>Vi</v>
      </c>
      <c r="M9" s="27" t="str">
        <f>lang!B15</f>
        <v>压力</v>
      </c>
      <c r="N9" s="59">
        <f>M!B6*1</f>
        <v>37.580199999999998</v>
      </c>
      <c r="O9" s="59">
        <f>M!C6*1</f>
        <v>5.2844300000000004</v>
      </c>
      <c r="P9" s="59">
        <f>M!D6*1</f>
        <v>14.0617</v>
      </c>
      <c r="Q9" s="59">
        <f>M!E6*1</f>
        <v>20</v>
      </c>
      <c r="R9" s="59">
        <f>M!F6*1</f>
        <v>30.4451</v>
      </c>
      <c r="S9" s="59">
        <f>M!G6*1</f>
        <v>40</v>
      </c>
      <c r="T9" s="59">
        <f>M!H6*1</f>
        <v>46.612099999999998</v>
      </c>
      <c r="U9" s="15"/>
    </row>
    <row r="10" spans="2:21" s="7" customFormat="1" ht="25.5" customHeight="1">
      <c r="B10" s="109" t="str">
        <f>CONCATENATE(M8,"
(20 ~ 50)")</f>
        <v>攻击性
(20 ~ 50)</v>
      </c>
      <c r="C10" s="98">
        <f>R8</f>
        <v>11.4427</v>
      </c>
      <c r="D10" s="99">
        <f>N8</f>
        <v>36.770499999999998</v>
      </c>
      <c r="E10" s="100">
        <f>T8</f>
        <v>48.744</v>
      </c>
      <c r="F10" s="91">
        <f>P8</f>
        <v>21.451699999999999</v>
      </c>
      <c r="G10" s="81" t="str">
        <f>CONCATENATE(M9,"
(20 ~ 40)")</f>
        <v>压力
(20 ~ 40)</v>
      </c>
      <c r="H10" s="98">
        <f>R9</f>
        <v>30.4451</v>
      </c>
      <c r="I10" s="108">
        <f>N9</f>
        <v>37.580199999999998</v>
      </c>
      <c r="J10" s="98">
        <f>T9</f>
        <v>46.612099999999998</v>
      </c>
      <c r="K10" s="92">
        <f>P9</f>
        <v>14.0617</v>
      </c>
      <c r="L10" s="6"/>
      <c r="M10" s="27" t="str">
        <f>lang!B16</f>
        <v>焦虑</v>
      </c>
      <c r="N10" s="59">
        <f>M!B7*1</f>
        <v>23.836300000000001</v>
      </c>
      <c r="O10" s="59">
        <f>M!C7*1</f>
        <v>5.1993400000000003</v>
      </c>
      <c r="P10" s="59">
        <f>M!D7*1</f>
        <v>21.8127</v>
      </c>
      <c r="Q10" s="59">
        <f>M!E7*1</f>
        <v>15</v>
      </c>
      <c r="R10" s="59">
        <f>M!F7*1</f>
        <v>11.834300000000001</v>
      </c>
      <c r="S10" s="59">
        <f>M!G7*1</f>
        <v>40</v>
      </c>
      <c r="T10" s="59">
        <f>M!H7*1</f>
        <v>47.221200000000003</v>
      </c>
      <c r="U10" s="14"/>
    </row>
    <row r="11" spans="2:21" s="5" customFormat="1" ht="28.5" customHeight="1">
      <c r="B11" s="110" t="str">
        <f>CONCATENATE(M10,"
(15 ~ 40)")</f>
        <v>焦虑
(15 ~ 40)</v>
      </c>
      <c r="C11" s="101">
        <f>R10</f>
        <v>11.834300000000001</v>
      </c>
      <c r="D11" s="102">
        <f>N10</f>
        <v>23.836300000000001</v>
      </c>
      <c r="E11" s="103">
        <f>T10</f>
        <v>47.221200000000003</v>
      </c>
      <c r="F11" s="94">
        <f>P10</f>
        <v>21.8127</v>
      </c>
      <c r="G11" s="52" t="str">
        <f>CONCATENATE(M11,"
(20 ~ 50)")</f>
        <v>可疑
(20 ~ 50)</v>
      </c>
      <c r="H11" s="101">
        <f>R11</f>
        <v>19.6416</v>
      </c>
      <c r="I11" s="104">
        <f>N11</f>
        <v>32.2104</v>
      </c>
      <c r="J11" s="101">
        <f>T11</f>
        <v>38.759900000000002</v>
      </c>
      <c r="K11" s="95">
        <f>P11</f>
        <v>12.3643</v>
      </c>
      <c r="L11" s="4"/>
      <c r="M11" s="27" t="str">
        <f>lang!B17</f>
        <v>可疑</v>
      </c>
      <c r="N11" s="59">
        <f>M!B8*1</f>
        <v>32.2104</v>
      </c>
      <c r="O11" s="59">
        <f>M!C8*1</f>
        <v>3.9826100000000002</v>
      </c>
      <c r="P11" s="59">
        <f>M!D8*1</f>
        <v>12.3643</v>
      </c>
      <c r="Q11" s="59">
        <f>M!E8*1</f>
        <v>20</v>
      </c>
      <c r="R11" s="59">
        <f>M!F8*1</f>
        <v>19.6416</v>
      </c>
      <c r="S11" s="59">
        <f>M!G8*1</f>
        <v>50</v>
      </c>
      <c r="T11" s="59">
        <f>M!H8*1</f>
        <v>38.759900000000002</v>
      </c>
      <c r="U11" s="14"/>
    </row>
    <row r="12" spans="2:21" s="5" customFormat="1" ht="27" customHeight="1">
      <c r="B12" s="110" t="str">
        <f>CONCATENATE(M12,"
(50 ~ 100)")</f>
        <v>平衡
(50 ~ 100)</v>
      </c>
      <c r="C12" s="101">
        <f>R12</f>
        <v>63.981200000000001</v>
      </c>
      <c r="D12" s="104">
        <f>N12</f>
        <v>70.609099999999998</v>
      </c>
      <c r="E12" s="101">
        <f>T12</f>
        <v>84.292699999999996</v>
      </c>
      <c r="F12" s="93">
        <f>P12</f>
        <v>5.1541199999999998</v>
      </c>
      <c r="G12" s="52" t="str">
        <f>CONCATENATE(M13,"
(40 ~ 100)")</f>
        <v>自信
(40 ~ 100)</v>
      </c>
      <c r="H12" s="101">
        <f>R13</f>
        <v>72.952200000000005</v>
      </c>
      <c r="I12" s="104">
        <f>N13</f>
        <v>77.253900000000002</v>
      </c>
      <c r="J12" s="101">
        <f>T13</f>
        <v>84.4345</v>
      </c>
      <c r="K12" s="95">
        <f>P13</f>
        <v>3.9689399999999999</v>
      </c>
      <c r="L12" s="4"/>
      <c r="M12" s="27" t="str">
        <f>lang!B18</f>
        <v>平衡</v>
      </c>
      <c r="N12" s="59">
        <f>M!B9*1</f>
        <v>70.609099999999998</v>
      </c>
      <c r="O12" s="59">
        <f>M!C9*1</f>
        <v>3.6392799999999998</v>
      </c>
      <c r="P12" s="59">
        <f>M!D9*1</f>
        <v>5.1541199999999998</v>
      </c>
      <c r="Q12" s="59">
        <f>M!E9*1</f>
        <v>50</v>
      </c>
      <c r="R12" s="59">
        <f>M!F9*1</f>
        <v>63.981200000000001</v>
      </c>
      <c r="S12" s="59">
        <f>M!G9*1</f>
        <v>100</v>
      </c>
      <c r="T12" s="59">
        <f>M!H9*1</f>
        <v>84.292699999999996</v>
      </c>
      <c r="U12" s="14"/>
    </row>
    <row r="13" spans="2:21" s="5" customFormat="1" ht="36" customHeight="1">
      <c r="B13" s="110" t="str">
        <f>CONCATENATE(M14,"
(10 ~ 50)")</f>
        <v>活力
(10 ~ 50)</v>
      </c>
      <c r="C13" s="101">
        <f>R14</f>
        <v>6.8026099999999996</v>
      </c>
      <c r="D13" s="102">
        <f>N14</f>
        <v>17.846299999999999</v>
      </c>
      <c r="E13" s="103">
        <f>T14</f>
        <v>26.268000000000001</v>
      </c>
      <c r="F13" s="94">
        <f>P14</f>
        <v>26.412199999999999</v>
      </c>
      <c r="G13" s="52" t="str">
        <f>CONCATENATE(M15,"
(50 ~ 100)")</f>
        <v>自我调节
(50 ~ 100)</v>
      </c>
      <c r="H13" s="101">
        <f>R15</f>
        <v>68.931299999999993</v>
      </c>
      <c r="I13" s="104">
        <f>N15</f>
        <v>74.366699999999994</v>
      </c>
      <c r="J13" s="101">
        <f>T15</f>
        <v>83.770399999999995</v>
      </c>
      <c r="K13" s="95">
        <f>P15</f>
        <v>3.7688899999999999</v>
      </c>
      <c r="L13" s="4"/>
      <c r="M13" s="27" t="str">
        <f>lang!B19</f>
        <v>自信</v>
      </c>
      <c r="N13" s="59">
        <f>M!B10*1</f>
        <v>77.253900000000002</v>
      </c>
      <c r="O13" s="59">
        <f>M!C10*1</f>
        <v>3.0661700000000001</v>
      </c>
      <c r="P13" s="59">
        <f>M!D10*1</f>
        <v>3.9689399999999999</v>
      </c>
      <c r="Q13" s="59">
        <f>M!E10*1</f>
        <v>40</v>
      </c>
      <c r="R13" s="59">
        <f>M!F10*1</f>
        <v>72.952200000000005</v>
      </c>
      <c r="S13" s="59">
        <f>M!G10*1</f>
        <v>100</v>
      </c>
      <c r="T13" s="59">
        <f>M!H10*1</f>
        <v>84.4345</v>
      </c>
      <c r="U13" s="15"/>
    </row>
    <row r="14" spans="2:21" ht="31.5" customHeight="1" thickBot="1">
      <c r="B14" s="111" t="str">
        <f>CONCATENATE(M16,"
(10 ~ 25)")</f>
        <v>抑郁
(10 ~ 25)</v>
      </c>
      <c r="C14" s="105">
        <f>R16</f>
        <v>13.641999999999999</v>
      </c>
      <c r="D14" s="106">
        <f>N16</f>
        <v>17.9222</v>
      </c>
      <c r="E14" s="107">
        <f>T16</f>
        <v>30.540600000000001</v>
      </c>
      <c r="F14" s="96">
        <f>P16</f>
        <v>16.746099999999998</v>
      </c>
      <c r="G14" s="112" t="str">
        <f>CONCATENATE(M17,"
(10 ~ 50)")</f>
        <v>神经质
(10 ~ 50)</v>
      </c>
      <c r="H14" s="105">
        <f>R17</f>
        <v>1.7813300000000001</v>
      </c>
      <c r="I14" s="106">
        <f>N17</f>
        <v>30.012699999999999</v>
      </c>
      <c r="J14" s="107">
        <f>T17</f>
        <v>45.893999999999998</v>
      </c>
      <c r="K14" s="97">
        <f>P17</f>
        <v>35.637700000000002</v>
      </c>
      <c r="M14" s="27" t="str">
        <f>lang!B20</f>
        <v>活力</v>
      </c>
      <c r="N14" s="59">
        <f>M!B11*1</f>
        <v>17.846299999999999</v>
      </c>
      <c r="O14" s="59">
        <f>M!C11*1</f>
        <v>4.7136100000000001</v>
      </c>
      <c r="P14" s="59">
        <f>M!D11*1</f>
        <v>26.412199999999999</v>
      </c>
      <c r="Q14" s="59">
        <f>M!E11*1</f>
        <v>10</v>
      </c>
      <c r="R14" s="59">
        <f>M!F11*1</f>
        <v>6.8026099999999996</v>
      </c>
      <c r="S14" s="59">
        <f>M!G11*1</f>
        <v>50</v>
      </c>
      <c r="T14" s="59">
        <f>M!H11*1</f>
        <v>26.268000000000001</v>
      </c>
      <c r="U14" s="14"/>
    </row>
    <row r="15" spans="2:21" ht="19.5" customHeight="1" thickBot="1">
      <c r="B15" s="147" t="str">
        <f>lang!B3</f>
        <v>参数表</v>
      </c>
      <c r="C15" s="148"/>
      <c r="D15" s="148"/>
      <c r="E15" s="148"/>
      <c r="F15" s="149"/>
      <c r="G15" s="144" t="str">
        <f>lang!B4</f>
        <v>情感状态分布图</v>
      </c>
      <c r="H15" s="145"/>
      <c r="I15" s="145"/>
      <c r="J15" s="145"/>
      <c r="K15" s="146"/>
      <c r="M15" s="27" t="str">
        <f>lang!B21</f>
        <v>自我调节</v>
      </c>
      <c r="N15" s="59">
        <f>M!B12*1</f>
        <v>74.366699999999994</v>
      </c>
      <c r="O15" s="59">
        <f>M!C12*1</f>
        <v>2.8028</v>
      </c>
      <c r="P15" s="59">
        <f>M!D12*1</f>
        <v>3.7688899999999999</v>
      </c>
      <c r="Q15" s="59">
        <f>M!E12*1</f>
        <v>50</v>
      </c>
      <c r="R15" s="59">
        <f>M!F12*1</f>
        <v>68.931299999999993</v>
      </c>
      <c r="S15" s="59">
        <f>M!G12*1</f>
        <v>100</v>
      </c>
      <c r="T15" s="59">
        <f>M!H12*1</f>
        <v>83.770399999999995</v>
      </c>
      <c r="U15" s="14"/>
    </row>
    <row r="16" spans="2:21" ht="21" customHeight="1">
      <c r="B16" s="38"/>
      <c r="C16" s="28"/>
      <c r="D16" s="28"/>
      <c r="E16" s="28"/>
      <c r="F16" s="28"/>
      <c r="G16" s="125"/>
      <c r="H16" s="126"/>
      <c r="I16" s="126"/>
      <c r="J16" s="126"/>
      <c r="K16" s="127"/>
      <c r="M16" s="27" t="str">
        <f>lang!B22</f>
        <v>抑郁</v>
      </c>
      <c r="N16" s="59">
        <f>M!B13*1</f>
        <v>17.9222</v>
      </c>
      <c r="O16" s="59">
        <f>M!C13*1</f>
        <v>3.0012699999999999</v>
      </c>
      <c r="P16" s="59">
        <f>M!D13*1</f>
        <v>16.746099999999998</v>
      </c>
      <c r="Q16" s="59">
        <f>M!E13*1</f>
        <v>10</v>
      </c>
      <c r="R16" s="59">
        <f>M!F13*1</f>
        <v>13.641999999999999</v>
      </c>
      <c r="S16" s="59">
        <f>M!G13*1</f>
        <v>25</v>
      </c>
      <c r="T16" s="59">
        <f>M!H13*1</f>
        <v>30.540600000000001</v>
      </c>
      <c r="U16" s="14"/>
    </row>
    <row r="17" spans="2:24" ht="21" customHeight="1">
      <c r="B17" s="29"/>
      <c r="C17" s="32"/>
      <c r="D17" s="32"/>
      <c r="E17" s="32"/>
      <c r="F17" s="32"/>
      <c r="G17" s="128"/>
      <c r="H17" s="129"/>
      <c r="I17" s="129"/>
      <c r="J17" s="129"/>
      <c r="K17" s="130"/>
      <c r="M17" s="27" t="str">
        <f>lang!B23</f>
        <v>神经质</v>
      </c>
      <c r="N17" s="59">
        <f>M!B14*1</f>
        <v>30.012699999999999</v>
      </c>
      <c r="O17" s="59">
        <f>M!C14*1</f>
        <v>10.6958</v>
      </c>
      <c r="P17" s="59">
        <f>M!D14*1</f>
        <v>35.637700000000002</v>
      </c>
      <c r="Q17" s="59">
        <f>M!E14*1</f>
        <v>10</v>
      </c>
      <c r="R17" s="59">
        <f>M!F14*1</f>
        <v>1.7813300000000001</v>
      </c>
      <c r="S17" s="59">
        <f>M!G14*1</f>
        <v>50</v>
      </c>
      <c r="T17" s="59">
        <f>M!H14*1</f>
        <v>45.893999999999998</v>
      </c>
      <c r="U17" s="15"/>
    </row>
    <row r="18" spans="2:24" ht="21" customHeight="1">
      <c r="B18" s="29"/>
      <c r="C18" s="32"/>
      <c r="D18" s="32"/>
      <c r="E18" s="32"/>
      <c r="F18" s="32"/>
      <c r="G18" s="128"/>
      <c r="H18" s="129"/>
      <c r="I18" s="129"/>
      <c r="J18" s="129"/>
      <c r="K18" s="130"/>
      <c r="M18" s="21" t="str">
        <f>lang!B7</f>
        <v>Positive</v>
      </c>
      <c r="N18" s="65">
        <f>SUM(N12:N15)/4</f>
        <v>60.018999999999991</v>
      </c>
      <c r="O18" s="22">
        <f>N18/(N18+N19+N20)</f>
        <v>0.51480540511794748</v>
      </c>
      <c r="P18" s="65">
        <f>SUM(P12:P15)/4</f>
        <v>9.8260374999999982</v>
      </c>
      <c r="Q18" s="22">
        <f>P18/(P18+P19+P20)</f>
        <v>0.18386861284843922</v>
      </c>
      <c r="R18" s="14"/>
      <c r="S18" s="14"/>
      <c r="T18" s="14"/>
      <c r="U18" s="14"/>
    </row>
    <row r="19" spans="2:24" ht="21" customHeight="1">
      <c r="B19" s="29"/>
      <c r="C19" s="32"/>
      <c r="D19" s="32"/>
      <c r="E19" s="32"/>
      <c r="F19" s="32"/>
      <c r="G19" s="128"/>
      <c r="H19" s="129"/>
      <c r="I19" s="129"/>
      <c r="J19" s="129"/>
      <c r="K19" s="130"/>
      <c r="M19" s="21" t="str">
        <f>lang!B8</f>
        <v>Negative</v>
      </c>
      <c r="N19" s="18">
        <f>SUM(N8:N11)/4</f>
        <v>32.599349999999994</v>
      </c>
      <c r="O19" s="22">
        <f>N19/(N18+N19+N20)</f>
        <v>0.27961681439763675</v>
      </c>
      <c r="P19" s="18">
        <f>SUM(P8:P11)/4</f>
        <v>17.422599999999999</v>
      </c>
      <c r="Q19" s="22">
        <f>P19/(P18+P19+P20)</f>
        <v>0.32601842749055432</v>
      </c>
      <c r="R19" s="14"/>
      <c r="S19" s="14"/>
      <c r="T19" s="14"/>
      <c r="U19" s="14"/>
    </row>
    <row r="20" spans="2:24" ht="21" customHeight="1">
      <c r="B20" s="29"/>
      <c r="C20" s="32"/>
      <c r="D20" s="32"/>
      <c r="E20" s="32"/>
      <c r="F20" s="32"/>
      <c r="G20" s="128"/>
      <c r="H20" s="129"/>
      <c r="I20" s="129"/>
      <c r="J20" s="129"/>
      <c r="K20" s="130"/>
      <c r="M20" s="21" t="str">
        <f>lang!B9</f>
        <v>Physiological</v>
      </c>
      <c r="N20" s="18">
        <f>(N16+N17)/2</f>
        <v>23.967449999999999</v>
      </c>
      <c r="O20" s="22">
        <f>N20/(N18+N19+N20)</f>
        <v>0.20557778048441577</v>
      </c>
      <c r="P20" s="18">
        <f>(P16+P17)/2</f>
        <v>26.1919</v>
      </c>
      <c r="Q20" s="22">
        <f>P20/(P18+P19+P20)</f>
        <v>0.49011295966100643</v>
      </c>
      <c r="R20" s="14"/>
      <c r="S20" s="14"/>
      <c r="T20" s="14"/>
      <c r="U20" s="21"/>
    </row>
    <row r="21" spans="2:24" ht="21" customHeight="1">
      <c r="B21" s="29"/>
      <c r="C21" s="32"/>
      <c r="D21" s="32"/>
      <c r="E21" s="32"/>
      <c r="F21" s="32"/>
      <c r="G21" s="128"/>
      <c r="H21" s="129"/>
      <c r="I21" s="129"/>
      <c r="J21" s="129"/>
      <c r="K21" s="130"/>
      <c r="M21" s="21" t="str">
        <f>lang!B50</f>
        <v>Sat</v>
      </c>
      <c r="N21" s="88">
        <f ca="1">(info!V3-info!U3)-(info!X3-info!W3)</f>
        <v>1.379658108108095E-2</v>
      </c>
      <c r="O21" s="22"/>
      <c r="P21" s="22"/>
      <c r="Q21"/>
      <c r="R21" s="14"/>
      <c r="S21" s="14"/>
      <c r="T21" s="14"/>
      <c r="U21" s="21"/>
    </row>
    <row r="22" spans="2:24" ht="21" customHeight="1">
      <c r="B22" s="29"/>
      <c r="C22" s="32"/>
      <c r="D22" s="32"/>
      <c r="E22" s="32"/>
      <c r="F22" s="32"/>
      <c r="G22" s="128"/>
      <c r="H22" s="129"/>
      <c r="I22" s="129"/>
      <c r="J22" s="129"/>
      <c r="K22" s="130"/>
      <c r="M22" s="15">
        <f>FH_info!N2</f>
        <v>0</v>
      </c>
      <c r="N22" s="15"/>
      <c r="O22" s="15"/>
      <c r="P22" s="15"/>
      <c r="Q22" s="15"/>
      <c r="R22" s="15"/>
      <c r="S22" s="15"/>
      <c r="T22" s="15"/>
      <c r="U22" s="21"/>
    </row>
    <row r="23" spans="2:24" ht="21.75" customHeight="1" thickBot="1">
      <c r="B23" s="30"/>
      <c r="C23" s="31"/>
      <c r="D23" s="31"/>
      <c r="E23" s="31"/>
      <c r="F23" s="31"/>
      <c r="G23" s="131"/>
      <c r="H23" s="132"/>
      <c r="I23" s="132"/>
      <c r="J23" s="132"/>
      <c r="K23" s="133"/>
      <c r="M23" s="16"/>
      <c r="O23" s="17"/>
      <c r="Q23"/>
      <c r="T23"/>
      <c r="U23" s="19"/>
    </row>
    <row r="24" spans="2:24" ht="17.25" customHeight="1" thickBot="1">
      <c r="B24" s="193" t="str">
        <f>lang!B5</f>
        <v>频率分布直方图</v>
      </c>
      <c r="C24" s="194"/>
      <c r="D24" s="194"/>
      <c r="E24" s="194"/>
      <c r="F24" s="195"/>
      <c r="G24" s="122" t="str">
        <f>lang!B6</f>
        <v xml:space="preserve">心理变化 - 心理基础代谢 </v>
      </c>
      <c r="H24" s="123"/>
      <c r="I24" s="123"/>
      <c r="J24" s="123"/>
      <c r="K24" s="124"/>
      <c r="M24" s="16"/>
      <c r="O24" s="17"/>
      <c r="Q24"/>
      <c r="T24"/>
      <c r="U24" s="19"/>
    </row>
    <row r="25" spans="2:24" ht="15" customHeight="1" thickBot="1">
      <c r="B25" s="43" t="str">
        <f>lang!B10</f>
        <v>平均频率</v>
      </c>
      <c r="C25" s="40">
        <f ca="1">FH!L2</f>
        <v>1.4476374659922844</v>
      </c>
      <c r="D25" s="44" t="str">
        <f>lang!B11</f>
        <v>频率方差</v>
      </c>
      <c r="E25" s="142">
        <f ca="1">FH!L3</f>
        <v>0.61278173221550281</v>
      </c>
      <c r="F25" s="143"/>
      <c r="G25" s="134" t="str">
        <f>lang!B12</f>
        <v>生理变化率</v>
      </c>
      <c r="H25" s="135"/>
      <c r="I25" s="62" t="str">
        <f ca="1">CONCATENATE(info!M7,"-",info!M8)</f>
        <v>35.6-63.6</v>
      </c>
      <c r="J25" s="42" t="str">
        <f>lang!B13</f>
        <v>千卡l/分钟</v>
      </c>
      <c r="K25" s="41" t="str">
        <f ca="1">CONCATENATE(info!M5,"-",info!M6)</f>
        <v>1.7-3.6</v>
      </c>
      <c r="M25" s="16"/>
      <c r="O25" s="17"/>
      <c r="P25" s="17"/>
      <c r="Q25"/>
      <c r="T25"/>
      <c r="U25" s="19"/>
    </row>
    <row r="26" spans="2:24" ht="156.75" customHeight="1" thickBot="1">
      <c r="B26" s="115" ph="1"/>
      <c r="C26" s="116" ph="1"/>
      <c r="D26" s="116" ph="1"/>
      <c r="E26" s="117" ph="1"/>
      <c r="F26" s="39" ph="1"/>
      <c r="G26" s="118"/>
      <c r="H26" s="119"/>
      <c r="I26" s="119"/>
      <c r="J26" s="120"/>
      <c r="K26" s="121"/>
      <c r="M26"/>
      <c r="O26" s="17"/>
      <c r="Q26"/>
      <c r="T26"/>
      <c r="U26" s="19"/>
    </row>
    <row r="27" spans="2:24" ht="15" customHeight="1" thickBot="1">
      <c r="B27" s="162" t="str">
        <f>CONCATENATE( lang!B31," ",ROUND(100-FH_info!L2,0),"%]")</f>
        <v>Result [Quality 100%]</v>
      </c>
      <c r="C27" s="163"/>
      <c r="D27" s="163"/>
      <c r="E27" s="163"/>
      <c r="F27" s="163"/>
      <c r="G27" s="163"/>
      <c r="H27" s="163"/>
      <c r="I27" s="163"/>
      <c r="J27" s="163"/>
      <c r="K27" s="164"/>
      <c r="M27"/>
      <c r="Q27"/>
      <c r="T27"/>
    </row>
    <row r="28" spans="2:24" ht="15.75" thickBot="1">
      <c r="B28" s="178" t="str">
        <f>lang!B32</f>
        <v>外向性</v>
      </c>
      <c r="C28" s="179"/>
      <c r="D28" s="180"/>
      <c r="E28" s="162">
        <f>M!B18*100</f>
        <v>49.857399999999998</v>
      </c>
      <c r="F28" s="164"/>
      <c r="G28" s="178" t="str">
        <f>lang!B33</f>
        <v>稳定性</v>
      </c>
      <c r="H28" s="179"/>
      <c r="I28" s="180"/>
      <c r="J28" s="181">
        <f>M!B19*100</f>
        <v>75.535600000000002</v>
      </c>
      <c r="K28" s="182"/>
    </row>
    <row r="29" spans="2:24" ht="24.75" customHeight="1">
      <c r="B29" s="165" t="str">
        <f>lang!B34</f>
        <v xml:space="preserve">心理生理状态分析结果： </v>
      </c>
      <c r="C29" s="166"/>
      <c r="D29" s="166"/>
      <c r="E29" s="166"/>
      <c r="F29" s="166"/>
      <c r="G29" s="166"/>
      <c r="H29" s="166"/>
      <c r="I29" s="166"/>
      <c r="J29" s="166"/>
      <c r="K29" s="167"/>
      <c r="M29"/>
      <c r="Q29"/>
      <c r="T29"/>
      <c r="W29" s="33"/>
      <c r="X29" s="33"/>
    </row>
    <row r="30" spans="2:24" ht="15.75" customHeight="1">
      <c r="B30" s="34"/>
      <c r="C30" s="64" t="str">
        <f>IF(AND((M!B$15 &gt; 0),(M!B$16 &gt; 0)),"⊠","⊡")</f>
        <v>⊠</v>
      </c>
      <c r="D30" s="35" t="str">
        <f>lang!B35</f>
        <v xml:space="preserve"> 正常</v>
      </c>
      <c r="E30" s="35"/>
      <c r="F30" s="35"/>
      <c r="G30" s="35"/>
      <c r="H30" s="35"/>
      <c r="I30" s="35"/>
      <c r="J30" s="35"/>
      <c r="K30" s="36"/>
      <c r="M30"/>
      <c r="Q30"/>
      <c r="T30"/>
      <c r="W30" s="33"/>
      <c r="X30" s="33"/>
    </row>
    <row r="31" spans="2:24" ht="15.75" customHeight="1" thickBot="1">
      <c r="B31" s="37"/>
      <c r="C31" s="64" t="str">
        <f>IF(AND((M!B$15 &gt; 0),(M!B$16 &gt; 0)),"⊡","⊠")</f>
        <v>⊡</v>
      </c>
      <c r="D31" s="35" t="str">
        <f>lang!B36</f>
        <v>找专业人员咨询</v>
      </c>
      <c r="E31" s="35"/>
      <c r="F31" s="35"/>
      <c r="G31" s="35"/>
      <c r="H31" s="35"/>
      <c r="I31" s="35"/>
      <c r="J31" s="35"/>
      <c r="K31" s="36"/>
      <c r="M31"/>
      <c r="Q31"/>
      <c r="T31"/>
      <c r="W31" s="33"/>
      <c r="X31" s="33"/>
    </row>
    <row r="32" spans="2:24" ht="21" customHeight="1">
      <c r="B32" s="183" t="str">
        <f>lang!B37</f>
        <v>意见</v>
      </c>
      <c r="C32" s="184"/>
      <c r="D32" s="185"/>
      <c r="E32" s="185"/>
      <c r="F32" s="185"/>
      <c r="G32" s="185"/>
      <c r="H32" s="185"/>
      <c r="I32" s="185"/>
      <c r="J32" s="185"/>
      <c r="K32" s="186"/>
      <c r="M32"/>
      <c r="Q32"/>
      <c r="T32"/>
      <c r="W32" s="33"/>
      <c r="X32" s="33"/>
    </row>
    <row r="33" spans="2:24" ht="18" customHeight="1">
      <c r="B33" s="156"/>
      <c r="C33" s="157"/>
      <c r="D33" s="157"/>
      <c r="E33" s="157"/>
      <c r="F33" s="157"/>
      <c r="G33" s="157"/>
      <c r="H33" s="157"/>
      <c r="I33" s="157"/>
      <c r="J33" s="157"/>
      <c r="K33" s="158"/>
      <c r="M33"/>
      <c r="Q33"/>
      <c r="T33"/>
      <c r="W33" s="33"/>
      <c r="X33" s="33"/>
    </row>
    <row r="34" spans="2:24" ht="20.25" customHeight="1">
      <c r="B34" s="156"/>
      <c r="C34" s="157"/>
      <c r="D34" s="157"/>
      <c r="E34" s="157"/>
      <c r="F34" s="157"/>
      <c r="G34" s="157"/>
      <c r="H34" s="157"/>
      <c r="I34" s="157"/>
      <c r="J34" s="157"/>
      <c r="K34" s="158"/>
      <c r="M34"/>
      <c r="Q34"/>
      <c r="T34"/>
      <c r="W34" s="33"/>
      <c r="X34" s="33"/>
    </row>
    <row r="35" spans="2:24" ht="35.25" customHeight="1" thickBot="1">
      <c r="B35" s="159"/>
      <c r="C35" s="160"/>
      <c r="D35" s="160"/>
      <c r="E35" s="160"/>
      <c r="F35" s="160"/>
      <c r="G35" s="160"/>
      <c r="H35" s="160"/>
      <c r="I35" s="160"/>
      <c r="J35" s="160"/>
      <c r="K35" s="161"/>
      <c r="M35"/>
      <c r="Q35"/>
      <c r="T35"/>
      <c r="W35" s="33"/>
      <c r="X35" s="33"/>
    </row>
    <row r="36" spans="2:24" ht="24" customHeight="1">
      <c r="M36" s="21"/>
      <c r="N36" s="18"/>
      <c r="O36" s="22"/>
      <c r="P36" s="18"/>
      <c r="Q36"/>
      <c r="T36"/>
      <c r="W36" s="33"/>
      <c r="X36" s="33"/>
    </row>
  </sheetData>
  <mergeCells count="28">
    <mergeCell ref="B33:K35"/>
    <mergeCell ref="B27:K27"/>
    <mergeCell ref="B29:K29"/>
    <mergeCell ref="B8:K8"/>
    <mergeCell ref="H6:K6"/>
    <mergeCell ref="H7:K7"/>
    <mergeCell ref="B28:D28"/>
    <mergeCell ref="G28:I28"/>
    <mergeCell ref="E28:F28"/>
    <mergeCell ref="J28:K28"/>
    <mergeCell ref="B32:C32"/>
    <mergeCell ref="D32:K32"/>
    <mergeCell ref="C6:F6"/>
    <mergeCell ref="C7:F7"/>
    <mergeCell ref="B24:F24"/>
    <mergeCell ref="C1:I1"/>
    <mergeCell ref="B26:E26"/>
    <mergeCell ref="G26:K26"/>
    <mergeCell ref="G24:K24"/>
    <mergeCell ref="G16:K23"/>
    <mergeCell ref="G25:H25"/>
    <mergeCell ref="B3:K4"/>
    <mergeCell ref="E25:F25"/>
    <mergeCell ref="G15:K15"/>
    <mergeCell ref="B15:F15"/>
    <mergeCell ref="C5:F5"/>
    <mergeCell ref="H5:K5"/>
    <mergeCell ref="B2:K2"/>
  </mergeCells>
  <phoneticPr fontId="1" type="noConversion"/>
  <conditionalFormatting sqref="E10">
    <cfRule type="cellIs" dxfId="10" priority="11" operator="greaterThan">
      <formula>50</formula>
    </cfRule>
  </conditionalFormatting>
  <conditionalFormatting sqref="C11">
    <cfRule type="cellIs" dxfId="9" priority="10" operator="lessThan">
      <formula>15</formula>
    </cfRule>
  </conditionalFormatting>
  <conditionalFormatting sqref="E11">
    <cfRule type="cellIs" dxfId="8" priority="9" operator="greaterThan">
      <formula>40</formula>
    </cfRule>
  </conditionalFormatting>
  <conditionalFormatting sqref="C12">
    <cfRule type="cellIs" dxfId="7" priority="8" operator="lessThan">
      <formula>50</formula>
    </cfRule>
  </conditionalFormatting>
  <conditionalFormatting sqref="C13">
    <cfRule type="cellIs" dxfId="6" priority="7" operator="lessThan">
      <formula>10</formula>
    </cfRule>
  </conditionalFormatting>
  <conditionalFormatting sqref="D13">
    <cfRule type="cellIs" dxfId="5" priority="6" operator="lessThan">
      <formula>10</formula>
    </cfRule>
  </conditionalFormatting>
  <conditionalFormatting sqref="E13">
    <cfRule type="cellIs" dxfId="4" priority="5" operator="lessThan">
      <formula>10</formula>
    </cfRule>
  </conditionalFormatting>
  <conditionalFormatting sqref="D14">
    <cfRule type="cellIs" dxfId="3" priority="4" operator="greaterThan">
      <formula>25</formula>
    </cfRule>
  </conditionalFormatting>
  <conditionalFormatting sqref="E14">
    <cfRule type="cellIs" dxfId="2" priority="3" operator="greaterThan">
      <formula>25</formula>
    </cfRule>
  </conditionalFormatting>
  <conditionalFormatting sqref="I10:J10">
    <cfRule type="cellIs" dxfId="1" priority="2" operator="greaterThan">
      <formula>40</formula>
    </cfRule>
  </conditionalFormatting>
  <conditionalFormatting sqref="I14:J14">
    <cfRule type="cellIs" dxfId="0" priority="1" operator="greaterThan">
      <formula>50</formula>
    </cfRule>
  </conditionalFormatting>
  <pageMargins left="0.59055118110236227" right="0.15748031496062992" top="0.23622047244094491" bottom="0.23622047244094491" header="0.19685039370078741" footer="0.15748031496062992"/>
  <pageSetup paperSize="9" scale="89" orientation="portrait" r:id="rId1"/>
  <ignoredErrors>
    <ignoredError sqref="D10:E10 I10:J10 D11:E11 I11:J11 D12:E12 I12:J12 D13:E13 I13:J13 D14:E14 I14:J14 O18:P20" 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pageSetUpPr fitToPage="1"/>
  </sheetPr>
  <dimension ref="B1:AL35"/>
  <sheetViews>
    <sheetView zoomScaleNormal="100" workbookViewId="0">
      <selection activeCell="B2" sqref="B2:K3"/>
    </sheetView>
  </sheetViews>
  <sheetFormatPr defaultRowHeight="15"/>
  <cols>
    <col min="1" max="1" width="3.125" customWidth="1"/>
    <col min="2" max="2" width="9" style="3" customWidth="1"/>
    <col min="3" max="3" width="10.375" style="3" bestFit="1" customWidth="1"/>
    <col min="4" max="4" width="9.25" style="3" customWidth="1"/>
    <col min="5" max="5" width="10.375" style="3" customWidth="1"/>
    <col min="6" max="6" width="6.75" style="3" customWidth="1"/>
    <col min="7" max="7" width="8.75" style="3" customWidth="1"/>
    <col min="8" max="8" width="9.75" customWidth="1"/>
    <col min="9" max="9" width="9.875" customWidth="1"/>
    <col min="10" max="10" width="8.375" customWidth="1"/>
    <col min="11" max="11" width="9.375" customWidth="1"/>
    <col min="12" max="12" width="5.375" style="1" customWidth="1"/>
    <col min="13" max="13" width="12.625" style="1" customWidth="1"/>
    <col min="14" max="15" width="7.875" customWidth="1"/>
    <col min="16" max="16" width="7" customWidth="1"/>
    <col min="17" max="17" width="5.75" style="1" customWidth="1"/>
    <col min="18" max="18" width="6.375" customWidth="1"/>
    <col min="19" max="19" width="6.25" customWidth="1"/>
    <col min="20" max="20" width="7.625" style="1" customWidth="1"/>
    <col min="21" max="21" width="4.875" customWidth="1"/>
  </cols>
  <sheetData>
    <row r="1" spans="2:38" ht="6" customHeight="1" thickBot="1">
      <c r="C1" s="113"/>
      <c r="D1" s="114"/>
      <c r="E1" s="114"/>
      <c r="F1" s="114"/>
      <c r="G1" s="114"/>
      <c r="H1" s="114"/>
      <c r="I1" s="114"/>
      <c r="J1" s="87"/>
      <c r="K1" s="87"/>
      <c r="L1" s="86"/>
      <c r="M1" s="86"/>
      <c r="N1" s="86"/>
      <c r="O1" s="86"/>
      <c r="P1" s="86"/>
    </row>
    <row r="2" spans="2:38" ht="13.5">
      <c r="B2" s="136" t="str">
        <f>lang!B2</f>
        <v>心理生理状态分析结果</v>
      </c>
      <c r="C2" s="137"/>
      <c r="D2" s="137"/>
      <c r="E2" s="137"/>
      <c r="F2" s="137"/>
      <c r="G2" s="137"/>
      <c r="H2" s="137"/>
      <c r="I2" s="137"/>
      <c r="J2" s="137"/>
      <c r="K2" s="138"/>
    </row>
    <row r="3" spans="2:38" ht="31.5" customHeight="1" thickBot="1">
      <c r="B3" s="139"/>
      <c r="C3" s="140"/>
      <c r="D3" s="140"/>
      <c r="E3" s="140"/>
      <c r="F3" s="140"/>
      <c r="G3" s="140"/>
      <c r="H3" s="140"/>
      <c r="I3" s="140"/>
      <c r="J3" s="140"/>
      <c r="K3" s="141"/>
    </row>
    <row r="4" spans="2:38" ht="16.5" customHeight="1">
      <c r="B4" s="45" t="str">
        <f>lang!B24</f>
        <v>姓名</v>
      </c>
      <c r="C4" s="150" t="str">
        <f>FH_info!B2</f>
        <v>.</v>
      </c>
      <c r="D4" s="151"/>
      <c r="E4" s="151"/>
      <c r="F4" s="152"/>
      <c r="G4" s="48" t="str">
        <f>lang!B27</f>
        <v>编号</v>
      </c>
      <c r="H4" s="150"/>
      <c r="I4" s="151"/>
      <c r="J4" s="151"/>
      <c r="K4" s="153"/>
    </row>
    <row r="5" spans="2:38" ht="17.25" customHeight="1">
      <c r="B5" s="46" t="str">
        <f>lang!B25</f>
        <v>性别</v>
      </c>
      <c r="C5" s="187"/>
      <c r="D5" s="188"/>
      <c r="E5" s="188"/>
      <c r="F5" s="189"/>
      <c r="G5" s="49" t="str">
        <f>lang!B28</f>
        <v xml:space="preserve"> 日期</v>
      </c>
      <c r="H5" s="172">
        <f>FH_info!A2</f>
        <v>43621.447222222225</v>
      </c>
      <c r="I5" s="173"/>
      <c r="J5" s="173"/>
      <c r="K5" s="174"/>
      <c r="M5" s="12" t="s">
        <v>257</v>
      </c>
      <c r="N5" s="13"/>
      <c r="O5" s="13"/>
      <c r="P5" s="13"/>
      <c r="Q5" s="13"/>
      <c r="R5" s="13"/>
      <c r="S5" s="13"/>
      <c r="T5" s="13"/>
      <c r="U5" s="13"/>
      <c r="V5" s="12" t="s">
        <v>5</v>
      </c>
      <c r="W5" s="13"/>
      <c r="X5" s="13"/>
      <c r="Y5" s="13"/>
      <c r="Z5" s="13"/>
      <c r="AA5" s="13"/>
      <c r="AB5" s="13"/>
      <c r="AC5" s="13"/>
      <c r="AE5" s="12" t="s">
        <v>258</v>
      </c>
      <c r="AF5" s="13"/>
      <c r="AG5" s="13"/>
      <c r="AH5" s="13"/>
      <c r="AI5" s="13"/>
      <c r="AJ5" s="13"/>
      <c r="AK5" s="13"/>
      <c r="AL5" s="13"/>
    </row>
    <row r="6" spans="2:38" ht="18.75" customHeight="1" thickBot="1">
      <c r="B6" s="47" t="str">
        <f>lang!B26</f>
        <v>年龄</v>
      </c>
      <c r="C6" s="190"/>
      <c r="D6" s="191"/>
      <c r="E6" s="191"/>
      <c r="F6" s="192"/>
      <c r="G6" s="50" t="str">
        <f>lang!B29</f>
        <v>误差率（%）</v>
      </c>
      <c r="H6" s="175">
        <f>dM!B17*1</f>
        <v>0</v>
      </c>
      <c r="I6" s="176"/>
      <c r="J6" s="176"/>
      <c r="K6" s="177"/>
      <c r="M6" s="23"/>
      <c r="N6" s="85" t="str">
        <f>lang!B43</f>
        <v>M</v>
      </c>
      <c r="O6" s="85" t="str">
        <f>lang!B44</f>
        <v>S</v>
      </c>
      <c r="P6" s="85" t="str">
        <f>lang!B45</f>
        <v>Vi (S/M)</v>
      </c>
      <c r="Q6" s="85" t="str">
        <f>lang!B46</f>
        <v>bMin</v>
      </c>
      <c r="R6" s="85" t="str">
        <f>lang!B47</f>
        <v>cMin</v>
      </c>
      <c r="S6" s="85" t="str">
        <f>lang!B48</f>
        <v>bMax</v>
      </c>
      <c r="T6" s="85" t="str">
        <f>lang!B49</f>
        <v>cMax</v>
      </c>
      <c r="U6" s="20"/>
      <c r="V6" s="23"/>
      <c r="W6" s="85" t="str">
        <f>N6</f>
        <v>M</v>
      </c>
      <c r="X6" s="85" t="str">
        <f t="shared" ref="X6:AC6" si="0">O6</f>
        <v>S</v>
      </c>
      <c r="Y6" s="85" t="str">
        <f t="shared" si="0"/>
        <v>Vi (S/M)</v>
      </c>
      <c r="Z6" s="85" t="str">
        <f t="shared" si="0"/>
        <v>bMin</v>
      </c>
      <c r="AA6" s="85" t="str">
        <f t="shared" si="0"/>
        <v>cMin</v>
      </c>
      <c r="AB6" s="85" t="str">
        <f t="shared" si="0"/>
        <v>bMax</v>
      </c>
      <c r="AC6" s="85" t="str">
        <f t="shared" si="0"/>
        <v>cMax</v>
      </c>
      <c r="AE6" s="23"/>
      <c r="AF6" s="85" t="str">
        <f>W6</f>
        <v>M</v>
      </c>
      <c r="AG6" s="85" t="str">
        <f t="shared" ref="AG6:AL6" si="1">X6</f>
        <v>S</v>
      </c>
      <c r="AH6" s="85" t="str">
        <f t="shared" si="1"/>
        <v>Vi (S/M)</v>
      </c>
      <c r="AI6" s="85" t="str">
        <f t="shared" si="1"/>
        <v>bMin</v>
      </c>
      <c r="AJ6" s="85" t="str">
        <f t="shared" si="1"/>
        <v>cMin</v>
      </c>
      <c r="AK6" s="85" t="str">
        <f t="shared" si="1"/>
        <v>bMax</v>
      </c>
      <c r="AL6" s="85" t="str">
        <f t="shared" si="1"/>
        <v>cMax</v>
      </c>
    </row>
    <row r="7" spans="2:38" ht="15.75" customHeight="1" thickBot="1">
      <c r="B7" s="168" t="str">
        <f>lang!B30</f>
        <v>10项参数结果</v>
      </c>
      <c r="C7" s="169"/>
      <c r="D7" s="170"/>
      <c r="E7" s="170"/>
      <c r="F7" s="170"/>
      <c r="G7" s="170"/>
      <c r="H7" s="170"/>
      <c r="I7" s="170"/>
      <c r="J7" s="170"/>
      <c r="K7" s="171"/>
      <c r="M7" s="27" t="str">
        <f>lang!B14</f>
        <v>攻击性</v>
      </c>
      <c r="N7" s="59">
        <f>AF7-W7</f>
        <v>2.1156999999999968</v>
      </c>
      <c r="O7" s="59">
        <f t="shared" ref="O7:T7" si="2">AG7-X7</f>
        <v>-3.9507200000000005</v>
      </c>
      <c r="P7" s="59">
        <f t="shared" si="2"/>
        <v>-11.8454</v>
      </c>
      <c r="Q7" s="59">
        <f t="shared" si="2"/>
        <v>0</v>
      </c>
      <c r="R7" s="59">
        <f t="shared" si="2"/>
        <v>17.055199999999999</v>
      </c>
      <c r="S7" s="59">
        <f t="shared" si="2"/>
        <v>0</v>
      </c>
      <c r="T7" s="59">
        <f t="shared" si="2"/>
        <v>-1.9575000000000031</v>
      </c>
      <c r="U7" s="14"/>
      <c r="V7" s="27" t="str">
        <f>M7</f>
        <v>攻击性</v>
      </c>
      <c r="W7" s="59">
        <f>'M1'!B5*1</f>
        <v>35.8598</v>
      </c>
      <c r="X7" s="59">
        <f>'M1'!C5*1</f>
        <v>9.2819500000000001</v>
      </c>
      <c r="Y7" s="59">
        <f>'M1'!D5*1</f>
        <v>25.884</v>
      </c>
      <c r="Z7" s="59">
        <f>'M1'!E5*1</f>
        <v>20</v>
      </c>
      <c r="AA7" s="59">
        <f>'M1'!F5*1</f>
        <v>11.4427</v>
      </c>
      <c r="AB7" s="59">
        <f>'M1'!G5*1</f>
        <v>50</v>
      </c>
      <c r="AC7" s="59">
        <f>'M1'!H5*1</f>
        <v>48.744</v>
      </c>
      <c r="AE7" s="27" t="str">
        <f>V7</f>
        <v>攻击性</v>
      </c>
      <c r="AF7" s="59">
        <f>'M2'!B5*1</f>
        <v>37.975499999999997</v>
      </c>
      <c r="AG7" s="59">
        <f>'M2'!C5*1</f>
        <v>5.3312299999999997</v>
      </c>
      <c r="AH7" s="59">
        <f>'M2'!D5*1</f>
        <v>14.038600000000001</v>
      </c>
      <c r="AI7" s="59">
        <f>'M2'!E5*1</f>
        <v>20</v>
      </c>
      <c r="AJ7" s="59">
        <f>'M2'!F5*1</f>
        <v>28.497900000000001</v>
      </c>
      <c r="AK7" s="59">
        <f>'M2'!G5*1</f>
        <v>50</v>
      </c>
      <c r="AL7" s="59">
        <f>'M2'!H5*1</f>
        <v>46.786499999999997</v>
      </c>
    </row>
    <row r="8" spans="2:38" ht="16.5" customHeight="1" thickBot="1">
      <c r="B8" s="9" t="str">
        <f>lang!B38</f>
        <v>Parameter</v>
      </c>
      <c r="C8" s="10" t="str">
        <f>lang!B39</f>
        <v>Min</v>
      </c>
      <c r="D8" s="11" t="str">
        <f>lang!B40</f>
        <v>Avg</v>
      </c>
      <c r="E8" s="11" t="str">
        <f>lang!B41</f>
        <v>Max</v>
      </c>
      <c r="F8" s="11" t="str">
        <f>lang!B42</f>
        <v>Vi</v>
      </c>
      <c r="G8" s="83" t="str">
        <f>B8</f>
        <v>Parameter</v>
      </c>
      <c r="H8" s="83" t="str">
        <f t="shared" ref="H8:K8" si="3">C8</f>
        <v>Min</v>
      </c>
      <c r="I8" s="83" t="str">
        <f t="shared" si="3"/>
        <v>Avg</v>
      </c>
      <c r="J8" s="83" t="str">
        <f t="shared" si="3"/>
        <v>Max</v>
      </c>
      <c r="K8" s="84" t="str">
        <f t="shared" si="3"/>
        <v>Vi</v>
      </c>
      <c r="M8" s="27" t="str">
        <f>lang!B15</f>
        <v>压力</v>
      </c>
      <c r="N8" s="59">
        <f t="shared" ref="N8:N16" si="4">AF8-W8</f>
        <v>-9.7084000000000046</v>
      </c>
      <c r="O8" s="59">
        <f t="shared" ref="O8:O16" si="5">AG8-X8</f>
        <v>-1.5481100000000003</v>
      </c>
      <c r="P8" s="59">
        <f t="shared" ref="P8:P16" si="6">AH8-Y8</f>
        <v>-2.1111800000000009</v>
      </c>
      <c r="Q8" s="59">
        <f t="shared" ref="Q8:Q16" si="7">AI8-Z8</f>
        <v>0</v>
      </c>
      <c r="R8" s="59">
        <f t="shared" ref="R8:R16" si="8">AJ8-AA8</f>
        <v>0.73730000000000118</v>
      </c>
      <c r="S8" s="59">
        <f t="shared" ref="S8:S16" si="9">AK8-AB8</f>
        <v>0</v>
      </c>
      <c r="T8" s="59">
        <f t="shared" ref="T8:T16" si="10">AL8-AC8</f>
        <v>-6.5396999999999963</v>
      </c>
      <c r="U8" s="15"/>
      <c r="V8" s="27" t="str">
        <f t="shared" ref="V8:V16" si="11">M8</f>
        <v>压力</v>
      </c>
      <c r="W8" s="59">
        <f>'M1'!B6*1</f>
        <v>43.032800000000002</v>
      </c>
      <c r="X8" s="59">
        <f>'M1'!C6*1</f>
        <v>3.7435900000000002</v>
      </c>
      <c r="Y8" s="59">
        <f>'M1'!D6*1</f>
        <v>8.6994000000000007</v>
      </c>
      <c r="Z8" s="59">
        <f>'M1'!E6*1</f>
        <v>20</v>
      </c>
      <c r="AA8" s="59">
        <f>'M1'!F6*1</f>
        <v>30.4451</v>
      </c>
      <c r="AB8" s="59">
        <f>'M1'!G6*1</f>
        <v>40</v>
      </c>
      <c r="AC8" s="59">
        <f>'M1'!H6*1</f>
        <v>46.612099999999998</v>
      </c>
      <c r="AE8" s="27" t="str">
        <f t="shared" ref="AE8:AE16" si="12">V8</f>
        <v>压力</v>
      </c>
      <c r="AF8" s="59">
        <f>'M2'!B6*1</f>
        <v>33.324399999999997</v>
      </c>
      <c r="AG8" s="59">
        <f>'M2'!C6*1</f>
        <v>2.1954799999999999</v>
      </c>
      <c r="AH8" s="59">
        <f>'M2'!D6*1</f>
        <v>6.5882199999999997</v>
      </c>
      <c r="AI8" s="59">
        <f>'M2'!E6*1</f>
        <v>20</v>
      </c>
      <c r="AJ8" s="59">
        <f>'M2'!F6*1</f>
        <v>31.182400000000001</v>
      </c>
      <c r="AK8" s="59">
        <f>'M2'!G6*1</f>
        <v>40</v>
      </c>
      <c r="AL8" s="59">
        <f>'M2'!H6*1</f>
        <v>40.072400000000002</v>
      </c>
    </row>
    <row r="9" spans="2:38" s="7" customFormat="1" ht="21" customHeight="1">
      <c r="B9" s="76" t="str">
        <f>CONCATENATE(M7,"
(20 ~ 50)")</f>
        <v>攻击性
(20 ~ 50)</v>
      </c>
      <c r="C9" s="77">
        <f>R7</f>
        <v>17.055199999999999</v>
      </c>
      <c r="D9" s="78">
        <f>N7</f>
        <v>2.1156999999999968</v>
      </c>
      <c r="E9" s="79">
        <f>T7</f>
        <v>-1.9575000000000031</v>
      </c>
      <c r="F9" s="79">
        <f>P7</f>
        <v>-11.8454</v>
      </c>
      <c r="G9" s="80" t="str">
        <f>CONCATENATE(M8,"
(20 ~ 40)")</f>
        <v>压力
(20 ~ 40)</v>
      </c>
      <c r="H9" s="77">
        <f>R8</f>
        <v>0.73730000000000118</v>
      </c>
      <c r="I9" s="81">
        <f>N8</f>
        <v>-9.7084000000000046</v>
      </c>
      <c r="J9" s="77">
        <f>T8</f>
        <v>-6.5396999999999963</v>
      </c>
      <c r="K9" s="82">
        <f>P8</f>
        <v>-2.1111800000000009</v>
      </c>
      <c r="L9" s="6"/>
      <c r="M9" s="27" t="str">
        <f>lang!B16</f>
        <v>焦虑</v>
      </c>
      <c r="N9" s="59">
        <f t="shared" si="4"/>
        <v>-2.8465999999999987</v>
      </c>
      <c r="O9" s="59">
        <f t="shared" si="5"/>
        <v>-0.42403000000000013</v>
      </c>
      <c r="P9" s="59">
        <f t="shared" si="6"/>
        <v>0.75690000000000168</v>
      </c>
      <c r="Q9" s="59">
        <f t="shared" si="7"/>
        <v>0</v>
      </c>
      <c r="R9" s="59">
        <f t="shared" si="8"/>
        <v>-0.47769999999999868</v>
      </c>
      <c r="S9" s="59">
        <f t="shared" si="9"/>
        <v>0</v>
      </c>
      <c r="T9" s="59">
        <f t="shared" si="10"/>
        <v>-12.317500000000003</v>
      </c>
      <c r="U9" s="14"/>
      <c r="V9" s="27" t="str">
        <f t="shared" si="11"/>
        <v>焦虑</v>
      </c>
      <c r="W9" s="59">
        <f>'M1'!B7*1</f>
        <v>24.7453</v>
      </c>
      <c r="X9" s="59">
        <f>'M1'!C7*1</f>
        <v>5.1268000000000002</v>
      </c>
      <c r="Y9" s="59">
        <f>'M1'!D7*1</f>
        <v>20.7182</v>
      </c>
      <c r="Z9" s="59">
        <f>'M1'!E7*1</f>
        <v>15</v>
      </c>
      <c r="AA9" s="59">
        <f>'M1'!F7*1</f>
        <v>12.311999999999999</v>
      </c>
      <c r="AB9" s="59">
        <f>'M1'!G7*1</f>
        <v>40</v>
      </c>
      <c r="AC9" s="59">
        <f>'M1'!H7*1</f>
        <v>47.221200000000003</v>
      </c>
      <c r="AE9" s="27" t="str">
        <f t="shared" si="12"/>
        <v>焦虑</v>
      </c>
      <c r="AF9" s="59">
        <f>'M2'!B7*1</f>
        <v>21.898700000000002</v>
      </c>
      <c r="AG9" s="59">
        <f>'M2'!C7*1</f>
        <v>4.7027700000000001</v>
      </c>
      <c r="AH9" s="59">
        <f>'M2'!D7*1</f>
        <v>21.475100000000001</v>
      </c>
      <c r="AI9" s="59">
        <f>'M2'!E7*1</f>
        <v>15</v>
      </c>
      <c r="AJ9" s="59">
        <f>'M2'!F7*1</f>
        <v>11.834300000000001</v>
      </c>
      <c r="AK9" s="59">
        <f>'M2'!G7*1</f>
        <v>40</v>
      </c>
      <c r="AL9" s="59">
        <f>'M2'!H7*1</f>
        <v>34.903700000000001</v>
      </c>
    </row>
    <row r="10" spans="2:38" s="5" customFormat="1" ht="22.5" customHeight="1">
      <c r="B10" s="71" t="str">
        <f>CONCATENATE(M9,"
(15 ~ 40)")</f>
        <v>焦虑
(15 ~ 40)</v>
      </c>
      <c r="C10" s="24">
        <f>R9</f>
        <v>-0.47769999999999868</v>
      </c>
      <c r="D10" s="51">
        <f>N9</f>
        <v>-2.8465999999999987</v>
      </c>
      <c r="E10" s="53">
        <f>T9</f>
        <v>-12.317500000000003</v>
      </c>
      <c r="F10" s="53">
        <f>P9</f>
        <v>0.75690000000000168</v>
      </c>
      <c r="G10" s="73" t="str">
        <f>CONCATENATE(M10,"
(20 ~ 50)")</f>
        <v>可疑
(20 ~ 50)</v>
      </c>
      <c r="H10" s="24">
        <f>R10</f>
        <v>6.2208000000000006</v>
      </c>
      <c r="I10" s="52">
        <f>N10</f>
        <v>-2.7242999999999995</v>
      </c>
      <c r="J10" s="24">
        <f>T10</f>
        <v>-2.0465000000000018</v>
      </c>
      <c r="K10" s="25">
        <f>P10</f>
        <v>-4.9429499999999997</v>
      </c>
      <c r="L10" s="4"/>
      <c r="M10" s="27" t="str">
        <f>lang!B17</f>
        <v>可疑</v>
      </c>
      <c r="N10" s="59">
        <f t="shared" si="4"/>
        <v>-2.7242999999999995</v>
      </c>
      <c r="O10" s="59">
        <f t="shared" si="5"/>
        <v>-1.9453300000000002</v>
      </c>
      <c r="P10" s="59">
        <f t="shared" si="6"/>
        <v>-4.9429499999999997</v>
      </c>
      <c r="Q10" s="59">
        <f t="shared" si="7"/>
        <v>0</v>
      </c>
      <c r="R10" s="59">
        <f t="shared" si="8"/>
        <v>6.2208000000000006</v>
      </c>
      <c r="S10" s="59">
        <f t="shared" si="9"/>
        <v>0</v>
      </c>
      <c r="T10" s="59">
        <f t="shared" si="10"/>
        <v>-2.0465000000000018</v>
      </c>
      <c r="U10" s="14"/>
      <c r="V10" s="27" t="str">
        <f t="shared" si="11"/>
        <v>可疑</v>
      </c>
      <c r="W10" s="59">
        <f>'M1'!B8*1</f>
        <v>34.526699999999998</v>
      </c>
      <c r="X10" s="59">
        <f>'M1'!C8*1</f>
        <v>4.7317400000000003</v>
      </c>
      <c r="Y10" s="59">
        <f>'M1'!D8*1</f>
        <v>13.704599999999999</v>
      </c>
      <c r="Z10" s="59">
        <f>'M1'!E8*1</f>
        <v>20</v>
      </c>
      <c r="AA10" s="59">
        <f>'M1'!F8*1</f>
        <v>19.6416</v>
      </c>
      <c r="AB10" s="59">
        <f>'M1'!G8*1</f>
        <v>50</v>
      </c>
      <c r="AC10" s="59">
        <f>'M1'!H8*1</f>
        <v>38.759900000000002</v>
      </c>
      <c r="AE10" s="27" t="str">
        <f t="shared" si="12"/>
        <v>可疑</v>
      </c>
      <c r="AF10" s="59">
        <f>'M2'!B8*1</f>
        <v>31.802399999999999</v>
      </c>
      <c r="AG10" s="59">
        <f>'M2'!C8*1</f>
        <v>2.7864100000000001</v>
      </c>
      <c r="AH10" s="59">
        <f>'M2'!D8*1</f>
        <v>8.7616499999999995</v>
      </c>
      <c r="AI10" s="59">
        <f>'M2'!E8*1</f>
        <v>20</v>
      </c>
      <c r="AJ10" s="59">
        <f>'M2'!F8*1</f>
        <v>25.862400000000001</v>
      </c>
      <c r="AK10" s="59">
        <f>'M2'!G8*1</f>
        <v>50</v>
      </c>
      <c r="AL10" s="59">
        <f>'M2'!H8*1</f>
        <v>36.7134</v>
      </c>
    </row>
    <row r="11" spans="2:38" s="5" customFormat="1" ht="21.75" customHeight="1">
      <c r="B11" s="71" t="str">
        <f>CONCATENATE(M11,"
(50 ~ 100)")</f>
        <v>平衡
(50 ~ 100)</v>
      </c>
      <c r="C11" s="24">
        <f>R11</f>
        <v>1.3349999999999937</v>
      </c>
      <c r="D11" s="52">
        <f>N11</f>
        <v>1.4043999999999954</v>
      </c>
      <c r="E11" s="24">
        <f>T11</f>
        <v>-3.3378999999999905</v>
      </c>
      <c r="F11" s="24">
        <f>P11</f>
        <v>-1.4572399999999996</v>
      </c>
      <c r="G11" s="73" t="str">
        <f>CONCATENATE(M12,"
(40 ~ 100)")</f>
        <v>自信
(40 ~ 100)</v>
      </c>
      <c r="H11" s="24">
        <f>R12</f>
        <v>0.83619999999999095</v>
      </c>
      <c r="I11" s="52">
        <f>N12</f>
        <v>4.5683999999999969</v>
      </c>
      <c r="J11" s="24">
        <f>T12</f>
        <v>-3.2027999999999963</v>
      </c>
      <c r="K11" s="25">
        <f>P12</f>
        <v>-1.76444</v>
      </c>
      <c r="L11" s="4"/>
      <c r="M11" s="27" t="str">
        <f>lang!B18</f>
        <v>平衡</v>
      </c>
      <c r="N11" s="59">
        <f t="shared" si="4"/>
        <v>1.4043999999999954</v>
      </c>
      <c r="O11" s="59">
        <f t="shared" si="5"/>
        <v>-0.96001999999999965</v>
      </c>
      <c r="P11" s="59">
        <f t="shared" si="6"/>
        <v>-1.4572399999999996</v>
      </c>
      <c r="Q11" s="59">
        <f t="shared" si="7"/>
        <v>0</v>
      </c>
      <c r="R11" s="59">
        <f t="shared" si="8"/>
        <v>1.3349999999999937</v>
      </c>
      <c r="S11" s="59">
        <f t="shared" si="9"/>
        <v>0</v>
      </c>
      <c r="T11" s="59">
        <f t="shared" si="10"/>
        <v>-3.3378999999999905</v>
      </c>
      <c r="U11" s="14"/>
      <c r="V11" s="27" t="str">
        <f t="shared" si="11"/>
        <v>平衡</v>
      </c>
      <c r="W11" s="59">
        <f>'M1'!B9*1</f>
        <v>70.0244</v>
      </c>
      <c r="X11" s="59">
        <f>'M1'!C9*1</f>
        <v>4.0323799999999999</v>
      </c>
      <c r="Y11" s="59">
        <f>'M1'!D9*1</f>
        <v>5.75854</v>
      </c>
      <c r="Z11" s="59">
        <f>'M1'!E9*1</f>
        <v>50</v>
      </c>
      <c r="AA11" s="59">
        <f>'M1'!F9*1</f>
        <v>63.981200000000001</v>
      </c>
      <c r="AB11" s="59">
        <f>'M1'!G9*1</f>
        <v>100</v>
      </c>
      <c r="AC11" s="59">
        <f>'M1'!H9*1</f>
        <v>84.292699999999996</v>
      </c>
      <c r="AE11" s="27" t="str">
        <f t="shared" si="12"/>
        <v>平衡</v>
      </c>
      <c r="AF11" s="59">
        <f>'M2'!B9*1</f>
        <v>71.428799999999995</v>
      </c>
      <c r="AG11" s="59">
        <f>'M2'!C9*1</f>
        <v>3.0723600000000002</v>
      </c>
      <c r="AH11" s="59">
        <f>'M2'!D9*1</f>
        <v>4.3013000000000003</v>
      </c>
      <c r="AI11" s="59">
        <f>'M2'!E9*1</f>
        <v>50</v>
      </c>
      <c r="AJ11" s="59">
        <f>'M2'!F9*1</f>
        <v>65.316199999999995</v>
      </c>
      <c r="AK11" s="59">
        <f>'M2'!G9*1</f>
        <v>100</v>
      </c>
      <c r="AL11" s="59">
        <f>'M2'!H9*1</f>
        <v>80.954800000000006</v>
      </c>
    </row>
    <row r="12" spans="2:38" s="5" customFormat="1" ht="24" customHeight="1">
      <c r="B12" s="71" t="str">
        <f>CONCATENATE(M13,"
(10 ~ 50)")</f>
        <v>活力
(10 ~ 50)</v>
      </c>
      <c r="C12" s="24">
        <f>R13</f>
        <v>8.7637900000000002</v>
      </c>
      <c r="D12" s="51">
        <f>N13</f>
        <v>5.6598999999999986</v>
      </c>
      <c r="E12" s="53">
        <f>T13</f>
        <v>5.7545000000000002</v>
      </c>
      <c r="F12" s="53">
        <f>P13</f>
        <v>-7.876199999999999</v>
      </c>
      <c r="G12" s="73" t="str">
        <f>CONCATENATE(M14,"
(50 ~ 100)")</f>
        <v>自我调节
(50 ~ 100)</v>
      </c>
      <c r="H12" s="24">
        <f>R14</f>
        <v>2.1492000000000075</v>
      </c>
      <c r="I12" s="52">
        <f>N14</f>
        <v>2.6760000000000019</v>
      </c>
      <c r="J12" s="24">
        <f>T14</f>
        <v>-4.8044999999999902</v>
      </c>
      <c r="K12" s="25">
        <f>P14</f>
        <v>-2.7330499999999995</v>
      </c>
      <c r="L12" s="4"/>
      <c r="M12" s="27" t="str">
        <f>lang!B19</f>
        <v>自信</v>
      </c>
      <c r="N12" s="59">
        <f t="shared" si="4"/>
        <v>4.5683999999999969</v>
      </c>
      <c r="O12" s="59">
        <f t="shared" si="5"/>
        <v>-1.18614</v>
      </c>
      <c r="P12" s="59">
        <f t="shared" si="6"/>
        <v>-1.76444</v>
      </c>
      <c r="Q12" s="59">
        <f t="shared" si="7"/>
        <v>0</v>
      </c>
      <c r="R12" s="59">
        <f t="shared" si="8"/>
        <v>0.83619999999999095</v>
      </c>
      <c r="S12" s="59">
        <f t="shared" si="9"/>
        <v>0</v>
      </c>
      <c r="T12" s="59">
        <f t="shared" si="10"/>
        <v>-3.2027999999999963</v>
      </c>
      <c r="U12" s="15"/>
      <c r="V12" s="27" t="str">
        <f t="shared" si="11"/>
        <v>自信</v>
      </c>
      <c r="W12" s="59">
        <f>'M1'!B10*1</f>
        <v>74.634900000000002</v>
      </c>
      <c r="X12" s="59">
        <f>'M1'!C10*1</f>
        <v>3.4530400000000001</v>
      </c>
      <c r="Y12" s="59">
        <f>'M1'!D10*1</f>
        <v>4.6265700000000001</v>
      </c>
      <c r="Z12" s="59">
        <f>'M1'!E10*1</f>
        <v>40</v>
      </c>
      <c r="AA12" s="59">
        <f>'M1'!F10*1</f>
        <v>72.952200000000005</v>
      </c>
      <c r="AB12" s="59">
        <f>'M1'!G10*1</f>
        <v>100</v>
      </c>
      <c r="AC12" s="59">
        <f>'M1'!H10*1</f>
        <v>84.4345</v>
      </c>
      <c r="AE12" s="27" t="str">
        <f t="shared" si="12"/>
        <v>自信</v>
      </c>
      <c r="AF12" s="59">
        <f>'M2'!B10*1</f>
        <v>79.203299999999999</v>
      </c>
      <c r="AG12" s="59">
        <f>'M2'!C10*1</f>
        <v>2.2669000000000001</v>
      </c>
      <c r="AH12" s="59">
        <f>'M2'!D10*1</f>
        <v>2.8621300000000001</v>
      </c>
      <c r="AI12" s="59">
        <f>'M2'!E10*1</f>
        <v>40</v>
      </c>
      <c r="AJ12" s="59">
        <f>'M2'!F10*1</f>
        <v>73.788399999999996</v>
      </c>
      <c r="AK12" s="59">
        <f>'M2'!G10*1</f>
        <v>100</v>
      </c>
      <c r="AL12" s="59">
        <f>'M2'!H10*1</f>
        <v>81.231700000000004</v>
      </c>
    </row>
    <row r="13" spans="2:38" ht="25.5" customHeight="1" thickBot="1">
      <c r="B13" s="72" t="str">
        <f>CONCATENATE(M15,"
(10 ~ 25)")</f>
        <v>抑郁
(10 ~ 25)</v>
      </c>
      <c r="C13" s="54">
        <f>R15</f>
        <v>0.7085000000000008</v>
      </c>
      <c r="D13" s="55">
        <f>N15</f>
        <v>0.1402000000000001</v>
      </c>
      <c r="E13" s="56">
        <f>T15</f>
        <v>6.3487000000000009</v>
      </c>
      <c r="F13" s="56">
        <f>P15</f>
        <v>5.0541</v>
      </c>
      <c r="G13" s="74" t="str">
        <f>CONCATENATE(M16,"
(10 ~ 50)")</f>
        <v>神经质
(10 ~ 50)</v>
      </c>
      <c r="H13" s="54">
        <f>R16</f>
        <v>0.95104999999999995</v>
      </c>
      <c r="I13" s="55">
        <f>N16</f>
        <v>9.3011000000000017</v>
      </c>
      <c r="J13" s="56">
        <f>T16</f>
        <v>13.150599999999997</v>
      </c>
      <c r="K13" s="57">
        <f>P16</f>
        <v>-9.9339999999999975</v>
      </c>
      <c r="M13" s="27" t="str">
        <f>lang!B20</f>
        <v>活力</v>
      </c>
      <c r="N13" s="59">
        <f t="shared" si="4"/>
        <v>5.6598999999999986</v>
      </c>
      <c r="O13" s="59">
        <f t="shared" si="5"/>
        <v>-0.31667000000000023</v>
      </c>
      <c r="P13" s="59">
        <f t="shared" si="6"/>
        <v>-7.876199999999999</v>
      </c>
      <c r="Q13" s="59">
        <f t="shared" si="7"/>
        <v>0</v>
      </c>
      <c r="R13" s="59">
        <f t="shared" si="8"/>
        <v>8.7637900000000002</v>
      </c>
      <c r="S13" s="59">
        <f t="shared" si="9"/>
        <v>0</v>
      </c>
      <c r="T13" s="59">
        <f t="shared" si="10"/>
        <v>5.7545000000000002</v>
      </c>
      <c r="U13" s="14"/>
      <c r="V13" s="27" t="str">
        <f t="shared" si="11"/>
        <v>活力</v>
      </c>
      <c r="W13" s="59">
        <f>'M1'!B11*1</f>
        <v>15.0695</v>
      </c>
      <c r="X13" s="59">
        <f>'M1'!C11*1</f>
        <v>3.5039600000000002</v>
      </c>
      <c r="Y13" s="59">
        <f>'M1'!D11*1</f>
        <v>23.251899999999999</v>
      </c>
      <c r="Z13" s="59">
        <f>'M1'!E11*1</f>
        <v>10</v>
      </c>
      <c r="AA13" s="59">
        <f>'M1'!F11*1</f>
        <v>6.8026099999999996</v>
      </c>
      <c r="AB13" s="59">
        <f>'M1'!G11*1</f>
        <v>50</v>
      </c>
      <c r="AC13" s="59">
        <f>'M1'!H11*1</f>
        <v>20.513500000000001</v>
      </c>
      <c r="AE13" s="27" t="str">
        <f t="shared" si="12"/>
        <v>活力</v>
      </c>
      <c r="AF13" s="59">
        <f>'M2'!B11*1</f>
        <v>20.729399999999998</v>
      </c>
      <c r="AG13" s="59">
        <f>'M2'!C11*1</f>
        <v>3.18729</v>
      </c>
      <c r="AH13" s="59">
        <f>'M2'!D11*1</f>
        <v>15.3757</v>
      </c>
      <c r="AI13" s="59">
        <f>'M2'!E11*1</f>
        <v>10</v>
      </c>
      <c r="AJ13" s="59">
        <f>'M2'!F11*1</f>
        <v>15.5664</v>
      </c>
      <c r="AK13" s="59">
        <f>'M2'!G11*1</f>
        <v>50</v>
      </c>
      <c r="AL13" s="59">
        <f>'M2'!H11*1</f>
        <v>26.268000000000001</v>
      </c>
    </row>
    <row r="14" spans="2:38" ht="19.5" customHeight="1" thickBot="1">
      <c r="B14" s="147" t="str">
        <f>lang!B3</f>
        <v>参数表</v>
      </c>
      <c r="C14" s="148"/>
      <c r="D14" s="148"/>
      <c r="E14" s="148"/>
      <c r="F14" s="149"/>
      <c r="G14" s="144" t="str">
        <f>lang!B4</f>
        <v>情感状态分布图</v>
      </c>
      <c r="H14" s="145"/>
      <c r="I14" s="145"/>
      <c r="J14" s="145"/>
      <c r="K14" s="146"/>
      <c r="M14" s="27" t="str">
        <f>lang!B21</f>
        <v>自我调节</v>
      </c>
      <c r="N14" s="59">
        <f t="shared" si="4"/>
        <v>2.6760000000000019</v>
      </c>
      <c r="O14" s="59">
        <f t="shared" si="5"/>
        <v>-1.9257500000000003</v>
      </c>
      <c r="P14" s="59">
        <f t="shared" si="6"/>
        <v>-2.7330499999999995</v>
      </c>
      <c r="Q14" s="59">
        <f t="shared" si="7"/>
        <v>0</v>
      </c>
      <c r="R14" s="59">
        <f t="shared" si="8"/>
        <v>2.1492000000000075</v>
      </c>
      <c r="S14" s="59">
        <f t="shared" si="9"/>
        <v>0</v>
      </c>
      <c r="T14" s="59">
        <f t="shared" si="10"/>
        <v>-4.8044999999999902</v>
      </c>
      <c r="U14" s="14"/>
      <c r="V14" s="27" t="str">
        <f t="shared" si="11"/>
        <v>自我调节</v>
      </c>
      <c r="W14" s="59">
        <f>'M1'!B12*1</f>
        <v>72.482100000000003</v>
      </c>
      <c r="X14" s="59">
        <f>'M1'!C12*1</f>
        <v>3.4767100000000002</v>
      </c>
      <c r="Y14" s="59">
        <f>'M1'!D12*1</f>
        <v>4.7966499999999996</v>
      </c>
      <c r="Z14" s="59">
        <f>'M1'!E12*1</f>
        <v>50</v>
      </c>
      <c r="AA14" s="59">
        <f>'M1'!F12*1</f>
        <v>68.931299999999993</v>
      </c>
      <c r="AB14" s="59">
        <f>'M1'!G12*1</f>
        <v>100</v>
      </c>
      <c r="AC14" s="59">
        <f>'M1'!H12*1</f>
        <v>83.770399999999995</v>
      </c>
      <c r="AE14" s="27" t="str">
        <f t="shared" si="12"/>
        <v>自我调节</v>
      </c>
      <c r="AF14" s="59">
        <f>'M2'!B12*1</f>
        <v>75.158100000000005</v>
      </c>
      <c r="AG14" s="59">
        <f>'M2'!C12*1</f>
        <v>1.5509599999999999</v>
      </c>
      <c r="AH14" s="59">
        <f>'M2'!D12*1</f>
        <v>2.0636000000000001</v>
      </c>
      <c r="AI14" s="59">
        <f>'M2'!E12*1</f>
        <v>50</v>
      </c>
      <c r="AJ14" s="59">
        <f>'M2'!F12*1</f>
        <v>71.080500000000001</v>
      </c>
      <c r="AK14" s="59">
        <f>'M2'!G12*1</f>
        <v>100</v>
      </c>
      <c r="AL14" s="59">
        <f>'M2'!H12*1</f>
        <v>78.965900000000005</v>
      </c>
    </row>
    <row r="15" spans="2:38" ht="21" customHeight="1">
      <c r="B15" s="38"/>
      <c r="C15" s="28"/>
      <c r="D15" s="28"/>
      <c r="E15" s="28"/>
      <c r="F15" s="28"/>
      <c r="G15" s="125"/>
      <c r="H15" s="126"/>
      <c r="I15" s="126"/>
      <c r="J15" s="126"/>
      <c r="K15" s="127"/>
      <c r="M15" s="27" t="str">
        <f>lang!B22</f>
        <v>抑郁</v>
      </c>
      <c r="N15" s="59">
        <f t="shared" si="4"/>
        <v>0.1402000000000001</v>
      </c>
      <c r="O15" s="59">
        <f t="shared" si="5"/>
        <v>0.93010999999999999</v>
      </c>
      <c r="P15" s="59">
        <f t="shared" si="6"/>
        <v>5.0541</v>
      </c>
      <c r="Q15" s="59">
        <f t="shared" si="7"/>
        <v>0</v>
      </c>
      <c r="R15" s="59">
        <f t="shared" si="8"/>
        <v>0.7085000000000008</v>
      </c>
      <c r="S15" s="59">
        <f t="shared" si="9"/>
        <v>0</v>
      </c>
      <c r="T15" s="59">
        <f t="shared" si="10"/>
        <v>6.3487000000000009</v>
      </c>
      <c r="U15" s="14"/>
      <c r="V15" s="27" t="str">
        <f t="shared" si="11"/>
        <v>抑郁</v>
      </c>
      <c r="W15" s="59">
        <f>'M1'!B13*1</f>
        <v>17.883199999999999</v>
      </c>
      <c r="X15" s="59">
        <f>'M1'!C13*1</f>
        <v>2.4476599999999999</v>
      </c>
      <c r="Y15" s="59">
        <f>'M1'!D13*1</f>
        <v>13.6869</v>
      </c>
      <c r="Z15" s="59">
        <f>'M1'!E13*1</f>
        <v>10</v>
      </c>
      <c r="AA15" s="59">
        <f>'M1'!F13*1</f>
        <v>13.641999999999999</v>
      </c>
      <c r="AB15" s="59">
        <f>'M1'!G13*1</f>
        <v>25</v>
      </c>
      <c r="AC15" s="59">
        <f>'M1'!H13*1</f>
        <v>24.1919</v>
      </c>
      <c r="AE15" s="27" t="str">
        <f t="shared" si="12"/>
        <v>抑郁</v>
      </c>
      <c r="AF15" s="59">
        <f>'M2'!B13*1</f>
        <v>18.023399999999999</v>
      </c>
      <c r="AG15" s="59">
        <f>'M2'!C13*1</f>
        <v>3.3777699999999999</v>
      </c>
      <c r="AH15" s="59">
        <f>'M2'!D13*1</f>
        <v>18.741</v>
      </c>
      <c r="AI15" s="59">
        <f>'M2'!E13*1</f>
        <v>10</v>
      </c>
      <c r="AJ15" s="59">
        <f>'M2'!F13*1</f>
        <v>14.3505</v>
      </c>
      <c r="AK15" s="59">
        <f>'M2'!G13*1</f>
        <v>25</v>
      </c>
      <c r="AL15" s="59">
        <f>'M2'!H13*1</f>
        <v>30.540600000000001</v>
      </c>
    </row>
    <row r="16" spans="2:38" ht="21" customHeight="1">
      <c r="B16" s="29"/>
      <c r="C16" s="32"/>
      <c r="D16" s="32"/>
      <c r="E16" s="32"/>
      <c r="F16" s="32"/>
      <c r="G16" s="128"/>
      <c r="H16" s="129"/>
      <c r="I16" s="129"/>
      <c r="J16" s="129"/>
      <c r="K16" s="130"/>
      <c r="M16" s="27" t="str">
        <f>lang!B23</f>
        <v>神经质</v>
      </c>
      <c r="N16" s="59">
        <f t="shared" si="4"/>
        <v>9.3011000000000017</v>
      </c>
      <c r="O16" s="59">
        <f t="shared" si="5"/>
        <v>0.53059999999999974</v>
      </c>
      <c r="P16" s="59">
        <f t="shared" si="6"/>
        <v>-9.9339999999999975</v>
      </c>
      <c r="Q16" s="59">
        <f t="shared" si="7"/>
        <v>0</v>
      </c>
      <c r="R16" s="59">
        <f t="shared" si="8"/>
        <v>0.95104999999999995</v>
      </c>
      <c r="S16" s="59">
        <f t="shared" si="9"/>
        <v>0</v>
      </c>
      <c r="T16" s="59">
        <f t="shared" si="10"/>
        <v>13.150599999999997</v>
      </c>
      <c r="U16" s="15"/>
      <c r="V16" s="27" t="str">
        <f t="shared" si="11"/>
        <v>神经质</v>
      </c>
      <c r="W16" s="59">
        <f>'M1'!B14*1</f>
        <v>24.476600000000001</v>
      </c>
      <c r="X16" s="59">
        <f>'M1'!C14*1</f>
        <v>10.2264</v>
      </c>
      <c r="Y16" s="59">
        <f>'M1'!D14*1</f>
        <v>41.780299999999997</v>
      </c>
      <c r="Z16" s="59">
        <f>'M1'!E14*1</f>
        <v>10</v>
      </c>
      <c r="AA16" s="59">
        <f>'M1'!F14*1</f>
        <v>1.7813300000000001</v>
      </c>
      <c r="AB16" s="59">
        <f>'M1'!G14*1</f>
        <v>50</v>
      </c>
      <c r="AC16" s="59">
        <f>'M1'!H14*1</f>
        <v>32.743400000000001</v>
      </c>
      <c r="AE16" s="27" t="str">
        <f t="shared" si="12"/>
        <v>神经质</v>
      </c>
      <c r="AF16" s="59">
        <f>'M2'!B14*1</f>
        <v>33.777700000000003</v>
      </c>
      <c r="AG16" s="59">
        <f>'M2'!C14*1</f>
        <v>10.757</v>
      </c>
      <c r="AH16" s="59">
        <f>'M2'!D14*1</f>
        <v>31.846299999999999</v>
      </c>
      <c r="AI16" s="59">
        <f>'M2'!E14*1</f>
        <v>10</v>
      </c>
      <c r="AJ16" s="59">
        <f>'M2'!F14*1</f>
        <v>2.73238</v>
      </c>
      <c r="AK16" s="59">
        <f>'M2'!G14*1</f>
        <v>50</v>
      </c>
      <c r="AL16" s="59">
        <f>'M2'!H14*1</f>
        <v>45.893999999999998</v>
      </c>
    </row>
    <row r="17" spans="2:38" ht="21" customHeight="1">
      <c r="B17" s="29"/>
      <c r="C17" s="32"/>
      <c r="D17" s="32"/>
      <c r="E17" s="32"/>
      <c r="F17" s="32"/>
      <c r="G17" s="128"/>
      <c r="H17" s="129"/>
      <c r="I17" s="129"/>
      <c r="J17" s="129"/>
      <c r="K17" s="130"/>
      <c r="M17" s="21" t="str">
        <f>lang!B7</f>
        <v>Positive</v>
      </c>
      <c r="N17" s="65">
        <f>SUM(N11:N14)/4</f>
        <v>3.5771749999999982</v>
      </c>
      <c r="O17" s="22">
        <f>N17/(N17+N18+N19)</f>
        <v>0.71444549299220583</v>
      </c>
      <c r="P17" s="65">
        <f>SUM(P11:P14)/4</f>
        <v>-3.4577324999999997</v>
      </c>
      <c r="Q17" s="22">
        <f>P17/(P17+P18+P19)</f>
        <v>0.33141184893811576</v>
      </c>
      <c r="R17" s="14"/>
      <c r="S17" s="14"/>
      <c r="T17" s="14"/>
      <c r="U17" s="14"/>
      <c r="V17" s="21" t="str">
        <f>M17</f>
        <v>Positive</v>
      </c>
      <c r="W17" s="65">
        <f>SUM(W11:W14)/4</f>
        <v>58.052725000000002</v>
      </c>
      <c r="X17" s="22">
        <f>W17/(W17+W18+W19)</f>
        <v>0.51024697914787487</v>
      </c>
      <c r="Y17" s="65">
        <f>SUM(Y11:Y14)/4</f>
        <v>9.6084150000000008</v>
      </c>
      <c r="Z17" s="22">
        <f>Y17/(Y17+Y18+Y19)</f>
        <v>0.17599903944723158</v>
      </c>
      <c r="AA17" s="14"/>
      <c r="AB17" s="14"/>
      <c r="AC17" s="14"/>
      <c r="AE17" s="21" t="str">
        <f>V17</f>
        <v>Positive</v>
      </c>
      <c r="AF17" s="65">
        <f>SUM(AF11:AF14)/4</f>
        <v>61.629899999999992</v>
      </c>
      <c r="AG17" s="22">
        <f>AF17/(AF17+AF18+AF19)</f>
        <v>0.51885449403817285</v>
      </c>
      <c r="AH17" s="65">
        <f>SUM(AH11:AH14)/4</f>
        <v>6.1506825000000003</v>
      </c>
      <c r="AI17" s="22">
        <f>AH17/(AH17+AH18+AH19)</f>
        <v>0.13928104985878129</v>
      </c>
      <c r="AJ17" s="14"/>
      <c r="AK17" s="14"/>
      <c r="AL17" s="14"/>
    </row>
    <row r="18" spans="2:38" ht="21" customHeight="1">
      <c r="B18" s="29"/>
      <c r="C18" s="32"/>
      <c r="D18" s="32"/>
      <c r="E18" s="32"/>
      <c r="F18" s="32"/>
      <c r="G18" s="128"/>
      <c r="H18" s="129"/>
      <c r="I18" s="129"/>
      <c r="J18" s="129"/>
      <c r="K18" s="130"/>
      <c r="M18" s="21" t="str">
        <f>lang!B8</f>
        <v>Negative</v>
      </c>
      <c r="N18" s="18">
        <f>SUM(N7:N10)/4</f>
        <v>-3.2909000000000015</v>
      </c>
      <c r="O18" s="22">
        <f>N18/(N17+N18+N19)</f>
        <v>-0.6572696814911354</v>
      </c>
      <c r="P18" s="18">
        <f>SUM(P7:P10)/4</f>
        <v>-4.5356574999999992</v>
      </c>
      <c r="Q18" s="22">
        <f>P18/(P17+P18+P19)</f>
        <v>0.43472727812953477</v>
      </c>
      <c r="R18" s="14"/>
      <c r="S18" s="14"/>
      <c r="T18" s="14"/>
      <c r="U18" s="14"/>
      <c r="V18" s="21" t="str">
        <f t="shared" ref="V18:V19" si="13">M18</f>
        <v>Negative</v>
      </c>
      <c r="W18" s="18">
        <f>SUM(W7:W10)/4</f>
        <v>34.541150000000002</v>
      </c>
      <c r="X18" s="22">
        <f>W18/(W17+W18+W19)</f>
        <v>0.30359500684582191</v>
      </c>
      <c r="Y18" s="18">
        <f>SUM(Y7:Y10)/4</f>
        <v>17.251549999999998</v>
      </c>
      <c r="Z18" s="22">
        <f>Y18/(Y17+Y18+Y19)</f>
        <v>0.3159996970338903</v>
      </c>
      <c r="AA18" s="14"/>
      <c r="AB18" s="14"/>
      <c r="AC18" s="14"/>
      <c r="AE18" s="21" t="str">
        <f t="shared" ref="AE18:AE19" si="14">V18</f>
        <v>Negative</v>
      </c>
      <c r="AF18" s="18">
        <f>SUM(AF7:AF10)/4</f>
        <v>31.250250000000001</v>
      </c>
      <c r="AG18" s="22">
        <f>AF18/(AF17+AF18+AF19)</f>
        <v>0.26309198379871479</v>
      </c>
      <c r="AH18" s="18">
        <f>SUM(AH7:AH10)/4</f>
        <v>12.715892500000002</v>
      </c>
      <c r="AI18" s="22">
        <f>AH18/(AH17+AH18+AH19)</f>
        <v>0.28794899708957555</v>
      </c>
      <c r="AJ18" s="14"/>
      <c r="AK18" s="14"/>
      <c r="AL18" s="14"/>
    </row>
    <row r="19" spans="2:38" ht="21" customHeight="1">
      <c r="B19" s="29"/>
      <c r="C19" s="32"/>
      <c r="D19" s="32"/>
      <c r="E19" s="32"/>
      <c r="F19" s="32"/>
      <c r="G19" s="128"/>
      <c r="H19" s="129"/>
      <c r="I19" s="129"/>
      <c r="J19" s="129"/>
      <c r="K19" s="130"/>
      <c r="M19" s="21" t="str">
        <f>lang!B9</f>
        <v>Physiological</v>
      </c>
      <c r="N19" s="18">
        <f>(N15+N16)/2</f>
        <v>4.7206500000000009</v>
      </c>
      <c r="O19" s="22">
        <f>N19/(N17+N18+N19)</f>
        <v>0.94282418849892968</v>
      </c>
      <c r="P19" s="18">
        <f>(P15+P16)/2</f>
        <v>-2.4399499999999987</v>
      </c>
      <c r="Q19" s="22">
        <f>P19/(P17+P18+P19)</f>
        <v>0.2338608729323495</v>
      </c>
      <c r="R19" s="14"/>
      <c r="S19" s="14"/>
      <c r="T19" s="14"/>
      <c r="U19" s="21"/>
      <c r="V19" s="21" t="str">
        <f t="shared" si="13"/>
        <v>Physiological</v>
      </c>
      <c r="W19" s="18">
        <f>(W15+W16)/2</f>
        <v>21.1799</v>
      </c>
      <c r="X19" s="22">
        <f>W19/(W17+W18+W19)</f>
        <v>0.1861580140063033</v>
      </c>
      <c r="Y19" s="18">
        <f>(Y15+Y16)/2</f>
        <v>27.733599999999999</v>
      </c>
      <c r="Z19" s="22">
        <f>Y19/(Y17+Y18+Y19)</f>
        <v>0.50800126351887809</v>
      </c>
      <c r="AA19" s="14"/>
      <c r="AB19" s="14"/>
      <c r="AC19" s="14"/>
      <c r="AE19" s="21" t="str">
        <f t="shared" si="14"/>
        <v>Physiological</v>
      </c>
      <c r="AF19" s="18">
        <f>(AF15+AF16)/2</f>
        <v>25.900550000000003</v>
      </c>
      <c r="AG19" s="22">
        <f>AF19/(AF17+AF18+AF19)</f>
        <v>0.21805352216311238</v>
      </c>
      <c r="AH19" s="18">
        <f>(AH15+AH16)/2</f>
        <v>25.29365</v>
      </c>
      <c r="AI19" s="22">
        <f>AH19/(AH17+AH18+AH19)</f>
        <v>0.57276995305164313</v>
      </c>
      <c r="AJ19" s="14"/>
      <c r="AK19" s="14"/>
      <c r="AL19" s="14"/>
    </row>
    <row r="20" spans="2:38" ht="21" customHeight="1">
      <c r="B20" s="29"/>
      <c r="C20" s="32"/>
      <c r="D20" s="32"/>
      <c r="E20" s="32"/>
      <c r="F20" s="32"/>
      <c r="G20" s="128"/>
      <c r="H20" s="129"/>
      <c r="I20" s="129"/>
      <c r="J20" s="129"/>
      <c r="K20" s="130"/>
      <c r="M20" s="21"/>
      <c r="N20" s="18"/>
      <c r="O20" s="22"/>
      <c r="P20" s="22"/>
      <c r="Q20"/>
      <c r="R20" s="14"/>
      <c r="S20" s="14"/>
      <c r="T20" s="14"/>
      <c r="U20" s="21"/>
    </row>
    <row r="21" spans="2:38" ht="21" customHeight="1">
      <c r="B21" s="29"/>
      <c r="C21" s="32"/>
      <c r="D21" s="32"/>
      <c r="E21" s="32"/>
      <c r="F21" s="32"/>
      <c r="G21" s="128"/>
      <c r="H21" s="129"/>
      <c r="I21" s="129"/>
      <c r="J21" s="129"/>
      <c r="K21" s="130"/>
      <c r="M21" s="15">
        <f>FH_info!N2</f>
        <v>0</v>
      </c>
      <c r="N21" s="15"/>
      <c r="O21" s="15"/>
      <c r="P21" s="15"/>
      <c r="Q21" s="15"/>
      <c r="R21" s="15"/>
      <c r="S21" s="15"/>
      <c r="T21" s="15"/>
      <c r="U21" s="21"/>
    </row>
    <row r="22" spans="2:38" ht="21.75" customHeight="1" thickBot="1">
      <c r="B22" s="30"/>
      <c r="C22" s="31"/>
      <c r="D22" s="31"/>
      <c r="E22" s="31"/>
      <c r="F22" s="31"/>
      <c r="G22" s="131"/>
      <c r="H22" s="132"/>
      <c r="I22" s="132"/>
      <c r="J22" s="132"/>
      <c r="K22" s="133"/>
      <c r="M22" s="16"/>
      <c r="O22" s="17"/>
      <c r="Q22"/>
      <c r="T22"/>
      <c r="U22" s="19"/>
    </row>
    <row r="23" spans="2:38" ht="17.25" customHeight="1" thickBot="1">
      <c r="B23" s="193" t="str">
        <f>lang!B5</f>
        <v>频率分布直方图</v>
      </c>
      <c r="C23" s="194"/>
      <c r="D23" s="194"/>
      <c r="E23" s="194"/>
      <c r="F23" s="195"/>
      <c r="G23" s="122" t="str">
        <f>lang!B6</f>
        <v xml:space="preserve">心理变化 - 心理基础代谢 </v>
      </c>
      <c r="H23" s="123"/>
      <c r="I23" s="123"/>
      <c r="J23" s="123"/>
      <c r="K23" s="124"/>
      <c r="M23" s="16"/>
      <c r="O23" s="17"/>
      <c r="Q23"/>
      <c r="T23"/>
      <c r="U23" s="19"/>
    </row>
    <row r="24" spans="2:38" ht="15" customHeight="1" thickBot="1">
      <c r="B24" s="43" t="str">
        <f>lang!B10</f>
        <v>平均频率</v>
      </c>
      <c r="C24" s="40" t="str">
        <f ca="1">CONCATENATE(ROUND('FH1'!L2,2),"/",ROUND('FH2'!L2,2))</f>
        <v>1.27/1.59</v>
      </c>
      <c r="D24" s="44" t="str">
        <f>lang!B11</f>
        <v>频率方差</v>
      </c>
      <c r="E24" s="142" t="str">
        <f ca="1">CONCATENATE(ROUND('FH1'!L3,2),"/",ROUND('FH2'!L3,2))</f>
        <v>0.61/0.57</v>
      </c>
      <c r="F24" s="143"/>
      <c r="G24" s="134" t="str">
        <f>lang!B12</f>
        <v>生理变化率</v>
      </c>
      <c r="H24" s="135"/>
      <c r="I24" s="62" t="str">
        <f ca="1">CONCATENATE(info!M7,"-",info!M8)</f>
        <v>35.6-63.6</v>
      </c>
      <c r="J24" s="42" t="str">
        <f>lang!B13</f>
        <v>千卡l/分钟</v>
      </c>
      <c r="K24" s="41" t="str">
        <f ca="1">CONCATENATE(info!M5,"-",info!M6)</f>
        <v>1.7-3.6</v>
      </c>
      <c r="M24" s="16"/>
      <c r="O24" s="17"/>
      <c r="P24" s="17"/>
      <c r="Q24"/>
      <c r="T24"/>
      <c r="U24" s="19"/>
    </row>
    <row r="25" spans="2:38" ht="156.75" customHeight="1" thickBot="1">
      <c r="B25" s="115"/>
      <c r="C25" s="116"/>
      <c r="D25" s="116"/>
      <c r="E25" s="117"/>
      <c r="F25" s="39"/>
      <c r="G25" s="118"/>
      <c r="H25" s="119"/>
      <c r="I25" s="119"/>
      <c r="J25" s="120"/>
      <c r="K25" s="121"/>
      <c r="M25"/>
      <c r="O25" s="17"/>
      <c r="Q25"/>
      <c r="T25"/>
      <c r="U25" s="19"/>
    </row>
    <row r="26" spans="2:38" ht="15" customHeight="1" thickBot="1">
      <c r="B26" s="162" t="str">
        <f>CONCATENATE( lang!B31," ",ROUND(100-FH_info!L2,0),"%]")</f>
        <v>Result [Quality 100%]</v>
      </c>
      <c r="C26" s="163"/>
      <c r="D26" s="163"/>
      <c r="E26" s="163"/>
      <c r="F26" s="163"/>
      <c r="G26" s="163"/>
      <c r="H26" s="163"/>
      <c r="I26" s="163"/>
      <c r="J26" s="163"/>
      <c r="K26" s="164"/>
      <c r="M26"/>
      <c r="Q26"/>
      <c r="T26"/>
    </row>
    <row r="27" spans="2:38" ht="15.75" thickBot="1">
      <c r="B27" s="178" t="str">
        <f>lang!B32</f>
        <v>外向性</v>
      </c>
      <c r="C27" s="179"/>
      <c r="D27" s="180"/>
      <c r="E27" s="162">
        <f>dM!B18*100</f>
        <v>-9.1174000000000035</v>
      </c>
      <c r="F27" s="164"/>
      <c r="G27" s="178" t="str">
        <f>lang!B33</f>
        <v>稳定性</v>
      </c>
      <c r="H27" s="179"/>
      <c r="I27" s="180"/>
      <c r="J27" s="181">
        <f>dM!B19*100</f>
        <v>14.3513</v>
      </c>
      <c r="K27" s="182"/>
    </row>
    <row r="28" spans="2:38" ht="24.75" customHeight="1">
      <c r="B28" s="165" t="str">
        <f>lang!B34</f>
        <v xml:space="preserve">心理生理状态分析结果： </v>
      </c>
      <c r="C28" s="166"/>
      <c r="D28" s="166"/>
      <c r="E28" s="166"/>
      <c r="F28" s="166"/>
      <c r="G28" s="166"/>
      <c r="H28" s="166"/>
      <c r="I28" s="166"/>
      <c r="J28" s="166"/>
      <c r="K28" s="167"/>
      <c r="M28"/>
      <c r="Q28"/>
      <c r="T28"/>
      <c r="W28" s="33"/>
      <c r="X28" s="33"/>
    </row>
    <row r="29" spans="2:38" ht="15.75" customHeight="1">
      <c r="B29" s="34"/>
      <c r="C29" s="64" t="str">
        <f>IF(AND((M!B$15 &gt; 0),(M!B$16 &gt; 0)),"⊠","⊡")</f>
        <v>⊠</v>
      </c>
      <c r="D29" s="35" t="str">
        <f>lang!B35</f>
        <v xml:space="preserve"> 正常</v>
      </c>
      <c r="E29" s="35"/>
      <c r="F29" s="35"/>
      <c r="G29" s="35"/>
      <c r="H29" s="35"/>
      <c r="I29" s="35"/>
      <c r="J29" s="35"/>
      <c r="K29" s="36"/>
      <c r="M29"/>
      <c r="Q29"/>
      <c r="T29"/>
      <c r="W29" s="33"/>
      <c r="X29" s="33"/>
    </row>
    <row r="30" spans="2:38" ht="15.75" customHeight="1" thickBot="1">
      <c r="B30" s="37"/>
      <c r="C30" s="64" t="str">
        <f>IF(AND((M!B$15 &gt; 0),(M!B$16 &gt; 0)),"⊡","⊠")</f>
        <v>⊡</v>
      </c>
      <c r="D30" s="35" t="str">
        <f>lang!B36</f>
        <v>找专业人员咨询</v>
      </c>
      <c r="E30" s="35"/>
      <c r="F30" s="35"/>
      <c r="G30" s="35"/>
      <c r="H30" s="35"/>
      <c r="I30" s="35"/>
      <c r="J30" s="35"/>
      <c r="K30" s="36"/>
      <c r="M30"/>
      <c r="Q30"/>
      <c r="T30"/>
      <c r="W30" s="33"/>
      <c r="X30" s="33"/>
    </row>
    <row r="31" spans="2:38" ht="21" customHeight="1">
      <c r="B31" s="183" t="str">
        <f>lang!B37</f>
        <v>意见</v>
      </c>
      <c r="C31" s="184"/>
      <c r="D31" s="185"/>
      <c r="E31" s="185"/>
      <c r="F31" s="185"/>
      <c r="G31" s="185"/>
      <c r="H31" s="185"/>
      <c r="I31" s="185"/>
      <c r="J31" s="185"/>
      <c r="K31" s="186"/>
      <c r="M31"/>
      <c r="Q31"/>
      <c r="T31"/>
      <c r="W31" s="33"/>
      <c r="X31" s="33"/>
    </row>
    <row r="32" spans="2:38" ht="18" customHeight="1">
      <c r="B32" s="156"/>
      <c r="C32" s="157"/>
      <c r="D32" s="157"/>
      <c r="E32" s="157"/>
      <c r="F32" s="157"/>
      <c r="G32" s="157"/>
      <c r="H32" s="157"/>
      <c r="I32" s="157"/>
      <c r="J32" s="157"/>
      <c r="K32" s="158"/>
      <c r="M32"/>
      <c r="Q32"/>
      <c r="T32"/>
      <c r="W32" s="33"/>
      <c r="X32" s="33"/>
    </row>
    <row r="33" spans="2:24" ht="20.25" customHeight="1">
      <c r="B33" s="156"/>
      <c r="C33" s="157"/>
      <c r="D33" s="157"/>
      <c r="E33" s="157"/>
      <c r="F33" s="157"/>
      <c r="G33" s="157"/>
      <c r="H33" s="157"/>
      <c r="I33" s="157"/>
      <c r="J33" s="157"/>
      <c r="K33" s="158"/>
      <c r="M33"/>
      <c r="Q33"/>
      <c r="T33"/>
      <c r="W33" s="33"/>
      <c r="X33" s="33"/>
    </row>
    <row r="34" spans="2:24" ht="35.25" customHeight="1" thickBot="1">
      <c r="B34" s="159"/>
      <c r="C34" s="160"/>
      <c r="D34" s="160"/>
      <c r="E34" s="160"/>
      <c r="F34" s="160"/>
      <c r="G34" s="160"/>
      <c r="H34" s="160"/>
      <c r="I34" s="160"/>
      <c r="J34" s="160"/>
      <c r="K34" s="161"/>
      <c r="M34"/>
      <c r="Q34"/>
      <c r="T34"/>
      <c r="W34" s="33"/>
      <c r="X34" s="33"/>
    </row>
    <row r="35" spans="2:24" ht="24" customHeight="1">
      <c r="M35" s="21"/>
      <c r="N35" s="18"/>
      <c r="O35" s="22"/>
      <c r="P35" s="18"/>
      <c r="Q35"/>
      <c r="T35"/>
      <c r="W35" s="33"/>
      <c r="X35" s="33"/>
    </row>
  </sheetData>
  <mergeCells count="27">
    <mergeCell ref="B31:C31"/>
    <mergeCell ref="D31:K31"/>
    <mergeCell ref="B32:K34"/>
    <mergeCell ref="B26:K26"/>
    <mergeCell ref="B27:D27"/>
    <mergeCell ref="E27:F27"/>
    <mergeCell ref="G27:I27"/>
    <mergeCell ref="J27:K27"/>
    <mergeCell ref="B28:K28"/>
    <mergeCell ref="B23:F23"/>
    <mergeCell ref="G23:K23"/>
    <mergeCell ref="E24:F24"/>
    <mergeCell ref="G24:H24"/>
    <mergeCell ref="B25:E25"/>
    <mergeCell ref="G25:K25"/>
    <mergeCell ref="G15:K22"/>
    <mergeCell ref="C1:I1"/>
    <mergeCell ref="B2:K3"/>
    <mergeCell ref="C4:F4"/>
    <mergeCell ref="H4:K4"/>
    <mergeCell ref="C5:F5"/>
    <mergeCell ref="H5:K5"/>
    <mergeCell ref="C6:F6"/>
    <mergeCell ref="H6:K6"/>
    <mergeCell ref="B7:K7"/>
    <mergeCell ref="B14:F14"/>
    <mergeCell ref="G14:K14"/>
  </mergeCells>
  <phoneticPr fontId="29" type="noConversion"/>
  <pageMargins left="0.59055118110236227" right="0.15748031496062992" top="0.23622047244094491" bottom="0.23622047244094491" header="0.19685039370078741" footer="0.15748031496062992"/>
  <pageSetup paperSize="9" orientation="portrait" r:id="rId1"/>
  <ignoredErrors>
    <ignoredError sqref="D9:E9 I9:J9 D10:E10 I10:J10 D11:E11 I11:J11 D12:E12 I12:J12 D13:E13 I13:J13 O17:P17 X17:Y17 AG17:AH17 O18:P18 X18:Y18 AG18:AH18 O19:P19 X19:Y19 AG19:AH19" 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Y2"/>
  <sheetViews>
    <sheetView topLeftCell="H1" workbookViewId="0">
      <selection activeCell="V2" sqref="V2"/>
    </sheetView>
  </sheetViews>
  <sheetFormatPr defaultRowHeight="13.5"/>
  <cols>
    <col min="1" max="1" width="15.75" customWidth="1"/>
    <col min="2" max="2" width="12.125" customWidth="1"/>
  </cols>
  <sheetData>
    <row r="1" spans="2:25">
      <c r="B1">
        <f>1</f>
        <v>1</v>
      </c>
      <c r="C1">
        <f>1+B1</f>
        <v>2</v>
      </c>
      <c r="D1">
        <f t="shared" ref="D1:X1" si="0">1+C1</f>
        <v>3</v>
      </c>
      <c r="E1">
        <f t="shared" si="0"/>
        <v>4</v>
      </c>
      <c r="F1">
        <f t="shared" si="0"/>
        <v>5</v>
      </c>
      <c r="G1">
        <f t="shared" si="0"/>
        <v>6</v>
      </c>
      <c r="H1">
        <f t="shared" si="0"/>
        <v>7</v>
      </c>
      <c r="I1">
        <f t="shared" si="0"/>
        <v>8</v>
      </c>
      <c r="J1">
        <f t="shared" si="0"/>
        <v>9</v>
      </c>
      <c r="K1">
        <f t="shared" si="0"/>
        <v>10</v>
      </c>
      <c r="L1">
        <f t="shared" si="0"/>
        <v>11</v>
      </c>
      <c r="M1">
        <f t="shared" si="0"/>
        <v>12</v>
      </c>
      <c r="N1">
        <f t="shared" si="0"/>
        <v>13</v>
      </c>
      <c r="O1">
        <f t="shared" si="0"/>
        <v>14</v>
      </c>
      <c r="P1">
        <f t="shared" si="0"/>
        <v>15</v>
      </c>
      <c r="Q1">
        <f t="shared" si="0"/>
        <v>16</v>
      </c>
      <c r="R1">
        <f t="shared" si="0"/>
        <v>17</v>
      </c>
      <c r="S1">
        <f t="shared" si="0"/>
        <v>18</v>
      </c>
      <c r="T1">
        <f t="shared" si="0"/>
        <v>19</v>
      </c>
      <c r="U1">
        <f>1+T1</f>
        <v>20</v>
      </c>
      <c r="V1">
        <f t="shared" si="0"/>
        <v>21</v>
      </c>
      <c r="W1">
        <f t="shared" si="0"/>
        <v>22</v>
      </c>
      <c r="X1">
        <f t="shared" si="0"/>
        <v>23</v>
      </c>
      <c r="Y1">
        <f>1+X1</f>
        <v>24</v>
      </c>
    </row>
    <row r="2" spans="2:25">
      <c r="B2">
        <f t="array" aca="1" ref="B2" ca="1">CORREL(FT_E01,FT_PH01)</f>
        <v>-0.95333366199452441</v>
      </c>
      <c r="C2">
        <f t="array" aca="1" ref="C2" ca="1">CORREL(FT_E02,FT_PH02)</f>
        <v>-0.92791380790485822</v>
      </c>
      <c r="D2" t="e">
        <f t="array" aca="1" ref="D2" ca="1">CORREL(FT_E03,FT_PH03)</f>
        <v>#DIV/0!</v>
      </c>
      <c r="E2" t="e">
        <f t="array" aca="1" ref="E2" ca="1">CORREL(FT_E04,FT_PH04)</f>
        <v>#DIV/0!</v>
      </c>
      <c r="F2" t="e">
        <f t="array" aca="1" ref="F2" ca="1">CORREL(FT_E05,FT_PH05)</f>
        <v>#DIV/0!</v>
      </c>
      <c r="G2" t="e">
        <f t="array" aca="1" ref="G2" ca="1">CORREL(FT_E06,FT_PH06)</f>
        <v>#DIV/0!</v>
      </c>
      <c r="H2" t="e">
        <f t="array" aca="1" ref="H2" ca="1">CORREL(FT_E07,FT_PH07)</f>
        <v>#DIV/0!</v>
      </c>
      <c r="I2" t="e">
        <f t="array" aca="1" ref="I2" ca="1">CORREL(FT_E08,FT_PH08)</f>
        <v>#DIV/0!</v>
      </c>
      <c r="J2" t="e">
        <f t="array" aca="1" ref="J2" ca="1">CORREL(FT_E09,FT_PH09)</f>
        <v>#DIV/0!</v>
      </c>
      <c r="K2" t="e">
        <f t="array" aca="1" ref="K2" ca="1">CORREL(FT_E10,FT_PH10)</f>
        <v>#DIV/0!</v>
      </c>
      <c r="L2" t="e">
        <f t="array" aca="1" ref="L2" ca="1">CORREL(FT_E11,FT_PH11)</f>
        <v>#DIV/0!</v>
      </c>
      <c r="M2" t="e">
        <f t="array" aca="1" ref="M2" ca="1">CORREL(FT_E12,FT_PH12)</f>
        <v>#DIV/0!</v>
      </c>
      <c r="N2" t="e">
        <f t="array" aca="1" ref="N2" ca="1">CORREL(FT_E13,FT_PH13)</f>
        <v>#DIV/0!</v>
      </c>
      <c r="O2" t="e">
        <f t="array" aca="1" ref="O2" ca="1">CORREL(FT_E14,FT_PH14)</f>
        <v>#DIV/0!</v>
      </c>
      <c r="P2" t="e">
        <f t="array" aca="1" ref="P2" ca="1">CORREL(FT_E15,FT_PH15)</f>
        <v>#DIV/0!</v>
      </c>
      <c r="Q2" t="e">
        <f t="array" aca="1" ref="Q2" ca="1">CORREL(FT_E16,FT_PH16)</f>
        <v>#DIV/0!</v>
      </c>
      <c r="R2" t="e">
        <f t="array" aca="1" ref="R2" ca="1">CORREL(FT_E17,FT_PH17)</f>
        <v>#DIV/0!</v>
      </c>
      <c r="S2" t="e">
        <f t="array" aca="1" ref="S2" ca="1">CORREL(FT_E18,FT_PH18)</f>
        <v>#DIV/0!</v>
      </c>
      <c r="T2" t="e">
        <f t="array" aca="1" ref="T2" ca="1">CORREL(FT_E19,FT_PH19)</f>
        <v>#DIV/0!</v>
      </c>
      <c r="U2" t="e">
        <f t="array" aca="1" ref="U2" ca="1">CORREL(FT_E20,FT_PH20)</f>
        <v>#DIV/0!</v>
      </c>
      <c r="V2" t="e">
        <f t="array" aca="1" ref="V2" ca="1">CORREL(FT_E21,FT_PH21)</f>
        <v>#DIV/0!</v>
      </c>
      <c r="W2" t="e">
        <f t="array" aca="1" ref="W2" ca="1">CORREL(FT_E22,FT_PH22)</f>
        <v>#DIV/0!</v>
      </c>
      <c r="X2" t="e">
        <f t="array" aca="1" ref="X2" ca="1">CORREL(FT_E23,FT_PH23)</f>
        <v>#DIV/0!</v>
      </c>
      <c r="Y2" t="e">
        <f t="array" aca="1" ref="Y2" ca="1">CORREL(FT_E24,FT_PH24)</f>
        <v>#DIV/0!</v>
      </c>
    </row>
  </sheetData>
  <phoneticPr fontId="29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2003"/>
  <sheetViews>
    <sheetView topLeftCell="D1" workbookViewId="0">
      <selection activeCell="X5" sqref="X5"/>
    </sheetView>
  </sheetViews>
  <sheetFormatPr defaultRowHeight="13.5"/>
  <cols>
    <col min="6" max="8" width="9.125" style="61"/>
    <col min="9" max="9" width="18.375" customWidth="1"/>
    <col min="10" max="10" width="17.875" customWidth="1"/>
    <col min="11" max="11" width="15" customWidth="1"/>
    <col min="13" max="13" width="10.25" bestFit="1" customWidth="1"/>
  </cols>
  <sheetData>
    <row r="1" spans="1:24">
      <c r="A1" s="61" t="s">
        <v>44</v>
      </c>
      <c r="B1" s="61" t="s">
        <v>45</v>
      </c>
      <c r="C1" s="61" t="s">
        <v>46</v>
      </c>
      <c r="D1" s="61" t="s">
        <v>47</v>
      </c>
      <c r="E1" s="61" t="s">
        <v>44</v>
      </c>
      <c r="F1" s="61" t="s">
        <v>48</v>
      </c>
      <c r="G1" s="61" t="s">
        <v>49</v>
      </c>
      <c r="H1" s="61" t="s">
        <v>50</v>
      </c>
      <c r="I1" s="61" t="s">
        <v>92</v>
      </c>
      <c r="J1" s="61" t="s">
        <v>93</v>
      </c>
    </row>
    <row r="2" spans="1:24">
      <c r="A2" s="61">
        <v>0</v>
      </c>
      <c r="B2" s="61">
        <f>A2/255*$L$2</f>
        <v>0</v>
      </c>
      <c r="C2" s="61">
        <f>FH!A2*1</f>
        <v>0</v>
      </c>
      <c r="D2" s="61">
        <f>FH!B2*1</f>
        <v>0</v>
      </c>
      <c r="E2">
        <v>0</v>
      </c>
      <c r="F2" s="61">
        <f>IF(FT!A2&lt;&gt;"",FT!A2*10,"")</f>
        <v>1.7180400000000002</v>
      </c>
      <c r="G2" s="61">
        <f>IF(FT!B2&lt;&gt;"",FT!B2*100,"")</f>
        <v>63.641400000000004</v>
      </c>
      <c r="H2" s="61">
        <f>(IF(F2&lt;&gt;"",1,""))</f>
        <v>1</v>
      </c>
      <c r="I2" t="str">
        <f>IF(FT!B2&lt;&gt;"",FT!E2,"")</f>
        <v>1 [0.000000]</v>
      </c>
      <c r="J2">
        <f>IF(FT!B2&lt;&gt;"",FT!C2,"")</f>
        <v>0</v>
      </c>
      <c r="K2" t="s">
        <v>51</v>
      </c>
      <c r="L2">
        <f>FH_info!E2</f>
        <v>4.9234099999999996</v>
      </c>
      <c r="O2" t="s">
        <v>94</v>
      </c>
      <c r="P2" t="s">
        <v>95</v>
      </c>
      <c r="Q2" t="s">
        <v>96</v>
      </c>
      <c r="R2" t="s">
        <v>97</v>
      </c>
      <c r="S2" t="s">
        <v>98</v>
      </c>
      <c r="U2" t="s">
        <v>285</v>
      </c>
      <c r="V2" t="s">
        <v>286</v>
      </c>
      <c r="W2" t="s">
        <v>287</v>
      </c>
      <c r="X2" t="s">
        <v>288</v>
      </c>
    </row>
    <row r="3" spans="1:24">
      <c r="A3" s="61">
        <f>A2+1</f>
        <v>1</v>
      </c>
      <c r="B3" s="61">
        <f t="shared" ref="B3:B66" si="0">A3/255*$L$2</f>
        <v>1.9307490196078431E-2</v>
      </c>
      <c r="C3" s="61">
        <f>FH!A3*1</f>
        <v>0</v>
      </c>
      <c r="D3" s="61">
        <f>FH!B3*1</f>
        <v>0</v>
      </c>
      <c r="E3">
        <f>E2+1</f>
        <v>1</v>
      </c>
      <c r="F3" s="61">
        <f>IF(FT!A3&lt;&gt;"",FT!A3*10,"")</f>
        <v>1.76193</v>
      </c>
      <c r="G3" s="61">
        <f>IF(FT!B3&lt;&gt;"",FT!B3*100,"")</f>
        <v>62.920200000000001</v>
      </c>
      <c r="H3" s="61">
        <f t="shared" ref="H3:H66" si="1">(IF(F3&lt;&gt;"",1,""))</f>
        <v>1</v>
      </c>
      <c r="I3" t="str">
        <f>IF(FT!B3&lt;&gt;"",FT!E3,"")</f>
        <v>1 [0.362506]</v>
      </c>
      <c r="J3">
        <f>IF(FT!B3&lt;&gt;"",FT!C3,"")</f>
        <v>0.36250599999999999</v>
      </c>
      <c r="K3" t="s">
        <v>52</v>
      </c>
      <c r="L3">
        <f>SUM(H2:H2005)</f>
        <v>148</v>
      </c>
      <c r="O3">
        <v>0</v>
      </c>
      <c r="P3">
        <v>0</v>
      </c>
      <c r="Q3">
        <f>IF(R4=0,L3,0)</f>
        <v>0</v>
      </c>
      <c r="R3">
        <f t="array" ref="R3">MAX(IF(ft_nq=0,row_n))</f>
        <v>1998</v>
      </c>
      <c r="S3">
        <f>Q3-P3</f>
        <v>0</v>
      </c>
      <c r="U3">
        <f ca="1">AVERAGE(OFFSET(FT!B2,0,0,info!$L$3/2,1))</f>
        <v>0.42527679729729734</v>
      </c>
      <c r="V3">
        <f ca="1">AVERAGE(OFFSET(FT!B2,info!$L$3/2,0,info!$L$3/2,1))</f>
        <v>0.47201366216216201</v>
      </c>
      <c r="W3">
        <f ca="1">AVERAGE(OFFSET(FT!A2,0,0,info!$L$3/2,1))</f>
        <v>0.27769132432432431</v>
      </c>
      <c r="X3">
        <f ca="1">AVERAGE(OFFSET(FT!A2,info!$L$3/2,0,info!$L$3/2,1))</f>
        <v>0.31063160810810803</v>
      </c>
    </row>
    <row r="4" spans="1:24">
      <c r="A4" s="61">
        <f t="shared" ref="A4:A67" si="2">A3+1</f>
        <v>2</v>
      </c>
      <c r="B4" s="61">
        <f t="shared" si="0"/>
        <v>3.8614980392156863E-2</v>
      </c>
      <c r="C4" s="61">
        <f>FH!A4*1</f>
        <v>0</v>
      </c>
      <c r="D4" s="61">
        <f>FH!B4*1</f>
        <v>0</v>
      </c>
      <c r="E4">
        <f t="shared" ref="E4:E67" si="3">E3+1</f>
        <v>2</v>
      </c>
      <c r="F4" s="61">
        <f>IF(FT!A4&lt;&gt;"",FT!A4*10,"")</f>
        <v>1.80619</v>
      </c>
      <c r="G4" s="61">
        <f>IF(FT!B4&lt;&gt;"",FT!B4*100,"")</f>
        <v>62.155000000000001</v>
      </c>
      <c r="H4" s="61">
        <f t="shared" si="1"/>
        <v>1</v>
      </c>
      <c r="I4" t="str">
        <f>IF(FT!B4&lt;&gt;"",FT!E4,"")</f>
        <v>1 [0.769104]</v>
      </c>
      <c r="J4">
        <f>IF(FT!B4&lt;&gt;"",FT!C4,"")</f>
        <v>0.76910400000000001</v>
      </c>
      <c r="O4">
        <f>O3+1</f>
        <v>1</v>
      </c>
      <c r="P4">
        <v>0</v>
      </c>
      <c r="Q4">
        <f>IF(R4=1998,0,R4)</f>
        <v>73</v>
      </c>
      <c r="R4">
        <f t="array" ref="R4">MAX(IF(ft_nq=O4,row_n))</f>
        <v>73</v>
      </c>
      <c r="S4">
        <f>Q4-P4+1</f>
        <v>74</v>
      </c>
      <c r="U4">
        <f>MAX(FT!C2:C4000)/4</f>
        <v>14.93365</v>
      </c>
      <c r="V4">
        <f>U4*3</f>
        <v>44.80095</v>
      </c>
      <c r="W4">
        <f>U4</f>
        <v>14.93365</v>
      </c>
      <c r="X4">
        <f>V4</f>
        <v>44.80095</v>
      </c>
    </row>
    <row r="5" spans="1:24">
      <c r="A5" s="61">
        <f t="shared" si="2"/>
        <v>3</v>
      </c>
      <c r="B5" s="61">
        <f t="shared" si="0"/>
        <v>5.7922470588235291E-2</v>
      </c>
      <c r="C5" s="61">
        <f>FH!A5*1</f>
        <v>0</v>
      </c>
      <c r="D5" s="61">
        <f>FH!B5*1</f>
        <v>0</v>
      </c>
      <c r="E5">
        <f t="shared" si="3"/>
        <v>3</v>
      </c>
      <c r="F5" s="61">
        <f>IF(FT!A5&lt;&gt;"",FT!A5*10,"")</f>
        <v>1.84931</v>
      </c>
      <c r="G5" s="61">
        <f>IF(FT!B5&lt;&gt;"",FT!B5*100,"")</f>
        <v>61.371200000000002</v>
      </c>
      <c r="H5" s="61">
        <f t="shared" si="1"/>
        <v>1</v>
      </c>
      <c r="I5" t="str">
        <f>IF(FT!B5&lt;&gt;"",FT!E5,"")</f>
        <v>1 [1.171515]</v>
      </c>
      <c r="J5">
        <f>IF(FT!B5&lt;&gt;"",FT!C5,"")</f>
        <v>1.1715199999999999</v>
      </c>
      <c r="K5" t="s">
        <v>53</v>
      </c>
      <c r="L5" s="63">
        <f ca="1">MIN(FT_E)</f>
        <v>1.7180400000000002</v>
      </c>
      <c r="M5" s="63">
        <f ca="1">ROUND(L5,1)</f>
        <v>1.7</v>
      </c>
      <c r="O5">
        <f t="shared" ref="O5:O27" si="4">O4+1</f>
        <v>2</v>
      </c>
      <c r="P5">
        <f>IF(OR(R5=1998,R5=0),0,Q4)</f>
        <v>73</v>
      </c>
      <c r="Q5">
        <f>IF(R5=1998,0,R5)</f>
        <v>147</v>
      </c>
      <c r="R5">
        <f t="array" ref="R5">MAX(IF(ft_nq=O5,row_n))</f>
        <v>147</v>
      </c>
      <c r="S5">
        <f t="shared" ref="S5:S27" si="5">Q5-P5+1</f>
        <v>75</v>
      </c>
      <c r="U5">
        <f ca="1">U3*100</f>
        <v>42.527679729729734</v>
      </c>
      <c r="V5">
        <f ca="1">V3*100</f>
        <v>47.201366216216201</v>
      </c>
      <c r="W5">
        <f ca="1">W3*10</f>
        <v>2.7769132432432428</v>
      </c>
      <c r="X5">
        <f ca="1">X3*10</f>
        <v>3.1063160810810801</v>
      </c>
    </row>
    <row r="6" spans="1:24">
      <c r="A6" s="61">
        <f t="shared" si="2"/>
        <v>4</v>
      </c>
      <c r="B6" s="61">
        <f t="shared" si="0"/>
        <v>7.7229960784313725E-2</v>
      </c>
      <c r="C6" s="61">
        <f>FH!A6*1</f>
        <v>0</v>
      </c>
      <c r="D6" s="61">
        <f>FH!B6*1</f>
        <v>0</v>
      </c>
      <c r="E6">
        <f t="shared" si="3"/>
        <v>4</v>
      </c>
      <c r="F6" s="61">
        <f>IF(FT!A6&lt;&gt;"",FT!A6*10,"")</f>
        <v>1.8915899999999999</v>
      </c>
      <c r="G6" s="61">
        <f>IF(FT!B6&lt;&gt;"",FT!B6*100,"")</f>
        <v>60.558199999999992</v>
      </c>
      <c r="H6" s="61">
        <f t="shared" si="1"/>
        <v>1</v>
      </c>
      <c r="I6" t="str">
        <f>IF(FT!B6&lt;&gt;"",FT!E6,"")</f>
        <v>1 [1.579183]</v>
      </c>
      <c r="J6">
        <f>IF(FT!B6&lt;&gt;"",FT!C6,"")</f>
        <v>1.57918</v>
      </c>
      <c r="K6" t="s">
        <v>54</v>
      </c>
      <c r="L6" s="63">
        <f ca="1">MAX(FT_E)</f>
        <v>3.6352600000000002</v>
      </c>
      <c r="M6" s="63">
        <f ca="1">ROUND(L6,1)</f>
        <v>3.6</v>
      </c>
      <c r="O6">
        <f t="shared" si="4"/>
        <v>3</v>
      </c>
      <c r="P6">
        <f t="shared" ref="P6:P27" si="6">IF(OR(R6=1998,R6=0),0,Q5)</f>
        <v>0</v>
      </c>
      <c r="Q6">
        <f t="shared" ref="Q6:Q27" si="7">IF(R6=1998,0,R6)</f>
        <v>0</v>
      </c>
      <c r="R6">
        <f t="array" ref="R6">MAX(IF(ft_nq=O6,row_n))</f>
        <v>0</v>
      </c>
      <c r="S6">
        <f t="shared" si="5"/>
        <v>1</v>
      </c>
    </row>
    <row r="7" spans="1:24">
      <c r="A7" s="61">
        <f t="shared" si="2"/>
        <v>5</v>
      </c>
      <c r="B7" s="61">
        <f t="shared" si="0"/>
        <v>9.6537450980392153E-2</v>
      </c>
      <c r="C7" s="61">
        <f>FH!A7*1</f>
        <v>0</v>
      </c>
      <c r="D7" s="61">
        <f>FH!B7*1</f>
        <v>0</v>
      </c>
      <c r="E7">
        <f t="shared" si="3"/>
        <v>5</v>
      </c>
      <c r="F7" s="61">
        <f>IF(FT!A7&lt;&gt;"",FT!A7*10,"")</f>
        <v>1.93252</v>
      </c>
      <c r="G7" s="61">
        <f>IF(FT!B7&lt;&gt;"",FT!B7*100,"")</f>
        <v>59.765000000000001</v>
      </c>
      <c r="H7" s="61">
        <f t="shared" si="1"/>
        <v>1</v>
      </c>
      <c r="I7" t="str">
        <f>IF(FT!B7&lt;&gt;"",FT!E7,"")</f>
        <v>1 [1.985837]</v>
      </c>
      <c r="J7">
        <f>IF(FT!B7&lt;&gt;"",FT!C7,"")</f>
        <v>1.98584</v>
      </c>
      <c r="K7" t="s">
        <v>55</v>
      </c>
      <c r="L7" s="63">
        <f ca="1">MIN(FT_PH)</f>
        <v>35.558</v>
      </c>
      <c r="M7" s="63">
        <f ca="1">ROUND(L7,1)</f>
        <v>35.6</v>
      </c>
      <c r="O7">
        <f t="shared" si="4"/>
        <v>4</v>
      </c>
      <c r="P7">
        <f t="shared" si="6"/>
        <v>0</v>
      </c>
      <c r="Q7">
        <f t="shared" si="7"/>
        <v>0</v>
      </c>
      <c r="R7">
        <f t="array" ref="R7">MAX(IF(ft_nq=O7,row_n))</f>
        <v>0</v>
      </c>
      <c r="S7">
        <f t="shared" si="5"/>
        <v>1</v>
      </c>
    </row>
    <row r="8" spans="1:24">
      <c r="A8" s="61">
        <f t="shared" si="2"/>
        <v>6</v>
      </c>
      <c r="B8" s="61">
        <f t="shared" si="0"/>
        <v>0.11584494117647058</v>
      </c>
      <c r="C8" s="61">
        <f>FH!A8*1</f>
        <v>766</v>
      </c>
      <c r="D8" s="61">
        <f>FH!B8*1</f>
        <v>766</v>
      </c>
      <c r="E8">
        <f t="shared" si="3"/>
        <v>6</v>
      </c>
      <c r="F8" s="61">
        <f>IF(FT!A8&lt;&gt;"",FT!A8*10,"")</f>
        <v>1.9722700000000002</v>
      </c>
      <c r="G8" s="61">
        <f>IF(FT!B8&lt;&gt;"",FT!B8*100,"")</f>
        <v>58.959799999999994</v>
      </c>
      <c r="H8" s="61">
        <f t="shared" si="1"/>
        <v>1</v>
      </c>
      <c r="I8" t="str">
        <f>IF(FT!B8&lt;&gt;"",FT!E8,"")</f>
        <v>1 [2.392045]</v>
      </c>
      <c r="J8">
        <f>IF(FT!B8&lt;&gt;"",FT!C8,"")</f>
        <v>2.3920400000000002</v>
      </c>
      <c r="K8" t="s">
        <v>56</v>
      </c>
      <c r="L8" s="63">
        <f ca="1">MAX(FT_PH)</f>
        <v>63.641400000000004</v>
      </c>
      <c r="M8" s="63">
        <f ca="1">ROUND(L8,1)</f>
        <v>63.6</v>
      </c>
      <c r="O8">
        <f t="shared" si="4"/>
        <v>5</v>
      </c>
      <c r="P8">
        <f t="shared" si="6"/>
        <v>0</v>
      </c>
      <c r="Q8">
        <f t="shared" si="7"/>
        <v>0</v>
      </c>
      <c r="R8">
        <f t="array" ref="R8">MAX(IF(ft_nq=O8,row_n))</f>
        <v>0</v>
      </c>
      <c r="S8">
        <f t="shared" si="5"/>
        <v>1</v>
      </c>
    </row>
    <row r="9" spans="1:24">
      <c r="A9" s="61">
        <f t="shared" si="2"/>
        <v>7</v>
      </c>
      <c r="B9" s="61">
        <f t="shared" si="0"/>
        <v>0.13515243137254901</v>
      </c>
      <c r="C9" s="61">
        <f>FH!A9*1</f>
        <v>0</v>
      </c>
      <c r="D9" s="61">
        <f>FH!B9*1</f>
        <v>0</v>
      </c>
      <c r="E9">
        <f t="shared" si="3"/>
        <v>7</v>
      </c>
      <c r="F9" s="61">
        <f>IF(FT!A9&lt;&gt;"",FT!A9*10,"")</f>
        <v>2.0112199999999998</v>
      </c>
      <c r="G9" s="61">
        <f>IF(FT!B9&lt;&gt;"",FT!B9*100,"")</f>
        <v>58.121100000000006</v>
      </c>
      <c r="H9" s="61">
        <f t="shared" si="1"/>
        <v>1</v>
      </c>
      <c r="I9" t="str">
        <f>IF(FT!B9&lt;&gt;"",FT!E9,"")</f>
        <v>1 [2.799762]</v>
      </c>
      <c r="J9">
        <f>IF(FT!B9&lt;&gt;"",FT!C9,"")</f>
        <v>2.79976</v>
      </c>
      <c r="O9">
        <f t="shared" si="4"/>
        <v>6</v>
      </c>
      <c r="P9">
        <f t="shared" si="6"/>
        <v>0</v>
      </c>
      <c r="Q9">
        <f t="shared" si="7"/>
        <v>0</v>
      </c>
      <c r="R9">
        <f t="array" ref="R9">MAX(IF(ft_nq=O9,row_n))</f>
        <v>0</v>
      </c>
      <c r="S9">
        <f t="shared" si="5"/>
        <v>1</v>
      </c>
    </row>
    <row r="10" spans="1:24">
      <c r="A10" s="61">
        <f t="shared" si="2"/>
        <v>8</v>
      </c>
      <c r="B10" s="61">
        <f t="shared" si="0"/>
        <v>0.15445992156862745</v>
      </c>
      <c r="C10" s="61">
        <f>FH!A10*1</f>
        <v>1610</v>
      </c>
      <c r="D10" s="61">
        <f>FH!B10*1</f>
        <v>1610</v>
      </c>
      <c r="E10">
        <f t="shared" si="3"/>
        <v>8</v>
      </c>
      <c r="F10" s="61">
        <f>IF(FT!A10&lt;&gt;"",FT!A10*10,"")</f>
        <v>2.0497899999999998</v>
      </c>
      <c r="G10" s="61">
        <f>IF(FT!B10&lt;&gt;"",FT!B10*100,"")</f>
        <v>57.166200000000003</v>
      </c>
      <c r="H10" s="61">
        <f t="shared" si="1"/>
        <v>1</v>
      </c>
      <c r="I10" t="str">
        <f>IF(FT!B10&lt;&gt;"",FT!E10,"")</f>
        <v>1 [3.202719]</v>
      </c>
      <c r="J10">
        <f>IF(FT!B10&lt;&gt;"",FT!C10,"")</f>
        <v>3.2027199999999998</v>
      </c>
      <c r="L10">
        <v>2</v>
      </c>
      <c r="O10">
        <f t="shared" si="4"/>
        <v>7</v>
      </c>
      <c r="P10">
        <f t="shared" si="6"/>
        <v>0</v>
      </c>
      <c r="Q10">
        <f t="shared" si="7"/>
        <v>0</v>
      </c>
      <c r="R10">
        <f t="array" ref="R10">MAX(IF(ft_nq=O10,row_n))</f>
        <v>0</v>
      </c>
      <c r="S10">
        <f t="shared" si="5"/>
        <v>1</v>
      </c>
    </row>
    <row r="11" spans="1:24">
      <c r="A11" s="61">
        <f t="shared" si="2"/>
        <v>9</v>
      </c>
      <c r="B11" s="61">
        <f t="shared" si="0"/>
        <v>0.17376741176470586</v>
      </c>
      <c r="C11" s="61">
        <f>FH!A11*1</f>
        <v>0</v>
      </c>
      <c r="D11" s="61">
        <f>FH!B11*1</f>
        <v>0</v>
      </c>
      <c r="E11">
        <f t="shared" si="3"/>
        <v>9</v>
      </c>
      <c r="F11" s="61">
        <f>IF(FT!A11&lt;&gt;"",FT!A11*10,"")</f>
        <v>2.0885799999999999</v>
      </c>
      <c r="G11" s="61">
        <f>IF(FT!B11&lt;&gt;"",FT!B11*100,"")</f>
        <v>56.0824</v>
      </c>
      <c r="H11" s="61">
        <f t="shared" si="1"/>
        <v>1</v>
      </c>
      <c r="I11" t="str">
        <f>IF(FT!B11&lt;&gt;"",FT!E11,"")</f>
        <v>1 [3.614299]</v>
      </c>
      <c r="J11">
        <f>IF(FT!B11&lt;&gt;"",FT!C11,"")</f>
        <v>3.6143000000000001</v>
      </c>
      <c r="L11" s="67">
        <f>MAX(IF(ft_nq=1,row_n))</f>
        <v>1998</v>
      </c>
      <c r="O11">
        <f t="shared" si="4"/>
        <v>8</v>
      </c>
      <c r="P11">
        <f t="shared" si="6"/>
        <v>0</v>
      </c>
      <c r="Q11">
        <f t="shared" si="7"/>
        <v>0</v>
      </c>
      <c r="R11">
        <f t="array" ref="R11">MAX(IF(ft_nq=O11,row_n))</f>
        <v>0</v>
      </c>
      <c r="S11">
        <f t="shared" si="5"/>
        <v>1</v>
      </c>
    </row>
    <row r="12" spans="1:24">
      <c r="A12" s="61">
        <f t="shared" si="2"/>
        <v>10</v>
      </c>
      <c r="B12" s="61">
        <f t="shared" si="0"/>
        <v>0.19307490196078431</v>
      </c>
      <c r="C12" s="61">
        <f>FH!A12*1</f>
        <v>0</v>
      </c>
      <c r="D12" s="61">
        <f>FH!B12*1</f>
        <v>0</v>
      </c>
      <c r="E12">
        <f t="shared" si="3"/>
        <v>10</v>
      </c>
      <c r="F12" s="61">
        <f>IF(FT!A12&lt;&gt;"",FT!A12*10,"")</f>
        <v>2.1273400000000002</v>
      </c>
      <c r="G12" s="61">
        <f>IF(FT!B12&lt;&gt;"",FT!B12*100,"")</f>
        <v>54.947199999999995</v>
      </c>
      <c r="H12" s="61">
        <f t="shared" si="1"/>
        <v>1</v>
      </c>
      <c r="I12" t="str">
        <f>IF(FT!B12&lt;&gt;"",FT!E12,"")</f>
        <v>1 [4.015556]</v>
      </c>
      <c r="J12">
        <f>IF(FT!B12&lt;&gt;"",FT!C12,"")</f>
        <v>4.0155599999999998</v>
      </c>
      <c r="L12">
        <f>L11+1</f>
        <v>1999</v>
      </c>
      <c r="O12">
        <f t="shared" si="4"/>
        <v>9</v>
      </c>
      <c r="P12">
        <f t="shared" si="6"/>
        <v>0</v>
      </c>
      <c r="Q12">
        <f t="shared" si="7"/>
        <v>0</v>
      </c>
      <c r="R12">
        <f t="array" ref="R12">MAX(IF(ft_nq=O12,row_n))</f>
        <v>0</v>
      </c>
      <c r="S12">
        <f t="shared" si="5"/>
        <v>1</v>
      </c>
    </row>
    <row r="13" spans="1:24">
      <c r="A13" s="61">
        <f t="shared" si="2"/>
        <v>11</v>
      </c>
      <c r="B13" s="61">
        <f t="shared" si="0"/>
        <v>0.21238239215686272</v>
      </c>
      <c r="C13" s="61">
        <f>FH!A13*1</f>
        <v>3837</v>
      </c>
      <c r="D13" s="61">
        <f>FH!B13*1</f>
        <v>3837</v>
      </c>
      <c r="E13">
        <f t="shared" si="3"/>
        <v>11</v>
      </c>
      <c r="F13" s="61">
        <f>IF(FT!A13&lt;&gt;"",FT!A13*10,"")</f>
        <v>2.1656500000000003</v>
      </c>
      <c r="G13" s="61">
        <f>IF(FT!B13&lt;&gt;"",FT!B13*100,"")</f>
        <v>53.837699999999998</v>
      </c>
      <c r="H13" s="61">
        <f t="shared" si="1"/>
        <v>1</v>
      </c>
      <c r="I13" t="str">
        <f>IF(FT!B13&lt;&gt;"",FT!E13,"")</f>
        <v>1 [4.421279]</v>
      </c>
      <c r="J13">
        <f>IF(FT!B13&lt;&gt;"",FT!C13,"")</f>
        <v>4.4212800000000003</v>
      </c>
      <c r="L13" s="67">
        <f t="array" ref="L13">MAX(IF(ft_nq=2,row_n))</f>
        <v>147</v>
      </c>
      <c r="O13">
        <f t="shared" si="4"/>
        <v>10</v>
      </c>
      <c r="P13">
        <f t="shared" si="6"/>
        <v>0</v>
      </c>
      <c r="Q13">
        <f t="shared" si="7"/>
        <v>0</v>
      </c>
      <c r="R13">
        <f t="array" ref="R13">MAX(IF(ft_nq=O13,row_n))</f>
        <v>0</v>
      </c>
      <c r="S13">
        <f t="shared" si="5"/>
        <v>1</v>
      </c>
    </row>
    <row r="14" spans="1:24">
      <c r="A14" s="61">
        <f t="shared" si="2"/>
        <v>12</v>
      </c>
      <c r="B14" s="61">
        <f t="shared" si="0"/>
        <v>0.23168988235294116</v>
      </c>
      <c r="C14" s="61">
        <f>FH!A14*1</f>
        <v>0</v>
      </c>
      <c r="D14" s="61">
        <f>FH!B14*1</f>
        <v>0</v>
      </c>
      <c r="E14">
        <f t="shared" si="3"/>
        <v>12</v>
      </c>
      <c r="F14" s="61">
        <f>IF(FT!A14&lt;&gt;"",FT!A14*10,"")</f>
        <v>2.20316</v>
      </c>
      <c r="G14" s="61">
        <f>IF(FT!B14&lt;&gt;"",FT!B14*100,"")</f>
        <v>52.732700000000001</v>
      </c>
      <c r="H14" s="61">
        <f t="shared" si="1"/>
        <v>1</v>
      </c>
      <c r="I14" t="str">
        <f>IF(FT!B14&lt;&gt;"",FT!E14,"")</f>
        <v>1 [4.827273]</v>
      </c>
      <c r="J14">
        <f>IF(FT!B14&lt;&gt;"",FT!C14,"")</f>
        <v>4.8272700000000004</v>
      </c>
      <c r="L14">
        <f>L13+1</f>
        <v>148</v>
      </c>
      <c r="O14">
        <f t="shared" si="4"/>
        <v>11</v>
      </c>
      <c r="P14">
        <f t="shared" si="6"/>
        <v>0</v>
      </c>
      <c r="Q14">
        <f t="shared" si="7"/>
        <v>0</v>
      </c>
      <c r="R14">
        <f t="array" ref="R14">MAX(IF(ft_nq=O14,row_n))</f>
        <v>0</v>
      </c>
      <c r="S14">
        <f t="shared" si="5"/>
        <v>1</v>
      </c>
    </row>
    <row r="15" spans="1:24">
      <c r="A15" s="61">
        <f t="shared" si="2"/>
        <v>13</v>
      </c>
      <c r="B15" s="61">
        <f t="shared" si="0"/>
        <v>0.2509973725490196</v>
      </c>
      <c r="C15" s="61">
        <f>FH!A15*1</f>
        <v>8592</v>
      </c>
      <c r="D15" s="61">
        <f>FH!B15*1</f>
        <v>8592</v>
      </c>
      <c r="E15">
        <f t="shared" si="3"/>
        <v>13</v>
      </c>
      <c r="F15" s="61">
        <f>IF(FT!A15&lt;&gt;"",FT!A15*10,"")</f>
        <v>2.2399499999999999</v>
      </c>
      <c r="G15" s="61">
        <f>IF(FT!B15&lt;&gt;"",FT!B15*100,"")</f>
        <v>51.715900000000005</v>
      </c>
      <c r="H15" s="61">
        <f t="shared" si="1"/>
        <v>1</v>
      </c>
      <c r="I15" t="str">
        <f>IF(FT!B15&lt;&gt;"",FT!E15,"")</f>
        <v>1 [5.235012]</v>
      </c>
      <c r="J15">
        <f>IF(FT!B15&lt;&gt;"",FT!C15,"")</f>
        <v>5.2350099999999999</v>
      </c>
      <c r="L15">
        <f t="array" ref="L15">MAX(IF(ft_nq=3,row_n))</f>
        <v>0</v>
      </c>
      <c r="O15">
        <f t="shared" si="4"/>
        <v>12</v>
      </c>
      <c r="P15">
        <f t="shared" si="6"/>
        <v>0</v>
      </c>
      <c r="Q15">
        <f t="shared" si="7"/>
        <v>0</v>
      </c>
      <c r="R15">
        <f t="array" ref="R15">MAX(IF(ft_nq=O15,row_n))</f>
        <v>0</v>
      </c>
      <c r="S15">
        <f t="shared" si="5"/>
        <v>1</v>
      </c>
    </row>
    <row r="16" spans="1:24">
      <c r="A16" s="61">
        <f t="shared" si="2"/>
        <v>14</v>
      </c>
      <c r="B16" s="61">
        <f t="shared" si="0"/>
        <v>0.27030486274509802</v>
      </c>
      <c r="C16" s="61">
        <f>FH!A16*1</f>
        <v>0</v>
      </c>
      <c r="D16" s="61">
        <f>FH!B16*1</f>
        <v>0</v>
      </c>
      <c r="E16">
        <f t="shared" si="3"/>
        <v>14</v>
      </c>
      <c r="F16" s="61">
        <f>IF(FT!A16&lt;&gt;"",FT!A16*10,"")</f>
        <v>2.2751099999999997</v>
      </c>
      <c r="G16" s="61">
        <f>IF(FT!B16&lt;&gt;"",FT!B16*100,"")</f>
        <v>50.764499999999998</v>
      </c>
      <c r="H16" s="61">
        <f t="shared" si="1"/>
        <v>1</v>
      </c>
      <c r="I16" t="str">
        <f>IF(FT!B16&lt;&gt;"",FT!E16,"")</f>
        <v>1 [5.645634]</v>
      </c>
      <c r="J16">
        <f>IF(FT!B16&lt;&gt;"",FT!C16,"")</f>
        <v>5.6456299999999997</v>
      </c>
      <c r="L16">
        <f>L15+1</f>
        <v>1</v>
      </c>
      <c r="O16">
        <f t="shared" si="4"/>
        <v>13</v>
      </c>
      <c r="P16">
        <f t="shared" si="6"/>
        <v>0</v>
      </c>
      <c r="Q16">
        <f t="shared" si="7"/>
        <v>0</v>
      </c>
      <c r="R16">
        <f t="array" ref="R16">MAX(IF(ft_nq=O16,row_n))</f>
        <v>0</v>
      </c>
      <c r="S16">
        <f t="shared" si="5"/>
        <v>1</v>
      </c>
    </row>
    <row r="17" spans="1:19">
      <c r="A17" s="61">
        <f t="shared" si="2"/>
        <v>15</v>
      </c>
      <c r="B17" s="61">
        <f t="shared" si="0"/>
        <v>0.28961235294117643</v>
      </c>
      <c r="C17" s="61">
        <f>FH!A17*1</f>
        <v>0</v>
      </c>
      <c r="D17" s="61">
        <f>FH!B17*1</f>
        <v>0</v>
      </c>
      <c r="E17">
        <f t="shared" si="3"/>
        <v>15</v>
      </c>
      <c r="F17" s="61">
        <f>IF(FT!A17&lt;&gt;"",FT!A17*10,"")</f>
        <v>2.3094600000000001</v>
      </c>
      <c r="G17" s="61">
        <f>IF(FT!B17&lt;&gt;"",FT!B17*100,"")</f>
        <v>49.8628</v>
      </c>
      <c r="H17" s="61">
        <f t="shared" si="1"/>
        <v>1</v>
      </c>
      <c r="I17" t="str">
        <f>IF(FT!B17&lt;&gt;"",FT!E17,"")</f>
        <v>1 [6.048053]</v>
      </c>
      <c r="J17">
        <f>IF(FT!B17&lt;&gt;"",FT!C17,"")</f>
        <v>6.0480499999999999</v>
      </c>
      <c r="L17">
        <f>L3+1</f>
        <v>149</v>
      </c>
      <c r="O17">
        <f t="shared" si="4"/>
        <v>14</v>
      </c>
      <c r="P17">
        <f t="shared" si="6"/>
        <v>0</v>
      </c>
      <c r="Q17">
        <f t="shared" si="7"/>
        <v>0</v>
      </c>
      <c r="R17">
        <f t="array" ref="R17">MAX(IF(ft_nq=O17,row_n))</f>
        <v>0</v>
      </c>
      <c r="S17">
        <f t="shared" si="5"/>
        <v>1</v>
      </c>
    </row>
    <row r="18" spans="1:19">
      <c r="A18" s="61">
        <f t="shared" si="2"/>
        <v>16</v>
      </c>
      <c r="B18" s="61">
        <f t="shared" si="0"/>
        <v>0.3089198431372549</v>
      </c>
      <c r="C18" s="61">
        <f>FH!A18*1</f>
        <v>15663</v>
      </c>
      <c r="D18" s="61">
        <f>FH!B18*1</f>
        <v>15663</v>
      </c>
      <c r="E18">
        <f t="shared" si="3"/>
        <v>16</v>
      </c>
      <c r="F18" s="61">
        <f>IF(FT!A18&lt;&gt;"",FT!A18*10,"")</f>
        <v>2.3450600000000001</v>
      </c>
      <c r="G18" s="61">
        <f>IF(FT!B18&lt;&gt;"",FT!B18*100,"")</f>
        <v>48.927999999999997</v>
      </c>
      <c r="H18" s="61">
        <f t="shared" si="1"/>
        <v>1</v>
      </c>
      <c r="I18" t="str">
        <f>IF(FT!B18&lt;&gt;"",FT!E18,"")</f>
        <v>1 [6.453840]</v>
      </c>
      <c r="J18">
        <f>IF(FT!B18&lt;&gt;"",FT!C18,"")</f>
        <v>6.4538399999999996</v>
      </c>
      <c r="O18">
        <f t="shared" si="4"/>
        <v>15</v>
      </c>
      <c r="P18">
        <f t="shared" si="6"/>
        <v>0</v>
      </c>
      <c r="Q18">
        <f t="shared" si="7"/>
        <v>0</v>
      </c>
      <c r="R18">
        <f t="array" ref="R18">MAX(IF(ft_nq=O18,row_n))</f>
        <v>0</v>
      </c>
      <c r="S18">
        <f t="shared" si="5"/>
        <v>1</v>
      </c>
    </row>
    <row r="19" spans="1:19">
      <c r="A19" s="61">
        <f t="shared" si="2"/>
        <v>17</v>
      </c>
      <c r="B19" s="61">
        <f t="shared" si="0"/>
        <v>0.32822733333333332</v>
      </c>
      <c r="C19" s="61">
        <f>FH!A19*1</f>
        <v>0</v>
      </c>
      <c r="D19" s="61">
        <f>FH!B19*1</f>
        <v>0</v>
      </c>
      <c r="E19">
        <f t="shared" si="3"/>
        <v>17</v>
      </c>
      <c r="F19" s="61">
        <f>IF(FT!A19&lt;&gt;"",FT!A19*10,"")</f>
        <v>2.3799100000000002</v>
      </c>
      <c r="G19" s="61">
        <f>IF(FT!B19&lt;&gt;"",FT!B19*100,"")</f>
        <v>48.089599999999997</v>
      </c>
      <c r="H19" s="61">
        <f t="shared" si="1"/>
        <v>1</v>
      </c>
      <c r="I19" t="str">
        <f>IF(FT!B19&lt;&gt;"",FT!E19,"")</f>
        <v>1 [6.861714]</v>
      </c>
      <c r="J19">
        <f>IF(FT!B19&lt;&gt;"",FT!C19,"")</f>
        <v>6.8617100000000004</v>
      </c>
      <c r="O19">
        <f t="shared" si="4"/>
        <v>16</v>
      </c>
      <c r="P19">
        <f t="shared" si="6"/>
        <v>0</v>
      </c>
      <c r="Q19">
        <f t="shared" si="7"/>
        <v>0</v>
      </c>
      <c r="R19">
        <f t="array" ref="R19">MAX(IF(ft_nq=O19,row_n))</f>
        <v>0</v>
      </c>
      <c r="S19">
        <f t="shared" si="5"/>
        <v>1</v>
      </c>
    </row>
    <row r="20" spans="1:19">
      <c r="A20" s="61">
        <f t="shared" si="2"/>
        <v>18</v>
      </c>
      <c r="B20" s="61">
        <f t="shared" si="0"/>
        <v>0.34753482352941173</v>
      </c>
      <c r="C20" s="61">
        <f>FH!A20*1</f>
        <v>0</v>
      </c>
      <c r="D20" s="61">
        <f>FH!B20*1</f>
        <v>0</v>
      </c>
      <c r="E20">
        <f t="shared" si="3"/>
        <v>18</v>
      </c>
      <c r="F20" s="61">
        <f>IF(FT!A20&lt;&gt;"",FT!A20*10,"")</f>
        <v>2.41384</v>
      </c>
      <c r="G20" s="61">
        <f>IF(FT!B20&lt;&gt;"",FT!B20*100,"")</f>
        <v>47.274699999999996</v>
      </c>
      <c r="H20" s="61">
        <f t="shared" si="1"/>
        <v>1</v>
      </c>
      <c r="I20" t="str">
        <f>IF(FT!B20&lt;&gt;"",FT!E20,"")</f>
        <v>1 [7.269093]</v>
      </c>
      <c r="J20">
        <f>IF(FT!B20&lt;&gt;"",FT!C20,"")</f>
        <v>7.2690900000000003</v>
      </c>
      <c r="O20">
        <f t="shared" si="4"/>
        <v>17</v>
      </c>
      <c r="P20">
        <f t="shared" si="6"/>
        <v>0</v>
      </c>
      <c r="Q20">
        <f t="shared" si="7"/>
        <v>0</v>
      </c>
      <c r="R20">
        <f t="array" ref="R20">MAX(IF(ft_nq=O20,row_n))</f>
        <v>0</v>
      </c>
      <c r="S20">
        <f t="shared" si="5"/>
        <v>1</v>
      </c>
    </row>
    <row r="21" spans="1:19">
      <c r="A21" s="61">
        <f t="shared" si="2"/>
        <v>19</v>
      </c>
      <c r="B21" s="61">
        <f t="shared" si="0"/>
        <v>0.36684231372549014</v>
      </c>
      <c r="C21" s="61">
        <f>FH!A21*1</f>
        <v>33962</v>
      </c>
      <c r="D21" s="61">
        <f>FH!B21*1</f>
        <v>33962</v>
      </c>
      <c r="E21">
        <f t="shared" si="3"/>
        <v>19</v>
      </c>
      <c r="F21" s="61">
        <f>IF(FT!A21&lt;&gt;"",FT!A21*10,"")</f>
        <v>2.4466099999999997</v>
      </c>
      <c r="G21" s="61">
        <f>IF(FT!B21&lt;&gt;"",FT!B21*100,"")</f>
        <v>46.473500000000001</v>
      </c>
      <c r="H21" s="61">
        <f t="shared" si="1"/>
        <v>1</v>
      </c>
      <c r="I21" t="str">
        <f>IF(FT!B21&lt;&gt;"",FT!E21,"")</f>
        <v>1 [7.673030]</v>
      </c>
      <c r="J21">
        <f>IF(FT!B21&lt;&gt;"",FT!C21,"")</f>
        <v>7.6730299999999998</v>
      </c>
      <c r="O21">
        <f t="shared" si="4"/>
        <v>18</v>
      </c>
      <c r="P21">
        <f t="shared" si="6"/>
        <v>0</v>
      </c>
      <c r="Q21">
        <f t="shared" si="7"/>
        <v>0</v>
      </c>
      <c r="R21">
        <f t="array" ref="R21">MAX(IF(ft_nq=O21,row_n))</f>
        <v>0</v>
      </c>
      <c r="S21">
        <f t="shared" si="5"/>
        <v>1</v>
      </c>
    </row>
    <row r="22" spans="1:19">
      <c r="A22" s="61">
        <f t="shared" si="2"/>
        <v>20</v>
      </c>
      <c r="B22" s="61">
        <f t="shared" si="0"/>
        <v>0.38614980392156861</v>
      </c>
      <c r="C22" s="61">
        <f>FH!A22*1</f>
        <v>0</v>
      </c>
      <c r="D22" s="61">
        <f>FH!B22*1</f>
        <v>0</v>
      </c>
      <c r="E22">
        <f t="shared" si="3"/>
        <v>20</v>
      </c>
      <c r="F22" s="61">
        <f>IF(FT!A22&lt;&gt;"",FT!A22*10,"")</f>
        <v>2.4775499999999999</v>
      </c>
      <c r="G22" s="61">
        <f>IF(FT!B22&lt;&gt;"",FT!B22*100,"")</f>
        <v>45.749600000000001</v>
      </c>
      <c r="H22" s="61">
        <f t="shared" si="1"/>
        <v>1</v>
      </c>
      <c r="I22" t="str">
        <f>IF(FT!B22&lt;&gt;"",FT!E22,"")</f>
        <v>1 [8.078560]</v>
      </c>
      <c r="J22">
        <f>IF(FT!B22&lt;&gt;"",FT!C22,"")</f>
        <v>8.0785599999999995</v>
      </c>
      <c r="O22">
        <f t="shared" si="4"/>
        <v>19</v>
      </c>
      <c r="P22">
        <f t="shared" si="6"/>
        <v>0</v>
      </c>
      <c r="Q22">
        <f t="shared" si="7"/>
        <v>0</v>
      </c>
      <c r="R22">
        <f t="array" ref="R22">MAX(IF(ft_nq=O22,row_n))</f>
        <v>0</v>
      </c>
      <c r="S22">
        <f t="shared" si="5"/>
        <v>1</v>
      </c>
    </row>
    <row r="23" spans="1:19">
      <c r="A23" s="61">
        <f t="shared" si="2"/>
        <v>21</v>
      </c>
      <c r="B23" s="61">
        <f t="shared" si="0"/>
        <v>0.40545729411764703</v>
      </c>
      <c r="C23" s="61">
        <f>FH!A23*1</f>
        <v>52154</v>
      </c>
      <c r="D23" s="61">
        <f>FH!B23*1</f>
        <v>52154</v>
      </c>
      <c r="E23">
        <f t="shared" si="3"/>
        <v>21</v>
      </c>
      <c r="F23" s="61">
        <f>IF(FT!A23&lt;&gt;"",FT!A23*10,"")</f>
        <v>2.5090400000000002</v>
      </c>
      <c r="G23" s="61">
        <f>IF(FT!B23&lt;&gt;"",FT!B23*100,"")</f>
        <v>45.058599999999998</v>
      </c>
      <c r="H23" s="61">
        <f t="shared" si="1"/>
        <v>1</v>
      </c>
      <c r="I23" t="str">
        <f>IF(FT!B23&lt;&gt;"",FT!E23,"")</f>
        <v>1 [8.482773]</v>
      </c>
      <c r="J23">
        <f>IF(FT!B23&lt;&gt;"",FT!C23,"")</f>
        <v>8.4827700000000004</v>
      </c>
      <c r="O23">
        <f t="shared" si="4"/>
        <v>20</v>
      </c>
      <c r="P23">
        <f t="shared" si="6"/>
        <v>0</v>
      </c>
      <c r="Q23">
        <f t="shared" si="7"/>
        <v>0</v>
      </c>
      <c r="R23">
        <f t="array" ref="R23">MAX(IF(ft_nq=O23,row_n))</f>
        <v>0</v>
      </c>
      <c r="S23">
        <f t="shared" si="5"/>
        <v>1</v>
      </c>
    </row>
    <row r="24" spans="1:19">
      <c r="A24" s="61">
        <f t="shared" si="2"/>
        <v>22</v>
      </c>
      <c r="B24" s="61">
        <f t="shared" si="0"/>
        <v>0.42476478431372544</v>
      </c>
      <c r="C24" s="61">
        <f>FH!A24*1</f>
        <v>0</v>
      </c>
      <c r="D24" s="61">
        <f>FH!B24*1</f>
        <v>0</v>
      </c>
      <c r="E24">
        <f t="shared" si="3"/>
        <v>22</v>
      </c>
      <c r="F24" s="61">
        <f>IF(FT!A24&lt;&gt;"",FT!A24*10,"")</f>
        <v>2.5404100000000001</v>
      </c>
      <c r="G24" s="61">
        <f>IF(FT!B24&lt;&gt;"",FT!B24*100,"")</f>
        <v>44.351500000000001</v>
      </c>
      <c r="H24" s="61">
        <f t="shared" si="1"/>
        <v>1</v>
      </c>
      <c r="I24" t="str">
        <f>IF(FT!B24&lt;&gt;"",FT!E24,"")</f>
        <v>1 [8.894218]</v>
      </c>
      <c r="J24">
        <f>IF(FT!B24&lt;&gt;"",FT!C24,"")</f>
        <v>8.8942200000000007</v>
      </c>
      <c r="O24">
        <f t="shared" si="4"/>
        <v>21</v>
      </c>
      <c r="P24">
        <f t="shared" si="6"/>
        <v>0</v>
      </c>
      <c r="Q24">
        <f t="shared" si="7"/>
        <v>0</v>
      </c>
      <c r="R24">
        <f t="array" ref="R24">MAX(IF(ft_nq=O24,row_n))</f>
        <v>0</v>
      </c>
      <c r="S24">
        <f t="shared" si="5"/>
        <v>1</v>
      </c>
    </row>
    <row r="25" spans="1:19">
      <c r="A25" s="61">
        <f t="shared" si="2"/>
        <v>23</v>
      </c>
      <c r="B25" s="61">
        <f t="shared" si="0"/>
        <v>0.44407227450980385</v>
      </c>
      <c r="C25" s="61">
        <f>FH!A25*1</f>
        <v>0</v>
      </c>
      <c r="D25" s="61">
        <f>FH!B25*1</f>
        <v>0</v>
      </c>
      <c r="E25">
        <f t="shared" si="3"/>
        <v>23</v>
      </c>
      <c r="F25" s="61">
        <f>IF(FT!A25&lt;&gt;"",FT!A25*10,"")</f>
        <v>2.57043</v>
      </c>
      <c r="G25" s="61">
        <f>IF(FT!B25&lt;&gt;"",FT!B25*100,"")</f>
        <v>43.638199999999998</v>
      </c>
      <c r="H25" s="61">
        <f t="shared" si="1"/>
        <v>1</v>
      </c>
      <c r="I25" t="str">
        <f>IF(FT!B25&lt;&gt;"",FT!E25,"")</f>
        <v>1 [9.295883]</v>
      </c>
      <c r="J25">
        <f>IF(FT!B25&lt;&gt;"",FT!C25,"")</f>
        <v>9.2958800000000004</v>
      </c>
      <c r="O25">
        <f t="shared" si="4"/>
        <v>22</v>
      </c>
      <c r="P25">
        <f t="shared" si="6"/>
        <v>0</v>
      </c>
      <c r="Q25">
        <f t="shared" si="7"/>
        <v>0</v>
      </c>
      <c r="R25">
        <f t="array" ref="R25">MAX(IF(ft_nq=O25,row_n))</f>
        <v>0</v>
      </c>
      <c r="S25">
        <f t="shared" si="5"/>
        <v>1</v>
      </c>
    </row>
    <row r="26" spans="1:19">
      <c r="A26" s="61">
        <f t="shared" si="2"/>
        <v>24</v>
      </c>
      <c r="B26" s="61">
        <f t="shared" si="0"/>
        <v>0.46337976470588232</v>
      </c>
      <c r="C26" s="61">
        <f>FH!A26*1</f>
        <v>75485</v>
      </c>
      <c r="D26" s="61">
        <f>FH!B26*1</f>
        <v>75485</v>
      </c>
      <c r="E26">
        <f t="shared" si="3"/>
        <v>24</v>
      </c>
      <c r="F26" s="61">
        <f>IF(FT!A26&lt;&gt;"",FT!A26*10,"")</f>
        <v>2.59931</v>
      </c>
      <c r="G26" s="61">
        <f>IF(FT!B26&lt;&gt;"",FT!B26*100,"")</f>
        <v>42.949799999999996</v>
      </c>
      <c r="H26" s="61">
        <f t="shared" si="1"/>
        <v>1</v>
      </c>
      <c r="I26" t="str">
        <f>IF(FT!B26&lt;&gt;"",FT!E26,"")</f>
        <v>1 [9.703974]</v>
      </c>
      <c r="J26">
        <f>IF(FT!B26&lt;&gt;"",FT!C26,"")</f>
        <v>9.70397</v>
      </c>
      <c r="O26">
        <f t="shared" si="4"/>
        <v>23</v>
      </c>
      <c r="P26">
        <f t="shared" si="6"/>
        <v>0</v>
      </c>
      <c r="Q26">
        <f t="shared" si="7"/>
        <v>0</v>
      </c>
      <c r="R26">
        <f t="array" ref="R26">MAX(IF(ft_nq=O26,row_n))</f>
        <v>0</v>
      </c>
      <c r="S26">
        <f t="shared" si="5"/>
        <v>1</v>
      </c>
    </row>
    <row r="27" spans="1:19">
      <c r="A27" s="61">
        <f t="shared" si="2"/>
        <v>25</v>
      </c>
      <c r="B27" s="61">
        <f t="shared" si="0"/>
        <v>0.48268725490196074</v>
      </c>
      <c r="C27" s="61">
        <f>FH!A27*1</f>
        <v>0</v>
      </c>
      <c r="D27" s="61">
        <f>FH!B27*1</f>
        <v>0</v>
      </c>
      <c r="E27">
        <f t="shared" si="3"/>
        <v>25</v>
      </c>
      <c r="F27" s="61">
        <f>IF(FT!A27&lt;&gt;"",FT!A27*10,"")</f>
        <v>2.6290200000000001</v>
      </c>
      <c r="G27" s="61">
        <f>IF(FT!B27&lt;&gt;"",FT!B27*100,"")</f>
        <v>42.265300000000003</v>
      </c>
      <c r="H27" s="61">
        <f t="shared" si="1"/>
        <v>1</v>
      </c>
      <c r="I27" t="str">
        <f>IF(FT!B27&lt;&gt;"",FT!E27,"")</f>
        <v>1 [10.108718]</v>
      </c>
      <c r="J27">
        <f>IF(FT!B27&lt;&gt;"",FT!C27,"")</f>
        <v>10.108700000000001</v>
      </c>
      <c r="O27">
        <f t="shared" si="4"/>
        <v>24</v>
      </c>
      <c r="P27">
        <f t="shared" si="6"/>
        <v>0</v>
      </c>
      <c r="Q27">
        <f t="shared" si="7"/>
        <v>0</v>
      </c>
      <c r="R27">
        <f t="array" ref="R27">MAX(IF(ft_nq=O27,row_n))</f>
        <v>0</v>
      </c>
      <c r="S27">
        <f t="shared" si="5"/>
        <v>1</v>
      </c>
    </row>
    <row r="28" spans="1:19">
      <c r="A28" s="61">
        <f t="shared" si="2"/>
        <v>26</v>
      </c>
      <c r="B28" s="61">
        <f t="shared" si="0"/>
        <v>0.50199474509803921</v>
      </c>
      <c r="C28" s="61">
        <f>FH!A28*1</f>
        <v>75172</v>
      </c>
      <c r="D28" s="61">
        <f>FH!B28*1</f>
        <v>75172</v>
      </c>
      <c r="E28">
        <f t="shared" si="3"/>
        <v>26</v>
      </c>
      <c r="F28" s="61">
        <f>IF(FT!A28&lt;&gt;"",FT!A28*10,"")</f>
        <v>2.6585900000000002</v>
      </c>
      <c r="G28" s="61">
        <f>IF(FT!B28&lt;&gt;"",FT!B28*100,"")</f>
        <v>41.582900000000002</v>
      </c>
      <c r="H28" s="61">
        <f t="shared" si="1"/>
        <v>1</v>
      </c>
      <c r="I28" t="str">
        <f>IF(FT!B28&lt;&gt;"",FT!E28,"")</f>
        <v>1 [10.513915]</v>
      </c>
      <c r="J28">
        <f>IF(FT!B28&lt;&gt;"",FT!C28,"")</f>
        <v>10.5139</v>
      </c>
    </row>
    <row r="29" spans="1:19">
      <c r="A29" s="61">
        <f t="shared" si="2"/>
        <v>27</v>
      </c>
      <c r="B29" s="61">
        <f t="shared" si="0"/>
        <v>0.52130223529411757</v>
      </c>
      <c r="C29" s="61">
        <f>FH!A29*1</f>
        <v>0</v>
      </c>
      <c r="D29" s="61">
        <f>FH!B29*1</f>
        <v>0</v>
      </c>
      <c r="E29">
        <f t="shared" si="3"/>
        <v>27</v>
      </c>
      <c r="F29" s="61">
        <f>IF(FT!A29&lt;&gt;"",FT!A29*10,"")</f>
        <v>2.6878099999999998</v>
      </c>
      <c r="G29" s="61">
        <f>IF(FT!B29&lt;&gt;"",FT!B29*100,"")</f>
        <v>40.947899999999997</v>
      </c>
      <c r="H29" s="61">
        <f t="shared" si="1"/>
        <v>1</v>
      </c>
      <c r="I29" t="str">
        <f>IF(FT!B29&lt;&gt;"",FT!E29,"")</f>
        <v>1 [10.923256]</v>
      </c>
      <c r="J29">
        <f>IF(FT!B29&lt;&gt;"",FT!C29,"")</f>
        <v>10.923299999999999</v>
      </c>
    </row>
    <row r="30" spans="1:19">
      <c r="A30" s="61">
        <f t="shared" si="2"/>
        <v>28</v>
      </c>
      <c r="B30" s="61">
        <f t="shared" si="0"/>
        <v>0.54060972549019604</v>
      </c>
      <c r="C30" s="61">
        <f>FH!A30*1</f>
        <v>0</v>
      </c>
      <c r="D30" s="61">
        <f>FH!B30*1</f>
        <v>0</v>
      </c>
      <c r="E30">
        <f t="shared" si="3"/>
        <v>28</v>
      </c>
      <c r="F30" s="61">
        <f>IF(FT!A30&lt;&gt;"",FT!A30*10,"")</f>
        <v>2.7148499999999998</v>
      </c>
      <c r="G30" s="61">
        <f>IF(FT!B30&lt;&gt;"",FT!B30*100,"")</f>
        <v>40.3949</v>
      </c>
      <c r="H30" s="61">
        <f t="shared" si="1"/>
        <v>1</v>
      </c>
      <c r="I30" t="str">
        <f>IF(FT!B30&lt;&gt;"",FT!E30,"")</f>
        <v>1 [11.331913]</v>
      </c>
      <c r="J30">
        <f>IF(FT!B30&lt;&gt;"",FT!C30,"")</f>
        <v>11.331899999999999</v>
      </c>
    </row>
    <row r="31" spans="1:19">
      <c r="A31" s="61">
        <f t="shared" si="2"/>
        <v>29</v>
      </c>
      <c r="B31" s="61">
        <f t="shared" si="0"/>
        <v>0.55991721568627451</v>
      </c>
      <c r="C31" s="61">
        <f>FH!A31*1</f>
        <v>85504</v>
      </c>
      <c r="D31" s="61">
        <f>FH!B31*1</f>
        <v>85504</v>
      </c>
      <c r="E31">
        <f t="shared" si="3"/>
        <v>29</v>
      </c>
      <c r="F31" s="61">
        <f>IF(FT!A31&lt;&gt;"",FT!A31*10,"")</f>
        <v>2.7411300000000001</v>
      </c>
      <c r="G31" s="61">
        <f>IF(FT!B31&lt;&gt;"",FT!B31*100,"")</f>
        <v>39.872399999999999</v>
      </c>
      <c r="H31" s="61">
        <f t="shared" si="1"/>
        <v>1</v>
      </c>
      <c r="I31" t="str">
        <f>IF(FT!B31&lt;&gt;"",FT!E31,"")</f>
        <v>1 [11.737164]</v>
      </c>
      <c r="J31">
        <f>IF(FT!B31&lt;&gt;"",FT!C31,"")</f>
        <v>11.7372</v>
      </c>
    </row>
    <row r="32" spans="1:19">
      <c r="A32" s="61">
        <f t="shared" si="2"/>
        <v>30</v>
      </c>
      <c r="B32" s="61">
        <f t="shared" si="0"/>
        <v>0.57922470588235286</v>
      </c>
      <c r="C32" s="61">
        <f>FH!A32*1</f>
        <v>0</v>
      </c>
      <c r="D32" s="61">
        <f>FH!B32*1</f>
        <v>0</v>
      </c>
      <c r="E32">
        <f t="shared" si="3"/>
        <v>30</v>
      </c>
      <c r="F32" s="61">
        <f>IF(FT!A32&lt;&gt;"",FT!A32*10,"")</f>
        <v>2.7660499999999999</v>
      </c>
      <c r="G32" s="61">
        <f>IF(FT!B32&lt;&gt;"",FT!B32*100,"")</f>
        <v>39.426699999999997</v>
      </c>
      <c r="H32" s="61">
        <f t="shared" si="1"/>
        <v>1</v>
      </c>
      <c r="I32" t="str">
        <f>IF(FT!B32&lt;&gt;"",FT!E32,"")</f>
        <v>1 [12.139905]</v>
      </c>
      <c r="J32">
        <f>IF(FT!B32&lt;&gt;"",FT!C32,"")</f>
        <v>12.139900000000001</v>
      </c>
    </row>
    <row r="33" spans="1:10">
      <c r="A33" s="61">
        <f t="shared" si="2"/>
        <v>31</v>
      </c>
      <c r="B33" s="61">
        <f t="shared" si="0"/>
        <v>0.59853219607843133</v>
      </c>
      <c r="C33" s="61">
        <f>FH!A33*1</f>
        <v>90266</v>
      </c>
      <c r="D33" s="61">
        <f>FH!B33*1</f>
        <v>90266</v>
      </c>
      <c r="E33">
        <f t="shared" si="3"/>
        <v>31</v>
      </c>
      <c r="F33" s="61">
        <f>IF(FT!A33&lt;&gt;"",FT!A33*10,"")</f>
        <v>2.7914400000000001</v>
      </c>
      <c r="G33" s="61">
        <f>IF(FT!B33&lt;&gt;"",FT!B33*100,"")</f>
        <v>39.0169</v>
      </c>
      <c r="H33" s="61">
        <f t="shared" si="1"/>
        <v>1</v>
      </c>
      <c r="I33" t="str">
        <f>IF(FT!B33&lt;&gt;"",FT!E33,"")</f>
        <v>1 [12.545539]</v>
      </c>
      <c r="J33">
        <f>IF(FT!B33&lt;&gt;"",FT!C33,"")</f>
        <v>12.545500000000001</v>
      </c>
    </row>
    <row r="34" spans="1:10">
      <c r="A34" s="61">
        <f t="shared" si="2"/>
        <v>32</v>
      </c>
      <c r="B34" s="61">
        <f t="shared" si="0"/>
        <v>0.6178396862745098</v>
      </c>
      <c r="C34" s="61">
        <f>FH!A34*1</f>
        <v>0</v>
      </c>
      <c r="D34" s="61">
        <f>FH!B34*1</f>
        <v>0</v>
      </c>
      <c r="E34">
        <f t="shared" si="3"/>
        <v>32</v>
      </c>
      <c r="F34" s="61">
        <f>IF(FT!A34&lt;&gt;"",FT!A34*10,"")</f>
        <v>2.8158899999999996</v>
      </c>
      <c r="G34" s="61">
        <f>IF(FT!B34&lt;&gt;"",FT!B34*100,"")</f>
        <v>38.631300000000003</v>
      </c>
      <c r="H34" s="61">
        <f t="shared" si="1"/>
        <v>1</v>
      </c>
      <c r="I34" t="str">
        <f>IF(FT!B34&lt;&gt;"",FT!E34,"")</f>
        <v>1 [12.952305]</v>
      </c>
      <c r="J34">
        <f>IF(FT!B34&lt;&gt;"",FT!C34,"")</f>
        <v>12.952299999999999</v>
      </c>
    </row>
    <row r="35" spans="1:10">
      <c r="A35" s="61">
        <f t="shared" si="2"/>
        <v>33</v>
      </c>
      <c r="B35" s="61">
        <f t="shared" si="0"/>
        <v>0.63714717647058827</v>
      </c>
      <c r="C35" s="61">
        <f>FH!A35*1</f>
        <v>0</v>
      </c>
      <c r="D35" s="61">
        <f>FH!B35*1</f>
        <v>0</v>
      </c>
      <c r="E35">
        <f t="shared" si="3"/>
        <v>33</v>
      </c>
      <c r="F35" s="61">
        <f>IF(FT!A35&lt;&gt;"",FT!A35*10,"")</f>
        <v>2.8378100000000002</v>
      </c>
      <c r="G35" s="61">
        <f>IF(FT!B35&lt;&gt;"",FT!B35*100,"")</f>
        <v>38.302</v>
      </c>
      <c r="H35" s="61">
        <f t="shared" si="1"/>
        <v>1</v>
      </c>
      <c r="I35" t="str">
        <f>IF(FT!B35&lt;&gt;"",FT!E35,"")</f>
        <v>1 [13.362454]</v>
      </c>
      <c r="J35">
        <f>IF(FT!B35&lt;&gt;"",FT!C35,"")</f>
        <v>13.362500000000001</v>
      </c>
    </row>
    <row r="36" spans="1:10">
      <c r="A36" s="61">
        <f t="shared" si="2"/>
        <v>34</v>
      </c>
      <c r="B36" s="61">
        <f t="shared" si="0"/>
        <v>0.65645466666666663</v>
      </c>
      <c r="C36" s="61">
        <f>FH!A36*1</f>
        <v>95674</v>
      </c>
      <c r="D36" s="61">
        <f>FH!B36*1</f>
        <v>95674</v>
      </c>
      <c r="E36">
        <f t="shared" si="3"/>
        <v>34</v>
      </c>
      <c r="F36" s="61">
        <f>IF(FT!A36&lt;&gt;"",FT!A36*10,"")</f>
        <v>2.8566500000000001</v>
      </c>
      <c r="G36" s="61">
        <f>IF(FT!B36&lt;&gt;"",FT!B36*100,"")</f>
        <v>38.0383</v>
      </c>
      <c r="H36" s="61">
        <f t="shared" si="1"/>
        <v>1</v>
      </c>
      <c r="I36" t="str">
        <f>IF(FT!B36&lt;&gt;"",FT!E36,"")</f>
        <v>1 [13.765224]</v>
      </c>
      <c r="J36">
        <f>IF(FT!B36&lt;&gt;"",FT!C36,"")</f>
        <v>13.7652</v>
      </c>
    </row>
    <row r="37" spans="1:10">
      <c r="A37" s="61">
        <f t="shared" si="2"/>
        <v>35</v>
      </c>
      <c r="B37" s="61">
        <f t="shared" si="0"/>
        <v>0.6757621568627451</v>
      </c>
      <c r="C37" s="61">
        <f>FH!A37*1</f>
        <v>0</v>
      </c>
      <c r="D37" s="61">
        <f>FH!B37*1</f>
        <v>0</v>
      </c>
      <c r="E37">
        <f t="shared" si="3"/>
        <v>35</v>
      </c>
      <c r="F37" s="61">
        <f>IF(FT!A37&lt;&gt;"",FT!A37*10,"")</f>
        <v>2.8734999999999999</v>
      </c>
      <c r="G37" s="61">
        <f>IF(FT!B37&lt;&gt;"",FT!B37*100,"")</f>
        <v>37.825499999999998</v>
      </c>
      <c r="H37" s="61">
        <f t="shared" si="1"/>
        <v>1</v>
      </c>
      <c r="I37" t="str">
        <f>IF(FT!B37&lt;&gt;"",FT!E37,"")</f>
        <v>1 [14.171941]</v>
      </c>
      <c r="J37">
        <f>IF(FT!B37&lt;&gt;"",FT!C37,"")</f>
        <v>14.171900000000001</v>
      </c>
    </row>
    <row r="38" spans="1:10">
      <c r="A38" s="61">
        <f t="shared" si="2"/>
        <v>36</v>
      </c>
      <c r="B38" s="61">
        <f t="shared" si="0"/>
        <v>0.69506964705882346</v>
      </c>
      <c r="C38" s="61">
        <f>FH!A38*1</f>
        <v>0</v>
      </c>
      <c r="D38" s="61">
        <f>FH!B38*1</f>
        <v>0</v>
      </c>
      <c r="E38">
        <f t="shared" si="3"/>
        <v>36</v>
      </c>
      <c r="F38" s="61">
        <f>IF(FT!A38&lt;&gt;"",FT!A38*10,"")</f>
        <v>2.8900999999999999</v>
      </c>
      <c r="G38" s="61">
        <f>IF(FT!B38&lt;&gt;"",FT!B38*100,"")</f>
        <v>37.634499999999996</v>
      </c>
      <c r="H38" s="61">
        <f t="shared" si="1"/>
        <v>1</v>
      </c>
      <c r="I38" t="str">
        <f>IF(FT!B38&lt;&gt;"",FT!E38,"")</f>
        <v>1 [14.578107]</v>
      </c>
      <c r="J38">
        <f>IF(FT!B38&lt;&gt;"",FT!C38,"")</f>
        <v>14.578099999999999</v>
      </c>
    </row>
    <row r="39" spans="1:10">
      <c r="A39" s="61">
        <f t="shared" si="2"/>
        <v>37</v>
      </c>
      <c r="B39" s="61">
        <f t="shared" si="0"/>
        <v>0.71437713725490193</v>
      </c>
      <c r="C39" s="61">
        <f>FH!A39*1</f>
        <v>97011</v>
      </c>
      <c r="D39" s="61">
        <f>FH!B39*1</f>
        <v>97011</v>
      </c>
      <c r="E39">
        <f t="shared" si="3"/>
        <v>37</v>
      </c>
      <c r="F39" s="61">
        <f>IF(FT!A39&lt;&gt;"",FT!A39*10,"")</f>
        <v>2.9055599999999999</v>
      </c>
      <c r="G39" s="61">
        <f>IF(FT!B39&lt;&gt;"",FT!B39*100,"")</f>
        <v>37.471499999999999</v>
      </c>
      <c r="H39" s="61">
        <f t="shared" si="1"/>
        <v>1</v>
      </c>
      <c r="I39" t="str">
        <f>IF(FT!B39&lt;&gt;"",FT!E39,"")</f>
        <v>1 [14.983255]</v>
      </c>
      <c r="J39">
        <f>IF(FT!B39&lt;&gt;"",FT!C39,"")</f>
        <v>14.9833</v>
      </c>
    </row>
    <row r="40" spans="1:10">
      <c r="A40" s="61">
        <f t="shared" si="2"/>
        <v>38</v>
      </c>
      <c r="B40" s="61">
        <f t="shared" si="0"/>
        <v>0.73368462745098029</v>
      </c>
      <c r="C40" s="61">
        <f>FH!A40*1</f>
        <v>0</v>
      </c>
      <c r="D40" s="61">
        <f>FH!B40*1</f>
        <v>0</v>
      </c>
      <c r="E40">
        <f t="shared" si="3"/>
        <v>38</v>
      </c>
      <c r="F40" s="61">
        <f>IF(FT!A40&lt;&gt;"",FT!A40*10,"")</f>
        <v>2.9209700000000001</v>
      </c>
      <c r="G40" s="61">
        <f>IF(FT!B40&lt;&gt;"",FT!B40*100,"")</f>
        <v>37.321899999999999</v>
      </c>
      <c r="H40" s="61">
        <f t="shared" si="1"/>
        <v>1</v>
      </c>
      <c r="I40" t="str">
        <f>IF(FT!B40&lt;&gt;"",FT!E40,"")</f>
        <v>1 [15.391702]</v>
      </c>
      <c r="J40">
        <f>IF(FT!B40&lt;&gt;"",FT!C40,"")</f>
        <v>15.3917</v>
      </c>
    </row>
    <row r="41" spans="1:10">
      <c r="A41" s="61">
        <f t="shared" si="2"/>
        <v>39</v>
      </c>
      <c r="B41" s="61">
        <f t="shared" si="0"/>
        <v>0.75299211764705887</v>
      </c>
      <c r="C41" s="61">
        <f>FH!A41*1</f>
        <v>101881</v>
      </c>
      <c r="D41" s="61">
        <f>FH!B41*1</f>
        <v>101881</v>
      </c>
      <c r="E41">
        <f t="shared" si="3"/>
        <v>39</v>
      </c>
      <c r="F41" s="61">
        <f>IF(FT!A41&lt;&gt;"",FT!A41*10,"")</f>
        <v>2.9386400000000004</v>
      </c>
      <c r="G41" s="61">
        <f>IF(FT!B41&lt;&gt;"",FT!B41*100,"")</f>
        <v>37.157899999999998</v>
      </c>
      <c r="H41" s="61">
        <f t="shared" si="1"/>
        <v>1</v>
      </c>
      <c r="I41" t="str">
        <f>IF(FT!B41&lt;&gt;"",FT!E41,"")</f>
        <v>1 [15.798129]</v>
      </c>
      <c r="J41">
        <f>IF(FT!B41&lt;&gt;"",FT!C41,"")</f>
        <v>15.7981</v>
      </c>
    </row>
    <row r="42" spans="1:10">
      <c r="A42" s="61">
        <f t="shared" si="2"/>
        <v>40</v>
      </c>
      <c r="B42" s="61">
        <f t="shared" si="0"/>
        <v>0.77229960784313723</v>
      </c>
      <c r="C42" s="61">
        <f>FH!A42*1</f>
        <v>0</v>
      </c>
      <c r="D42" s="61">
        <f>FH!B42*1</f>
        <v>0</v>
      </c>
      <c r="E42">
        <f t="shared" si="3"/>
        <v>40</v>
      </c>
      <c r="F42" s="61">
        <f>IF(FT!A42&lt;&gt;"",FT!A42*10,"")</f>
        <v>2.9572399999999996</v>
      </c>
      <c r="G42" s="61">
        <f>IF(FT!B42&lt;&gt;"",FT!B42*100,"")</f>
        <v>36.973500000000001</v>
      </c>
      <c r="H42" s="61">
        <f t="shared" si="1"/>
        <v>1</v>
      </c>
      <c r="I42" t="str">
        <f>IF(FT!B42&lt;&gt;"",FT!E42,"")</f>
        <v>1 [16.206735]</v>
      </c>
      <c r="J42">
        <f>IF(FT!B42&lt;&gt;"",FT!C42,"")</f>
        <v>16.206700000000001</v>
      </c>
    </row>
    <row r="43" spans="1:10">
      <c r="A43" s="61">
        <f t="shared" si="2"/>
        <v>41</v>
      </c>
      <c r="B43" s="61">
        <f t="shared" si="0"/>
        <v>0.7916070980392157</v>
      </c>
      <c r="C43" s="61">
        <f>FH!A43*1</f>
        <v>0</v>
      </c>
      <c r="D43" s="61">
        <f>FH!B43*1</f>
        <v>0</v>
      </c>
      <c r="E43">
        <f t="shared" si="3"/>
        <v>41</v>
      </c>
      <c r="F43" s="61">
        <f>IF(FT!A43&lt;&gt;"",FT!A43*10,"")</f>
        <v>2.9739599999999999</v>
      </c>
      <c r="G43" s="61">
        <f>IF(FT!B43&lt;&gt;"",FT!B43*100,"")</f>
        <v>36.783700000000003</v>
      </c>
      <c r="H43" s="61">
        <f t="shared" si="1"/>
        <v>1</v>
      </c>
      <c r="I43" t="str">
        <f>IF(FT!B43&lt;&gt;"",FT!E43,"")</f>
        <v>1 [16.608588]</v>
      </c>
      <c r="J43">
        <f>IF(FT!B43&lt;&gt;"",FT!C43,"")</f>
        <v>16.608599999999999</v>
      </c>
    </row>
    <row r="44" spans="1:10">
      <c r="A44" s="61">
        <f t="shared" si="2"/>
        <v>42</v>
      </c>
      <c r="B44" s="61">
        <f t="shared" si="0"/>
        <v>0.81091458823529405</v>
      </c>
      <c r="C44" s="61">
        <f>FH!A44*1</f>
        <v>103076</v>
      </c>
      <c r="D44" s="61">
        <f>FH!B44*1</f>
        <v>103076</v>
      </c>
      <c r="E44">
        <f t="shared" si="3"/>
        <v>42</v>
      </c>
      <c r="F44" s="61">
        <f>IF(FT!A44&lt;&gt;"",FT!A44*10,"")</f>
        <v>2.9917700000000003</v>
      </c>
      <c r="G44" s="61">
        <f>IF(FT!B44&lt;&gt;"",FT!B44*100,"")</f>
        <v>36.546299999999995</v>
      </c>
      <c r="H44" s="61">
        <f t="shared" si="1"/>
        <v>1</v>
      </c>
      <c r="I44" t="str">
        <f>IF(FT!B44&lt;&gt;"",FT!E44,"")</f>
        <v>1 [17.015978]</v>
      </c>
      <c r="J44">
        <f>IF(FT!B44&lt;&gt;"",FT!C44,"")</f>
        <v>17.015999999999998</v>
      </c>
    </row>
    <row r="45" spans="1:10">
      <c r="A45" s="61">
        <f t="shared" si="2"/>
        <v>43</v>
      </c>
      <c r="B45" s="61">
        <f t="shared" si="0"/>
        <v>0.83022207843137252</v>
      </c>
      <c r="C45" s="61">
        <f>FH!A45*1</f>
        <v>0</v>
      </c>
      <c r="D45" s="61">
        <f>FH!B45*1</f>
        <v>0</v>
      </c>
      <c r="E45">
        <f t="shared" si="3"/>
        <v>43</v>
      </c>
      <c r="F45" s="61">
        <f>IF(FT!A45&lt;&gt;"",FT!A45*10,"")</f>
        <v>3.0091600000000001</v>
      </c>
      <c r="G45" s="61">
        <f>IF(FT!B45&lt;&gt;"",FT!B45*100,"")</f>
        <v>36.320900000000002</v>
      </c>
      <c r="H45" s="61">
        <f t="shared" si="1"/>
        <v>1</v>
      </c>
      <c r="I45" t="str">
        <f>IF(FT!B45&lt;&gt;"",FT!E45,"")</f>
        <v>1 [17.420167]</v>
      </c>
      <c r="J45">
        <f>IF(FT!B45&lt;&gt;"",FT!C45,"")</f>
        <v>17.420200000000001</v>
      </c>
    </row>
    <row r="46" spans="1:10">
      <c r="A46" s="61">
        <f t="shared" si="2"/>
        <v>44</v>
      </c>
      <c r="B46" s="61">
        <f t="shared" si="0"/>
        <v>0.84952956862745088</v>
      </c>
      <c r="C46" s="61">
        <f>FH!A46*1</f>
        <v>105880</v>
      </c>
      <c r="D46" s="61">
        <f>FH!B46*1</f>
        <v>105880</v>
      </c>
      <c r="E46">
        <f t="shared" si="3"/>
        <v>44</v>
      </c>
      <c r="F46" s="61">
        <f>IF(FT!A46&lt;&gt;"",FT!A46*10,"")</f>
        <v>3.0260500000000001</v>
      </c>
      <c r="G46" s="61">
        <f>IF(FT!B46&lt;&gt;"",FT!B46*100,"")</f>
        <v>36.1633</v>
      </c>
      <c r="H46" s="61">
        <f t="shared" si="1"/>
        <v>1</v>
      </c>
      <c r="I46" t="str">
        <f>IF(FT!B46&lt;&gt;"",FT!E46,"")</f>
        <v>1 [17.828720]</v>
      </c>
      <c r="J46">
        <f>IF(FT!B46&lt;&gt;"",FT!C46,"")</f>
        <v>17.828700000000001</v>
      </c>
    </row>
    <row r="47" spans="1:10">
      <c r="A47" s="61">
        <f t="shared" si="2"/>
        <v>45</v>
      </c>
      <c r="B47" s="61">
        <f t="shared" si="0"/>
        <v>0.86883705882352935</v>
      </c>
      <c r="C47" s="61">
        <f>FH!A47*1</f>
        <v>0</v>
      </c>
      <c r="D47" s="61">
        <f>FH!B47*1</f>
        <v>0</v>
      </c>
      <c r="E47">
        <f t="shared" si="3"/>
        <v>45</v>
      </c>
      <c r="F47" s="61">
        <f>IF(FT!A47&lt;&gt;"",FT!A47*10,"")</f>
        <v>3.0470299999999999</v>
      </c>
      <c r="G47" s="61">
        <f>IF(FT!B47&lt;&gt;"",FT!B47*100,"")</f>
        <v>35.970700000000001</v>
      </c>
      <c r="H47" s="61">
        <f t="shared" si="1"/>
        <v>1</v>
      </c>
      <c r="I47" t="str">
        <f>IF(FT!B47&lt;&gt;"",FT!E47,"")</f>
        <v>1 [18.234736]</v>
      </c>
      <c r="J47">
        <f>IF(FT!B47&lt;&gt;"",FT!C47,"")</f>
        <v>18.2347</v>
      </c>
    </row>
    <row r="48" spans="1:10">
      <c r="A48" s="61">
        <f t="shared" si="2"/>
        <v>46</v>
      </c>
      <c r="B48" s="61">
        <f t="shared" si="0"/>
        <v>0.88814454901960771</v>
      </c>
      <c r="C48" s="61">
        <f>FH!A48*1</f>
        <v>0</v>
      </c>
      <c r="D48" s="61">
        <f>FH!B48*1</f>
        <v>0</v>
      </c>
      <c r="E48">
        <f t="shared" si="3"/>
        <v>46</v>
      </c>
      <c r="F48" s="61">
        <f>IF(FT!A48&lt;&gt;"",FT!A48*10,"")</f>
        <v>3.0673899999999996</v>
      </c>
      <c r="G48" s="61">
        <f>IF(FT!B48&lt;&gt;"",FT!B48*100,"")</f>
        <v>35.802299999999995</v>
      </c>
      <c r="H48" s="61">
        <f t="shared" si="1"/>
        <v>1</v>
      </c>
      <c r="I48" t="str">
        <f>IF(FT!B48&lt;&gt;"",FT!E48,"")</f>
        <v>1 [18.638736]</v>
      </c>
      <c r="J48">
        <f>IF(FT!B48&lt;&gt;"",FT!C48,"")</f>
        <v>18.6387</v>
      </c>
    </row>
    <row r="49" spans="1:10">
      <c r="A49" s="61">
        <f t="shared" si="2"/>
        <v>47</v>
      </c>
      <c r="B49" s="61">
        <f t="shared" si="0"/>
        <v>0.90745203921568629</v>
      </c>
      <c r="C49" s="61">
        <f>FH!A49*1</f>
        <v>116348</v>
      </c>
      <c r="D49" s="61">
        <f>FH!B49*1</f>
        <v>116348</v>
      </c>
      <c r="E49">
        <f t="shared" si="3"/>
        <v>47</v>
      </c>
      <c r="F49" s="61">
        <f>IF(FT!A49&lt;&gt;"",FT!A49*10,"")</f>
        <v>3.0878000000000001</v>
      </c>
      <c r="G49" s="61">
        <f>IF(FT!B49&lt;&gt;"",FT!B49*100,"")</f>
        <v>35.682600000000001</v>
      </c>
      <c r="H49" s="61">
        <f t="shared" si="1"/>
        <v>1</v>
      </c>
      <c r="I49" t="str">
        <f>IF(FT!B49&lt;&gt;"",FT!E49,"")</f>
        <v>1 [19.046669]</v>
      </c>
      <c r="J49">
        <f>IF(FT!B49&lt;&gt;"",FT!C49,"")</f>
        <v>19.046700000000001</v>
      </c>
    </row>
    <row r="50" spans="1:10">
      <c r="A50" s="61">
        <f t="shared" si="2"/>
        <v>48</v>
      </c>
      <c r="B50" s="61">
        <f t="shared" si="0"/>
        <v>0.92675952941176465</v>
      </c>
      <c r="C50" s="61">
        <f>FH!A50*1</f>
        <v>0</v>
      </c>
      <c r="D50" s="61">
        <f>FH!B50*1</f>
        <v>0</v>
      </c>
      <c r="E50">
        <f t="shared" si="3"/>
        <v>48</v>
      </c>
      <c r="F50" s="61">
        <f>IF(FT!A50&lt;&gt;"",FT!A50*10,"")</f>
        <v>3.1073899999999997</v>
      </c>
      <c r="G50" s="61">
        <f>IF(FT!B50&lt;&gt;"",FT!B50*100,"")</f>
        <v>35.597799999999999</v>
      </c>
      <c r="H50" s="61">
        <f t="shared" si="1"/>
        <v>1</v>
      </c>
      <c r="I50" t="str">
        <f>IF(FT!B50&lt;&gt;"",FT!E50,"")</f>
        <v>1 [19.451631]</v>
      </c>
      <c r="J50">
        <f>IF(FT!B50&lt;&gt;"",FT!C50,"")</f>
        <v>19.451599999999999</v>
      </c>
    </row>
    <row r="51" spans="1:10">
      <c r="A51" s="61">
        <f t="shared" si="2"/>
        <v>49</v>
      </c>
      <c r="B51" s="61">
        <f t="shared" si="0"/>
        <v>0.94606701960784312</v>
      </c>
      <c r="C51" s="61">
        <f>FH!A51*1</f>
        <v>117554</v>
      </c>
      <c r="D51" s="61">
        <f>FH!B51*1</f>
        <v>117554</v>
      </c>
      <c r="E51">
        <f t="shared" si="3"/>
        <v>49</v>
      </c>
      <c r="F51" s="61">
        <f>IF(FT!A51&lt;&gt;"",FT!A51*10,"")</f>
        <v>3.1253399999999996</v>
      </c>
      <c r="G51" s="61">
        <f>IF(FT!B51&lt;&gt;"",FT!B51*100,"")</f>
        <v>35.561999999999998</v>
      </c>
      <c r="H51" s="61">
        <f t="shared" si="1"/>
        <v>1</v>
      </c>
      <c r="I51" t="str">
        <f>IF(FT!B51&lt;&gt;"",FT!E51,"")</f>
        <v>1 [19.864359]</v>
      </c>
      <c r="J51">
        <f>IF(FT!B51&lt;&gt;"",FT!C51,"")</f>
        <v>19.8644</v>
      </c>
    </row>
    <row r="52" spans="1:10">
      <c r="A52" s="61">
        <f t="shared" si="2"/>
        <v>50</v>
      </c>
      <c r="B52" s="61">
        <f t="shared" si="0"/>
        <v>0.96537450980392148</v>
      </c>
      <c r="C52" s="61">
        <f>FH!A52*1</f>
        <v>0</v>
      </c>
      <c r="D52" s="61">
        <f>FH!B52*1</f>
        <v>0</v>
      </c>
      <c r="E52">
        <f t="shared" si="3"/>
        <v>50</v>
      </c>
      <c r="F52" s="61">
        <f>IF(FT!A52&lt;&gt;"",FT!A52*10,"")</f>
        <v>3.1368800000000001</v>
      </c>
      <c r="G52" s="61">
        <f>IF(FT!B52&lt;&gt;"",FT!B52*100,"")</f>
        <v>35.558</v>
      </c>
      <c r="H52" s="61">
        <f t="shared" si="1"/>
        <v>1</v>
      </c>
      <c r="I52" t="str">
        <f>IF(FT!B52&lt;&gt;"",FT!E52,"")</f>
        <v>1 [20.268100]</v>
      </c>
      <c r="J52">
        <f>IF(FT!B52&lt;&gt;"",FT!C52,"")</f>
        <v>20.2681</v>
      </c>
    </row>
    <row r="53" spans="1:10">
      <c r="A53" s="61">
        <f t="shared" si="2"/>
        <v>51</v>
      </c>
      <c r="B53" s="61">
        <f t="shared" si="0"/>
        <v>0.98468199999999995</v>
      </c>
      <c r="C53" s="61">
        <f>FH!A53*1</f>
        <v>0</v>
      </c>
      <c r="D53" s="61">
        <f>FH!B53*1</f>
        <v>0</v>
      </c>
      <c r="E53">
        <f t="shared" si="3"/>
        <v>51</v>
      </c>
      <c r="F53" s="61">
        <f>IF(FT!A53&lt;&gt;"",FT!A53*10,"")</f>
        <v>3.1509</v>
      </c>
      <c r="G53" s="61">
        <f>IF(FT!B53&lt;&gt;"",FT!B53*100,"")</f>
        <v>35.581000000000003</v>
      </c>
      <c r="H53" s="61">
        <f t="shared" si="1"/>
        <v>1</v>
      </c>
      <c r="I53" t="str">
        <f>IF(FT!B53&lt;&gt;"",FT!E53,"")</f>
        <v>1 [20.670008]</v>
      </c>
      <c r="J53">
        <f>IF(FT!B53&lt;&gt;"",FT!C53,"")</f>
        <v>20.67</v>
      </c>
    </row>
    <row r="54" spans="1:10">
      <c r="A54" s="61">
        <f t="shared" si="2"/>
        <v>52</v>
      </c>
      <c r="B54" s="61">
        <f t="shared" si="0"/>
        <v>1.0039894901960784</v>
      </c>
      <c r="C54" s="61">
        <f>FH!A54*1</f>
        <v>126123</v>
      </c>
      <c r="D54" s="61">
        <f>FH!B54*1</f>
        <v>126123</v>
      </c>
      <c r="E54">
        <f t="shared" si="3"/>
        <v>52</v>
      </c>
      <c r="F54" s="61">
        <f>IF(FT!A54&lt;&gt;"",FT!A54*10,"")</f>
        <v>3.1638000000000002</v>
      </c>
      <c r="G54" s="61">
        <f>IF(FT!B54&lt;&gt;"",FT!B54*100,"")</f>
        <v>35.591200000000001</v>
      </c>
      <c r="H54" s="61">
        <f t="shared" si="1"/>
        <v>1</v>
      </c>
      <c r="I54" t="str">
        <f>IF(FT!B54&lt;&gt;"",FT!E54,"")</f>
        <v>1 [21.075133]</v>
      </c>
      <c r="J54">
        <f>IF(FT!B54&lt;&gt;"",FT!C54,"")</f>
        <v>21.075099999999999</v>
      </c>
    </row>
    <row r="55" spans="1:10">
      <c r="A55" s="61">
        <f t="shared" si="2"/>
        <v>53</v>
      </c>
      <c r="B55" s="61">
        <f t="shared" si="0"/>
        <v>1.0232969803921568</v>
      </c>
      <c r="C55" s="61">
        <f>FH!A55*1</f>
        <v>0</v>
      </c>
      <c r="D55" s="61">
        <f>FH!B55*1</f>
        <v>0</v>
      </c>
      <c r="E55">
        <f t="shared" si="3"/>
        <v>53</v>
      </c>
      <c r="F55" s="61">
        <f>IF(FT!A55&lt;&gt;"",FT!A55*10,"")</f>
        <v>3.1775599999999997</v>
      </c>
      <c r="G55" s="61">
        <f>IF(FT!B55&lt;&gt;"",FT!B55*100,"")</f>
        <v>35.625</v>
      </c>
      <c r="H55" s="61">
        <f t="shared" si="1"/>
        <v>1</v>
      </c>
      <c r="I55" t="str">
        <f>IF(FT!B55&lt;&gt;"",FT!E55,"")</f>
        <v>1 [21.486231]</v>
      </c>
      <c r="J55">
        <f>IF(FT!B55&lt;&gt;"",FT!C55,"")</f>
        <v>21.4862</v>
      </c>
    </row>
    <row r="56" spans="1:10">
      <c r="A56" s="61">
        <f t="shared" si="2"/>
        <v>54</v>
      </c>
      <c r="B56" s="61">
        <f t="shared" si="0"/>
        <v>1.0426044705882351</v>
      </c>
      <c r="C56" s="61">
        <f>FH!A56*1</f>
        <v>0</v>
      </c>
      <c r="D56" s="61">
        <f>FH!B56*1</f>
        <v>0</v>
      </c>
      <c r="E56">
        <f t="shared" si="3"/>
        <v>54</v>
      </c>
      <c r="F56" s="61">
        <f>IF(FT!A56&lt;&gt;"",FT!A56*10,"")</f>
        <v>3.1900200000000001</v>
      </c>
      <c r="G56" s="61">
        <f>IF(FT!B56&lt;&gt;"",FT!B56*100,"")</f>
        <v>35.667000000000002</v>
      </c>
      <c r="H56" s="61">
        <f t="shared" si="1"/>
        <v>1</v>
      </c>
      <c r="I56" t="str">
        <f>IF(FT!B56&lt;&gt;"",FT!E56,"")</f>
        <v>1 [21.891899]</v>
      </c>
      <c r="J56">
        <f>IF(FT!B56&lt;&gt;"",FT!C56,"")</f>
        <v>21.8919</v>
      </c>
    </row>
    <row r="57" spans="1:10">
      <c r="A57" s="61">
        <f t="shared" si="2"/>
        <v>55</v>
      </c>
      <c r="B57" s="61">
        <f t="shared" si="0"/>
        <v>1.0619119607843137</v>
      </c>
      <c r="C57" s="61">
        <f>FH!A57*1</f>
        <v>135504</v>
      </c>
      <c r="D57" s="61">
        <f>FH!B57*1</f>
        <v>135504</v>
      </c>
      <c r="E57">
        <f t="shared" si="3"/>
        <v>55</v>
      </c>
      <c r="F57" s="61">
        <f>IF(FT!A57&lt;&gt;"",FT!A57*10,"")</f>
        <v>3.2027200000000002</v>
      </c>
      <c r="G57" s="61">
        <f>IF(FT!B57&lt;&gt;"",FT!B57*100,"")</f>
        <v>35.690800000000003</v>
      </c>
      <c r="H57" s="61">
        <f t="shared" si="1"/>
        <v>1</v>
      </c>
      <c r="I57" t="str">
        <f>IF(FT!B57&lt;&gt;"",FT!E57,"")</f>
        <v>1 [22.299201]</v>
      </c>
      <c r="J57">
        <f>IF(FT!B57&lt;&gt;"",FT!C57,"")</f>
        <v>22.299199999999999</v>
      </c>
    </row>
    <row r="58" spans="1:10">
      <c r="A58" s="61">
        <f t="shared" si="2"/>
        <v>56</v>
      </c>
      <c r="B58" s="61">
        <f t="shared" si="0"/>
        <v>1.0812194509803921</v>
      </c>
      <c r="C58" s="61">
        <f>FH!A58*1</f>
        <v>0</v>
      </c>
      <c r="D58" s="61">
        <f>FH!B58*1</f>
        <v>0</v>
      </c>
      <c r="E58">
        <f t="shared" si="3"/>
        <v>56</v>
      </c>
      <c r="F58" s="61">
        <f>IF(FT!A58&lt;&gt;"",FT!A58*10,"")</f>
        <v>3.21529</v>
      </c>
      <c r="G58" s="61">
        <f>IF(FT!B58&lt;&gt;"",FT!B58*100,"")</f>
        <v>35.728400000000001</v>
      </c>
      <c r="H58" s="61">
        <f t="shared" si="1"/>
        <v>1</v>
      </c>
      <c r="I58" t="str">
        <f>IF(FT!B58&lt;&gt;"",FT!E58,"")</f>
        <v>1 [22.702905]</v>
      </c>
      <c r="J58">
        <f>IF(FT!B58&lt;&gt;"",FT!C58,"")</f>
        <v>22.7029</v>
      </c>
    </row>
    <row r="59" spans="1:10">
      <c r="A59" s="61">
        <f t="shared" si="2"/>
        <v>57</v>
      </c>
      <c r="B59" s="61">
        <f t="shared" si="0"/>
        <v>1.1005269411764707</v>
      </c>
      <c r="C59" s="61">
        <f>FH!A59*1</f>
        <v>130783</v>
      </c>
      <c r="D59" s="61">
        <f>FH!B59*1</f>
        <v>130783</v>
      </c>
      <c r="E59">
        <f t="shared" si="3"/>
        <v>57</v>
      </c>
      <c r="F59" s="61">
        <f>IF(FT!A59&lt;&gt;"",FT!A59*10,"")</f>
        <v>3.22614</v>
      </c>
      <c r="G59" s="61">
        <f>IF(FT!B59&lt;&gt;"",FT!B59*100,"")</f>
        <v>35.815899999999999</v>
      </c>
      <c r="H59" s="61">
        <f t="shared" si="1"/>
        <v>1</v>
      </c>
      <c r="I59" t="str">
        <f>IF(FT!B59&lt;&gt;"",FT!E59,"")</f>
        <v>1 [23.108309]</v>
      </c>
      <c r="J59">
        <f>IF(FT!B59&lt;&gt;"",FT!C59,"")</f>
        <v>23.1083</v>
      </c>
    </row>
    <row r="60" spans="1:10">
      <c r="A60" s="61">
        <f t="shared" si="2"/>
        <v>58</v>
      </c>
      <c r="B60" s="61">
        <f t="shared" si="0"/>
        <v>1.119834431372549</v>
      </c>
      <c r="C60" s="61">
        <f>FH!A60*1</f>
        <v>0</v>
      </c>
      <c r="D60" s="61">
        <f>FH!B60*1</f>
        <v>0</v>
      </c>
      <c r="E60">
        <f t="shared" si="3"/>
        <v>58</v>
      </c>
      <c r="F60" s="61">
        <f>IF(FT!A60&lt;&gt;"",FT!A60*10,"")</f>
        <v>3.2358799999999999</v>
      </c>
      <c r="G60" s="61">
        <f>IF(FT!B60&lt;&gt;"",FT!B60*100,"")</f>
        <v>35.932900000000004</v>
      </c>
      <c r="H60" s="61">
        <f t="shared" si="1"/>
        <v>1</v>
      </c>
      <c r="I60" t="str">
        <f>IF(FT!B60&lt;&gt;"",FT!E60,"")</f>
        <v>1 [23.515475]</v>
      </c>
      <c r="J60">
        <f>IF(FT!B60&lt;&gt;"",FT!C60,"")</f>
        <v>23.515499999999999</v>
      </c>
    </row>
    <row r="61" spans="1:10">
      <c r="A61" s="61">
        <f t="shared" si="2"/>
        <v>59</v>
      </c>
      <c r="B61" s="61">
        <f t="shared" si="0"/>
        <v>1.1391419215686274</v>
      </c>
      <c r="C61" s="61">
        <f>FH!A61*1</f>
        <v>0</v>
      </c>
      <c r="D61" s="61">
        <f>FH!B61*1</f>
        <v>0</v>
      </c>
      <c r="E61">
        <f t="shared" si="3"/>
        <v>59</v>
      </c>
      <c r="F61" s="61">
        <f>IF(FT!A61&lt;&gt;"",FT!A61*10,"")</f>
        <v>3.2444299999999999</v>
      </c>
      <c r="G61" s="61">
        <f>IF(FT!B61&lt;&gt;"",FT!B61*100,"")</f>
        <v>35.980800000000002</v>
      </c>
      <c r="H61" s="61">
        <f t="shared" si="1"/>
        <v>1</v>
      </c>
      <c r="I61" t="str">
        <f>IF(FT!B61&lt;&gt;"",FT!E61,"")</f>
        <v>1 [23.920604]</v>
      </c>
      <c r="J61">
        <f>IF(FT!B61&lt;&gt;"",FT!C61,"")</f>
        <v>23.9206</v>
      </c>
    </row>
    <row r="62" spans="1:10">
      <c r="A62" s="61">
        <f t="shared" si="2"/>
        <v>60</v>
      </c>
      <c r="B62" s="61">
        <f t="shared" si="0"/>
        <v>1.1584494117647057</v>
      </c>
      <c r="C62" s="61">
        <f>FH!A62*1</f>
        <v>136344</v>
      </c>
      <c r="D62" s="61">
        <f>FH!B62*1</f>
        <v>136344</v>
      </c>
      <c r="E62">
        <f t="shared" si="3"/>
        <v>60</v>
      </c>
      <c r="F62" s="61">
        <f>IF(FT!A62&lt;&gt;"",FT!A62*10,"")</f>
        <v>3.25318</v>
      </c>
      <c r="G62" s="61">
        <f>IF(FT!B62&lt;&gt;"",FT!B62*100,"")</f>
        <v>36.036099999999998</v>
      </c>
      <c r="H62" s="61">
        <f t="shared" si="1"/>
        <v>1</v>
      </c>
      <c r="I62" t="str">
        <f>IF(FT!B62&lt;&gt;"",FT!E62,"")</f>
        <v>1 [24.328624]</v>
      </c>
      <c r="J62">
        <f>IF(FT!B62&lt;&gt;"",FT!C62,"")</f>
        <v>24.328600000000002</v>
      </c>
    </row>
    <row r="63" spans="1:10">
      <c r="A63" s="61">
        <f t="shared" si="2"/>
        <v>61</v>
      </c>
      <c r="B63" s="61">
        <f t="shared" si="0"/>
        <v>1.1777569019607843</v>
      </c>
      <c r="C63" s="61">
        <f>FH!A63*1</f>
        <v>0</v>
      </c>
      <c r="D63" s="61">
        <f>FH!B63*1</f>
        <v>0</v>
      </c>
      <c r="E63">
        <f t="shared" si="3"/>
        <v>61</v>
      </c>
      <c r="F63" s="61">
        <f>IF(FT!A63&lt;&gt;"",FT!A63*10,"")</f>
        <v>3.26342</v>
      </c>
      <c r="G63" s="61">
        <f>IF(FT!B63&lt;&gt;"",FT!B63*100,"")</f>
        <v>36.079599999999999</v>
      </c>
      <c r="H63" s="61">
        <f t="shared" si="1"/>
        <v>1</v>
      </c>
      <c r="I63" t="str">
        <f>IF(FT!B63&lt;&gt;"",FT!E63,"")</f>
        <v>1 [24.734797]</v>
      </c>
      <c r="J63">
        <f>IF(FT!B63&lt;&gt;"",FT!C63,"")</f>
        <v>24.7348</v>
      </c>
    </row>
    <row r="64" spans="1:10">
      <c r="A64" s="61">
        <f t="shared" si="2"/>
        <v>62</v>
      </c>
      <c r="B64" s="61">
        <f t="shared" si="0"/>
        <v>1.1970643921568627</v>
      </c>
      <c r="C64" s="61">
        <f>FH!A64*1</f>
        <v>139375</v>
      </c>
      <c r="D64" s="61">
        <f>FH!B64*1</f>
        <v>139375</v>
      </c>
      <c r="E64">
        <f t="shared" si="3"/>
        <v>62</v>
      </c>
      <c r="F64" s="61">
        <f>IF(FT!A64&lt;&gt;"",FT!A64*10,"")</f>
        <v>3.2750499999999998</v>
      </c>
      <c r="G64" s="61">
        <f>IF(FT!B64&lt;&gt;"",FT!B64*100,"")</f>
        <v>36.134899999999995</v>
      </c>
      <c r="H64" s="61">
        <f t="shared" si="1"/>
        <v>1</v>
      </c>
      <c r="I64" t="str">
        <f>IF(FT!B64&lt;&gt;"",FT!E64,"")</f>
        <v>1 [25.145167]</v>
      </c>
      <c r="J64">
        <f>IF(FT!B64&lt;&gt;"",FT!C64,"")</f>
        <v>25.145199999999999</v>
      </c>
    </row>
    <row r="65" spans="1:10">
      <c r="A65" s="61">
        <f t="shared" si="2"/>
        <v>63</v>
      </c>
      <c r="B65" s="61">
        <f t="shared" si="0"/>
        <v>1.216371882352941</v>
      </c>
      <c r="C65" s="61">
        <f>FH!A65*1</f>
        <v>0</v>
      </c>
      <c r="D65" s="61">
        <f>FH!B65*1</f>
        <v>0</v>
      </c>
      <c r="E65">
        <f t="shared" si="3"/>
        <v>63</v>
      </c>
      <c r="F65" s="61">
        <f>IF(FT!A65&lt;&gt;"",FT!A65*10,"")</f>
        <v>3.2862400000000003</v>
      </c>
      <c r="G65" s="61">
        <f>IF(FT!B65&lt;&gt;"",FT!B65*100,"")</f>
        <v>36.165900000000001</v>
      </c>
      <c r="H65" s="61">
        <f t="shared" si="1"/>
        <v>1</v>
      </c>
      <c r="I65" t="str">
        <f>IF(FT!B65&lt;&gt;"",FT!E65,"")</f>
        <v>1 [25.549819]</v>
      </c>
      <c r="J65">
        <f>IF(FT!B65&lt;&gt;"",FT!C65,"")</f>
        <v>25.549800000000001</v>
      </c>
    </row>
    <row r="66" spans="1:10">
      <c r="A66" s="61">
        <f t="shared" si="2"/>
        <v>64</v>
      </c>
      <c r="B66" s="61">
        <f t="shared" si="0"/>
        <v>1.2356793725490196</v>
      </c>
      <c r="C66" s="61">
        <f>FH!A66*1</f>
        <v>0</v>
      </c>
      <c r="D66" s="61">
        <f>FH!B66*1</f>
        <v>0</v>
      </c>
      <c r="E66">
        <f t="shared" si="3"/>
        <v>64</v>
      </c>
      <c r="F66" s="61">
        <f>IF(FT!A66&lt;&gt;"",FT!A66*10,"")</f>
        <v>3.2949099999999998</v>
      </c>
      <c r="G66" s="61">
        <f>IF(FT!B66&lt;&gt;"",FT!B66*100,"")</f>
        <v>36.263600000000004</v>
      </c>
      <c r="H66" s="61">
        <f t="shared" si="1"/>
        <v>1</v>
      </c>
      <c r="I66" t="str">
        <f>IF(FT!B66&lt;&gt;"",FT!E66,"")</f>
        <v>1 [25.952526]</v>
      </c>
      <c r="J66">
        <f>IF(FT!B66&lt;&gt;"",FT!C66,"")</f>
        <v>25.952500000000001</v>
      </c>
    </row>
    <row r="67" spans="1:10">
      <c r="A67" s="61">
        <f t="shared" si="2"/>
        <v>65</v>
      </c>
      <c r="B67" s="61">
        <f t="shared" ref="B67:B130" si="8">A67/255*$L$2</f>
        <v>1.254986862745098</v>
      </c>
      <c r="C67" s="61">
        <f>FH!A67*1</f>
        <v>145501</v>
      </c>
      <c r="D67" s="61">
        <f>FH!B67*1</f>
        <v>145501</v>
      </c>
      <c r="E67">
        <f t="shared" si="3"/>
        <v>65</v>
      </c>
      <c r="F67" s="61">
        <f>IF(FT!A67&lt;&gt;"",FT!A67*10,"")</f>
        <v>3.3028400000000002</v>
      </c>
      <c r="G67" s="61">
        <f>IF(FT!B67&lt;&gt;"",FT!B67*100,"")</f>
        <v>36.389600000000002</v>
      </c>
      <c r="H67" s="61">
        <f t="shared" ref="H67:H130" si="9">(IF(F67&lt;&gt;"",1,""))</f>
        <v>1</v>
      </c>
      <c r="I67" t="str">
        <f>IF(FT!B67&lt;&gt;"",FT!E67,"")</f>
        <v>1 [26.363686]</v>
      </c>
      <c r="J67">
        <f>IF(FT!B67&lt;&gt;"",FT!C67,"")</f>
        <v>26.363700000000001</v>
      </c>
    </row>
    <row r="68" spans="1:10">
      <c r="A68" s="61">
        <f t="shared" ref="A68:A131" si="10">A67+1</f>
        <v>66</v>
      </c>
      <c r="B68" s="61">
        <f t="shared" si="8"/>
        <v>1.2742943529411765</v>
      </c>
      <c r="C68" s="61">
        <f>FH!A68*1</f>
        <v>0</v>
      </c>
      <c r="D68" s="61">
        <f>FH!B68*1</f>
        <v>0</v>
      </c>
      <c r="E68">
        <f t="shared" ref="E68:E131" si="11">E67+1</f>
        <v>66</v>
      </c>
      <c r="F68" s="61">
        <f>IF(FT!A68&lt;&gt;"",FT!A68*10,"")</f>
        <v>3.3111299999999999</v>
      </c>
      <c r="G68" s="61">
        <f>IF(FT!B68&lt;&gt;"",FT!B68*100,"")</f>
        <v>36.5533</v>
      </c>
      <c r="H68" s="61">
        <f t="shared" si="9"/>
        <v>1</v>
      </c>
      <c r="I68" t="str">
        <f>IF(FT!B68&lt;&gt;"",FT!E68,"")</f>
        <v>1 [26.765754]</v>
      </c>
      <c r="J68">
        <f>IF(FT!B68&lt;&gt;"",FT!C68,"")</f>
        <v>26.765799999999999</v>
      </c>
    </row>
    <row r="69" spans="1:10">
      <c r="A69" s="61">
        <f t="shared" si="10"/>
        <v>67</v>
      </c>
      <c r="B69" s="61">
        <f t="shared" si="8"/>
        <v>1.2936018431372549</v>
      </c>
      <c r="C69" s="61">
        <f>FH!A69*1</f>
        <v>141075</v>
      </c>
      <c r="D69" s="61">
        <f>FH!B69*1</f>
        <v>141075</v>
      </c>
      <c r="E69">
        <f t="shared" si="11"/>
        <v>67</v>
      </c>
      <c r="F69" s="61">
        <f>IF(FT!A69&lt;&gt;"",FT!A69*10,"")</f>
        <v>3.3176499999999995</v>
      </c>
      <c r="G69" s="61">
        <f>IF(FT!B69&lt;&gt;"",FT!B69*100,"")</f>
        <v>36.757400000000004</v>
      </c>
      <c r="H69" s="61">
        <f t="shared" si="9"/>
        <v>1</v>
      </c>
      <c r="I69" t="str">
        <f>IF(FT!B69&lt;&gt;"",FT!E69,"")</f>
        <v>1 [27.170181]</v>
      </c>
      <c r="J69">
        <f>IF(FT!B69&lt;&gt;"",FT!C69,"")</f>
        <v>27.170200000000001</v>
      </c>
    </row>
    <row r="70" spans="1:10">
      <c r="A70" s="61">
        <f t="shared" si="10"/>
        <v>68</v>
      </c>
      <c r="B70" s="61">
        <f t="shared" si="8"/>
        <v>1.3129093333333333</v>
      </c>
      <c r="C70" s="61">
        <f>FH!A70*1</f>
        <v>0</v>
      </c>
      <c r="D70" s="61">
        <f>FH!B70*1</f>
        <v>0</v>
      </c>
      <c r="E70">
        <f t="shared" si="11"/>
        <v>68</v>
      </c>
      <c r="F70" s="61">
        <f>IF(FT!A70&lt;&gt;"",FT!A70*10,"")</f>
        <v>3.3261099999999999</v>
      </c>
      <c r="G70" s="61">
        <f>IF(FT!B70&lt;&gt;"",FT!B70*100,"")</f>
        <v>37.027300000000004</v>
      </c>
      <c r="H70" s="61">
        <f t="shared" si="9"/>
        <v>1</v>
      </c>
      <c r="I70" t="str">
        <f>IF(FT!B70&lt;&gt;"",FT!E70,"")</f>
        <v>1 [27.580368]</v>
      </c>
      <c r="J70">
        <f>IF(FT!B70&lt;&gt;"",FT!C70,"")</f>
        <v>27.580400000000001</v>
      </c>
    </row>
    <row r="71" spans="1:10">
      <c r="A71" s="61">
        <f t="shared" si="10"/>
        <v>69</v>
      </c>
      <c r="B71" s="61">
        <f t="shared" si="8"/>
        <v>1.3322168235294116</v>
      </c>
      <c r="C71" s="61">
        <f>FH!A71*1</f>
        <v>0</v>
      </c>
      <c r="D71" s="61">
        <f>FH!B71*1</f>
        <v>0</v>
      </c>
      <c r="E71">
        <f t="shared" si="11"/>
        <v>69</v>
      </c>
      <c r="F71" s="61">
        <f>IF(FT!A71&lt;&gt;"",FT!A71*10,"")</f>
        <v>3.3362500000000002</v>
      </c>
      <c r="G71" s="61">
        <f>IF(FT!B71&lt;&gt;"",FT!B71*100,"")</f>
        <v>37.286200000000001</v>
      </c>
      <c r="H71" s="61">
        <f t="shared" si="9"/>
        <v>1</v>
      </c>
      <c r="I71" t="str">
        <f>IF(FT!B71&lt;&gt;"",FT!E71,"")</f>
        <v>1 [27.983594]</v>
      </c>
      <c r="J71">
        <f>IF(FT!B71&lt;&gt;"",FT!C71,"")</f>
        <v>27.983599999999999</v>
      </c>
    </row>
    <row r="72" spans="1:10">
      <c r="A72" s="61">
        <f t="shared" si="10"/>
        <v>70</v>
      </c>
      <c r="B72" s="61">
        <f t="shared" si="8"/>
        <v>1.3515243137254902</v>
      </c>
      <c r="C72" s="61">
        <f>FH!A72*1</f>
        <v>145825</v>
      </c>
      <c r="D72" s="61">
        <f>FH!B72*1</f>
        <v>145825</v>
      </c>
      <c r="E72">
        <f t="shared" si="11"/>
        <v>70</v>
      </c>
      <c r="F72" s="61">
        <f>IF(FT!A72&lt;&gt;"",FT!A72*10,"")</f>
        <v>3.3468300000000002</v>
      </c>
      <c r="G72" s="61">
        <f>IF(FT!B72&lt;&gt;"",FT!B72*100,"")</f>
        <v>37.476300000000002</v>
      </c>
      <c r="H72" s="61">
        <f t="shared" si="9"/>
        <v>1</v>
      </c>
      <c r="I72" t="str">
        <f>IF(FT!B72&lt;&gt;"",FT!E72,"")</f>
        <v>1 [28.389455]</v>
      </c>
      <c r="J72">
        <f>IF(FT!B72&lt;&gt;"",FT!C72,"")</f>
        <v>28.389500000000002</v>
      </c>
    </row>
    <row r="73" spans="1:10">
      <c r="A73" s="61">
        <f t="shared" si="10"/>
        <v>71</v>
      </c>
      <c r="B73" s="61">
        <f t="shared" si="8"/>
        <v>1.3708318039215686</v>
      </c>
      <c r="C73" s="61">
        <f>FH!A73*1</f>
        <v>0</v>
      </c>
      <c r="D73" s="61">
        <f>FH!B73*1</f>
        <v>0</v>
      </c>
      <c r="E73">
        <f t="shared" si="11"/>
        <v>71</v>
      </c>
      <c r="F73" s="61">
        <f>IF(FT!A73&lt;&gt;"",FT!A73*10,"")</f>
        <v>3.3605299999999998</v>
      </c>
      <c r="G73" s="61">
        <f>IF(FT!B73&lt;&gt;"",FT!B73*100,"")</f>
        <v>37.612499999999997</v>
      </c>
      <c r="H73" s="61">
        <f t="shared" si="9"/>
        <v>1</v>
      </c>
      <c r="I73" t="str">
        <f>IF(FT!B73&lt;&gt;"",FT!E73,"")</f>
        <v>1 [28.795565]</v>
      </c>
      <c r="J73">
        <f>IF(FT!B73&lt;&gt;"",FT!C73,"")</f>
        <v>28.7956</v>
      </c>
    </row>
    <row r="74" spans="1:10">
      <c r="A74" s="61">
        <f t="shared" si="10"/>
        <v>72</v>
      </c>
      <c r="B74" s="61">
        <f t="shared" si="8"/>
        <v>1.3901392941176469</v>
      </c>
      <c r="C74" s="61">
        <f>FH!A74*1</f>
        <v>0</v>
      </c>
      <c r="D74" s="61">
        <f>FH!B74*1</f>
        <v>0</v>
      </c>
      <c r="E74">
        <f t="shared" si="11"/>
        <v>72</v>
      </c>
      <c r="F74" s="61">
        <f>IF(FT!A74&lt;&gt;"",FT!A74*10,"")</f>
        <v>3.3758899999999996</v>
      </c>
      <c r="G74" s="61">
        <f>IF(FT!B74&lt;&gt;"",FT!B74*100,"")</f>
        <v>37.764499999999998</v>
      </c>
      <c r="H74" s="61">
        <f t="shared" si="9"/>
        <v>1</v>
      </c>
      <c r="I74" t="str">
        <f>IF(FT!B74&lt;&gt;"",FT!E74,"")</f>
        <v>1 [29.203516]</v>
      </c>
      <c r="J74">
        <f>IF(FT!B74&lt;&gt;"",FT!C74,"")</f>
        <v>29.203499999999998</v>
      </c>
    </row>
    <row r="75" spans="1:10">
      <c r="A75" s="61">
        <f t="shared" si="10"/>
        <v>73</v>
      </c>
      <c r="B75" s="61">
        <f t="shared" si="8"/>
        <v>1.4094467843137253</v>
      </c>
      <c r="C75" s="61">
        <f>FH!A75*1</f>
        <v>145525</v>
      </c>
      <c r="D75" s="61">
        <f>FH!B75*1</f>
        <v>145525</v>
      </c>
      <c r="E75">
        <f t="shared" si="11"/>
        <v>73</v>
      </c>
      <c r="F75" s="61">
        <f>IF(FT!A75&lt;&gt;"",FT!A75*10,"")</f>
        <v>3.3925200000000002</v>
      </c>
      <c r="G75" s="61">
        <f>IF(FT!B75&lt;&gt;"",FT!B75*100,"")</f>
        <v>37.9223</v>
      </c>
      <c r="H75" s="61">
        <f t="shared" si="9"/>
        <v>1</v>
      </c>
      <c r="I75" t="str">
        <f>IF(FT!B75&lt;&gt;"",FT!E75,"")</f>
        <v>1 [29.609951]</v>
      </c>
      <c r="J75">
        <f>IF(FT!B75&lt;&gt;"",FT!C75,"")</f>
        <v>29.61</v>
      </c>
    </row>
    <row r="76" spans="1:10">
      <c r="A76" s="61">
        <f t="shared" si="10"/>
        <v>74</v>
      </c>
      <c r="B76" s="61">
        <f t="shared" si="8"/>
        <v>1.4287542745098039</v>
      </c>
      <c r="C76" s="61">
        <f>FH!A76*1</f>
        <v>0</v>
      </c>
      <c r="D76" s="61">
        <f>FH!B76*1</f>
        <v>0</v>
      </c>
      <c r="E76">
        <f t="shared" si="11"/>
        <v>74</v>
      </c>
      <c r="F76" s="61">
        <f>IF(FT!A76&lt;&gt;"",FT!A76*10,"")</f>
        <v>3.4095999999999997</v>
      </c>
      <c r="G76" s="61">
        <f>IF(FT!B76&lt;&gt;"",FT!B76*100,"")</f>
        <v>38.080000000000005</v>
      </c>
      <c r="H76" s="61">
        <f t="shared" si="9"/>
        <v>1</v>
      </c>
      <c r="I76" t="str">
        <f>IF(FT!B76&lt;&gt;"",FT!E76,"")</f>
        <v>2 [30.014119]</v>
      </c>
      <c r="J76">
        <f>IF(FT!B76&lt;&gt;"",FT!C76,"")</f>
        <v>30.014099999999999</v>
      </c>
    </row>
    <row r="77" spans="1:10">
      <c r="A77" s="61">
        <f t="shared" si="10"/>
        <v>75</v>
      </c>
      <c r="B77" s="61">
        <f t="shared" si="8"/>
        <v>1.4480617647058822</v>
      </c>
      <c r="C77" s="61">
        <f>FH!A77*1</f>
        <v>131480</v>
      </c>
      <c r="D77" s="61">
        <f>FH!B77*1</f>
        <v>131480</v>
      </c>
      <c r="E77">
        <f t="shared" si="11"/>
        <v>75</v>
      </c>
      <c r="F77" s="61">
        <f>IF(FT!A77&lt;&gt;"",FT!A77*10,"")</f>
        <v>3.4330799999999999</v>
      </c>
      <c r="G77" s="61">
        <f>IF(FT!B77&lt;&gt;"",FT!B77*100,"")</f>
        <v>38.3429</v>
      </c>
      <c r="H77" s="61">
        <f t="shared" si="9"/>
        <v>1</v>
      </c>
      <c r="I77" t="str">
        <f>IF(FT!B77&lt;&gt;"",FT!E77,"")</f>
        <v>2 [30.607797]</v>
      </c>
      <c r="J77">
        <f>IF(FT!B77&lt;&gt;"",FT!C77,"")</f>
        <v>30.607800000000001</v>
      </c>
    </row>
    <row r="78" spans="1:10">
      <c r="A78" s="61">
        <f t="shared" si="10"/>
        <v>76</v>
      </c>
      <c r="B78" s="61">
        <f t="shared" si="8"/>
        <v>1.4673692549019606</v>
      </c>
      <c r="C78" s="61">
        <f>FH!A78*1</f>
        <v>0</v>
      </c>
      <c r="D78" s="61">
        <f>FH!B78*1</f>
        <v>0</v>
      </c>
      <c r="E78">
        <f t="shared" si="11"/>
        <v>76</v>
      </c>
      <c r="F78" s="61">
        <f>IF(FT!A78&lt;&gt;"",FT!A78*10,"")</f>
        <v>3.45072</v>
      </c>
      <c r="G78" s="61">
        <f>IF(FT!B78&lt;&gt;"",FT!B78*100,"")</f>
        <v>38.602599999999995</v>
      </c>
      <c r="H78" s="61">
        <f t="shared" si="9"/>
        <v>1</v>
      </c>
      <c r="I78" t="str">
        <f>IF(FT!B78&lt;&gt;"",FT!E78,"")</f>
        <v>2 [30.982825]</v>
      </c>
      <c r="J78">
        <f>IF(FT!B78&lt;&gt;"",FT!C78,"")</f>
        <v>30.982800000000001</v>
      </c>
    </row>
    <row r="79" spans="1:10">
      <c r="A79" s="61">
        <f t="shared" si="10"/>
        <v>77</v>
      </c>
      <c r="B79" s="61">
        <f t="shared" si="8"/>
        <v>1.4866767450980389</v>
      </c>
      <c r="C79" s="61">
        <f>FH!A79*1</f>
        <v>0</v>
      </c>
      <c r="D79" s="61">
        <f>FH!B79*1</f>
        <v>0</v>
      </c>
      <c r="E79">
        <f t="shared" si="11"/>
        <v>77</v>
      </c>
      <c r="F79" s="61">
        <f>IF(FT!A79&lt;&gt;"",FT!A79*10,"")</f>
        <v>3.4677899999999999</v>
      </c>
      <c r="G79" s="61">
        <f>IF(FT!B79&lt;&gt;"",FT!B79*100,"")</f>
        <v>38.839500000000001</v>
      </c>
      <c r="H79" s="61">
        <f t="shared" si="9"/>
        <v>1</v>
      </c>
      <c r="I79" t="str">
        <f>IF(FT!B79&lt;&gt;"",FT!E79,"")</f>
        <v>2 [31.360520]</v>
      </c>
      <c r="J79">
        <f>IF(FT!B79&lt;&gt;"",FT!C79,"")</f>
        <v>31.360499999999998</v>
      </c>
    </row>
    <row r="80" spans="1:10">
      <c r="A80" s="61">
        <f t="shared" si="10"/>
        <v>78</v>
      </c>
      <c r="B80" s="61">
        <f t="shared" si="8"/>
        <v>1.5059842352941177</v>
      </c>
      <c r="C80" s="61">
        <f>FH!A80*1</f>
        <v>126455</v>
      </c>
      <c r="D80" s="61">
        <f>FH!B80*1</f>
        <v>126455</v>
      </c>
      <c r="E80">
        <f t="shared" si="11"/>
        <v>78</v>
      </c>
      <c r="F80" s="61">
        <f>IF(FT!A80&lt;&gt;"",FT!A80*10,"")</f>
        <v>3.4855100000000001</v>
      </c>
      <c r="G80" s="61">
        <f>IF(FT!B80&lt;&gt;"",FT!B80*100,"")</f>
        <v>39.088799999999999</v>
      </c>
      <c r="H80" s="61">
        <f t="shared" si="9"/>
        <v>1</v>
      </c>
      <c r="I80" t="str">
        <f>IF(FT!B80&lt;&gt;"",FT!E80,"")</f>
        <v>2 [31.734065]</v>
      </c>
      <c r="J80">
        <f>IF(FT!B80&lt;&gt;"",FT!C80,"")</f>
        <v>31.734100000000002</v>
      </c>
    </row>
    <row r="81" spans="1:10">
      <c r="A81" s="61">
        <f t="shared" si="10"/>
        <v>79</v>
      </c>
      <c r="B81" s="61">
        <f t="shared" si="8"/>
        <v>1.5252917254901961</v>
      </c>
      <c r="C81" s="61">
        <f>FH!A81*1</f>
        <v>0</v>
      </c>
      <c r="D81" s="61">
        <f>FH!B81*1</f>
        <v>0</v>
      </c>
      <c r="E81">
        <f t="shared" si="11"/>
        <v>79</v>
      </c>
      <c r="F81" s="61">
        <f>IF(FT!A81&lt;&gt;"",FT!A81*10,"")</f>
        <v>3.5019099999999996</v>
      </c>
      <c r="G81" s="61">
        <f>IF(FT!B81&lt;&gt;"",FT!B81*100,"")</f>
        <v>39.3919</v>
      </c>
      <c r="H81" s="61">
        <f t="shared" si="9"/>
        <v>1</v>
      </c>
      <c r="I81" t="str">
        <f>IF(FT!B81&lt;&gt;"",FT!E81,"")</f>
        <v>2 [32.112021]</v>
      </c>
      <c r="J81">
        <f>IF(FT!B81&lt;&gt;"",FT!C81,"")</f>
        <v>32.112000000000002</v>
      </c>
    </row>
    <row r="82" spans="1:10">
      <c r="A82" s="61">
        <f t="shared" si="10"/>
        <v>80</v>
      </c>
      <c r="B82" s="61">
        <f t="shared" si="8"/>
        <v>1.5445992156862745</v>
      </c>
      <c r="C82" s="61">
        <f>FH!A82*1</f>
        <v>123571</v>
      </c>
      <c r="D82" s="61">
        <f>FH!B82*1</f>
        <v>123571</v>
      </c>
      <c r="E82">
        <f t="shared" si="11"/>
        <v>80</v>
      </c>
      <c r="F82" s="61">
        <f>IF(FT!A82&lt;&gt;"",FT!A82*10,"")</f>
        <v>3.5178099999999999</v>
      </c>
      <c r="G82" s="61">
        <f>IF(FT!B82&lt;&gt;"",FT!B82*100,"")</f>
        <v>39.674300000000002</v>
      </c>
      <c r="H82" s="61">
        <f t="shared" si="9"/>
        <v>1</v>
      </c>
      <c r="I82" t="str">
        <f>IF(FT!B82&lt;&gt;"",FT!E82,"")</f>
        <v>2 [32.515422]</v>
      </c>
      <c r="J82">
        <f>IF(FT!B82&lt;&gt;"",FT!C82,"")</f>
        <v>32.5154</v>
      </c>
    </row>
    <row r="83" spans="1:10">
      <c r="A83" s="61">
        <f t="shared" si="10"/>
        <v>81</v>
      </c>
      <c r="B83" s="61">
        <f t="shared" si="8"/>
        <v>1.5639067058823528</v>
      </c>
      <c r="C83" s="61">
        <f>FH!A83*1</f>
        <v>0</v>
      </c>
      <c r="D83" s="61">
        <f>FH!B83*1</f>
        <v>0</v>
      </c>
      <c r="E83">
        <f t="shared" si="11"/>
        <v>81</v>
      </c>
      <c r="F83" s="61">
        <f>IF(FT!A83&lt;&gt;"",FT!A83*10,"")</f>
        <v>3.53146</v>
      </c>
      <c r="G83" s="61">
        <f>IF(FT!B83&lt;&gt;"",FT!B83*100,"")</f>
        <v>39.958399999999997</v>
      </c>
      <c r="H83" s="61">
        <f t="shared" si="9"/>
        <v>1</v>
      </c>
      <c r="I83" t="str">
        <f>IF(FT!B83&lt;&gt;"",FT!E83,"")</f>
        <v>2 [32.921194]</v>
      </c>
      <c r="J83">
        <f>IF(FT!B83&lt;&gt;"",FT!C83,"")</f>
        <v>32.921199999999999</v>
      </c>
    </row>
    <row r="84" spans="1:10">
      <c r="A84" s="61">
        <f t="shared" si="10"/>
        <v>82</v>
      </c>
      <c r="B84" s="61">
        <f t="shared" si="8"/>
        <v>1.5832141960784314</v>
      </c>
      <c r="C84" s="61">
        <f>FH!A84*1</f>
        <v>0</v>
      </c>
      <c r="D84" s="61">
        <f>FH!B84*1</f>
        <v>0</v>
      </c>
      <c r="E84">
        <f t="shared" si="11"/>
        <v>82</v>
      </c>
      <c r="F84" s="61">
        <f>IF(FT!A84&lt;&gt;"",FT!A84*10,"")</f>
        <v>3.5470000000000002</v>
      </c>
      <c r="G84" s="61">
        <f>IF(FT!B84&lt;&gt;"",FT!B84*100,"")</f>
        <v>40.227400000000003</v>
      </c>
      <c r="H84" s="61">
        <f t="shared" si="9"/>
        <v>1</v>
      </c>
      <c r="I84" t="str">
        <f>IF(FT!B84&lt;&gt;"",FT!E84,"")</f>
        <v>2 [33.329736]</v>
      </c>
      <c r="J84">
        <f>IF(FT!B84&lt;&gt;"",FT!C84,"")</f>
        <v>33.329700000000003</v>
      </c>
    </row>
    <row r="85" spans="1:10">
      <c r="A85" s="61">
        <f t="shared" si="10"/>
        <v>83</v>
      </c>
      <c r="B85" s="61">
        <f t="shared" si="8"/>
        <v>1.6025216862745097</v>
      </c>
      <c r="C85" s="61">
        <f>FH!A85*1</f>
        <v>122480</v>
      </c>
      <c r="D85" s="61">
        <f>FH!B85*1</f>
        <v>122480</v>
      </c>
      <c r="E85">
        <f t="shared" si="11"/>
        <v>83</v>
      </c>
      <c r="F85" s="61">
        <f>IF(FT!A85&lt;&gt;"",FT!A85*10,"")</f>
        <v>3.5626799999999998</v>
      </c>
      <c r="G85" s="61">
        <f>IF(FT!B85&lt;&gt;"",FT!B85*100,"")</f>
        <v>40.539199999999994</v>
      </c>
      <c r="H85" s="61">
        <f t="shared" si="9"/>
        <v>1</v>
      </c>
      <c r="I85" t="str">
        <f>IF(FT!B85&lt;&gt;"",FT!E85,"")</f>
        <v>2 [33.733988]</v>
      </c>
      <c r="J85">
        <f>IF(FT!B85&lt;&gt;"",FT!C85,"")</f>
        <v>33.734000000000002</v>
      </c>
    </row>
    <row r="86" spans="1:10">
      <c r="A86" s="61">
        <f t="shared" si="10"/>
        <v>84</v>
      </c>
      <c r="B86" s="61">
        <f t="shared" si="8"/>
        <v>1.6218291764705881</v>
      </c>
      <c r="C86" s="61">
        <f>FH!A86*1</f>
        <v>0</v>
      </c>
      <c r="D86" s="61">
        <f>FH!B86*1</f>
        <v>0</v>
      </c>
      <c r="E86">
        <f t="shared" si="11"/>
        <v>84</v>
      </c>
      <c r="F86" s="61">
        <f>IF(FT!A86&lt;&gt;"",FT!A86*10,"")</f>
        <v>3.57952</v>
      </c>
      <c r="G86" s="61">
        <f>IF(FT!B86&lt;&gt;"",FT!B86*100,"")</f>
        <v>40.8521</v>
      </c>
      <c r="H86" s="61">
        <f t="shared" si="9"/>
        <v>1</v>
      </c>
      <c r="I86" t="str">
        <f>IF(FT!B86&lt;&gt;"",FT!E86,"")</f>
        <v>2 [34.140085]</v>
      </c>
      <c r="J86">
        <f>IF(FT!B86&lt;&gt;"",FT!C86,"")</f>
        <v>34.140099999999997</v>
      </c>
    </row>
    <row r="87" spans="1:10">
      <c r="A87" s="61">
        <f t="shared" si="10"/>
        <v>85</v>
      </c>
      <c r="B87" s="61">
        <f t="shared" si="8"/>
        <v>1.6411366666666665</v>
      </c>
      <c r="C87" s="61">
        <f>FH!A87*1</f>
        <v>0</v>
      </c>
      <c r="D87" s="61">
        <f>FH!B87*1</f>
        <v>0</v>
      </c>
      <c r="E87">
        <f t="shared" si="11"/>
        <v>85</v>
      </c>
      <c r="F87" s="61">
        <f>IF(FT!A87&lt;&gt;"",FT!A87*10,"")</f>
        <v>3.5950300000000004</v>
      </c>
      <c r="G87" s="61">
        <f>IF(FT!B87&lt;&gt;"",FT!B87*100,"")</f>
        <v>41.142499999999998</v>
      </c>
      <c r="H87" s="61">
        <f t="shared" si="9"/>
        <v>1</v>
      </c>
      <c r="I87" t="str">
        <f>IF(FT!B87&lt;&gt;"",FT!E87,"")</f>
        <v>2 [34.549127]</v>
      </c>
      <c r="J87">
        <f>IF(FT!B87&lt;&gt;"",FT!C87,"")</f>
        <v>34.549100000000003</v>
      </c>
    </row>
    <row r="88" spans="1:10">
      <c r="A88" s="61">
        <f t="shared" si="10"/>
        <v>86</v>
      </c>
      <c r="B88" s="61">
        <f t="shared" si="8"/>
        <v>1.660444156862745</v>
      </c>
      <c r="C88" s="61">
        <f>FH!A88*1</f>
        <v>114709</v>
      </c>
      <c r="D88" s="61">
        <f>FH!B88*1</f>
        <v>114709</v>
      </c>
      <c r="E88">
        <f t="shared" si="11"/>
        <v>86</v>
      </c>
      <c r="F88" s="61">
        <f>IF(FT!A88&lt;&gt;"",FT!A88*10,"")</f>
        <v>3.6074899999999999</v>
      </c>
      <c r="G88" s="61">
        <f>IF(FT!B88&lt;&gt;"",FT!B88*100,"")</f>
        <v>41.418399999999998</v>
      </c>
      <c r="H88" s="61">
        <f t="shared" si="9"/>
        <v>1</v>
      </c>
      <c r="I88" t="str">
        <f>IF(FT!B88&lt;&gt;"",FT!E88,"")</f>
        <v>2 [34.953395]</v>
      </c>
      <c r="J88">
        <f>IF(FT!B88&lt;&gt;"",FT!C88,"")</f>
        <v>34.953400000000002</v>
      </c>
    </row>
    <row r="89" spans="1:10">
      <c r="A89" s="61">
        <f t="shared" si="10"/>
        <v>87</v>
      </c>
      <c r="B89" s="61">
        <f t="shared" si="8"/>
        <v>1.6797516470588234</v>
      </c>
      <c r="C89" s="61">
        <f>FH!A89*1</f>
        <v>0</v>
      </c>
      <c r="D89" s="61">
        <f>FH!B89*1</f>
        <v>0</v>
      </c>
      <c r="E89">
        <f t="shared" si="11"/>
        <v>87</v>
      </c>
      <c r="F89" s="61">
        <f>IF(FT!A89&lt;&gt;"",FT!A89*10,"")</f>
        <v>3.61721</v>
      </c>
      <c r="G89" s="61">
        <f>IF(FT!B89&lt;&gt;"",FT!B89*100,"")</f>
        <v>41.729799999999997</v>
      </c>
      <c r="H89" s="61">
        <f t="shared" si="9"/>
        <v>1</v>
      </c>
      <c r="I89" t="str">
        <f>IF(FT!B89&lt;&gt;"",FT!E89,"")</f>
        <v>2 [35.361591]</v>
      </c>
      <c r="J89">
        <f>IF(FT!B89&lt;&gt;"",FT!C89,"")</f>
        <v>35.361600000000003</v>
      </c>
    </row>
    <row r="90" spans="1:10">
      <c r="A90" s="61">
        <f t="shared" si="10"/>
        <v>88</v>
      </c>
      <c r="B90" s="61">
        <f t="shared" si="8"/>
        <v>1.6990591372549018</v>
      </c>
      <c r="C90" s="61">
        <f>FH!A90*1</f>
        <v>116736</v>
      </c>
      <c r="D90" s="61">
        <f>FH!B90*1</f>
        <v>116736</v>
      </c>
      <c r="E90">
        <f t="shared" si="11"/>
        <v>88</v>
      </c>
      <c r="F90" s="61">
        <f>IF(FT!A90&lt;&gt;"",FT!A90*10,"")</f>
        <v>3.6247199999999999</v>
      </c>
      <c r="G90" s="61">
        <f>IF(FT!B90&lt;&gt;"",FT!B90*100,"")</f>
        <v>42.024699999999996</v>
      </c>
      <c r="H90" s="61">
        <f t="shared" si="9"/>
        <v>1</v>
      </c>
      <c r="I90" t="str">
        <f>IF(FT!B90&lt;&gt;"",FT!E90,"")</f>
        <v>2 [35.765170]</v>
      </c>
      <c r="J90">
        <f>IF(FT!B90&lt;&gt;"",FT!C90,"")</f>
        <v>35.7652</v>
      </c>
    </row>
    <row r="91" spans="1:10">
      <c r="A91" s="61">
        <f t="shared" si="10"/>
        <v>89</v>
      </c>
      <c r="B91" s="61">
        <f t="shared" si="8"/>
        <v>1.7183666274509801</v>
      </c>
      <c r="C91" s="61">
        <f>FH!A91*1</f>
        <v>0</v>
      </c>
      <c r="D91" s="61">
        <f>FH!B91*1</f>
        <v>0</v>
      </c>
      <c r="E91">
        <f t="shared" si="11"/>
        <v>89</v>
      </c>
      <c r="F91" s="61">
        <f>IF(FT!A91&lt;&gt;"",FT!A91*10,"")</f>
        <v>3.6295999999999999</v>
      </c>
      <c r="G91" s="61">
        <f>IF(FT!B91&lt;&gt;"",FT!B91*100,"")</f>
        <v>42.321100000000001</v>
      </c>
      <c r="H91" s="61">
        <f t="shared" si="9"/>
        <v>1</v>
      </c>
      <c r="I91" t="str">
        <f>IF(FT!B91&lt;&gt;"",FT!E91,"")</f>
        <v>2 [36.171463]</v>
      </c>
      <c r="J91">
        <f>IF(FT!B91&lt;&gt;"",FT!C91,"")</f>
        <v>36.171500000000002</v>
      </c>
    </row>
    <row r="92" spans="1:10">
      <c r="A92" s="61">
        <f t="shared" si="10"/>
        <v>90</v>
      </c>
      <c r="B92" s="61">
        <f t="shared" si="8"/>
        <v>1.7376741176470587</v>
      </c>
      <c r="C92" s="61">
        <f>FH!A92*1</f>
        <v>0</v>
      </c>
      <c r="D92" s="61">
        <f>FH!B92*1</f>
        <v>0</v>
      </c>
      <c r="E92">
        <f t="shared" si="11"/>
        <v>90</v>
      </c>
      <c r="F92" s="61">
        <f>IF(FT!A92&lt;&gt;"",FT!A92*10,"")</f>
        <v>3.6327199999999999</v>
      </c>
      <c r="G92" s="61">
        <f>IF(FT!B92&lt;&gt;"",FT!B92*100,"")</f>
        <v>42.6113</v>
      </c>
      <c r="H92" s="61">
        <f t="shared" si="9"/>
        <v>1</v>
      </c>
      <c r="I92" t="str">
        <f>IF(FT!B92&lt;&gt;"",FT!E92,"")</f>
        <v>2 [36.577672]</v>
      </c>
      <c r="J92">
        <f>IF(FT!B92&lt;&gt;"",FT!C92,"")</f>
        <v>36.5777</v>
      </c>
    </row>
    <row r="93" spans="1:10">
      <c r="A93" s="61">
        <f t="shared" si="10"/>
        <v>91</v>
      </c>
      <c r="B93" s="61">
        <f t="shared" si="8"/>
        <v>1.7569816078431371</v>
      </c>
      <c r="C93" s="61">
        <f>FH!A93*1</f>
        <v>105277</v>
      </c>
      <c r="D93" s="61">
        <f>FH!B93*1</f>
        <v>105277</v>
      </c>
      <c r="E93">
        <f t="shared" si="11"/>
        <v>91</v>
      </c>
      <c r="F93" s="61">
        <f>IF(FT!A93&lt;&gt;"",FT!A93*10,"")</f>
        <v>3.63489</v>
      </c>
      <c r="G93" s="61">
        <f>IF(FT!B93&lt;&gt;"",FT!B93*100,"")</f>
        <v>42.909100000000002</v>
      </c>
      <c r="H93" s="61">
        <f t="shared" si="9"/>
        <v>1</v>
      </c>
      <c r="I93" t="str">
        <f>IF(FT!B93&lt;&gt;"",FT!E93,"")</f>
        <v>2 [36.987343]</v>
      </c>
      <c r="J93">
        <f>IF(FT!B93&lt;&gt;"",FT!C93,"")</f>
        <v>36.987299999999998</v>
      </c>
    </row>
    <row r="94" spans="1:10">
      <c r="A94" s="61">
        <f t="shared" si="10"/>
        <v>92</v>
      </c>
      <c r="B94" s="61">
        <f t="shared" si="8"/>
        <v>1.7762890980392154</v>
      </c>
      <c r="C94" s="61">
        <f>FH!A94*1</f>
        <v>0</v>
      </c>
      <c r="D94" s="61">
        <f>FH!B94*1</f>
        <v>0</v>
      </c>
      <c r="E94">
        <f t="shared" si="11"/>
        <v>92</v>
      </c>
      <c r="F94" s="61">
        <f>IF(FT!A94&lt;&gt;"",FT!A94*10,"")</f>
        <v>3.6352600000000002</v>
      </c>
      <c r="G94" s="61">
        <f>IF(FT!B94&lt;&gt;"",FT!B94*100,"")</f>
        <v>43.178699999999999</v>
      </c>
      <c r="H94" s="61">
        <f t="shared" si="9"/>
        <v>1</v>
      </c>
      <c r="I94" t="str">
        <f>IF(FT!B94&lt;&gt;"",FT!E94,"")</f>
        <v>2 [37.388215]</v>
      </c>
      <c r="J94">
        <f>IF(FT!B94&lt;&gt;"",FT!C94,"")</f>
        <v>37.388199999999998</v>
      </c>
    </row>
    <row r="95" spans="1:10">
      <c r="A95" s="61">
        <f t="shared" si="10"/>
        <v>93</v>
      </c>
      <c r="B95" s="61">
        <f t="shared" si="8"/>
        <v>1.7955965882352938</v>
      </c>
      <c r="C95" s="61">
        <f>FH!A95*1</f>
        <v>103902</v>
      </c>
      <c r="D95" s="61">
        <f>FH!B95*1</f>
        <v>103902</v>
      </c>
      <c r="E95">
        <f t="shared" si="11"/>
        <v>93</v>
      </c>
      <c r="F95" s="61">
        <f>IF(FT!A95&lt;&gt;"",FT!A95*10,"")</f>
        <v>3.6331899999999999</v>
      </c>
      <c r="G95" s="61">
        <f>IF(FT!B95&lt;&gt;"",FT!B95*100,"")</f>
        <v>43.417200000000001</v>
      </c>
      <c r="H95" s="61">
        <f t="shared" si="9"/>
        <v>1</v>
      </c>
      <c r="I95" t="str">
        <f>IF(FT!B95&lt;&gt;"",FT!E95,"")</f>
        <v>2 [37.797378]</v>
      </c>
      <c r="J95">
        <f>IF(FT!B95&lt;&gt;"",FT!C95,"")</f>
        <v>37.797400000000003</v>
      </c>
    </row>
    <row r="96" spans="1:10">
      <c r="A96" s="61">
        <f t="shared" si="10"/>
        <v>94</v>
      </c>
      <c r="B96" s="61">
        <f t="shared" si="8"/>
        <v>1.8149040784313726</v>
      </c>
      <c r="C96" s="61">
        <f>FH!A96*1</f>
        <v>0</v>
      </c>
      <c r="D96" s="61">
        <f>FH!B96*1</f>
        <v>0</v>
      </c>
      <c r="E96">
        <f t="shared" si="11"/>
        <v>94</v>
      </c>
      <c r="F96" s="61">
        <f>IF(FT!A96&lt;&gt;"",FT!A96*10,"")</f>
        <v>3.6255799999999998</v>
      </c>
      <c r="G96" s="61">
        <f>IF(FT!B96&lt;&gt;"",FT!B96*100,"")</f>
        <v>43.655699999999996</v>
      </c>
      <c r="H96" s="61">
        <f t="shared" si="9"/>
        <v>1</v>
      </c>
      <c r="I96" t="str">
        <f>IF(FT!B96&lt;&gt;"",FT!E96,"")</f>
        <v>2 [38.204446]</v>
      </c>
      <c r="J96">
        <f>IF(FT!B96&lt;&gt;"",FT!C96,"")</f>
        <v>38.2044</v>
      </c>
    </row>
    <row r="97" spans="1:10">
      <c r="A97" s="61">
        <f t="shared" si="10"/>
        <v>95</v>
      </c>
      <c r="B97" s="61">
        <f t="shared" si="8"/>
        <v>1.8342115686274509</v>
      </c>
      <c r="C97" s="61">
        <f>FH!A97*1</f>
        <v>0</v>
      </c>
      <c r="D97" s="61">
        <f>FH!B97*1</f>
        <v>0</v>
      </c>
      <c r="E97">
        <f t="shared" si="11"/>
        <v>95</v>
      </c>
      <c r="F97" s="61">
        <f>IF(FT!A97&lt;&gt;"",FT!A97*10,"")</f>
        <v>3.6111</v>
      </c>
      <c r="G97" s="61">
        <f>IF(FT!B97&lt;&gt;"",FT!B97*100,"")</f>
        <v>43.917299999999997</v>
      </c>
      <c r="H97" s="61">
        <f t="shared" si="9"/>
        <v>1</v>
      </c>
      <c r="I97" t="str">
        <f>IF(FT!B97&lt;&gt;"",FT!E97,"")</f>
        <v>2 [38.606738]</v>
      </c>
      <c r="J97">
        <f>IF(FT!B97&lt;&gt;"",FT!C97,"")</f>
        <v>38.606699999999996</v>
      </c>
    </row>
    <row r="98" spans="1:10">
      <c r="A98" s="61">
        <f t="shared" si="10"/>
        <v>96</v>
      </c>
      <c r="B98" s="61">
        <f t="shared" si="8"/>
        <v>1.8535190588235293</v>
      </c>
      <c r="C98" s="61">
        <f>FH!A98*1</f>
        <v>102548</v>
      </c>
      <c r="D98" s="61">
        <f>FH!B98*1</f>
        <v>102548</v>
      </c>
      <c r="E98">
        <f t="shared" si="11"/>
        <v>96</v>
      </c>
      <c r="F98" s="61">
        <f>IF(FT!A98&lt;&gt;"",FT!A98*10,"")</f>
        <v>3.5911</v>
      </c>
      <c r="G98" s="61">
        <f>IF(FT!B98&lt;&gt;"",FT!B98*100,"")</f>
        <v>44.1081</v>
      </c>
      <c r="H98" s="61">
        <f t="shared" si="9"/>
        <v>1</v>
      </c>
      <c r="I98" t="str">
        <f>IF(FT!B98&lt;&gt;"",FT!E98,"")</f>
        <v>2 [39.016568]</v>
      </c>
      <c r="J98">
        <f>IF(FT!B98&lt;&gt;"",FT!C98,"")</f>
        <v>39.016599999999997</v>
      </c>
    </row>
    <row r="99" spans="1:10">
      <c r="A99" s="61">
        <f t="shared" si="10"/>
        <v>97</v>
      </c>
      <c r="B99" s="61">
        <f t="shared" si="8"/>
        <v>1.8728265490196077</v>
      </c>
      <c r="C99" s="61">
        <f>FH!A99*1</f>
        <v>0</v>
      </c>
      <c r="D99" s="61">
        <f>FH!B99*1</f>
        <v>0</v>
      </c>
      <c r="E99">
        <f t="shared" si="11"/>
        <v>97</v>
      </c>
      <c r="F99" s="61">
        <f>IF(FT!A99&lt;&gt;"",FT!A99*10,"")</f>
        <v>3.5664400000000001</v>
      </c>
      <c r="G99" s="61">
        <f>IF(FT!B99&lt;&gt;"",FT!B99*100,"")</f>
        <v>44.277899999999995</v>
      </c>
      <c r="H99" s="61">
        <f t="shared" si="9"/>
        <v>1</v>
      </c>
      <c r="I99" t="str">
        <f>IF(FT!B99&lt;&gt;"",FT!E99,"")</f>
        <v>2 [39.424258]</v>
      </c>
      <c r="J99">
        <f>IF(FT!B99&lt;&gt;"",FT!C99,"")</f>
        <v>39.424300000000002</v>
      </c>
    </row>
    <row r="100" spans="1:10">
      <c r="A100" s="61">
        <f t="shared" si="10"/>
        <v>98</v>
      </c>
      <c r="B100" s="61">
        <f t="shared" si="8"/>
        <v>1.8921340392156862</v>
      </c>
      <c r="C100" s="61">
        <f>FH!A100*1</f>
        <v>102516</v>
      </c>
      <c r="D100" s="61">
        <f>FH!B100*1</f>
        <v>102516</v>
      </c>
      <c r="E100">
        <f t="shared" si="11"/>
        <v>98</v>
      </c>
      <c r="F100" s="61">
        <f>IF(FT!A100&lt;&gt;"",FT!A100*10,"")</f>
        <v>3.5398000000000001</v>
      </c>
      <c r="G100" s="61">
        <f>IF(FT!B100&lt;&gt;"",FT!B100*100,"")</f>
        <v>44.468299999999999</v>
      </c>
      <c r="H100" s="61">
        <f t="shared" si="9"/>
        <v>1</v>
      </c>
      <c r="I100" t="str">
        <f>IF(FT!B100&lt;&gt;"",FT!E100,"")</f>
        <v>2 [39.832411]</v>
      </c>
      <c r="J100">
        <f>IF(FT!B100&lt;&gt;"",FT!C100,"")</f>
        <v>39.8324</v>
      </c>
    </row>
    <row r="101" spans="1:10">
      <c r="A101" s="61">
        <f t="shared" si="10"/>
        <v>99</v>
      </c>
      <c r="B101" s="61">
        <f t="shared" si="8"/>
        <v>1.9114415294117646</v>
      </c>
      <c r="C101" s="61">
        <f>FH!A101*1</f>
        <v>0</v>
      </c>
      <c r="D101" s="61">
        <f>FH!B101*1</f>
        <v>0</v>
      </c>
      <c r="E101">
        <f t="shared" si="11"/>
        <v>99</v>
      </c>
      <c r="F101" s="61">
        <f>IF(FT!A101&lt;&gt;"",FT!A101*10,"")</f>
        <v>3.5124300000000002</v>
      </c>
      <c r="G101" s="61">
        <f>IF(FT!B101&lt;&gt;"",FT!B101*100,"")</f>
        <v>44.6477</v>
      </c>
      <c r="H101" s="61">
        <f t="shared" si="9"/>
        <v>1</v>
      </c>
      <c r="I101" t="str">
        <f>IF(FT!B101&lt;&gt;"",FT!E101,"")</f>
        <v>2 [40.236658]</v>
      </c>
      <c r="J101">
        <f>IF(FT!B101&lt;&gt;"",FT!C101,"")</f>
        <v>40.236699999999999</v>
      </c>
    </row>
    <row r="102" spans="1:10">
      <c r="A102" s="61">
        <f t="shared" si="10"/>
        <v>100</v>
      </c>
      <c r="B102" s="61">
        <f t="shared" si="8"/>
        <v>1.930749019607843</v>
      </c>
      <c r="C102" s="61">
        <f>FH!A102*1</f>
        <v>0</v>
      </c>
      <c r="D102" s="61">
        <f>FH!B102*1</f>
        <v>0</v>
      </c>
      <c r="E102">
        <f t="shared" si="11"/>
        <v>100</v>
      </c>
      <c r="F102" s="61">
        <f>IF(FT!A102&lt;&gt;"",FT!A102*10,"")</f>
        <v>3.4835899999999995</v>
      </c>
      <c r="G102" s="61">
        <f>IF(FT!B102&lt;&gt;"",FT!B102*100,"")</f>
        <v>44.815600000000003</v>
      </c>
      <c r="H102" s="61">
        <f t="shared" si="9"/>
        <v>1</v>
      </c>
      <c r="I102" t="str">
        <f>IF(FT!B102&lt;&gt;"",FT!E102,"")</f>
        <v>2 [40.639933]</v>
      </c>
      <c r="J102">
        <f>IF(FT!B102&lt;&gt;"",FT!C102,"")</f>
        <v>40.639899999999997</v>
      </c>
    </row>
    <row r="103" spans="1:10">
      <c r="A103" s="61">
        <f t="shared" si="10"/>
        <v>101</v>
      </c>
      <c r="B103" s="61">
        <f t="shared" si="8"/>
        <v>1.9500565098039213</v>
      </c>
      <c r="C103" s="61">
        <f>FH!A103*1</f>
        <v>102689</v>
      </c>
      <c r="D103" s="61">
        <f>FH!B103*1</f>
        <v>102689</v>
      </c>
      <c r="E103">
        <f t="shared" si="11"/>
        <v>101</v>
      </c>
      <c r="F103" s="61">
        <f>IF(FT!A103&lt;&gt;"",FT!A103*10,"")</f>
        <v>3.4516400000000003</v>
      </c>
      <c r="G103" s="61">
        <f>IF(FT!B103&lt;&gt;"",FT!B103*100,"")</f>
        <v>44.924199999999999</v>
      </c>
      <c r="H103" s="61">
        <f t="shared" si="9"/>
        <v>1</v>
      </c>
      <c r="I103" t="str">
        <f>IF(FT!B103&lt;&gt;"",FT!E103,"")</f>
        <v>2 [41.047192]</v>
      </c>
      <c r="J103">
        <f>IF(FT!B103&lt;&gt;"",FT!C103,"")</f>
        <v>41.047199999999997</v>
      </c>
    </row>
    <row r="104" spans="1:10">
      <c r="A104" s="61">
        <f t="shared" si="10"/>
        <v>102</v>
      </c>
      <c r="B104" s="61">
        <f t="shared" si="8"/>
        <v>1.9693639999999999</v>
      </c>
      <c r="C104" s="61">
        <f>FH!A104*1</f>
        <v>0</v>
      </c>
      <c r="D104" s="61">
        <f>FH!B104*1</f>
        <v>0</v>
      </c>
      <c r="E104">
        <f t="shared" si="11"/>
        <v>102</v>
      </c>
      <c r="F104" s="61">
        <f>IF(FT!A104&lt;&gt;"",FT!A104*10,"")</f>
        <v>3.41736</v>
      </c>
      <c r="G104" s="61">
        <f>IF(FT!B104&lt;&gt;"",FT!B104*100,"")</f>
        <v>45.0762</v>
      </c>
      <c r="H104" s="61">
        <f t="shared" si="9"/>
        <v>1</v>
      </c>
      <c r="I104" t="str">
        <f>IF(FT!B104&lt;&gt;"",FT!E104,"")</f>
        <v>2 [41.453371]</v>
      </c>
      <c r="J104">
        <f>IF(FT!B104&lt;&gt;"",FT!C104,"")</f>
        <v>41.453400000000002</v>
      </c>
    </row>
    <row r="105" spans="1:10">
      <c r="A105" s="61">
        <f t="shared" si="10"/>
        <v>103</v>
      </c>
      <c r="B105" s="61">
        <f t="shared" si="8"/>
        <v>1.9886714901960783</v>
      </c>
      <c r="C105" s="61">
        <f>FH!A105*1</f>
        <v>0</v>
      </c>
      <c r="D105" s="61">
        <f>FH!B105*1</f>
        <v>0</v>
      </c>
      <c r="E105">
        <f t="shared" si="11"/>
        <v>103</v>
      </c>
      <c r="F105" s="61">
        <f>IF(FT!A105&lt;&gt;"",FT!A105*10,"")</f>
        <v>3.3826800000000001</v>
      </c>
      <c r="G105" s="61">
        <f>IF(FT!B105&lt;&gt;"",FT!B105*100,"")</f>
        <v>45.287700000000001</v>
      </c>
      <c r="H105" s="61">
        <f t="shared" si="9"/>
        <v>1</v>
      </c>
      <c r="I105" t="str">
        <f>IF(FT!B105&lt;&gt;"",FT!E105,"")</f>
        <v>2 [41.862556]</v>
      </c>
      <c r="J105">
        <f>IF(FT!B105&lt;&gt;"",FT!C105,"")</f>
        <v>41.8626</v>
      </c>
    </row>
    <row r="106" spans="1:10">
      <c r="A106" s="61">
        <f t="shared" si="10"/>
        <v>104</v>
      </c>
      <c r="B106" s="61">
        <f t="shared" si="8"/>
        <v>2.0079789803921568</v>
      </c>
      <c r="C106" s="61">
        <f>FH!A106*1</f>
        <v>97562</v>
      </c>
      <c r="D106" s="61">
        <f>FH!B106*1</f>
        <v>97562</v>
      </c>
      <c r="E106">
        <f t="shared" si="11"/>
        <v>104</v>
      </c>
      <c r="F106" s="61">
        <f>IF(FT!A106&lt;&gt;"",FT!A106*10,"")</f>
        <v>3.3502000000000001</v>
      </c>
      <c r="G106" s="61">
        <f>IF(FT!B106&lt;&gt;"",FT!B106*100,"")</f>
        <v>45.5244</v>
      </c>
      <c r="H106" s="61">
        <f t="shared" si="9"/>
        <v>1</v>
      </c>
      <c r="I106" t="str">
        <f>IF(FT!B106&lt;&gt;"",FT!E106,"")</f>
        <v>2 [42.265053]</v>
      </c>
      <c r="J106">
        <f>IF(FT!B106&lt;&gt;"",FT!C106,"")</f>
        <v>42.265099999999997</v>
      </c>
    </row>
    <row r="107" spans="1:10">
      <c r="A107" s="61">
        <f t="shared" si="10"/>
        <v>105</v>
      </c>
      <c r="B107" s="61">
        <f t="shared" si="8"/>
        <v>2.0272864705882352</v>
      </c>
      <c r="C107" s="61">
        <f>FH!A107*1</f>
        <v>0</v>
      </c>
      <c r="D107" s="61">
        <f>FH!B107*1</f>
        <v>0</v>
      </c>
      <c r="E107">
        <f t="shared" si="11"/>
        <v>105</v>
      </c>
      <c r="F107" s="61">
        <f>IF(FT!A107&lt;&gt;"",FT!A107*10,"")</f>
        <v>3.3159300000000003</v>
      </c>
      <c r="G107" s="61">
        <f>IF(FT!B107&lt;&gt;"",FT!B107*100,"")</f>
        <v>45.789200000000001</v>
      </c>
      <c r="H107" s="61">
        <f t="shared" si="9"/>
        <v>1</v>
      </c>
      <c r="I107" t="str">
        <f>IF(FT!B107&lt;&gt;"",FT!E107,"")</f>
        <v>2 [42.671583]</v>
      </c>
      <c r="J107">
        <f>IF(FT!B107&lt;&gt;"",FT!C107,"")</f>
        <v>42.671599999999998</v>
      </c>
    </row>
    <row r="108" spans="1:10">
      <c r="A108" s="61">
        <f t="shared" si="10"/>
        <v>106</v>
      </c>
      <c r="B108" s="61">
        <f t="shared" si="8"/>
        <v>2.0465939607843135</v>
      </c>
      <c r="C108" s="61">
        <f>FH!A108*1</f>
        <v>93162</v>
      </c>
      <c r="D108" s="61">
        <f>FH!B108*1</f>
        <v>93162</v>
      </c>
      <c r="E108">
        <f t="shared" si="11"/>
        <v>106</v>
      </c>
      <c r="F108" s="61">
        <f>IF(FT!A108&lt;&gt;"",FT!A108*10,"")</f>
        <v>3.2823899999999999</v>
      </c>
      <c r="G108" s="61">
        <f>IF(FT!B108&lt;&gt;"",FT!B108*100,"")</f>
        <v>46.049199999999999</v>
      </c>
      <c r="H108" s="61">
        <f t="shared" si="9"/>
        <v>1</v>
      </c>
      <c r="I108" t="str">
        <f>IF(FT!B108&lt;&gt;"",FT!E108,"")</f>
        <v>2 [43.076771]</v>
      </c>
      <c r="J108">
        <f>IF(FT!B108&lt;&gt;"",FT!C108,"")</f>
        <v>43.076799999999999</v>
      </c>
    </row>
    <row r="109" spans="1:10">
      <c r="A109" s="61">
        <f t="shared" si="10"/>
        <v>107</v>
      </c>
      <c r="B109" s="61">
        <f t="shared" si="8"/>
        <v>2.0659014509803919</v>
      </c>
      <c r="C109" s="61">
        <f>FH!A109*1</f>
        <v>0</v>
      </c>
      <c r="D109" s="61">
        <f>FH!B109*1</f>
        <v>0</v>
      </c>
      <c r="E109">
        <f t="shared" si="11"/>
        <v>107</v>
      </c>
      <c r="F109" s="61">
        <f>IF(FT!A109&lt;&gt;"",FT!A109*10,"")</f>
        <v>3.2487899999999996</v>
      </c>
      <c r="G109" s="61">
        <f>IF(FT!B109&lt;&gt;"",FT!B109*100,"")</f>
        <v>46.360500000000002</v>
      </c>
      <c r="H109" s="61">
        <f t="shared" si="9"/>
        <v>1</v>
      </c>
      <c r="I109" t="str">
        <f>IF(FT!B109&lt;&gt;"",FT!E109,"")</f>
        <v>2 [43.485993]</v>
      </c>
      <c r="J109">
        <f>IF(FT!B109&lt;&gt;"",FT!C109,"")</f>
        <v>43.485999999999997</v>
      </c>
    </row>
    <row r="110" spans="1:10">
      <c r="A110" s="61">
        <f t="shared" si="10"/>
        <v>108</v>
      </c>
      <c r="B110" s="61">
        <f t="shared" si="8"/>
        <v>2.0852089411764703</v>
      </c>
      <c r="C110" s="61">
        <f>FH!A110*1</f>
        <v>0</v>
      </c>
      <c r="D110" s="61">
        <f>FH!B110*1</f>
        <v>0</v>
      </c>
      <c r="E110">
        <f t="shared" si="11"/>
        <v>108</v>
      </c>
      <c r="F110" s="61">
        <f>IF(FT!A110&lt;&gt;"",FT!A110*10,"")</f>
        <v>3.2134099999999997</v>
      </c>
      <c r="G110" s="61">
        <f>IF(FT!B110&lt;&gt;"",FT!B110*100,"")</f>
        <v>46.713900000000002</v>
      </c>
      <c r="H110" s="61">
        <f t="shared" si="9"/>
        <v>1</v>
      </c>
      <c r="I110" t="str">
        <f>IF(FT!B110&lt;&gt;"",FT!E110,"")</f>
        <v>2 [43.892951]</v>
      </c>
      <c r="J110">
        <f>IF(FT!B110&lt;&gt;"",FT!C110,"")</f>
        <v>43.893000000000001</v>
      </c>
    </row>
    <row r="111" spans="1:10">
      <c r="A111" s="61">
        <f t="shared" si="10"/>
        <v>109</v>
      </c>
      <c r="B111" s="61">
        <f t="shared" si="8"/>
        <v>2.1045164313725486</v>
      </c>
      <c r="C111" s="61">
        <f>FH!A111*1</f>
        <v>91423</v>
      </c>
      <c r="D111" s="61">
        <f>FH!B111*1</f>
        <v>91423</v>
      </c>
      <c r="E111">
        <f t="shared" si="11"/>
        <v>109</v>
      </c>
      <c r="F111" s="61">
        <f>IF(FT!A111&lt;&gt;"",FT!A111*10,"")</f>
        <v>3.1768099999999997</v>
      </c>
      <c r="G111" s="61">
        <f>IF(FT!B111&lt;&gt;"",FT!B111*100,"")</f>
        <v>47.098800000000004</v>
      </c>
      <c r="H111" s="61">
        <f t="shared" si="9"/>
        <v>1</v>
      </c>
      <c r="I111" t="str">
        <f>IF(FT!B111&lt;&gt;"",FT!E111,"")</f>
        <v>2 [44.297192]</v>
      </c>
      <c r="J111">
        <f>IF(FT!B111&lt;&gt;"",FT!C111,"")</f>
        <v>44.297199999999997</v>
      </c>
    </row>
    <row r="112" spans="1:10">
      <c r="A112" s="61">
        <f t="shared" si="10"/>
        <v>110</v>
      </c>
      <c r="B112" s="61">
        <f t="shared" si="8"/>
        <v>2.1238239215686274</v>
      </c>
      <c r="C112" s="61">
        <f>FH!A112*1</f>
        <v>0</v>
      </c>
      <c r="D112" s="61">
        <f>FH!B112*1</f>
        <v>0</v>
      </c>
      <c r="E112">
        <f t="shared" si="11"/>
        <v>110</v>
      </c>
      <c r="F112" s="61">
        <f>IF(FT!A112&lt;&gt;"",FT!A112*10,"")</f>
        <v>3.1384699999999999</v>
      </c>
      <c r="G112" s="61">
        <f>IF(FT!B112&lt;&gt;"",FT!B112*100,"")</f>
        <v>47.527900000000002</v>
      </c>
      <c r="H112" s="61">
        <f t="shared" si="9"/>
        <v>1</v>
      </c>
      <c r="I112" t="str">
        <f>IF(FT!B112&lt;&gt;"",FT!E112,"")</f>
        <v>2 [44.703224]</v>
      </c>
      <c r="J112">
        <f>IF(FT!B112&lt;&gt;"",FT!C112,"")</f>
        <v>44.703200000000002</v>
      </c>
    </row>
    <row r="113" spans="1:10">
      <c r="A113" s="61">
        <f t="shared" si="10"/>
        <v>111</v>
      </c>
      <c r="B113" s="61">
        <f t="shared" si="8"/>
        <v>2.1431314117647058</v>
      </c>
      <c r="C113" s="61">
        <f>FH!A113*1</f>
        <v>82673</v>
      </c>
      <c r="D113" s="61">
        <f>FH!B113*1</f>
        <v>82673</v>
      </c>
      <c r="E113">
        <f t="shared" si="11"/>
        <v>111</v>
      </c>
      <c r="F113" s="61">
        <f>IF(FT!A113&lt;&gt;"",FT!A113*10,"")</f>
        <v>3.09917</v>
      </c>
      <c r="G113" s="61">
        <f>IF(FT!B113&lt;&gt;"",FT!B113*100,"")</f>
        <v>47.967399999999998</v>
      </c>
      <c r="H113" s="61">
        <f t="shared" si="9"/>
        <v>1</v>
      </c>
      <c r="I113" t="str">
        <f>IF(FT!B113&lt;&gt;"",FT!E113,"")</f>
        <v>2 [45.107132]</v>
      </c>
      <c r="J113">
        <f>IF(FT!B113&lt;&gt;"",FT!C113,"")</f>
        <v>45.107100000000003</v>
      </c>
    </row>
    <row r="114" spans="1:10">
      <c r="A114" s="61">
        <f t="shared" si="10"/>
        <v>112</v>
      </c>
      <c r="B114" s="61">
        <f t="shared" si="8"/>
        <v>2.1624389019607841</v>
      </c>
      <c r="C114" s="61">
        <f>FH!A114*1</f>
        <v>0</v>
      </c>
      <c r="D114" s="61">
        <f>FH!B114*1</f>
        <v>0</v>
      </c>
      <c r="E114">
        <f t="shared" si="11"/>
        <v>112</v>
      </c>
      <c r="F114" s="61">
        <f>IF(FT!A114&lt;&gt;"",FT!A114*10,"")</f>
        <v>3.0610599999999999</v>
      </c>
      <c r="G114" s="61">
        <f>IF(FT!B114&lt;&gt;"",FT!B114*100,"")</f>
        <v>48.396099999999997</v>
      </c>
      <c r="H114" s="61">
        <f t="shared" si="9"/>
        <v>1</v>
      </c>
      <c r="I114" t="str">
        <f>IF(FT!B114&lt;&gt;"",FT!E114,"")</f>
        <v>2 [45.513210]</v>
      </c>
      <c r="J114">
        <f>IF(FT!B114&lt;&gt;"",FT!C114,"")</f>
        <v>45.513199999999998</v>
      </c>
    </row>
    <row r="115" spans="1:10">
      <c r="A115" s="61">
        <f t="shared" si="10"/>
        <v>113</v>
      </c>
      <c r="B115" s="61">
        <f t="shared" si="8"/>
        <v>2.1817463921568625</v>
      </c>
      <c r="C115" s="61">
        <f>FH!A115*1</f>
        <v>0</v>
      </c>
      <c r="D115" s="61">
        <f>FH!B115*1</f>
        <v>0</v>
      </c>
      <c r="E115">
        <f t="shared" si="11"/>
        <v>113</v>
      </c>
      <c r="F115" s="61">
        <f>IF(FT!A115&lt;&gt;"",FT!A115*10,"")</f>
        <v>3.0238800000000001</v>
      </c>
      <c r="G115" s="61">
        <f>IF(FT!B115&lt;&gt;"",FT!B115*100,"")</f>
        <v>48.820799999999998</v>
      </c>
      <c r="H115" s="61">
        <f t="shared" si="9"/>
        <v>1</v>
      </c>
      <c r="I115" t="str">
        <f>IF(FT!B115&lt;&gt;"",FT!E115,"")</f>
        <v>2 [45.920942]</v>
      </c>
      <c r="J115">
        <f>IF(FT!B115&lt;&gt;"",FT!C115,"")</f>
        <v>45.920900000000003</v>
      </c>
    </row>
    <row r="116" spans="1:10">
      <c r="A116" s="61">
        <f t="shared" si="10"/>
        <v>114</v>
      </c>
      <c r="B116" s="61">
        <f t="shared" si="8"/>
        <v>2.2010538823529413</v>
      </c>
      <c r="C116" s="61">
        <f>FH!A116*1</f>
        <v>74547</v>
      </c>
      <c r="D116" s="61">
        <f>FH!B116*1</f>
        <v>74547</v>
      </c>
      <c r="E116">
        <f t="shared" si="11"/>
        <v>114</v>
      </c>
      <c r="F116" s="61">
        <f>IF(FT!A116&lt;&gt;"",FT!A116*10,"")</f>
        <v>2.9893100000000001</v>
      </c>
      <c r="G116" s="61">
        <f>IF(FT!B116&lt;&gt;"",FT!B116*100,"")</f>
        <v>49.207699999999996</v>
      </c>
      <c r="H116" s="61">
        <f t="shared" si="9"/>
        <v>1</v>
      </c>
      <c r="I116" t="str">
        <f>IF(FT!B116&lt;&gt;"",FT!E116,"")</f>
        <v>2 [46.333799]</v>
      </c>
      <c r="J116">
        <f>IF(FT!B116&lt;&gt;"",FT!C116,"")</f>
        <v>46.333799999999997</v>
      </c>
    </row>
    <row r="117" spans="1:10">
      <c r="A117" s="61">
        <f t="shared" si="10"/>
        <v>115</v>
      </c>
      <c r="B117" s="61">
        <f t="shared" si="8"/>
        <v>2.2203613725490197</v>
      </c>
      <c r="C117" s="61">
        <f>FH!A117*1</f>
        <v>0</v>
      </c>
      <c r="D117" s="61">
        <f>FH!B117*1</f>
        <v>0</v>
      </c>
      <c r="E117">
        <f t="shared" si="11"/>
        <v>115</v>
      </c>
      <c r="F117" s="61">
        <f>IF(FT!A117&lt;&gt;"",FT!A117*10,"")</f>
        <v>2.9540999999999999</v>
      </c>
      <c r="G117" s="61">
        <f>IF(FT!B117&lt;&gt;"",FT!B117*100,"")</f>
        <v>49.571199999999997</v>
      </c>
      <c r="H117" s="61">
        <f t="shared" si="9"/>
        <v>1</v>
      </c>
      <c r="I117" t="str">
        <f>IF(FT!B117&lt;&gt;"",FT!E117,"")</f>
        <v>2 [46.735832]</v>
      </c>
      <c r="J117">
        <f>IF(FT!B117&lt;&gt;"",FT!C117,"")</f>
        <v>46.735799999999998</v>
      </c>
    </row>
    <row r="118" spans="1:10">
      <c r="A118" s="61">
        <f t="shared" si="10"/>
        <v>116</v>
      </c>
      <c r="B118" s="61">
        <f t="shared" si="8"/>
        <v>2.239668862745098</v>
      </c>
      <c r="C118" s="61">
        <f>FH!A118*1</f>
        <v>70010</v>
      </c>
      <c r="D118" s="61">
        <f>FH!B118*1</f>
        <v>70010</v>
      </c>
      <c r="E118">
        <f t="shared" si="11"/>
        <v>116</v>
      </c>
      <c r="F118" s="61">
        <f>IF(FT!A118&lt;&gt;"",FT!A118*10,"")</f>
        <v>2.9179399999999998</v>
      </c>
      <c r="G118" s="61">
        <f>IF(FT!B118&lt;&gt;"",FT!B118*100,"")</f>
        <v>49.939799999999998</v>
      </c>
      <c r="H118" s="61">
        <f t="shared" si="9"/>
        <v>1</v>
      </c>
      <c r="I118" t="str">
        <f>IF(FT!B118&lt;&gt;"",FT!E118,"")</f>
        <v>2 [47.143107]</v>
      </c>
      <c r="J118">
        <f>IF(FT!B118&lt;&gt;"",FT!C118,"")</f>
        <v>47.143099999999997</v>
      </c>
    </row>
    <row r="119" spans="1:10">
      <c r="A119" s="61">
        <f t="shared" si="10"/>
        <v>117</v>
      </c>
      <c r="B119" s="61">
        <f t="shared" si="8"/>
        <v>2.2589763529411764</v>
      </c>
      <c r="C119" s="61">
        <f>FH!A119*1</f>
        <v>0</v>
      </c>
      <c r="D119" s="61">
        <f>FH!B119*1</f>
        <v>0</v>
      </c>
      <c r="E119">
        <f t="shared" si="11"/>
        <v>117</v>
      </c>
      <c r="F119" s="61">
        <f>IF(FT!A119&lt;&gt;"",FT!A119*10,"")</f>
        <v>2.88043</v>
      </c>
      <c r="G119" s="61">
        <f>IF(FT!B119&lt;&gt;"",FT!B119*100,"")</f>
        <v>50.349500000000006</v>
      </c>
      <c r="H119" s="61">
        <f t="shared" si="9"/>
        <v>1</v>
      </c>
      <c r="I119" t="str">
        <f>IF(FT!B119&lt;&gt;"",FT!E119,"")</f>
        <v>2 [47.548858]</v>
      </c>
      <c r="J119">
        <f>IF(FT!B119&lt;&gt;"",FT!C119,"")</f>
        <v>47.548900000000003</v>
      </c>
    </row>
    <row r="120" spans="1:10">
      <c r="A120" s="61">
        <f t="shared" si="10"/>
        <v>118</v>
      </c>
      <c r="B120" s="61">
        <f t="shared" si="8"/>
        <v>2.2782838431372547</v>
      </c>
      <c r="C120" s="61">
        <f>FH!A120*1</f>
        <v>0</v>
      </c>
      <c r="D120" s="61">
        <f>FH!B120*1</f>
        <v>0</v>
      </c>
      <c r="E120">
        <f t="shared" si="11"/>
        <v>118</v>
      </c>
      <c r="F120" s="61">
        <f>IF(FT!A120&lt;&gt;"",FT!A120*10,"")</f>
        <v>2.8448899999999999</v>
      </c>
      <c r="G120" s="61">
        <f>IF(FT!B120&lt;&gt;"",FT!B120*100,"")</f>
        <v>50.799300000000002</v>
      </c>
      <c r="H120" s="61">
        <f t="shared" si="9"/>
        <v>1</v>
      </c>
      <c r="I120" t="str">
        <f>IF(FT!B120&lt;&gt;"",FT!E120,"")</f>
        <v>2 [47.952642]</v>
      </c>
      <c r="J120">
        <f>IF(FT!B120&lt;&gt;"",FT!C120,"")</f>
        <v>47.952599999999997</v>
      </c>
    </row>
    <row r="121" spans="1:10">
      <c r="A121" s="61">
        <f t="shared" si="10"/>
        <v>119</v>
      </c>
      <c r="B121" s="61">
        <f t="shared" si="8"/>
        <v>2.2975913333333331</v>
      </c>
      <c r="C121" s="61">
        <f>FH!A121*1</f>
        <v>64719</v>
      </c>
      <c r="D121" s="61">
        <f>FH!B121*1</f>
        <v>64719</v>
      </c>
      <c r="E121">
        <f t="shared" si="11"/>
        <v>119</v>
      </c>
      <c r="F121" s="61">
        <f>IF(FT!A121&lt;&gt;"",FT!A121*10,"")</f>
        <v>2.8140300000000003</v>
      </c>
      <c r="G121" s="61">
        <f>IF(FT!B121&lt;&gt;"",FT!B121*100,"")</f>
        <v>51.157200000000003</v>
      </c>
      <c r="H121" s="61">
        <f t="shared" si="9"/>
        <v>1</v>
      </c>
      <c r="I121" t="str">
        <f>IF(FT!B121&lt;&gt;"",FT!E121,"")</f>
        <v>2 [48.355831]</v>
      </c>
      <c r="J121">
        <f>IF(FT!B121&lt;&gt;"",FT!C121,"")</f>
        <v>48.355800000000002</v>
      </c>
    </row>
    <row r="122" spans="1:10">
      <c r="A122" s="61">
        <f t="shared" si="10"/>
        <v>120</v>
      </c>
      <c r="B122" s="61">
        <f t="shared" si="8"/>
        <v>2.3168988235294115</v>
      </c>
      <c r="C122" s="61">
        <f>FH!A122*1</f>
        <v>0</v>
      </c>
      <c r="D122" s="61">
        <f>FH!B122*1</f>
        <v>0</v>
      </c>
      <c r="E122">
        <f t="shared" si="11"/>
        <v>120</v>
      </c>
      <c r="F122" s="61">
        <f>IF(FT!A122&lt;&gt;"",FT!A122*10,"")</f>
        <v>2.7872400000000002</v>
      </c>
      <c r="G122" s="61">
        <f>IF(FT!B122&lt;&gt;"",FT!B122*100,"")</f>
        <v>51.421099999999996</v>
      </c>
      <c r="H122" s="61">
        <f t="shared" si="9"/>
        <v>1</v>
      </c>
      <c r="I122" t="str">
        <f>IF(FT!B122&lt;&gt;"",FT!E122,"")</f>
        <v>2 [48.764739]</v>
      </c>
      <c r="J122">
        <f>IF(FT!B122&lt;&gt;"",FT!C122,"")</f>
        <v>48.764699999999998</v>
      </c>
    </row>
    <row r="123" spans="1:10">
      <c r="A123" s="61">
        <f t="shared" si="10"/>
        <v>121</v>
      </c>
      <c r="B123" s="61">
        <f t="shared" si="8"/>
        <v>2.3362063137254898</v>
      </c>
      <c r="C123" s="61">
        <f>FH!A123*1</f>
        <v>0</v>
      </c>
      <c r="D123" s="61">
        <f>FH!B123*1</f>
        <v>0</v>
      </c>
      <c r="E123">
        <f t="shared" si="11"/>
        <v>121</v>
      </c>
      <c r="F123" s="61">
        <f>IF(FT!A123&lt;&gt;"",FT!A123*10,"")</f>
        <v>2.76633</v>
      </c>
      <c r="G123" s="61">
        <f>IF(FT!B123&lt;&gt;"",FT!B123*100,"")</f>
        <v>51.641899999999993</v>
      </c>
      <c r="H123" s="61">
        <f t="shared" si="9"/>
        <v>1</v>
      </c>
      <c r="I123" t="str">
        <f>IF(FT!B123&lt;&gt;"",FT!E123,"")</f>
        <v>2 [49.174468]</v>
      </c>
      <c r="J123">
        <f>IF(FT!B123&lt;&gt;"",FT!C123,"")</f>
        <v>49.174500000000002</v>
      </c>
    </row>
    <row r="124" spans="1:10">
      <c r="A124" s="61">
        <f t="shared" si="10"/>
        <v>122</v>
      </c>
      <c r="B124" s="61">
        <f t="shared" si="8"/>
        <v>2.3555138039215686</v>
      </c>
      <c r="C124" s="61">
        <f>FH!A124*1</f>
        <v>58915</v>
      </c>
      <c r="D124" s="61">
        <f>FH!B124*1</f>
        <v>58915</v>
      </c>
      <c r="E124">
        <f t="shared" si="11"/>
        <v>122</v>
      </c>
      <c r="F124" s="61">
        <f>IF(FT!A124&lt;&gt;"",FT!A124*10,"")</f>
        <v>2.7486999999999999</v>
      </c>
      <c r="G124" s="61">
        <f>IF(FT!B124&lt;&gt;"",FT!B124*100,"")</f>
        <v>51.800800000000002</v>
      </c>
      <c r="H124" s="61">
        <f t="shared" si="9"/>
        <v>1</v>
      </c>
      <c r="I124" t="str">
        <f>IF(FT!B124&lt;&gt;"",FT!E124,"")</f>
        <v>2 [49.578387]</v>
      </c>
      <c r="J124">
        <f>IF(FT!B124&lt;&gt;"",FT!C124,"")</f>
        <v>49.578400000000002</v>
      </c>
    </row>
    <row r="125" spans="1:10">
      <c r="A125" s="61">
        <f t="shared" si="10"/>
        <v>123</v>
      </c>
      <c r="B125" s="61">
        <f t="shared" si="8"/>
        <v>2.374821294117647</v>
      </c>
      <c r="C125" s="61">
        <f>FH!A125*1</f>
        <v>0</v>
      </c>
      <c r="D125" s="61">
        <f>FH!B125*1</f>
        <v>0</v>
      </c>
      <c r="E125">
        <f t="shared" si="11"/>
        <v>123</v>
      </c>
      <c r="F125" s="61">
        <f>IF(FT!A125&lt;&gt;"",FT!A125*10,"")</f>
        <v>2.7333400000000001</v>
      </c>
      <c r="G125" s="61">
        <f>IF(FT!B125&lt;&gt;"",FT!B125*100,"")</f>
        <v>51.912300000000002</v>
      </c>
      <c r="H125" s="61">
        <f t="shared" si="9"/>
        <v>1</v>
      </c>
      <c r="I125" t="str">
        <f>IF(FT!B125&lt;&gt;"",FT!E125,"")</f>
        <v>2 [49.981727]</v>
      </c>
      <c r="J125">
        <f>IF(FT!B125&lt;&gt;"",FT!C125,"")</f>
        <v>49.981699999999996</v>
      </c>
    </row>
    <row r="126" spans="1:10">
      <c r="A126" s="61">
        <f t="shared" si="10"/>
        <v>124</v>
      </c>
      <c r="B126" s="61">
        <f t="shared" si="8"/>
        <v>2.3941287843137253</v>
      </c>
      <c r="C126" s="61">
        <f>FH!A126*1</f>
        <v>52247</v>
      </c>
      <c r="D126" s="61">
        <f>FH!B126*1</f>
        <v>52247</v>
      </c>
      <c r="E126">
        <f t="shared" si="11"/>
        <v>124</v>
      </c>
      <c r="F126" s="61">
        <f>IF(FT!A126&lt;&gt;"",FT!A126*10,"")</f>
        <v>2.72173</v>
      </c>
      <c r="G126" s="61">
        <f>IF(FT!B126&lt;&gt;"",FT!B126*100,"")</f>
        <v>51.976299999999995</v>
      </c>
      <c r="H126" s="61">
        <f t="shared" si="9"/>
        <v>1</v>
      </c>
      <c r="I126" t="str">
        <f>IF(FT!B126&lt;&gt;"",FT!E126,"")</f>
        <v>2 [50.389310]</v>
      </c>
      <c r="J126">
        <f>IF(FT!B126&lt;&gt;"",FT!C126,"")</f>
        <v>50.389299999999999</v>
      </c>
    </row>
    <row r="127" spans="1:10">
      <c r="A127" s="61">
        <f t="shared" si="10"/>
        <v>125</v>
      </c>
      <c r="B127" s="61">
        <f t="shared" si="8"/>
        <v>2.4134362745098037</v>
      </c>
      <c r="C127" s="61">
        <f>FH!A127*1</f>
        <v>0</v>
      </c>
      <c r="D127" s="61">
        <f>FH!B127*1</f>
        <v>0</v>
      </c>
      <c r="E127">
        <f t="shared" si="11"/>
        <v>125</v>
      </c>
      <c r="F127" s="61">
        <f>IF(FT!A127&lt;&gt;"",FT!A127*10,"")</f>
        <v>2.7100600000000004</v>
      </c>
      <c r="G127" s="61">
        <f>IF(FT!B127&lt;&gt;"",FT!B127*100,"")</f>
        <v>52.028799999999997</v>
      </c>
      <c r="H127" s="61">
        <f t="shared" si="9"/>
        <v>1</v>
      </c>
      <c r="I127" t="str">
        <f>IF(FT!B127&lt;&gt;"",FT!E127,"")</f>
        <v>2 [50.800632]</v>
      </c>
      <c r="J127">
        <f>IF(FT!B127&lt;&gt;"",FT!C127,"")</f>
        <v>50.800600000000003</v>
      </c>
    </row>
    <row r="128" spans="1:10">
      <c r="A128" s="61">
        <f t="shared" si="10"/>
        <v>126</v>
      </c>
      <c r="B128" s="61">
        <f t="shared" si="8"/>
        <v>2.4327437647058821</v>
      </c>
      <c r="C128" s="61">
        <f>FH!A128*1</f>
        <v>0</v>
      </c>
      <c r="D128" s="61">
        <f>FH!B128*1</f>
        <v>0</v>
      </c>
      <c r="E128">
        <f t="shared" si="11"/>
        <v>126</v>
      </c>
      <c r="F128" s="61">
        <f>IF(FT!A128&lt;&gt;"",FT!A128*10,"")</f>
        <v>2.7018599999999999</v>
      </c>
      <c r="G128" s="61">
        <f>IF(FT!B128&lt;&gt;"",FT!B128*100,"")</f>
        <v>52.012100000000004</v>
      </c>
      <c r="H128" s="61">
        <f t="shared" si="9"/>
        <v>1</v>
      </c>
      <c r="I128" t="str">
        <f>IF(FT!B128&lt;&gt;"",FT!E128,"")</f>
        <v>2 [51.203828]</v>
      </c>
      <c r="J128">
        <f>IF(FT!B128&lt;&gt;"",FT!C128,"")</f>
        <v>51.203800000000001</v>
      </c>
    </row>
    <row r="129" spans="1:10">
      <c r="A129" s="61">
        <f t="shared" si="10"/>
        <v>127</v>
      </c>
      <c r="B129" s="61">
        <f t="shared" si="8"/>
        <v>2.4520512549019604</v>
      </c>
      <c r="C129" s="61">
        <f>FH!A129*1</f>
        <v>48823</v>
      </c>
      <c r="D129" s="61">
        <f>FH!B129*1</f>
        <v>48823</v>
      </c>
      <c r="E129">
        <f t="shared" si="11"/>
        <v>127</v>
      </c>
      <c r="F129" s="61">
        <f>IF(FT!A129&lt;&gt;"",FT!A129*10,"")</f>
        <v>2.6947399999999999</v>
      </c>
      <c r="G129" s="61">
        <f>IF(FT!B129&lt;&gt;"",FT!B129*100,"")</f>
        <v>51.956400000000002</v>
      </c>
      <c r="H129" s="61">
        <f t="shared" si="9"/>
        <v>1</v>
      </c>
      <c r="I129" t="str">
        <f>IF(FT!B129&lt;&gt;"",FT!E129,"")</f>
        <v>2 [51.612555]</v>
      </c>
      <c r="J129">
        <f>IF(FT!B129&lt;&gt;"",FT!C129,"")</f>
        <v>51.6126</v>
      </c>
    </row>
    <row r="130" spans="1:10">
      <c r="A130" s="61">
        <f t="shared" si="10"/>
        <v>128</v>
      </c>
      <c r="B130" s="61">
        <f t="shared" si="8"/>
        <v>2.4713587450980392</v>
      </c>
      <c r="C130" s="61">
        <f>FH!A130*1</f>
        <v>0</v>
      </c>
      <c r="D130" s="61">
        <f>FH!B130*1</f>
        <v>0</v>
      </c>
      <c r="E130">
        <f t="shared" si="11"/>
        <v>128</v>
      </c>
      <c r="F130" s="61">
        <f>IF(FT!A130&lt;&gt;"",FT!A130*10,"")</f>
        <v>2.6864700000000004</v>
      </c>
      <c r="G130" s="61">
        <f>IF(FT!B130&lt;&gt;"",FT!B130*100,"")</f>
        <v>51.9069</v>
      </c>
      <c r="H130" s="61">
        <f t="shared" si="9"/>
        <v>1</v>
      </c>
      <c r="I130" t="str">
        <f>IF(FT!B130&lt;&gt;"",FT!E130,"")</f>
        <v>2 [52.014921]</v>
      </c>
      <c r="J130">
        <f>IF(FT!B130&lt;&gt;"",FT!C130,"")</f>
        <v>52.014899999999997</v>
      </c>
    </row>
    <row r="131" spans="1:10">
      <c r="A131" s="61">
        <f t="shared" si="10"/>
        <v>129</v>
      </c>
      <c r="B131" s="61">
        <f t="shared" ref="B131:B194" si="12">A131/255*$L$2</f>
        <v>2.4906662352941176</v>
      </c>
      <c r="C131" s="61">
        <f>FH!A131*1</f>
        <v>45494</v>
      </c>
      <c r="D131" s="61">
        <f>FH!B131*1</f>
        <v>45494</v>
      </c>
      <c r="E131">
        <f t="shared" si="11"/>
        <v>129</v>
      </c>
      <c r="F131" s="61">
        <f>IF(FT!A131&lt;&gt;"",FT!A131*10,"")</f>
        <v>2.67503</v>
      </c>
      <c r="G131" s="61">
        <f>IF(FT!B131&lt;&gt;"",FT!B131*100,"")</f>
        <v>51.913499999999999</v>
      </c>
      <c r="H131" s="61">
        <f t="shared" ref="H131:H194" si="13">(IF(F131&lt;&gt;"",1,""))</f>
        <v>1</v>
      </c>
      <c r="I131" t="str">
        <f>IF(FT!B131&lt;&gt;"",FT!E131,"")</f>
        <v>2 [52.421579]</v>
      </c>
      <c r="J131">
        <f>IF(FT!B131&lt;&gt;"",FT!C131,"")</f>
        <v>52.421599999999998</v>
      </c>
    </row>
    <row r="132" spans="1:10">
      <c r="A132" s="61">
        <f t="shared" ref="A132:A195" si="14">A131+1</f>
        <v>130</v>
      </c>
      <c r="B132" s="61">
        <f t="shared" si="12"/>
        <v>2.5099737254901959</v>
      </c>
      <c r="C132" s="61">
        <f>FH!A132*1</f>
        <v>0</v>
      </c>
      <c r="D132" s="61">
        <f>FH!B132*1</f>
        <v>0</v>
      </c>
      <c r="E132">
        <f t="shared" ref="E132:E195" si="15">E131+1</f>
        <v>130</v>
      </c>
      <c r="F132" s="61">
        <f>IF(FT!A132&lt;&gt;"",FT!A132*10,"")</f>
        <v>2.6645999999999996</v>
      </c>
      <c r="G132" s="61">
        <f>IF(FT!B132&lt;&gt;"",FT!B132*100,"")</f>
        <v>51.912499999999994</v>
      </c>
      <c r="H132" s="61">
        <f t="shared" si="13"/>
        <v>1</v>
      </c>
      <c r="I132" t="str">
        <f>IF(FT!B132&lt;&gt;"",FT!E132,"")</f>
        <v>2 [52.831630]</v>
      </c>
      <c r="J132">
        <f>IF(FT!B132&lt;&gt;"",FT!C132,"")</f>
        <v>52.831600000000002</v>
      </c>
    </row>
    <row r="133" spans="1:10">
      <c r="A133" s="61">
        <f t="shared" si="14"/>
        <v>131</v>
      </c>
      <c r="B133" s="61">
        <f t="shared" si="12"/>
        <v>2.5292812156862743</v>
      </c>
      <c r="C133" s="61">
        <f>FH!A133*1</f>
        <v>0</v>
      </c>
      <c r="D133" s="61">
        <f>FH!B133*1</f>
        <v>0</v>
      </c>
      <c r="E133">
        <f t="shared" si="15"/>
        <v>131</v>
      </c>
      <c r="F133" s="61">
        <f>IF(FT!A133&lt;&gt;"",FT!A133*10,"")</f>
        <v>2.6540699999999999</v>
      </c>
      <c r="G133" s="61">
        <f>IF(FT!B133&lt;&gt;"",FT!B133*100,"")</f>
        <v>51.919400000000003</v>
      </c>
      <c r="H133" s="61">
        <f t="shared" si="13"/>
        <v>1</v>
      </c>
      <c r="I133" t="str">
        <f>IF(FT!B133&lt;&gt;"",FT!E133,"")</f>
        <v>2 [53.236686]</v>
      </c>
      <c r="J133">
        <f>IF(FT!B133&lt;&gt;"",FT!C133,"")</f>
        <v>53.236699999999999</v>
      </c>
    </row>
    <row r="134" spans="1:10">
      <c r="A134" s="61">
        <f t="shared" si="14"/>
        <v>132</v>
      </c>
      <c r="B134" s="61">
        <f t="shared" si="12"/>
        <v>2.5485887058823531</v>
      </c>
      <c r="C134" s="61">
        <f>FH!A134*1</f>
        <v>42234</v>
      </c>
      <c r="D134" s="61">
        <f>FH!B134*1</f>
        <v>42234</v>
      </c>
      <c r="E134">
        <f t="shared" si="15"/>
        <v>132</v>
      </c>
      <c r="F134" s="61">
        <f>IF(FT!A134&lt;&gt;"",FT!A134*10,"")</f>
        <v>2.64032</v>
      </c>
      <c r="G134" s="61">
        <f>IF(FT!B134&lt;&gt;"",FT!B134*100,"")</f>
        <v>51.996699999999997</v>
      </c>
      <c r="H134" s="61">
        <f t="shared" si="13"/>
        <v>1</v>
      </c>
      <c r="I134" t="str">
        <f>IF(FT!B134&lt;&gt;"",FT!E134,"")</f>
        <v>2 [53.640187]</v>
      </c>
      <c r="J134">
        <f>IF(FT!B134&lt;&gt;"",FT!C134,"")</f>
        <v>53.6402</v>
      </c>
    </row>
    <row r="135" spans="1:10">
      <c r="A135" s="61">
        <f t="shared" si="14"/>
        <v>133</v>
      </c>
      <c r="B135" s="61">
        <f t="shared" si="12"/>
        <v>2.5678961960784314</v>
      </c>
      <c r="C135" s="61">
        <f>FH!A135*1</f>
        <v>0</v>
      </c>
      <c r="D135" s="61">
        <f>FH!B135*1</f>
        <v>0</v>
      </c>
      <c r="E135">
        <f t="shared" si="15"/>
        <v>133</v>
      </c>
      <c r="F135" s="61">
        <f>IF(FT!A135&lt;&gt;"",FT!A135*10,"")</f>
        <v>2.6269799999999996</v>
      </c>
      <c r="G135" s="61">
        <f>IF(FT!B135&lt;&gt;"",FT!B135*100,"")</f>
        <v>52.044599999999996</v>
      </c>
      <c r="H135" s="61">
        <f t="shared" si="13"/>
        <v>1</v>
      </c>
      <c r="I135" t="str">
        <f>IF(FT!B135&lt;&gt;"",FT!E135,"")</f>
        <v>2 [54.044657]</v>
      </c>
      <c r="J135">
        <f>IF(FT!B135&lt;&gt;"",FT!C135,"")</f>
        <v>54.044699999999999</v>
      </c>
    </row>
    <row r="136" spans="1:10">
      <c r="A136" s="61">
        <f t="shared" si="14"/>
        <v>134</v>
      </c>
      <c r="B136" s="61">
        <f t="shared" si="12"/>
        <v>2.5872036862745098</v>
      </c>
      <c r="C136" s="61">
        <f>FH!A136*1</f>
        <v>36204</v>
      </c>
      <c r="D136" s="61">
        <f>FH!B136*1</f>
        <v>36204</v>
      </c>
      <c r="E136">
        <f t="shared" si="15"/>
        <v>134</v>
      </c>
      <c r="F136" s="61">
        <f>IF(FT!A136&lt;&gt;"",FT!A136*10,"")</f>
        <v>2.6151799999999996</v>
      </c>
      <c r="G136" s="61">
        <f>IF(FT!B136&lt;&gt;"",FT!B136*100,"")</f>
        <v>52.117400000000004</v>
      </c>
      <c r="H136" s="61">
        <f t="shared" si="13"/>
        <v>1</v>
      </c>
      <c r="I136" t="str">
        <f>IF(FT!B136&lt;&gt;"",FT!E136,"")</f>
        <v>2 [54.453197]</v>
      </c>
      <c r="J136">
        <f>IF(FT!B136&lt;&gt;"",FT!C136,"")</f>
        <v>54.453200000000002</v>
      </c>
    </row>
    <row r="137" spans="1:10">
      <c r="A137" s="61">
        <f t="shared" si="14"/>
        <v>135</v>
      </c>
      <c r="B137" s="61">
        <f t="shared" si="12"/>
        <v>2.6065111764705882</v>
      </c>
      <c r="C137" s="61">
        <f>FH!A137*1</f>
        <v>0</v>
      </c>
      <c r="D137" s="61">
        <f>FH!B137*1</f>
        <v>0</v>
      </c>
      <c r="E137">
        <f t="shared" si="15"/>
        <v>135</v>
      </c>
      <c r="F137" s="61">
        <f>IF(FT!A137&lt;&gt;"",FT!A137*10,"")</f>
        <v>2.6064100000000003</v>
      </c>
      <c r="G137" s="61">
        <f>IF(FT!B137&lt;&gt;"",FT!B137*100,"")</f>
        <v>52.160600000000002</v>
      </c>
      <c r="H137" s="61">
        <f t="shared" si="13"/>
        <v>1</v>
      </c>
      <c r="I137" t="str">
        <f>IF(FT!B137&lt;&gt;"",FT!E137,"")</f>
        <v>2 [54.861430]</v>
      </c>
      <c r="J137">
        <f>IF(FT!B137&lt;&gt;"",FT!C137,"")</f>
        <v>54.861400000000003</v>
      </c>
    </row>
    <row r="138" spans="1:10">
      <c r="A138" s="61">
        <f t="shared" si="14"/>
        <v>136</v>
      </c>
      <c r="B138" s="61">
        <f t="shared" si="12"/>
        <v>2.6258186666666665</v>
      </c>
      <c r="C138" s="61">
        <f>FH!A138*1</f>
        <v>0</v>
      </c>
      <c r="D138" s="61">
        <f>FH!B138*1</f>
        <v>0</v>
      </c>
      <c r="E138">
        <f t="shared" si="15"/>
        <v>136</v>
      </c>
      <c r="F138" s="61">
        <f>IF(FT!A138&lt;&gt;"",FT!A138*10,"")</f>
        <v>2.6002999999999998</v>
      </c>
      <c r="G138" s="61">
        <f>IF(FT!B138&lt;&gt;"",FT!B138*100,"")</f>
        <v>52.180999999999997</v>
      </c>
      <c r="H138" s="61">
        <f t="shared" si="13"/>
        <v>1</v>
      </c>
      <c r="I138" t="str">
        <f>IF(FT!B138&lt;&gt;"",FT!E138,"")</f>
        <v>2 [55.263794]</v>
      </c>
      <c r="J138">
        <f>IF(FT!B138&lt;&gt;"",FT!C138,"")</f>
        <v>55.263800000000003</v>
      </c>
    </row>
    <row r="139" spans="1:10">
      <c r="A139" s="61">
        <f t="shared" si="14"/>
        <v>137</v>
      </c>
      <c r="B139" s="61">
        <f t="shared" si="12"/>
        <v>2.6451261568627449</v>
      </c>
      <c r="C139" s="61">
        <f>FH!A139*1</f>
        <v>33172</v>
      </c>
      <c r="D139" s="61">
        <f>FH!B139*1</f>
        <v>33172</v>
      </c>
      <c r="E139">
        <f t="shared" si="15"/>
        <v>137</v>
      </c>
      <c r="F139" s="61">
        <f>IF(FT!A139&lt;&gt;"",FT!A139*10,"")</f>
        <v>2.5929799999999998</v>
      </c>
      <c r="G139" s="61">
        <f>IF(FT!B139&lt;&gt;"",FT!B139*100,"")</f>
        <v>52.242599999999996</v>
      </c>
      <c r="H139" s="61">
        <f t="shared" si="13"/>
        <v>1</v>
      </c>
      <c r="I139" t="str">
        <f>IF(FT!B139&lt;&gt;"",FT!E139,"")</f>
        <v>2 [55.674003]</v>
      </c>
      <c r="J139">
        <f>IF(FT!B139&lt;&gt;"",FT!C139,"")</f>
        <v>55.673999999999999</v>
      </c>
    </row>
    <row r="140" spans="1:10">
      <c r="A140" s="61">
        <f t="shared" si="14"/>
        <v>138</v>
      </c>
      <c r="B140" s="61">
        <f t="shared" si="12"/>
        <v>2.6644336470588232</v>
      </c>
      <c r="C140" s="61">
        <f>FH!A140*1</f>
        <v>0</v>
      </c>
      <c r="D140" s="61">
        <f>FH!B140*1</f>
        <v>0</v>
      </c>
      <c r="E140">
        <f t="shared" si="15"/>
        <v>138</v>
      </c>
      <c r="F140" s="61">
        <f>IF(FT!A140&lt;&gt;"",FT!A140*10,"")</f>
        <v>2.5882000000000001</v>
      </c>
      <c r="G140" s="61">
        <f>IF(FT!B140&lt;&gt;"",FT!B140*100,"")</f>
        <v>52.292200000000001</v>
      </c>
      <c r="H140" s="61">
        <f t="shared" si="13"/>
        <v>1</v>
      </c>
      <c r="I140" t="str">
        <f>IF(FT!B140&lt;&gt;"",FT!E140,"")</f>
        <v>2 [56.078065]</v>
      </c>
      <c r="J140">
        <f>IF(FT!B140&lt;&gt;"",FT!C140,"")</f>
        <v>56.078099999999999</v>
      </c>
    </row>
    <row r="141" spans="1:10">
      <c r="A141" s="61">
        <f t="shared" si="14"/>
        <v>139</v>
      </c>
      <c r="B141" s="61">
        <f t="shared" si="12"/>
        <v>2.6837411372549016</v>
      </c>
      <c r="C141" s="61">
        <f>FH!A141*1</f>
        <v>0</v>
      </c>
      <c r="D141" s="61">
        <f>FH!B141*1</f>
        <v>0</v>
      </c>
      <c r="E141">
        <f t="shared" si="15"/>
        <v>139</v>
      </c>
      <c r="F141" s="61">
        <f>IF(FT!A141&lt;&gt;"",FT!A141*10,"")</f>
        <v>2.58155</v>
      </c>
      <c r="G141" s="61">
        <f>IF(FT!B141&lt;&gt;"",FT!B141*100,"")</f>
        <v>52.385800000000003</v>
      </c>
      <c r="H141" s="61">
        <f t="shared" si="13"/>
        <v>1</v>
      </c>
      <c r="I141" t="str">
        <f>IF(FT!B141&lt;&gt;"",FT!E141,"")</f>
        <v>2 [56.486645]</v>
      </c>
      <c r="J141">
        <f>IF(FT!B141&lt;&gt;"",FT!C141,"")</f>
        <v>56.486600000000003</v>
      </c>
    </row>
    <row r="142" spans="1:10">
      <c r="A142" s="61">
        <f t="shared" si="14"/>
        <v>140</v>
      </c>
      <c r="B142" s="61">
        <f t="shared" si="12"/>
        <v>2.7030486274509804</v>
      </c>
      <c r="C142" s="61">
        <f>FH!A142*1</f>
        <v>28638</v>
      </c>
      <c r="D142" s="61">
        <f>FH!B142*1</f>
        <v>28638</v>
      </c>
      <c r="E142">
        <f t="shared" si="15"/>
        <v>140</v>
      </c>
      <c r="F142" s="61">
        <f>IF(FT!A142&lt;&gt;"",FT!A142*10,"")</f>
        <v>2.5793500000000003</v>
      </c>
      <c r="G142" s="61">
        <f>IF(FT!B142&lt;&gt;"",FT!B142*100,"")</f>
        <v>52.503799999999998</v>
      </c>
      <c r="H142" s="61">
        <f t="shared" si="13"/>
        <v>1</v>
      </c>
      <c r="I142" t="str">
        <f>IF(FT!B142&lt;&gt;"",FT!E142,"")</f>
        <v>2 [56.891722]</v>
      </c>
      <c r="J142">
        <f>IF(FT!B142&lt;&gt;"",FT!C142,"")</f>
        <v>56.8917</v>
      </c>
    </row>
    <row r="143" spans="1:10">
      <c r="A143" s="61">
        <f t="shared" si="14"/>
        <v>141</v>
      </c>
      <c r="B143" s="61">
        <f t="shared" si="12"/>
        <v>2.7223561176470588</v>
      </c>
      <c r="C143" s="61">
        <f>FH!A143*1</f>
        <v>0</v>
      </c>
      <c r="D143" s="61">
        <f>FH!B143*1</f>
        <v>0</v>
      </c>
      <c r="E143">
        <f t="shared" si="15"/>
        <v>141</v>
      </c>
      <c r="F143" s="61">
        <f>IF(FT!A143&lt;&gt;"",FT!A143*10,"")</f>
        <v>2.5840000000000001</v>
      </c>
      <c r="G143" s="61">
        <f>IF(FT!B143&lt;&gt;"",FT!B143*100,"")</f>
        <v>52.589399999999998</v>
      </c>
      <c r="H143" s="61">
        <f t="shared" si="13"/>
        <v>1</v>
      </c>
      <c r="I143" t="str">
        <f>IF(FT!B143&lt;&gt;"",FT!E143,"")</f>
        <v>2 [57.296917]</v>
      </c>
      <c r="J143">
        <f>IF(FT!B143&lt;&gt;"",FT!C143,"")</f>
        <v>57.296900000000001</v>
      </c>
    </row>
    <row r="144" spans="1:10">
      <c r="A144" s="61">
        <f t="shared" si="14"/>
        <v>142</v>
      </c>
      <c r="B144" s="61">
        <f t="shared" si="12"/>
        <v>2.7416636078431371</v>
      </c>
      <c r="C144" s="61">
        <f>FH!A144*1</f>
        <v>23921</v>
      </c>
      <c r="D144" s="61">
        <f>FH!B144*1</f>
        <v>23921</v>
      </c>
      <c r="E144">
        <f t="shared" si="15"/>
        <v>142</v>
      </c>
      <c r="F144" s="61">
        <f>IF(FT!A144&lt;&gt;"",FT!A144*10,"")</f>
        <v>2.5954199999999998</v>
      </c>
      <c r="G144" s="61">
        <f>IF(FT!B144&lt;&gt;"",FT!B144*100,"")</f>
        <v>52.6479</v>
      </c>
      <c r="H144" s="61">
        <f t="shared" si="13"/>
        <v>1</v>
      </c>
      <c r="I144" t="str">
        <f>IF(FT!B144&lt;&gt;"",FT!E144,"")</f>
        <v>2 [57.705733]</v>
      </c>
      <c r="J144">
        <f>IF(FT!B144&lt;&gt;"",FT!C144,"")</f>
        <v>57.7057</v>
      </c>
    </row>
    <row r="145" spans="1:10">
      <c r="A145" s="61">
        <f t="shared" si="14"/>
        <v>143</v>
      </c>
      <c r="B145" s="61">
        <f t="shared" si="12"/>
        <v>2.7609710980392155</v>
      </c>
      <c r="C145" s="61">
        <f>FH!A145*1</f>
        <v>0</v>
      </c>
      <c r="D145" s="61">
        <f>FH!B145*1</f>
        <v>0</v>
      </c>
      <c r="E145">
        <f t="shared" si="15"/>
        <v>143</v>
      </c>
      <c r="F145" s="61">
        <f>IF(FT!A145&lt;&gt;"",FT!A145*10,"")</f>
        <v>2.6027</v>
      </c>
      <c r="G145" s="61">
        <f>IF(FT!B145&lt;&gt;"",FT!B145*100,"")</f>
        <v>52.714700000000001</v>
      </c>
      <c r="H145" s="61">
        <f t="shared" si="13"/>
        <v>1</v>
      </c>
      <c r="I145" t="str">
        <f>IF(FT!B145&lt;&gt;"",FT!E145,"")</f>
        <v>2 [58.106480]</v>
      </c>
      <c r="J145">
        <f>IF(FT!B145&lt;&gt;"",FT!C145,"")</f>
        <v>58.106499999999997</v>
      </c>
    </row>
    <row r="146" spans="1:10">
      <c r="A146" s="61">
        <f t="shared" si="14"/>
        <v>144</v>
      </c>
      <c r="B146" s="61">
        <f t="shared" si="12"/>
        <v>2.7802785882352938</v>
      </c>
      <c r="C146" s="61">
        <f>FH!A146*1</f>
        <v>0</v>
      </c>
      <c r="D146" s="61">
        <f>FH!B146*1</f>
        <v>0</v>
      </c>
      <c r="E146">
        <f t="shared" si="15"/>
        <v>144</v>
      </c>
      <c r="F146" s="61">
        <f>IF(FT!A146&lt;&gt;"",FT!A146*10,"")</f>
        <v>2.61348</v>
      </c>
      <c r="G146" s="61">
        <f>IF(FT!B146&lt;&gt;"",FT!B146*100,"")</f>
        <v>52.731999999999999</v>
      </c>
      <c r="H146" s="61">
        <f t="shared" si="13"/>
        <v>1</v>
      </c>
      <c r="I146" t="str">
        <f>IF(FT!B146&lt;&gt;"",FT!E146,"")</f>
        <v>2 [58.514633]</v>
      </c>
      <c r="J146">
        <f>IF(FT!B146&lt;&gt;"",FT!C146,"")</f>
        <v>58.514600000000002</v>
      </c>
    </row>
    <row r="147" spans="1:10">
      <c r="A147" s="61">
        <f t="shared" si="14"/>
        <v>145</v>
      </c>
      <c r="B147" s="61">
        <f t="shared" si="12"/>
        <v>2.7995860784313722</v>
      </c>
      <c r="C147" s="61">
        <f>FH!A147*1</f>
        <v>19998</v>
      </c>
      <c r="D147" s="61">
        <f>FH!B147*1</f>
        <v>19998</v>
      </c>
      <c r="E147">
        <f t="shared" si="15"/>
        <v>145</v>
      </c>
      <c r="F147" s="61">
        <f>IF(FT!A147&lt;&gt;"",FT!A147*10,"")</f>
        <v>2.63009</v>
      </c>
      <c r="G147" s="61">
        <f>IF(FT!B147&lt;&gt;"",FT!B147*100,"")</f>
        <v>52.812800000000003</v>
      </c>
      <c r="H147" s="61">
        <f t="shared" si="13"/>
        <v>1</v>
      </c>
      <c r="I147" t="str">
        <f>IF(FT!B147&lt;&gt;"",FT!E147,"")</f>
        <v>2 [58.921019]</v>
      </c>
      <c r="J147">
        <f>IF(FT!B147&lt;&gt;"",FT!C147,"")</f>
        <v>58.920999999999999</v>
      </c>
    </row>
    <row r="148" spans="1:10">
      <c r="A148" s="61">
        <f t="shared" si="14"/>
        <v>146</v>
      </c>
      <c r="B148" s="61">
        <f t="shared" si="12"/>
        <v>2.8188935686274506</v>
      </c>
      <c r="C148" s="61">
        <f>FH!A148*1</f>
        <v>0</v>
      </c>
      <c r="D148" s="61">
        <f>FH!B148*1</f>
        <v>0</v>
      </c>
      <c r="E148">
        <f t="shared" si="15"/>
        <v>146</v>
      </c>
      <c r="F148" s="61">
        <f>IF(FT!A148&lt;&gt;"",FT!A148*10,"")</f>
        <v>2.6357499999999998</v>
      </c>
      <c r="G148" s="61">
        <f>IF(FT!B148&lt;&gt;"",FT!B148*100,"")</f>
        <v>53.031700000000001</v>
      </c>
      <c r="H148" s="61">
        <f t="shared" si="13"/>
        <v>1</v>
      </c>
      <c r="I148" t="str">
        <f>IF(FT!B148&lt;&gt;"",FT!E148,"")</f>
        <v>2 [59.330445]</v>
      </c>
      <c r="J148">
        <f>IF(FT!B148&lt;&gt;"",FT!C148,"")</f>
        <v>59.330399999999997</v>
      </c>
    </row>
    <row r="149" spans="1:10">
      <c r="A149" s="61">
        <f t="shared" si="14"/>
        <v>147</v>
      </c>
      <c r="B149" s="61">
        <f t="shared" si="12"/>
        <v>2.8382010588235289</v>
      </c>
      <c r="C149" s="61">
        <f>FH!A149*1</f>
        <v>13157</v>
      </c>
      <c r="D149" s="61">
        <f>FH!B149*1</f>
        <v>13157</v>
      </c>
      <c r="E149">
        <f t="shared" si="15"/>
        <v>147</v>
      </c>
      <c r="F149" s="61">
        <f>IF(FT!A149&lt;&gt;"",FT!A149*10,"")</f>
        <v>2.64079</v>
      </c>
      <c r="G149" s="61">
        <f>IF(FT!B149&lt;&gt;"",FT!B149*100,"")</f>
        <v>53.244400000000006</v>
      </c>
      <c r="H149" s="61">
        <f t="shared" si="13"/>
        <v>1</v>
      </c>
      <c r="I149" t="str">
        <f>IF(FT!B149&lt;&gt;"",FT!E149,"")</f>
        <v>2 [59.734607]</v>
      </c>
      <c r="J149">
        <f>IF(FT!B149&lt;&gt;"",FT!C149,"")</f>
        <v>59.7346</v>
      </c>
    </row>
    <row r="150" spans="1:10">
      <c r="A150" s="61">
        <f t="shared" si="14"/>
        <v>148</v>
      </c>
      <c r="B150" s="61">
        <f t="shared" si="12"/>
        <v>2.8575085490196077</v>
      </c>
      <c r="C150" s="61">
        <f>FH!A150*1</f>
        <v>0</v>
      </c>
      <c r="D150" s="61">
        <f>FH!B150*1</f>
        <v>0</v>
      </c>
      <c r="E150">
        <f t="shared" si="15"/>
        <v>148</v>
      </c>
      <c r="F150" s="61" t="str">
        <f>IF(FT!A150&lt;&gt;"",FT!A150*10,"")</f>
        <v/>
      </c>
      <c r="G150" s="61" t="str">
        <f>IF(FT!B150&lt;&gt;"",FT!B150*100,"")</f>
        <v/>
      </c>
      <c r="H150" s="61" t="str">
        <f t="shared" si="13"/>
        <v/>
      </c>
      <c r="I150" t="str">
        <f>IF(FT!B150&lt;&gt;"",FT!E150,"")</f>
        <v/>
      </c>
      <c r="J150" t="str">
        <f>IF(FT!B150&lt;&gt;"",FT!C150,"")</f>
        <v/>
      </c>
    </row>
    <row r="151" spans="1:10">
      <c r="A151" s="61">
        <f t="shared" si="14"/>
        <v>149</v>
      </c>
      <c r="B151" s="61">
        <f t="shared" si="12"/>
        <v>2.8768160392156861</v>
      </c>
      <c r="C151" s="61">
        <f>FH!A151*1</f>
        <v>0</v>
      </c>
      <c r="D151" s="61">
        <f>FH!B151*1</f>
        <v>0</v>
      </c>
      <c r="E151">
        <f t="shared" si="15"/>
        <v>149</v>
      </c>
      <c r="F151" s="61" t="str">
        <f>IF(FT!A151&lt;&gt;"",FT!A151*10,"")</f>
        <v/>
      </c>
      <c r="G151" s="61" t="str">
        <f>IF(FT!B151&lt;&gt;"",FT!B151*100,"")</f>
        <v/>
      </c>
      <c r="H151" s="61" t="str">
        <f t="shared" si="13"/>
        <v/>
      </c>
      <c r="I151" t="str">
        <f>IF(FT!B151&lt;&gt;"",FT!E151,"")</f>
        <v/>
      </c>
      <c r="J151" t="str">
        <f>IF(FT!B151&lt;&gt;"",FT!C151,"")</f>
        <v/>
      </c>
    </row>
    <row r="152" spans="1:10">
      <c r="A152" s="61">
        <f t="shared" si="14"/>
        <v>150</v>
      </c>
      <c r="B152" s="61">
        <f t="shared" si="12"/>
        <v>2.8961235294117644</v>
      </c>
      <c r="C152" s="61">
        <f>FH!A152*1</f>
        <v>10595</v>
      </c>
      <c r="D152" s="61">
        <f>FH!B152*1</f>
        <v>10595</v>
      </c>
      <c r="E152">
        <f t="shared" si="15"/>
        <v>150</v>
      </c>
      <c r="F152" s="61" t="str">
        <f>IF(FT!A152&lt;&gt;"",FT!A152*10,"")</f>
        <v/>
      </c>
      <c r="G152" s="61" t="str">
        <f>IF(FT!B152&lt;&gt;"",FT!B152*100,"")</f>
        <v/>
      </c>
      <c r="H152" s="61" t="str">
        <f t="shared" si="13"/>
        <v/>
      </c>
      <c r="I152" t="str">
        <f>IF(FT!B152&lt;&gt;"",FT!E152,"")</f>
        <v/>
      </c>
      <c r="J152" t="str">
        <f>IF(FT!B152&lt;&gt;"",FT!C152,"")</f>
        <v/>
      </c>
    </row>
    <row r="153" spans="1:10">
      <c r="A153" s="61">
        <f t="shared" si="14"/>
        <v>151</v>
      </c>
      <c r="B153" s="61">
        <f t="shared" si="12"/>
        <v>2.9154310196078428</v>
      </c>
      <c r="C153" s="61">
        <f>FH!A153*1</f>
        <v>0</v>
      </c>
      <c r="D153" s="61">
        <f>FH!B153*1</f>
        <v>0</v>
      </c>
      <c r="E153">
        <f t="shared" si="15"/>
        <v>151</v>
      </c>
      <c r="F153" s="61" t="str">
        <f>IF(FT!A153&lt;&gt;"",FT!A153*10,"")</f>
        <v/>
      </c>
      <c r="G153" s="61" t="str">
        <f>IF(FT!B153&lt;&gt;"",FT!B153*100,"")</f>
        <v/>
      </c>
      <c r="H153" s="61" t="str">
        <f t="shared" si="13"/>
        <v/>
      </c>
      <c r="I153" t="str">
        <f>IF(FT!B153&lt;&gt;"",FT!E153,"")</f>
        <v/>
      </c>
      <c r="J153" t="str">
        <f>IF(FT!B153&lt;&gt;"",FT!C153,"")</f>
        <v/>
      </c>
    </row>
    <row r="154" spans="1:10">
      <c r="A154" s="61">
        <f t="shared" si="14"/>
        <v>152</v>
      </c>
      <c r="B154" s="61">
        <f t="shared" si="12"/>
        <v>2.9347385098039211</v>
      </c>
      <c r="C154" s="61">
        <f>FH!A154*1</f>
        <v>7952</v>
      </c>
      <c r="D154" s="61">
        <f>FH!B154*1</f>
        <v>7952</v>
      </c>
      <c r="E154">
        <f t="shared" si="15"/>
        <v>152</v>
      </c>
      <c r="F154" s="61" t="str">
        <f>IF(FT!A154&lt;&gt;"",FT!A154*10,"")</f>
        <v/>
      </c>
      <c r="G154" s="61" t="str">
        <f>IF(FT!B154&lt;&gt;"",FT!B154*100,"")</f>
        <v/>
      </c>
      <c r="H154" s="61" t="str">
        <f t="shared" si="13"/>
        <v/>
      </c>
      <c r="I154" t="str">
        <f>IF(FT!B154&lt;&gt;"",FT!E154,"")</f>
        <v/>
      </c>
      <c r="J154" t="str">
        <f>IF(FT!B154&lt;&gt;"",FT!C154,"")</f>
        <v/>
      </c>
    </row>
    <row r="155" spans="1:10">
      <c r="A155" s="61">
        <f t="shared" si="14"/>
        <v>153</v>
      </c>
      <c r="B155" s="61">
        <f t="shared" si="12"/>
        <v>2.9540459999999995</v>
      </c>
      <c r="C155" s="61">
        <f>FH!A155*1</f>
        <v>0</v>
      </c>
      <c r="D155" s="61">
        <f>FH!B155*1</f>
        <v>0</v>
      </c>
      <c r="E155">
        <f t="shared" si="15"/>
        <v>153</v>
      </c>
      <c r="F155" s="61" t="str">
        <f>IF(FT!A155&lt;&gt;"",FT!A155*10,"")</f>
        <v/>
      </c>
      <c r="G155" s="61" t="str">
        <f>IF(FT!B155&lt;&gt;"",FT!B155*100,"")</f>
        <v/>
      </c>
      <c r="H155" s="61" t="str">
        <f t="shared" si="13"/>
        <v/>
      </c>
      <c r="I155" t="str">
        <f>IF(FT!B155&lt;&gt;"",FT!E155,"")</f>
        <v/>
      </c>
      <c r="J155" t="str">
        <f>IF(FT!B155&lt;&gt;"",FT!C155,"")</f>
        <v/>
      </c>
    </row>
    <row r="156" spans="1:10">
      <c r="A156" s="61">
        <f t="shared" si="14"/>
        <v>154</v>
      </c>
      <c r="B156" s="61">
        <f t="shared" si="12"/>
        <v>2.9733534901960779</v>
      </c>
      <c r="C156" s="61">
        <f>FH!A156*1</f>
        <v>0</v>
      </c>
      <c r="D156" s="61">
        <f>FH!B156*1</f>
        <v>0</v>
      </c>
      <c r="E156">
        <f t="shared" si="15"/>
        <v>154</v>
      </c>
      <c r="F156" s="61" t="str">
        <f>IF(FT!A156&lt;&gt;"",FT!A156*10,"")</f>
        <v/>
      </c>
      <c r="G156" s="61" t="str">
        <f>IF(FT!B156&lt;&gt;"",FT!B156*100,"")</f>
        <v/>
      </c>
      <c r="H156" s="61" t="str">
        <f t="shared" si="13"/>
        <v/>
      </c>
      <c r="I156" t="str">
        <f>IF(FT!B156&lt;&gt;"",FT!E156,"")</f>
        <v/>
      </c>
      <c r="J156" t="str">
        <f>IF(FT!B156&lt;&gt;"",FT!C156,"")</f>
        <v/>
      </c>
    </row>
    <row r="157" spans="1:10">
      <c r="A157" s="61">
        <f t="shared" si="14"/>
        <v>155</v>
      </c>
      <c r="B157" s="61">
        <f t="shared" si="12"/>
        <v>2.9926609803921562</v>
      </c>
      <c r="C157" s="61">
        <f>FH!A157*1</f>
        <v>6463</v>
      </c>
      <c r="D157" s="61">
        <f>FH!B157*1</f>
        <v>6463</v>
      </c>
      <c r="E157">
        <f t="shared" si="15"/>
        <v>155</v>
      </c>
      <c r="F157" s="61" t="str">
        <f>IF(FT!A157&lt;&gt;"",FT!A157*10,"")</f>
        <v/>
      </c>
      <c r="G157" s="61" t="str">
        <f>IF(FT!B157&lt;&gt;"",FT!B157*100,"")</f>
        <v/>
      </c>
      <c r="H157" s="61" t="str">
        <f t="shared" si="13"/>
        <v/>
      </c>
      <c r="I157" t="str">
        <f>IF(FT!B157&lt;&gt;"",FT!E157,"")</f>
        <v/>
      </c>
      <c r="J157" t="str">
        <f>IF(FT!B157&lt;&gt;"",FT!C157,"")</f>
        <v/>
      </c>
    </row>
    <row r="158" spans="1:10">
      <c r="A158" s="61">
        <f t="shared" si="14"/>
        <v>156</v>
      </c>
      <c r="B158" s="61">
        <f t="shared" si="12"/>
        <v>3.0119684705882355</v>
      </c>
      <c r="C158" s="61">
        <f>FH!A158*1</f>
        <v>0</v>
      </c>
      <c r="D158" s="61">
        <f>FH!B158*1</f>
        <v>0</v>
      </c>
      <c r="E158">
        <f t="shared" si="15"/>
        <v>156</v>
      </c>
      <c r="F158" s="61" t="str">
        <f>IF(FT!A158&lt;&gt;"",FT!A158*10,"")</f>
        <v/>
      </c>
      <c r="G158" s="61" t="str">
        <f>IF(FT!B158&lt;&gt;"",FT!B158*100,"")</f>
        <v/>
      </c>
      <c r="H158" s="61" t="str">
        <f t="shared" si="13"/>
        <v/>
      </c>
      <c r="I158" t="str">
        <f>IF(FT!B158&lt;&gt;"",FT!E158,"")</f>
        <v/>
      </c>
      <c r="J158" t="str">
        <f>IF(FT!B158&lt;&gt;"",FT!C158,"")</f>
        <v/>
      </c>
    </row>
    <row r="159" spans="1:10">
      <c r="A159" s="61">
        <f t="shared" si="14"/>
        <v>157</v>
      </c>
      <c r="B159" s="61">
        <f t="shared" si="12"/>
        <v>3.0312759607843138</v>
      </c>
      <c r="C159" s="61">
        <f>FH!A159*1</f>
        <v>0</v>
      </c>
      <c r="D159" s="61">
        <f>FH!B159*1</f>
        <v>0</v>
      </c>
      <c r="E159">
        <f t="shared" si="15"/>
        <v>157</v>
      </c>
      <c r="F159" s="61" t="str">
        <f>IF(FT!A159&lt;&gt;"",FT!A159*10,"")</f>
        <v/>
      </c>
      <c r="G159" s="61" t="str">
        <f>IF(FT!B159&lt;&gt;"",FT!B159*100,"")</f>
        <v/>
      </c>
      <c r="H159" s="61" t="str">
        <f t="shared" si="13"/>
        <v/>
      </c>
      <c r="I159" t="str">
        <f>IF(FT!B159&lt;&gt;"",FT!E159,"")</f>
        <v/>
      </c>
      <c r="J159" t="str">
        <f>IF(FT!B159&lt;&gt;"",FT!C159,"")</f>
        <v/>
      </c>
    </row>
    <row r="160" spans="1:10">
      <c r="A160" s="61">
        <f t="shared" si="14"/>
        <v>158</v>
      </c>
      <c r="B160" s="61">
        <f t="shared" si="12"/>
        <v>3.0505834509803922</v>
      </c>
      <c r="C160" s="61">
        <f>FH!A160*1</f>
        <v>4450</v>
      </c>
      <c r="D160" s="61">
        <f>FH!B160*1</f>
        <v>4450</v>
      </c>
      <c r="E160">
        <f t="shared" si="15"/>
        <v>158</v>
      </c>
      <c r="F160" s="61" t="str">
        <f>IF(FT!A160&lt;&gt;"",FT!A160*10,"")</f>
        <v/>
      </c>
      <c r="G160" s="61" t="str">
        <f>IF(FT!B160&lt;&gt;"",FT!B160*100,"")</f>
        <v/>
      </c>
      <c r="H160" s="61" t="str">
        <f t="shared" si="13"/>
        <v/>
      </c>
      <c r="I160" t="str">
        <f>IF(FT!B160&lt;&gt;"",FT!E160,"")</f>
        <v/>
      </c>
      <c r="J160" t="str">
        <f>IF(FT!B160&lt;&gt;"",FT!C160,"")</f>
        <v/>
      </c>
    </row>
    <row r="161" spans="1:10">
      <c r="A161" s="61">
        <f t="shared" si="14"/>
        <v>159</v>
      </c>
      <c r="B161" s="61">
        <f t="shared" si="12"/>
        <v>3.0698909411764705</v>
      </c>
      <c r="C161" s="61">
        <f>FH!A161*1</f>
        <v>0</v>
      </c>
      <c r="D161" s="61">
        <f>FH!B161*1</f>
        <v>0</v>
      </c>
      <c r="E161">
        <f t="shared" si="15"/>
        <v>159</v>
      </c>
      <c r="F161" s="61" t="str">
        <f>IF(FT!A161&lt;&gt;"",FT!A161*10,"")</f>
        <v/>
      </c>
      <c r="G161" s="61" t="str">
        <f>IF(FT!B161&lt;&gt;"",FT!B161*100,"")</f>
        <v/>
      </c>
      <c r="H161" s="61" t="str">
        <f t="shared" si="13"/>
        <v/>
      </c>
      <c r="I161" t="str">
        <f>IF(FT!B161&lt;&gt;"",FT!E161,"")</f>
        <v/>
      </c>
      <c r="J161" t="str">
        <f>IF(FT!B161&lt;&gt;"",FT!C161,"")</f>
        <v/>
      </c>
    </row>
    <row r="162" spans="1:10">
      <c r="A162" s="61">
        <f t="shared" si="14"/>
        <v>160</v>
      </c>
      <c r="B162" s="61">
        <f t="shared" si="12"/>
        <v>3.0891984313725489</v>
      </c>
      <c r="C162" s="61">
        <f>FH!A162*1</f>
        <v>3504</v>
      </c>
      <c r="D162" s="61">
        <f>FH!B162*1</f>
        <v>3504</v>
      </c>
      <c r="E162">
        <f t="shared" si="15"/>
        <v>160</v>
      </c>
      <c r="F162" s="61" t="str">
        <f>IF(FT!A162&lt;&gt;"",FT!A162*10,"")</f>
        <v/>
      </c>
      <c r="G162" s="61" t="str">
        <f>IF(FT!B162&lt;&gt;"",FT!B162*100,"")</f>
        <v/>
      </c>
      <c r="H162" s="61" t="str">
        <f t="shared" si="13"/>
        <v/>
      </c>
      <c r="I162" t="str">
        <f>IF(FT!B162&lt;&gt;"",FT!E162,"")</f>
        <v/>
      </c>
      <c r="J162" t="str">
        <f>IF(FT!B162&lt;&gt;"",FT!C162,"")</f>
        <v/>
      </c>
    </row>
    <row r="163" spans="1:10">
      <c r="A163" s="61">
        <f t="shared" si="14"/>
        <v>161</v>
      </c>
      <c r="B163" s="61">
        <f t="shared" si="12"/>
        <v>3.1085059215686273</v>
      </c>
      <c r="C163" s="61">
        <f>FH!A163*1</f>
        <v>0</v>
      </c>
      <c r="D163" s="61">
        <f>FH!B163*1</f>
        <v>0</v>
      </c>
      <c r="E163">
        <f t="shared" si="15"/>
        <v>161</v>
      </c>
      <c r="F163" s="61" t="str">
        <f>IF(FT!A163&lt;&gt;"",FT!A163*10,"")</f>
        <v/>
      </c>
      <c r="G163" s="61" t="str">
        <f>IF(FT!B163&lt;&gt;"",FT!B163*100,"")</f>
        <v/>
      </c>
      <c r="H163" s="61" t="str">
        <f t="shared" si="13"/>
        <v/>
      </c>
      <c r="I163" t="str">
        <f>IF(FT!B163&lt;&gt;"",FT!E163,"")</f>
        <v/>
      </c>
      <c r="J163" t="str">
        <f>IF(FT!B163&lt;&gt;"",FT!C163,"")</f>
        <v/>
      </c>
    </row>
    <row r="164" spans="1:10">
      <c r="A164" s="61">
        <f t="shared" si="14"/>
        <v>162</v>
      </c>
      <c r="B164" s="61">
        <f t="shared" si="12"/>
        <v>3.1278134117647056</v>
      </c>
      <c r="C164" s="61">
        <f>FH!A164*1</f>
        <v>0</v>
      </c>
      <c r="D164" s="61">
        <f>FH!B164*1</f>
        <v>0</v>
      </c>
      <c r="E164">
        <f t="shared" si="15"/>
        <v>162</v>
      </c>
      <c r="F164" s="61" t="str">
        <f>IF(FT!A164&lt;&gt;"",FT!A164*10,"")</f>
        <v/>
      </c>
      <c r="G164" s="61" t="str">
        <f>IF(FT!B164&lt;&gt;"",FT!B164*100,"")</f>
        <v/>
      </c>
      <c r="H164" s="61" t="str">
        <f t="shared" si="13"/>
        <v/>
      </c>
      <c r="I164" t="str">
        <f>IF(FT!B164&lt;&gt;"",FT!E164,"")</f>
        <v/>
      </c>
      <c r="J164" t="str">
        <f>IF(FT!B164&lt;&gt;"",FT!C164,"")</f>
        <v/>
      </c>
    </row>
    <row r="165" spans="1:10">
      <c r="A165" s="61">
        <f t="shared" si="14"/>
        <v>163</v>
      </c>
      <c r="B165" s="61">
        <f t="shared" si="12"/>
        <v>3.147120901960784</v>
      </c>
      <c r="C165" s="61">
        <f>FH!A165*1</f>
        <v>2299</v>
      </c>
      <c r="D165" s="61">
        <f>FH!B165*1</f>
        <v>2299</v>
      </c>
      <c r="E165">
        <f t="shared" si="15"/>
        <v>163</v>
      </c>
      <c r="F165" s="61" t="str">
        <f>IF(FT!A165&lt;&gt;"",FT!A165*10,"")</f>
        <v/>
      </c>
      <c r="G165" s="61" t="str">
        <f>IF(FT!B165&lt;&gt;"",FT!B165*100,"")</f>
        <v/>
      </c>
      <c r="H165" s="61" t="str">
        <f t="shared" si="13"/>
        <v/>
      </c>
      <c r="I165" t="str">
        <f>IF(FT!B165&lt;&gt;"",FT!E165,"")</f>
        <v/>
      </c>
      <c r="J165" t="str">
        <f>IF(FT!B165&lt;&gt;"",FT!C165,"")</f>
        <v/>
      </c>
    </row>
    <row r="166" spans="1:10">
      <c r="A166" s="61">
        <f t="shared" si="14"/>
        <v>164</v>
      </c>
      <c r="B166" s="61">
        <f t="shared" si="12"/>
        <v>3.1664283921568628</v>
      </c>
      <c r="C166" s="61">
        <f>FH!A166*1</f>
        <v>0</v>
      </c>
      <c r="D166" s="61">
        <f>FH!B166*1</f>
        <v>0</v>
      </c>
      <c r="E166">
        <f t="shared" si="15"/>
        <v>164</v>
      </c>
      <c r="F166" s="61" t="str">
        <f>IF(FT!A166&lt;&gt;"",FT!A166*10,"")</f>
        <v/>
      </c>
      <c r="G166" s="61" t="str">
        <f>IF(FT!B166&lt;&gt;"",FT!B166*100,"")</f>
        <v/>
      </c>
      <c r="H166" s="61" t="str">
        <f t="shared" si="13"/>
        <v/>
      </c>
      <c r="I166" t="str">
        <f>IF(FT!B166&lt;&gt;"",FT!E166,"")</f>
        <v/>
      </c>
      <c r="J166" t="str">
        <f>IF(FT!B166&lt;&gt;"",FT!C166,"")</f>
        <v/>
      </c>
    </row>
    <row r="167" spans="1:10">
      <c r="A167" s="61">
        <f t="shared" si="14"/>
        <v>165</v>
      </c>
      <c r="B167" s="61">
        <f t="shared" si="12"/>
        <v>3.1857358823529411</v>
      </c>
      <c r="C167" s="61">
        <f>FH!A167*1</f>
        <v>911</v>
      </c>
      <c r="D167" s="61">
        <f>FH!B167*1</f>
        <v>911</v>
      </c>
      <c r="E167">
        <f t="shared" si="15"/>
        <v>165</v>
      </c>
      <c r="F167" s="61" t="str">
        <f>IF(FT!A167&lt;&gt;"",FT!A167*10,"")</f>
        <v/>
      </c>
      <c r="G167" s="61" t="str">
        <f>IF(FT!B167&lt;&gt;"",FT!B167*100,"")</f>
        <v/>
      </c>
      <c r="H167" s="61" t="str">
        <f t="shared" si="13"/>
        <v/>
      </c>
      <c r="I167" t="str">
        <f>IF(FT!B167&lt;&gt;"",FT!E167,"")</f>
        <v/>
      </c>
      <c r="J167" t="str">
        <f>IF(FT!B167&lt;&gt;"",FT!C167,"")</f>
        <v/>
      </c>
    </row>
    <row r="168" spans="1:10">
      <c r="A168" s="61">
        <f t="shared" si="14"/>
        <v>166</v>
      </c>
      <c r="B168" s="61">
        <f t="shared" si="12"/>
        <v>3.2050433725490195</v>
      </c>
      <c r="C168" s="61">
        <f>FH!A168*1</f>
        <v>0</v>
      </c>
      <c r="D168" s="61">
        <f>FH!B168*1</f>
        <v>0</v>
      </c>
      <c r="E168">
        <f t="shared" si="15"/>
        <v>166</v>
      </c>
      <c r="F168" s="61" t="str">
        <f>IF(FT!A168&lt;&gt;"",FT!A168*10,"")</f>
        <v/>
      </c>
      <c r="G168" s="61" t="str">
        <f>IF(FT!B168&lt;&gt;"",FT!B168*100,"")</f>
        <v/>
      </c>
      <c r="H168" s="61" t="str">
        <f t="shared" si="13"/>
        <v/>
      </c>
      <c r="I168" t="str">
        <f>IF(FT!B168&lt;&gt;"",FT!E168,"")</f>
        <v/>
      </c>
      <c r="J168" t="str">
        <f>IF(FT!B168&lt;&gt;"",FT!C168,"")</f>
        <v/>
      </c>
    </row>
    <row r="169" spans="1:10">
      <c r="A169" s="61">
        <f t="shared" si="14"/>
        <v>167</v>
      </c>
      <c r="B169" s="61">
        <f t="shared" si="12"/>
        <v>3.2243508627450979</v>
      </c>
      <c r="C169" s="61">
        <f>FH!A169*1</f>
        <v>0</v>
      </c>
      <c r="D169" s="61">
        <f>FH!B169*1</f>
        <v>0</v>
      </c>
      <c r="E169">
        <f t="shared" si="15"/>
        <v>167</v>
      </c>
      <c r="F169" s="61" t="str">
        <f>IF(FT!A169&lt;&gt;"",FT!A169*10,"")</f>
        <v/>
      </c>
      <c r="G169" s="61" t="str">
        <f>IF(FT!B169&lt;&gt;"",FT!B169*100,"")</f>
        <v/>
      </c>
      <c r="H169" s="61" t="str">
        <f t="shared" si="13"/>
        <v/>
      </c>
      <c r="I169" t="str">
        <f>IF(FT!B169&lt;&gt;"",FT!E169,"")</f>
        <v/>
      </c>
      <c r="J169" t="str">
        <f>IF(FT!B169&lt;&gt;"",FT!C169,"")</f>
        <v/>
      </c>
    </row>
    <row r="170" spans="1:10">
      <c r="A170" s="61">
        <f t="shared" si="14"/>
        <v>168</v>
      </c>
      <c r="B170" s="61">
        <f t="shared" si="12"/>
        <v>3.2436583529411762</v>
      </c>
      <c r="C170" s="61">
        <f>FH!A170*1</f>
        <v>516</v>
      </c>
      <c r="D170" s="61">
        <f>FH!B170*1</f>
        <v>516</v>
      </c>
      <c r="E170">
        <f t="shared" si="15"/>
        <v>168</v>
      </c>
      <c r="F170" s="61" t="str">
        <f>IF(FT!A170&lt;&gt;"",FT!A170*10,"")</f>
        <v/>
      </c>
      <c r="G170" s="61" t="str">
        <f>IF(FT!B170&lt;&gt;"",FT!B170*100,"")</f>
        <v/>
      </c>
      <c r="H170" s="61" t="str">
        <f t="shared" si="13"/>
        <v/>
      </c>
      <c r="I170" t="str">
        <f>IF(FT!B170&lt;&gt;"",FT!E170,"")</f>
        <v/>
      </c>
      <c r="J170" t="str">
        <f>IF(FT!B170&lt;&gt;"",FT!C170,"")</f>
        <v/>
      </c>
    </row>
    <row r="171" spans="1:10">
      <c r="A171" s="61">
        <f t="shared" si="14"/>
        <v>169</v>
      </c>
      <c r="B171" s="61">
        <f t="shared" si="12"/>
        <v>3.2629658431372546</v>
      </c>
      <c r="C171" s="61">
        <f>FH!A171*1</f>
        <v>0</v>
      </c>
      <c r="D171" s="61">
        <f>FH!B171*1</f>
        <v>0</v>
      </c>
      <c r="E171">
        <f t="shared" si="15"/>
        <v>169</v>
      </c>
      <c r="F171" s="61" t="str">
        <f>IF(FT!A171&lt;&gt;"",FT!A171*10,"")</f>
        <v/>
      </c>
      <c r="G171" s="61" t="str">
        <f>IF(FT!B171&lt;&gt;"",FT!B171*100,"")</f>
        <v/>
      </c>
      <c r="H171" s="61" t="str">
        <f t="shared" si="13"/>
        <v/>
      </c>
      <c r="I171" t="str">
        <f>IF(FT!B171&lt;&gt;"",FT!E171,"")</f>
        <v/>
      </c>
      <c r="J171" t="str">
        <f>IF(FT!B171&lt;&gt;"",FT!C171,"")</f>
        <v/>
      </c>
    </row>
    <row r="172" spans="1:10">
      <c r="A172" s="61">
        <f t="shared" si="14"/>
        <v>170</v>
      </c>
      <c r="B172" s="61">
        <f t="shared" si="12"/>
        <v>3.2822733333333329</v>
      </c>
      <c r="C172" s="61">
        <f>FH!A172*1</f>
        <v>0</v>
      </c>
      <c r="D172" s="61">
        <f>FH!B172*1</f>
        <v>0</v>
      </c>
      <c r="E172">
        <f t="shared" si="15"/>
        <v>170</v>
      </c>
      <c r="F172" s="61" t="str">
        <f>IF(FT!A172&lt;&gt;"",FT!A172*10,"")</f>
        <v/>
      </c>
      <c r="G172" s="61" t="str">
        <f>IF(FT!B172&lt;&gt;"",FT!B172*100,"")</f>
        <v/>
      </c>
      <c r="H172" s="61" t="str">
        <f t="shared" si="13"/>
        <v/>
      </c>
      <c r="I172" t="str">
        <f>IF(FT!B172&lt;&gt;"",FT!E172,"")</f>
        <v/>
      </c>
      <c r="J172" t="str">
        <f>IF(FT!B172&lt;&gt;"",FT!C172,"")</f>
        <v/>
      </c>
    </row>
    <row r="173" spans="1:10">
      <c r="A173" s="61">
        <f t="shared" si="14"/>
        <v>171</v>
      </c>
      <c r="B173" s="61">
        <f t="shared" si="12"/>
        <v>3.3015808235294113</v>
      </c>
      <c r="C173" s="61">
        <f>FH!A173*1</f>
        <v>237</v>
      </c>
      <c r="D173" s="61">
        <f>FH!B173*1</f>
        <v>237</v>
      </c>
      <c r="E173">
        <f t="shared" si="15"/>
        <v>171</v>
      </c>
      <c r="F173" s="61" t="str">
        <f>IF(FT!A173&lt;&gt;"",FT!A173*10,"")</f>
        <v/>
      </c>
      <c r="G173" s="61" t="str">
        <f>IF(FT!B173&lt;&gt;"",FT!B173*100,"")</f>
        <v/>
      </c>
      <c r="H173" s="61" t="str">
        <f t="shared" si="13"/>
        <v/>
      </c>
      <c r="I173" t="str">
        <f>IF(FT!B173&lt;&gt;"",FT!E173,"")</f>
        <v/>
      </c>
      <c r="J173" t="str">
        <f>IF(FT!B173&lt;&gt;"",FT!C173,"")</f>
        <v/>
      </c>
    </row>
    <row r="174" spans="1:10">
      <c r="A174" s="61">
        <f t="shared" si="14"/>
        <v>172</v>
      </c>
      <c r="B174" s="61">
        <f t="shared" si="12"/>
        <v>3.3208883137254901</v>
      </c>
      <c r="C174" s="61">
        <f>FH!A174*1</f>
        <v>0</v>
      </c>
      <c r="D174" s="61">
        <f>FH!B174*1</f>
        <v>0</v>
      </c>
      <c r="E174">
        <f t="shared" si="15"/>
        <v>172</v>
      </c>
      <c r="F174" s="61" t="str">
        <f>IF(FT!A174&lt;&gt;"",FT!A174*10,"")</f>
        <v/>
      </c>
      <c r="G174" s="61" t="str">
        <f>IF(FT!B174&lt;&gt;"",FT!B174*100,"")</f>
        <v/>
      </c>
      <c r="H174" s="61" t="str">
        <f t="shared" si="13"/>
        <v/>
      </c>
      <c r="I174" t="str">
        <f>IF(FT!B174&lt;&gt;"",FT!E174,"")</f>
        <v/>
      </c>
      <c r="J174" t="str">
        <f>IF(FT!B174&lt;&gt;"",FT!C174,"")</f>
        <v/>
      </c>
    </row>
    <row r="175" spans="1:10">
      <c r="A175" s="61">
        <f t="shared" si="14"/>
        <v>173</v>
      </c>
      <c r="B175" s="61">
        <f t="shared" si="12"/>
        <v>3.3401958039215685</v>
      </c>
      <c r="C175" s="61">
        <f>FH!A175*1</f>
        <v>152</v>
      </c>
      <c r="D175" s="61">
        <f>FH!B175*1</f>
        <v>152</v>
      </c>
      <c r="E175">
        <f t="shared" si="15"/>
        <v>173</v>
      </c>
      <c r="F175" s="61" t="str">
        <f>IF(FT!A175&lt;&gt;"",FT!A175*10,"")</f>
        <v/>
      </c>
      <c r="G175" s="61" t="str">
        <f>IF(FT!B175&lt;&gt;"",FT!B175*100,"")</f>
        <v/>
      </c>
      <c r="H175" s="61" t="str">
        <f t="shared" si="13"/>
        <v/>
      </c>
      <c r="I175" t="str">
        <f>IF(FT!B175&lt;&gt;"",FT!E175,"")</f>
        <v/>
      </c>
      <c r="J175" t="str">
        <f>IF(FT!B175&lt;&gt;"",FT!C175,"")</f>
        <v/>
      </c>
    </row>
    <row r="176" spans="1:10">
      <c r="A176" s="61">
        <f t="shared" si="14"/>
        <v>174</v>
      </c>
      <c r="B176" s="61">
        <f t="shared" si="12"/>
        <v>3.3595032941176468</v>
      </c>
      <c r="C176" s="61">
        <f>FH!A176*1</f>
        <v>0</v>
      </c>
      <c r="D176" s="61">
        <f>FH!B176*1</f>
        <v>0</v>
      </c>
      <c r="E176">
        <f t="shared" si="15"/>
        <v>174</v>
      </c>
      <c r="F176" s="61" t="str">
        <f>IF(FT!A176&lt;&gt;"",FT!A176*10,"")</f>
        <v/>
      </c>
      <c r="G176" s="61" t="str">
        <f>IF(FT!B176&lt;&gt;"",FT!B176*100,"")</f>
        <v/>
      </c>
      <c r="H176" s="61" t="str">
        <f t="shared" si="13"/>
        <v/>
      </c>
      <c r="I176" t="str">
        <f>IF(FT!B176&lt;&gt;"",FT!E176,"")</f>
        <v/>
      </c>
      <c r="J176" t="str">
        <f>IF(FT!B176&lt;&gt;"",FT!C176,"")</f>
        <v/>
      </c>
    </row>
    <row r="177" spans="1:10">
      <c r="A177" s="61">
        <f t="shared" si="14"/>
        <v>175</v>
      </c>
      <c r="B177" s="61">
        <f t="shared" si="12"/>
        <v>3.3788107843137252</v>
      </c>
      <c r="C177" s="61">
        <f>FH!A177*1</f>
        <v>0</v>
      </c>
      <c r="D177" s="61">
        <f>FH!B177*1</f>
        <v>0</v>
      </c>
      <c r="E177">
        <f t="shared" si="15"/>
        <v>175</v>
      </c>
      <c r="F177" s="61" t="str">
        <f>IF(FT!A177&lt;&gt;"",FT!A177*10,"")</f>
        <v/>
      </c>
      <c r="G177" s="61" t="str">
        <f>IF(FT!B177&lt;&gt;"",FT!B177*100,"")</f>
        <v/>
      </c>
      <c r="H177" s="61" t="str">
        <f t="shared" si="13"/>
        <v/>
      </c>
      <c r="I177" t="str">
        <f>IF(FT!B177&lt;&gt;"",FT!E177,"")</f>
        <v/>
      </c>
      <c r="J177" t="str">
        <f>IF(FT!B177&lt;&gt;"",FT!C177,"")</f>
        <v/>
      </c>
    </row>
    <row r="178" spans="1:10">
      <c r="A178" s="61">
        <f t="shared" si="14"/>
        <v>176</v>
      </c>
      <c r="B178" s="61">
        <f t="shared" si="12"/>
        <v>3.3981182745098035</v>
      </c>
      <c r="C178" s="61">
        <f>FH!A178*1</f>
        <v>0</v>
      </c>
      <c r="D178" s="61">
        <f>FH!B178*1</f>
        <v>0</v>
      </c>
      <c r="E178">
        <f t="shared" si="15"/>
        <v>176</v>
      </c>
      <c r="F178" s="61" t="str">
        <f>IF(FT!A178&lt;&gt;"",FT!A178*10,"")</f>
        <v/>
      </c>
      <c r="G178" s="61" t="str">
        <f>IF(FT!B178&lt;&gt;"",FT!B178*100,"")</f>
        <v/>
      </c>
      <c r="H178" s="61" t="str">
        <f t="shared" si="13"/>
        <v/>
      </c>
      <c r="I178" t="str">
        <f>IF(FT!B178&lt;&gt;"",FT!E178,"")</f>
        <v/>
      </c>
      <c r="J178" t="str">
        <f>IF(FT!B178&lt;&gt;"",FT!C178,"")</f>
        <v/>
      </c>
    </row>
    <row r="179" spans="1:10">
      <c r="A179" s="61">
        <f t="shared" si="14"/>
        <v>177</v>
      </c>
      <c r="B179" s="61">
        <f t="shared" si="12"/>
        <v>3.4174257647058819</v>
      </c>
      <c r="C179" s="61">
        <f>FH!A179*1</f>
        <v>0</v>
      </c>
      <c r="D179" s="61">
        <f>FH!B179*1</f>
        <v>0</v>
      </c>
      <c r="E179">
        <f t="shared" si="15"/>
        <v>177</v>
      </c>
      <c r="F179" s="61" t="str">
        <f>IF(FT!A179&lt;&gt;"",FT!A179*10,"")</f>
        <v/>
      </c>
      <c r="G179" s="61" t="str">
        <f>IF(FT!B179&lt;&gt;"",FT!B179*100,"")</f>
        <v/>
      </c>
      <c r="H179" s="61" t="str">
        <f t="shared" si="13"/>
        <v/>
      </c>
      <c r="I179" t="str">
        <f>IF(FT!B179&lt;&gt;"",FT!E179,"")</f>
        <v/>
      </c>
      <c r="J179" t="str">
        <f>IF(FT!B179&lt;&gt;"",FT!C179,"")</f>
        <v/>
      </c>
    </row>
    <row r="180" spans="1:10">
      <c r="A180" s="61">
        <f t="shared" si="14"/>
        <v>178</v>
      </c>
      <c r="B180" s="61">
        <f t="shared" si="12"/>
        <v>3.4367332549019602</v>
      </c>
      <c r="C180" s="61">
        <f>FH!A180*1</f>
        <v>0</v>
      </c>
      <c r="D180" s="61">
        <f>FH!B180*1</f>
        <v>0</v>
      </c>
      <c r="E180">
        <f t="shared" si="15"/>
        <v>178</v>
      </c>
      <c r="F180" s="61" t="str">
        <f>IF(FT!A180&lt;&gt;"",FT!A180*10,"")</f>
        <v/>
      </c>
      <c r="G180" s="61" t="str">
        <f>IF(FT!B180&lt;&gt;"",FT!B180*100,"")</f>
        <v/>
      </c>
      <c r="H180" s="61" t="str">
        <f t="shared" si="13"/>
        <v/>
      </c>
      <c r="I180" t="str">
        <f>IF(FT!B180&lt;&gt;"",FT!E180,"")</f>
        <v/>
      </c>
      <c r="J180" t="str">
        <f>IF(FT!B180&lt;&gt;"",FT!C180,"")</f>
        <v/>
      </c>
    </row>
    <row r="181" spans="1:10">
      <c r="A181" s="61">
        <f t="shared" si="14"/>
        <v>179</v>
      </c>
      <c r="B181" s="61">
        <f t="shared" si="12"/>
        <v>3.4560407450980386</v>
      </c>
      <c r="C181" s="61">
        <f>FH!A181*1</f>
        <v>0</v>
      </c>
      <c r="D181" s="61">
        <f>FH!B181*1</f>
        <v>0</v>
      </c>
      <c r="E181">
        <f t="shared" si="15"/>
        <v>179</v>
      </c>
      <c r="F181" s="61" t="str">
        <f>IF(FT!A181&lt;&gt;"",FT!A181*10,"")</f>
        <v/>
      </c>
      <c r="G181" s="61" t="str">
        <f>IF(FT!B181&lt;&gt;"",FT!B181*100,"")</f>
        <v/>
      </c>
      <c r="H181" s="61" t="str">
        <f t="shared" si="13"/>
        <v/>
      </c>
      <c r="I181" t="str">
        <f>IF(FT!B181&lt;&gt;"",FT!E181,"")</f>
        <v/>
      </c>
      <c r="J181" t="str">
        <f>IF(FT!B181&lt;&gt;"",FT!C181,"")</f>
        <v/>
      </c>
    </row>
    <row r="182" spans="1:10">
      <c r="A182" s="61">
        <f t="shared" si="14"/>
        <v>180</v>
      </c>
      <c r="B182" s="61">
        <f t="shared" si="12"/>
        <v>3.4753482352941174</v>
      </c>
      <c r="C182" s="61">
        <f>FH!A182*1</f>
        <v>0</v>
      </c>
      <c r="D182" s="61">
        <f>FH!B182*1</f>
        <v>0</v>
      </c>
      <c r="E182">
        <f t="shared" si="15"/>
        <v>180</v>
      </c>
      <c r="F182" s="61" t="str">
        <f>IF(FT!A182&lt;&gt;"",FT!A182*10,"")</f>
        <v/>
      </c>
      <c r="G182" s="61" t="str">
        <f>IF(FT!B182&lt;&gt;"",FT!B182*100,"")</f>
        <v/>
      </c>
      <c r="H182" s="61" t="str">
        <f t="shared" si="13"/>
        <v/>
      </c>
      <c r="I182" t="str">
        <f>IF(FT!B182&lt;&gt;"",FT!E182,"")</f>
        <v/>
      </c>
      <c r="J182" t="str">
        <f>IF(FT!B182&lt;&gt;"",FT!C182,"")</f>
        <v/>
      </c>
    </row>
    <row r="183" spans="1:10">
      <c r="A183" s="61">
        <f t="shared" si="14"/>
        <v>181</v>
      </c>
      <c r="B183" s="61">
        <f t="shared" si="12"/>
        <v>3.4946557254901958</v>
      </c>
      <c r="C183" s="61">
        <f>FH!A183*1</f>
        <v>0</v>
      </c>
      <c r="D183" s="61">
        <f>FH!B183*1</f>
        <v>0</v>
      </c>
      <c r="E183">
        <f t="shared" si="15"/>
        <v>181</v>
      </c>
      <c r="F183" s="61" t="str">
        <f>IF(FT!A183&lt;&gt;"",FT!A183*10,"")</f>
        <v/>
      </c>
      <c r="G183" s="61" t="str">
        <f>IF(FT!B183&lt;&gt;"",FT!B183*100,"")</f>
        <v/>
      </c>
      <c r="H183" s="61" t="str">
        <f t="shared" si="13"/>
        <v/>
      </c>
      <c r="I183" t="str">
        <f>IF(FT!B183&lt;&gt;"",FT!E183,"")</f>
        <v/>
      </c>
      <c r="J183" t="str">
        <f>IF(FT!B183&lt;&gt;"",FT!C183,"")</f>
        <v/>
      </c>
    </row>
    <row r="184" spans="1:10">
      <c r="A184" s="61">
        <f t="shared" si="14"/>
        <v>182</v>
      </c>
      <c r="B184" s="61">
        <f t="shared" si="12"/>
        <v>3.5139632156862741</v>
      </c>
      <c r="C184" s="61">
        <f>FH!A184*1</f>
        <v>0</v>
      </c>
      <c r="D184" s="61">
        <f>FH!B184*1</f>
        <v>0</v>
      </c>
      <c r="E184">
        <f t="shared" si="15"/>
        <v>182</v>
      </c>
      <c r="F184" s="61" t="str">
        <f>IF(FT!A184&lt;&gt;"",FT!A184*10,"")</f>
        <v/>
      </c>
      <c r="G184" s="61" t="str">
        <f>IF(FT!B184&lt;&gt;"",FT!B184*100,"")</f>
        <v/>
      </c>
      <c r="H184" s="61" t="str">
        <f t="shared" si="13"/>
        <v/>
      </c>
      <c r="I184" t="str">
        <f>IF(FT!B184&lt;&gt;"",FT!E184,"")</f>
        <v/>
      </c>
      <c r="J184" t="str">
        <f>IF(FT!B184&lt;&gt;"",FT!C184,"")</f>
        <v/>
      </c>
    </row>
    <row r="185" spans="1:10">
      <c r="A185" s="61">
        <f t="shared" si="14"/>
        <v>183</v>
      </c>
      <c r="B185" s="61">
        <f t="shared" si="12"/>
        <v>3.5332707058823525</v>
      </c>
      <c r="C185" s="61">
        <f>FH!A185*1</f>
        <v>0</v>
      </c>
      <c r="D185" s="61">
        <f>FH!B185*1</f>
        <v>0</v>
      </c>
      <c r="E185">
        <f t="shared" si="15"/>
        <v>183</v>
      </c>
      <c r="F185" s="61" t="str">
        <f>IF(FT!A185&lt;&gt;"",FT!A185*10,"")</f>
        <v/>
      </c>
      <c r="G185" s="61" t="str">
        <f>IF(FT!B185&lt;&gt;"",FT!B185*100,"")</f>
        <v/>
      </c>
      <c r="H185" s="61" t="str">
        <f t="shared" si="13"/>
        <v/>
      </c>
      <c r="I185" t="str">
        <f>IF(FT!B185&lt;&gt;"",FT!E185,"")</f>
        <v/>
      </c>
      <c r="J185" t="str">
        <f>IF(FT!B185&lt;&gt;"",FT!C185,"")</f>
        <v/>
      </c>
    </row>
    <row r="186" spans="1:10">
      <c r="A186" s="61">
        <f t="shared" si="14"/>
        <v>184</v>
      </c>
      <c r="B186" s="61">
        <f t="shared" si="12"/>
        <v>3.5525781960784308</v>
      </c>
      <c r="C186" s="61">
        <f>FH!A186*1</f>
        <v>0</v>
      </c>
      <c r="D186" s="61">
        <f>FH!B186*1</f>
        <v>0</v>
      </c>
      <c r="E186">
        <f t="shared" si="15"/>
        <v>184</v>
      </c>
      <c r="F186" s="61" t="str">
        <f>IF(FT!A186&lt;&gt;"",FT!A186*10,"")</f>
        <v/>
      </c>
      <c r="G186" s="61" t="str">
        <f>IF(FT!B186&lt;&gt;"",FT!B186*100,"")</f>
        <v/>
      </c>
      <c r="H186" s="61" t="str">
        <f t="shared" si="13"/>
        <v/>
      </c>
      <c r="I186" t="str">
        <f>IF(FT!B186&lt;&gt;"",FT!E186,"")</f>
        <v/>
      </c>
      <c r="J186" t="str">
        <f>IF(FT!B186&lt;&gt;"",FT!C186,"")</f>
        <v/>
      </c>
    </row>
    <row r="187" spans="1:10">
      <c r="A187" s="61">
        <f t="shared" si="14"/>
        <v>185</v>
      </c>
      <c r="B187" s="61">
        <f t="shared" si="12"/>
        <v>3.5718856862745092</v>
      </c>
      <c r="C187" s="61">
        <f>FH!A187*1</f>
        <v>0</v>
      </c>
      <c r="D187" s="61">
        <f>FH!B187*1</f>
        <v>0</v>
      </c>
      <c r="E187">
        <f t="shared" si="15"/>
        <v>185</v>
      </c>
      <c r="F187" s="61" t="str">
        <f>IF(FT!A187&lt;&gt;"",FT!A187*10,"")</f>
        <v/>
      </c>
      <c r="G187" s="61" t="str">
        <f>IF(FT!B187&lt;&gt;"",FT!B187*100,"")</f>
        <v/>
      </c>
      <c r="H187" s="61" t="str">
        <f t="shared" si="13"/>
        <v/>
      </c>
      <c r="I187" t="str">
        <f>IF(FT!B187&lt;&gt;"",FT!E187,"")</f>
        <v/>
      </c>
      <c r="J187" t="str">
        <f>IF(FT!B187&lt;&gt;"",FT!C187,"")</f>
        <v/>
      </c>
    </row>
    <row r="188" spans="1:10">
      <c r="A188" s="61">
        <f t="shared" si="14"/>
        <v>186</v>
      </c>
      <c r="B188" s="61">
        <f t="shared" si="12"/>
        <v>3.5911931764705876</v>
      </c>
      <c r="C188" s="61">
        <f>FH!A188*1</f>
        <v>0</v>
      </c>
      <c r="D188" s="61">
        <f>FH!B188*1</f>
        <v>0</v>
      </c>
      <c r="E188">
        <f t="shared" si="15"/>
        <v>186</v>
      </c>
      <c r="F188" s="61" t="str">
        <f>IF(FT!A188&lt;&gt;"",FT!A188*10,"")</f>
        <v/>
      </c>
      <c r="G188" s="61" t="str">
        <f>IF(FT!B188&lt;&gt;"",FT!B188*100,"")</f>
        <v/>
      </c>
      <c r="H188" s="61" t="str">
        <f t="shared" si="13"/>
        <v/>
      </c>
      <c r="I188" t="str">
        <f>IF(FT!B188&lt;&gt;"",FT!E188,"")</f>
        <v/>
      </c>
      <c r="J188" t="str">
        <f>IF(FT!B188&lt;&gt;"",FT!C188,"")</f>
        <v/>
      </c>
    </row>
    <row r="189" spans="1:10">
      <c r="A189" s="61">
        <f t="shared" si="14"/>
        <v>187</v>
      </c>
      <c r="B189" s="61">
        <f t="shared" si="12"/>
        <v>3.6105006666666659</v>
      </c>
      <c r="C189" s="61">
        <f>FH!A189*1</f>
        <v>0</v>
      </c>
      <c r="D189" s="61">
        <f>FH!B189*1</f>
        <v>0</v>
      </c>
      <c r="E189">
        <f t="shared" si="15"/>
        <v>187</v>
      </c>
      <c r="F189" s="61" t="str">
        <f>IF(FT!A189&lt;&gt;"",FT!A189*10,"")</f>
        <v/>
      </c>
      <c r="G189" s="61" t="str">
        <f>IF(FT!B189&lt;&gt;"",FT!B189*100,"")</f>
        <v/>
      </c>
      <c r="H189" s="61" t="str">
        <f t="shared" si="13"/>
        <v/>
      </c>
      <c r="I189" t="str">
        <f>IF(FT!B189&lt;&gt;"",FT!E189,"")</f>
        <v/>
      </c>
      <c r="J189" t="str">
        <f>IF(FT!B189&lt;&gt;"",FT!C189,"")</f>
        <v/>
      </c>
    </row>
    <row r="190" spans="1:10">
      <c r="A190" s="61">
        <f t="shared" si="14"/>
        <v>188</v>
      </c>
      <c r="B190" s="61">
        <f t="shared" si="12"/>
        <v>3.6298081568627452</v>
      </c>
      <c r="C190" s="61">
        <f>FH!A190*1</f>
        <v>0</v>
      </c>
      <c r="D190" s="61">
        <f>FH!B190*1</f>
        <v>0</v>
      </c>
      <c r="E190">
        <f t="shared" si="15"/>
        <v>188</v>
      </c>
      <c r="F190" s="61" t="str">
        <f>IF(FT!A190&lt;&gt;"",FT!A190*10,"")</f>
        <v/>
      </c>
      <c r="G190" s="61" t="str">
        <f>IF(FT!B190&lt;&gt;"",FT!B190*100,"")</f>
        <v/>
      </c>
      <c r="H190" s="61" t="str">
        <f t="shared" si="13"/>
        <v/>
      </c>
      <c r="I190" t="str">
        <f>IF(FT!B190&lt;&gt;"",FT!E190,"")</f>
        <v/>
      </c>
      <c r="J190" t="str">
        <f>IF(FT!B190&lt;&gt;"",FT!C190,"")</f>
        <v/>
      </c>
    </row>
    <row r="191" spans="1:10">
      <c r="A191" s="61">
        <f t="shared" si="14"/>
        <v>189</v>
      </c>
      <c r="B191" s="61">
        <f t="shared" si="12"/>
        <v>3.6491156470588235</v>
      </c>
      <c r="C191" s="61">
        <f>FH!A191*1</f>
        <v>0</v>
      </c>
      <c r="D191" s="61">
        <f>FH!B191*1</f>
        <v>0</v>
      </c>
      <c r="E191">
        <f t="shared" si="15"/>
        <v>189</v>
      </c>
      <c r="F191" s="61" t="str">
        <f>IF(FT!A191&lt;&gt;"",FT!A191*10,"")</f>
        <v/>
      </c>
      <c r="G191" s="61" t="str">
        <f>IF(FT!B191&lt;&gt;"",FT!B191*100,"")</f>
        <v/>
      </c>
      <c r="H191" s="61" t="str">
        <f t="shared" si="13"/>
        <v/>
      </c>
      <c r="I191" t="str">
        <f>IF(FT!B191&lt;&gt;"",FT!E191,"")</f>
        <v/>
      </c>
      <c r="J191" t="str">
        <f>IF(FT!B191&lt;&gt;"",FT!C191,"")</f>
        <v/>
      </c>
    </row>
    <row r="192" spans="1:10">
      <c r="A192" s="61">
        <f t="shared" si="14"/>
        <v>190</v>
      </c>
      <c r="B192" s="61">
        <f t="shared" si="12"/>
        <v>3.6684231372549019</v>
      </c>
      <c r="C192" s="61">
        <f>FH!A192*1</f>
        <v>0</v>
      </c>
      <c r="D192" s="61">
        <f>FH!B192*1</f>
        <v>0</v>
      </c>
      <c r="E192">
        <f t="shared" si="15"/>
        <v>190</v>
      </c>
      <c r="F192" s="61" t="str">
        <f>IF(FT!A192&lt;&gt;"",FT!A192*10,"")</f>
        <v/>
      </c>
      <c r="G192" s="61" t="str">
        <f>IF(FT!B192&lt;&gt;"",FT!B192*100,"")</f>
        <v/>
      </c>
      <c r="H192" s="61" t="str">
        <f t="shared" si="13"/>
        <v/>
      </c>
      <c r="I192" t="str">
        <f>IF(FT!B192&lt;&gt;"",FT!E192,"")</f>
        <v/>
      </c>
      <c r="J192" t="str">
        <f>IF(FT!B192&lt;&gt;"",FT!C192,"")</f>
        <v/>
      </c>
    </row>
    <row r="193" spans="1:10">
      <c r="A193" s="61">
        <f t="shared" si="14"/>
        <v>191</v>
      </c>
      <c r="B193" s="61">
        <f t="shared" si="12"/>
        <v>3.6877306274509802</v>
      </c>
      <c r="C193" s="61">
        <f>FH!A193*1</f>
        <v>0</v>
      </c>
      <c r="D193" s="61">
        <f>FH!B193*1</f>
        <v>0</v>
      </c>
      <c r="E193">
        <f t="shared" si="15"/>
        <v>191</v>
      </c>
      <c r="F193" s="61" t="str">
        <f>IF(FT!A193&lt;&gt;"",FT!A193*10,"")</f>
        <v/>
      </c>
      <c r="G193" s="61" t="str">
        <f>IF(FT!B193&lt;&gt;"",FT!B193*100,"")</f>
        <v/>
      </c>
      <c r="H193" s="61" t="str">
        <f t="shared" si="13"/>
        <v/>
      </c>
      <c r="I193" t="str">
        <f>IF(FT!B193&lt;&gt;"",FT!E193,"")</f>
        <v/>
      </c>
      <c r="J193" t="str">
        <f>IF(FT!B193&lt;&gt;"",FT!C193,"")</f>
        <v/>
      </c>
    </row>
    <row r="194" spans="1:10">
      <c r="A194" s="61">
        <f t="shared" si="14"/>
        <v>192</v>
      </c>
      <c r="B194" s="61">
        <f t="shared" si="12"/>
        <v>3.7070381176470586</v>
      </c>
      <c r="C194" s="61">
        <f>FH!A194*1</f>
        <v>0</v>
      </c>
      <c r="D194" s="61">
        <f>FH!B194*1</f>
        <v>0</v>
      </c>
      <c r="E194">
        <f t="shared" si="15"/>
        <v>192</v>
      </c>
      <c r="F194" s="61" t="str">
        <f>IF(FT!A194&lt;&gt;"",FT!A194*10,"")</f>
        <v/>
      </c>
      <c r="G194" s="61" t="str">
        <f>IF(FT!B194&lt;&gt;"",FT!B194*100,"")</f>
        <v/>
      </c>
      <c r="H194" s="61" t="str">
        <f t="shared" si="13"/>
        <v/>
      </c>
      <c r="I194" t="str">
        <f>IF(FT!B194&lt;&gt;"",FT!E194,"")</f>
        <v/>
      </c>
      <c r="J194" t="str">
        <f>IF(FT!B194&lt;&gt;"",FT!C194,"")</f>
        <v/>
      </c>
    </row>
    <row r="195" spans="1:10">
      <c r="A195" s="61">
        <f t="shared" si="14"/>
        <v>193</v>
      </c>
      <c r="B195" s="61">
        <f t="shared" ref="B195:B257" si="16">A195/255*$L$2</f>
        <v>3.726345607843137</v>
      </c>
      <c r="C195" s="61">
        <f>FH!A195*1</f>
        <v>0</v>
      </c>
      <c r="D195" s="61">
        <f>FH!B195*1</f>
        <v>0</v>
      </c>
      <c r="E195">
        <f t="shared" si="15"/>
        <v>193</v>
      </c>
      <c r="F195" s="61" t="str">
        <f>IF(FT!A195&lt;&gt;"",FT!A195*10,"")</f>
        <v/>
      </c>
      <c r="G195" s="61" t="str">
        <f>IF(FT!B195&lt;&gt;"",FT!B195*100,"")</f>
        <v/>
      </c>
      <c r="H195" s="61" t="str">
        <f t="shared" ref="H195:H258" si="17">(IF(F195&lt;&gt;"",1,""))</f>
        <v/>
      </c>
      <c r="I195" t="str">
        <f>IF(FT!B195&lt;&gt;"",FT!E195,"")</f>
        <v/>
      </c>
      <c r="J195" t="str">
        <f>IF(FT!B195&lt;&gt;"",FT!C195,"")</f>
        <v/>
      </c>
    </row>
    <row r="196" spans="1:10">
      <c r="A196" s="61">
        <f t="shared" ref="A196:A257" si="18">A195+1</f>
        <v>194</v>
      </c>
      <c r="B196" s="61">
        <f t="shared" si="16"/>
        <v>3.7456530980392153</v>
      </c>
      <c r="C196" s="61">
        <f>FH!A196*1</f>
        <v>0</v>
      </c>
      <c r="D196" s="61">
        <f>FH!B196*1</f>
        <v>0</v>
      </c>
      <c r="E196">
        <f t="shared" ref="E196:E259" si="19">E195+1</f>
        <v>194</v>
      </c>
      <c r="F196" s="61" t="str">
        <f>IF(FT!A196&lt;&gt;"",FT!A196*10,"")</f>
        <v/>
      </c>
      <c r="G196" s="61" t="str">
        <f>IF(FT!B196&lt;&gt;"",FT!B196*100,"")</f>
        <v/>
      </c>
      <c r="H196" s="61" t="str">
        <f t="shared" si="17"/>
        <v/>
      </c>
      <c r="I196" t="str">
        <f>IF(FT!B196&lt;&gt;"",FT!E196,"")</f>
        <v/>
      </c>
      <c r="J196" t="str">
        <f>IF(FT!B196&lt;&gt;"",FT!C196,"")</f>
        <v/>
      </c>
    </row>
    <row r="197" spans="1:10">
      <c r="A197" s="61">
        <f t="shared" si="18"/>
        <v>195</v>
      </c>
      <c r="B197" s="61">
        <f t="shared" si="16"/>
        <v>3.7649605882352937</v>
      </c>
      <c r="C197" s="61">
        <f>FH!A197*1</f>
        <v>0</v>
      </c>
      <c r="D197" s="61">
        <f>FH!B197*1</f>
        <v>0</v>
      </c>
      <c r="E197">
        <f t="shared" si="19"/>
        <v>195</v>
      </c>
      <c r="F197" s="61" t="str">
        <f>IF(FT!A197&lt;&gt;"",FT!A197*10,"")</f>
        <v/>
      </c>
      <c r="G197" s="61" t="str">
        <f>IF(FT!B197&lt;&gt;"",FT!B197*100,"")</f>
        <v/>
      </c>
      <c r="H197" s="61" t="str">
        <f t="shared" si="17"/>
        <v/>
      </c>
      <c r="I197" t="str">
        <f>IF(FT!B197&lt;&gt;"",FT!E197,"")</f>
        <v/>
      </c>
      <c r="J197" t="str">
        <f>IF(FT!B197&lt;&gt;"",FT!C197,"")</f>
        <v/>
      </c>
    </row>
    <row r="198" spans="1:10">
      <c r="A198" s="61">
        <f t="shared" si="18"/>
        <v>196</v>
      </c>
      <c r="B198" s="61">
        <f t="shared" si="16"/>
        <v>3.7842680784313725</v>
      </c>
      <c r="C198" s="61">
        <f>FH!A198*1</f>
        <v>0</v>
      </c>
      <c r="D198" s="61">
        <f>FH!B198*1</f>
        <v>0</v>
      </c>
      <c r="E198">
        <f t="shared" si="19"/>
        <v>196</v>
      </c>
      <c r="F198" s="61" t="str">
        <f>IF(FT!A198&lt;&gt;"",FT!A198*10,"")</f>
        <v/>
      </c>
      <c r="G198" s="61" t="str">
        <f>IF(FT!B198&lt;&gt;"",FT!B198*100,"")</f>
        <v/>
      </c>
      <c r="H198" s="61" t="str">
        <f t="shared" si="17"/>
        <v/>
      </c>
      <c r="I198" t="str">
        <f>IF(FT!B198&lt;&gt;"",FT!E198,"")</f>
        <v/>
      </c>
      <c r="J198" t="str">
        <f>IF(FT!B198&lt;&gt;"",FT!C198,"")</f>
        <v/>
      </c>
    </row>
    <row r="199" spans="1:10">
      <c r="A199" s="61">
        <f t="shared" si="18"/>
        <v>197</v>
      </c>
      <c r="B199" s="61">
        <f t="shared" si="16"/>
        <v>3.8035755686274508</v>
      </c>
      <c r="C199" s="61">
        <f>FH!A199*1</f>
        <v>0</v>
      </c>
      <c r="D199" s="61">
        <f>FH!B199*1</f>
        <v>0</v>
      </c>
      <c r="E199">
        <f t="shared" si="19"/>
        <v>197</v>
      </c>
      <c r="F199" s="61" t="str">
        <f>IF(FT!A199&lt;&gt;"",FT!A199*10,"")</f>
        <v/>
      </c>
      <c r="G199" s="61" t="str">
        <f>IF(FT!B199&lt;&gt;"",FT!B199*100,"")</f>
        <v/>
      </c>
      <c r="H199" s="61" t="str">
        <f t="shared" si="17"/>
        <v/>
      </c>
      <c r="I199" t="str">
        <f>IF(FT!B199&lt;&gt;"",FT!E199,"")</f>
        <v/>
      </c>
      <c r="J199" t="str">
        <f>IF(FT!B199&lt;&gt;"",FT!C199,"")</f>
        <v/>
      </c>
    </row>
    <row r="200" spans="1:10">
      <c r="A200" s="61">
        <f t="shared" si="18"/>
        <v>198</v>
      </c>
      <c r="B200" s="61">
        <f t="shared" si="16"/>
        <v>3.8228830588235292</v>
      </c>
      <c r="C200" s="61">
        <f>FH!A200*1</f>
        <v>0</v>
      </c>
      <c r="D200" s="61">
        <f>FH!B200*1</f>
        <v>0</v>
      </c>
      <c r="E200">
        <f t="shared" si="19"/>
        <v>198</v>
      </c>
      <c r="F200" s="61" t="str">
        <f>IF(FT!A200&lt;&gt;"",FT!A200*10,"")</f>
        <v/>
      </c>
      <c r="G200" s="61" t="str">
        <f>IF(FT!B200&lt;&gt;"",FT!B200*100,"")</f>
        <v/>
      </c>
      <c r="H200" s="61" t="str">
        <f t="shared" si="17"/>
        <v/>
      </c>
      <c r="I200" t="str">
        <f>IF(FT!B200&lt;&gt;"",FT!E200,"")</f>
        <v/>
      </c>
      <c r="J200" t="str">
        <f>IF(FT!B200&lt;&gt;"",FT!C200,"")</f>
        <v/>
      </c>
    </row>
    <row r="201" spans="1:10">
      <c r="A201" s="61">
        <f t="shared" si="18"/>
        <v>199</v>
      </c>
      <c r="B201" s="61">
        <f t="shared" si="16"/>
        <v>3.8421905490196075</v>
      </c>
      <c r="C201" s="61">
        <f>FH!A201*1</f>
        <v>0</v>
      </c>
      <c r="D201" s="61">
        <f>FH!B201*1</f>
        <v>0</v>
      </c>
      <c r="E201">
        <f t="shared" si="19"/>
        <v>199</v>
      </c>
      <c r="F201" s="61" t="str">
        <f>IF(FT!A201&lt;&gt;"",FT!A201*10,"")</f>
        <v/>
      </c>
      <c r="G201" s="61" t="str">
        <f>IF(FT!B201&lt;&gt;"",FT!B201*100,"")</f>
        <v/>
      </c>
      <c r="H201" s="61" t="str">
        <f t="shared" si="17"/>
        <v/>
      </c>
      <c r="I201" t="str">
        <f>IF(FT!B201&lt;&gt;"",FT!E201,"")</f>
        <v/>
      </c>
      <c r="J201" t="str">
        <f>IF(FT!B201&lt;&gt;"",FT!C201,"")</f>
        <v/>
      </c>
    </row>
    <row r="202" spans="1:10">
      <c r="A202" s="61">
        <f t="shared" si="18"/>
        <v>200</v>
      </c>
      <c r="B202" s="61">
        <f t="shared" si="16"/>
        <v>3.8614980392156859</v>
      </c>
      <c r="C202" s="61">
        <f>FH!A202*1</f>
        <v>0</v>
      </c>
      <c r="D202" s="61">
        <f>FH!B202*1</f>
        <v>0</v>
      </c>
      <c r="E202">
        <f t="shared" si="19"/>
        <v>200</v>
      </c>
      <c r="F202" s="61" t="str">
        <f>IF(FT!A202&lt;&gt;"",FT!A202*10,"")</f>
        <v/>
      </c>
      <c r="G202" s="61" t="str">
        <f>IF(FT!B202&lt;&gt;"",FT!B202*100,"")</f>
        <v/>
      </c>
      <c r="H202" s="61" t="str">
        <f t="shared" si="17"/>
        <v/>
      </c>
      <c r="I202" t="str">
        <f>IF(FT!B202&lt;&gt;"",FT!E202,"")</f>
        <v/>
      </c>
      <c r="J202" t="str">
        <f>IF(FT!B202&lt;&gt;"",FT!C202,"")</f>
        <v/>
      </c>
    </row>
    <row r="203" spans="1:10">
      <c r="A203" s="61">
        <f t="shared" si="18"/>
        <v>201</v>
      </c>
      <c r="B203" s="61">
        <f t="shared" si="16"/>
        <v>3.8808055294117643</v>
      </c>
      <c r="C203" s="61">
        <f>FH!A203*1</f>
        <v>0</v>
      </c>
      <c r="D203" s="61">
        <f>FH!B203*1</f>
        <v>0</v>
      </c>
      <c r="E203">
        <f t="shared" si="19"/>
        <v>201</v>
      </c>
      <c r="F203" s="61" t="str">
        <f>IF(FT!A203&lt;&gt;"",FT!A203*10,"")</f>
        <v/>
      </c>
      <c r="G203" s="61" t="str">
        <f>IF(FT!B203&lt;&gt;"",FT!B203*100,"")</f>
        <v/>
      </c>
      <c r="H203" s="61" t="str">
        <f t="shared" si="17"/>
        <v/>
      </c>
      <c r="I203" t="str">
        <f>IF(FT!B203&lt;&gt;"",FT!E203,"")</f>
        <v/>
      </c>
      <c r="J203" t="str">
        <f>IF(FT!B203&lt;&gt;"",FT!C203,"")</f>
        <v/>
      </c>
    </row>
    <row r="204" spans="1:10">
      <c r="A204" s="61">
        <f t="shared" si="18"/>
        <v>202</v>
      </c>
      <c r="B204" s="61">
        <f t="shared" si="16"/>
        <v>3.9001130196078426</v>
      </c>
      <c r="C204" s="61">
        <f>FH!A204*1</f>
        <v>0</v>
      </c>
      <c r="D204" s="61">
        <f>FH!B204*1</f>
        <v>0</v>
      </c>
      <c r="E204">
        <f t="shared" si="19"/>
        <v>202</v>
      </c>
      <c r="F204" s="61" t="str">
        <f>IF(FT!A204&lt;&gt;"",FT!A204*10,"")</f>
        <v/>
      </c>
      <c r="G204" s="61" t="str">
        <f>IF(FT!B204&lt;&gt;"",FT!B204*100,"")</f>
        <v/>
      </c>
      <c r="H204" s="61" t="str">
        <f t="shared" si="17"/>
        <v/>
      </c>
      <c r="I204" t="str">
        <f>IF(FT!B204&lt;&gt;"",FT!E204,"")</f>
        <v/>
      </c>
      <c r="J204" t="str">
        <f>IF(FT!B204&lt;&gt;"",FT!C204,"")</f>
        <v/>
      </c>
    </row>
    <row r="205" spans="1:10">
      <c r="A205" s="61">
        <f t="shared" si="18"/>
        <v>203</v>
      </c>
      <c r="B205" s="61">
        <f t="shared" si="16"/>
        <v>3.919420509803921</v>
      </c>
      <c r="C205" s="61">
        <f>FH!A205*1</f>
        <v>0</v>
      </c>
      <c r="D205" s="61">
        <f>FH!B205*1</f>
        <v>0</v>
      </c>
      <c r="E205">
        <f t="shared" si="19"/>
        <v>203</v>
      </c>
      <c r="F205" s="61" t="str">
        <f>IF(FT!A205&lt;&gt;"",FT!A205*10,"")</f>
        <v/>
      </c>
      <c r="G205" s="61" t="str">
        <f>IF(FT!B205&lt;&gt;"",FT!B205*100,"")</f>
        <v/>
      </c>
      <c r="H205" s="61" t="str">
        <f t="shared" si="17"/>
        <v/>
      </c>
      <c r="I205" t="str">
        <f>IF(FT!B205&lt;&gt;"",FT!E205,"")</f>
        <v/>
      </c>
      <c r="J205" t="str">
        <f>IF(FT!B205&lt;&gt;"",FT!C205,"")</f>
        <v/>
      </c>
    </row>
    <row r="206" spans="1:10">
      <c r="A206" s="61">
        <f t="shared" si="18"/>
        <v>204</v>
      </c>
      <c r="B206" s="61">
        <f t="shared" si="16"/>
        <v>3.9387279999999998</v>
      </c>
      <c r="C206" s="61">
        <f>FH!A206*1</f>
        <v>0</v>
      </c>
      <c r="D206" s="61">
        <f>FH!B206*1</f>
        <v>0</v>
      </c>
      <c r="E206">
        <f t="shared" si="19"/>
        <v>204</v>
      </c>
      <c r="F206" s="61" t="str">
        <f>IF(FT!A206&lt;&gt;"",FT!A206*10,"")</f>
        <v/>
      </c>
      <c r="G206" s="61" t="str">
        <f>IF(FT!B206&lt;&gt;"",FT!B206*100,"")</f>
        <v/>
      </c>
      <c r="H206" s="61" t="str">
        <f t="shared" si="17"/>
        <v/>
      </c>
      <c r="I206" t="str">
        <f>IF(FT!B206&lt;&gt;"",FT!E206,"")</f>
        <v/>
      </c>
      <c r="J206" t="str">
        <f>IF(FT!B206&lt;&gt;"",FT!C206,"")</f>
        <v/>
      </c>
    </row>
    <row r="207" spans="1:10">
      <c r="A207" s="61">
        <f t="shared" si="18"/>
        <v>205</v>
      </c>
      <c r="B207" s="61">
        <f t="shared" si="16"/>
        <v>3.9580354901960781</v>
      </c>
      <c r="C207" s="61">
        <f>FH!A207*1</f>
        <v>0</v>
      </c>
      <c r="D207" s="61">
        <f>FH!B207*1</f>
        <v>0</v>
      </c>
      <c r="E207">
        <f t="shared" si="19"/>
        <v>205</v>
      </c>
      <c r="F207" s="61" t="str">
        <f>IF(FT!A207&lt;&gt;"",FT!A207*10,"")</f>
        <v/>
      </c>
      <c r="G207" s="61" t="str">
        <f>IF(FT!B207&lt;&gt;"",FT!B207*100,"")</f>
        <v/>
      </c>
      <c r="H207" s="61" t="str">
        <f t="shared" si="17"/>
        <v/>
      </c>
      <c r="I207" t="str">
        <f>IF(FT!B207&lt;&gt;"",FT!E207,"")</f>
        <v/>
      </c>
      <c r="J207" t="str">
        <f>IF(FT!B207&lt;&gt;"",FT!C207,"")</f>
        <v/>
      </c>
    </row>
    <row r="208" spans="1:10">
      <c r="A208" s="61">
        <f t="shared" si="18"/>
        <v>206</v>
      </c>
      <c r="B208" s="61">
        <f t="shared" si="16"/>
        <v>3.9773429803921565</v>
      </c>
      <c r="C208" s="61">
        <f>FH!A208*1</f>
        <v>0</v>
      </c>
      <c r="D208" s="61">
        <f>FH!B208*1</f>
        <v>0</v>
      </c>
      <c r="E208">
        <f t="shared" si="19"/>
        <v>206</v>
      </c>
      <c r="F208" s="61" t="str">
        <f>IF(FT!A208&lt;&gt;"",FT!A208*10,"")</f>
        <v/>
      </c>
      <c r="G208" s="61" t="str">
        <f>IF(FT!B208&lt;&gt;"",FT!B208*100,"")</f>
        <v/>
      </c>
      <c r="H208" s="61" t="str">
        <f t="shared" si="17"/>
        <v/>
      </c>
      <c r="I208" t="str">
        <f>IF(FT!B208&lt;&gt;"",FT!E208,"")</f>
        <v/>
      </c>
      <c r="J208" t="str">
        <f>IF(FT!B208&lt;&gt;"",FT!C208,"")</f>
        <v/>
      </c>
    </row>
    <row r="209" spans="1:10">
      <c r="A209" s="61">
        <f t="shared" si="18"/>
        <v>207</v>
      </c>
      <c r="B209" s="61">
        <f t="shared" si="16"/>
        <v>3.9966504705882349</v>
      </c>
      <c r="C209" s="61">
        <f>FH!A209*1</f>
        <v>0</v>
      </c>
      <c r="D209" s="61">
        <f>FH!B209*1</f>
        <v>0</v>
      </c>
      <c r="E209">
        <f t="shared" si="19"/>
        <v>207</v>
      </c>
      <c r="F209" s="61" t="str">
        <f>IF(FT!A209&lt;&gt;"",FT!A209*10,"")</f>
        <v/>
      </c>
      <c r="G209" s="61" t="str">
        <f>IF(FT!B209&lt;&gt;"",FT!B209*100,"")</f>
        <v/>
      </c>
      <c r="H209" s="61" t="str">
        <f t="shared" si="17"/>
        <v/>
      </c>
      <c r="I209" t="str">
        <f>IF(FT!B209&lt;&gt;"",FT!E209,"")</f>
        <v/>
      </c>
      <c r="J209" t="str">
        <f>IF(FT!B209&lt;&gt;"",FT!C209,"")</f>
        <v/>
      </c>
    </row>
    <row r="210" spans="1:10">
      <c r="A210" s="61">
        <f t="shared" si="18"/>
        <v>208</v>
      </c>
      <c r="B210" s="61">
        <f t="shared" si="16"/>
        <v>4.0159579607843137</v>
      </c>
      <c r="C210" s="61">
        <f>FH!A210*1</f>
        <v>0</v>
      </c>
      <c r="D210" s="61">
        <f>FH!B210*1</f>
        <v>0</v>
      </c>
      <c r="E210">
        <f t="shared" si="19"/>
        <v>208</v>
      </c>
      <c r="F210" s="61" t="str">
        <f>IF(FT!A210&lt;&gt;"",FT!A210*10,"")</f>
        <v/>
      </c>
      <c r="G210" s="61" t="str">
        <f>IF(FT!B210&lt;&gt;"",FT!B210*100,"")</f>
        <v/>
      </c>
      <c r="H210" s="61" t="str">
        <f t="shared" si="17"/>
        <v/>
      </c>
      <c r="I210" t="str">
        <f>IF(FT!B210&lt;&gt;"",FT!E210,"")</f>
        <v/>
      </c>
      <c r="J210" t="str">
        <f>IF(FT!B210&lt;&gt;"",FT!C210,"")</f>
        <v/>
      </c>
    </row>
    <row r="211" spans="1:10">
      <c r="A211" s="61">
        <f t="shared" si="18"/>
        <v>209</v>
      </c>
      <c r="B211" s="61">
        <f t="shared" si="16"/>
        <v>4.0352654509803916</v>
      </c>
      <c r="C211" s="61">
        <f>FH!A211*1</f>
        <v>0</v>
      </c>
      <c r="D211" s="61">
        <f>FH!B211*1</f>
        <v>0</v>
      </c>
      <c r="E211">
        <f t="shared" si="19"/>
        <v>209</v>
      </c>
      <c r="F211" s="61" t="str">
        <f>IF(FT!A211&lt;&gt;"",FT!A211*10,"")</f>
        <v/>
      </c>
      <c r="G211" s="61" t="str">
        <f>IF(FT!B211&lt;&gt;"",FT!B211*100,"")</f>
        <v/>
      </c>
      <c r="H211" s="61" t="str">
        <f t="shared" si="17"/>
        <v/>
      </c>
      <c r="I211" t="str">
        <f>IF(FT!B211&lt;&gt;"",FT!E211,"")</f>
        <v/>
      </c>
      <c r="J211" t="str">
        <f>IF(FT!B211&lt;&gt;"",FT!C211,"")</f>
        <v/>
      </c>
    </row>
    <row r="212" spans="1:10">
      <c r="A212" s="61">
        <f t="shared" si="18"/>
        <v>210</v>
      </c>
      <c r="B212" s="61">
        <f t="shared" si="16"/>
        <v>4.0545729411764704</v>
      </c>
      <c r="C212" s="61">
        <f>FH!A212*1</f>
        <v>0</v>
      </c>
      <c r="D212" s="61">
        <f>FH!B212*1</f>
        <v>0</v>
      </c>
      <c r="E212">
        <f t="shared" si="19"/>
        <v>210</v>
      </c>
      <c r="F212" s="61" t="str">
        <f>IF(FT!A212&lt;&gt;"",FT!A212*10,"")</f>
        <v/>
      </c>
      <c r="G212" s="61" t="str">
        <f>IF(FT!B212&lt;&gt;"",FT!B212*100,"")</f>
        <v/>
      </c>
      <c r="H212" s="61" t="str">
        <f t="shared" si="17"/>
        <v/>
      </c>
      <c r="I212" t="str">
        <f>IF(FT!B212&lt;&gt;"",FT!E212,"")</f>
        <v/>
      </c>
      <c r="J212" t="str">
        <f>IF(FT!B212&lt;&gt;"",FT!C212,"")</f>
        <v/>
      </c>
    </row>
    <row r="213" spans="1:10">
      <c r="A213" s="61">
        <f t="shared" si="18"/>
        <v>211</v>
      </c>
      <c r="B213" s="61">
        <f t="shared" si="16"/>
        <v>4.0738804313725483</v>
      </c>
      <c r="C213" s="61">
        <f>FH!A213*1</f>
        <v>0</v>
      </c>
      <c r="D213" s="61">
        <f>FH!B213*1</f>
        <v>0</v>
      </c>
      <c r="E213">
        <f t="shared" si="19"/>
        <v>211</v>
      </c>
      <c r="F213" s="61" t="str">
        <f>IF(FT!A213&lt;&gt;"",FT!A213*10,"")</f>
        <v/>
      </c>
      <c r="G213" s="61" t="str">
        <f>IF(FT!B213&lt;&gt;"",FT!B213*100,"")</f>
        <v/>
      </c>
      <c r="H213" s="61" t="str">
        <f t="shared" si="17"/>
        <v/>
      </c>
      <c r="I213" t="str">
        <f>IF(FT!B213&lt;&gt;"",FT!E213,"")</f>
        <v/>
      </c>
      <c r="J213" t="str">
        <f>IF(FT!B213&lt;&gt;"",FT!C213,"")</f>
        <v/>
      </c>
    </row>
    <row r="214" spans="1:10">
      <c r="A214" s="61">
        <f t="shared" si="18"/>
        <v>212</v>
      </c>
      <c r="B214" s="61">
        <f t="shared" si="16"/>
        <v>4.0931879215686271</v>
      </c>
      <c r="C214" s="61">
        <f>FH!A214*1</f>
        <v>0</v>
      </c>
      <c r="D214" s="61">
        <f>FH!B214*1</f>
        <v>0</v>
      </c>
      <c r="E214">
        <f t="shared" si="19"/>
        <v>212</v>
      </c>
      <c r="F214" s="61" t="str">
        <f>IF(FT!A214&lt;&gt;"",FT!A214*10,"")</f>
        <v/>
      </c>
      <c r="G214" s="61" t="str">
        <f>IF(FT!B214&lt;&gt;"",FT!B214*100,"")</f>
        <v/>
      </c>
      <c r="H214" s="61" t="str">
        <f t="shared" si="17"/>
        <v/>
      </c>
      <c r="I214" t="str">
        <f>IF(FT!B214&lt;&gt;"",FT!E214,"")</f>
        <v/>
      </c>
      <c r="J214" t="str">
        <f>IF(FT!B214&lt;&gt;"",FT!C214,"")</f>
        <v/>
      </c>
    </row>
    <row r="215" spans="1:10">
      <c r="A215" s="61">
        <f t="shared" si="18"/>
        <v>213</v>
      </c>
      <c r="B215" s="61">
        <f t="shared" si="16"/>
        <v>4.1124954117647059</v>
      </c>
      <c r="C215" s="61">
        <f>FH!A215*1</f>
        <v>0</v>
      </c>
      <c r="D215" s="61">
        <f>FH!B215*1</f>
        <v>0</v>
      </c>
      <c r="E215">
        <f t="shared" si="19"/>
        <v>213</v>
      </c>
      <c r="F215" s="61" t="str">
        <f>IF(FT!A215&lt;&gt;"",FT!A215*10,"")</f>
        <v/>
      </c>
      <c r="G215" s="61" t="str">
        <f>IF(FT!B215&lt;&gt;"",FT!B215*100,"")</f>
        <v/>
      </c>
      <c r="H215" s="61" t="str">
        <f t="shared" si="17"/>
        <v/>
      </c>
      <c r="I215" t="str">
        <f>IF(FT!B215&lt;&gt;"",FT!E215,"")</f>
        <v/>
      </c>
      <c r="J215" t="str">
        <f>IF(FT!B215&lt;&gt;"",FT!C215,"")</f>
        <v/>
      </c>
    </row>
    <row r="216" spans="1:10">
      <c r="A216" s="61">
        <f t="shared" si="18"/>
        <v>214</v>
      </c>
      <c r="B216" s="61">
        <f t="shared" si="16"/>
        <v>4.1318029019607838</v>
      </c>
      <c r="C216" s="61">
        <f>FH!A216*1</f>
        <v>0</v>
      </c>
      <c r="D216" s="61">
        <f>FH!B216*1</f>
        <v>0</v>
      </c>
      <c r="E216">
        <f t="shared" si="19"/>
        <v>214</v>
      </c>
      <c r="F216" s="61" t="str">
        <f>IF(FT!A216&lt;&gt;"",FT!A216*10,"")</f>
        <v/>
      </c>
      <c r="G216" s="61" t="str">
        <f>IF(FT!B216&lt;&gt;"",FT!B216*100,"")</f>
        <v/>
      </c>
      <c r="H216" s="61" t="str">
        <f t="shared" si="17"/>
        <v/>
      </c>
      <c r="I216" t="str">
        <f>IF(FT!B216&lt;&gt;"",FT!E216,"")</f>
        <v/>
      </c>
      <c r="J216" t="str">
        <f>IF(FT!B216&lt;&gt;"",FT!C216,"")</f>
        <v/>
      </c>
    </row>
    <row r="217" spans="1:10">
      <c r="A217" s="61">
        <f t="shared" si="18"/>
        <v>215</v>
      </c>
      <c r="B217" s="61">
        <f t="shared" si="16"/>
        <v>4.1511103921568626</v>
      </c>
      <c r="C217" s="61">
        <f>FH!A217*1</f>
        <v>0</v>
      </c>
      <c r="D217" s="61">
        <f>FH!B217*1</f>
        <v>0</v>
      </c>
      <c r="E217">
        <f t="shared" si="19"/>
        <v>215</v>
      </c>
      <c r="F217" s="61" t="str">
        <f>IF(FT!A217&lt;&gt;"",FT!A217*10,"")</f>
        <v/>
      </c>
      <c r="G217" s="61" t="str">
        <f>IF(FT!B217&lt;&gt;"",FT!B217*100,"")</f>
        <v/>
      </c>
      <c r="H217" s="61" t="str">
        <f t="shared" si="17"/>
        <v/>
      </c>
      <c r="I217" t="str">
        <f>IF(FT!B217&lt;&gt;"",FT!E217,"")</f>
        <v/>
      </c>
      <c r="J217" t="str">
        <f>IF(FT!B217&lt;&gt;"",FT!C217,"")</f>
        <v/>
      </c>
    </row>
    <row r="218" spans="1:10">
      <c r="A218" s="61">
        <f t="shared" si="18"/>
        <v>216</v>
      </c>
      <c r="B218" s="61">
        <f t="shared" si="16"/>
        <v>4.1704178823529405</v>
      </c>
      <c r="C218" s="61">
        <f>FH!A218*1</f>
        <v>0</v>
      </c>
      <c r="D218" s="61">
        <f>FH!B218*1</f>
        <v>0</v>
      </c>
      <c r="E218">
        <f t="shared" si="19"/>
        <v>216</v>
      </c>
      <c r="F218" s="61" t="str">
        <f>IF(FT!A218&lt;&gt;"",FT!A218*10,"")</f>
        <v/>
      </c>
      <c r="G218" s="61" t="str">
        <f>IF(FT!B218&lt;&gt;"",FT!B218*100,"")</f>
        <v/>
      </c>
      <c r="H218" s="61" t="str">
        <f t="shared" si="17"/>
        <v/>
      </c>
      <c r="I218" t="str">
        <f>IF(FT!B218&lt;&gt;"",FT!E218,"")</f>
        <v/>
      </c>
      <c r="J218" t="str">
        <f>IF(FT!B218&lt;&gt;"",FT!C218,"")</f>
        <v/>
      </c>
    </row>
    <row r="219" spans="1:10">
      <c r="A219" s="61">
        <f t="shared" si="18"/>
        <v>217</v>
      </c>
      <c r="B219" s="61">
        <f t="shared" si="16"/>
        <v>4.1897253725490193</v>
      </c>
      <c r="C219" s="61">
        <f>FH!A219*1</f>
        <v>0</v>
      </c>
      <c r="D219" s="61">
        <f>FH!B219*1</f>
        <v>0</v>
      </c>
      <c r="E219">
        <f t="shared" si="19"/>
        <v>217</v>
      </c>
      <c r="F219" s="61" t="str">
        <f>IF(FT!A219&lt;&gt;"",FT!A219*10,"")</f>
        <v/>
      </c>
      <c r="G219" s="61" t="str">
        <f>IF(FT!B219&lt;&gt;"",FT!B219*100,"")</f>
        <v/>
      </c>
      <c r="H219" s="61" t="str">
        <f t="shared" si="17"/>
        <v/>
      </c>
      <c r="I219" t="str">
        <f>IF(FT!B219&lt;&gt;"",FT!E219,"")</f>
        <v/>
      </c>
      <c r="J219" t="str">
        <f>IF(FT!B219&lt;&gt;"",FT!C219,"")</f>
        <v/>
      </c>
    </row>
    <row r="220" spans="1:10">
      <c r="A220" s="61">
        <f t="shared" si="18"/>
        <v>218</v>
      </c>
      <c r="B220" s="61">
        <f t="shared" si="16"/>
        <v>4.2090328627450972</v>
      </c>
      <c r="C220" s="61">
        <f>FH!A220*1</f>
        <v>0</v>
      </c>
      <c r="D220" s="61">
        <f>FH!B220*1</f>
        <v>0</v>
      </c>
      <c r="E220">
        <f t="shared" si="19"/>
        <v>218</v>
      </c>
      <c r="F220" s="61" t="str">
        <f>IF(FT!A220&lt;&gt;"",FT!A220*10,"")</f>
        <v/>
      </c>
      <c r="G220" s="61" t="str">
        <f>IF(FT!B220&lt;&gt;"",FT!B220*100,"")</f>
        <v/>
      </c>
      <c r="H220" s="61" t="str">
        <f t="shared" si="17"/>
        <v/>
      </c>
      <c r="I220" t="str">
        <f>IF(FT!B220&lt;&gt;"",FT!E220,"")</f>
        <v/>
      </c>
      <c r="J220" t="str">
        <f>IF(FT!B220&lt;&gt;"",FT!C220,"")</f>
        <v/>
      </c>
    </row>
    <row r="221" spans="1:10">
      <c r="A221" s="61">
        <f t="shared" si="18"/>
        <v>219</v>
      </c>
      <c r="B221" s="61">
        <f t="shared" si="16"/>
        <v>4.2283403529411761</v>
      </c>
      <c r="C221" s="61">
        <f>FH!A221*1</f>
        <v>0</v>
      </c>
      <c r="D221" s="61">
        <f>FH!B221*1</f>
        <v>0</v>
      </c>
      <c r="E221">
        <f t="shared" si="19"/>
        <v>219</v>
      </c>
      <c r="F221" s="61" t="str">
        <f>IF(FT!A221&lt;&gt;"",FT!A221*10,"")</f>
        <v/>
      </c>
      <c r="G221" s="61" t="str">
        <f>IF(FT!B221&lt;&gt;"",FT!B221*100,"")</f>
        <v/>
      </c>
      <c r="H221" s="61" t="str">
        <f t="shared" si="17"/>
        <v/>
      </c>
      <c r="I221" t="str">
        <f>IF(FT!B221&lt;&gt;"",FT!E221,"")</f>
        <v/>
      </c>
      <c r="J221" t="str">
        <f>IF(FT!B221&lt;&gt;"",FT!C221,"")</f>
        <v/>
      </c>
    </row>
    <row r="222" spans="1:10">
      <c r="A222" s="61">
        <f t="shared" si="18"/>
        <v>220</v>
      </c>
      <c r="B222" s="61">
        <f t="shared" si="16"/>
        <v>4.2476478431372549</v>
      </c>
      <c r="C222" s="61">
        <f>FH!A222*1</f>
        <v>0</v>
      </c>
      <c r="D222" s="61">
        <f>FH!B222*1</f>
        <v>0</v>
      </c>
      <c r="E222">
        <f t="shared" si="19"/>
        <v>220</v>
      </c>
      <c r="F222" s="61" t="str">
        <f>IF(FT!A222&lt;&gt;"",FT!A222*10,"")</f>
        <v/>
      </c>
      <c r="G222" s="61" t="str">
        <f>IF(FT!B222&lt;&gt;"",FT!B222*100,"")</f>
        <v/>
      </c>
      <c r="H222" s="61" t="str">
        <f t="shared" si="17"/>
        <v/>
      </c>
      <c r="I222" t="str">
        <f>IF(FT!B222&lt;&gt;"",FT!E222,"")</f>
        <v/>
      </c>
      <c r="J222" t="str">
        <f>IF(FT!B222&lt;&gt;"",FT!C222,"")</f>
        <v/>
      </c>
    </row>
    <row r="223" spans="1:10">
      <c r="A223" s="61">
        <f t="shared" si="18"/>
        <v>221</v>
      </c>
      <c r="B223" s="61">
        <f t="shared" si="16"/>
        <v>4.2669553333333328</v>
      </c>
      <c r="C223" s="61">
        <f>FH!A223*1</f>
        <v>0</v>
      </c>
      <c r="D223" s="61">
        <f>FH!B223*1</f>
        <v>0</v>
      </c>
      <c r="E223">
        <f t="shared" si="19"/>
        <v>221</v>
      </c>
      <c r="F223" s="61" t="str">
        <f>IF(FT!A223&lt;&gt;"",FT!A223*10,"")</f>
        <v/>
      </c>
      <c r="G223" s="61" t="str">
        <f>IF(FT!B223&lt;&gt;"",FT!B223*100,"")</f>
        <v/>
      </c>
      <c r="H223" s="61" t="str">
        <f t="shared" si="17"/>
        <v/>
      </c>
      <c r="I223" t="str">
        <f>IF(FT!B223&lt;&gt;"",FT!E223,"")</f>
        <v/>
      </c>
      <c r="J223" t="str">
        <f>IF(FT!B223&lt;&gt;"",FT!C223,"")</f>
        <v/>
      </c>
    </row>
    <row r="224" spans="1:10">
      <c r="A224" s="61">
        <f t="shared" si="18"/>
        <v>222</v>
      </c>
      <c r="B224" s="61">
        <f t="shared" si="16"/>
        <v>4.2862628235294116</v>
      </c>
      <c r="C224" s="61">
        <f>FH!A224*1</f>
        <v>0</v>
      </c>
      <c r="D224" s="61">
        <f>FH!B224*1</f>
        <v>0</v>
      </c>
      <c r="E224">
        <f t="shared" si="19"/>
        <v>222</v>
      </c>
      <c r="F224" s="61" t="str">
        <f>IF(FT!A224&lt;&gt;"",FT!A224*10,"")</f>
        <v/>
      </c>
      <c r="G224" s="61" t="str">
        <f>IF(FT!B224&lt;&gt;"",FT!B224*100,"")</f>
        <v/>
      </c>
      <c r="H224" s="61" t="str">
        <f t="shared" si="17"/>
        <v/>
      </c>
      <c r="I224" t="str">
        <f>IF(FT!B224&lt;&gt;"",FT!E224,"")</f>
        <v/>
      </c>
      <c r="J224" t="str">
        <f>IF(FT!B224&lt;&gt;"",FT!C224,"")</f>
        <v/>
      </c>
    </row>
    <row r="225" spans="1:10">
      <c r="A225" s="61">
        <f t="shared" si="18"/>
        <v>223</v>
      </c>
      <c r="B225" s="61">
        <f t="shared" si="16"/>
        <v>4.3055703137254895</v>
      </c>
      <c r="C225" s="61">
        <f>FH!A225*1</f>
        <v>0</v>
      </c>
      <c r="D225" s="61">
        <f>FH!B225*1</f>
        <v>0</v>
      </c>
      <c r="E225">
        <f t="shared" si="19"/>
        <v>223</v>
      </c>
      <c r="F225" s="61" t="str">
        <f>IF(FT!A225&lt;&gt;"",FT!A225*10,"")</f>
        <v/>
      </c>
      <c r="G225" s="61" t="str">
        <f>IF(FT!B225&lt;&gt;"",FT!B225*100,"")</f>
        <v/>
      </c>
      <c r="H225" s="61" t="str">
        <f t="shared" si="17"/>
        <v/>
      </c>
      <c r="I225" t="str">
        <f>IF(FT!B225&lt;&gt;"",FT!E225,"")</f>
        <v/>
      </c>
      <c r="J225" t="str">
        <f>IF(FT!B225&lt;&gt;"",FT!C225,"")</f>
        <v/>
      </c>
    </row>
    <row r="226" spans="1:10">
      <c r="A226" s="61">
        <f t="shared" si="18"/>
        <v>224</v>
      </c>
      <c r="B226" s="61">
        <f t="shared" si="16"/>
        <v>4.3248778039215683</v>
      </c>
      <c r="C226" s="61">
        <f>FH!A226*1</f>
        <v>0</v>
      </c>
      <c r="D226" s="61">
        <f>FH!B226*1</f>
        <v>0</v>
      </c>
      <c r="E226">
        <f t="shared" si="19"/>
        <v>224</v>
      </c>
      <c r="F226" s="61" t="str">
        <f>IF(FT!A226&lt;&gt;"",FT!A226*10,"")</f>
        <v/>
      </c>
      <c r="G226" s="61" t="str">
        <f>IF(FT!B226&lt;&gt;"",FT!B226*100,"")</f>
        <v/>
      </c>
      <c r="H226" s="61" t="str">
        <f t="shared" si="17"/>
        <v/>
      </c>
      <c r="I226" t="str">
        <f>IF(FT!B226&lt;&gt;"",FT!E226,"")</f>
        <v/>
      </c>
      <c r="J226" t="str">
        <f>IF(FT!B226&lt;&gt;"",FT!C226,"")</f>
        <v/>
      </c>
    </row>
    <row r="227" spans="1:10">
      <c r="A227" s="61">
        <f t="shared" si="18"/>
        <v>225</v>
      </c>
      <c r="B227" s="61">
        <f t="shared" si="16"/>
        <v>4.3441852941176462</v>
      </c>
      <c r="C227" s="61">
        <f>FH!A227*1</f>
        <v>0</v>
      </c>
      <c r="D227" s="61">
        <f>FH!B227*1</f>
        <v>0</v>
      </c>
      <c r="E227">
        <f t="shared" si="19"/>
        <v>225</v>
      </c>
      <c r="F227" s="61" t="str">
        <f>IF(FT!A227&lt;&gt;"",FT!A227*10,"")</f>
        <v/>
      </c>
      <c r="G227" s="61" t="str">
        <f>IF(FT!B227&lt;&gt;"",FT!B227*100,"")</f>
        <v/>
      </c>
      <c r="H227" s="61" t="str">
        <f t="shared" si="17"/>
        <v/>
      </c>
      <c r="I227" t="str">
        <f>IF(FT!B227&lt;&gt;"",FT!E227,"")</f>
        <v/>
      </c>
      <c r="J227" t="str">
        <f>IF(FT!B227&lt;&gt;"",FT!C227,"")</f>
        <v/>
      </c>
    </row>
    <row r="228" spans="1:10">
      <c r="A228" s="61">
        <f t="shared" si="18"/>
        <v>226</v>
      </c>
      <c r="B228" s="61">
        <f t="shared" si="16"/>
        <v>4.363492784313725</v>
      </c>
      <c r="C228" s="61">
        <f>FH!A228*1</f>
        <v>0</v>
      </c>
      <c r="D228" s="61">
        <f>FH!B228*1</f>
        <v>0</v>
      </c>
      <c r="E228">
        <f t="shared" si="19"/>
        <v>226</v>
      </c>
      <c r="F228" s="61" t="str">
        <f>IF(FT!A228&lt;&gt;"",FT!A228*10,"")</f>
        <v/>
      </c>
      <c r="G228" s="61" t="str">
        <f>IF(FT!B228&lt;&gt;"",FT!B228*100,"")</f>
        <v/>
      </c>
      <c r="H228" s="61" t="str">
        <f t="shared" si="17"/>
        <v/>
      </c>
      <c r="I228" t="str">
        <f>IF(FT!B228&lt;&gt;"",FT!E228,"")</f>
        <v/>
      </c>
      <c r="J228" t="str">
        <f>IF(FT!B228&lt;&gt;"",FT!C228,"")</f>
        <v/>
      </c>
    </row>
    <row r="229" spans="1:10">
      <c r="A229" s="61">
        <f t="shared" si="18"/>
        <v>227</v>
      </c>
      <c r="B229" s="61">
        <f t="shared" si="16"/>
        <v>4.3828002745098029</v>
      </c>
      <c r="C229" s="61">
        <f>FH!A229*1</f>
        <v>0</v>
      </c>
      <c r="D229" s="61">
        <f>FH!B229*1</f>
        <v>0</v>
      </c>
      <c r="E229">
        <f t="shared" si="19"/>
        <v>227</v>
      </c>
      <c r="F229" s="61" t="str">
        <f>IF(FT!A229&lt;&gt;"",FT!A229*10,"")</f>
        <v/>
      </c>
      <c r="G229" s="61" t="str">
        <f>IF(FT!B229&lt;&gt;"",FT!B229*100,"")</f>
        <v/>
      </c>
      <c r="H229" s="61" t="str">
        <f t="shared" si="17"/>
        <v/>
      </c>
      <c r="I229" t="str">
        <f>IF(FT!B229&lt;&gt;"",FT!E229,"")</f>
        <v/>
      </c>
      <c r="J229" t="str">
        <f>IF(FT!B229&lt;&gt;"",FT!C229,"")</f>
        <v/>
      </c>
    </row>
    <row r="230" spans="1:10">
      <c r="A230" s="61">
        <f t="shared" si="18"/>
        <v>228</v>
      </c>
      <c r="B230" s="61">
        <f t="shared" si="16"/>
        <v>4.4021077647058826</v>
      </c>
      <c r="C230" s="61">
        <f>FH!A230*1</f>
        <v>0</v>
      </c>
      <c r="D230" s="61">
        <f>FH!B230*1</f>
        <v>0</v>
      </c>
      <c r="E230">
        <f t="shared" si="19"/>
        <v>228</v>
      </c>
      <c r="F230" s="61" t="str">
        <f>IF(FT!A230&lt;&gt;"",FT!A230*10,"")</f>
        <v/>
      </c>
      <c r="G230" s="61" t="str">
        <f>IF(FT!B230&lt;&gt;"",FT!B230*100,"")</f>
        <v/>
      </c>
      <c r="H230" s="61" t="str">
        <f t="shared" si="17"/>
        <v/>
      </c>
      <c r="I230" t="str">
        <f>IF(FT!B230&lt;&gt;"",FT!E230,"")</f>
        <v/>
      </c>
      <c r="J230" t="str">
        <f>IF(FT!B230&lt;&gt;"",FT!C230,"")</f>
        <v/>
      </c>
    </row>
    <row r="231" spans="1:10">
      <c r="A231" s="61">
        <f t="shared" si="18"/>
        <v>229</v>
      </c>
      <c r="B231" s="61">
        <f t="shared" si="16"/>
        <v>4.4214152549019605</v>
      </c>
      <c r="C231" s="61">
        <f>FH!A231*1</f>
        <v>0</v>
      </c>
      <c r="D231" s="61">
        <f>FH!B231*1</f>
        <v>0</v>
      </c>
      <c r="E231">
        <f t="shared" si="19"/>
        <v>229</v>
      </c>
      <c r="F231" s="61" t="str">
        <f>IF(FT!A231&lt;&gt;"",FT!A231*10,"")</f>
        <v/>
      </c>
      <c r="G231" s="61" t="str">
        <f>IF(FT!B231&lt;&gt;"",FT!B231*100,"")</f>
        <v/>
      </c>
      <c r="H231" s="61" t="str">
        <f t="shared" si="17"/>
        <v/>
      </c>
      <c r="I231" t="str">
        <f>IF(FT!B231&lt;&gt;"",FT!E231,"")</f>
        <v/>
      </c>
      <c r="J231" t="str">
        <f>IF(FT!B231&lt;&gt;"",FT!C231,"")</f>
        <v/>
      </c>
    </row>
    <row r="232" spans="1:10">
      <c r="A232" s="61">
        <f t="shared" si="18"/>
        <v>230</v>
      </c>
      <c r="B232" s="61">
        <f t="shared" si="16"/>
        <v>4.4407227450980393</v>
      </c>
      <c r="C232" s="61">
        <f>FH!A232*1</f>
        <v>0</v>
      </c>
      <c r="D232" s="61">
        <f>FH!B232*1</f>
        <v>0</v>
      </c>
      <c r="E232">
        <f t="shared" si="19"/>
        <v>230</v>
      </c>
      <c r="F232" s="61" t="str">
        <f>IF(FT!A232&lt;&gt;"",FT!A232*10,"")</f>
        <v/>
      </c>
      <c r="G232" s="61" t="str">
        <f>IF(FT!B232&lt;&gt;"",FT!B232*100,"")</f>
        <v/>
      </c>
      <c r="H232" s="61" t="str">
        <f t="shared" si="17"/>
        <v/>
      </c>
      <c r="I232" t="str">
        <f>IF(FT!B232&lt;&gt;"",FT!E232,"")</f>
        <v/>
      </c>
      <c r="J232" t="str">
        <f>IF(FT!B232&lt;&gt;"",FT!C232,"")</f>
        <v/>
      </c>
    </row>
    <row r="233" spans="1:10">
      <c r="A233" s="61">
        <f t="shared" si="18"/>
        <v>231</v>
      </c>
      <c r="B233" s="61">
        <f t="shared" si="16"/>
        <v>4.4600302352941172</v>
      </c>
      <c r="C233" s="61">
        <f>FH!A233*1</f>
        <v>0</v>
      </c>
      <c r="D233" s="61">
        <f>FH!B233*1</f>
        <v>0</v>
      </c>
      <c r="E233">
        <f t="shared" si="19"/>
        <v>231</v>
      </c>
      <c r="F233" s="61" t="str">
        <f>IF(FT!A233&lt;&gt;"",FT!A233*10,"")</f>
        <v/>
      </c>
      <c r="G233" s="61" t="str">
        <f>IF(FT!B233&lt;&gt;"",FT!B233*100,"")</f>
        <v/>
      </c>
      <c r="H233" s="61" t="str">
        <f t="shared" si="17"/>
        <v/>
      </c>
      <c r="I233" t="str">
        <f>IF(FT!B233&lt;&gt;"",FT!E233,"")</f>
        <v/>
      </c>
      <c r="J233" t="str">
        <f>IF(FT!B233&lt;&gt;"",FT!C233,"")</f>
        <v/>
      </c>
    </row>
    <row r="234" spans="1:10">
      <c r="A234" s="61">
        <f t="shared" si="18"/>
        <v>232</v>
      </c>
      <c r="B234" s="61">
        <f t="shared" si="16"/>
        <v>4.479337725490196</v>
      </c>
      <c r="C234" s="61">
        <f>FH!A234*1</f>
        <v>0</v>
      </c>
      <c r="D234" s="61">
        <f>FH!B234*1</f>
        <v>0</v>
      </c>
      <c r="E234">
        <f t="shared" si="19"/>
        <v>232</v>
      </c>
      <c r="F234" s="61" t="str">
        <f>IF(FT!A234&lt;&gt;"",FT!A234*10,"")</f>
        <v/>
      </c>
      <c r="G234" s="61" t="str">
        <f>IF(FT!B234&lt;&gt;"",FT!B234*100,"")</f>
        <v/>
      </c>
      <c r="H234" s="61" t="str">
        <f t="shared" si="17"/>
        <v/>
      </c>
      <c r="I234" t="str">
        <f>IF(FT!B234&lt;&gt;"",FT!E234,"")</f>
        <v/>
      </c>
      <c r="J234" t="str">
        <f>IF(FT!B234&lt;&gt;"",FT!C234,"")</f>
        <v/>
      </c>
    </row>
    <row r="235" spans="1:10">
      <c r="A235" s="61">
        <f t="shared" si="18"/>
        <v>233</v>
      </c>
      <c r="B235" s="61">
        <f t="shared" si="16"/>
        <v>4.498645215686274</v>
      </c>
      <c r="C235" s="61">
        <f>FH!A235*1</f>
        <v>0</v>
      </c>
      <c r="D235" s="61">
        <f>FH!B235*1</f>
        <v>0</v>
      </c>
      <c r="E235">
        <f t="shared" si="19"/>
        <v>233</v>
      </c>
      <c r="F235" s="61" t="str">
        <f>IF(FT!A235&lt;&gt;"",FT!A235*10,"")</f>
        <v/>
      </c>
      <c r="G235" s="61" t="str">
        <f>IF(FT!B235&lt;&gt;"",FT!B235*100,"")</f>
        <v/>
      </c>
      <c r="H235" s="61" t="str">
        <f t="shared" si="17"/>
        <v/>
      </c>
      <c r="I235" t="str">
        <f>IF(FT!B235&lt;&gt;"",FT!E235,"")</f>
        <v/>
      </c>
      <c r="J235" t="str">
        <f>IF(FT!B235&lt;&gt;"",FT!C235,"")</f>
        <v/>
      </c>
    </row>
    <row r="236" spans="1:10">
      <c r="A236" s="61">
        <f t="shared" si="18"/>
        <v>234</v>
      </c>
      <c r="B236" s="61">
        <f t="shared" si="16"/>
        <v>4.5179527058823528</v>
      </c>
      <c r="C236" s="61">
        <f>FH!A236*1</f>
        <v>0</v>
      </c>
      <c r="D236" s="61">
        <f>FH!B236*1</f>
        <v>0</v>
      </c>
      <c r="E236">
        <f t="shared" si="19"/>
        <v>234</v>
      </c>
      <c r="F236" s="61" t="str">
        <f>IF(FT!A236&lt;&gt;"",FT!A236*10,"")</f>
        <v/>
      </c>
      <c r="G236" s="61" t="str">
        <f>IF(FT!B236&lt;&gt;"",FT!B236*100,"")</f>
        <v/>
      </c>
      <c r="H236" s="61" t="str">
        <f t="shared" si="17"/>
        <v/>
      </c>
      <c r="I236" t="str">
        <f>IF(FT!B236&lt;&gt;"",FT!E236,"")</f>
        <v/>
      </c>
      <c r="J236" t="str">
        <f>IF(FT!B236&lt;&gt;"",FT!C236,"")</f>
        <v/>
      </c>
    </row>
    <row r="237" spans="1:10">
      <c r="A237" s="61">
        <f t="shared" si="18"/>
        <v>235</v>
      </c>
      <c r="B237" s="61">
        <f t="shared" si="16"/>
        <v>4.5372601960784307</v>
      </c>
      <c r="C237" s="61">
        <f>FH!A237*1</f>
        <v>0</v>
      </c>
      <c r="D237" s="61">
        <f>FH!B237*1</f>
        <v>0</v>
      </c>
      <c r="E237">
        <f t="shared" si="19"/>
        <v>235</v>
      </c>
      <c r="F237" s="61" t="str">
        <f>IF(FT!A237&lt;&gt;"",FT!A237*10,"")</f>
        <v/>
      </c>
      <c r="G237" s="61" t="str">
        <f>IF(FT!B237&lt;&gt;"",FT!B237*100,"")</f>
        <v/>
      </c>
      <c r="H237" s="61" t="str">
        <f t="shared" si="17"/>
        <v/>
      </c>
      <c r="I237" t="str">
        <f>IF(FT!B237&lt;&gt;"",FT!E237,"")</f>
        <v/>
      </c>
      <c r="J237" t="str">
        <f>IF(FT!B237&lt;&gt;"",FT!C237,"")</f>
        <v/>
      </c>
    </row>
    <row r="238" spans="1:10">
      <c r="A238" s="61">
        <f t="shared" si="18"/>
        <v>236</v>
      </c>
      <c r="B238" s="61">
        <f t="shared" si="16"/>
        <v>4.5565676862745095</v>
      </c>
      <c r="C238" s="61">
        <f>FH!A238*1</f>
        <v>0</v>
      </c>
      <c r="D238" s="61">
        <f>FH!B238*1</f>
        <v>0</v>
      </c>
      <c r="E238">
        <f t="shared" si="19"/>
        <v>236</v>
      </c>
      <c r="F238" s="61" t="str">
        <f>IF(FT!A238&lt;&gt;"",FT!A238*10,"")</f>
        <v/>
      </c>
      <c r="G238" s="61" t="str">
        <f>IF(FT!B238&lt;&gt;"",FT!B238*100,"")</f>
        <v/>
      </c>
      <c r="H238" s="61" t="str">
        <f t="shared" si="17"/>
        <v/>
      </c>
      <c r="I238" t="str">
        <f>IF(FT!B238&lt;&gt;"",FT!E238,"")</f>
        <v/>
      </c>
      <c r="J238" t="str">
        <f>IF(FT!B238&lt;&gt;"",FT!C238,"")</f>
        <v/>
      </c>
    </row>
    <row r="239" spans="1:10">
      <c r="A239" s="61">
        <f t="shared" si="18"/>
        <v>237</v>
      </c>
      <c r="B239" s="61">
        <f t="shared" si="16"/>
        <v>4.5758751764705883</v>
      </c>
      <c r="C239" s="61">
        <f>FH!A239*1</f>
        <v>0</v>
      </c>
      <c r="D239" s="61">
        <f>FH!B239*1</f>
        <v>0</v>
      </c>
      <c r="E239">
        <f t="shared" si="19"/>
        <v>237</v>
      </c>
      <c r="F239" s="61" t="str">
        <f>IF(FT!A239&lt;&gt;"",FT!A239*10,"")</f>
        <v/>
      </c>
      <c r="G239" s="61" t="str">
        <f>IF(FT!B239&lt;&gt;"",FT!B239*100,"")</f>
        <v/>
      </c>
      <c r="H239" s="61" t="str">
        <f t="shared" si="17"/>
        <v/>
      </c>
      <c r="I239" t="str">
        <f>IF(FT!B239&lt;&gt;"",FT!E239,"")</f>
        <v/>
      </c>
      <c r="J239" t="str">
        <f>IF(FT!B239&lt;&gt;"",FT!C239,"")</f>
        <v/>
      </c>
    </row>
    <row r="240" spans="1:10">
      <c r="A240" s="61">
        <f t="shared" si="18"/>
        <v>238</v>
      </c>
      <c r="B240" s="61">
        <f t="shared" si="16"/>
        <v>4.5951826666666662</v>
      </c>
      <c r="C240" s="61">
        <f>FH!A240*1</f>
        <v>0</v>
      </c>
      <c r="D240" s="61">
        <f>FH!B240*1</f>
        <v>0</v>
      </c>
      <c r="E240">
        <f t="shared" si="19"/>
        <v>238</v>
      </c>
      <c r="F240" s="61" t="str">
        <f>IF(FT!A240&lt;&gt;"",FT!A240*10,"")</f>
        <v/>
      </c>
      <c r="G240" s="61" t="str">
        <f>IF(FT!B240&lt;&gt;"",FT!B240*100,"")</f>
        <v/>
      </c>
      <c r="H240" s="61" t="str">
        <f t="shared" si="17"/>
        <v/>
      </c>
      <c r="I240" t="str">
        <f>IF(FT!B240&lt;&gt;"",FT!E240,"")</f>
        <v/>
      </c>
      <c r="J240" t="str">
        <f>IF(FT!B240&lt;&gt;"",FT!C240,"")</f>
        <v/>
      </c>
    </row>
    <row r="241" spans="1:10">
      <c r="A241" s="61">
        <f t="shared" si="18"/>
        <v>239</v>
      </c>
      <c r="B241" s="61">
        <f t="shared" si="16"/>
        <v>4.614490156862745</v>
      </c>
      <c r="C241" s="61">
        <f>FH!A241*1</f>
        <v>0</v>
      </c>
      <c r="D241" s="61">
        <f>FH!B241*1</f>
        <v>0</v>
      </c>
      <c r="E241">
        <f t="shared" si="19"/>
        <v>239</v>
      </c>
      <c r="F241" s="61" t="str">
        <f>IF(FT!A241&lt;&gt;"",FT!A241*10,"")</f>
        <v/>
      </c>
      <c r="G241" s="61" t="str">
        <f>IF(FT!B241&lt;&gt;"",FT!B241*100,"")</f>
        <v/>
      </c>
      <c r="H241" s="61" t="str">
        <f t="shared" si="17"/>
        <v/>
      </c>
      <c r="I241" t="str">
        <f>IF(FT!B241&lt;&gt;"",FT!E241,"")</f>
        <v/>
      </c>
      <c r="J241" t="str">
        <f>IF(FT!B241&lt;&gt;"",FT!C241,"")</f>
        <v/>
      </c>
    </row>
    <row r="242" spans="1:10">
      <c r="A242" s="61">
        <f t="shared" si="18"/>
        <v>240</v>
      </c>
      <c r="B242" s="61">
        <f t="shared" si="16"/>
        <v>4.6337976470588229</v>
      </c>
      <c r="C242" s="61">
        <f>FH!A242*1</f>
        <v>0</v>
      </c>
      <c r="D242" s="61">
        <f>FH!B242*1</f>
        <v>0</v>
      </c>
      <c r="E242">
        <f t="shared" si="19"/>
        <v>240</v>
      </c>
      <c r="F242" s="61" t="str">
        <f>IF(FT!A242&lt;&gt;"",FT!A242*10,"")</f>
        <v/>
      </c>
      <c r="G242" s="61" t="str">
        <f>IF(FT!B242&lt;&gt;"",FT!B242*100,"")</f>
        <v/>
      </c>
      <c r="H242" s="61" t="str">
        <f t="shared" si="17"/>
        <v/>
      </c>
      <c r="I242" t="str">
        <f>IF(FT!B242&lt;&gt;"",FT!E242,"")</f>
        <v/>
      </c>
      <c r="J242" t="str">
        <f>IF(FT!B242&lt;&gt;"",FT!C242,"")</f>
        <v/>
      </c>
    </row>
    <row r="243" spans="1:10">
      <c r="A243" s="61">
        <f t="shared" si="18"/>
        <v>241</v>
      </c>
      <c r="B243" s="61">
        <f t="shared" si="16"/>
        <v>4.6531051372549017</v>
      </c>
      <c r="C243" s="61">
        <f>FH!A243*1</f>
        <v>0</v>
      </c>
      <c r="D243" s="61">
        <f>FH!B243*1</f>
        <v>0</v>
      </c>
      <c r="E243">
        <f t="shared" si="19"/>
        <v>241</v>
      </c>
      <c r="F243" s="61" t="str">
        <f>IF(FT!A243&lt;&gt;"",FT!A243*10,"")</f>
        <v/>
      </c>
      <c r="G243" s="61" t="str">
        <f>IF(FT!B243&lt;&gt;"",FT!B243*100,"")</f>
        <v/>
      </c>
      <c r="H243" s="61" t="str">
        <f t="shared" si="17"/>
        <v/>
      </c>
      <c r="I243" t="str">
        <f>IF(FT!B243&lt;&gt;"",FT!E243,"")</f>
        <v/>
      </c>
      <c r="J243" t="str">
        <f>IF(FT!B243&lt;&gt;"",FT!C243,"")</f>
        <v/>
      </c>
    </row>
    <row r="244" spans="1:10">
      <c r="A244" s="61">
        <f t="shared" si="18"/>
        <v>242</v>
      </c>
      <c r="B244" s="61">
        <f t="shared" si="16"/>
        <v>4.6724126274509796</v>
      </c>
      <c r="C244" s="61">
        <f>FH!A244*1</f>
        <v>0</v>
      </c>
      <c r="D244" s="61">
        <f>FH!B244*1</f>
        <v>0</v>
      </c>
      <c r="E244">
        <f t="shared" si="19"/>
        <v>242</v>
      </c>
      <c r="F244" s="61" t="str">
        <f>IF(FT!A244&lt;&gt;"",FT!A244*10,"")</f>
        <v/>
      </c>
      <c r="G244" s="61" t="str">
        <f>IF(FT!B244&lt;&gt;"",FT!B244*100,"")</f>
        <v/>
      </c>
      <c r="H244" s="61" t="str">
        <f t="shared" si="17"/>
        <v/>
      </c>
      <c r="I244" t="str">
        <f>IF(FT!B244&lt;&gt;"",FT!E244,"")</f>
        <v/>
      </c>
      <c r="J244" t="str">
        <f>IF(FT!B244&lt;&gt;"",FT!C244,"")</f>
        <v/>
      </c>
    </row>
    <row r="245" spans="1:10">
      <c r="A245" s="61">
        <f t="shared" si="18"/>
        <v>243</v>
      </c>
      <c r="B245" s="61">
        <f t="shared" si="16"/>
        <v>4.6917201176470584</v>
      </c>
      <c r="C245" s="61">
        <f>FH!A245*1</f>
        <v>0</v>
      </c>
      <c r="D245" s="61">
        <f>FH!B245*1</f>
        <v>0</v>
      </c>
      <c r="E245">
        <f t="shared" si="19"/>
        <v>243</v>
      </c>
      <c r="F245" s="61" t="str">
        <f>IF(FT!A245&lt;&gt;"",FT!A245*10,"")</f>
        <v/>
      </c>
      <c r="G245" s="61" t="str">
        <f>IF(FT!B245&lt;&gt;"",FT!B245*100,"")</f>
        <v/>
      </c>
      <c r="H245" s="61" t="str">
        <f t="shared" si="17"/>
        <v/>
      </c>
      <c r="I245" t="str">
        <f>IF(FT!B245&lt;&gt;"",FT!E245,"")</f>
        <v/>
      </c>
      <c r="J245" t="str">
        <f>IF(FT!B245&lt;&gt;"",FT!C245,"")</f>
        <v/>
      </c>
    </row>
    <row r="246" spans="1:10">
      <c r="A246" s="61">
        <f t="shared" si="18"/>
        <v>244</v>
      </c>
      <c r="B246" s="61">
        <f t="shared" si="16"/>
        <v>4.7110276078431372</v>
      </c>
      <c r="C246" s="61">
        <f>FH!A246*1</f>
        <v>0</v>
      </c>
      <c r="D246" s="61">
        <f>FH!B246*1</f>
        <v>0</v>
      </c>
      <c r="E246">
        <f t="shared" si="19"/>
        <v>244</v>
      </c>
      <c r="F246" s="61" t="str">
        <f>IF(FT!A246&lt;&gt;"",FT!A246*10,"")</f>
        <v/>
      </c>
      <c r="G246" s="61" t="str">
        <f>IF(FT!B246&lt;&gt;"",FT!B246*100,"")</f>
        <v/>
      </c>
      <c r="H246" s="61" t="str">
        <f t="shared" si="17"/>
        <v/>
      </c>
      <c r="I246" t="str">
        <f>IF(FT!B246&lt;&gt;"",FT!E246,"")</f>
        <v/>
      </c>
      <c r="J246" t="str">
        <f>IF(FT!B246&lt;&gt;"",FT!C246,"")</f>
        <v/>
      </c>
    </row>
    <row r="247" spans="1:10">
      <c r="A247" s="61">
        <f t="shared" si="18"/>
        <v>245</v>
      </c>
      <c r="B247" s="61">
        <f t="shared" si="16"/>
        <v>4.7303350980392151</v>
      </c>
      <c r="C247" s="61">
        <f>FH!A247*1</f>
        <v>0</v>
      </c>
      <c r="D247" s="61">
        <f>FH!B247*1</f>
        <v>0</v>
      </c>
      <c r="E247">
        <f t="shared" si="19"/>
        <v>245</v>
      </c>
      <c r="F247" s="61" t="str">
        <f>IF(FT!A247&lt;&gt;"",FT!A247*10,"")</f>
        <v/>
      </c>
      <c r="G247" s="61" t="str">
        <f>IF(FT!B247&lt;&gt;"",FT!B247*100,"")</f>
        <v/>
      </c>
      <c r="H247" s="61" t="str">
        <f t="shared" si="17"/>
        <v/>
      </c>
      <c r="I247" t="str">
        <f>IF(FT!B247&lt;&gt;"",FT!E247,"")</f>
        <v/>
      </c>
      <c r="J247" t="str">
        <f>IF(FT!B247&lt;&gt;"",FT!C247,"")</f>
        <v/>
      </c>
    </row>
    <row r="248" spans="1:10">
      <c r="A248" s="61">
        <f t="shared" si="18"/>
        <v>246</v>
      </c>
      <c r="B248" s="61">
        <f t="shared" si="16"/>
        <v>4.7496425882352939</v>
      </c>
      <c r="C248" s="61">
        <f>FH!A248*1</f>
        <v>0</v>
      </c>
      <c r="D248" s="61">
        <f>FH!B248*1</f>
        <v>0</v>
      </c>
      <c r="E248">
        <f t="shared" si="19"/>
        <v>246</v>
      </c>
      <c r="F248" s="61" t="str">
        <f>IF(FT!A248&lt;&gt;"",FT!A248*10,"")</f>
        <v/>
      </c>
      <c r="G248" s="61" t="str">
        <f>IF(FT!B248&lt;&gt;"",FT!B248*100,"")</f>
        <v/>
      </c>
      <c r="H248" s="61" t="str">
        <f t="shared" si="17"/>
        <v/>
      </c>
      <c r="I248" t="str">
        <f>IF(FT!B248&lt;&gt;"",FT!E248,"")</f>
        <v/>
      </c>
      <c r="J248" t="str">
        <f>IF(FT!B248&lt;&gt;"",FT!C248,"")</f>
        <v/>
      </c>
    </row>
    <row r="249" spans="1:10">
      <c r="A249" s="61">
        <f t="shared" si="18"/>
        <v>247</v>
      </c>
      <c r="B249" s="61">
        <f t="shared" si="16"/>
        <v>4.7689500784313719</v>
      </c>
      <c r="C249" s="61">
        <f>FH!A249*1</f>
        <v>0</v>
      </c>
      <c r="D249" s="61">
        <f>FH!B249*1</f>
        <v>0</v>
      </c>
      <c r="E249">
        <f t="shared" si="19"/>
        <v>247</v>
      </c>
      <c r="F249" s="61" t="str">
        <f>IF(FT!A249&lt;&gt;"",FT!A249*10,"")</f>
        <v/>
      </c>
      <c r="G249" s="61" t="str">
        <f>IF(FT!B249&lt;&gt;"",FT!B249*100,"")</f>
        <v/>
      </c>
      <c r="H249" s="61" t="str">
        <f t="shared" si="17"/>
        <v/>
      </c>
      <c r="I249" t="str">
        <f>IF(FT!B249&lt;&gt;"",FT!E249,"")</f>
        <v/>
      </c>
      <c r="J249" t="str">
        <f>IF(FT!B249&lt;&gt;"",FT!C249,"")</f>
        <v/>
      </c>
    </row>
    <row r="250" spans="1:10">
      <c r="A250" s="61">
        <f t="shared" si="18"/>
        <v>248</v>
      </c>
      <c r="B250" s="61">
        <f t="shared" si="16"/>
        <v>4.7882575686274507</v>
      </c>
      <c r="C250" s="61">
        <f>FH!A250*1</f>
        <v>0</v>
      </c>
      <c r="D250" s="61">
        <f>FH!B250*1</f>
        <v>0</v>
      </c>
      <c r="E250">
        <f t="shared" si="19"/>
        <v>248</v>
      </c>
      <c r="F250" s="61" t="str">
        <f>IF(FT!A250&lt;&gt;"",FT!A250*10,"")</f>
        <v/>
      </c>
      <c r="G250" s="61" t="str">
        <f>IF(FT!B250&lt;&gt;"",FT!B250*100,"")</f>
        <v/>
      </c>
      <c r="H250" s="61" t="str">
        <f t="shared" si="17"/>
        <v/>
      </c>
      <c r="I250" t="str">
        <f>IF(FT!B250&lt;&gt;"",FT!E250,"")</f>
        <v/>
      </c>
      <c r="J250" t="str">
        <f>IF(FT!B250&lt;&gt;"",FT!C250,"")</f>
        <v/>
      </c>
    </row>
    <row r="251" spans="1:10">
      <c r="A251" s="61">
        <f t="shared" si="18"/>
        <v>249</v>
      </c>
      <c r="B251" s="61">
        <f t="shared" si="16"/>
        <v>4.8075650588235286</v>
      </c>
      <c r="C251" s="61">
        <f>FH!A251*1</f>
        <v>0</v>
      </c>
      <c r="D251" s="61">
        <f>FH!B251*1</f>
        <v>0</v>
      </c>
      <c r="E251">
        <f t="shared" si="19"/>
        <v>249</v>
      </c>
      <c r="F251" s="61" t="str">
        <f>IF(FT!A251&lt;&gt;"",FT!A251*10,"")</f>
        <v/>
      </c>
      <c r="G251" s="61" t="str">
        <f>IF(FT!B251&lt;&gt;"",FT!B251*100,"")</f>
        <v/>
      </c>
      <c r="H251" s="61" t="str">
        <f t="shared" si="17"/>
        <v/>
      </c>
      <c r="I251" t="str">
        <f>IF(FT!B251&lt;&gt;"",FT!E251,"")</f>
        <v/>
      </c>
      <c r="J251" t="str">
        <f>IF(FT!B251&lt;&gt;"",FT!C251,"")</f>
        <v/>
      </c>
    </row>
    <row r="252" spans="1:10">
      <c r="A252" s="61">
        <f t="shared" si="18"/>
        <v>250</v>
      </c>
      <c r="B252" s="61">
        <f t="shared" si="16"/>
        <v>4.8268725490196074</v>
      </c>
      <c r="C252" s="61">
        <f>FH!A252*1</f>
        <v>0</v>
      </c>
      <c r="D252" s="61">
        <f>FH!B252*1</f>
        <v>0</v>
      </c>
      <c r="E252">
        <f t="shared" si="19"/>
        <v>250</v>
      </c>
      <c r="F252" s="61" t="str">
        <f>IF(FT!A252&lt;&gt;"",FT!A252*10,"")</f>
        <v/>
      </c>
      <c r="G252" s="61" t="str">
        <f>IF(FT!B252&lt;&gt;"",FT!B252*100,"")</f>
        <v/>
      </c>
      <c r="H252" s="61" t="str">
        <f t="shared" si="17"/>
        <v/>
      </c>
      <c r="I252" t="str">
        <f>IF(FT!B252&lt;&gt;"",FT!E252,"")</f>
        <v/>
      </c>
      <c r="J252" t="str">
        <f>IF(FT!B252&lt;&gt;"",FT!C252,"")</f>
        <v/>
      </c>
    </row>
    <row r="253" spans="1:10">
      <c r="A253" s="61">
        <f t="shared" si="18"/>
        <v>251</v>
      </c>
      <c r="B253" s="61">
        <f t="shared" si="16"/>
        <v>4.8461800392156853</v>
      </c>
      <c r="C253" s="61">
        <f>FH!A253*1</f>
        <v>0</v>
      </c>
      <c r="D253" s="61">
        <f>FH!B253*1</f>
        <v>0</v>
      </c>
      <c r="E253">
        <f t="shared" si="19"/>
        <v>251</v>
      </c>
      <c r="F253" s="61" t="str">
        <f>IF(FT!A253&lt;&gt;"",FT!A253*10,"")</f>
        <v/>
      </c>
      <c r="G253" s="61" t="str">
        <f>IF(FT!B253&lt;&gt;"",FT!B253*100,"")</f>
        <v/>
      </c>
      <c r="H253" s="61" t="str">
        <f t="shared" si="17"/>
        <v/>
      </c>
      <c r="I253" t="str">
        <f>IF(FT!B253&lt;&gt;"",FT!E253,"")</f>
        <v/>
      </c>
      <c r="J253" t="str">
        <f>IF(FT!B253&lt;&gt;"",FT!C253,"")</f>
        <v/>
      </c>
    </row>
    <row r="254" spans="1:10">
      <c r="A254" s="61">
        <f t="shared" si="18"/>
        <v>252</v>
      </c>
      <c r="B254" s="61">
        <f t="shared" si="16"/>
        <v>4.8654875294117641</v>
      </c>
      <c r="C254" s="61">
        <f>FH!A254*1</f>
        <v>0</v>
      </c>
      <c r="D254" s="61">
        <f>FH!B254*1</f>
        <v>0</v>
      </c>
      <c r="E254">
        <f t="shared" si="19"/>
        <v>252</v>
      </c>
      <c r="F254" s="61" t="str">
        <f>IF(FT!A254&lt;&gt;"",FT!A254*10,"")</f>
        <v/>
      </c>
      <c r="G254" s="61" t="str">
        <f>IF(FT!B254&lt;&gt;"",FT!B254*100,"")</f>
        <v/>
      </c>
      <c r="H254" s="61" t="str">
        <f t="shared" si="17"/>
        <v/>
      </c>
      <c r="I254" t="str">
        <f>IF(FT!B254&lt;&gt;"",FT!E254,"")</f>
        <v/>
      </c>
      <c r="J254" t="str">
        <f>IF(FT!B254&lt;&gt;"",FT!C254,"")</f>
        <v/>
      </c>
    </row>
    <row r="255" spans="1:10">
      <c r="A255" s="61">
        <f t="shared" si="18"/>
        <v>253</v>
      </c>
      <c r="B255" s="61">
        <f t="shared" si="16"/>
        <v>4.8847950196078429</v>
      </c>
      <c r="C255" s="61">
        <f>FH!A255*1</f>
        <v>0</v>
      </c>
      <c r="D255" s="61">
        <f>FH!B255*1</f>
        <v>0</v>
      </c>
      <c r="E255">
        <f t="shared" si="19"/>
        <v>253</v>
      </c>
      <c r="F255" s="61" t="str">
        <f>IF(FT!A255&lt;&gt;"",FT!A255*10,"")</f>
        <v/>
      </c>
      <c r="G255" s="61" t="str">
        <f>IF(FT!B255&lt;&gt;"",FT!B255*100,"")</f>
        <v/>
      </c>
      <c r="H255" s="61" t="str">
        <f t="shared" si="17"/>
        <v/>
      </c>
      <c r="I255" t="str">
        <f>IF(FT!B255&lt;&gt;"",FT!E255,"")</f>
        <v/>
      </c>
      <c r="J255" t="str">
        <f>IF(FT!B255&lt;&gt;"",FT!C255,"")</f>
        <v/>
      </c>
    </row>
    <row r="256" spans="1:10">
      <c r="A256" s="61">
        <f t="shared" si="18"/>
        <v>254</v>
      </c>
      <c r="B256" s="61">
        <f t="shared" si="16"/>
        <v>4.9041025098039208</v>
      </c>
      <c r="C256" s="61">
        <f>FH!A256*1</f>
        <v>0</v>
      </c>
      <c r="D256" s="61">
        <f>FH!B256*1</f>
        <v>0</v>
      </c>
      <c r="E256">
        <f t="shared" si="19"/>
        <v>254</v>
      </c>
      <c r="F256" s="61" t="str">
        <f>IF(FT!A256&lt;&gt;"",FT!A256*10,"")</f>
        <v/>
      </c>
      <c r="G256" s="61" t="str">
        <f>IF(FT!B256&lt;&gt;"",FT!B256*100,"")</f>
        <v/>
      </c>
      <c r="H256" s="61" t="str">
        <f t="shared" si="17"/>
        <v/>
      </c>
      <c r="I256" t="str">
        <f>IF(FT!B256&lt;&gt;"",FT!E256,"")</f>
        <v/>
      </c>
      <c r="J256" t="str">
        <f>IF(FT!B256&lt;&gt;"",FT!C256,"")</f>
        <v/>
      </c>
    </row>
    <row r="257" spans="1:10">
      <c r="A257" s="61">
        <f t="shared" si="18"/>
        <v>255</v>
      </c>
      <c r="B257" s="61">
        <f t="shared" si="16"/>
        <v>4.9234099999999996</v>
      </c>
      <c r="C257" s="61">
        <f>FH!A257*1</f>
        <v>0</v>
      </c>
      <c r="D257" s="61">
        <f>FH!B257*1</f>
        <v>0</v>
      </c>
      <c r="E257">
        <f t="shared" si="19"/>
        <v>255</v>
      </c>
      <c r="F257" s="61" t="str">
        <f>IF(FT!A257&lt;&gt;"",FT!A257*10,"")</f>
        <v/>
      </c>
      <c r="G257" s="61" t="str">
        <f>IF(FT!B257&lt;&gt;"",FT!B257*100,"")</f>
        <v/>
      </c>
      <c r="H257" s="61" t="str">
        <f t="shared" si="17"/>
        <v/>
      </c>
      <c r="I257" t="str">
        <f>IF(FT!B257&lt;&gt;"",FT!E257,"")</f>
        <v/>
      </c>
      <c r="J257" t="str">
        <f>IF(FT!B257&lt;&gt;"",FT!C257,"")</f>
        <v/>
      </c>
    </row>
    <row r="258" spans="1:10">
      <c r="E258">
        <f t="shared" si="19"/>
        <v>256</v>
      </c>
      <c r="F258" s="61" t="str">
        <f>IF(FT!A258&lt;&gt;"",FT!A258*10,"")</f>
        <v/>
      </c>
      <c r="G258" s="61" t="str">
        <f>IF(FT!B258&lt;&gt;"",FT!B258*100,"")</f>
        <v/>
      </c>
      <c r="H258" s="61" t="str">
        <f t="shared" si="17"/>
        <v/>
      </c>
      <c r="I258" t="str">
        <f>IF(FT!B258&lt;&gt;"",FT!E258,"")</f>
        <v/>
      </c>
      <c r="J258" t="str">
        <f>IF(FT!B258&lt;&gt;"",FT!C258,"")</f>
        <v/>
      </c>
    </row>
    <row r="259" spans="1:10">
      <c r="E259">
        <f t="shared" si="19"/>
        <v>257</v>
      </c>
      <c r="F259" s="61" t="str">
        <f>IF(FT!A259&lt;&gt;"",FT!A259*10,"")</f>
        <v/>
      </c>
      <c r="G259" s="61" t="str">
        <f>IF(FT!B259&lt;&gt;"",FT!B259*100,"")</f>
        <v/>
      </c>
      <c r="H259" s="61" t="str">
        <f t="shared" ref="H259:H322" si="20">(IF(F259&lt;&gt;"",1,""))</f>
        <v/>
      </c>
      <c r="I259" t="str">
        <f>IF(FT!B259&lt;&gt;"",FT!E259,"")</f>
        <v/>
      </c>
      <c r="J259" t="str">
        <f>IF(FT!B259&lt;&gt;"",FT!C259,"")</f>
        <v/>
      </c>
    </row>
    <row r="260" spans="1:10">
      <c r="E260">
        <f t="shared" ref="E260:E323" si="21">E259+1</f>
        <v>258</v>
      </c>
      <c r="F260" s="61" t="str">
        <f>IF(FT!A260&lt;&gt;"",FT!A260*10,"")</f>
        <v/>
      </c>
      <c r="G260" s="61" t="str">
        <f>IF(FT!B260&lt;&gt;"",FT!B260*100,"")</f>
        <v/>
      </c>
      <c r="H260" s="61" t="str">
        <f t="shared" si="20"/>
        <v/>
      </c>
      <c r="I260" t="str">
        <f>IF(FT!B260&lt;&gt;"",FT!E260,"")</f>
        <v/>
      </c>
      <c r="J260" t="str">
        <f>IF(FT!B260&lt;&gt;"",FT!C260,"")</f>
        <v/>
      </c>
    </row>
    <row r="261" spans="1:10">
      <c r="E261">
        <f t="shared" si="21"/>
        <v>259</v>
      </c>
      <c r="F261" s="61" t="str">
        <f>IF(FT!A261&lt;&gt;"",FT!A261*10,"")</f>
        <v/>
      </c>
      <c r="G261" s="61" t="str">
        <f>IF(FT!B261&lt;&gt;"",FT!B261*100,"")</f>
        <v/>
      </c>
      <c r="H261" s="61" t="str">
        <f t="shared" si="20"/>
        <v/>
      </c>
      <c r="I261" t="str">
        <f>IF(FT!B261&lt;&gt;"",FT!E261,"")</f>
        <v/>
      </c>
      <c r="J261" t="str">
        <f>IF(FT!B261&lt;&gt;"",FT!C261,"")</f>
        <v/>
      </c>
    </row>
    <row r="262" spans="1:10">
      <c r="E262">
        <f t="shared" si="21"/>
        <v>260</v>
      </c>
      <c r="F262" s="61" t="str">
        <f>IF(FT!A262&lt;&gt;"",FT!A262*10,"")</f>
        <v/>
      </c>
      <c r="G262" s="61" t="str">
        <f>IF(FT!B262&lt;&gt;"",FT!B262*100,"")</f>
        <v/>
      </c>
      <c r="H262" s="61" t="str">
        <f t="shared" si="20"/>
        <v/>
      </c>
      <c r="I262" t="str">
        <f>IF(FT!B262&lt;&gt;"",FT!E262,"")</f>
        <v/>
      </c>
      <c r="J262" t="str">
        <f>IF(FT!B262&lt;&gt;"",FT!C262,"")</f>
        <v/>
      </c>
    </row>
    <row r="263" spans="1:10">
      <c r="E263">
        <f t="shared" si="21"/>
        <v>261</v>
      </c>
      <c r="F263" s="61" t="str">
        <f>IF(FT!A263&lt;&gt;"",FT!A263*10,"")</f>
        <v/>
      </c>
      <c r="G263" s="61" t="str">
        <f>IF(FT!B263&lt;&gt;"",FT!B263*100,"")</f>
        <v/>
      </c>
      <c r="H263" s="61" t="str">
        <f t="shared" si="20"/>
        <v/>
      </c>
      <c r="I263" t="str">
        <f>IF(FT!B263&lt;&gt;"",FT!E263,"")</f>
        <v/>
      </c>
      <c r="J263" t="str">
        <f>IF(FT!B263&lt;&gt;"",FT!C263,"")</f>
        <v/>
      </c>
    </row>
    <row r="264" spans="1:10">
      <c r="E264">
        <f t="shared" si="21"/>
        <v>262</v>
      </c>
      <c r="F264" s="61" t="str">
        <f>IF(FT!A264&lt;&gt;"",FT!A264*10,"")</f>
        <v/>
      </c>
      <c r="G264" s="61" t="str">
        <f>IF(FT!B264&lt;&gt;"",FT!B264*100,"")</f>
        <v/>
      </c>
      <c r="H264" s="61" t="str">
        <f t="shared" si="20"/>
        <v/>
      </c>
      <c r="I264" t="str">
        <f>IF(FT!B264&lt;&gt;"",FT!E264,"")</f>
        <v/>
      </c>
      <c r="J264" t="str">
        <f>IF(FT!B264&lt;&gt;"",FT!C264,"")</f>
        <v/>
      </c>
    </row>
    <row r="265" spans="1:10">
      <c r="E265">
        <f t="shared" si="21"/>
        <v>263</v>
      </c>
      <c r="F265" s="61" t="str">
        <f>IF(FT!A265&lt;&gt;"",FT!A265*10,"")</f>
        <v/>
      </c>
      <c r="G265" s="61" t="str">
        <f>IF(FT!B265&lt;&gt;"",FT!B265*100,"")</f>
        <v/>
      </c>
      <c r="H265" s="61" t="str">
        <f t="shared" si="20"/>
        <v/>
      </c>
      <c r="I265" t="str">
        <f>IF(FT!B265&lt;&gt;"",FT!E265,"")</f>
        <v/>
      </c>
      <c r="J265" t="str">
        <f>IF(FT!B265&lt;&gt;"",FT!C265,"")</f>
        <v/>
      </c>
    </row>
    <row r="266" spans="1:10">
      <c r="E266">
        <f t="shared" si="21"/>
        <v>264</v>
      </c>
      <c r="F266" s="61" t="str">
        <f>IF(FT!A266&lt;&gt;"",FT!A266*10,"")</f>
        <v/>
      </c>
      <c r="G266" s="61" t="str">
        <f>IF(FT!B266&lt;&gt;"",FT!B266*100,"")</f>
        <v/>
      </c>
      <c r="H266" s="61" t="str">
        <f t="shared" si="20"/>
        <v/>
      </c>
      <c r="I266" t="str">
        <f>IF(FT!B266&lt;&gt;"",FT!E266,"")</f>
        <v/>
      </c>
      <c r="J266" t="str">
        <f>IF(FT!B266&lt;&gt;"",FT!C266,"")</f>
        <v/>
      </c>
    </row>
    <row r="267" spans="1:10">
      <c r="E267">
        <f t="shared" si="21"/>
        <v>265</v>
      </c>
      <c r="F267" s="61" t="str">
        <f>IF(FT!A267&lt;&gt;"",FT!A267*10,"")</f>
        <v/>
      </c>
      <c r="G267" s="61" t="str">
        <f>IF(FT!B267&lt;&gt;"",FT!B267*100,"")</f>
        <v/>
      </c>
      <c r="H267" s="61" t="str">
        <f t="shared" si="20"/>
        <v/>
      </c>
      <c r="I267" t="str">
        <f>IF(FT!B267&lt;&gt;"",FT!E267,"")</f>
        <v/>
      </c>
      <c r="J267" t="str">
        <f>IF(FT!B267&lt;&gt;"",FT!C267,"")</f>
        <v/>
      </c>
    </row>
    <row r="268" spans="1:10">
      <c r="E268">
        <f t="shared" si="21"/>
        <v>266</v>
      </c>
      <c r="F268" s="61" t="str">
        <f>IF(FT!A268&lt;&gt;"",FT!A268*10,"")</f>
        <v/>
      </c>
      <c r="G268" s="61" t="str">
        <f>IF(FT!B268&lt;&gt;"",FT!B268*100,"")</f>
        <v/>
      </c>
      <c r="H268" s="61" t="str">
        <f t="shared" si="20"/>
        <v/>
      </c>
      <c r="I268" t="str">
        <f>IF(FT!B268&lt;&gt;"",FT!E268,"")</f>
        <v/>
      </c>
      <c r="J268" t="str">
        <f>IF(FT!B268&lt;&gt;"",FT!C268,"")</f>
        <v/>
      </c>
    </row>
    <row r="269" spans="1:10">
      <c r="E269">
        <f t="shared" si="21"/>
        <v>267</v>
      </c>
      <c r="F269" s="61" t="str">
        <f>IF(FT!A269&lt;&gt;"",FT!A269*10,"")</f>
        <v/>
      </c>
      <c r="G269" s="61" t="str">
        <f>IF(FT!B269&lt;&gt;"",FT!B269*100,"")</f>
        <v/>
      </c>
      <c r="H269" s="61" t="str">
        <f t="shared" si="20"/>
        <v/>
      </c>
      <c r="I269" t="str">
        <f>IF(FT!B269&lt;&gt;"",FT!E269,"")</f>
        <v/>
      </c>
      <c r="J269" t="str">
        <f>IF(FT!B269&lt;&gt;"",FT!C269,"")</f>
        <v/>
      </c>
    </row>
    <row r="270" spans="1:10">
      <c r="E270">
        <f t="shared" si="21"/>
        <v>268</v>
      </c>
      <c r="F270" s="61" t="str">
        <f>IF(FT!A270&lt;&gt;"",FT!A270*10,"")</f>
        <v/>
      </c>
      <c r="G270" s="61" t="str">
        <f>IF(FT!B270&lt;&gt;"",FT!B270*100,"")</f>
        <v/>
      </c>
      <c r="H270" s="61" t="str">
        <f t="shared" si="20"/>
        <v/>
      </c>
      <c r="I270" t="str">
        <f>IF(FT!B270&lt;&gt;"",FT!E270,"")</f>
        <v/>
      </c>
      <c r="J270" t="str">
        <f>IF(FT!B270&lt;&gt;"",FT!C270,"")</f>
        <v/>
      </c>
    </row>
    <row r="271" spans="1:10">
      <c r="E271">
        <f t="shared" si="21"/>
        <v>269</v>
      </c>
      <c r="F271" s="61" t="str">
        <f>IF(FT!A271&lt;&gt;"",FT!A271*10,"")</f>
        <v/>
      </c>
      <c r="G271" s="61" t="str">
        <f>IF(FT!B271&lt;&gt;"",FT!B271*100,"")</f>
        <v/>
      </c>
      <c r="H271" s="61" t="str">
        <f t="shared" si="20"/>
        <v/>
      </c>
      <c r="I271" t="str">
        <f>IF(FT!B271&lt;&gt;"",FT!E271,"")</f>
        <v/>
      </c>
      <c r="J271" t="str">
        <f>IF(FT!B271&lt;&gt;"",FT!C271,"")</f>
        <v/>
      </c>
    </row>
    <row r="272" spans="1:10">
      <c r="E272">
        <f t="shared" si="21"/>
        <v>270</v>
      </c>
      <c r="F272" s="61" t="str">
        <f>IF(FT!A272&lt;&gt;"",FT!A272*10,"")</f>
        <v/>
      </c>
      <c r="G272" s="61" t="str">
        <f>IF(FT!B272&lt;&gt;"",FT!B272*100,"")</f>
        <v/>
      </c>
      <c r="H272" s="61" t="str">
        <f t="shared" si="20"/>
        <v/>
      </c>
      <c r="I272" t="str">
        <f>IF(FT!B272&lt;&gt;"",FT!E272,"")</f>
        <v/>
      </c>
      <c r="J272" t="str">
        <f>IF(FT!B272&lt;&gt;"",FT!C272,"")</f>
        <v/>
      </c>
    </row>
    <row r="273" spans="5:10">
      <c r="E273">
        <f t="shared" si="21"/>
        <v>271</v>
      </c>
      <c r="F273" s="61" t="str">
        <f>IF(FT!A273&lt;&gt;"",FT!A273*10,"")</f>
        <v/>
      </c>
      <c r="G273" s="61" t="str">
        <f>IF(FT!B273&lt;&gt;"",FT!B273*100,"")</f>
        <v/>
      </c>
      <c r="H273" s="61" t="str">
        <f t="shared" si="20"/>
        <v/>
      </c>
      <c r="I273" t="str">
        <f>IF(FT!B273&lt;&gt;"",FT!E273,"")</f>
        <v/>
      </c>
      <c r="J273" t="str">
        <f>IF(FT!B273&lt;&gt;"",FT!C273,"")</f>
        <v/>
      </c>
    </row>
    <row r="274" spans="5:10">
      <c r="E274">
        <f t="shared" si="21"/>
        <v>272</v>
      </c>
      <c r="F274" s="61" t="str">
        <f>IF(FT!A274&lt;&gt;"",FT!A274*10,"")</f>
        <v/>
      </c>
      <c r="G274" s="61" t="str">
        <f>IF(FT!B274&lt;&gt;"",FT!B274*100,"")</f>
        <v/>
      </c>
      <c r="H274" s="61" t="str">
        <f t="shared" si="20"/>
        <v/>
      </c>
      <c r="I274" t="str">
        <f>IF(FT!B274&lt;&gt;"",FT!E274,"")</f>
        <v/>
      </c>
      <c r="J274" t="str">
        <f>IF(FT!B274&lt;&gt;"",FT!C274,"")</f>
        <v/>
      </c>
    </row>
    <row r="275" spans="5:10">
      <c r="E275">
        <f t="shared" si="21"/>
        <v>273</v>
      </c>
      <c r="F275" s="61" t="str">
        <f>IF(FT!A275&lt;&gt;"",FT!A275*10,"")</f>
        <v/>
      </c>
      <c r="G275" s="61" t="str">
        <f>IF(FT!B275&lt;&gt;"",FT!B275*100,"")</f>
        <v/>
      </c>
      <c r="H275" s="61" t="str">
        <f t="shared" si="20"/>
        <v/>
      </c>
      <c r="I275" t="str">
        <f>IF(FT!B275&lt;&gt;"",FT!E275,"")</f>
        <v/>
      </c>
      <c r="J275" t="str">
        <f>IF(FT!B275&lt;&gt;"",FT!C275,"")</f>
        <v/>
      </c>
    </row>
    <row r="276" spans="5:10">
      <c r="E276">
        <f t="shared" si="21"/>
        <v>274</v>
      </c>
      <c r="F276" s="61" t="str">
        <f>IF(FT!A276&lt;&gt;"",FT!A276*10,"")</f>
        <v/>
      </c>
      <c r="G276" s="61" t="str">
        <f>IF(FT!B276&lt;&gt;"",FT!B276*100,"")</f>
        <v/>
      </c>
      <c r="H276" s="61" t="str">
        <f t="shared" si="20"/>
        <v/>
      </c>
      <c r="I276" t="str">
        <f>IF(FT!B276&lt;&gt;"",FT!E276,"")</f>
        <v/>
      </c>
      <c r="J276" t="str">
        <f>IF(FT!B276&lt;&gt;"",FT!C276,"")</f>
        <v/>
      </c>
    </row>
    <row r="277" spans="5:10">
      <c r="E277">
        <f t="shared" si="21"/>
        <v>275</v>
      </c>
      <c r="F277" s="61" t="str">
        <f>IF(FT!A277&lt;&gt;"",FT!A277*10,"")</f>
        <v/>
      </c>
      <c r="G277" s="61" t="str">
        <f>IF(FT!B277&lt;&gt;"",FT!B277*100,"")</f>
        <v/>
      </c>
      <c r="H277" s="61" t="str">
        <f t="shared" si="20"/>
        <v/>
      </c>
      <c r="I277" t="str">
        <f>IF(FT!B277&lt;&gt;"",FT!E277,"")</f>
        <v/>
      </c>
      <c r="J277" t="str">
        <f>IF(FT!B277&lt;&gt;"",FT!C277,"")</f>
        <v/>
      </c>
    </row>
    <row r="278" spans="5:10">
      <c r="E278">
        <f t="shared" si="21"/>
        <v>276</v>
      </c>
      <c r="F278" s="61" t="str">
        <f>IF(FT!A278&lt;&gt;"",FT!A278*10,"")</f>
        <v/>
      </c>
      <c r="G278" s="61" t="str">
        <f>IF(FT!B278&lt;&gt;"",FT!B278*100,"")</f>
        <v/>
      </c>
      <c r="H278" s="61" t="str">
        <f t="shared" si="20"/>
        <v/>
      </c>
      <c r="I278" t="str">
        <f>IF(FT!B278&lt;&gt;"",FT!E278,"")</f>
        <v/>
      </c>
      <c r="J278" t="str">
        <f>IF(FT!B278&lt;&gt;"",FT!C278,"")</f>
        <v/>
      </c>
    </row>
    <row r="279" spans="5:10">
      <c r="E279">
        <f t="shared" si="21"/>
        <v>277</v>
      </c>
      <c r="F279" s="61" t="str">
        <f>IF(FT!A279&lt;&gt;"",FT!A279*10,"")</f>
        <v/>
      </c>
      <c r="G279" s="61" t="str">
        <f>IF(FT!B279&lt;&gt;"",FT!B279*100,"")</f>
        <v/>
      </c>
      <c r="H279" s="61" t="str">
        <f t="shared" si="20"/>
        <v/>
      </c>
      <c r="I279" t="str">
        <f>IF(FT!B279&lt;&gt;"",FT!E279,"")</f>
        <v/>
      </c>
      <c r="J279" t="str">
        <f>IF(FT!B279&lt;&gt;"",FT!C279,"")</f>
        <v/>
      </c>
    </row>
    <row r="280" spans="5:10">
      <c r="E280">
        <f t="shared" si="21"/>
        <v>278</v>
      </c>
      <c r="F280" s="61" t="str">
        <f>IF(FT!A280&lt;&gt;"",FT!A280*10,"")</f>
        <v/>
      </c>
      <c r="G280" s="61" t="str">
        <f>IF(FT!B280&lt;&gt;"",FT!B280*100,"")</f>
        <v/>
      </c>
      <c r="H280" s="61" t="str">
        <f t="shared" si="20"/>
        <v/>
      </c>
      <c r="I280" t="str">
        <f>IF(FT!B280&lt;&gt;"",FT!E280,"")</f>
        <v/>
      </c>
      <c r="J280" t="str">
        <f>IF(FT!B280&lt;&gt;"",FT!C280,"")</f>
        <v/>
      </c>
    </row>
    <row r="281" spans="5:10">
      <c r="E281">
        <f t="shared" si="21"/>
        <v>279</v>
      </c>
      <c r="F281" s="61" t="str">
        <f>IF(FT!A281&lt;&gt;"",FT!A281*10,"")</f>
        <v/>
      </c>
      <c r="G281" s="61" t="str">
        <f>IF(FT!B281&lt;&gt;"",FT!B281*100,"")</f>
        <v/>
      </c>
      <c r="H281" s="61" t="str">
        <f t="shared" si="20"/>
        <v/>
      </c>
      <c r="I281" t="str">
        <f>IF(FT!B281&lt;&gt;"",FT!E281,"")</f>
        <v/>
      </c>
      <c r="J281" t="str">
        <f>IF(FT!B281&lt;&gt;"",FT!C281,"")</f>
        <v/>
      </c>
    </row>
    <row r="282" spans="5:10">
      <c r="E282">
        <f t="shared" si="21"/>
        <v>280</v>
      </c>
      <c r="F282" s="61" t="str">
        <f>IF(FT!A282&lt;&gt;"",FT!A282*10,"")</f>
        <v/>
      </c>
      <c r="G282" s="61" t="str">
        <f>IF(FT!B282&lt;&gt;"",FT!B282*100,"")</f>
        <v/>
      </c>
      <c r="H282" s="61" t="str">
        <f t="shared" si="20"/>
        <v/>
      </c>
      <c r="I282" t="str">
        <f>IF(FT!B282&lt;&gt;"",FT!E282,"")</f>
        <v/>
      </c>
      <c r="J282" t="str">
        <f>IF(FT!B282&lt;&gt;"",FT!C282,"")</f>
        <v/>
      </c>
    </row>
    <row r="283" spans="5:10">
      <c r="E283">
        <f t="shared" si="21"/>
        <v>281</v>
      </c>
      <c r="F283" s="61" t="str">
        <f>IF(FT!A283&lt;&gt;"",FT!A283*10,"")</f>
        <v/>
      </c>
      <c r="G283" s="61" t="str">
        <f>IF(FT!B283&lt;&gt;"",FT!B283*100,"")</f>
        <v/>
      </c>
      <c r="H283" s="61" t="str">
        <f t="shared" si="20"/>
        <v/>
      </c>
      <c r="I283" t="str">
        <f>IF(FT!B283&lt;&gt;"",FT!E283,"")</f>
        <v/>
      </c>
      <c r="J283" t="str">
        <f>IF(FT!B283&lt;&gt;"",FT!C283,"")</f>
        <v/>
      </c>
    </row>
    <row r="284" spans="5:10">
      <c r="E284">
        <f t="shared" si="21"/>
        <v>282</v>
      </c>
      <c r="F284" s="61" t="str">
        <f>IF(FT!A284&lt;&gt;"",FT!A284*10,"")</f>
        <v/>
      </c>
      <c r="G284" s="61" t="str">
        <f>IF(FT!B284&lt;&gt;"",FT!B284*100,"")</f>
        <v/>
      </c>
      <c r="H284" s="61" t="str">
        <f t="shared" si="20"/>
        <v/>
      </c>
      <c r="I284" t="str">
        <f>IF(FT!B284&lt;&gt;"",FT!E284,"")</f>
        <v/>
      </c>
      <c r="J284" t="str">
        <f>IF(FT!B284&lt;&gt;"",FT!C284,"")</f>
        <v/>
      </c>
    </row>
    <row r="285" spans="5:10">
      <c r="E285">
        <f t="shared" si="21"/>
        <v>283</v>
      </c>
      <c r="F285" s="61" t="str">
        <f>IF(FT!A285&lt;&gt;"",FT!A285*10,"")</f>
        <v/>
      </c>
      <c r="G285" s="61" t="str">
        <f>IF(FT!B285&lt;&gt;"",FT!B285*100,"")</f>
        <v/>
      </c>
      <c r="H285" s="61" t="str">
        <f t="shared" si="20"/>
        <v/>
      </c>
      <c r="I285" t="str">
        <f>IF(FT!B285&lt;&gt;"",FT!E285,"")</f>
        <v/>
      </c>
      <c r="J285" t="str">
        <f>IF(FT!B285&lt;&gt;"",FT!C285,"")</f>
        <v/>
      </c>
    </row>
    <row r="286" spans="5:10">
      <c r="E286">
        <f t="shared" si="21"/>
        <v>284</v>
      </c>
      <c r="F286" s="61" t="str">
        <f>IF(FT!A286&lt;&gt;"",FT!A286*10,"")</f>
        <v/>
      </c>
      <c r="G286" s="61" t="str">
        <f>IF(FT!B286&lt;&gt;"",FT!B286*100,"")</f>
        <v/>
      </c>
      <c r="H286" s="61" t="str">
        <f t="shared" si="20"/>
        <v/>
      </c>
      <c r="I286" t="str">
        <f>IF(FT!B286&lt;&gt;"",FT!E286,"")</f>
        <v/>
      </c>
      <c r="J286" t="str">
        <f>IF(FT!B286&lt;&gt;"",FT!C286,"")</f>
        <v/>
      </c>
    </row>
    <row r="287" spans="5:10">
      <c r="E287">
        <f t="shared" si="21"/>
        <v>285</v>
      </c>
      <c r="F287" s="61" t="str">
        <f>IF(FT!A287&lt;&gt;"",FT!A287*10,"")</f>
        <v/>
      </c>
      <c r="G287" s="61" t="str">
        <f>IF(FT!B287&lt;&gt;"",FT!B287*100,"")</f>
        <v/>
      </c>
      <c r="H287" s="61" t="str">
        <f t="shared" si="20"/>
        <v/>
      </c>
      <c r="I287" t="str">
        <f>IF(FT!B287&lt;&gt;"",FT!E287,"")</f>
        <v/>
      </c>
      <c r="J287" t="str">
        <f>IF(FT!B287&lt;&gt;"",FT!C287,"")</f>
        <v/>
      </c>
    </row>
    <row r="288" spans="5:10">
      <c r="E288">
        <f t="shared" si="21"/>
        <v>286</v>
      </c>
      <c r="F288" s="61" t="str">
        <f>IF(FT!A288&lt;&gt;"",FT!A288*10,"")</f>
        <v/>
      </c>
      <c r="G288" s="61" t="str">
        <f>IF(FT!B288&lt;&gt;"",FT!B288*100,"")</f>
        <v/>
      </c>
      <c r="H288" s="61" t="str">
        <f t="shared" si="20"/>
        <v/>
      </c>
      <c r="I288" t="str">
        <f>IF(FT!B288&lt;&gt;"",FT!E288,"")</f>
        <v/>
      </c>
      <c r="J288" t="str">
        <f>IF(FT!B288&lt;&gt;"",FT!C288,"")</f>
        <v/>
      </c>
    </row>
    <row r="289" spans="5:10">
      <c r="E289">
        <f t="shared" si="21"/>
        <v>287</v>
      </c>
      <c r="F289" s="61" t="str">
        <f>IF(FT!A289&lt;&gt;"",FT!A289*10,"")</f>
        <v/>
      </c>
      <c r="G289" s="61" t="str">
        <f>IF(FT!B289&lt;&gt;"",FT!B289*100,"")</f>
        <v/>
      </c>
      <c r="H289" s="61" t="str">
        <f t="shared" si="20"/>
        <v/>
      </c>
      <c r="I289" t="str">
        <f>IF(FT!B289&lt;&gt;"",FT!E289,"")</f>
        <v/>
      </c>
      <c r="J289" t="str">
        <f>IF(FT!B289&lt;&gt;"",FT!C289,"")</f>
        <v/>
      </c>
    </row>
    <row r="290" spans="5:10">
      <c r="E290">
        <f t="shared" si="21"/>
        <v>288</v>
      </c>
      <c r="F290" s="61" t="str">
        <f>IF(FT!A290&lt;&gt;"",FT!A290*10,"")</f>
        <v/>
      </c>
      <c r="G290" s="61" t="str">
        <f>IF(FT!B290&lt;&gt;"",FT!B290*100,"")</f>
        <v/>
      </c>
      <c r="H290" s="61" t="str">
        <f t="shared" si="20"/>
        <v/>
      </c>
      <c r="I290" t="str">
        <f>IF(FT!B290&lt;&gt;"",FT!E290,"")</f>
        <v/>
      </c>
      <c r="J290" t="str">
        <f>IF(FT!B290&lt;&gt;"",FT!C290,"")</f>
        <v/>
      </c>
    </row>
    <row r="291" spans="5:10">
      <c r="E291">
        <f t="shared" si="21"/>
        <v>289</v>
      </c>
      <c r="F291" s="61" t="str">
        <f>IF(FT!A291&lt;&gt;"",FT!A291*10,"")</f>
        <v/>
      </c>
      <c r="G291" s="61" t="str">
        <f>IF(FT!B291&lt;&gt;"",FT!B291*100,"")</f>
        <v/>
      </c>
      <c r="H291" s="61" t="str">
        <f t="shared" si="20"/>
        <v/>
      </c>
      <c r="I291" t="str">
        <f>IF(FT!B291&lt;&gt;"",FT!E291,"")</f>
        <v/>
      </c>
      <c r="J291" t="str">
        <f>IF(FT!B291&lt;&gt;"",FT!C291,"")</f>
        <v/>
      </c>
    </row>
    <row r="292" spans="5:10">
      <c r="E292">
        <f t="shared" si="21"/>
        <v>290</v>
      </c>
      <c r="F292" s="61" t="str">
        <f>IF(FT!A292&lt;&gt;"",FT!A292*10,"")</f>
        <v/>
      </c>
      <c r="G292" s="61" t="str">
        <f>IF(FT!B292&lt;&gt;"",FT!B292*100,"")</f>
        <v/>
      </c>
      <c r="H292" s="61" t="str">
        <f t="shared" si="20"/>
        <v/>
      </c>
      <c r="I292" t="str">
        <f>IF(FT!B292&lt;&gt;"",FT!E292,"")</f>
        <v/>
      </c>
      <c r="J292" t="str">
        <f>IF(FT!B292&lt;&gt;"",FT!C292,"")</f>
        <v/>
      </c>
    </row>
    <row r="293" spans="5:10">
      <c r="E293">
        <f t="shared" si="21"/>
        <v>291</v>
      </c>
      <c r="F293" s="61" t="str">
        <f>IF(FT!A293&lt;&gt;"",FT!A293*10,"")</f>
        <v/>
      </c>
      <c r="G293" s="61" t="str">
        <f>IF(FT!B293&lt;&gt;"",FT!B293*100,"")</f>
        <v/>
      </c>
      <c r="H293" s="61" t="str">
        <f t="shared" si="20"/>
        <v/>
      </c>
      <c r="I293" t="str">
        <f>IF(FT!B293&lt;&gt;"",FT!E293,"")</f>
        <v/>
      </c>
      <c r="J293" t="str">
        <f>IF(FT!B293&lt;&gt;"",FT!C293,"")</f>
        <v/>
      </c>
    </row>
    <row r="294" spans="5:10">
      <c r="E294">
        <f t="shared" si="21"/>
        <v>292</v>
      </c>
      <c r="F294" s="61" t="str">
        <f>IF(FT!A294&lt;&gt;"",FT!A294*10,"")</f>
        <v/>
      </c>
      <c r="G294" s="61" t="str">
        <f>IF(FT!B294&lt;&gt;"",FT!B294*100,"")</f>
        <v/>
      </c>
      <c r="H294" s="61" t="str">
        <f t="shared" si="20"/>
        <v/>
      </c>
      <c r="I294" t="str">
        <f>IF(FT!B294&lt;&gt;"",FT!E294,"")</f>
        <v/>
      </c>
      <c r="J294" t="str">
        <f>IF(FT!B294&lt;&gt;"",FT!C294,"")</f>
        <v/>
      </c>
    </row>
    <row r="295" spans="5:10">
      <c r="E295">
        <f t="shared" si="21"/>
        <v>293</v>
      </c>
      <c r="F295" s="61" t="str">
        <f>IF(FT!A295&lt;&gt;"",FT!A295*10,"")</f>
        <v/>
      </c>
      <c r="G295" s="61" t="str">
        <f>IF(FT!B295&lt;&gt;"",FT!B295*100,"")</f>
        <v/>
      </c>
      <c r="H295" s="61" t="str">
        <f t="shared" si="20"/>
        <v/>
      </c>
      <c r="I295" t="str">
        <f>IF(FT!B295&lt;&gt;"",FT!E295,"")</f>
        <v/>
      </c>
      <c r="J295" t="str">
        <f>IF(FT!B295&lt;&gt;"",FT!C295,"")</f>
        <v/>
      </c>
    </row>
    <row r="296" spans="5:10">
      <c r="E296">
        <f t="shared" si="21"/>
        <v>294</v>
      </c>
      <c r="F296" s="61" t="str">
        <f>IF(FT!A296&lt;&gt;"",FT!A296*10,"")</f>
        <v/>
      </c>
      <c r="G296" s="61" t="str">
        <f>IF(FT!B296&lt;&gt;"",FT!B296*100,"")</f>
        <v/>
      </c>
      <c r="H296" s="61" t="str">
        <f t="shared" si="20"/>
        <v/>
      </c>
      <c r="I296" t="str">
        <f>IF(FT!B296&lt;&gt;"",FT!E296,"")</f>
        <v/>
      </c>
      <c r="J296" t="str">
        <f>IF(FT!B296&lt;&gt;"",FT!C296,"")</f>
        <v/>
      </c>
    </row>
    <row r="297" spans="5:10">
      <c r="E297">
        <f t="shared" si="21"/>
        <v>295</v>
      </c>
      <c r="F297" s="61" t="str">
        <f>IF(FT!A297&lt;&gt;"",FT!A297*10,"")</f>
        <v/>
      </c>
      <c r="G297" s="61" t="str">
        <f>IF(FT!B297&lt;&gt;"",FT!B297*100,"")</f>
        <v/>
      </c>
      <c r="H297" s="61" t="str">
        <f t="shared" si="20"/>
        <v/>
      </c>
      <c r="I297" t="str">
        <f>IF(FT!B297&lt;&gt;"",FT!E297,"")</f>
        <v/>
      </c>
      <c r="J297" t="str">
        <f>IF(FT!B297&lt;&gt;"",FT!C297,"")</f>
        <v/>
      </c>
    </row>
    <row r="298" spans="5:10">
      <c r="E298">
        <f t="shared" si="21"/>
        <v>296</v>
      </c>
      <c r="F298" s="61" t="str">
        <f>IF(FT!A298&lt;&gt;"",FT!A298*10,"")</f>
        <v/>
      </c>
      <c r="G298" s="61" t="str">
        <f>IF(FT!B298&lt;&gt;"",FT!B298*100,"")</f>
        <v/>
      </c>
      <c r="H298" s="61" t="str">
        <f t="shared" si="20"/>
        <v/>
      </c>
      <c r="I298" t="str">
        <f>IF(FT!B298&lt;&gt;"",FT!E298,"")</f>
        <v/>
      </c>
      <c r="J298" t="str">
        <f>IF(FT!B298&lt;&gt;"",FT!C298,"")</f>
        <v/>
      </c>
    </row>
    <row r="299" spans="5:10">
      <c r="E299">
        <f t="shared" si="21"/>
        <v>297</v>
      </c>
      <c r="F299" s="61" t="str">
        <f>IF(FT!A299&lt;&gt;"",FT!A299*10,"")</f>
        <v/>
      </c>
      <c r="G299" s="61" t="str">
        <f>IF(FT!B299&lt;&gt;"",FT!B299*100,"")</f>
        <v/>
      </c>
      <c r="H299" s="61" t="str">
        <f t="shared" si="20"/>
        <v/>
      </c>
      <c r="I299" t="str">
        <f>IF(FT!B299&lt;&gt;"",FT!E299,"")</f>
        <v/>
      </c>
      <c r="J299" t="str">
        <f>IF(FT!B299&lt;&gt;"",FT!C299,"")</f>
        <v/>
      </c>
    </row>
    <row r="300" spans="5:10">
      <c r="E300">
        <f t="shared" si="21"/>
        <v>298</v>
      </c>
      <c r="F300" s="61" t="str">
        <f>IF(FT!A300&lt;&gt;"",FT!A300*10,"")</f>
        <v/>
      </c>
      <c r="G300" s="61" t="str">
        <f>IF(FT!B300&lt;&gt;"",FT!B300*100,"")</f>
        <v/>
      </c>
      <c r="H300" s="61" t="str">
        <f t="shared" si="20"/>
        <v/>
      </c>
      <c r="I300" t="str">
        <f>IF(FT!B300&lt;&gt;"",FT!E300,"")</f>
        <v/>
      </c>
      <c r="J300" t="str">
        <f>IF(FT!B300&lt;&gt;"",FT!C300,"")</f>
        <v/>
      </c>
    </row>
    <row r="301" spans="5:10">
      <c r="E301">
        <f t="shared" si="21"/>
        <v>299</v>
      </c>
      <c r="F301" s="61" t="str">
        <f>IF(FT!A301&lt;&gt;"",FT!A301*10,"")</f>
        <v/>
      </c>
      <c r="G301" s="61" t="str">
        <f>IF(FT!B301&lt;&gt;"",FT!B301*100,"")</f>
        <v/>
      </c>
      <c r="H301" s="61" t="str">
        <f t="shared" si="20"/>
        <v/>
      </c>
      <c r="I301" t="str">
        <f>IF(FT!B301&lt;&gt;"",FT!E301,"")</f>
        <v/>
      </c>
      <c r="J301" t="str">
        <f>IF(FT!B301&lt;&gt;"",FT!C301,"")</f>
        <v/>
      </c>
    </row>
    <row r="302" spans="5:10">
      <c r="E302">
        <f t="shared" si="21"/>
        <v>300</v>
      </c>
      <c r="F302" s="61" t="str">
        <f>IF(FT!A302&lt;&gt;"",FT!A302*10,"")</f>
        <v/>
      </c>
      <c r="G302" s="61" t="str">
        <f>IF(FT!B302&lt;&gt;"",FT!B302*100,"")</f>
        <v/>
      </c>
      <c r="H302" s="61" t="str">
        <f t="shared" si="20"/>
        <v/>
      </c>
      <c r="I302" t="str">
        <f>IF(FT!B302&lt;&gt;"",FT!E302,"")</f>
        <v/>
      </c>
      <c r="J302" t="str">
        <f>IF(FT!B302&lt;&gt;"",FT!C302,"")</f>
        <v/>
      </c>
    </row>
    <row r="303" spans="5:10">
      <c r="E303">
        <f t="shared" si="21"/>
        <v>301</v>
      </c>
      <c r="F303" s="61" t="str">
        <f>IF(FT!A303&lt;&gt;"",FT!A303*10,"")</f>
        <v/>
      </c>
      <c r="G303" s="61" t="str">
        <f>IF(FT!B303&lt;&gt;"",FT!B303*100,"")</f>
        <v/>
      </c>
      <c r="H303" s="61" t="str">
        <f t="shared" si="20"/>
        <v/>
      </c>
      <c r="I303" t="str">
        <f>IF(FT!B303&lt;&gt;"",FT!E303,"")</f>
        <v/>
      </c>
      <c r="J303" t="str">
        <f>IF(FT!B303&lt;&gt;"",FT!C303,"")</f>
        <v/>
      </c>
    </row>
    <row r="304" spans="5:10">
      <c r="E304">
        <f t="shared" si="21"/>
        <v>302</v>
      </c>
      <c r="F304" s="61" t="str">
        <f>IF(FT!A304&lt;&gt;"",FT!A304*10,"")</f>
        <v/>
      </c>
      <c r="G304" s="61" t="str">
        <f>IF(FT!B304&lt;&gt;"",FT!B304*100,"")</f>
        <v/>
      </c>
      <c r="H304" s="61" t="str">
        <f t="shared" si="20"/>
        <v/>
      </c>
      <c r="I304" t="str">
        <f>IF(FT!B304&lt;&gt;"",FT!E304,"")</f>
        <v/>
      </c>
      <c r="J304" t="str">
        <f>IF(FT!B304&lt;&gt;"",FT!C304,"")</f>
        <v/>
      </c>
    </row>
    <row r="305" spans="5:10">
      <c r="E305">
        <f t="shared" si="21"/>
        <v>303</v>
      </c>
      <c r="F305" s="61" t="str">
        <f>IF(FT!A305&lt;&gt;"",FT!A305*10,"")</f>
        <v/>
      </c>
      <c r="G305" s="61" t="str">
        <f>IF(FT!B305&lt;&gt;"",FT!B305*100,"")</f>
        <v/>
      </c>
      <c r="H305" s="61" t="str">
        <f t="shared" si="20"/>
        <v/>
      </c>
      <c r="I305" t="str">
        <f>IF(FT!B305&lt;&gt;"",FT!E305,"")</f>
        <v/>
      </c>
      <c r="J305" t="str">
        <f>IF(FT!B305&lt;&gt;"",FT!C305,"")</f>
        <v/>
      </c>
    </row>
    <row r="306" spans="5:10">
      <c r="E306">
        <f t="shared" si="21"/>
        <v>304</v>
      </c>
      <c r="F306" s="61" t="str">
        <f>IF(FT!A306&lt;&gt;"",FT!A306*10,"")</f>
        <v/>
      </c>
      <c r="G306" s="61" t="str">
        <f>IF(FT!B306&lt;&gt;"",FT!B306*100,"")</f>
        <v/>
      </c>
      <c r="H306" s="61" t="str">
        <f t="shared" si="20"/>
        <v/>
      </c>
      <c r="I306" t="str">
        <f>IF(FT!B306&lt;&gt;"",FT!E306,"")</f>
        <v/>
      </c>
      <c r="J306" t="str">
        <f>IF(FT!B306&lt;&gt;"",FT!C306,"")</f>
        <v/>
      </c>
    </row>
    <row r="307" spans="5:10">
      <c r="E307">
        <f t="shared" si="21"/>
        <v>305</v>
      </c>
      <c r="F307" s="61" t="str">
        <f>IF(FT!A307&lt;&gt;"",FT!A307*10,"")</f>
        <v/>
      </c>
      <c r="G307" s="61" t="str">
        <f>IF(FT!B307&lt;&gt;"",FT!B307*100,"")</f>
        <v/>
      </c>
      <c r="H307" s="61" t="str">
        <f t="shared" si="20"/>
        <v/>
      </c>
      <c r="I307" t="str">
        <f>IF(FT!B307&lt;&gt;"",FT!E307,"")</f>
        <v/>
      </c>
      <c r="J307" t="str">
        <f>IF(FT!B307&lt;&gt;"",FT!C307,"")</f>
        <v/>
      </c>
    </row>
    <row r="308" spans="5:10">
      <c r="E308">
        <f t="shared" si="21"/>
        <v>306</v>
      </c>
      <c r="F308" s="61" t="str">
        <f>IF(FT!A308&lt;&gt;"",FT!A308*10,"")</f>
        <v/>
      </c>
      <c r="G308" s="61" t="str">
        <f>IF(FT!B308&lt;&gt;"",FT!B308*100,"")</f>
        <v/>
      </c>
      <c r="H308" s="61" t="str">
        <f t="shared" si="20"/>
        <v/>
      </c>
      <c r="I308" t="str">
        <f>IF(FT!B308&lt;&gt;"",FT!E308,"")</f>
        <v/>
      </c>
      <c r="J308" t="str">
        <f>IF(FT!B308&lt;&gt;"",FT!C308,"")</f>
        <v/>
      </c>
    </row>
    <row r="309" spans="5:10">
      <c r="E309">
        <f t="shared" si="21"/>
        <v>307</v>
      </c>
      <c r="F309" s="61" t="str">
        <f>IF(FT!A309&lt;&gt;"",FT!A309*10,"")</f>
        <v/>
      </c>
      <c r="G309" s="61" t="str">
        <f>IF(FT!B309&lt;&gt;"",FT!B309*100,"")</f>
        <v/>
      </c>
      <c r="H309" s="61" t="str">
        <f t="shared" si="20"/>
        <v/>
      </c>
      <c r="I309" t="str">
        <f>IF(FT!B309&lt;&gt;"",FT!E309,"")</f>
        <v/>
      </c>
      <c r="J309" t="str">
        <f>IF(FT!B309&lt;&gt;"",FT!C309,"")</f>
        <v/>
      </c>
    </row>
    <row r="310" spans="5:10">
      <c r="E310">
        <f t="shared" si="21"/>
        <v>308</v>
      </c>
      <c r="F310" s="61" t="str">
        <f>IF(FT!A310&lt;&gt;"",FT!A310*10,"")</f>
        <v/>
      </c>
      <c r="G310" s="61" t="str">
        <f>IF(FT!B310&lt;&gt;"",FT!B310*100,"")</f>
        <v/>
      </c>
      <c r="H310" s="61" t="str">
        <f t="shared" si="20"/>
        <v/>
      </c>
      <c r="I310" t="str">
        <f>IF(FT!B310&lt;&gt;"",FT!E310,"")</f>
        <v/>
      </c>
      <c r="J310" t="str">
        <f>IF(FT!B310&lt;&gt;"",FT!C310,"")</f>
        <v/>
      </c>
    </row>
    <row r="311" spans="5:10">
      <c r="E311">
        <f t="shared" si="21"/>
        <v>309</v>
      </c>
      <c r="F311" s="61" t="str">
        <f>IF(FT!A311&lt;&gt;"",FT!A311*10,"")</f>
        <v/>
      </c>
      <c r="G311" s="61" t="str">
        <f>IF(FT!B311&lt;&gt;"",FT!B311*100,"")</f>
        <v/>
      </c>
      <c r="H311" s="61" t="str">
        <f t="shared" si="20"/>
        <v/>
      </c>
      <c r="I311" t="str">
        <f>IF(FT!B311&lt;&gt;"",FT!E311,"")</f>
        <v/>
      </c>
      <c r="J311" t="str">
        <f>IF(FT!B311&lt;&gt;"",FT!C311,"")</f>
        <v/>
      </c>
    </row>
    <row r="312" spans="5:10">
      <c r="E312">
        <f t="shared" si="21"/>
        <v>310</v>
      </c>
      <c r="F312" s="61" t="str">
        <f>IF(FT!A312&lt;&gt;"",FT!A312*10,"")</f>
        <v/>
      </c>
      <c r="G312" s="61" t="str">
        <f>IF(FT!B312&lt;&gt;"",FT!B312*100,"")</f>
        <v/>
      </c>
      <c r="H312" s="61" t="str">
        <f t="shared" si="20"/>
        <v/>
      </c>
      <c r="I312" t="str">
        <f>IF(FT!B312&lt;&gt;"",FT!E312,"")</f>
        <v/>
      </c>
      <c r="J312" t="str">
        <f>IF(FT!B312&lt;&gt;"",FT!C312,"")</f>
        <v/>
      </c>
    </row>
    <row r="313" spans="5:10">
      <c r="E313">
        <f t="shared" si="21"/>
        <v>311</v>
      </c>
      <c r="F313" s="61" t="str">
        <f>IF(FT!A313&lt;&gt;"",FT!A313*10,"")</f>
        <v/>
      </c>
      <c r="G313" s="61" t="str">
        <f>IF(FT!B313&lt;&gt;"",FT!B313*100,"")</f>
        <v/>
      </c>
      <c r="H313" s="61" t="str">
        <f t="shared" si="20"/>
        <v/>
      </c>
      <c r="I313" t="str">
        <f>IF(FT!B313&lt;&gt;"",FT!E313,"")</f>
        <v/>
      </c>
      <c r="J313" t="str">
        <f>IF(FT!B313&lt;&gt;"",FT!C313,"")</f>
        <v/>
      </c>
    </row>
    <row r="314" spans="5:10">
      <c r="E314">
        <f t="shared" si="21"/>
        <v>312</v>
      </c>
      <c r="F314" s="61" t="str">
        <f>IF(FT!A314&lt;&gt;"",FT!A314*10,"")</f>
        <v/>
      </c>
      <c r="G314" s="61" t="str">
        <f>IF(FT!B314&lt;&gt;"",FT!B314*100,"")</f>
        <v/>
      </c>
      <c r="H314" s="61" t="str">
        <f t="shared" si="20"/>
        <v/>
      </c>
      <c r="I314" t="str">
        <f>IF(FT!B314&lt;&gt;"",FT!E314,"")</f>
        <v/>
      </c>
      <c r="J314" t="str">
        <f>IF(FT!B314&lt;&gt;"",FT!C314,"")</f>
        <v/>
      </c>
    </row>
    <row r="315" spans="5:10">
      <c r="E315">
        <f t="shared" si="21"/>
        <v>313</v>
      </c>
      <c r="F315" s="61" t="str">
        <f>IF(FT!A315&lt;&gt;"",FT!A315*10,"")</f>
        <v/>
      </c>
      <c r="G315" s="61" t="str">
        <f>IF(FT!B315&lt;&gt;"",FT!B315*100,"")</f>
        <v/>
      </c>
      <c r="H315" s="61" t="str">
        <f t="shared" si="20"/>
        <v/>
      </c>
      <c r="I315" t="str">
        <f>IF(FT!B315&lt;&gt;"",FT!E315,"")</f>
        <v/>
      </c>
      <c r="J315" t="str">
        <f>IF(FT!B315&lt;&gt;"",FT!C315,"")</f>
        <v/>
      </c>
    </row>
    <row r="316" spans="5:10">
      <c r="E316">
        <f t="shared" si="21"/>
        <v>314</v>
      </c>
      <c r="F316" s="61" t="str">
        <f>IF(FT!A316&lt;&gt;"",FT!A316*10,"")</f>
        <v/>
      </c>
      <c r="G316" s="61" t="str">
        <f>IF(FT!B316&lt;&gt;"",FT!B316*100,"")</f>
        <v/>
      </c>
      <c r="H316" s="61" t="str">
        <f t="shared" si="20"/>
        <v/>
      </c>
      <c r="I316" t="str">
        <f>IF(FT!B316&lt;&gt;"",FT!E316,"")</f>
        <v/>
      </c>
      <c r="J316" t="str">
        <f>IF(FT!B316&lt;&gt;"",FT!C316,"")</f>
        <v/>
      </c>
    </row>
    <row r="317" spans="5:10">
      <c r="E317">
        <f t="shared" si="21"/>
        <v>315</v>
      </c>
      <c r="F317" s="61" t="str">
        <f>IF(FT!A317&lt;&gt;"",FT!A317*10,"")</f>
        <v/>
      </c>
      <c r="G317" s="61" t="str">
        <f>IF(FT!B317&lt;&gt;"",FT!B317*100,"")</f>
        <v/>
      </c>
      <c r="H317" s="61" t="str">
        <f t="shared" si="20"/>
        <v/>
      </c>
      <c r="I317" t="str">
        <f>IF(FT!B317&lt;&gt;"",FT!E317,"")</f>
        <v/>
      </c>
      <c r="J317" t="str">
        <f>IF(FT!B317&lt;&gt;"",FT!C317,"")</f>
        <v/>
      </c>
    </row>
    <row r="318" spans="5:10">
      <c r="E318">
        <f t="shared" si="21"/>
        <v>316</v>
      </c>
      <c r="F318" s="61" t="str">
        <f>IF(FT!A318&lt;&gt;"",FT!A318*10,"")</f>
        <v/>
      </c>
      <c r="G318" s="61" t="str">
        <f>IF(FT!B318&lt;&gt;"",FT!B318*100,"")</f>
        <v/>
      </c>
      <c r="H318" s="61" t="str">
        <f t="shared" si="20"/>
        <v/>
      </c>
      <c r="I318" t="str">
        <f>IF(FT!B318&lt;&gt;"",FT!E318,"")</f>
        <v/>
      </c>
      <c r="J318" t="str">
        <f>IF(FT!B318&lt;&gt;"",FT!C318,"")</f>
        <v/>
      </c>
    </row>
    <row r="319" spans="5:10">
      <c r="E319">
        <f t="shared" si="21"/>
        <v>317</v>
      </c>
      <c r="F319" s="61" t="str">
        <f>IF(FT!A319&lt;&gt;"",FT!A319*10,"")</f>
        <v/>
      </c>
      <c r="G319" s="61" t="str">
        <f>IF(FT!B319&lt;&gt;"",FT!B319*100,"")</f>
        <v/>
      </c>
      <c r="H319" s="61" t="str">
        <f t="shared" si="20"/>
        <v/>
      </c>
      <c r="I319" t="str">
        <f>IF(FT!B319&lt;&gt;"",FT!E319,"")</f>
        <v/>
      </c>
      <c r="J319" t="str">
        <f>IF(FT!B319&lt;&gt;"",FT!C319,"")</f>
        <v/>
      </c>
    </row>
    <row r="320" spans="5:10">
      <c r="E320">
        <f t="shared" si="21"/>
        <v>318</v>
      </c>
      <c r="F320" s="61" t="str">
        <f>IF(FT!A320&lt;&gt;"",FT!A320*10,"")</f>
        <v/>
      </c>
      <c r="G320" s="61" t="str">
        <f>IF(FT!B320&lt;&gt;"",FT!B320*100,"")</f>
        <v/>
      </c>
      <c r="H320" s="61" t="str">
        <f t="shared" si="20"/>
        <v/>
      </c>
      <c r="I320" t="str">
        <f>IF(FT!B320&lt;&gt;"",FT!E320,"")</f>
        <v/>
      </c>
      <c r="J320" t="str">
        <f>IF(FT!B320&lt;&gt;"",FT!C320,"")</f>
        <v/>
      </c>
    </row>
    <row r="321" spans="5:10">
      <c r="E321">
        <f t="shared" si="21"/>
        <v>319</v>
      </c>
      <c r="F321" s="61" t="str">
        <f>IF(FT!A321&lt;&gt;"",FT!A321*10,"")</f>
        <v/>
      </c>
      <c r="G321" s="61" t="str">
        <f>IF(FT!B321&lt;&gt;"",FT!B321*100,"")</f>
        <v/>
      </c>
      <c r="H321" s="61" t="str">
        <f t="shared" si="20"/>
        <v/>
      </c>
      <c r="I321" t="str">
        <f>IF(FT!B321&lt;&gt;"",FT!E321,"")</f>
        <v/>
      </c>
      <c r="J321" t="str">
        <f>IF(FT!B321&lt;&gt;"",FT!C321,"")</f>
        <v/>
      </c>
    </row>
    <row r="322" spans="5:10">
      <c r="E322">
        <f t="shared" si="21"/>
        <v>320</v>
      </c>
      <c r="F322" s="61" t="str">
        <f>IF(FT!A322&lt;&gt;"",FT!A322*10,"")</f>
        <v/>
      </c>
      <c r="G322" s="61" t="str">
        <f>IF(FT!B322&lt;&gt;"",FT!B322*100,"")</f>
        <v/>
      </c>
      <c r="H322" s="61" t="str">
        <f t="shared" si="20"/>
        <v/>
      </c>
      <c r="I322" t="str">
        <f>IF(FT!B322&lt;&gt;"",FT!E322,"")</f>
        <v/>
      </c>
      <c r="J322" t="str">
        <f>IF(FT!B322&lt;&gt;"",FT!C322,"")</f>
        <v/>
      </c>
    </row>
    <row r="323" spans="5:10">
      <c r="E323">
        <f t="shared" si="21"/>
        <v>321</v>
      </c>
      <c r="F323" s="61" t="str">
        <f>IF(FT!A323&lt;&gt;"",FT!A323*10,"")</f>
        <v/>
      </c>
      <c r="G323" s="61" t="str">
        <f>IF(FT!B323&lt;&gt;"",FT!B323*100,"")</f>
        <v/>
      </c>
      <c r="H323" s="61" t="str">
        <f t="shared" ref="H323:H386" si="22">(IF(F323&lt;&gt;"",1,""))</f>
        <v/>
      </c>
      <c r="I323" t="str">
        <f>IF(FT!B323&lt;&gt;"",FT!E323,"")</f>
        <v/>
      </c>
      <c r="J323" t="str">
        <f>IF(FT!B323&lt;&gt;"",FT!C323,"")</f>
        <v/>
      </c>
    </row>
    <row r="324" spans="5:10">
      <c r="E324">
        <f t="shared" ref="E324:E387" si="23">E323+1</f>
        <v>322</v>
      </c>
      <c r="F324" s="61" t="str">
        <f>IF(FT!A324&lt;&gt;"",FT!A324*10,"")</f>
        <v/>
      </c>
      <c r="G324" s="61" t="str">
        <f>IF(FT!B324&lt;&gt;"",FT!B324*100,"")</f>
        <v/>
      </c>
      <c r="H324" s="61" t="str">
        <f t="shared" si="22"/>
        <v/>
      </c>
      <c r="I324" t="str">
        <f>IF(FT!B324&lt;&gt;"",FT!E324,"")</f>
        <v/>
      </c>
      <c r="J324" t="str">
        <f>IF(FT!B324&lt;&gt;"",FT!C324,"")</f>
        <v/>
      </c>
    </row>
    <row r="325" spans="5:10">
      <c r="E325">
        <f t="shared" si="23"/>
        <v>323</v>
      </c>
      <c r="F325" s="61" t="str">
        <f>IF(FT!A325&lt;&gt;"",FT!A325*10,"")</f>
        <v/>
      </c>
      <c r="G325" s="61" t="str">
        <f>IF(FT!B325&lt;&gt;"",FT!B325*100,"")</f>
        <v/>
      </c>
      <c r="H325" s="61" t="str">
        <f t="shared" si="22"/>
        <v/>
      </c>
      <c r="I325" t="str">
        <f>IF(FT!B325&lt;&gt;"",FT!E325,"")</f>
        <v/>
      </c>
      <c r="J325" t="str">
        <f>IF(FT!B325&lt;&gt;"",FT!C325,"")</f>
        <v/>
      </c>
    </row>
    <row r="326" spans="5:10">
      <c r="E326">
        <f t="shared" si="23"/>
        <v>324</v>
      </c>
      <c r="F326" s="61" t="str">
        <f>IF(FT!A326&lt;&gt;"",FT!A326*10,"")</f>
        <v/>
      </c>
      <c r="G326" s="61" t="str">
        <f>IF(FT!B326&lt;&gt;"",FT!B326*100,"")</f>
        <v/>
      </c>
      <c r="H326" s="61" t="str">
        <f t="shared" si="22"/>
        <v/>
      </c>
      <c r="I326" t="str">
        <f>IF(FT!B326&lt;&gt;"",FT!E326,"")</f>
        <v/>
      </c>
      <c r="J326" t="str">
        <f>IF(FT!B326&lt;&gt;"",FT!C326,"")</f>
        <v/>
      </c>
    </row>
    <row r="327" spans="5:10">
      <c r="E327">
        <f t="shared" si="23"/>
        <v>325</v>
      </c>
      <c r="F327" s="61" t="str">
        <f>IF(FT!A327&lt;&gt;"",FT!A327*10,"")</f>
        <v/>
      </c>
      <c r="G327" s="61" t="str">
        <f>IF(FT!B327&lt;&gt;"",FT!B327*100,"")</f>
        <v/>
      </c>
      <c r="H327" s="61" t="str">
        <f t="shared" si="22"/>
        <v/>
      </c>
      <c r="I327" t="str">
        <f>IF(FT!B327&lt;&gt;"",FT!E327,"")</f>
        <v/>
      </c>
      <c r="J327" t="str">
        <f>IF(FT!B327&lt;&gt;"",FT!C327,"")</f>
        <v/>
      </c>
    </row>
    <row r="328" spans="5:10">
      <c r="E328">
        <f t="shared" si="23"/>
        <v>326</v>
      </c>
      <c r="F328" s="61" t="str">
        <f>IF(FT!A328&lt;&gt;"",FT!A328*10,"")</f>
        <v/>
      </c>
      <c r="G328" s="61" t="str">
        <f>IF(FT!B328&lt;&gt;"",FT!B328*100,"")</f>
        <v/>
      </c>
      <c r="H328" s="61" t="str">
        <f t="shared" si="22"/>
        <v/>
      </c>
      <c r="I328" t="str">
        <f>IF(FT!B328&lt;&gt;"",FT!E328,"")</f>
        <v/>
      </c>
      <c r="J328" t="str">
        <f>IF(FT!B328&lt;&gt;"",FT!C328,"")</f>
        <v/>
      </c>
    </row>
    <row r="329" spans="5:10">
      <c r="E329">
        <f t="shared" si="23"/>
        <v>327</v>
      </c>
      <c r="F329" s="61" t="str">
        <f>IF(FT!A329&lt;&gt;"",FT!A329*10,"")</f>
        <v/>
      </c>
      <c r="G329" s="61" t="str">
        <f>IF(FT!B329&lt;&gt;"",FT!B329*100,"")</f>
        <v/>
      </c>
      <c r="H329" s="61" t="str">
        <f t="shared" si="22"/>
        <v/>
      </c>
      <c r="I329" t="str">
        <f>IF(FT!B329&lt;&gt;"",FT!E329,"")</f>
        <v/>
      </c>
      <c r="J329" t="str">
        <f>IF(FT!B329&lt;&gt;"",FT!C329,"")</f>
        <v/>
      </c>
    </row>
    <row r="330" spans="5:10">
      <c r="E330">
        <f t="shared" si="23"/>
        <v>328</v>
      </c>
      <c r="F330" s="61" t="str">
        <f>IF(FT!A330&lt;&gt;"",FT!A330*10,"")</f>
        <v/>
      </c>
      <c r="G330" s="61" t="str">
        <f>IF(FT!B330&lt;&gt;"",FT!B330*100,"")</f>
        <v/>
      </c>
      <c r="H330" s="61" t="str">
        <f t="shared" si="22"/>
        <v/>
      </c>
      <c r="I330" t="str">
        <f>IF(FT!B330&lt;&gt;"",FT!E330,"")</f>
        <v/>
      </c>
      <c r="J330" t="str">
        <f>IF(FT!B330&lt;&gt;"",FT!C330,"")</f>
        <v/>
      </c>
    </row>
    <row r="331" spans="5:10">
      <c r="E331">
        <f t="shared" si="23"/>
        <v>329</v>
      </c>
      <c r="F331" s="61" t="str">
        <f>IF(FT!A331&lt;&gt;"",FT!A331*10,"")</f>
        <v/>
      </c>
      <c r="G331" s="61" t="str">
        <f>IF(FT!B331&lt;&gt;"",FT!B331*100,"")</f>
        <v/>
      </c>
      <c r="H331" s="61" t="str">
        <f t="shared" si="22"/>
        <v/>
      </c>
      <c r="I331" t="str">
        <f>IF(FT!B331&lt;&gt;"",FT!E331,"")</f>
        <v/>
      </c>
      <c r="J331" t="str">
        <f>IF(FT!B331&lt;&gt;"",FT!C331,"")</f>
        <v/>
      </c>
    </row>
    <row r="332" spans="5:10">
      <c r="E332">
        <f t="shared" si="23"/>
        <v>330</v>
      </c>
      <c r="F332" s="61" t="str">
        <f>IF(FT!A332&lt;&gt;"",FT!A332*10,"")</f>
        <v/>
      </c>
      <c r="G332" s="61" t="str">
        <f>IF(FT!B332&lt;&gt;"",FT!B332*100,"")</f>
        <v/>
      </c>
      <c r="H332" s="61" t="str">
        <f t="shared" si="22"/>
        <v/>
      </c>
      <c r="I332" t="str">
        <f>IF(FT!B332&lt;&gt;"",FT!E332,"")</f>
        <v/>
      </c>
      <c r="J332" t="str">
        <f>IF(FT!B332&lt;&gt;"",FT!C332,"")</f>
        <v/>
      </c>
    </row>
    <row r="333" spans="5:10">
      <c r="E333">
        <f t="shared" si="23"/>
        <v>331</v>
      </c>
      <c r="F333" s="61" t="str">
        <f>IF(FT!A333&lt;&gt;"",FT!A333*10,"")</f>
        <v/>
      </c>
      <c r="G333" s="61" t="str">
        <f>IF(FT!B333&lt;&gt;"",FT!B333*100,"")</f>
        <v/>
      </c>
      <c r="H333" s="61" t="str">
        <f t="shared" si="22"/>
        <v/>
      </c>
      <c r="I333" t="str">
        <f>IF(FT!B333&lt;&gt;"",FT!E333,"")</f>
        <v/>
      </c>
      <c r="J333" t="str">
        <f>IF(FT!B333&lt;&gt;"",FT!C333,"")</f>
        <v/>
      </c>
    </row>
    <row r="334" spans="5:10">
      <c r="E334">
        <f t="shared" si="23"/>
        <v>332</v>
      </c>
      <c r="F334" s="61" t="str">
        <f>IF(FT!A334&lt;&gt;"",FT!A334*10,"")</f>
        <v/>
      </c>
      <c r="G334" s="61" t="str">
        <f>IF(FT!B334&lt;&gt;"",FT!B334*100,"")</f>
        <v/>
      </c>
      <c r="H334" s="61" t="str">
        <f t="shared" si="22"/>
        <v/>
      </c>
      <c r="I334" t="str">
        <f>IF(FT!B334&lt;&gt;"",FT!E334,"")</f>
        <v/>
      </c>
      <c r="J334" t="str">
        <f>IF(FT!B334&lt;&gt;"",FT!C334,"")</f>
        <v/>
      </c>
    </row>
    <row r="335" spans="5:10">
      <c r="E335">
        <f t="shared" si="23"/>
        <v>333</v>
      </c>
      <c r="F335" s="61" t="str">
        <f>IF(FT!A335&lt;&gt;"",FT!A335*10,"")</f>
        <v/>
      </c>
      <c r="G335" s="61" t="str">
        <f>IF(FT!B335&lt;&gt;"",FT!B335*100,"")</f>
        <v/>
      </c>
      <c r="H335" s="61" t="str">
        <f t="shared" si="22"/>
        <v/>
      </c>
      <c r="I335" t="str">
        <f>IF(FT!B335&lt;&gt;"",FT!E335,"")</f>
        <v/>
      </c>
      <c r="J335" t="str">
        <f>IF(FT!B335&lt;&gt;"",FT!C335,"")</f>
        <v/>
      </c>
    </row>
    <row r="336" spans="5:10">
      <c r="E336">
        <f t="shared" si="23"/>
        <v>334</v>
      </c>
      <c r="F336" s="61" t="str">
        <f>IF(FT!A336&lt;&gt;"",FT!A336*10,"")</f>
        <v/>
      </c>
      <c r="G336" s="61" t="str">
        <f>IF(FT!B336&lt;&gt;"",FT!B336*100,"")</f>
        <v/>
      </c>
      <c r="H336" s="61" t="str">
        <f t="shared" si="22"/>
        <v/>
      </c>
      <c r="I336" t="str">
        <f>IF(FT!B336&lt;&gt;"",FT!E336,"")</f>
        <v/>
      </c>
      <c r="J336" t="str">
        <f>IF(FT!B336&lt;&gt;"",FT!C336,"")</f>
        <v/>
      </c>
    </row>
    <row r="337" spans="5:10">
      <c r="E337">
        <f t="shared" si="23"/>
        <v>335</v>
      </c>
      <c r="F337" s="61" t="str">
        <f>IF(FT!A337&lt;&gt;"",FT!A337*10,"")</f>
        <v/>
      </c>
      <c r="G337" s="61" t="str">
        <f>IF(FT!B337&lt;&gt;"",FT!B337*100,"")</f>
        <v/>
      </c>
      <c r="H337" s="61" t="str">
        <f t="shared" si="22"/>
        <v/>
      </c>
      <c r="I337" t="str">
        <f>IF(FT!B337&lt;&gt;"",FT!E337,"")</f>
        <v/>
      </c>
      <c r="J337" t="str">
        <f>IF(FT!B337&lt;&gt;"",FT!C337,"")</f>
        <v/>
      </c>
    </row>
    <row r="338" spans="5:10">
      <c r="E338">
        <f t="shared" si="23"/>
        <v>336</v>
      </c>
      <c r="F338" s="61" t="str">
        <f>IF(FT!A338&lt;&gt;"",FT!A338*10,"")</f>
        <v/>
      </c>
      <c r="G338" s="61" t="str">
        <f>IF(FT!B338&lt;&gt;"",FT!B338*100,"")</f>
        <v/>
      </c>
      <c r="H338" s="61" t="str">
        <f t="shared" si="22"/>
        <v/>
      </c>
      <c r="I338" t="str">
        <f>IF(FT!B338&lt;&gt;"",FT!E338,"")</f>
        <v/>
      </c>
      <c r="J338" t="str">
        <f>IF(FT!B338&lt;&gt;"",FT!C338,"")</f>
        <v/>
      </c>
    </row>
    <row r="339" spans="5:10">
      <c r="E339">
        <f t="shared" si="23"/>
        <v>337</v>
      </c>
      <c r="F339" s="61" t="str">
        <f>IF(FT!A339&lt;&gt;"",FT!A339*10,"")</f>
        <v/>
      </c>
      <c r="G339" s="61" t="str">
        <f>IF(FT!B339&lt;&gt;"",FT!B339*100,"")</f>
        <v/>
      </c>
      <c r="H339" s="61" t="str">
        <f t="shared" si="22"/>
        <v/>
      </c>
      <c r="I339" t="str">
        <f>IF(FT!B339&lt;&gt;"",FT!E339,"")</f>
        <v/>
      </c>
      <c r="J339" t="str">
        <f>IF(FT!B339&lt;&gt;"",FT!C339,"")</f>
        <v/>
      </c>
    </row>
    <row r="340" spans="5:10">
      <c r="E340">
        <f t="shared" si="23"/>
        <v>338</v>
      </c>
      <c r="F340" s="61" t="str">
        <f>IF(FT!A340&lt;&gt;"",FT!A340*10,"")</f>
        <v/>
      </c>
      <c r="G340" s="61" t="str">
        <f>IF(FT!B340&lt;&gt;"",FT!B340*100,"")</f>
        <v/>
      </c>
      <c r="H340" s="61" t="str">
        <f t="shared" si="22"/>
        <v/>
      </c>
      <c r="I340" t="str">
        <f>IF(FT!B340&lt;&gt;"",FT!E340,"")</f>
        <v/>
      </c>
      <c r="J340" t="str">
        <f>IF(FT!B340&lt;&gt;"",FT!C340,"")</f>
        <v/>
      </c>
    </row>
    <row r="341" spans="5:10">
      <c r="E341">
        <f t="shared" si="23"/>
        <v>339</v>
      </c>
      <c r="F341" s="61" t="str">
        <f>IF(FT!A341&lt;&gt;"",FT!A341*10,"")</f>
        <v/>
      </c>
      <c r="G341" s="61" t="str">
        <f>IF(FT!B341&lt;&gt;"",FT!B341*100,"")</f>
        <v/>
      </c>
      <c r="H341" s="61" t="str">
        <f t="shared" si="22"/>
        <v/>
      </c>
      <c r="I341" t="str">
        <f>IF(FT!B341&lt;&gt;"",FT!E341,"")</f>
        <v/>
      </c>
      <c r="J341" t="str">
        <f>IF(FT!B341&lt;&gt;"",FT!C341,"")</f>
        <v/>
      </c>
    </row>
    <row r="342" spans="5:10">
      <c r="E342">
        <f t="shared" si="23"/>
        <v>340</v>
      </c>
      <c r="F342" s="61" t="str">
        <f>IF(FT!A342&lt;&gt;"",FT!A342*10,"")</f>
        <v/>
      </c>
      <c r="G342" s="61" t="str">
        <f>IF(FT!B342&lt;&gt;"",FT!B342*100,"")</f>
        <v/>
      </c>
      <c r="H342" s="61" t="str">
        <f t="shared" si="22"/>
        <v/>
      </c>
      <c r="I342" t="str">
        <f>IF(FT!B342&lt;&gt;"",FT!E342,"")</f>
        <v/>
      </c>
      <c r="J342" t="str">
        <f>IF(FT!B342&lt;&gt;"",FT!C342,"")</f>
        <v/>
      </c>
    </row>
    <row r="343" spans="5:10">
      <c r="E343">
        <f t="shared" si="23"/>
        <v>341</v>
      </c>
      <c r="F343" s="61" t="str">
        <f>IF(FT!A343&lt;&gt;"",FT!A343*10,"")</f>
        <v/>
      </c>
      <c r="G343" s="61" t="str">
        <f>IF(FT!B343&lt;&gt;"",FT!B343*100,"")</f>
        <v/>
      </c>
      <c r="H343" s="61" t="str">
        <f t="shared" si="22"/>
        <v/>
      </c>
      <c r="I343" t="str">
        <f>IF(FT!B343&lt;&gt;"",FT!E343,"")</f>
        <v/>
      </c>
      <c r="J343" t="str">
        <f>IF(FT!B343&lt;&gt;"",FT!C343,"")</f>
        <v/>
      </c>
    </row>
    <row r="344" spans="5:10">
      <c r="E344">
        <f t="shared" si="23"/>
        <v>342</v>
      </c>
      <c r="F344" s="61" t="str">
        <f>IF(FT!A344&lt;&gt;"",FT!A344*10,"")</f>
        <v/>
      </c>
      <c r="G344" s="61" t="str">
        <f>IF(FT!B344&lt;&gt;"",FT!B344*100,"")</f>
        <v/>
      </c>
      <c r="H344" s="61" t="str">
        <f t="shared" si="22"/>
        <v/>
      </c>
      <c r="I344" t="str">
        <f>IF(FT!B344&lt;&gt;"",FT!E344,"")</f>
        <v/>
      </c>
      <c r="J344" t="str">
        <f>IF(FT!B344&lt;&gt;"",FT!C344,"")</f>
        <v/>
      </c>
    </row>
    <row r="345" spans="5:10">
      <c r="E345">
        <f t="shared" si="23"/>
        <v>343</v>
      </c>
      <c r="F345" s="61" t="str">
        <f>IF(FT!A345&lt;&gt;"",FT!A345*10,"")</f>
        <v/>
      </c>
      <c r="G345" s="61" t="str">
        <f>IF(FT!B345&lt;&gt;"",FT!B345*100,"")</f>
        <v/>
      </c>
      <c r="H345" s="61" t="str">
        <f t="shared" si="22"/>
        <v/>
      </c>
      <c r="I345" t="str">
        <f>IF(FT!B345&lt;&gt;"",FT!E345,"")</f>
        <v/>
      </c>
      <c r="J345" t="str">
        <f>IF(FT!B345&lt;&gt;"",FT!C345,"")</f>
        <v/>
      </c>
    </row>
    <row r="346" spans="5:10">
      <c r="E346">
        <f t="shared" si="23"/>
        <v>344</v>
      </c>
      <c r="F346" s="61" t="str">
        <f>IF(FT!A346&lt;&gt;"",FT!A346*10,"")</f>
        <v/>
      </c>
      <c r="G346" s="61" t="str">
        <f>IF(FT!B346&lt;&gt;"",FT!B346*100,"")</f>
        <v/>
      </c>
      <c r="H346" s="61" t="str">
        <f t="shared" si="22"/>
        <v/>
      </c>
      <c r="I346" t="str">
        <f>IF(FT!B346&lt;&gt;"",FT!E346,"")</f>
        <v/>
      </c>
      <c r="J346" t="str">
        <f>IF(FT!B346&lt;&gt;"",FT!C346,"")</f>
        <v/>
      </c>
    </row>
    <row r="347" spans="5:10">
      <c r="E347">
        <f t="shared" si="23"/>
        <v>345</v>
      </c>
      <c r="F347" s="61" t="str">
        <f>IF(FT!A347&lt;&gt;"",FT!A347*10,"")</f>
        <v/>
      </c>
      <c r="G347" s="61" t="str">
        <f>IF(FT!B347&lt;&gt;"",FT!B347*100,"")</f>
        <v/>
      </c>
      <c r="H347" s="61" t="str">
        <f t="shared" si="22"/>
        <v/>
      </c>
      <c r="I347" t="str">
        <f>IF(FT!B347&lt;&gt;"",FT!E347,"")</f>
        <v/>
      </c>
      <c r="J347" t="str">
        <f>IF(FT!B347&lt;&gt;"",FT!C347,"")</f>
        <v/>
      </c>
    </row>
    <row r="348" spans="5:10">
      <c r="E348">
        <f t="shared" si="23"/>
        <v>346</v>
      </c>
      <c r="F348" s="61" t="str">
        <f>IF(FT!A348&lt;&gt;"",FT!A348*10,"")</f>
        <v/>
      </c>
      <c r="G348" s="61" t="str">
        <f>IF(FT!B348&lt;&gt;"",FT!B348*100,"")</f>
        <v/>
      </c>
      <c r="H348" s="61" t="str">
        <f t="shared" si="22"/>
        <v/>
      </c>
      <c r="I348" t="str">
        <f>IF(FT!B348&lt;&gt;"",FT!E348,"")</f>
        <v/>
      </c>
      <c r="J348" t="str">
        <f>IF(FT!B348&lt;&gt;"",FT!C348,"")</f>
        <v/>
      </c>
    </row>
    <row r="349" spans="5:10">
      <c r="E349">
        <f t="shared" si="23"/>
        <v>347</v>
      </c>
      <c r="F349" s="61" t="str">
        <f>IF(FT!A349&lt;&gt;"",FT!A349*10,"")</f>
        <v/>
      </c>
      <c r="G349" s="61" t="str">
        <f>IF(FT!B349&lt;&gt;"",FT!B349*100,"")</f>
        <v/>
      </c>
      <c r="H349" s="61" t="str">
        <f t="shared" si="22"/>
        <v/>
      </c>
      <c r="I349" t="str">
        <f>IF(FT!B349&lt;&gt;"",FT!E349,"")</f>
        <v/>
      </c>
      <c r="J349" t="str">
        <f>IF(FT!B349&lt;&gt;"",FT!C349,"")</f>
        <v/>
      </c>
    </row>
    <row r="350" spans="5:10">
      <c r="E350">
        <f t="shared" si="23"/>
        <v>348</v>
      </c>
      <c r="F350" s="61" t="str">
        <f>IF(FT!A350&lt;&gt;"",FT!A350*10,"")</f>
        <v/>
      </c>
      <c r="G350" s="61" t="str">
        <f>IF(FT!B350&lt;&gt;"",FT!B350*100,"")</f>
        <v/>
      </c>
      <c r="H350" s="61" t="str">
        <f t="shared" si="22"/>
        <v/>
      </c>
      <c r="I350" t="str">
        <f>IF(FT!B350&lt;&gt;"",FT!E350,"")</f>
        <v/>
      </c>
      <c r="J350" t="str">
        <f>IF(FT!B350&lt;&gt;"",FT!C350,"")</f>
        <v/>
      </c>
    </row>
    <row r="351" spans="5:10">
      <c r="E351">
        <f t="shared" si="23"/>
        <v>349</v>
      </c>
      <c r="F351" s="61" t="str">
        <f>IF(FT!A351&lt;&gt;"",FT!A351*10,"")</f>
        <v/>
      </c>
      <c r="G351" s="61" t="str">
        <f>IF(FT!B351&lt;&gt;"",FT!B351*100,"")</f>
        <v/>
      </c>
      <c r="H351" s="61" t="str">
        <f t="shared" si="22"/>
        <v/>
      </c>
      <c r="I351" t="str">
        <f>IF(FT!B351&lt;&gt;"",FT!E351,"")</f>
        <v/>
      </c>
      <c r="J351" t="str">
        <f>IF(FT!B351&lt;&gt;"",FT!C351,"")</f>
        <v/>
      </c>
    </row>
    <row r="352" spans="5:10">
      <c r="E352">
        <f t="shared" si="23"/>
        <v>350</v>
      </c>
      <c r="F352" s="61" t="str">
        <f>IF(FT!A352&lt;&gt;"",FT!A352*10,"")</f>
        <v/>
      </c>
      <c r="G352" s="61" t="str">
        <f>IF(FT!B352&lt;&gt;"",FT!B352*100,"")</f>
        <v/>
      </c>
      <c r="H352" s="61" t="str">
        <f t="shared" si="22"/>
        <v/>
      </c>
      <c r="I352" t="str">
        <f>IF(FT!B352&lt;&gt;"",FT!E352,"")</f>
        <v/>
      </c>
      <c r="J352" t="str">
        <f>IF(FT!B352&lt;&gt;"",FT!C352,"")</f>
        <v/>
      </c>
    </row>
    <row r="353" spans="5:10">
      <c r="E353">
        <f t="shared" si="23"/>
        <v>351</v>
      </c>
      <c r="F353" s="61" t="str">
        <f>IF(FT!A353&lt;&gt;"",FT!A353*10,"")</f>
        <v/>
      </c>
      <c r="G353" s="61" t="str">
        <f>IF(FT!B353&lt;&gt;"",FT!B353*100,"")</f>
        <v/>
      </c>
      <c r="H353" s="61" t="str">
        <f t="shared" si="22"/>
        <v/>
      </c>
      <c r="I353" t="str">
        <f>IF(FT!B353&lt;&gt;"",FT!E353,"")</f>
        <v/>
      </c>
      <c r="J353" t="str">
        <f>IF(FT!B353&lt;&gt;"",FT!C353,"")</f>
        <v/>
      </c>
    </row>
    <row r="354" spans="5:10">
      <c r="E354">
        <f t="shared" si="23"/>
        <v>352</v>
      </c>
      <c r="F354" s="61" t="str">
        <f>IF(FT!A354&lt;&gt;"",FT!A354*10,"")</f>
        <v/>
      </c>
      <c r="G354" s="61" t="str">
        <f>IF(FT!B354&lt;&gt;"",FT!B354*100,"")</f>
        <v/>
      </c>
      <c r="H354" s="61" t="str">
        <f t="shared" si="22"/>
        <v/>
      </c>
      <c r="I354" t="str">
        <f>IF(FT!B354&lt;&gt;"",FT!E354,"")</f>
        <v/>
      </c>
      <c r="J354" t="str">
        <f>IF(FT!B354&lt;&gt;"",FT!C354,"")</f>
        <v/>
      </c>
    </row>
    <row r="355" spans="5:10">
      <c r="E355">
        <f t="shared" si="23"/>
        <v>353</v>
      </c>
      <c r="F355" s="61" t="str">
        <f>IF(FT!A355&lt;&gt;"",FT!A355*10,"")</f>
        <v/>
      </c>
      <c r="G355" s="61" t="str">
        <f>IF(FT!B355&lt;&gt;"",FT!B355*100,"")</f>
        <v/>
      </c>
      <c r="H355" s="61" t="str">
        <f t="shared" si="22"/>
        <v/>
      </c>
      <c r="I355" t="str">
        <f>IF(FT!B355&lt;&gt;"",FT!E355,"")</f>
        <v/>
      </c>
      <c r="J355" t="str">
        <f>IF(FT!B355&lt;&gt;"",FT!C355,"")</f>
        <v/>
      </c>
    </row>
    <row r="356" spans="5:10">
      <c r="E356">
        <f t="shared" si="23"/>
        <v>354</v>
      </c>
      <c r="F356" s="61" t="str">
        <f>IF(FT!A356&lt;&gt;"",FT!A356*10,"")</f>
        <v/>
      </c>
      <c r="G356" s="61" t="str">
        <f>IF(FT!B356&lt;&gt;"",FT!B356*100,"")</f>
        <v/>
      </c>
      <c r="H356" s="61" t="str">
        <f t="shared" si="22"/>
        <v/>
      </c>
      <c r="I356" t="str">
        <f>IF(FT!B356&lt;&gt;"",FT!E356,"")</f>
        <v/>
      </c>
      <c r="J356" t="str">
        <f>IF(FT!B356&lt;&gt;"",FT!C356,"")</f>
        <v/>
      </c>
    </row>
    <row r="357" spans="5:10">
      <c r="E357">
        <f t="shared" si="23"/>
        <v>355</v>
      </c>
      <c r="F357" s="61" t="str">
        <f>IF(FT!A357&lt;&gt;"",FT!A357*10,"")</f>
        <v/>
      </c>
      <c r="G357" s="61" t="str">
        <f>IF(FT!B357&lt;&gt;"",FT!B357*100,"")</f>
        <v/>
      </c>
      <c r="H357" s="61" t="str">
        <f t="shared" si="22"/>
        <v/>
      </c>
      <c r="I357" t="str">
        <f>IF(FT!B357&lt;&gt;"",FT!E357,"")</f>
        <v/>
      </c>
      <c r="J357" t="str">
        <f>IF(FT!B357&lt;&gt;"",FT!C357,"")</f>
        <v/>
      </c>
    </row>
    <row r="358" spans="5:10">
      <c r="E358">
        <f t="shared" si="23"/>
        <v>356</v>
      </c>
      <c r="F358" s="61" t="str">
        <f>IF(FT!A358&lt;&gt;"",FT!A358*10,"")</f>
        <v/>
      </c>
      <c r="G358" s="61" t="str">
        <f>IF(FT!B358&lt;&gt;"",FT!B358*100,"")</f>
        <v/>
      </c>
      <c r="H358" s="61" t="str">
        <f t="shared" si="22"/>
        <v/>
      </c>
      <c r="I358" t="str">
        <f>IF(FT!B358&lt;&gt;"",FT!E358,"")</f>
        <v/>
      </c>
      <c r="J358" t="str">
        <f>IF(FT!B358&lt;&gt;"",FT!C358,"")</f>
        <v/>
      </c>
    </row>
    <row r="359" spans="5:10">
      <c r="E359">
        <f t="shared" si="23"/>
        <v>357</v>
      </c>
      <c r="F359" s="61" t="str">
        <f>IF(FT!A359&lt;&gt;"",FT!A359*10,"")</f>
        <v/>
      </c>
      <c r="G359" s="61" t="str">
        <f>IF(FT!B359&lt;&gt;"",FT!B359*100,"")</f>
        <v/>
      </c>
      <c r="H359" s="61" t="str">
        <f t="shared" si="22"/>
        <v/>
      </c>
      <c r="I359" t="str">
        <f>IF(FT!B359&lt;&gt;"",FT!E359,"")</f>
        <v/>
      </c>
      <c r="J359" t="str">
        <f>IF(FT!B359&lt;&gt;"",FT!C359,"")</f>
        <v/>
      </c>
    </row>
    <row r="360" spans="5:10">
      <c r="E360">
        <f t="shared" si="23"/>
        <v>358</v>
      </c>
      <c r="F360" s="61" t="str">
        <f>IF(FT!A360&lt;&gt;"",FT!A360*10,"")</f>
        <v/>
      </c>
      <c r="G360" s="61" t="str">
        <f>IF(FT!B360&lt;&gt;"",FT!B360*100,"")</f>
        <v/>
      </c>
      <c r="H360" s="61" t="str">
        <f t="shared" si="22"/>
        <v/>
      </c>
      <c r="I360" t="str">
        <f>IF(FT!B360&lt;&gt;"",FT!E360,"")</f>
        <v/>
      </c>
      <c r="J360" t="str">
        <f>IF(FT!B360&lt;&gt;"",FT!C360,"")</f>
        <v/>
      </c>
    </row>
    <row r="361" spans="5:10">
      <c r="E361">
        <f t="shared" si="23"/>
        <v>359</v>
      </c>
      <c r="F361" s="61" t="str">
        <f>IF(FT!A361&lt;&gt;"",FT!A361*10,"")</f>
        <v/>
      </c>
      <c r="G361" s="61" t="str">
        <f>IF(FT!B361&lt;&gt;"",FT!B361*100,"")</f>
        <v/>
      </c>
      <c r="H361" s="61" t="str">
        <f t="shared" si="22"/>
        <v/>
      </c>
      <c r="I361" t="str">
        <f>IF(FT!B361&lt;&gt;"",FT!E361,"")</f>
        <v/>
      </c>
      <c r="J361" t="str">
        <f>IF(FT!B361&lt;&gt;"",FT!C361,"")</f>
        <v/>
      </c>
    </row>
    <row r="362" spans="5:10">
      <c r="E362">
        <f t="shared" si="23"/>
        <v>360</v>
      </c>
      <c r="F362" s="61" t="str">
        <f>IF(FT!A362&lt;&gt;"",FT!A362*10,"")</f>
        <v/>
      </c>
      <c r="G362" s="61" t="str">
        <f>IF(FT!B362&lt;&gt;"",FT!B362*100,"")</f>
        <v/>
      </c>
      <c r="H362" s="61" t="str">
        <f t="shared" si="22"/>
        <v/>
      </c>
      <c r="I362" t="str">
        <f>IF(FT!B362&lt;&gt;"",FT!E362,"")</f>
        <v/>
      </c>
      <c r="J362" t="str">
        <f>IF(FT!B362&lt;&gt;"",FT!C362,"")</f>
        <v/>
      </c>
    </row>
    <row r="363" spans="5:10">
      <c r="E363">
        <f t="shared" si="23"/>
        <v>361</v>
      </c>
      <c r="F363" s="61" t="str">
        <f>IF(FT!A363&lt;&gt;"",FT!A363*10,"")</f>
        <v/>
      </c>
      <c r="G363" s="61" t="str">
        <f>IF(FT!B363&lt;&gt;"",FT!B363*100,"")</f>
        <v/>
      </c>
      <c r="H363" s="61" t="str">
        <f t="shared" si="22"/>
        <v/>
      </c>
      <c r="I363" t="str">
        <f>IF(FT!B363&lt;&gt;"",FT!E363,"")</f>
        <v/>
      </c>
      <c r="J363" t="str">
        <f>IF(FT!B363&lt;&gt;"",FT!C363,"")</f>
        <v/>
      </c>
    </row>
    <row r="364" spans="5:10">
      <c r="E364">
        <f t="shared" si="23"/>
        <v>362</v>
      </c>
      <c r="F364" s="61" t="str">
        <f>IF(FT!A364&lt;&gt;"",FT!A364*10,"")</f>
        <v/>
      </c>
      <c r="G364" s="61" t="str">
        <f>IF(FT!B364&lt;&gt;"",FT!B364*100,"")</f>
        <v/>
      </c>
      <c r="H364" s="61" t="str">
        <f t="shared" si="22"/>
        <v/>
      </c>
      <c r="I364" t="str">
        <f>IF(FT!B364&lt;&gt;"",FT!E364,"")</f>
        <v/>
      </c>
      <c r="J364" t="str">
        <f>IF(FT!B364&lt;&gt;"",FT!C364,"")</f>
        <v/>
      </c>
    </row>
    <row r="365" spans="5:10">
      <c r="E365">
        <f t="shared" si="23"/>
        <v>363</v>
      </c>
      <c r="F365" s="61" t="str">
        <f>IF(FT!A365&lt;&gt;"",FT!A365*10,"")</f>
        <v/>
      </c>
      <c r="G365" s="61" t="str">
        <f>IF(FT!B365&lt;&gt;"",FT!B365*100,"")</f>
        <v/>
      </c>
      <c r="H365" s="61" t="str">
        <f t="shared" si="22"/>
        <v/>
      </c>
      <c r="I365" t="str">
        <f>IF(FT!B365&lt;&gt;"",FT!E365,"")</f>
        <v/>
      </c>
      <c r="J365" t="str">
        <f>IF(FT!B365&lt;&gt;"",FT!C365,"")</f>
        <v/>
      </c>
    </row>
    <row r="366" spans="5:10">
      <c r="E366">
        <f t="shared" si="23"/>
        <v>364</v>
      </c>
      <c r="F366" s="61" t="str">
        <f>IF(FT!A366&lt;&gt;"",FT!A366*10,"")</f>
        <v/>
      </c>
      <c r="G366" s="61" t="str">
        <f>IF(FT!B366&lt;&gt;"",FT!B366*100,"")</f>
        <v/>
      </c>
      <c r="H366" s="61" t="str">
        <f t="shared" si="22"/>
        <v/>
      </c>
      <c r="I366" t="str">
        <f>IF(FT!B366&lt;&gt;"",FT!E366,"")</f>
        <v/>
      </c>
      <c r="J366" t="str">
        <f>IF(FT!B366&lt;&gt;"",FT!C366,"")</f>
        <v/>
      </c>
    </row>
    <row r="367" spans="5:10">
      <c r="E367">
        <f t="shared" si="23"/>
        <v>365</v>
      </c>
      <c r="F367" s="61" t="str">
        <f>IF(FT!A367&lt;&gt;"",FT!A367*10,"")</f>
        <v/>
      </c>
      <c r="G367" s="61" t="str">
        <f>IF(FT!B367&lt;&gt;"",FT!B367*100,"")</f>
        <v/>
      </c>
      <c r="H367" s="61" t="str">
        <f t="shared" si="22"/>
        <v/>
      </c>
      <c r="I367" t="str">
        <f>IF(FT!B367&lt;&gt;"",FT!E367,"")</f>
        <v/>
      </c>
      <c r="J367" t="str">
        <f>IF(FT!B367&lt;&gt;"",FT!C367,"")</f>
        <v/>
      </c>
    </row>
    <row r="368" spans="5:10">
      <c r="E368">
        <f t="shared" si="23"/>
        <v>366</v>
      </c>
      <c r="F368" s="61" t="str">
        <f>IF(FT!A368&lt;&gt;"",FT!A368*10,"")</f>
        <v/>
      </c>
      <c r="G368" s="61" t="str">
        <f>IF(FT!B368&lt;&gt;"",FT!B368*100,"")</f>
        <v/>
      </c>
      <c r="H368" s="61" t="str">
        <f t="shared" si="22"/>
        <v/>
      </c>
      <c r="I368" t="str">
        <f>IF(FT!B368&lt;&gt;"",FT!E368,"")</f>
        <v/>
      </c>
      <c r="J368" t="str">
        <f>IF(FT!B368&lt;&gt;"",FT!C368,"")</f>
        <v/>
      </c>
    </row>
    <row r="369" spans="5:10">
      <c r="E369">
        <f t="shared" si="23"/>
        <v>367</v>
      </c>
      <c r="F369" s="61" t="str">
        <f>IF(FT!A369&lt;&gt;"",FT!A369*10,"")</f>
        <v/>
      </c>
      <c r="G369" s="61" t="str">
        <f>IF(FT!B369&lt;&gt;"",FT!B369*100,"")</f>
        <v/>
      </c>
      <c r="H369" s="61" t="str">
        <f t="shared" si="22"/>
        <v/>
      </c>
      <c r="I369" t="str">
        <f>IF(FT!B369&lt;&gt;"",FT!E369,"")</f>
        <v/>
      </c>
      <c r="J369" t="str">
        <f>IF(FT!B369&lt;&gt;"",FT!C369,"")</f>
        <v/>
      </c>
    </row>
    <row r="370" spans="5:10">
      <c r="E370">
        <f t="shared" si="23"/>
        <v>368</v>
      </c>
      <c r="F370" s="61" t="str">
        <f>IF(FT!A370&lt;&gt;"",FT!A370*10,"")</f>
        <v/>
      </c>
      <c r="G370" s="61" t="str">
        <f>IF(FT!B370&lt;&gt;"",FT!B370*100,"")</f>
        <v/>
      </c>
      <c r="H370" s="61" t="str">
        <f t="shared" si="22"/>
        <v/>
      </c>
      <c r="I370" t="str">
        <f>IF(FT!B370&lt;&gt;"",FT!E370,"")</f>
        <v/>
      </c>
      <c r="J370" t="str">
        <f>IF(FT!B370&lt;&gt;"",FT!C370,"")</f>
        <v/>
      </c>
    </row>
    <row r="371" spans="5:10">
      <c r="E371">
        <f t="shared" si="23"/>
        <v>369</v>
      </c>
      <c r="F371" s="61" t="str">
        <f>IF(FT!A371&lt;&gt;"",FT!A371*10,"")</f>
        <v/>
      </c>
      <c r="G371" s="61" t="str">
        <f>IF(FT!B371&lt;&gt;"",FT!B371*100,"")</f>
        <v/>
      </c>
      <c r="H371" s="61" t="str">
        <f t="shared" si="22"/>
        <v/>
      </c>
      <c r="I371" t="str">
        <f>IF(FT!B371&lt;&gt;"",FT!E371,"")</f>
        <v/>
      </c>
      <c r="J371" t="str">
        <f>IF(FT!B371&lt;&gt;"",FT!C371,"")</f>
        <v/>
      </c>
    </row>
    <row r="372" spans="5:10">
      <c r="E372">
        <f t="shared" si="23"/>
        <v>370</v>
      </c>
      <c r="F372" s="61" t="str">
        <f>IF(FT!A372&lt;&gt;"",FT!A372*10,"")</f>
        <v/>
      </c>
      <c r="G372" s="61" t="str">
        <f>IF(FT!B372&lt;&gt;"",FT!B372*100,"")</f>
        <v/>
      </c>
      <c r="H372" s="61" t="str">
        <f t="shared" si="22"/>
        <v/>
      </c>
      <c r="I372" t="str">
        <f>IF(FT!B372&lt;&gt;"",FT!E372,"")</f>
        <v/>
      </c>
      <c r="J372" t="str">
        <f>IF(FT!B372&lt;&gt;"",FT!C372,"")</f>
        <v/>
      </c>
    </row>
    <row r="373" spans="5:10">
      <c r="E373">
        <f t="shared" si="23"/>
        <v>371</v>
      </c>
      <c r="F373" s="61" t="str">
        <f>IF(FT!A373&lt;&gt;"",FT!A373*10,"")</f>
        <v/>
      </c>
      <c r="G373" s="61" t="str">
        <f>IF(FT!B373&lt;&gt;"",FT!B373*100,"")</f>
        <v/>
      </c>
      <c r="H373" s="61" t="str">
        <f t="shared" si="22"/>
        <v/>
      </c>
      <c r="I373" t="str">
        <f>IF(FT!B373&lt;&gt;"",FT!E373,"")</f>
        <v/>
      </c>
      <c r="J373" t="str">
        <f>IF(FT!B373&lt;&gt;"",FT!C373,"")</f>
        <v/>
      </c>
    </row>
    <row r="374" spans="5:10">
      <c r="E374">
        <f t="shared" si="23"/>
        <v>372</v>
      </c>
      <c r="F374" s="61" t="str">
        <f>IF(FT!A374&lt;&gt;"",FT!A374*10,"")</f>
        <v/>
      </c>
      <c r="G374" s="61" t="str">
        <f>IF(FT!B374&lt;&gt;"",FT!B374*100,"")</f>
        <v/>
      </c>
      <c r="H374" s="61" t="str">
        <f t="shared" si="22"/>
        <v/>
      </c>
      <c r="I374" t="str">
        <f>IF(FT!B374&lt;&gt;"",FT!E374,"")</f>
        <v/>
      </c>
      <c r="J374" t="str">
        <f>IF(FT!B374&lt;&gt;"",FT!C374,"")</f>
        <v/>
      </c>
    </row>
    <row r="375" spans="5:10">
      <c r="E375">
        <f t="shared" si="23"/>
        <v>373</v>
      </c>
      <c r="F375" s="61" t="str">
        <f>IF(FT!A375&lt;&gt;"",FT!A375*10,"")</f>
        <v/>
      </c>
      <c r="G375" s="61" t="str">
        <f>IF(FT!B375&lt;&gt;"",FT!B375*100,"")</f>
        <v/>
      </c>
      <c r="H375" s="61" t="str">
        <f t="shared" si="22"/>
        <v/>
      </c>
      <c r="I375" t="str">
        <f>IF(FT!B375&lt;&gt;"",FT!E375,"")</f>
        <v/>
      </c>
      <c r="J375" t="str">
        <f>IF(FT!B375&lt;&gt;"",FT!C375,"")</f>
        <v/>
      </c>
    </row>
    <row r="376" spans="5:10">
      <c r="E376">
        <f t="shared" si="23"/>
        <v>374</v>
      </c>
      <c r="F376" s="61" t="str">
        <f>IF(FT!A376&lt;&gt;"",FT!A376*10,"")</f>
        <v/>
      </c>
      <c r="G376" s="61" t="str">
        <f>IF(FT!B376&lt;&gt;"",FT!B376*100,"")</f>
        <v/>
      </c>
      <c r="H376" s="61" t="str">
        <f t="shared" si="22"/>
        <v/>
      </c>
      <c r="I376" t="str">
        <f>IF(FT!B376&lt;&gt;"",FT!E376,"")</f>
        <v/>
      </c>
      <c r="J376" t="str">
        <f>IF(FT!B376&lt;&gt;"",FT!C376,"")</f>
        <v/>
      </c>
    </row>
    <row r="377" spans="5:10">
      <c r="E377">
        <f t="shared" si="23"/>
        <v>375</v>
      </c>
      <c r="F377" s="61" t="str">
        <f>IF(FT!A377&lt;&gt;"",FT!A377*10,"")</f>
        <v/>
      </c>
      <c r="G377" s="61" t="str">
        <f>IF(FT!B377&lt;&gt;"",FT!B377*100,"")</f>
        <v/>
      </c>
      <c r="H377" s="61" t="str">
        <f t="shared" si="22"/>
        <v/>
      </c>
      <c r="I377" t="str">
        <f>IF(FT!B377&lt;&gt;"",FT!E377,"")</f>
        <v/>
      </c>
      <c r="J377" t="str">
        <f>IF(FT!B377&lt;&gt;"",FT!C377,"")</f>
        <v/>
      </c>
    </row>
    <row r="378" spans="5:10">
      <c r="E378">
        <f t="shared" si="23"/>
        <v>376</v>
      </c>
      <c r="F378" s="61" t="str">
        <f>IF(FT!A378&lt;&gt;"",FT!A378*10,"")</f>
        <v/>
      </c>
      <c r="G378" s="61" t="str">
        <f>IF(FT!B378&lt;&gt;"",FT!B378*100,"")</f>
        <v/>
      </c>
      <c r="H378" s="61" t="str">
        <f t="shared" si="22"/>
        <v/>
      </c>
      <c r="I378" t="str">
        <f>IF(FT!B378&lt;&gt;"",FT!E378,"")</f>
        <v/>
      </c>
      <c r="J378" t="str">
        <f>IF(FT!B378&lt;&gt;"",FT!C378,"")</f>
        <v/>
      </c>
    </row>
    <row r="379" spans="5:10">
      <c r="E379">
        <f t="shared" si="23"/>
        <v>377</v>
      </c>
      <c r="F379" s="61" t="str">
        <f>IF(FT!A379&lt;&gt;"",FT!A379*10,"")</f>
        <v/>
      </c>
      <c r="G379" s="61" t="str">
        <f>IF(FT!B379&lt;&gt;"",FT!B379*100,"")</f>
        <v/>
      </c>
      <c r="H379" s="61" t="str">
        <f t="shared" si="22"/>
        <v/>
      </c>
      <c r="I379" t="str">
        <f>IF(FT!B379&lt;&gt;"",FT!E379,"")</f>
        <v/>
      </c>
      <c r="J379" t="str">
        <f>IF(FT!B379&lt;&gt;"",FT!C379,"")</f>
        <v/>
      </c>
    </row>
    <row r="380" spans="5:10">
      <c r="E380">
        <f t="shared" si="23"/>
        <v>378</v>
      </c>
      <c r="F380" s="61" t="str">
        <f>IF(FT!A380&lt;&gt;"",FT!A380*10,"")</f>
        <v/>
      </c>
      <c r="G380" s="61" t="str">
        <f>IF(FT!B380&lt;&gt;"",FT!B380*100,"")</f>
        <v/>
      </c>
      <c r="H380" s="61" t="str">
        <f t="shared" si="22"/>
        <v/>
      </c>
      <c r="I380" t="str">
        <f>IF(FT!B380&lt;&gt;"",FT!E380,"")</f>
        <v/>
      </c>
      <c r="J380" t="str">
        <f>IF(FT!B380&lt;&gt;"",FT!C380,"")</f>
        <v/>
      </c>
    </row>
    <row r="381" spans="5:10">
      <c r="E381">
        <f t="shared" si="23"/>
        <v>379</v>
      </c>
      <c r="F381" s="61" t="str">
        <f>IF(FT!A381&lt;&gt;"",FT!A381*10,"")</f>
        <v/>
      </c>
      <c r="G381" s="61" t="str">
        <f>IF(FT!B381&lt;&gt;"",FT!B381*100,"")</f>
        <v/>
      </c>
      <c r="H381" s="61" t="str">
        <f t="shared" si="22"/>
        <v/>
      </c>
      <c r="I381" t="str">
        <f>IF(FT!B381&lt;&gt;"",FT!E381,"")</f>
        <v/>
      </c>
      <c r="J381" t="str">
        <f>IF(FT!B381&lt;&gt;"",FT!C381,"")</f>
        <v/>
      </c>
    </row>
    <row r="382" spans="5:10">
      <c r="E382">
        <f t="shared" si="23"/>
        <v>380</v>
      </c>
      <c r="F382" s="61" t="str">
        <f>IF(FT!A382&lt;&gt;"",FT!A382*10,"")</f>
        <v/>
      </c>
      <c r="G382" s="61" t="str">
        <f>IF(FT!B382&lt;&gt;"",FT!B382*100,"")</f>
        <v/>
      </c>
      <c r="H382" s="61" t="str">
        <f t="shared" si="22"/>
        <v/>
      </c>
      <c r="I382" t="str">
        <f>IF(FT!B382&lt;&gt;"",FT!E382,"")</f>
        <v/>
      </c>
      <c r="J382" t="str">
        <f>IF(FT!B382&lt;&gt;"",FT!C382,"")</f>
        <v/>
      </c>
    </row>
    <row r="383" spans="5:10">
      <c r="E383">
        <f t="shared" si="23"/>
        <v>381</v>
      </c>
      <c r="F383" s="61" t="str">
        <f>IF(FT!A383&lt;&gt;"",FT!A383*10,"")</f>
        <v/>
      </c>
      <c r="G383" s="61" t="str">
        <f>IF(FT!B383&lt;&gt;"",FT!B383*100,"")</f>
        <v/>
      </c>
      <c r="H383" s="61" t="str">
        <f t="shared" si="22"/>
        <v/>
      </c>
      <c r="I383" t="str">
        <f>IF(FT!B383&lt;&gt;"",FT!E383,"")</f>
        <v/>
      </c>
      <c r="J383" t="str">
        <f>IF(FT!B383&lt;&gt;"",FT!C383,"")</f>
        <v/>
      </c>
    </row>
    <row r="384" spans="5:10">
      <c r="E384">
        <f t="shared" si="23"/>
        <v>382</v>
      </c>
      <c r="F384" s="61" t="str">
        <f>IF(FT!A384&lt;&gt;"",FT!A384*10,"")</f>
        <v/>
      </c>
      <c r="G384" s="61" t="str">
        <f>IF(FT!B384&lt;&gt;"",FT!B384*100,"")</f>
        <v/>
      </c>
      <c r="H384" s="61" t="str">
        <f t="shared" si="22"/>
        <v/>
      </c>
      <c r="I384" t="str">
        <f>IF(FT!B384&lt;&gt;"",FT!E384,"")</f>
        <v/>
      </c>
      <c r="J384" t="str">
        <f>IF(FT!B384&lt;&gt;"",FT!C384,"")</f>
        <v/>
      </c>
    </row>
    <row r="385" spans="5:10">
      <c r="E385">
        <f t="shared" si="23"/>
        <v>383</v>
      </c>
      <c r="F385" s="61" t="str">
        <f>IF(FT!A385&lt;&gt;"",FT!A385*10,"")</f>
        <v/>
      </c>
      <c r="G385" s="61" t="str">
        <f>IF(FT!B385&lt;&gt;"",FT!B385*100,"")</f>
        <v/>
      </c>
      <c r="H385" s="61" t="str">
        <f t="shared" si="22"/>
        <v/>
      </c>
      <c r="I385" t="str">
        <f>IF(FT!B385&lt;&gt;"",FT!E385,"")</f>
        <v/>
      </c>
      <c r="J385" t="str">
        <f>IF(FT!B385&lt;&gt;"",FT!C385,"")</f>
        <v/>
      </c>
    </row>
    <row r="386" spans="5:10">
      <c r="E386">
        <f t="shared" si="23"/>
        <v>384</v>
      </c>
      <c r="F386" s="61" t="str">
        <f>IF(FT!A386&lt;&gt;"",FT!A386*10,"")</f>
        <v/>
      </c>
      <c r="G386" s="61" t="str">
        <f>IF(FT!B386&lt;&gt;"",FT!B386*100,"")</f>
        <v/>
      </c>
      <c r="H386" s="61" t="str">
        <f t="shared" si="22"/>
        <v/>
      </c>
      <c r="I386" t="str">
        <f>IF(FT!B386&lt;&gt;"",FT!E386,"")</f>
        <v/>
      </c>
      <c r="J386" t="str">
        <f>IF(FT!B386&lt;&gt;"",FT!C386,"")</f>
        <v/>
      </c>
    </row>
    <row r="387" spans="5:10">
      <c r="E387">
        <f t="shared" si="23"/>
        <v>385</v>
      </c>
      <c r="F387" s="61" t="str">
        <f>IF(FT!A387&lt;&gt;"",FT!A387*10,"")</f>
        <v/>
      </c>
      <c r="G387" s="61" t="str">
        <f>IF(FT!B387&lt;&gt;"",FT!B387*100,"")</f>
        <v/>
      </c>
      <c r="H387" s="61" t="str">
        <f t="shared" ref="H387:H450" si="24">(IF(F387&lt;&gt;"",1,""))</f>
        <v/>
      </c>
      <c r="I387" t="str">
        <f>IF(FT!B387&lt;&gt;"",FT!E387,"")</f>
        <v/>
      </c>
      <c r="J387" t="str">
        <f>IF(FT!B387&lt;&gt;"",FT!C387,"")</f>
        <v/>
      </c>
    </row>
    <row r="388" spans="5:10">
      <c r="E388">
        <f t="shared" ref="E388:E451" si="25">E387+1</f>
        <v>386</v>
      </c>
      <c r="F388" s="61" t="str">
        <f>IF(FT!A388&lt;&gt;"",FT!A388*10,"")</f>
        <v/>
      </c>
      <c r="G388" s="61" t="str">
        <f>IF(FT!B388&lt;&gt;"",FT!B388*100,"")</f>
        <v/>
      </c>
      <c r="H388" s="61" t="str">
        <f t="shared" si="24"/>
        <v/>
      </c>
      <c r="I388" t="str">
        <f>IF(FT!B388&lt;&gt;"",FT!E388,"")</f>
        <v/>
      </c>
      <c r="J388" t="str">
        <f>IF(FT!B388&lt;&gt;"",FT!C388,"")</f>
        <v/>
      </c>
    </row>
    <row r="389" spans="5:10">
      <c r="E389">
        <f t="shared" si="25"/>
        <v>387</v>
      </c>
      <c r="F389" s="61" t="str">
        <f>IF(FT!A389&lt;&gt;"",FT!A389*10,"")</f>
        <v/>
      </c>
      <c r="G389" s="61" t="str">
        <f>IF(FT!B389&lt;&gt;"",FT!B389*100,"")</f>
        <v/>
      </c>
      <c r="H389" s="61" t="str">
        <f t="shared" si="24"/>
        <v/>
      </c>
      <c r="I389" t="str">
        <f>IF(FT!B389&lt;&gt;"",FT!E389,"")</f>
        <v/>
      </c>
      <c r="J389" t="str">
        <f>IF(FT!B389&lt;&gt;"",FT!C389,"")</f>
        <v/>
      </c>
    </row>
    <row r="390" spans="5:10">
      <c r="E390">
        <f t="shared" si="25"/>
        <v>388</v>
      </c>
      <c r="F390" s="61" t="str">
        <f>IF(FT!A390&lt;&gt;"",FT!A390*10,"")</f>
        <v/>
      </c>
      <c r="G390" s="61" t="str">
        <f>IF(FT!B390&lt;&gt;"",FT!B390*100,"")</f>
        <v/>
      </c>
      <c r="H390" s="61" t="str">
        <f t="shared" si="24"/>
        <v/>
      </c>
      <c r="I390" t="str">
        <f>IF(FT!B390&lt;&gt;"",FT!E390,"")</f>
        <v/>
      </c>
      <c r="J390" t="str">
        <f>IF(FT!B390&lt;&gt;"",FT!C390,"")</f>
        <v/>
      </c>
    </row>
    <row r="391" spans="5:10">
      <c r="E391">
        <f t="shared" si="25"/>
        <v>389</v>
      </c>
      <c r="F391" s="61" t="str">
        <f>IF(FT!A391&lt;&gt;"",FT!A391*10,"")</f>
        <v/>
      </c>
      <c r="G391" s="61" t="str">
        <f>IF(FT!B391&lt;&gt;"",FT!B391*100,"")</f>
        <v/>
      </c>
      <c r="H391" s="61" t="str">
        <f t="shared" si="24"/>
        <v/>
      </c>
      <c r="I391" t="str">
        <f>IF(FT!B391&lt;&gt;"",FT!E391,"")</f>
        <v/>
      </c>
      <c r="J391" t="str">
        <f>IF(FT!B391&lt;&gt;"",FT!C391,"")</f>
        <v/>
      </c>
    </row>
    <row r="392" spans="5:10">
      <c r="E392">
        <f t="shared" si="25"/>
        <v>390</v>
      </c>
      <c r="F392" s="61" t="str">
        <f>IF(FT!A392&lt;&gt;"",FT!A392*10,"")</f>
        <v/>
      </c>
      <c r="G392" s="61" t="str">
        <f>IF(FT!B392&lt;&gt;"",FT!B392*100,"")</f>
        <v/>
      </c>
      <c r="H392" s="61" t="str">
        <f t="shared" si="24"/>
        <v/>
      </c>
      <c r="I392" t="str">
        <f>IF(FT!B392&lt;&gt;"",FT!E392,"")</f>
        <v/>
      </c>
      <c r="J392" t="str">
        <f>IF(FT!B392&lt;&gt;"",FT!C392,"")</f>
        <v/>
      </c>
    </row>
    <row r="393" spans="5:10">
      <c r="E393">
        <f t="shared" si="25"/>
        <v>391</v>
      </c>
      <c r="F393" s="61" t="str">
        <f>IF(FT!A393&lt;&gt;"",FT!A393*10,"")</f>
        <v/>
      </c>
      <c r="G393" s="61" t="str">
        <f>IF(FT!B393&lt;&gt;"",FT!B393*100,"")</f>
        <v/>
      </c>
      <c r="H393" s="61" t="str">
        <f t="shared" si="24"/>
        <v/>
      </c>
      <c r="I393" t="str">
        <f>IF(FT!B393&lt;&gt;"",FT!E393,"")</f>
        <v/>
      </c>
      <c r="J393" t="str">
        <f>IF(FT!B393&lt;&gt;"",FT!C393,"")</f>
        <v/>
      </c>
    </row>
    <row r="394" spans="5:10">
      <c r="E394">
        <f t="shared" si="25"/>
        <v>392</v>
      </c>
      <c r="F394" s="61" t="str">
        <f>IF(FT!A394&lt;&gt;"",FT!A394*10,"")</f>
        <v/>
      </c>
      <c r="G394" s="61" t="str">
        <f>IF(FT!B394&lt;&gt;"",FT!B394*100,"")</f>
        <v/>
      </c>
      <c r="H394" s="61" t="str">
        <f t="shared" si="24"/>
        <v/>
      </c>
      <c r="I394" t="str">
        <f>IF(FT!B394&lt;&gt;"",FT!E394,"")</f>
        <v/>
      </c>
      <c r="J394" t="str">
        <f>IF(FT!B394&lt;&gt;"",FT!C394,"")</f>
        <v/>
      </c>
    </row>
    <row r="395" spans="5:10">
      <c r="E395">
        <f t="shared" si="25"/>
        <v>393</v>
      </c>
      <c r="F395" s="61" t="str">
        <f>IF(FT!A395&lt;&gt;"",FT!A395*10,"")</f>
        <v/>
      </c>
      <c r="G395" s="61" t="str">
        <f>IF(FT!B395&lt;&gt;"",FT!B395*100,"")</f>
        <v/>
      </c>
      <c r="H395" s="61" t="str">
        <f t="shared" si="24"/>
        <v/>
      </c>
      <c r="I395" t="str">
        <f>IF(FT!B395&lt;&gt;"",FT!E395,"")</f>
        <v/>
      </c>
      <c r="J395" t="str">
        <f>IF(FT!B395&lt;&gt;"",FT!C395,"")</f>
        <v/>
      </c>
    </row>
    <row r="396" spans="5:10">
      <c r="E396">
        <f t="shared" si="25"/>
        <v>394</v>
      </c>
      <c r="F396" s="61" t="str">
        <f>IF(FT!A396&lt;&gt;"",FT!A396*10,"")</f>
        <v/>
      </c>
      <c r="G396" s="61" t="str">
        <f>IF(FT!B396&lt;&gt;"",FT!B396*100,"")</f>
        <v/>
      </c>
      <c r="H396" s="61" t="str">
        <f t="shared" si="24"/>
        <v/>
      </c>
      <c r="I396" t="str">
        <f>IF(FT!B396&lt;&gt;"",FT!E396,"")</f>
        <v/>
      </c>
      <c r="J396" t="str">
        <f>IF(FT!B396&lt;&gt;"",FT!C396,"")</f>
        <v/>
      </c>
    </row>
    <row r="397" spans="5:10">
      <c r="E397">
        <f t="shared" si="25"/>
        <v>395</v>
      </c>
      <c r="F397" s="61" t="str">
        <f>IF(FT!A397&lt;&gt;"",FT!A397*10,"")</f>
        <v/>
      </c>
      <c r="G397" s="61" t="str">
        <f>IF(FT!B397&lt;&gt;"",FT!B397*100,"")</f>
        <v/>
      </c>
      <c r="H397" s="61" t="str">
        <f t="shared" si="24"/>
        <v/>
      </c>
      <c r="I397" t="str">
        <f>IF(FT!B397&lt;&gt;"",FT!E397,"")</f>
        <v/>
      </c>
      <c r="J397" t="str">
        <f>IF(FT!B397&lt;&gt;"",FT!C397,"")</f>
        <v/>
      </c>
    </row>
    <row r="398" spans="5:10">
      <c r="E398">
        <f t="shared" si="25"/>
        <v>396</v>
      </c>
      <c r="F398" s="61" t="str">
        <f>IF(FT!A398&lt;&gt;"",FT!A398*10,"")</f>
        <v/>
      </c>
      <c r="G398" s="61" t="str">
        <f>IF(FT!B398&lt;&gt;"",FT!B398*100,"")</f>
        <v/>
      </c>
      <c r="H398" s="61" t="str">
        <f t="shared" si="24"/>
        <v/>
      </c>
      <c r="I398" t="str">
        <f>IF(FT!B398&lt;&gt;"",FT!E398,"")</f>
        <v/>
      </c>
      <c r="J398" t="str">
        <f>IF(FT!B398&lt;&gt;"",FT!C398,"")</f>
        <v/>
      </c>
    </row>
    <row r="399" spans="5:10">
      <c r="E399">
        <f t="shared" si="25"/>
        <v>397</v>
      </c>
      <c r="F399" s="61" t="str">
        <f>IF(FT!A399&lt;&gt;"",FT!A399*10,"")</f>
        <v/>
      </c>
      <c r="G399" s="61" t="str">
        <f>IF(FT!B399&lt;&gt;"",FT!B399*100,"")</f>
        <v/>
      </c>
      <c r="H399" s="61" t="str">
        <f t="shared" si="24"/>
        <v/>
      </c>
      <c r="I399" t="str">
        <f>IF(FT!B399&lt;&gt;"",FT!E399,"")</f>
        <v/>
      </c>
      <c r="J399" t="str">
        <f>IF(FT!B399&lt;&gt;"",FT!C399,"")</f>
        <v/>
      </c>
    </row>
    <row r="400" spans="5:10">
      <c r="E400">
        <f t="shared" si="25"/>
        <v>398</v>
      </c>
      <c r="F400" s="61" t="str">
        <f>IF(FT!A400&lt;&gt;"",FT!A400*10,"")</f>
        <v/>
      </c>
      <c r="G400" s="61" t="str">
        <f>IF(FT!B400&lt;&gt;"",FT!B400*100,"")</f>
        <v/>
      </c>
      <c r="H400" s="61" t="str">
        <f t="shared" si="24"/>
        <v/>
      </c>
      <c r="I400" t="str">
        <f>IF(FT!B400&lt;&gt;"",FT!E400,"")</f>
        <v/>
      </c>
      <c r="J400" t="str">
        <f>IF(FT!B400&lt;&gt;"",FT!C400,"")</f>
        <v/>
      </c>
    </row>
    <row r="401" spans="5:10">
      <c r="E401">
        <f t="shared" si="25"/>
        <v>399</v>
      </c>
      <c r="F401" s="61" t="str">
        <f>IF(FT!A401&lt;&gt;"",FT!A401*10,"")</f>
        <v/>
      </c>
      <c r="G401" s="61" t="str">
        <f>IF(FT!B401&lt;&gt;"",FT!B401*100,"")</f>
        <v/>
      </c>
      <c r="H401" s="61" t="str">
        <f t="shared" si="24"/>
        <v/>
      </c>
      <c r="I401" t="str">
        <f>IF(FT!B401&lt;&gt;"",FT!E401,"")</f>
        <v/>
      </c>
      <c r="J401" t="str">
        <f>IF(FT!B401&lt;&gt;"",FT!C401,"")</f>
        <v/>
      </c>
    </row>
    <row r="402" spans="5:10">
      <c r="E402">
        <f t="shared" si="25"/>
        <v>400</v>
      </c>
      <c r="F402" s="61" t="str">
        <f>IF(FT!A402&lt;&gt;"",FT!A402*10,"")</f>
        <v/>
      </c>
      <c r="G402" s="61" t="str">
        <f>IF(FT!B402&lt;&gt;"",FT!B402*100,"")</f>
        <v/>
      </c>
      <c r="H402" s="61" t="str">
        <f t="shared" si="24"/>
        <v/>
      </c>
      <c r="I402" t="str">
        <f>IF(FT!B402&lt;&gt;"",FT!E402,"")</f>
        <v/>
      </c>
      <c r="J402" t="str">
        <f>IF(FT!B402&lt;&gt;"",FT!C402,"")</f>
        <v/>
      </c>
    </row>
    <row r="403" spans="5:10">
      <c r="E403">
        <f t="shared" si="25"/>
        <v>401</v>
      </c>
      <c r="F403" s="61" t="str">
        <f>IF(FT!A403&lt;&gt;"",FT!A403*10,"")</f>
        <v/>
      </c>
      <c r="G403" s="61" t="str">
        <f>IF(FT!B403&lt;&gt;"",FT!B403*100,"")</f>
        <v/>
      </c>
      <c r="H403" s="61" t="str">
        <f t="shared" si="24"/>
        <v/>
      </c>
      <c r="I403" t="str">
        <f>IF(FT!B403&lt;&gt;"",FT!E403,"")</f>
        <v/>
      </c>
      <c r="J403" t="str">
        <f>IF(FT!B403&lt;&gt;"",FT!C403,"")</f>
        <v/>
      </c>
    </row>
    <row r="404" spans="5:10">
      <c r="E404">
        <f t="shared" si="25"/>
        <v>402</v>
      </c>
      <c r="F404" s="61" t="str">
        <f>IF(FT!A404&lt;&gt;"",FT!A404*10,"")</f>
        <v/>
      </c>
      <c r="G404" s="61" t="str">
        <f>IF(FT!B404&lt;&gt;"",FT!B404*100,"")</f>
        <v/>
      </c>
      <c r="H404" s="61" t="str">
        <f t="shared" si="24"/>
        <v/>
      </c>
      <c r="I404" t="str">
        <f>IF(FT!B404&lt;&gt;"",FT!E404,"")</f>
        <v/>
      </c>
      <c r="J404" t="str">
        <f>IF(FT!B404&lt;&gt;"",FT!C404,"")</f>
        <v/>
      </c>
    </row>
    <row r="405" spans="5:10">
      <c r="E405">
        <f t="shared" si="25"/>
        <v>403</v>
      </c>
      <c r="F405" s="61" t="str">
        <f>IF(FT!A405&lt;&gt;"",FT!A405*10,"")</f>
        <v/>
      </c>
      <c r="G405" s="61" t="str">
        <f>IF(FT!B405&lt;&gt;"",FT!B405*100,"")</f>
        <v/>
      </c>
      <c r="H405" s="61" t="str">
        <f t="shared" si="24"/>
        <v/>
      </c>
      <c r="I405" t="str">
        <f>IF(FT!B405&lt;&gt;"",FT!E405,"")</f>
        <v/>
      </c>
      <c r="J405" t="str">
        <f>IF(FT!B405&lt;&gt;"",FT!C405,"")</f>
        <v/>
      </c>
    </row>
    <row r="406" spans="5:10">
      <c r="E406">
        <f t="shared" si="25"/>
        <v>404</v>
      </c>
      <c r="F406" s="61" t="str">
        <f>IF(FT!A406&lt;&gt;"",FT!A406*10,"")</f>
        <v/>
      </c>
      <c r="G406" s="61" t="str">
        <f>IF(FT!B406&lt;&gt;"",FT!B406*100,"")</f>
        <v/>
      </c>
      <c r="H406" s="61" t="str">
        <f t="shared" si="24"/>
        <v/>
      </c>
      <c r="I406" t="str">
        <f>IF(FT!B406&lt;&gt;"",FT!E406,"")</f>
        <v/>
      </c>
      <c r="J406" t="str">
        <f>IF(FT!B406&lt;&gt;"",FT!C406,"")</f>
        <v/>
      </c>
    </row>
    <row r="407" spans="5:10">
      <c r="E407">
        <f t="shared" si="25"/>
        <v>405</v>
      </c>
      <c r="F407" s="61" t="str">
        <f>IF(FT!A407&lt;&gt;"",FT!A407*10,"")</f>
        <v/>
      </c>
      <c r="G407" s="61" t="str">
        <f>IF(FT!B407&lt;&gt;"",FT!B407*100,"")</f>
        <v/>
      </c>
      <c r="H407" s="61" t="str">
        <f t="shared" si="24"/>
        <v/>
      </c>
      <c r="I407" t="str">
        <f>IF(FT!B407&lt;&gt;"",FT!E407,"")</f>
        <v/>
      </c>
      <c r="J407" t="str">
        <f>IF(FT!B407&lt;&gt;"",FT!C407,"")</f>
        <v/>
      </c>
    </row>
    <row r="408" spans="5:10">
      <c r="E408">
        <f t="shared" si="25"/>
        <v>406</v>
      </c>
      <c r="F408" s="61" t="str">
        <f>IF(FT!A408&lt;&gt;"",FT!A408*10,"")</f>
        <v/>
      </c>
      <c r="G408" s="61" t="str">
        <f>IF(FT!B408&lt;&gt;"",FT!B408*100,"")</f>
        <v/>
      </c>
      <c r="H408" s="61" t="str">
        <f t="shared" si="24"/>
        <v/>
      </c>
      <c r="I408" t="str">
        <f>IF(FT!B408&lt;&gt;"",FT!E408,"")</f>
        <v/>
      </c>
      <c r="J408" t="str">
        <f>IF(FT!B408&lt;&gt;"",FT!C408,"")</f>
        <v/>
      </c>
    </row>
    <row r="409" spans="5:10">
      <c r="E409">
        <f t="shared" si="25"/>
        <v>407</v>
      </c>
      <c r="F409" s="61" t="str">
        <f>IF(FT!A409&lt;&gt;"",FT!A409*10,"")</f>
        <v/>
      </c>
      <c r="G409" s="61" t="str">
        <f>IF(FT!B409&lt;&gt;"",FT!B409*100,"")</f>
        <v/>
      </c>
      <c r="H409" s="61" t="str">
        <f t="shared" si="24"/>
        <v/>
      </c>
      <c r="I409" t="str">
        <f>IF(FT!B409&lt;&gt;"",FT!E409,"")</f>
        <v/>
      </c>
      <c r="J409" t="str">
        <f>IF(FT!B409&lt;&gt;"",FT!C409,"")</f>
        <v/>
      </c>
    </row>
    <row r="410" spans="5:10">
      <c r="E410">
        <f t="shared" si="25"/>
        <v>408</v>
      </c>
      <c r="F410" s="61" t="str">
        <f>IF(FT!A410&lt;&gt;"",FT!A410*10,"")</f>
        <v/>
      </c>
      <c r="G410" s="61" t="str">
        <f>IF(FT!B410&lt;&gt;"",FT!B410*100,"")</f>
        <v/>
      </c>
      <c r="H410" s="61" t="str">
        <f t="shared" si="24"/>
        <v/>
      </c>
      <c r="I410" t="str">
        <f>IF(FT!B410&lt;&gt;"",FT!E410,"")</f>
        <v/>
      </c>
      <c r="J410" t="str">
        <f>IF(FT!B410&lt;&gt;"",FT!C410,"")</f>
        <v/>
      </c>
    </row>
    <row r="411" spans="5:10">
      <c r="E411">
        <f t="shared" si="25"/>
        <v>409</v>
      </c>
      <c r="F411" s="61" t="str">
        <f>IF(FT!A411&lt;&gt;"",FT!A411*10,"")</f>
        <v/>
      </c>
      <c r="G411" s="61" t="str">
        <f>IF(FT!B411&lt;&gt;"",FT!B411*100,"")</f>
        <v/>
      </c>
      <c r="H411" s="61" t="str">
        <f t="shared" si="24"/>
        <v/>
      </c>
      <c r="I411" t="str">
        <f>IF(FT!B411&lt;&gt;"",FT!E411,"")</f>
        <v/>
      </c>
      <c r="J411" t="str">
        <f>IF(FT!B411&lt;&gt;"",FT!C411,"")</f>
        <v/>
      </c>
    </row>
    <row r="412" spans="5:10">
      <c r="E412">
        <f t="shared" si="25"/>
        <v>410</v>
      </c>
      <c r="F412" s="61" t="str">
        <f>IF(FT!A412&lt;&gt;"",FT!A412*10,"")</f>
        <v/>
      </c>
      <c r="G412" s="61" t="str">
        <f>IF(FT!B412&lt;&gt;"",FT!B412*100,"")</f>
        <v/>
      </c>
      <c r="H412" s="61" t="str">
        <f t="shared" si="24"/>
        <v/>
      </c>
      <c r="I412" t="str">
        <f>IF(FT!B412&lt;&gt;"",FT!E412,"")</f>
        <v/>
      </c>
      <c r="J412" t="str">
        <f>IF(FT!B412&lt;&gt;"",FT!C412,"")</f>
        <v/>
      </c>
    </row>
    <row r="413" spans="5:10">
      <c r="E413">
        <f t="shared" si="25"/>
        <v>411</v>
      </c>
      <c r="F413" s="61" t="str">
        <f>IF(FT!A413&lt;&gt;"",FT!A413*10,"")</f>
        <v/>
      </c>
      <c r="G413" s="61" t="str">
        <f>IF(FT!B413&lt;&gt;"",FT!B413*100,"")</f>
        <v/>
      </c>
      <c r="H413" s="61" t="str">
        <f t="shared" si="24"/>
        <v/>
      </c>
      <c r="I413" t="str">
        <f>IF(FT!B413&lt;&gt;"",FT!E413,"")</f>
        <v/>
      </c>
      <c r="J413" t="str">
        <f>IF(FT!B413&lt;&gt;"",FT!C413,"")</f>
        <v/>
      </c>
    </row>
    <row r="414" spans="5:10">
      <c r="E414">
        <f t="shared" si="25"/>
        <v>412</v>
      </c>
      <c r="F414" s="61" t="str">
        <f>IF(FT!A414&lt;&gt;"",FT!A414*10,"")</f>
        <v/>
      </c>
      <c r="G414" s="61" t="str">
        <f>IF(FT!B414&lt;&gt;"",FT!B414*100,"")</f>
        <v/>
      </c>
      <c r="H414" s="61" t="str">
        <f t="shared" si="24"/>
        <v/>
      </c>
      <c r="I414" t="str">
        <f>IF(FT!B414&lt;&gt;"",FT!E414,"")</f>
        <v/>
      </c>
      <c r="J414" t="str">
        <f>IF(FT!B414&lt;&gt;"",FT!C414,"")</f>
        <v/>
      </c>
    </row>
    <row r="415" spans="5:10">
      <c r="E415">
        <f t="shared" si="25"/>
        <v>413</v>
      </c>
      <c r="F415" s="61" t="str">
        <f>IF(FT!A415&lt;&gt;"",FT!A415*10,"")</f>
        <v/>
      </c>
      <c r="G415" s="61" t="str">
        <f>IF(FT!B415&lt;&gt;"",FT!B415*100,"")</f>
        <v/>
      </c>
      <c r="H415" s="61" t="str">
        <f t="shared" si="24"/>
        <v/>
      </c>
      <c r="I415" t="str">
        <f>IF(FT!B415&lt;&gt;"",FT!E415,"")</f>
        <v/>
      </c>
      <c r="J415" t="str">
        <f>IF(FT!B415&lt;&gt;"",FT!C415,"")</f>
        <v/>
      </c>
    </row>
    <row r="416" spans="5:10">
      <c r="E416">
        <f t="shared" si="25"/>
        <v>414</v>
      </c>
      <c r="F416" s="61" t="str">
        <f>IF(FT!A416&lt;&gt;"",FT!A416*10,"")</f>
        <v/>
      </c>
      <c r="G416" s="61" t="str">
        <f>IF(FT!B416&lt;&gt;"",FT!B416*100,"")</f>
        <v/>
      </c>
      <c r="H416" s="61" t="str">
        <f t="shared" si="24"/>
        <v/>
      </c>
      <c r="I416" t="str">
        <f>IF(FT!B416&lt;&gt;"",FT!E416,"")</f>
        <v/>
      </c>
      <c r="J416" t="str">
        <f>IF(FT!B416&lt;&gt;"",FT!C416,"")</f>
        <v/>
      </c>
    </row>
    <row r="417" spans="5:10">
      <c r="E417">
        <f t="shared" si="25"/>
        <v>415</v>
      </c>
      <c r="F417" s="61" t="str">
        <f>IF(FT!A417&lt;&gt;"",FT!A417*10,"")</f>
        <v/>
      </c>
      <c r="G417" s="61" t="str">
        <f>IF(FT!B417&lt;&gt;"",FT!B417*100,"")</f>
        <v/>
      </c>
      <c r="H417" s="61" t="str">
        <f t="shared" si="24"/>
        <v/>
      </c>
      <c r="I417" t="str">
        <f>IF(FT!B417&lt;&gt;"",FT!E417,"")</f>
        <v/>
      </c>
      <c r="J417" t="str">
        <f>IF(FT!B417&lt;&gt;"",FT!C417,"")</f>
        <v/>
      </c>
    </row>
    <row r="418" spans="5:10">
      <c r="E418">
        <f t="shared" si="25"/>
        <v>416</v>
      </c>
      <c r="F418" s="61" t="str">
        <f>IF(FT!A418&lt;&gt;"",FT!A418*10,"")</f>
        <v/>
      </c>
      <c r="G418" s="61" t="str">
        <f>IF(FT!B418&lt;&gt;"",FT!B418*100,"")</f>
        <v/>
      </c>
      <c r="H418" s="61" t="str">
        <f t="shared" si="24"/>
        <v/>
      </c>
      <c r="I418" t="str">
        <f>IF(FT!B418&lt;&gt;"",FT!E418,"")</f>
        <v/>
      </c>
      <c r="J418" t="str">
        <f>IF(FT!B418&lt;&gt;"",FT!C418,"")</f>
        <v/>
      </c>
    </row>
    <row r="419" spans="5:10">
      <c r="E419">
        <f t="shared" si="25"/>
        <v>417</v>
      </c>
      <c r="F419" s="61" t="str">
        <f>IF(FT!A419&lt;&gt;"",FT!A419*10,"")</f>
        <v/>
      </c>
      <c r="G419" s="61" t="str">
        <f>IF(FT!B419&lt;&gt;"",FT!B419*100,"")</f>
        <v/>
      </c>
      <c r="H419" s="61" t="str">
        <f t="shared" si="24"/>
        <v/>
      </c>
      <c r="I419" t="str">
        <f>IF(FT!B419&lt;&gt;"",FT!E419,"")</f>
        <v/>
      </c>
      <c r="J419" t="str">
        <f>IF(FT!B419&lt;&gt;"",FT!C419,"")</f>
        <v/>
      </c>
    </row>
    <row r="420" spans="5:10">
      <c r="E420">
        <f t="shared" si="25"/>
        <v>418</v>
      </c>
      <c r="F420" s="61" t="str">
        <f>IF(FT!A420&lt;&gt;"",FT!A420*10,"")</f>
        <v/>
      </c>
      <c r="G420" s="61" t="str">
        <f>IF(FT!B420&lt;&gt;"",FT!B420*100,"")</f>
        <v/>
      </c>
      <c r="H420" s="61" t="str">
        <f t="shared" si="24"/>
        <v/>
      </c>
      <c r="I420" t="str">
        <f>IF(FT!B420&lt;&gt;"",FT!E420,"")</f>
        <v/>
      </c>
      <c r="J420" t="str">
        <f>IF(FT!B420&lt;&gt;"",FT!C420,"")</f>
        <v/>
      </c>
    </row>
    <row r="421" spans="5:10">
      <c r="E421">
        <f t="shared" si="25"/>
        <v>419</v>
      </c>
      <c r="F421" s="61" t="str">
        <f>IF(FT!A421&lt;&gt;"",FT!A421*10,"")</f>
        <v/>
      </c>
      <c r="G421" s="61" t="str">
        <f>IF(FT!B421&lt;&gt;"",FT!B421*100,"")</f>
        <v/>
      </c>
      <c r="H421" s="61" t="str">
        <f t="shared" si="24"/>
        <v/>
      </c>
      <c r="I421" t="str">
        <f>IF(FT!B421&lt;&gt;"",FT!E421,"")</f>
        <v/>
      </c>
      <c r="J421" t="str">
        <f>IF(FT!B421&lt;&gt;"",FT!C421,"")</f>
        <v/>
      </c>
    </row>
    <row r="422" spans="5:10">
      <c r="E422">
        <f t="shared" si="25"/>
        <v>420</v>
      </c>
      <c r="F422" s="61" t="str">
        <f>IF(FT!A422&lt;&gt;"",FT!A422*10,"")</f>
        <v/>
      </c>
      <c r="G422" s="61" t="str">
        <f>IF(FT!B422&lt;&gt;"",FT!B422*100,"")</f>
        <v/>
      </c>
      <c r="H422" s="61" t="str">
        <f t="shared" si="24"/>
        <v/>
      </c>
      <c r="I422" t="str">
        <f>IF(FT!B422&lt;&gt;"",FT!E422,"")</f>
        <v/>
      </c>
      <c r="J422" t="str">
        <f>IF(FT!B422&lt;&gt;"",FT!C422,"")</f>
        <v/>
      </c>
    </row>
    <row r="423" spans="5:10">
      <c r="E423">
        <f t="shared" si="25"/>
        <v>421</v>
      </c>
      <c r="F423" s="61" t="str">
        <f>IF(FT!A423&lt;&gt;"",FT!A423*10,"")</f>
        <v/>
      </c>
      <c r="G423" s="61" t="str">
        <f>IF(FT!B423&lt;&gt;"",FT!B423*100,"")</f>
        <v/>
      </c>
      <c r="H423" s="61" t="str">
        <f t="shared" si="24"/>
        <v/>
      </c>
      <c r="I423" t="str">
        <f>IF(FT!B423&lt;&gt;"",FT!E423,"")</f>
        <v/>
      </c>
      <c r="J423" t="str">
        <f>IF(FT!B423&lt;&gt;"",FT!C423,"")</f>
        <v/>
      </c>
    </row>
    <row r="424" spans="5:10">
      <c r="E424">
        <f t="shared" si="25"/>
        <v>422</v>
      </c>
      <c r="F424" s="61" t="str">
        <f>IF(FT!A424&lt;&gt;"",FT!A424*10,"")</f>
        <v/>
      </c>
      <c r="G424" s="61" t="str">
        <f>IF(FT!B424&lt;&gt;"",FT!B424*100,"")</f>
        <v/>
      </c>
      <c r="H424" s="61" t="str">
        <f t="shared" si="24"/>
        <v/>
      </c>
      <c r="I424" t="str">
        <f>IF(FT!B424&lt;&gt;"",FT!E424,"")</f>
        <v/>
      </c>
      <c r="J424" t="str">
        <f>IF(FT!B424&lt;&gt;"",FT!C424,"")</f>
        <v/>
      </c>
    </row>
    <row r="425" spans="5:10">
      <c r="E425">
        <f t="shared" si="25"/>
        <v>423</v>
      </c>
      <c r="F425" s="61" t="str">
        <f>IF(FT!A425&lt;&gt;"",FT!A425*10,"")</f>
        <v/>
      </c>
      <c r="G425" s="61" t="str">
        <f>IF(FT!B425&lt;&gt;"",FT!B425*100,"")</f>
        <v/>
      </c>
      <c r="H425" s="61" t="str">
        <f t="shared" si="24"/>
        <v/>
      </c>
      <c r="I425" t="str">
        <f>IF(FT!B425&lt;&gt;"",FT!E425,"")</f>
        <v/>
      </c>
      <c r="J425" t="str">
        <f>IF(FT!B425&lt;&gt;"",FT!C425,"")</f>
        <v/>
      </c>
    </row>
    <row r="426" spans="5:10">
      <c r="E426">
        <f t="shared" si="25"/>
        <v>424</v>
      </c>
      <c r="F426" s="61" t="str">
        <f>IF(FT!A426&lt;&gt;"",FT!A426*10,"")</f>
        <v/>
      </c>
      <c r="G426" s="61" t="str">
        <f>IF(FT!B426&lt;&gt;"",FT!B426*100,"")</f>
        <v/>
      </c>
      <c r="H426" s="61" t="str">
        <f t="shared" si="24"/>
        <v/>
      </c>
      <c r="I426" t="str">
        <f>IF(FT!B426&lt;&gt;"",FT!E426,"")</f>
        <v/>
      </c>
      <c r="J426" t="str">
        <f>IF(FT!B426&lt;&gt;"",FT!C426,"")</f>
        <v/>
      </c>
    </row>
    <row r="427" spans="5:10">
      <c r="E427">
        <f t="shared" si="25"/>
        <v>425</v>
      </c>
      <c r="F427" s="61" t="str">
        <f>IF(FT!A427&lt;&gt;"",FT!A427*10,"")</f>
        <v/>
      </c>
      <c r="G427" s="61" t="str">
        <f>IF(FT!B427&lt;&gt;"",FT!B427*100,"")</f>
        <v/>
      </c>
      <c r="H427" s="61" t="str">
        <f t="shared" si="24"/>
        <v/>
      </c>
      <c r="I427" t="str">
        <f>IF(FT!B427&lt;&gt;"",FT!E427,"")</f>
        <v/>
      </c>
      <c r="J427" t="str">
        <f>IF(FT!B427&lt;&gt;"",FT!C427,"")</f>
        <v/>
      </c>
    </row>
    <row r="428" spans="5:10">
      <c r="E428">
        <f t="shared" si="25"/>
        <v>426</v>
      </c>
      <c r="F428" s="61" t="str">
        <f>IF(FT!A428&lt;&gt;"",FT!A428*10,"")</f>
        <v/>
      </c>
      <c r="G428" s="61" t="str">
        <f>IF(FT!B428&lt;&gt;"",FT!B428*100,"")</f>
        <v/>
      </c>
      <c r="H428" s="61" t="str">
        <f t="shared" si="24"/>
        <v/>
      </c>
      <c r="I428" t="str">
        <f>IF(FT!B428&lt;&gt;"",FT!E428,"")</f>
        <v/>
      </c>
      <c r="J428" t="str">
        <f>IF(FT!B428&lt;&gt;"",FT!C428,"")</f>
        <v/>
      </c>
    </row>
    <row r="429" spans="5:10">
      <c r="E429">
        <f t="shared" si="25"/>
        <v>427</v>
      </c>
      <c r="F429" s="61" t="str">
        <f>IF(FT!A429&lt;&gt;"",FT!A429*10,"")</f>
        <v/>
      </c>
      <c r="G429" s="61" t="str">
        <f>IF(FT!B429&lt;&gt;"",FT!B429*100,"")</f>
        <v/>
      </c>
      <c r="H429" s="61" t="str">
        <f t="shared" si="24"/>
        <v/>
      </c>
      <c r="I429" t="str">
        <f>IF(FT!B429&lt;&gt;"",FT!E429,"")</f>
        <v/>
      </c>
      <c r="J429" t="str">
        <f>IF(FT!B429&lt;&gt;"",FT!C429,"")</f>
        <v/>
      </c>
    </row>
    <row r="430" spans="5:10">
      <c r="E430">
        <f t="shared" si="25"/>
        <v>428</v>
      </c>
      <c r="F430" s="61" t="str">
        <f>IF(FT!A430&lt;&gt;"",FT!A430*10,"")</f>
        <v/>
      </c>
      <c r="G430" s="61" t="str">
        <f>IF(FT!B430&lt;&gt;"",FT!B430*100,"")</f>
        <v/>
      </c>
      <c r="H430" s="61" t="str">
        <f t="shared" si="24"/>
        <v/>
      </c>
      <c r="I430" t="str">
        <f>IF(FT!B430&lt;&gt;"",FT!E430,"")</f>
        <v/>
      </c>
      <c r="J430" t="str">
        <f>IF(FT!B430&lt;&gt;"",FT!C430,"")</f>
        <v/>
      </c>
    </row>
    <row r="431" spans="5:10">
      <c r="E431">
        <f t="shared" si="25"/>
        <v>429</v>
      </c>
      <c r="F431" s="61" t="str">
        <f>IF(FT!A431&lt;&gt;"",FT!A431*10,"")</f>
        <v/>
      </c>
      <c r="G431" s="61" t="str">
        <f>IF(FT!B431&lt;&gt;"",FT!B431*100,"")</f>
        <v/>
      </c>
      <c r="H431" s="61" t="str">
        <f t="shared" si="24"/>
        <v/>
      </c>
      <c r="I431" t="str">
        <f>IF(FT!B431&lt;&gt;"",FT!E431,"")</f>
        <v/>
      </c>
      <c r="J431" t="str">
        <f>IF(FT!B431&lt;&gt;"",FT!C431,"")</f>
        <v/>
      </c>
    </row>
    <row r="432" spans="5:10">
      <c r="E432">
        <f t="shared" si="25"/>
        <v>430</v>
      </c>
      <c r="F432" s="61" t="str">
        <f>IF(FT!A432&lt;&gt;"",FT!A432*10,"")</f>
        <v/>
      </c>
      <c r="G432" s="61" t="str">
        <f>IF(FT!B432&lt;&gt;"",FT!B432*100,"")</f>
        <v/>
      </c>
      <c r="H432" s="61" t="str">
        <f t="shared" si="24"/>
        <v/>
      </c>
      <c r="I432" t="str">
        <f>IF(FT!B432&lt;&gt;"",FT!E432,"")</f>
        <v/>
      </c>
      <c r="J432" t="str">
        <f>IF(FT!B432&lt;&gt;"",FT!C432,"")</f>
        <v/>
      </c>
    </row>
    <row r="433" spans="5:10">
      <c r="E433">
        <f t="shared" si="25"/>
        <v>431</v>
      </c>
      <c r="F433" s="61" t="str">
        <f>IF(FT!A433&lt;&gt;"",FT!A433*10,"")</f>
        <v/>
      </c>
      <c r="G433" s="61" t="str">
        <f>IF(FT!B433&lt;&gt;"",FT!B433*100,"")</f>
        <v/>
      </c>
      <c r="H433" s="61" t="str">
        <f t="shared" si="24"/>
        <v/>
      </c>
      <c r="I433" t="str">
        <f>IF(FT!B433&lt;&gt;"",FT!E433,"")</f>
        <v/>
      </c>
      <c r="J433" t="str">
        <f>IF(FT!B433&lt;&gt;"",FT!C433,"")</f>
        <v/>
      </c>
    </row>
    <row r="434" spans="5:10">
      <c r="E434">
        <f t="shared" si="25"/>
        <v>432</v>
      </c>
      <c r="F434" s="61" t="str">
        <f>IF(FT!A434&lt;&gt;"",FT!A434*10,"")</f>
        <v/>
      </c>
      <c r="G434" s="61" t="str">
        <f>IF(FT!B434&lt;&gt;"",FT!B434*100,"")</f>
        <v/>
      </c>
      <c r="H434" s="61" t="str">
        <f t="shared" si="24"/>
        <v/>
      </c>
      <c r="I434" t="str">
        <f>IF(FT!B434&lt;&gt;"",FT!E434,"")</f>
        <v/>
      </c>
      <c r="J434" t="str">
        <f>IF(FT!B434&lt;&gt;"",FT!C434,"")</f>
        <v/>
      </c>
    </row>
    <row r="435" spans="5:10">
      <c r="E435">
        <f t="shared" si="25"/>
        <v>433</v>
      </c>
      <c r="F435" s="61" t="str">
        <f>IF(FT!A435&lt;&gt;"",FT!A435*10,"")</f>
        <v/>
      </c>
      <c r="G435" s="61" t="str">
        <f>IF(FT!B435&lt;&gt;"",FT!B435*100,"")</f>
        <v/>
      </c>
      <c r="H435" s="61" t="str">
        <f t="shared" si="24"/>
        <v/>
      </c>
      <c r="I435" t="str">
        <f>IF(FT!B435&lt;&gt;"",FT!E435,"")</f>
        <v/>
      </c>
      <c r="J435" t="str">
        <f>IF(FT!B435&lt;&gt;"",FT!C435,"")</f>
        <v/>
      </c>
    </row>
    <row r="436" spans="5:10">
      <c r="E436">
        <f t="shared" si="25"/>
        <v>434</v>
      </c>
      <c r="F436" s="61" t="str">
        <f>IF(FT!A436&lt;&gt;"",FT!A436*10,"")</f>
        <v/>
      </c>
      <c r="G436" s="61" t="str">
        <f>IF(FT!B436&lt;&gt;"",FT!B436*100,"")</f>
        <v/>
      </c>
      <c r="H436" s="61" t="str">
        <f t="shared" si="24"/>
        <v/>
      </c>
      <c r="I436" t="str">
        <f>IF(FT!B436&lt;&gt;"",FT!E436,"")</f>
        <v/>
      </c>
      <c r="J436" t="str">
        <f>IF(FT!B436&lt;&gt;"",FT!C436,"")</f>
        <v/>
      </c>
    </row>
    <row r="437" spans="5:10">
      <c r="E437">
        <f t="shared" si="25"/>
        <v>435</v>
      </c>
      <c r="F437" s="61" t="str">
        <f>IF(FT!A437&lt;&gt;"",FT!A437*10,"")</f>
        <v/>
      </c>
      <c r="G437" s="61" t="str">
        <f>IF(FT!B437&lt;&gt;"",FT!B437*100,"")</f>
        <v/>
      </c>
      <c r="H437" s="61" t="str">
        <f t="shared" si="24"/>
        <v/>
      </c>
      <c r="I437" t="str">
        <f>IF(FT!B437&lt;&gt;"",FT!E437,"")</f>
        <v/>
      </c>
      <c r="J437" t="str">
        <f>IF(FT!B437&lt;&gt;"",FT!C437,"")</f>
        <v/>
      </c>
    </row>
    <row r="438" spans="5:10">
      <c r="E438">
        <f t="shared" si="25"/>
        <v>436</v>
      </c>
      <c r="F438" s="61" t="str">
        <f>IF(FT!A438&lt;&gt;"",FT!A438*10,"")</f>
        <v/>
      </c>
      <c r="G438" s="61" t="str">
        <f>IF(FT!B438&lt;&gt;"",FT!B438*100,"")</f>
        <v/>
      </c>
      <c r="H438" s="61" t="str">
        <f t="shared" si="24"/>
        <v/>
      </c>
      <c r="I438" t="str">
        <f>IF(FT!B438&lt;&gt;"",FT!E438,"")</f>
        <v/>
      </c>
      <c r="J438" t="str">
        <f>IF(FT!B438&lt;&gt;"",FT!C438,"")</f>
        <v/>
      </c>
    </row>
    <row r="439" spans="5:10">
      <c r="E439">
        <f t="shared" si="25"/>
        <v>437</v>
      </c>
      <c r="F439" s="61" t="str">
        <f>IF(FT!A439&lt;&gt;"",FT!A439*10,"")</f>
        <v/>
      </c>
      <c r="G439" s="61" t="str">
        <f>IF(FT!B439&lt;&gt;"",FT!B439*100,"")</f>
        <v/>
      </c>
      <c r="H439" s="61" t="str">
        <f t="shared" si="24"/>
        <v/>
      </c>
      <c r="I439" t="str">
        <f>IF(FT!B439&lt;&gt;"",FT!E439,"")</f>
        <v/>
      </c>
      <c r="J439" t="str">
        <f>IF(FT!B439&lt;&gt;"",FT!C439,"")</f>
        <v/>
      </c>
    </row>
    <row r="440" spans="5:10">
      <c r="E440">
        <f t="shared" si="25"/>
        <v>438</v>
      </c>
      <c r="F440" s="61" t="str">
        <f>IF(FT!A440&lt;&gt;"",FT!A440*10,"")</f>
        <v/>
      </c>
      <c r="G440" s="61" t="str">
        <f>IF(FT!B440&lt;&gt;"",FT!B440*100,"")</f>
        <v/>
      </c>
      <c r="H440" s="61" t="str">
        <f t="shared" si="24"/>
        <v/>
      </c>
      <c r="I440" t="str">
        <f>IF(FT!B440&lt;&gt;"",FT!E440,"")</f>
        <v/>
      </c>
      <c r="J440" t="str">
        <f>IF(FT!B440&lt;&gt;"",FT!C440,"")</f>
        <v/>
      </c>
    </row>
    <row r="441" spans="5:10">
      <c r="E441">
        <f t="shared" si="25"/>
        <v>439</v>
      </c>
      <c r="F441" s="61" t="str">
        <f>IF(FT!A441&lt;&gt;"",FT!A441*10,"")</f>
        <v/>
      </c>
      <c r="G441" s="61" t="str">
        <f>IF(FT!B441&lt;&gt;"",FT!B441*100,"")</f>
        <v/>
      </c>
      <c r="H441" s="61" t="str">
        <f t="shared" si="24"/>
        <v/>
      </c>
      <c r="I441" t="str">
        <f>IF(FT!B441&lt;&gt;"",FT!E441,"")</f>
        <v/>
      </c>
      <c r="J441" t="str">
        <f>IF(FT!B441&lt;&gt;"",FT!C441,"")</f>
        <v/>
      </c>
    </row>
    <row r="442" spans="5:10">
      <c r="E442">
        <f t="shared" si="25"/>
        <v>440</v>
      </c>
      <c r="F442" s="61" t="str">
        <f>IF(FT!A442&lt;&gt;"",FT!A442*10,"")</f>
        <v/>
      </c>
      <c r="G442" s="61" t="str">
        <f>IF(FT!B442&lt;&gt;"",FT!B442*100,"")</f>
        <v/>
      </c>
      <c r="H442" s="61" t="str">
        <f t="shared" si="24"/>
        <v/>
      </c>
      <c r="I442" t="str">
        <f>IF(FT!B442&lt;&gt;"",FT!E442,"")</f>
        <v/>
      </c>
      <c r="J442" t="str">
        <f>IF(FT!B442&lt;&gt;"",FT!C442,"")</f>
        <v/>
      </c>
    </row>
    <row r="443" spans="5:10">
      <c r="E443">
        <f t="shared" si="25"/>
        <v>441</v>
      </c>
      <c r="F443" s="61" t="str">
        <f>IF(FT!A443&lt;&gt;"",FT!A443*10,"")</f>
        <v/>
      </c>
      <c r="G443" s="61" t="str">
        <f>IF(FT!B443&lt;&gt;"",FT!B443*100,"")</f>
        <v/>
      </c>
      <c r="H443" s="61" t="str">
        <f t="shared" si="24"/>
        <v/>
      </c>
      <c r="I443" t="str">
        <f>IF(FT!B443&lt;&gt;"",FT!E443,"")</f>
        <v/>
      </c>
      <c r="J443" t="str">
        <f>IF(FT!B443&lt;&gt;"",FT!C443,"")</f>
        <v/>
      </c>
    </row>
    <row r="444" spans="5:10">
      <c r="E444">
        <f t="shared" si="25"/>
        <v>442</v>
      </c>
      <c r="F444" s="61" t="str">
        <f>IF(FT!A444&lt;&gt;"",FT!A444*10,"")</f>
        <v/>
      </c>
      <c r="G444" s="61" t="str">
        <f>IF(FT!B444&lt;&gt;"",FT!B444*100,"")</f>
        <v/>
      </c>
      <c r="H444" s="61" t="str">
        <f t="shared" si="24"/>
        <v/>
      </c>
      <c r="I444" t="str">
        <f>IF(FT!B444&lt;&gt;"",FT!E444,"")</f>
        <v/>
      </c>
      <c r="J444" t="str">
        <f>IF(FT!B444&lt;&gt;"",FT!C444,"")</f>
        <v/>
      </c>
    </row>
    <row r="445" spans="5:10">
      <c r="E445">
        <f t="shared" si="25"/>
        <v>443</v>
      </c>
      <c r="F445" s="61" t="str">
        <f>IF(FT!A445&lt;&gt;"",FT!A445*10,"")</f>
        <v/>
      </c>
      <c r="G445" s="61" t="str">
        <f>IF(FT!B445&lt;&gt;"",FT!B445*100,"")</f>
        <v/>
      </c>
      <c r="H445" s="61" t="str">
        <f t="shared" si="24"/>
        <v/>
      </c>
      <c r="I445" t="str">
        <f>IF(FT!B445&lt;&gt;"",FT!E445,"")</f>
        <v/>
      </c>
      <c r="J445" t="str">
        <f>IF(FT!B445&lt;&gt;"",FT!C445,"")</f>
        <v/>
      </c>
    </row>
    <row r="446" spans="5:10">
      <c r="E446">
        <f t="shared" si="25"/>
        <v>444</v>
      </c>
      <c r="F446" s="61" t="str">
        <f>IF(FT!A446&lt;&gt;"",FT!A446*10,"")</f>
        <v/>
      </c>
      <c r="G446" s="61" t="str">
        <f>IF(FT!B446&lt;&gt;"",FT!B446*100,"")</f>
        <v/>
      </c>
      <c r="H446" s="61" t="str">
        <f t="shared" si="24"/>
        <v/>
      </c>
      <c r="I446" t="str">
        <f>IF(FT!B446&lt;&gt;"",FT!E446,"")</f>
        <v/>
      </c>
      <c r="J446" t="str">
        <f>IF(FT!B446&lt;&gt;"",FT!C446,"")</f>
        <v/>
      </c>
    </row>
    <row r="447" spans="5:10">
      <c r="E447">
        <f t="shared" si="25"/>
        <v>445</v>
      </c>
      <c r="F447" s="61" t="str">
        <f>IF(FT!A447&lt;&gt;"",FT!A447*10,"")</f>
        <v/>
      </c>
      <c r="G447" s="61" t="str">
        <f>IF(FT!B447&lt;&gt;"",FT!B447*100,"")</f>
        <v/>
      </c>
      <c r="H447" s="61" t="str">
        <f t="shared" si="24"/>
        <v/>
      </c>
      <c r="I447" t="str">
        <f>IF(FT!B447&lt;&gt;"",FT!E447,"")</f>
        <v/>
      </c>
      <c r="J447" t="str">
        <f>IF(FT!B447&lt;&gt;"",FT!C447,"")</f>
        <v/>
      </c>
    </row>
    <row r="448" spans="5:10">
      <c r="E448">
        <f t="shared" si="25"/>
        <v>446</v>
      </c>
      <c r="F448" s="61" t="str">
        <f>IF(FT!A448&lt;&gt;"",FT!A448*10,"")</f>
        <v/>
      </c>
      <c r="G448" s="61" t="str">
        <f>IF(FT!B448&lt;&gt;"",FT!B448*100,"")</f>
        <v/>
      </c>
      <c r="H448" s="61" t="str">
        <f t="shared" si="24"/>
        <v/>
      </c>
      <c r="I448" t="str">
        <f>IF(FT!B448&lt;&gt;"",FT!E448,"")</f>
        <v/>
      </c>
      <c r="J448" t="str">
        <f>IF(FT!B448&lt;&gt;"",FT!C448,"")</f>
        <v/>
      </c>
    </row>
    <row r="449" spans="5:10">
      <c r="E449">
        <f t="shared" si="25"/>
        <v>447</v>
      </c>
      <c r="F449" s="61" t="str">
        <f>IF(FT!A449&lt;&gt;"",FT!A449*10,"")</f>
        <v/>
      </c>
      <c r="G449" s="61" t="str">
        <f>IF(FT!B449&lt;&gt;"",FT!B449*100,"")</f>
        <v/>
      </c>
      <c r="H449" s="61" t="str">
        <f t="shared" si="24"/>
        <v/>
      </c>
      <c r="I449" t="str">
        <f>IF(FT!B449&lt;&gt;"",FT!E449,"")</f>
        <v/>
      </c>
      <c r="J449" t="str">
        <f>IF(FT!B449&lt;&gt;"",FT!C449,"")</f>
        <v/>
      </c>
    </row>
    <row r="450" spans="5:10">
      <c r="E450">
        <f t="shared" si="25"/>
        <v>448</v>
      </c>
      <c r="F450" s="61" t="str">
        <f>IF(FT!A450&lt;&gt;"",FT!A450*10,"")</f>
        <v/>
      </c>
      <c r="G450" s="61" t="str">
        <f>IF(FT!B450&lt;&gt;"",FT!B450*100,"")</f>
        <v/>
      </c>
      <c r="H450" s="61" t="str">
        <f t="shared" si="24"/>
        <v/>
      </c>
      <c r="I450" t="str">
        <f>IF(FT!B450&lt;&gt;"",FT!E450,"")</f>
        <v/>
      </c>
      <c r="J450" t="str">
        <f>IF(FT!B450&lt;&gt;"",FT!C450,"")</f>
        <v/>
      </c>
    </row>
    <row r="451" spans="5:10">
      <c r="E451">
        <f t="shared" si="25"/>
        <v>449</v>
      </c>
      <c r="F451" s="61" t="str">
        <f>IF(FT!A451&lt;&gt;"",FT!A451*10,"")</f>
        <v/>
      </c>
      <c r="G451" s="61" t="str">
        <f>IF(FT!B451&lt;&gt;"",FT!B451*100,"")</f>
        <v/>
      </c>
      <c r="H451" s="61" t="str">
        <f t="shared" ref="H451:H514" si="26">(IF(F451&lt;&gt;"",1,""))</f>
        <v/>
      </c>
      <c r="I451" t="str">
        <f>IF(FT!B451&lt;&gt;"",FT!E451,"")</f>
        <v/>
      </c>
      <c r="J451" t="str">
        <f>IF(FT!B451&lt;&gt;"",FT!C451,"")</f>
        <v/>
      </c>
    </row>
    <row r="452" spans="5:10">
      <c r="E452">
        <f t="shared" ref="E452:E515" si="27">E451+1</f>
        <v>450</v>
      </c>
      <c r="F452" s="61" t="str">
        <f>IF(FT!A452&lt;&gt;"",FT!A452*10,"")</f>
        <v/>
      </c>
      <c r="G452" s="61" t="str">
        <f>IF(FT!B452&lt;&gt;"",FT!B452*100,"")</f>
        <v/>
      </c>
      <c r="H452" s="61" t="str">
        <f t="shared" si="26"/>
        <v/>
      </c>
      <c r="I452" t="str">
        <f>IF(FT!B452&lt;&gt;"",FT!E452,"")</f>
        <v/>
      </c>
      <c r="J452" t="str">
        <f>IF(FT!B452&lt;&gt;"",FT!C452,"")</f>
        <v/>
      </c>
    </row>
    <row r="453" spans="5:10">
      <c r="E453">
        <f t="shared" si="27"/>
        <v>451</v>
      </c>
      <c r="F453" s="61" t="str">
        <f>IF(FT!A453&lt;&gt;"",FT!A453*10,"")</f>
        <v/>
      </c>
      <c r="G453" s="61" t="str">
        <f>IF(FT!B453&lt;&gt;"",FT!B453*100,"")</f>
        <v/>
      </c>
      <c r="H453" s="61" t="str">
        <f t="shared" si="26"/>
        <v/>
      </c>
      <c r="I453" t="str">
        <f>IF(FT!B453&lt;&gt;"",FT!E453,"")</f>
        <v/>
      </c>
      <c r="J453" t="str">
        <f>IF(FT!B453&lt;&gt;"",FT!C453,"")</f>
        <v/>
      </c>
    </row>
    <row r="454" spans="5:10">
      <c r="E454">
        <f t="shared" si="27"/>
        <v>452</v>
      </c>
      <c r="F454" s="61" t="str">
        <f>IF(FT!A454&lt;&gt;"",FT!A454*10,"")</f>
        <v/>
      </c>
      <c r="G454" s="61" t="str">
        <f>IF(FT!B454&lt;&gt;"",FT!B454*100,"")</f>
        <v/>
      </c>
      <c r="H454" s="61" t="str">
        <f t="shared" si="26"/>
        <v/>
      </c>
      <c r="I454" t="str">
        <f>IF(FT!B454&lt;&gt;"",FT!E454,"")</f>
        <v/>
      </c>
      <c r="J454" t="str">
        <f>IF(FT!B454&lt;&gt;"",FT!C454,"")</f>
        <v/>
      </c>
    </row>
    <row r="455" spans="5:10">
      <c r="E455">
        <f t="shared" si="27"/>
        <v>453</v>
      </c>
      <c r="F455" s="61" t="str">
        <f>IF(FT!A455&lt;&gt;"",FT!A455*10,"")</f>
        <v/>
      </c>
      <c r="G455" s="61" t="str">
        <f>IF(FT!B455&lt;&gt;"",FT!B455*100,"")</f>
        <v/>
      </c>
      <c r="H455" s="61" t="str">
        <f t="shared" si="26"/>
        <v/>
      </c>
      <c r="I455" t="str">
        <f>IF(FT!B455&lt;&gt;"",FT!E455,"")</f>
        <v/>
      </c>
      <c r="J455" t="str">
        <f>IF(FT!B455&lt;&gt;"",FT!C455,"")</f>
        <v/>
      </c>
    </row>
    <row r="456" spans="5:10">
      <c r="E456">
        <f t="shared" si="27"/>
        <v>454</v>
      </c>
      <c r="F456" s="61" t="str">
        <f>IF(FT!A456&lt;&gt;"",FT!A456*10,"")</f>
        <v/>
      </c>
      <c r="G456" s="61" t="str">
        <f>IF(FT!B456&lt;&gt;"",FT!B456*100,"")</f>
        <v/>
      </c>
      <c r="H456" s="61" t="str">
        <f t="shared" si="26"/>
        <v/>
      </c>
      <c r="I456" t="str">
        <f>IF(FT!B456&lt;&gt;"",FT!E456,"")</f>
        <v/>
      </c>
      <c r="J456" t="str">
        <f>IF(FT!B456&lt;&gt;"",FT!C456,"")</f>
        <v/>
      </c>
    </row>
    <row r="457" spans="5:10">
      <c r="E457">
        <f t="shared" si="27"/>
        <v>455</v>
      </c>
      <c r="F457" s="61" t="str">
        <f>IF(FT!A457&lt;&gt;"",FT!A457*10,"")</f>
        <v/>
      </c>
      <c r="G457" s="61" t="str">
        <f>IF(FT!B457&lt;&gt;"",FT!B457*100,"")</f>
        <v/>
      </c>
      <c r="H457" s="61" t="str">
        <f t="shared" si="26"/>
        <v/>
      </c>
      <c r="I457" t="str">
        <f>IF(FT!B457&lt;&gt;"",FT!E457,"")</f>
        <v/>
      </c>
      <c r="J457" t="str">
        <f>IF(FT!B457&lt;&gt;"",FT!C457,"")</f>
        <v/>
      </c>
    </row>
    <row r="458" spans="5:10">
      <c r="E458">
        <f t="shared" si="27"/>
        <v>456</v>
      </c>
      <c r="F458" s="61" t="str">
        <f>IF(FT!A458&lt;&gt;"",FT!A458*10,"")</f>
        <v/>
      </c>
      <c r="G458" s="61" t="str">
        <f>IF(FT!B458&lt;&gt;"",FT!B458*100,"")</f>
        <v/>
      </c>
      <c r="H458" s="61" t="str">
        <f t="shared" si="26"/>
        <v/>
      </c>
      <c r="I458" t="str">
        <f>IF(FT!B458&lt;&gt;"",FT!E458,"")</f>
        <v/>
      </c>
      <c r="J458" t="str">
        <f>IF(FT!B458&lt;&gt;"",FT!C458,"")</f>
        <v/>
      </c>
    </row>
    <row r="459" spans="5:10">
      <c r="E459">
        <f t="shared" si="27"/>
        <v>457</v>
      </c>
      <c r="F459" s="61" t="str">
        <f>IF(FT!A459&lt;&gt;"",FT!A459*10,"")</f>
        <v/>
      </c>
      <c r="G459" s="61" t="str">
        <f>IF(FT!B459&lt;&gt;"",FT!B459*100,"")</f>
        <v/>
      </c>
      <c r="H459" s="61" t="str">
        <f t="shared" si="26"/>
        <v/>
      </c>
      <c r="I459" t="str">
        <f>IF(FT!B459&lt;&gt;"",FT!E459,"")</f>
        <v/>
      </c>
      <c r="J459" t="str">
        <f>IF(FT!B459&lt;&gt;"",FT!C459,"")</f>
        <v/>
      </c>
    </row>
    <row r="460" spans="5:10">
      <c r="E460">
        <f t="shared" si="27"/>
        <v>458</v>
      </c>
      <c r="F460" s="61" t="str">
        <f>IF(FT!A460&lt;&gt;"",FT!A460*10,"")</f>
        <v/>
      </c>
      <c r="G460" s="61" t="str">
        <f>IF(FT!B460&lt;&gt;"",FT!B460*100,"")</f>
        <v/>
      </c>
      <c r="H460" s="61" t="str">
        <f t="shared" si="26"/>
        <v/>
      </c>
      <c r="I460" t="str">
        <f>IF(FT!B460&lt;&gt;"",FT!E460,"")</f>
        <v/>
      </c>
      <c r="J460" t="str">
        <f>IF(FT!B460&lt;&gt;"",FT!C460,"")</f>
        <v/>
      </c>
    </row>
    <row r="461" spans="5:10">
      <c r="E461">
        <f t="shared" si="27"/>
        <v>459</v>
      </c>
      <c r="F461" s="61" t="str">
        <f>IF(FT!A461&lt;&gt;"",FT!A461*10,"")</f>
        <v/>
      </c>
      <c r="G461" s="61" t="str">
        <f>IF(FT!B461&lt;&gt;"",FT!B461*100,"")</f>
        <v/>
      </c>
      <c r="H461" s="61" t="str">
        <f t="shared" si="26"/>
        <v/>
      </c>
      <c r="I461" t="str">
        <f>IF(FT!B461&lt;&gt;"",FT!E461,"")</f>
        <v/>
      </c>
      <c r="J461" t="str">
        <f>IF(FT!B461&lt;&gt;"",FT!C461,"")</f>
        <v/>
      </c>
    </row>
    <row r="462" spans="5:10">
      <c r="E462">
        <f t="shared" si="27"/>
        <v>460</v>
      </c>
      <c r="F462" s="61" t="str">
        <f>IF(FT!A462&lt;&gt;"",FT!A462*10,"")</f>
        <v/>
      </c>
      <c r="G462" s="61" t="str">
        <f>IF(FT!B462&lt;&gt;"",FT!B462*100,"")</f>
        <v/>
      </c>
      <c r="H462" s="61" t="str">
        <f t="shared" si="26"/>
        <v/>
      </c>
      <c r="I462" t="str">
        <f>IF(FT!B462&lt;&gt;"",FT!E462,"")</f>
        <v/>
      </c>
      <c r="J462" t="str">
        <f>IF(FT!B462&lt;&gt;"",FT!C462,"")</f>
        <v/>
      </c>
    </row>
    <row r="463" spans="5:10">
      <c r="E463">
        <f t="shared" si="27"/>
        <v>461</v>
      </c>
      <c r="F463" s="61" t="str">
        <f>IF(FT!A463&lt;&gt;"",FT!A463*10,"")</f>
        <v/>
      </c>
      <c r="G463" s="61" t="str">
        <f>IF(FT!B463&lt;&gt;"",FT!B463*100,"")</f>
        <v/>
      </c>
      <c r="H463" s="61" t="str">
        <f t="shared" si="26"/>
        <v/>
      </c>
      <c r="I463" t="str">
        <f>IF(FT!B463&lt;&gt;"",FT!E463,"")</f>
        <v/>
      </c>
      <c r="J463" t="str">
        <f>IF(FT!B463&lt;&gt;"",FT!C463,"")</f>
        <v/>
      </c>
    </row>
    <row r="464" spans="5:10">
      <c r="E464">
        <f t="shared" si="27"/>
        <v>462</v>
      </c>
      <c r="F464" s="61" t="str">
        <f>IF(FT!A464&lt;&gt;"",FT!A464*10,"")</f>
        <v/>
      </c>
      <c r="G464" s="61" t="str">
        <f>IF(FT!B464&lt;&gt;"",FT!B464*100,"")</f>
        <v/>
      </c>
      <c r="H464" s="61" t="str">
        <f t="shared" si="26"/>
        <v/>
      </c>
      <c r="I464" t="str">
        <f>IF(FT!B464&lt;&gt;"",FT!E464,"")</f>
        <v/>
      </c>
      <c r="J464" t="str">
        <f>IF(FT!B464&lt;&gt;"",FT!C464,"")</f>
        <v/>
      </c>
    </row>
    <row r="465" spans="5:10">
      <c r="E465">
        <f t="shared" si="27"/>
        <v>463</v>
      </c>
      <c r="F465" s="61" t="str">
        <f>IF(FT!A465&lt;&gt;"",FT!A465*10,"")</f>
        <v/>
      </c>
      <c r="G465" s="61" t="str">
        <f>IF(FT!B465&lt;&gt;"",FT!B465*100,"")</f>
        <v/>
      </c>
      <c r="H465" s="61" t="str">
        <f t="shared" si="26"/>
        <v/>
      </c>
      <c r="I465" t="str">
        <f>IF(FT!B465&lt;&gt;"",FT!E465,"")</f>
        <v/>
      </c>
      <c r="J465" t="str">
        <f>IF(FT!B465&lt;&gt;"",FT!C465,"")</f>
        <v/>
      </c>
    </row>
    <row r="466" spans="5:10">
      <c r="E466">
        <f t="shared" si="27"/>
        <v>464</v>
      </c>
      <c r="F466" s="61" t="str">
        <f>IF(FT!A466&lt;&gt;"",FT!A466*10,"")</f>
        <v/>
      </c>
      <c r="G466" s="61" t="str">
        <f>IF(FT!B466&lt;&gt;"",FT!B466*100,"")</f>
        <v/>
      </c>
      <c r="H466" s="61" t="str">
        <f t="shared" si="26"/>
        <v/>
      </c>
      <c r="I466" t="str">
        <f>IF(FT!B466&lt;&gt;"",FT!E466,"")</f>
        <v/>
      </c>
      <c r="J466" t="str">
        <f>IF(FT!B466&lt;&gt;"",FT!C466,"")</f>
        <v/>
      </c>
    </row>
    <row r="467" spans="5:10">
      <c r="E467">
        <f t="shared" si="27"/>
        <v>465</v>
      </c>
      <c r="F467" s="61" t="str">
        <f>IF(FT!A467&lt;&gt;"",FT!A467*10,"")</f>
        <v/>
      </c>
      <c r="G467" s="61" t="str">
        <f>IF(FT!B467&lt;&gt;"",FT!B467*100,"")</f>
        <v/>
      </c>
      <c r="H467" s="61" t="str">
        <f t="shared" si="26"/>
        <v/>
      </c>
      <c r="I467" t="str">
        <f>IF(FT!B467&lt;&gt;"",FT!E467,"")</f>
        <v/>
      </c>
      <c r="J467" t="str">
        <f>IF(FT!B467&lt;&gt;"",FT!C467,"")</f>
        <v/>
      </c>
    </row>
    <row r="468" spans="5:10">
      <c r="E468">
        <f t="shared" si="27"/>
        <v>466</v>
      </c>
      <c r="F468" s="61" t="str">
        <f>IF(FT!A468&lt;&gt;"",FT!A468*10,"")</f>
        <v/>
      </c>
      <c r="G468" s="61" t="str">
        <f>IF(FT!B468&lt;&gt;"",FT!B468*100,"")</f>
        <v/>
      </c>
      <c r="H468" s="61" t="str">
        <f t="shared" si="26"/>
        <v/>
      </c>
      <c r="I468" t="str">
        <f>IF(FT!B468&lt;&gt;"",FT!E468,"")</f>
        <v/>
      </c>
      <c r="J468" t="str">
        <f>IF(FT!B468&lt;&gt;"",FT!C468,"")</f>
        <v/>
      </c>
    </row>
    <row r="469" spans="5:10">
      <c r="E469">
        <f t="shared" si="27"/>
        <v>467</v>
      </c>
      <c r="F469" s="61" t="str">
        <f>IF(FT!A469&lt;&gt;"",FT!A469*10,"")</f>
        <v/>
      </c>
      <c r="G469" s="61" t="str">
        <f>IF(FT!B469&lt;&gt;"",FT!B469*100,"")</f>
        <v/>
      </c>
      <c r="H469" s="61" t="str">
        <f t="shared" si="26"/>
        <v/>
      </c>
      <c r="I469" t="str">
        <f>IF(FT!B469&lt;&gt;"",FT!E469,"")</f>
        <v/>
      </c>
      <c r="J469" t="str">
        <f>IF(FT!B469&lt;&gt;"",FT!C469,"")</f>
        <v/>
      </c>
    </row>
    <row r="470" spans="5:10">
      <c r="E470">
        <f t="shared" si="27"/>
        <v>468</v>
      </c>
      <c r="F470" s="61" t="str">
        <f>IF(FT!A470&lt;&gt;"",FT!A470*10,"")</f>
        <v/>
      </c>
      <c r="G470" s="61" t="str">
        <f>IF(FT!B470&lt;&gt;"",FT!B470*100,"")</f>
        <v/>
      </c>
      <c r="H470" s="61" t="str">
        <f t="shared" si="26"/>
        <v/>
      </c>
      <c r="I470" t="str">
        <f>IF(FT!B470&lt;&gt;"",FT!E470,"")</f>
        <v/>
      </c>
      <c r="J470" t="str">
        <f>IF(FT!B470&lt;&gt;"",FT!C470,"")</f>
        <v/>
      </c>
    </row>
    <row r="471" spans="5:10">
      <c r="E471">
        <f t="shared" si="27"/>
        <v>469</v>
      </c>
      <c r="F471" s="61" t="str">
        <f>IF(FT!A471&lt;&gt;"",FT!A471*10,"")</f>
        <v/>
      </c>
      <c r="G471" s="61" t="str">
        <f>IF(FT!B471&lt;&gt;"",FT!B471*100,"")</f>
        <v/>
      </c>
      <c r="H471" s="61" t="str">
        <f t="shared" si="26"/>
        <v/>
      </c>
      <c r="I471" t="str">
        <f>IF(FT!B471&lt;&gt;"",FT!E471,"")</f>
        <v/>
      </c>
      <c r="J471" t="str">
        <f>IF(FT!B471&lt;&gt;"",FT!C471,"")</f>
        <v/>
      </c>
    </row>
    <row r="472" spans="5:10">
      <c r="E472">
        <f t="shared" si="27"/>
        <v>470</v>
      </c>
      <c r="F472" s="61" t="str">
        <f>IF(FT!A472&lt;&gt;"",FT!A472*10,"")</f>
        <v/>
      </c>
      <c r="G472" s="61" t="str">
        <f>IF(FT!B472&lt;&gt;"",FT!B472*100,"")</f>
        <v/>
      </c>
      <c r="H472" s="61" t="str">
        <f t="shared" si="26"/>
        <v/>
      </c>
      <c r="I472" t="str">
        <f>IF(FT!B472&lt;&gt;"",FT!E472,"")</f>
        <v/>
      </c>
      <c r="J472" t="str">
        <f>IF(FT!B472&lt;&gt;"",FT!C472,"")</f>
        <v/>
      </c>
    </row>
    <row r="473" spans="5:10">
      <c r="E473">
        <f t="shared" si="27"/>
        <v>471</v>
      </c>
      <c r="F473" s="61" t="str">
        <f>IF(FT!A473&lt;&gt;"",FT!A473*10,"")</f>
        <v/>
      </c>
      <c r="G473" s="61" t="str">
        <f>IF(FT!B473&lt;&gt;"",FT!B473*100,"")</f>
        <v/>
      </c>
      <c r="H473" s="61" t="str">
        <f t="shared" si="26"/>
        <v/>
      </c>
      <c r="I473" t="str">
        <f>IF(FT!B473&lt;&gt;"",FT!E473,"")</f>
        <v/>
      </c>
      <c r="J473" t="str">
        <f>IF(FT!B473&lt;&gt;"",FT!C473,"")</f>
        <v/>
      </c>
    </row>
    <row r="474" spans="5:10">
      <c r="E474">
        <f t="shared" si="27"/>
        <v>472</v>
      </c>
      <c r="F474" s="61" t="str">
        <f>IF(FT!A474&lt;&gt;"",FT!A474*10,"")</f>
        <v/>
      </c>
      <c r="G474" s="61" t="str">
        <f>IF(FT!B474&lt;&gt;"",FT!B474*100,"")</f>
        <v/>
      </c>
      <c r="H474" s="61" t="str">
        <f t="shared" si="26"/>
        <v/>
      </c>
      <c r="I474" t="str">
        <f>IF(FT!B474&lt;&gt;"",FT!E474,"")</f>
        <v/>
      </c>
      <c r="J474" t="str">
        <f>IF(FT!B474&lt;&gt;"",FT!C474,"")</f>
        <v/>
      </c>
    </row>
    <row r="475" spans="5:10">
      <c r="E475">
        <f t="shared" si="27"/>
        <v>473</v>
      </c>
      <c r="F475" s="61" t="str">
        <f>IF(FT!A475&lt;&gt;"",FT!A475*10,"")</f>
        <v/>
      </c>
      <c r="G475" s="61" t="str">
        <f>IF(FT!B475&lt;&gt;"",FT!B475*100,"")</f>
        <v/>
      </c>
      <c r="H475" s="61" t="str">
        <f t="shared" si="26"/>
        <v/>
      </c>
      <c r="I475" t="str">
        <f>IF(FT!B475&lt;&gt;"",FT!E475,"")</f>
        <v/>
      </c>
      <c r="J475" t="str">
        <f>IF(FT!B475&lt;&gt;"",FT!C475,"")</f>
        <v/>
      </c>
    </row>
    <row r="476" spans="5:10">
      <c r="E476">
        <f t="shared" si="27"/>
        <v>474</v>
      </c>
      <c r="F476" s="61" t="str">
        <f>IF(FT!A476&lt;&gt;"",FT!A476*10,"")</f>
        <v/>
      </c>
      <c r="G476" s="61" t="str">
        <f>IF(FT!B476&lt;&gt;"",FT!B476*100,"")</f>
        <v/>
      </c>
      <c r="H476" s="61" t="str">
        <f t="shared" si="26"/>
        <v/>
      </c>
      <c r="I476" t="str">
        <f>IF(FT!B476&lt;&gt;"",FT!E476,"")</f>
        <v/>
      </c>
      <c r="J476" t="str">
        <f>IF(FT!B476&lt;&gt;"",FT!C476,"")</f>
        <v/>
      </c>
    </row>
    <row r="477" spans="5:10">
      <c r="E477">
        <f t="shared" si="27"/>
        <v>475</v>
      </c>
      <c r="F477" s="61" t="str">
        <f>IF(FT!A477&lt;&gt;"",FT!A477*10,"")</f>
        <v/>
      </c>
      <c r="G477" s="61" t="str">
        <f>IF(FT!B477&lt;&gt;"",FT!B477*100,"")</f>
        <v/>
      </c>
      <c r="H477" s="61" t="str">
        <f t="shared" si="26"/>
        <v/>
      </c>
      <c r="I477" t="str">
        <f>IF(FT!B477&lt;&gt;"",FT!E477,"")</f>
        <v/>
      </c>
      <c r="J477" t="str">
        <f>IF(FT!B477&lt;&gt;"",FT!C477,"")</f>
        <v/>
      </c>
    </row>
    <row r="478" spans="5:10">
      <c r="E478">
        <f t="shared" si="27"/>
        <v>476</v>
      </c>
      <c r="F478" s="61" t="str">
        <f>IF(FT!A478&lt;&gt;"",FT!A478*10,"")</f>
        <v/>
      </c>
      <c r="G478" s="61" t="str">
        <f>IF(FT!B478&lt;&gt;"",FT!B478*100,"")</f>
        <v/>
      </c>
      <c r="H478" s="61" t="str">
        <f t="shared" si="26"/>
        <v/>
      </c>
      <c r="I478" t="str">
        <f>IF(FT!B478&lt;&gt;"",FT!E478,"")</f>
        <v/>
      </c>
      <c r="J478" t="str">
        <f>IF(FT!B478&lt;&gt;"",FT!C478,"")</f>
        <v/>
      </c>
    </row>
    <row r="479" spans="5:10">
      <c r="E479">
        <f t="shared" si="27"/>
        <v>477</v>
      </c>
      <c r="F479" s="61" t="str">
        <f>IF(FT!A479&lt;&gt;"",FT!A479*10,"")</f>
        <v/>
      </c>
      <c r="G479" s="61" t="str">
        <f>IF(FT!B479&lt;&gt;"",FT!B479*100,"")</f>
        <v/>
      </c>
      <c r="H479" s="61" t="str">
        <f t="shared" si="26"/>
        <v/>
      </c>
      <c r="I479" t="str">
        <f>IF(FT!B479&lt;&gt;"",FT!E479,"")</f>
        <v/>
      </c>
      <c r="J479" t="str">
        <f>IF(FT!B479&lt;&gt;"",FT!C479,"")</f>
        <v/>
      </c>
    </row>
    <row r="480" spans="5:10">
      <c r="E480">
        <f t="shared" si="27"/>
        <v>478</v>
      </c>
      <c r="F480" s="61" t="str">
        <f>IF(FT!A480&lt;&gt;"",FT!A480*10,"")</f>
        <v/>
      </c>
      <c r="G480" s="61" t="str">
        <f>IF(FT!B480&lt;&gt;"",FT!B480*100,"")</f>
        <v/>
      </c>
      <c r="H480" s="61" t="str">
        <f t="shared" si="26"/>
        <v/>
      </c>
      <c r="I480" t="str">
        <f>IF(FT!B480&lt;&gt;"",FT!E480,"")</f>
        <v/>
      </c>
      <c r="J480" t="str">
        <f>IF(FT!B480&lt;&gt;"",FT!C480,"")</f>
        <v/>
      </c>
    </row>
    <row r="481" spans="5:10">
      <c r="E481">
        <f t="shared" si="27"/>
        <v>479</v>
      </c>
      <c r="F481" s="61" t="str">
        <f>IF(FT!A481&lt;&gt;"",FT!A481*10,"")</f>
        <v/>
      </c>
      <c r="G481" s="61" t="str">
        <f>IF(FT!B481&lt;&gt;"",FT!B481*100,"")</f>
        <v/>
      </c>
      <c r="H481" s="61" t="str">
        <f t="shared" si="26"/>
        <v/>
      </c>
      <c r="I481" t="str">
        <f>IF(FT!B481&lt;&gt;"",FT!E481,"")</f>
        <v/>
      </c>
      <c r="J481" t="str">
        <f>IF(FT!B481&lt;&gt;"",FT!C481,"")</f>
        <v/>
      </c>
    </row>
    <row r="482" spans="5:10">
      <c r="E482">
        <f t="shared" si="27"/>
        <v>480</v>
      </c>
      <c r="F482" s="61" t="str">
        <f>IF(FT!A482&lt;&gt;"",FT!A482*10,"")</f>
        <v/>
      </c>
      <c r="G482" s="61" t="str">
        <f>IF(FT!B482&lt;&gt;"",FT!B482*100,"")</f>
        <v/>
      </c>
      <c r="H482" s="61" t="str">
        <f t="shared" si="26"/>
        <v/>
      </c>
      <c r="I482" t="str">
        <f>IF(FT!B482&lt;&gt;"",FT!E482,"")</f>
        <v/>
      </c>
      <c r="J482" t="str">
        <f>IF(FT!B482&lt;&gt;"",FT!C482,"")</f>
        <v/>
      </c>
    </row>
    <row r="483" spans="5:10">
      <c r="E483">
        <f t="shared" si="27"/>
        <v>481</v>
      </c>
      <c r="F483" s="61" t="str">
        <f>IF(FT!A483&lt;&gt;"",FT!A483*10,"")</f>
        <v/>
      </c>
      <c r="G483" s="61" t="str">
        <f>IF(FT!B483&lt;&gt;"",FT!B483*100,"")</f>
        <v/>
      </c>
      <c r="H483" s="61" t="str">
        <f t="shared" si="26"/>
        <v/>
      </c>
      <c r="I483" t="str">
        <f>IF(FT!B483&lt;&gt;"",FT!E483,"")</f>
        <v/>
      </c>
      <c r="J483" t="str">
        <f>IF(FT!B483&lt;&gt;"",FT!C483,"")</f>
        <v/>
      </c>
    </row>
    <row r="484" spans="5:10">
      <c r="E484">
        <f t="shared" si="27"/>
        <v>482</v>
      </c>
      <c r="F484" s="61" t="str">
        <f>IF(FT!A484&lt;&gt;"",FT!A484*10,"")</f>
        <v/>
      </c>
      <c r="G484" s="61" t="str">
        <f>IF(FT!B484&lt;&gt;"",FT!B484*100,"")</f>
        <v/>
      </c>
      <c r="H484" s="61" t="str">
        <f t="shared" si="26"/>
        <v/>
      </c>
      <c r="I484" t="str">
        <f>IF(FT!B484&lt;&gt;"",FT!E484,"")</f>
        <v/>
      </c>
      <c r="J484" t="str">
        <f>IF(FT!B484&lt;&gt;"",FT!C484,"")</f>
        <v/>
      </c>
    </row>
    <row r="485" spans="5:10">
      <c r="E485">
        <f t="shared" si="27"/>
        <v>483</v>
      </c>
      <c r="F485" s="61" t="str">
        <f>IF(FT!A485&lt;&gt;"",FT!A485*10,"")</f>
        <v/>
      </c>
      <c r="G485" s="61" t="str">
        <f>IF(FT!B485&lt;&gt;"",FT!B485*100,"")</f>
        <v/>
      </c>
      <c r="H485" s="61" t="str">
        <f t="shared" si="26"/>
        <v/>
      </c>
      <c r="I485" t="str">
        <f>IF(FT!B485&lt;&gt;"",FT!E485,"")</f>
        <v/>
      </c>
      <c r="J485" t="str">
        <f>IF(FT!B485&lt;&gt;"",FT!C485,"")</f>
        <v/>
      </c>
    </row>
    <row r="486" spans="5:10">
      <c r="E486">
        <f t="shared" si="27"/>
        <v>484</v>
      </c>
      <c r="F486" s="61" t="str">
        <f>IF(FT!A486&lt;&gt;"",FT!A486*10,"")</f>
        <v/>
      </c>
      <c r="G486" s="61" t="str">
        <f>IF(FT!B486&lt;&gt;"",FT!B486*100,"")</f>
        <v/>
      </c>
      <c r="H486" s="61" t="str">
        <f t="shared" si="26"/>
        <v/>
      </c>
      <c r="I486" t="str">
        <f>IF(FT!B486&lt;&gt;"",FT!E486,"")</f>
        <v/>
      </c>
      <c r="J486" t="str">
        <f>IF(FT!B486&lt;&gt;"",FT!C486,"")</f>
        <v/>
      </c>
    </row>
    <row r="487" spans="5:10">
      <c r="E487">
        <f t="shared" si="27"/>
        <v>485</v>
      </c>
      <c r="F487" s="61" t="str">
        <f>IF(FT!A487&lt;&gt;"",FT!A487*10,"")</f>
        <v/>
      </c>
      <c r="G487" s="61" t="str">
        <f>IF(FT!B487&lt;&gt;"",FT!B487*100,"")</f>
        <v/>
      </c>
      <c r="H487" s="61" t="str">
        <f t="shared" si="26"/>
        <v/>
      </c>
      <c r="I487" t="str">
        <f>IF(FT!B487&lt;&gt;"",FT!E487,"")</f>
        <v/>
      </c>
      <c r="J487" t="str">
        <f>IF(FT!B487&lt;&gt;"",FT!C487,"")</f>
        <v/>
      </c>
    </row>
    <row r="488" spans="5:10">
      <c r="E488">
        <f t="shared" si="27"/>
        <v>486</v>
      </c>
      <c r="F488" s="61" t="str">
        <f>IF(FT!A488&lt;&gt;"",FT!A488*10,"")</f>
        <v/>
      </c>
      <c r="G488" s="61" t="str">
        <f>IF(FT!B488&lt;&gt;"",FT!B488*100,"")</f>
        <v/>
      </c>
      <c r="H488" s="61" t="str">
        <f t="shared" si="26"/>
        <v/>
      </c>
      <c r="I488" t="str">
        <f>IF(FT!B488&lt;&gt;"",FT!E488,"")</f>
        <v/>
      </c>
      <c r="J488" t="str">
        <f>IF(FT!B488&lt;&gt;"",FT!C488,"")</f>
        <v/>
      </c>
    </row>
    <row r="489" spans="5:10">
      <c r="E489">
        <f t="shared" si="27"/>
        <v>487</v>
      </c>
      <c r="F489" s="61" t="str">
        <f>IF(FT!A489&lt;&gt;"",FT!A489*10,"")</f>
        <v/>
      </c>
      <c r="G489" s="61" t="str">
        <f>IF(FT!B489&lt;&gt;"",FT!B489*100,"")</f>
        <v/>
      </c>
      <c r="H489" s="61" t="str">
        <f t="shared" si="26"/>
        <v/>
      </c>
      <c r="I489" t="str">
        <f>IF(FT!B489&lt;&gt;"",FT!E489,"")</f>
        <v/>
      </c>
      <c r="J489" t="str">
        <f>IF(FT!B489&lt;&gt;"",FT!C489,"")</f>
        <v/>
      </c>
    </row>
    <row r="490" spans="5:10">
      <c r="E490">
        <f t="shared" si="27"/>
        <v>488</v>
      </c>
      <c r="F490" s="61" t="str">
        <f>IF(FT!A490&lt;&gt;"",FT!A490*10,"")</f>
        <v/>
      </c>
      <c r="G490" s="61" t="str">
        <f>IF(FT!B490&lt;&gt;"",FT!B490*100,"")</f>
        <v/>
      </c>
      <c r="H490" s="61" t="str">
        <f t="shared" si="26"/>
        <v/>
      </c>
      <c r="I490" t="str">
        <f>IF(FT!B490&lt;&gt;"",FT!E490,"")</f>
        <v/>
      </c>
      <c r="J490" t="str">
        <f>IF(FT!B490&lt;&gt;"",FT!C490,"")</f>
        <v/>
      </c>
    </row>
    <row r="491" spans="5:10">
      <c r="E491">
        <f t="shared" si="27"/>
        <v>489</v>
      </c>
      <c r="F491" s="61" t="str">
        <f>IF(FT!A491&lt;&gt;"",FT!A491*10,"")</f>
        <v/>
      </c>
      <c r="G491" s="61" t="str">
        <f>IF(FT!B491&lt;&gt;"",FT!B491*100,"")</f>
        <v/>
      </c>
      <c r="H491" s="61" t="str">
        <f t="shared" si="26"/>
        <v/>
      </c>
      <c r="I491" t="str">
        <f>IF(FT!B491&lt;&gt;"",FT!E491,"")</f>
        <v/>
      </c>
      <c r="J491" t="str">
        <f>IF(FT!B491&lt;&gt;"",FT!C491,"")</f>
        <v/>
      </c>
    </row>
    <row r="492" spans="5:10">
      <c r="E492">
        <f t="shared" si="27"/>
        <v>490</v>
      </c>
      <c r="F492" s="61" t="str">
        <f>IF(FT!A492&lt;&gt;"",FT!A492*10,"")</f>
        <v/>
      </c>
      <c r="G492" s="61" t="str">
        <f>IF(FT!B492&lt;&gt;"",FT!B492*100,"")</f>
        <v/>
      </c>
      <c r="H492" s="61" t="str">
        <f t="shared" si="26"/>
        <v/>
      </c>
      <c r="I492" t="str">
        <f>IF(FT!B492&lt;&gt;"",FT!E492,"")</f>
        <v/>
      </c>
      <c r="J492" t="str">
        <f>IF(FT!B492&lt;&gt;"",FT!C492,"")</f>
        <v/>
      </c>
    </row>
    <row r="493" spans="5:10">
      <c r="E493">
        <f t="shared" si="27"/>
        <v>491</v>
      </c>
      <c r="F493" s="61" t="str">
        <f>IF(FT!A493&lt;&gt;"",FT!A493*10,"")</f>
        <v/>
      </c>
      <c r="G493" s="61" t="str">
        <f>IF(FT!B493&lt;&gt;"",FT!B493*100,"")</f>
        <v/>
      </c>
      <c r="H493" s="61" t="str">
        <f t="shared" si="26"/>
        <v/>
      </c>
      <c r="I493" t="str">
        <f>IF(FT!B493&lt;&gt;"",FT!E493,"")</f>
        <v/>
      </c>
      <c r="J493" t="str">
        <f>IF(FT!B493&lt;&gt;"",FT!C493,"")</f>
        <v/>
      </c>
    </row>
    <row r="494" spans="5:10">
      <c r="E494">
        <f t="shared" si="27"/>
        <v>492</v>
      </c>
      <c r="F494" s="61" t="str">
        <f>IF(FT!A494&lt;&gt;"",FT!A494*10,"")</f>
        <v/>
      </c>
      <c r="G494" s="61" t="str">
        <f>IF(FT!B494&lt;&gt;"",FT!B494*100,"")</f>
        <v/>
      </c>
      <c r="H494" s="61" t="str">
        <f t="shared" si="26"/>
        <v/>
      </c>
      <c r="I494" t="str">
        <f>IF(FT!B494&lt;&gt;"",FT!E494,"")</f>
        <v/>
      </c>
      <c r="J494" t="str">
        <f>IF(FT!B494&lt;&gt;"",FT!C494,"")</f>
        <v/>
      </c>
    </row>
    <row r="495" spans="5:10">
      <c r="E495">
        <f t="shared" si="27"/>
        <v>493</v>
      </c>
      <c r="F495" s="61" t="str">
        <f>IF(FT!A495&lt;&gt;"",FT!A495*10,"")</f>
        <v/>
      </c>
      <c r="G495" s="61" t="str">
        <f>IF(FT!B495&lt;&gt;"",FT!B495*100,"")</f>
        <v/>
      </c>
      <c r="H495" s="61" t="str">
        <f t="shared" si="26"/>
        <v/>
      </c>
      <c r="I495" t="str">
        <f>IF(FT!B495&lt;&gt;"",FT!E495,"")</f>
        <v/>
      </c>
      <c r="J495" t="str">
        <f>IF(FT!B495&lt;&gt;"",FT!C495,"")</f>
        <v/>
      </c>
    </row>
    <row r="496" spans="5:10">
      <c r="E496">
        <f t="shared" si="27"/>
        <v>494</v>
      </c>
      <c r="F496" s="61" t="str">
        <f>IF(FT!A496&lt;&gt;"",FT!A496*10,"")</f>
        <v/>
      </c>
      <c r="G496" s="61" t="str">
        <f>IF(FT!B496&lt;&gt;"",FT!B496*100,"")</f>
        <v/>
      </c>
      <c r="H496" s="61" t="str">
        <f t="shared" si="26"/>
        <v/>
      </c>
      <c r="I496" t="str">
        <f>IF(FT!B496&lt;&gt;"",FT!E496,"")</f>
        <v/>
      </c>
      <c r="J496" t="str">
        <f>IF(FT!B496&lt;&gt;"",FT!C496,"")</f>
        <v/>
      </c>
    </row>
    <row r="497" spans="5:10">
      <c r="E497">
        <f t="shared" si="27"/>
        <v>495</v>
      </c>
      <c r="F497" s="61" t="str">
        <f>IF(FT!A497&lt;&gt;"",FT!A497*10,"")</f>
        <v/>
      </c>
      <c r="G497" s="61" t="str">
        <f>IF(FT!B497&lt;&gt;"",FT!B497*100,"")</f>
        <v/>
      </c>
      <c r="H497" s="61" t="str">
        <f t="shared" si="26"/>
        <v/>
      </c>
      <c r="I497" t="str">
        <f>IF(FT!B497&lt;&gt;"",FT!E497,"")</f>
        <v/>
      </c>
      <c r="J497" t="str">
        <f>IF(FT!B497&lt;&gt;"",FT!C497,"")</f>
        <v/>
      </c>
    </row>
    <row r="498" spans="5:10">
      <c r="E498">
        <f t="shared" si="27"/>
        <v>496</v>
      </c>
      <c r="F498" s="61" t="str">
        <f>IF(FT!A498&lt;&gt;"",FT!A498*10,"")</f>
        <v/>
      </c>
      <c r="G498" s="61" t="str">
        <f>IF(FT!B498&lt;&gt;"",FT!B498*100,"")</f>
        <v/>
      </c>
      <c r="H498" s="61" t="str">
        <f t="shared" si="26"/>
        <v/>
      </c>
      <c r="I498" t="str">
        <f>IF(FT!B498&lt;&gt;"",FT!E498,"")</f>
        <v/>
      </c>
      <c r="J498" t="str">
        <f>IF(FT!B498&lt;&gt;"",FT!C498,"")</f>
        <v/>
      </c>
    </row>
    <row r="499" spans="5:10">
      <c r="E499">
        <f t="shared" si="27"/>
        <v>497</v>
      </c>
      <c r="F499" s="61" t="str">
        <f>IF(FT!A499&lt;&gt;"",FT!A499*10,"")</f>
        <v/>
      </c>
      <c r="G499" s="61" t="str">
        <f>IF(FT!B499&lt;&gt;"",FT!B499*100,"")</f>
        <v/>
      </c>
      <c r="H499" s="61" t="str">
        <f t="shared" si="26"/>
        <v/>
      </c>
      <c r="I499" t="str">
        <f>IF(FT!B499&lt;&gt;"",FT!E499,"")</f>
        <v/>
      </c>
      <c r="J499" t="str">
        <f>IF(FT!B499&lt;&gt;"",FT!C499,"")</f>
        <v/>
      </c>
    </row>
    <row r="500" spans="5:10">
      <c r="E500">
        <f t="shared" si="27"/>
        <v>498</v>
      </c>
      <c r="F500" s="61" t="str">
        <f>IF(FT!A500&lt;&gt;"",FT!A500*10,"")</f>
        <v/>
      </c>
      <c r="G500" s="61" t="str">
        <f>IF(FT!B500&lt;&gt;"",FT!B500*100,"")</f>
        <v/>
      </c>
      <c r="H500" s="61" t="str">
        <f t="shared" si="26"/>
        <v/>
      </c>
      <c r="I500" t="str">
        <f>IF(FT!B500&lt;&gt;"",FT!E500,"")</f>
        <v/>
      </c>
      <c r="J500" t="str">
        <f>IF(FT!B500&lt;&gt;"",FT!C500,"")</f>
        <v/>
      </c>
    </row>
    <row r="501" spans="5:10">
      <c r="E501">
        <f t="shared" si="27"/>
        <v>499</v>
      </c>
      <c r="F501" s="61" t="str">
        <f>IF(FT!A501&lt;&gt;"",FT!A501*10,"")</f>
        <v/>
      </c>
      <c r="G501" s="61" t="str">
        <f>IF(FT!B501&lt;&gt;"",FT!B501*100,"")</f>
        <v/>
      </c>
      <c r="H501" s="61" t="str">
        <f t="shared" si="26"/>
        <v/>
      </c>
      <c r="I501" t="str">
        <f>IF(FT!B501&lt;&gt;"",FT!E501,"")</f>
        <v/>
      </c>
      <c r="J501" t="str">
        <f>IF(FT!B501&lt;&gt;"",FT!C501,"")</f>
        <v/>
      </c>
    </row>
    <row r="502" spans="5:10">
      <c r="E502">
        <f t="shared" si="27"/>
        <v>500</v>
      </c>
      <c r="F502" s="61" t="str">
        <f>IF(FT!A502&lt;&gt;"",FT!A502*10,"")</f>
        <v/>
      </c>
      <c r="G502" s="61" t="str">
        <f>IF(FT!B502&lt;&gt;"",FT!B502*100,"")</f>
        <v/>
      </c>
      <c r="H502" s="61" t="str">
        <f t="shared" si="26"/>
        <v/>
      </c>
      <c r="I502" t="str">
        <f>IF(FT!B502&lt;&gt;"",FT!E502,"")</f>
        <v/>
      </c>
      <c r="J502" t="str">
        <f>IF(FT!B502&lt;&gt;"",FT!C502,"")</f>
        <v/>
      </c>
    </row>
    <row r="503" spans="5:10">
      <c r="E503">
        <f t="shared" si="27"/>
        <v>501</v>
      </c>
      <c r="F503" s="61" t="str">
        <f>IF(FT!A503&lt;&gt;"",FT!A503*10,"")</f>
        <v/>
      </c>
      <c r="G503" s="61" t="str">
        <f>IF(FT!B503&lt;&gt;"",FT!B503*100,"")</f>
        <v/>
      </c>
      <c r="H503" s="61" t="str">
        <f t="shared" si="26"/>
        <v/>
      </c>
      <c r="I503" t="str">
        <f>IF(FT!B503&lt;&gt;"",FT!E503,"")</f>
        <v/>
      </c>
      <c r="J503" t="str">
        <f>IF(FT!B503&lt;&gt;"",FT!C503,"")</f>
        <v/>
      </c>
    </row>
    <row r="504" spans="5:10">
      <c r="E504">
        <f t="shared" si="27"/>
        <v>502</v>
      </c>
      <c r="F504" s="61" t="str">
        <f>IF(FT!A504&lt;&gt;"",FT!A504*10,"")</f>
        <v/>
      </c>
      <c r="G504" s="61" t="str">
        <f>IF(FT!B504&lt;&gt;"",FT!B504*100,"")</f>
        <v/>
      </c>
      <c r="H504" s="61" t="str">
        <f t="shared" si="26"/>
        <v/>
      </c>
      <c r="I504" t="str">
        <f>IF(FT!B504&lt;&gt;"",FT!E504,"")</f>
        <v/>
      </c>
      <c r="J504" t="str">
        <f>IF(FT!B504&lt;&gt;"",FT!C504,"")</f>
        <v/>
      </c>
    </row>
    <row r="505" spans="5:10">
      <c r="E505">
        <f t="shared" si="27"/>
        <v>503</v>
      </c>
      <c r="F505" s="61" t="str">
        <f>IF(FT!A505&lt;&gt;"",FT!A505*10,"")</f>
        <v/>
      </c>
      <c r="G505" s="61" t="str">
        <f>IF(FT!B505&lt;&gt;"",FT!B505*100,"")</f>
        <v/>
      </c>
      <c r="H505" s="61" t="str">
        <f t="shared" si="26"/>
        <v/>
      </c>
      <c r="I505" t="str">
        <f>IF(FT!B505&lt;&gt;"",FT!E505,"")</f>
        <v/>
      </c>
      <c r="J505" t="str">
        <f>IF(FT!B505&lt;&gt;"",FT!C505,"")</f>
        <v/>
      </c>
    </row>
    <row r="506" spans="5:10">
      <c r="E506">
        <f t="shared" si="27"/>
        <v>504</v>
      </c>
      <c r="F506" s="61" t="str">
        <f>IF(FT!A506&lt;&gt;"",FT!A506*10,"")</f>
        <v/>
      </c>
      <c r="G506" s="61" t="str">
        <f>IF(FT!B506&lt;&gt;"",FT!B506*100,"")</f>
        <v/>
      </c>
      <c r="H506" s="61" t="str">
        <f t="shared" si="26"/>
        <v/>
      </c>
      <c r="I506" t="str">
        <f>IF(FT!B506&lt;&gt;"",FT!E506,"")</f>
        <v/>
      </c>
      <c r="J506" t="str">
        <f>IF(FT!B506&lt;&gt;"",FT!C506,"")</f>
        <v/>
      </c>
    </row>
    <row r="507" spans="5:10">
      <c r="E507">
        <f t="shared" si="27"/>
        <v>505</v>
      </c>
      <c r="F507" s="61" t="str">
        <f>IF(FT!A507&lt;&gt;"",FT!A507*10,"")</f>
        <v/>
      </c>
      <c r="G507" s="61" t="str">
        <f>IF(FT!B507&lt;&gt;"",FT!B507*100,"")</f>
        <v/>
      </c>
      <c r="H507" s="61" t="str">
        <f t="shared" si="26"/>
        <v/>
      </c>
      <c r="I507" t="str">
        <f>IF(FT!B507&lt;&gt;"",FT!E507,"")</f>
        <v/>
      </c>
      <c r="J507" t="str">
        <f>IF(FT!B507&lt;&gt;"",FT!C507,"")</f>
        <v/>
      </c>
    </row>
    <row r="508" spans="5:10">
      <c r="E508">
        <f t="shared" si="27"/>
        <v>506</v>
      </c>
      <c r="F508" s="61" t="str">
        <f>IF(FT!A508&lt;&gt;"",FT!A508*10,"")</f>
        <v/>
      </c>
      <c r="G508" s="61" t="str">
        <f>IF(FT!B508&lt;&gt;"",FT!B508*100,"")</f>
        <v/>
      </c>
      <c r="H508" s="61" t="str">
        <f t="shared" si="26"/>
        <v/>
      </c>
      <c r="I508" t="str">
        <f>IF(FT!B508&lt;&gt;"",FT!E508,"")</f>
        <v/>
      </c>
      <c r="J508" t="str">
        <f>IF(FT!B508&lt;&gt;"",FT!C508,"")</f>
        <v/>
      </c>
    </row>
    <row r="509" spans="5:10">
      <c r="E509">
        <f t="shared" si="27"/>
        <v>507</v>
      </c>
      <c r="F509" s="61" t="str">
        <f>IF(FT!A509&lt;&gt;"",FT!A509*10,"")</f>
        <v/>
      </c>
      <c r="G509" s="61" t="str">
        <f>IF(FT!B509&lt;&gt;"",FT!B509*100,"")</f>
        <v/>
      </c>
      <c r="H509" s="61" t="str">
        <f t="shared" si="26"/>
        <v/>
      </c>
      <c r="I509" t="str">
        <f>IF(FT!B509&lt;&gt;"",FT!E509,"")</f>
        <v/>
      </c>
      <c r="J509" t="str">
        <f>IF(FT!B509&lt;&gt;"",FT!C509,"")</f>
        <v/>
      </c>
    </row>
    <row r="510" spans="5:10">
      <c r="E510">
        <f t="shared" si="27"/>
        <v>508</v>
      </c>
      <c r="F510" s="61" t="str">
        <f>IF(FT!A510&lt;&gt;"",FT!A510*10,"")</f>
        <v/>
      </c>
      <c r="G510" s="61" t="str">
        <f>IF(FT!B510&lt;&gt;"",FT!B510*100,"")</f>
        <v/>
      </c>
      <c r="H510" s="61" t="str">
        <f t="shared" si="26"/>
        <v/>
      </c>
      <c r="I510" t="str">
        <f>IF(FT!B510&lt;&gt;"",FT!E510,"")</f>
        <v/>
      </c>
      <c r="J510" t="str">
        <f>IF(FT!B510&lt;&gt;"",FT!C510,"")</f>
        <v/>
      </c>
    </row>
    <row r="511" spans="5:10">
      <c r="E511">
        <f t="shared" si="27"/>
        <v>509</v>
      </c>
      <c r="F511" s="61" t="str">
        <f>IF(FT!A511&lt;&gt;"",FT!A511*10,"")</f>
        <v/>
      </c>
      <c r="G511" s="61" t="str">
        <f>IF(FT!B511&lt;&gt;"",FT!B511*100,"")</f>
        <v/>
      </c>
      <c r="H511" s="61" t="str">
        <f t="shared" si="26"/>
        <v/>
      </c>
      <c r="I511" t="str">
        <f>IF(FT!B511&lt;&gt;"",FT!E511,"")</f>
        <v/>
      </c>
      <c r="J511" t="str">
        <f>IF(FT!B511&lt;&gt;"",FT!C511,"")</f>
        <v/>
      </c>
    </row>
    <row r="512" spans="5:10">
      <c r="E512">
        <f t="shared" si="27"/>
        <v>510</v>
      </c>
      <c r="F512" s="61" t="str">
        <f>IF(FT!A512&lt;&gt;"",FT!A512*10,"")</f>
        <v/>
      </c>
      <c r="G512" s="61" t="str">
        <f>IF(FT!B512&lt;&gt;"",FT!B512*100,"")</f>
        <v/>
      </c>
      <c r="H512" s="61" t="str">
        <f t="shared" si="26"/>
        <v/>
      </c>
      <c r="I512" t="str">
        <f>IF(FT!B512&lt;&gt;"",FT!E512,"")</f>
        <v/>
      </c>
      <c r="J512" t="str">
        <f>IF(FT!B512&lt;&gt;"",FT!C512,"")</f>
        <v/>
      </c>
    </row>
    <row r="513" spans="5:10">
      <c r="E513">
        <f t="shared" si="27"/>
        <v>511</v>
      </c>
      <c r="F513" s="61" t="str">
        <f>IF(FT!A513&lt;&gt;"",FT!A513*10,"")</f>
        <v/>
      </c>
      <c r="G513" s="61" t="str">
        <f>IF(FT!B513&lt;&gt;"",FT!B513*100,"")</f>
        <v/>
      </c>
      <c r="H513" s="61" t="str">
        <f t="shared" si="26"/>
        <v/>
      </c>
      <c r="I513" t="str">
        <f>IF(FT!B513&lt;&gt;"",FT!E513,"")</f>
        <v/>
      </c>
      <c r="J513" t="str">
        <f>IF(FT!B513&lt;&gt;"",FT!C513,"")</f>
        <v/>
      </c>
    </row>
    <row r="514" spans="5:10">
      <c r="E514">
        <f t="shared" si="27"/>
        <v>512</v>
      </c>
      <c r="F514" s="61" t="str">
        <f>IF(FT!A514&lt;&gt;"",FT!A514*10,"")</f>
        <v/>
      </c>
      <c r="G514" s="61" t="str">
        <f>IF(FT!B514&lt;&gt;"",FT!B514*100,"")</f>
        <v/>
      </c>
      <c r="H514" s="61" t="str">
        <f t="shared" si="26"/>
        <v/>
      </c>
      <c r="I514" t="str">
        <f>IF(FT!B514&lt;&gt;"",FT!E514,"")</f>
        <v/>
      </c>
      <c r="J514" t="str">
        <f>IF(FT!B514&lt;&gt;"",FT!C514,"")</f>
        <v/>
      </c>
    </row>
    <row r="515" spans="5:10">
      <c r="E515">
        <f t="shared" si="27"/>
        <v>513</v>
      </c>
      <c r="F515" s="61" t="str">
        <f>IF(FT!A515&lt;&gt;"",FT!A515*10,"")</f>
        <v/>
      </c>
      <c r="G515" s="61" t="str">
        <f>IF(FT!B515&lt;&gt;"",FT!B515*100,"")</f>
        <v/>
      </c>
      <c r="H515" s="61" t="str">
        <f t="shared" ref="H515:H578" si="28">(IF(F515&lt;&gt;"",1,""))</f>
        <v/>
      </c>
      <c r="I515" t="str">
        <f>IF(FT!B515&lt;&gt;"",FT!E515,"")</f>
        <v/>
      </c>
      <c r="J515" t="str">
        <f>IF(FT!B515&lt;&gt;"",FT!C515,"")</f>
        <v/>
      </c>
    </row>
    <row r="516" spans="5:10">
      <c r="E516">
        <f t="shared" ref="E516:E579" si="29">E515+1</f>
        <v>514</v>
      </c>
      <c r="F516" s="61" t="str">
        <f>IF(FT!A516&lt;&gt;"",FT!A516*10,"")</f>
        <v/>
      </c>
      <c r="G516" s="61" t="str">
        <f>IF(FT!B516&lt;&gt;"",FT!B516*100,"")</f>
        <v/>
      </c>
      <c r="H516" s="61" t="str">
        <f t="shared" si="28"/>
        <v/>
      </c>
      <c r="I516" t="str">
        <f>IF(FT!B516&lt;&gt;"",FT!E516,"")</f>
        <v/>
      </c>
      <c r="J516" t="str">
        <f>IF(FT!B516&lt;&gt;"",FT!C516,"")</f>
        <v/>
      </c>
    </row>
    <row r="517" spans="5:10">
      <c r="E517">
        <f t="shared" si="29"/>
        <v>515</v>
      </c>
      <c r="F517" s="61" t="str">
        <f>IF(FT!A517&lt;&gt;"",FT!A517*10,"")</f>
        <v/>
      </c>
      <c r="G517" s="61" t="str">
        <f>IF(FT!B517&lt;&gt;"",FT!B517*100,"")</f>
        <v/>
      </c>
      <c r="H517" s="61" t="str">
        <f t="shared" si="28"/>
        <v/>
      </c>
      <c r="I517" t="str">
        <f>IF(FT!B517&lt;&gt;"",FT!E517,"")</f>
        <v/>
      </c>
      <c r="J517" t="str">
        <f>IF(FT!B517&lt;&gt;"",FT!C517,"")</f>
        <v/>
      </c>
    </row>
    <row r="518" spans="5:10">
      <c r="E518">
        <f t="shared" si="29"/>
        <v>516</v>
      </c>
      <c r="F518" s="61" t="str">
        <f>IF(FT!A518&lt;&gt;"",FT!A518*10,"")</f>
        <v/>
      </c>
      <c r="G518" s="61" t="str">
        <f>IF(FT!B518&lt;&gt;"",FT!B518*100,"")</f>
        <v/>
      </c>
      <c r="H518" s="61" t="str">
        <f t="shared" si="28"/>
        <v/>
      </c>
      <c r="I518" t="str">
        <f>IF(FT!B518&lt;&gt;"",FT!E518,"")</f>
        <v/>
      </c>
      <c r="J518" t="str">
        <f>IF(FT!B518&lt;&gt;"",FT!C518,"")</f>
        <v/>
      </c>
    </row>
    <row r="519" spans="5:10">
      <c r="E519">
        <f t="shared" si="29"/>
        <v>517</v>
      </c>
      <c r="F519" s="61" t="str">
        <f>IF(FT!A519&lt;&gt;"",FT!A519*10,"")</f>
        <v/>
      </c>
      <c r="G519" s="61" t="str">
        <f>IF(FT!B519&lt;&gt;"",FT!B519*100,"")</f>
        <v/>
      </c>
      <c r="H519" s="61" t="str">
        <f t="shared" si="28"/>
        <v/>
      </c>
      <c r="I519" t="str">
        <f>IF(FT!B519&lt;&gt;"",FT!E519,"")</f>
        <v/>
      </c>
      <c r="J519" t="str">
        <f>IF(FT!B519&lt;&gt;"",FT!C519,"")</f>
        <v/>
      </c>
    </row>
    <row r="520" spans="5:10">
      <c r="E520">
        <f t="shared" si="29"/>
        <v>518</v>
      </c>
      <c r="F520" s="61" t="str">
        <f>IF(FT!A520&lt;&gt;"",FT!A520*10,"")</f>
        <v/>
      </c>
      <c r="G520" s="61" t="str">
        <f>IF(FT!B520&lt;&gt;"",FT!B520*100,"")</f>
        <v/>
      </c>
      <c r="H520" s="61" t="str">
        <f t="shared" si="28"/>
        <v/>
      </c>
      <c r="I520" t="str">
        <f>IF(FT!B520&lt;&gt;"",FT!E520,"")</f>
        <v/>
      </c>
      <c r="J520" t="str">
        <f>IF(FT!B520&lt;&gt;"",FT!C520,"")</f>
        <v/>
      </c>
    </row>
    <row r="521" spans="5:10">
      <c r="E521">
        <f t="shared" si="29"/>
        <v>519</v>
      </c>
      <c r="F521" s="61" t="str">
        <f>IF(FT!A521&lt;&gt;"",FT!A521*10,"")</f>
        <v/>
      </c>
      <c r="G521" s="61" t="str">
        <f>IF(FT!B521&lt;&gt;"",FT!B521*100,"")</f>
        <v/>
      </c>
      <c r="H521" s="61" t="str">
        <f t="shared" si="28"/>
        <v/>
      </c>
      <c r="I521" t="str">
        <f>IF(FT!B521&lt;&gt;"",FT!E521,"")</f>
        <v/>
      </c>
      <c r="J521" t="str">
        <f>IF(FT!B521&lt;&gt;"",FT!C521,"")</f>
        <v/>
      </c>
    </row>
    <row r="522" spans="5:10">
      <c r="E522">
        <f t="shared" si="29"/>
        <v>520</v>
      </c>
      <c r="F522" s="61" t="str">
        <f>IF(FT!A522&lt;&gt;"",FT!A522*10,"")</f>
        <v/>
      </c>
      <c r="G522" s="61" t="str">
        <f>IF(FT!B522&lt;&gt;"",FT!B522*100,"")</f>
        <v/>
      </c>
      <c r="H522" s="61" t="str">
        <f t="shared" si="28"/>
        <v/>
      </c>
      <c r="I522" t="str">
        <f>IF(FT!B522&lt;&gt;"",FT!E522,"")</f>
        <v/>
      </c>
      <c r="J522" t="str">
        <f>IF(FT!B522&lt;&gt;"",FT!C522,"")</f>
        <v/>
      </c>
    </row>
    <row r="523" spans="5:10">
      <c r="E523">
        <f t="shared" si="29"/>
        <v>521</v>
      </c>
      <c r="F523" s="61" t="str">
        <f>IF(FT!A523&lt;&gt;"",FT!A523*10,"")</f>
        <v/>
      </c>
      <c r="G523" s="61" t="str">
        <f>IF(FT!B523&lt;&gt;"",FT!B523*100,"")</f>
        <v/>
      </c>
      <c r="H523" s="61" t="str">
        <f t="shared" si="28"/>
        <v/>
      </c>
      <c r="I523" t="str">
        <f>IF(FT!B523&lt;&gt;"",FT!E523,"")</f>
        <v/>
      </c>
      <c r="J523" t="str">
        <f>IF(FT!B523&lt;&gt;"",FT!C523,"")</f>
        <v/>
      </c>
    </row>
    <row r="524" spans="5:10">
      <c r="E524">
        <f t="shared" si="29"/>
        <v>522</v>
      </c>
      <c r="F524" s="61" t="str">
        <f>IF(FT!A524&lt;&gt;"",FT!A524*10,"")</f>
        <v/>
      </c>
      <c r="G524" s="61" t="str">
        <f>IF(FT!B524&lt;&gt;"",FT!B524*100,"")</f>
        <v/>
      </c>
      <c r="H524" s="61" t="str">
        <f t="shared" si="28"/>
        <v/>
      </c>
      <c r="I524" t="str">
        <f>IF(FT!B524&lt;&gt;"",FT!E524,"")</f>
        <v/>
      </c>
      <c r="J524" t="str">
        <f>IF(FT!B524&lt;&gt;"",FT!C524,"")</f>
        <v/>
      </c>
    </row>
    <row r="525" spans="5:10">
      <c r="E525">
        <f t="shared" si="29"/>
        <v>523</v>
      </c>
      <c r="F525" s="61" t="str">
        <f>IF(FT!A525&lt;&gt;"",FT!A525*10,"")</f>
        <v/>
      </c>
      <c r="G525" s="61" t="str">
        <f>IF(FT!B525&lt;&gt;"",FT!B525*100,"")</f>
        <v/>
      </c>
      <c r="H525" s="61" t="str">
        <f t="shared" si="28"/>
        <v/>
      </c>
      <c r="I525" t="str">
        <f>IF(FT!B525&lt;&gt;"",FT!E525,"")</f>
        <v/>
      </c>
      <c r="J525" t="str">
        <f>IF(FT!B525&lt;&gt;"",FT!C525,"")</f>
        <v/>
      </c>
    </row>
    <row r="526" spans="5:10">
      <c r="E526">
        <f t="shared" si="29"/>
        <v>524</v>
      </c>
      <c r="F526" s="61" t="str">
        <f>IF(FT!A526&lt;&gt;"",FT!A526*10,"")</f>
        <v/>
      </c>
      <c r="G526" s="61" t="str">
        <f>IF(FT!B526&lt;&gt;"",FT!B526*100,"")</f>
        <v/>
      </c>
      <c r="H526" s="61" t="str">
        <f t="shared" si="28"/>
        <v/>
      </c>
      <c r="I526" t="str">
        <f>IF(FT!B526&lt;&gt;"",FT!E526,"")</f>
        <v/>
      </c>
      <c r="J526" t="str">
        <f>IF(FT!B526&lt;&gt;"",FT!C526,"")</f>
        <v/>
      </c>
    </row>
    <row r="527" spans="5:10">
      <c r="E527">
        <f t="shared" si="29"/>
        <v>525</v>
      </c>
      <c r="F527" s="61" t="str">
        <f>IF(FT!A527&lt;&gt;"",FT!A527*10,"")</f>
        <v/>
      </c>
      <c r="G527" s="61" t="str">
        <f>IF(FT!B527&lt;&gt;"",FT!B527*100,"")</f>
        <v/>
      </c>
      <c r="H527" s="61" t="str">
        <f t="shared" si="28"/>
        <v/>
      </c>
      <c r="I527" t="str">
        <f>IF(FT!B527&lt;&gt;"",FT!E527,"")</f>
        <v/>
      </c>
      <c r="J527" t="str">
        <f>IF(FT!B527&lt;&gt;"",FT!C527,"")</f>
        <v/>
      </c>
    </row>
    <row r="528" spans="5:10">
      <c r="E528">
        <f t="shared" si="29"/>
        <v>526</v>
      </c>
      <c r="F528" s="61" t="str">
        <f>IF(FT!A528&lt;&gt;"",FT!A528*10,"")</f>
        <v/>
      </c>
      <c r="G528" s="61" t="str">
        <f>IF(FT!B528&lt;&gt;"",FT!B528*100,"")</f>
        <v/>
      </c>
      <c r="H528" s="61" t="str">
        <f t="shared" si="28"/>
        <v/>
      </c>
      <c r="I528" t="str">
        <f>IF(FT!B528&lt;&gt;"",FT!E528,"")</f>
        <v/>
      </c>
      <c r="J528" t="str">
        <f>IF(FT!B528&lt;&gt;"",FT!C528,"")</f>
        <v/>
      </c>
    </row>
    <row r="529" spans="5:10">
      <c r="E529">
        <f t="shared" si="29"/>
        <v>527</v>
      </c>
      <c r="F529" s="61" t="str">
        <f>IF(FT!A529&lt;&gt;"",FT!A529*10,"")</f>
        <v/>
      </c>
      <c r="G529" s="61" t="str">
        <f>IF(FT!B529&lt;&gt;"",FT!B529*100,"")</f>
        <v/>
      </c>
      <c r="H529" s="61" t="str">
        <f t="shared" si="28"/>
        <v/>
      </c>
      <c r="I529" t="str">
        <f>IF(FT!B529&lt;&gt;"",FT!E529,"")</f>
        <v/>
      </c>
      <c r="J529" t="str">
        <f>IF(FT!B529&lt;&gt;"",FT!C529,"")</f>
        <v/>
      </c>
    </row>
    <row r="530" spans="5:10">
      <c r="E530">
        <f t="shared" si="29"/>
        <v>528</v>
      </c>
      <c r="F530" s="61" t="str">
        <f>IF(FT!A530&lt;&gt;"",FT!A530*10,"")</f>
        <v/>
      </c>
      <c r="G530" s="61" t="str">
        <f>IF(FT!B530&lt;&gt;"",FT!B530*100,"")</f>
        <v/>
      </c>
      <c r="H530" s="61" t="str">
        <f t="shared" si="28"/>
        <v/>
      </c>
      <c r="I530" t="str">
        <f>IF(FT!B530&lt;&gt;"",FT!E530,"")</f>
        <v/>
      </c>
      <c r="J530" t="str">
        <f>IF(FT!B530&lt;&gt;"",FT!C530,"")</f>
        <v/>
      </c>
    </row>
    <row r="531" spans="5:10">
      <c r="E531">
        <f t="shared" si="29"/>
        <v>529</v>
      </c>
      <c r="F531" s="61" t="str">
        <f>IF(FT!A531&lt;&gt;"",FT!A531*10,"")</f>
        <v/>
      </c>
      <c r="G531" s="61" t="str">
        <f>IF(FT!B531&lt;&gt;"",FT!B531*100,"")</f>
        <v/>
      </c>
      <c r="H531" s="61" t="str">
        <f t="shared" si="28"/>
        <v/>
      </c>
      <c r="I531" t="str">
        <f>IF(FT!B531&lt;&gt;"",FT!E531,"")</f>
        <v/>
      </c>
      <c r="J531" t="str">
        <f>IF(FT!B531&lt;&gt;"",FT!C531,"")</f>
        <v/>
      </c>
    </row>
    <row r="532" spans="5:10">
      <c r="E532">
        <f t="shared" si="29"/>
        <v>530</v>
      </c>
      <c r="F532" s="61" t="str">
        <f>IF(FT!A532&lt;&gt;"",FT!A532*10,"")</f>
        <v/>
      </c>
      <c r="G532" s="61" t="str">
        <f>IF(FT!B532&lt;&gt;"",FT!B532*100,"")</f>
        <v/>
      </c>
      <c r="H532" s="61" t="str">
        <f t="shared" si="28"/>
        <v/>
      </c>
      <c r="I532" t="str">
        <f>IF(FT!B532&lt;&gt;"",FT!E532,"")</f>
        <v/>
      </c>
      <c r="J532" t="str">
        <f>IF(FT!B532&lt;&gt;"",FT!C532,"")</f>
        <v/>
      </c>
    </row>
    <row r="533" spans="5:10">
      <c r="E533">
        <f t="shared" si="29"/>
        <v>531</v>
      </c>
      <c r="F533" s="61" t="str">
        <f>IF(FT!A533&lt;&gt;"",FT!A533*10,"")</f>
        <v/>
      </c>
      <c r="G533" s="61" t="str">
        <f>IF(FT!B533&lt;&gt;"",FT!B533*100,"")</f>
        <v/>
      </c>
      <c r="H533" s="61" t="str">
        <f t="shared" si="28"/>
        <v/>
      </c>
      <c r="I533" t="str">
        <f>IF(FT!B533&lt;&gt;"",FT!E533,"")</f>
        <v/>
      </c>
      <c r="J533" t="str">
        <f>IF(FT!B533&lt;&gt;"",FT!C533,"")</f>
        <v/>
      </c>
    </row>
    <row r="534" spans="5:10">
      <c r="E534">
        <f t="shared" si="29"/>
        <v>532</v>
      </c>
      <c r="F534" s="61" t="str">
        <f>IF(FT!A534&lt;&gt;"",FT!A534*10,"")</f>
        <v/>
      </c>
      <c r="G534" s="61" t="str">
        <f>IF(FT!B534&lt;&gt;"",FT!B534*100,"")</f>
        <v/>
      </c>
      <c r="H534" s="61" t="str">
        <f t="shared" si="28"/>
        <v/>
      </c>
      <c r="I534" t="str">
        <f>IF(FT!B534&lt;&gt;"",FT!E534,"")</f>
        <v/>
      </c>
      <c r="J534" t="str">
        <f>IF(FT!B534&lt;&gt;"",FT!C534,"")</f>
        <v/>
      </c>
    </row>
    <row r="535" spans="5:10">
      <c r="E535">
        <f t="shared" si="29"/>
        <v>533</v>
      </c>
      <c r="F535" s="61" t="str">
        <f>IF(FT!A535&lt;&gt;"",FT!A535*10,"")</f>
        <v/>
      </c>
      <c r="G535" s="61" t="str">
        <f>IF(FT!B535&lt;&gt;"",FT!B535*100,"")</f>
        <v/>
      </c>
      <c r="H535" s="61" t="str">
        <f t="shared" si="28"/>
        <v/>
      </c>
      <c r="I535" t="str">
        <f>IF(FT!B535&lt;&gt;"",FT!E535,"")</f>
        <v/>
      </c>
      <c r="J535" t="str">
        <f>IF(FT!B535&lt;&gt;"",FT!C535,"")</f>
        <v/>
      </c>
    </row>
    <row r="536" spans="5:10">
      <c r="E536">
        <f t="shared" si="29"/>
        <v>534</v>
      </c>
      <c r="F536" s="61" t="str">
        <f>IF(FT!A536&lt;&gt;"",FT!A536*10,"")</f>
        <v/>
      </c>
      <c r="G536" s="61" t="str">
        <f>IF(FT!B536&lt;&gt;"",FT!B536*100,"")</f>
        <v/>
      </c>
      <c r="H536" s="61" t="str">
        <f t="shared" si="28"/>
        <v/>
      </c>
      <c r="I536" t="str">
        <f>IF(FT!B536&lt;&gt;"",FT!E536,"")</f>
        <v/>
      </c>
      <c r="J536" t="str">
        <f>IF(FT!B536&lt;&gt;"",FT!C536,"")</f>
        <v/>
      </c>
    </row>
    <row r="537" spans="5:10">
      <c r="E537">
        <f t="shared" si="29"/>
        <v>535</v>
      </c>
      <c r="F537" s="61" t="str">
        <f>IF(FT!A537&lt;&gt;"",FT!A537*10,"")</f>
        <v/>
      </c>
      <c r="G537" s="61" t="str">
        <f>IF(FT!B537&lt;&gt;"",FT!B537*100,"")</f>
        <v/>
      </c>
      <c r="H537" s="61" t="str">
        <f t="shared" si="28"/>
        <v/>
      </c>
      <c r="I537" t="str">
        <f>IF(FT!B537&lt;&gt;"",FT!E537,"")</f>
        <v/>
      </c>
      <c r="J537" t="str">
        <f>IF(FT!B537&lt;&gt;"",FT!C537,"")</f>
        <v/>
      </c>
    </row>
    <row r="538" spans="5:10">
      <c r="E538">
        <f t="shared" si="29"/>
        <v>536</v>
      </c>
      <c r="F538" s="61" t="str">
        <f>IF(FT!A538&lt;&gt;"",FT!A538*10,"")</f>
        <v/>
      </c>
      <c r="G538" s="61" t="str">
        <f>IF(FT!B538&lt;&gt;"",FT!B538*100,"")</f>
        <v/>
      </c>
      <c r="H538" s="61" t="str">
        <f t="shared" si="28"/>
        <v/>
      </c>
      <c r="I538" t="str">
        <f>IF(FT!B538&lt;&gt;"",FT!E538,"")</f>
        <v/>
      </c>
      <c r="J538" t="str">
        <f>IF(FT!B538&lt;&gt;"",FT!C538,"")</f>
        <v/>
      </c>
    </row>
    <row r="539" spans="5:10">
      <c r="E539">
        <f t="shared" si="29"/>
        <v>537</v>
      </c>
      <c r="F539" s="61" t="str">
        <f>IF(FT!A539&lt;&gt;"",FT!A539*10,"")</f>
        <v/>
      </c>
      <c r="G539" s="61" t="str">
        <f>IF(FT!B539&lt;&gt;"",FT!B539*100,"")</f>
        <v/>
      </c>
      <c r="H539" s="61" t="str">
        <f t="shared" si="28"/>
        <v/>
      </c>
      <c r="I539" t="str">
        <f>IF(FT!B539&lt;&gt;"",FT!E539,"")</f>
        <v/>
      </c>
      <c r="J539" t="str">
        <f>IF(FT!B539&lt;&gt;"",FT!C539,"")</f>
        <v/>
      </c>
    </row>
    <row r="540" spans="5:10">
      <c r="E540">
        <f t="shared" si="29"/>
        <v>538</v>
      </c>
      <c r="F540" s="61" t="str">
        <f>IF(FT!A540&lt;&gt;"",FT!A540*10,"")</f>
        <v/>
      </c>
      <c r="G540" s="61" t="str">
        <f>IF(FT!B540&lt;&gt;"",FT!B540*100,"")</f>
        <v/>
      </c>
      <c r="H540" s="61" t="str">
        <f t="shared" si="28"/>
        <v/>
      </c>
      <c r="I540" t="str">
        <f>IF(FT!B540&lt;&gt;"",FT!E540,"")</f>
        <v/>
      </c>
      <c r="J540" t="str">
        <f>IF(FT!B540&lt;&gt;"",FT!C540,"")</f>
        <v/>
      </c>
    </row>
    <row r="541" spans="5:10">
      <c r="E541">
        <f t="shared" si="29"/>
        <v>539</v>
      </c>
      <c r="F541" s="61" t="str">
        <f>IF(FT!A541&lt;&gt;"",FT!A541*10,"")</f>
        <v/>
      </c>
      <c r="G541" s="61" t="str">
        <f>IF(FT!B541&lt;&gt;"",FT!B541*100,"")</f>
        <v/>
      </c>
      <c r="H541" s="61" t="str">
        <f t="shared" si="28"/>
        <v/>
      </c>
      <c r="I541" t="str">
        <f>IF(FT!B541&lt;&gt;"",FT!E541,"")</f>
        <v/>
      </c>
      <c r="J541" t="str">
        <f>IF(FT!B541&lt;&gt;"",FT!C541,"")</f>
        <v/>
      </c>
    </row>
    <row r="542" spans="5:10">
      <c r="E542">
        <f t="shared" si="29"/>
        <v>540</v>
      </c>
      <c r="F542" s="61" t="str">
        <f>IF(FT!A542&lt;&gt;"",FT!A542*10,"")</f>
        <v/>
      </c>
      <c r="G542" s="61" t="str">
        <f>IF(FT!B542&lt;&gt;"",FT!B542*100,"")</f>
        <v/>
      </c>
      <c r="H542" s="61" t="str">
        <f t="shared" si="28"/>
        <v/>
      </c>
      <c r="I542" t="str">
        <f>IF(FT!B542&lt;&gt;"",FT!E542,"")</f>
        <v/>
      </c>
      <c r="J542" t="str">
        <f>IF(FT!B542&lt;&gt;"",FT!C542,"")</f>
        <v/>
      </c>
    </row>
    <row r="543" spans="5:10">
      <c r="E543">
        <f t="shared" si="29"/>
        <v>541</v>
      </c>
      <c r="F543" s="61" t="str">
        <f>IF(FT!A543&lt;&gt;"",FT!A543*10,"")</f>
        <v/>
      </c>
      <c r="G543" s="61" t="str">
        <f>IF(FT!B543&lt;&gt;"",FT!B543*100,"")</f>
        <v/>
      </c>
      <c r="H543" s="61" t="str">
        <f t="shared" si="28"/>
        <v/>
      </c>
      <c r="I543" t="str">
        <f>IF(FT!B543&lt;&gt;"",FT!E543,"")</f>
        <v/>
      </c>
      <c r="J543" t="str">
        <f>IF(FT!B543&lt;&gt;"",FT!C543,"")</f>
        <v/>
      </c>
    </row>
    <row r="544" spans="5:10">
      <c r="E544">
        <f t="shared" si="29"/>
        <v>542</v>
      </c>
      <c r="F544" s="61" t="str">
        <f>IF(FT!A544&lt;&gt;"",FT!A544*10,"")</f>
        <v/>
      </c>
      <c r="G544" s="61" t="str">
        <f>IF(FT!B544&lt;&gt;"",FT!B544*100,"")</f>
        <v/>
      </c>
      <c r="H544" s="61" t="str">
        <f t="shared" si="28"/>
        <v/>
      </c>
      <c r="I544" t="str">
        <f>IF(FT!B544&lt;&gt;"",FT!E544,"")</f>
        <v/>
      </c>
      <c r="J544" t="str">
        <f>IF(FT!B544&lt;&gt;"",FT!C544,"")</f>
        <v/>
      </c>
    </row>
    <row r="545" spans="5:10">
      <c r="E545">
        <f t="shared" si="29"/>
        <v>543</v>
      </c>
      <c r="F545" s="61" t="str">
        <f>IF(FT!A545&lt;&gt;"",FT!A545*10,"")</f>
        <v/>
      </c>
      <c r="G545" s="61" t="str">
        <f>IF(FT!B545&lt;&gt;"",FT!B545*100,"")</f>
        <v/>
      </c>
      <c r="H545" s="61" t="str">
        <f t="shared" si="28"/>
        <v/>
      </c>
      <c r="I545" t="str">
        <f>IF(FT!B545&lt;&gt;"",FT!E545,"")</f>
        <v/>
      </c>
      <c r="J545" t="str">
        <f>IF(FT!B545&lt;&gt;"",FT!C545,"")</f>
        <v/>
      </c>
    </row>
    <row r="546" spans="5:10">
      <c r="E546">
        <f t="shared" si="29"/>
        <v>544</v>
      </c>
      <c r="F546" s="61" t="str">
        <f>IF(FT!A546&lt;&gt;"",FT!A546*10,"")</f>
        <v/>
      </c>
      <c r="G546" s="61" t="str">
        <f>IF(FT!B546&lt;&gt;"",FT!B546*100,"")</f>
        <v/>
      </c>
      <c r="H546" s="61" t="str">
        <f t="shared" si="28"/>
        <v/>
      </c>
      <c r="I546" t="str">
        <f>IF(FT!B546&lt;&gt;"",FT!E546,"")</f>
        <v/>
      </c>
      <c r="J546" t="str">
        <f>IF(FT!B546&lt;&gt;"",FT!C546,"")</f>
        <v/>
      </c>
    </row>
    <row r="547" spans="5:10">
      <c r="E547">
        <f t="shared" si="29"/>
        <v>545</v>
      </c>
      <c r="F547" s="61" t="str">
        <f>IF(FT!A547&lt;&gt;"",FT!A547*10,"")</f>
        <v/>
      </c>
      <c r="G547" s="61" t="str">
        <f>IF(FT!B547&lt;&gt;"",FT!B547*100,"")</f>
        <v/>
      </c>
      <c r="H547" s="61" t="str">
        <f t="shared" si="28"/>
        <v/>
      </c>
      <c r="I547" t="str">
        <f>IF(FT!B547&lt;&gt;"",FT!E547,"")</f>
        <v/>
      </c>
      <c r="J547" t="str">
        <f>IF(FT!B547&lt;&gt;"",FT!C547,"")</f>
        <v/>
      </c>
    </row>
    <row r="548" spans="5:10">
      <c r="E548">
        <f t="shared" si="29"/>
        <v>546</v>
      </c>
      <c r="F548" s="61" t="str">
        <f>IF(FT!A548&lt;&gt;"",FT!A548*10,"")</f>
        <v/>
      </c>
      <c r="G548" s="61" t="str">
        <f>IF(FT!B548&lt;&gt;"",FT!B548*100,"")</f>
        <v/>
      </c>
      <c r="H548" s="61" t="str">
        <f t="shared" si="28"/>
        <v/>
      </c>
      <c r="I548" t="str">
        <f>IF(FT!B548&lt;&gt;"",FT!E548,"")</f>
        <v/>
      </c>
      <c r="J548" t="str">
        <f>IF(FT!B548&lt;&gt;"",FT!C548,"")</f>
        <v/>
      </c>
    </row>
    <row r="549" spans="5:10">
      <c r="E549">
        <f t="shared" si="29"/>
        <v>547</v>
      </c>
      <c r="F549" s="61" t="str">
        <f>IF(FT!A549&lt;&gt;"",FT!A549*10,"")</f>
        <v/>
      </c>
      <c r="G549" s="61" t="str">
        <f>IF(FT!B549&lt;&gt;"",FT!B549*100,"")</f>
        <v/>
      </c>
      <c r="H549" s="61" t="str">
        <f t="shared" si="28"/>
        <v/>
      </c>
      <c r="I549" t="str">
        <f>IF(FT!B549&lt;&gt;"",FT!E549,"")</f>
        <v/>
      </c>
      <c r="J549" t="str">
        <f>IF(FT!B549&lt;&gt;"",FT!C549,"")</f>
        <v/>
      </c>
    </row>
    <row r="550" spans="5:10">
      <c r="E550">
        <f t="shared" si="29"/>
        <v>548</v>
      </c>
      <c r="F550" s="61" t="str">
        <f>IF(FT!A550&lt;&gt;"",FT!A550*10,"")</f>
        <v/>
      </c>
      <c r="G550" s="61" t="str">
        <f>IF(FT!B550&lt;&gt;"",FT!B550*100,"")</f>
        <v/>
      </c>
      <c r="H550" s="61" t="str">
        <f t="shared" si="28"/>
        <v/>
      </c>
      <c r="I550" t="str">
        <f>IF(FT!B550&lt;&gt;"",FT!E550,"")</f>
        <v/>
      </c>
      <c r="J550" t="str">
        <f>IF(FT!B550&lt;&gt;"",FT!C550,"")</f>
        <v/>
      </c>
    </row>
    <row r="551" spans="5:10">
      <c r="E551">
        <f t="shared" si="29"/>
        <v>549</v>
      </c>
      <c r="F551" s="61" t="str">
        <f>IF(FT!A551&lt;&gt;"",FT!A551*10,"")</f>
        <v/>
      </c>
      <c r="G551" s="61" t="str">
        <f>IF(FT!B551&lt;&gt;"",FT!B551*100,"")</f>
        <v/>
      </c>
      <c r="H551" s="61" t="str">
        <f t="shared" si="28"/>
        <v/>
      </c>
      <c r="I551" t="str">
        <f>IF(FT!B551&lt;&gt;"",FT!E551,"")</f>
        <v/>
      </c>
      <c r="J551" t="str">
        <f>IF(FT!B551&lt;&gt;"",FT!C551,"")</f>
        <v/>
      </c>
    </row>
    <row r="552" spans="5:10">
      <c r="E552">
        <f t="shared" si="29"/>
        <v>550</v>
      </c>
      <c r="F552" s="61" t="str">
        <f>IF(FT!A552&lt;&gt;"",FT!A552*10,"")</f>
        <v/>
      </c>
      <c r="G552" s="61" t="str">
        <f>IF(FT!B552&lt;&gt;"",FT!B552*100,"")</f>
        <v/>
      </c>
      <c r="H552" s="61" t="str">
        <f t="shared" si="28"/>
        <v/>
      </c>
      <c r="I552" t="str">
        <f>IF(FT!B552&lt;&gt;"",FT!E552,"")</f>
        <v/>
      </c>
      <c r="J552" t="str">
        <f>IF(FT!B552&lt;&gt;"",FT!C552,"")</f>
        <v/>
      </c>
    </row>
    <row r="553" spans="5:10">
      <c r="E553">
        <f t="shared" si="29"/>
        <v>551</v>
      </c>
      <c r="F553" s="61" t="str">
        <f>IF(FT!A553&lt;&gt;"",FT!A553*10,"")</f>
        <v/>
      </c>
      <c r="G553" s="61" t="str">
        <f>IF(FT!B553&lt;&gt;"",FT!B553*100,"")</f>
        <v/>
      </c>
      <c r="H553" s="61" t="str">
        <f t="shared" si="28"/>
        <v/>
      </c>
      <c r="I553" t="str">
        <f>IF(FT!B553&lt;&gt;"",FT!E553,"")</f>
        <v/>
      </c>
      <c r="J553" t="str">
        <f>IF(FT!B553&lt;&gt;"",FT!C553,"")</f>
        <v/>
      </c>
    </row>
    <row r="554" spans="5:10">
      <c r="E554">
        <f t="shared" si="29"/>
        <v>552</v>
      </c>
      <c r="F554" s="61" t="str">
        <f>IF(FT!A554&lt;&gt;"",FT!A554*10,"")</f>
        <v/>
      </c>
      <c r="G554" s="61" t="str">
        <f>IF(FT!B554&lt;&gt;"",FT!B554*100,"")</f>
        <v/>
      </c>
      <c r="H554" s="61" t="str">
        <f t="shared" si="28"/>
        <v/>
      </c>
      <c r="I554" t="str">
        <f>IF(FT!B554&lt;&gt;"",FT!E554,"")</f>
        <v/>
      </c>
      <c r="J554" t="str">
        <f>IF(FT!B554&lt;&gt;"",FT!C554,"")</f>
        <v/>
      </c>
    </row>
    <row r="555" spans="5:10">
      <c r="E555">
        <f t="shared" si="29"/>
        <v>553</v>
      </c>
      <c r="F555" s="61" t="str">
        <f>IF(FT!A555&lt;&gt;"",FT!A555*10,"")</f>
        <v/>
      </c>
      <c r="G555" s="61" t="str">
        <f>IF(FT!B555&lt;&gt;"",FT!B555*100,"")</f>
        <v/>
      </c>
      <c r="H555" s="61" t="str">
        <f t="shared" si="28"/>
        <v/>
      </c>
      <c r="I555" t="str">
        <f>IF(FT!B555&lt;&gt;"",FT!E555,"")</f>
        <v/>
      </c>
      <c r="J555" t="str">
        <f>IF(FT!B555&lt;&gt;"",FT!C555,"")</f>
        <v/>
      </c>
    </row>
    <row r="556" spans="5:10">
      <c r="E556">
        <f t="shared" si="29"/>
        <v>554</v>
      </c>
      <c r="F556" s="61" t="str">
        <f>IF(FT!A556&lt;&gt;"",FT!A556*10,"")</f>
        <v/>
      </c>
      <c r="G556" s="61" t="str">
        <f>IF(FT!B556&lt;&gt;"",FT!B556*100,"")</f>
        <v/>
      </c>
      <c r="H556" s="61" t="str">
        <f t="shared" si="28"/>
        <v/>
      </c>
      <c r="I556" t="str">
        <f>IF(FT!B556&lt;&gt;"",FT!E556,"")</f>
        <v/>
      </c>
      <c r="J556" t="str">
        <f>IF(FT!B556&lt;&gt;"",FT!C556,"")</f>
        <v/>
      </c>
    </row>
    <row r="557" spans="5:10">
      <c r="E557">
        <f t="shared" si="29"/>
        <v>555</v>
      </c>
      <c r="F557" s="61" t="str">
        <f>IF(FT!A557&lt;&gt;"",FT!A557*10,"")</f>
        <v/>
      </c>
      <c r="G557" s="61" t="str">
        <f>IF(FT!B557&lt;&gt;"",FT!B557*100,"")</f>
        <v/>
      </c>
      <c r="H557" s="61" t="str">
        <f t="shared" si="28"/>
        <v/>
      </c>
      <c r="I557" t="str">
        <f>IF(FT!B557&lt;&gt;"",FT!E557,"")</f>
        <v/>
      </c>
      <c r="J557" t="str">
        <f>IF(FT!B557&lt;&gt;"",FT!C557,"")</f>
        <v/>
      </c>
    </row>
    <row r="558" spans="5:10">
      <c r="E558">
        <f t="shared" si="29"/>
        <v>556</v>
      </c>
      <c r="F558" s="61" t="str">
        <f>IF(FT!A558&lt;&gt;"",FT!A558*10,"")</f>
        <v/>
      </c>
      <c r="G558" s="61" t="str">
        <f>IF(FT!B558&lt;&gt;"",FT!B558*100,"")</f>
        <v/>
      </c>
      <c r="H558" s="61" t="str">
        <f t="shared" si="28"/>
        <v/>
      </c>
      <c r="I558" t="str">
        <f>IF(FT!B558&lt;&gt;"",FT!E558,"")</f>
        <v/>
      </c>
      <c r="J558" t="str">
        <f>IF(FT!B558&lt;&gt;"",FT!C558,"")</f>
        <v/>
      </c>
    </row>
    <row r="559" spans="5:10">
      <c r="E559">
        <f t="shared" si="29"/>
        <v>557</v>
      </c>
      <c r="F559" s="61" t="str">
        <f>IF(FT!A559&lt;&gt;"",FT!A559*10,"")</f>
        <v/>
      </c>
      <c r="G559" s="61" t="str">
        <f>IF(FT!B559&lt;&gt;"",FT!B559*100,"")</f>
        <v/>
      </c>
      <c r="H559" s="61" t="str">
        <f t="shared" si="28"/>
        <v/>
      </c>
      <c r="I559" t="str">
        <f>IF(FT!B559&lt;&gt;"",FT!E559,"")</f>
        <v/>
      </c>
      <c r="J559" t="str">
        <f>IF(FT!B559&lt;&gt;"",FT!C559,"")</f>
        <v/>
      </c>
    </row>
    <row r="560" spans="5:10">
      <c r="E560">
        <f t="shared" si="29"/>
        <v>558</v>
      </c>
      <c r="F560" s="61" t="str">
        <f>IF(FT!A560&lt;&gt;"",FT!A560*10,"")</f>
        <v/>
      </c>
      <c r="G560" s="61" t="str">
        <f>IF(FT!B560&lt;&gt;"",FT!B560*100,"")</f>
        <v/>
      </c>
      <c r="H560" s="61" t="str">
        <f t="shared" si="28"/>
        <v/>
      </c>
      <c r="I560" t="str">
        <f>IF(FT!B560&lt;&gt;"",FT!E560,"")</f>
        <v/>
      </c>
      <c r="J560" t="str">
        <f>IF(FT!B560&lt;&gt;"",FT!C560,"")</f>
        <v/>
      </c>
    </row>
    <row r="561" spans="5:10">
      <c r="E561">
        <f t="shared" si="29"/>
        <v>559</v>
      </c>
      <c r="F561" s="61" t="str">
        <f>IF(FT!A561&lt;&gt;"",FT!A561*10,"")</f>
        <v/>
      </c>
      <c r="G561" s="61" t="str">
        <f>IF(FT!B561&lt;&gt;"",FT!B561*100,"")</f>
        <v/>
      </c>
      <c r="H561" s="61" t="str">
        <f t="shared" si="28"/>
        <v/>
      </c>
      <c r="I561" t="str">
        <f>IF(FT!B561&lt;&gt;"",FT!E561,"")</f>
        <v/>
      </c>
      <c r="J561" t="str">
        <f>IF(FT!B561&lt;&gt;"",FT!C561,"")</f>
        <v/>
      </c>
    </row>
    <row r="562" spans="5:10">
      <c r="E562">
        <f t="shared" si="29"/>
        <v>560</v>
      </c>
      <c r="F562" s="61" t="str">
        <f>IF(FT!A562&lt;&gt;"",FT!A562*10,"")</f>
        <v/>
      </c>
      <c r="G562" s="61" t="str">
        <f>IF(FT!B562&lt;&gt;"",FT!B562*100,"")</f>
        <v/>
      </c>
      <c r="H562" s="61" t="str">
        <f t="shared" si="28"/>
        <v/>
      </c>
      <c r="I562" t="str">
        <f>IF(FT!B562&lt;&gt;"",FT!E562,"")</f>
        <v/>
      </c>
      <c r="J562" t="str">
        <f>IF(FT!B562&lt;&gt;"",FT!C562,"")</f>
        <v/>
      </c>
    </row>
    <row r="563" spans="5:10">
      <c r="E563">
        <f t="shared" si="29"/>
        <v>561</v>
      </c>
      <c r="F563" s="61" t="str">
        <f>IF(FT!A563&lt;&gt;"",FT!A563*10,"")</f>
        <v/>
      </c>
      <c r="G563" s="61" t="str">
        <f>IF(FT!B563&lt;&gt;"",FT!B563*100,"")</f>
        <v/>
      </c>
      <c r="H563" s="61" t="str">
        <f t="shared" si="28"/>
        <v/>
      </c>
      <c r="I563" t="str">
        <f>IF(FT!B563&lt;&gt;"",FT!E563,"")</f>
        <v/>
      </c>
      <c r="J563" t="str">
        <f>IF(FT!B563&lt;&gt;"",FT!C563,"")</f>
        <v/>
      </c>
    </row>
    <row r="564" spans="5:10">
      <c r="E564">
        <f t="shared" si="29"/>
        <v>562</v>
      </c>
      <c r="F564" s="61" t="str">
        <f>IF(FT!A564&lt;&gt;"",FT!A564*10,"")</f>
        <v/>
      </c>
      <c r="G564" s="61" t="str">
        <f>IF(FT!B564&lt;&gt;"",FT!B564*100,"")</f>
        <v/>
      </c>
      <c r="H564" s="61" t="str">
        <f t="shared" si="28"/>
        <v/>
      </c>
      <c r="I564" t="str">
        <f>IF(FT!B564&lt;&gt;"",FT!E564,"")</f>
        <v/>
      </c>
      <c r="J564" t="str">
        <f>IF(FT!B564&lt;&gt;"",FT!C564,"")</f>
        <v/>
      </c>
    </row>
    <row r="565" spans="5:10">
      <c r="E565">
        <f t="shared" si="29"/>
        <v>563</v>
      </c>
      <c r="F565" s="61" t="str">
        <f>IF(FT!A565&lt;&gt;"",FT!A565*10,"")</f>
        <v/>
      </c>
      <c r="G565" s="61" t="str">
        <f>IF(FT!B565&lt;&gt;"",FT!B565*100,"")</f>
        <v/>
      </c>
      <c r="H565" s="61" t="str">
        <f t="shared" si="28"/>
        <v/>
      </c>
      <c r="I565" t="str">
        <f>IF(FT!B565&lt;&gt;"",FT!E565,"")</f>
        <v/>
      </c>
      <c r="J565" t="str">
        <f>IF(FT!B565&lt;&gt;"",FT!C565,"")</f>
        <v/>
      </c>
    </row>
    <row r="566" spans="5:10">
      <c r="E566">
        <f t="shared" si="29"/>
        <v>564</v>
      </c>
      <c r="F566" s="61" t="str">
        <f>IF(FT!A566&lt;&gt;"",FT!A566*10,"")</f>
        <v/>
      </c>
      <c r="G566" s="61" t="str">
        <f>IF(FT!B566&lt;&gt;"",FT!B566*100,"")</f>
        <v/>
      </c>
      <c r="H566" s="61" t="str">
        <f t="shared" si="28"/>
        <v/>
      </c>
      <c r="I566" t="str">
        <f>IF(FT!B566&lt;&gt;"",FT!E566,"")</f>
        <v/>
      </c>
      <c r="J566" t="str">
        <f>IF(FT!B566&lt;&gt;"",FT!C566,"")</f>
        <v/>
      </c>
    </row>
    <row r="567" spans="5:10">
      <c r="E567">
        <f t="shared" si="29"/>
        <v>565</v>
      </c>
      <c r="F567" s="61" t="str">
        <f>IF(FT!A567&lt;&gt;"",FT!A567*10,"")</f>
        <v/>
      </c>
      <c r="G567" s="61" t="str">
        <f>IF(FT!B567&lt;&gt;"",FT!B567*100,"")</f>
        <v/>
      </c>
      <c r="H567" s="61" t="str">
        <f t="shared" si="28"/>
        <v/>
      </c>
      <c r="I567" t="str">
        <f>IF(FT!B567&lt;&gt;"",FT!E567,"")</f>
        <v/>
      </c>
      <c r="J567" t="str">
        <f>IF(FT!B567&lt;&gt;"",FT!C567,"")</f>
        <v/>
      </c>
    </row>
    <row r="568" spans="5:10">
      <c r="E568">
        <f t="shared" si="29"/>
        <v>566</v>
      </c>
      <c r="F568" s="61" t="str">
        <f>IF(FT!A568&lt;&gt;"",FT!A568*10,"")</f>
        <v/>
      </c>
      <c r="G568" s="61" t="str">
        <f>IF(FT!B568&lt;&gt;"",FT!B568*100,"")</f>
        <v/>
      </c>
      <c r="H568" s="61" t="str">
        <f t="shared" si="28"/>
        <v/>
      </c>
      <c r="I568" t="str">
        <f>IF(FT!B568&lt;&gt;"",FT!E568,"")</f>
        <v/>
      </c>
      <c r="J568" t="str">
        <f>IF(FT!B568&lt;&gt;"",FT!C568,"")</f>
        <v/>
      </c>
    </row>
    <row r="569" spans="5:10">
      <c r="E569">
        <f t="shared" si="29"/>
        <v>567</v>
      </c>
      <c r="F569" s="61" t="str">
        <f>IF(FT!A569&lt;&gt;"",FT!A569*10,"")</f>
        <v/>
      </c>
      <c r="G569" s="61" t="str">
        <f>IF(FT!B569&lt;&gt;"",FT!B569*100,"")</f>
        <v/>
      </c>
      <c r="H569" s="61" t="str">
        <f t="shared" si="28"/>
        <v/>
      </c>
      <c r="I569" t="str">
        <f>IF(FT!B569&lt;&gt;"",FT!E569,"")</f>
        <v/>
      </c>
      <c r="J569" t="str">
        <f>IF(FT!B569&lt;&gt;"",FT!C569,"")</f>
        <v/>
      </c>
    </row>
    <row r="570" spans="5:10">
      <c r="E570">
        <f t="shared" si="29"/>
        <v>568</v>
      </c>
      <c r="F570" s="61" t="str">
        <f>IF(FT!A570&lt;&gt;"",FT!A570*10,"")</f>
        <v/>
      </c>
      <c r="G570" s="61" t="str">
        <f>IF(FT!B570&lt;&gt;"",FT!B570*100,"")</f>
        <v/>
      </c>
      <c r="H570" s="61" t="str">
        <f t="shared" si="28"/>
        <v/>
      </c>
      <c r="I570" t="str">
        <f>IF(FT!B570&lt;&gt;"",FT!E570,"")</f>
        <v/>
      </c>
      <c r="J570" t="str">
        <f>IF(FT!B570&lt;&gt;"",FT!C570,"")</f>
        <v/>
      </c>
    </row>
    <row r="571" spans="5:10">
      <c r="E571">
        <f t="shared" si="29"/>
        <v>569</v>
      </c>
      <c r="F571" s="61" t="str">
        <f>IF(FT!A571&lt;&gt;"",FT!A571*10,"")</f>
        <v/>
      </c>
      <c r="G571" s="61" t="str">
        <f>IF(FT!B571&lt;&gt;"",FT!B571*100,"")</f>
        <v/>
      </c>
      <c r="H571" s="61" t="str">
        <f t="shared" si="28"/>
        <v/>
      </c>
      <c r="I571" t="str">
        <f>IF(FT!B571&lt;&gt;"",FT!E571,"")</f>
        <v/>
      </c>
      <c r="J571" t="str">
        <f>IF(FT!B571&lt;&gt;"",FT!C571,"")</f>
        <v/>
      </c>
    </row>
    <row r="572" spans="5:10">
      <c r="E572">
        <f t="shared" si="29"/>
        <v>570</v>
      </c>
      <c r="F572" s="61" t="str">
        <f>IF(FT!A572&lt;&gt;"",FT!A572*10,"")</f>
        <v/>
      </c>
      <c r="G572" s="61" t="str">
        <f>IF(FT!B572&lt;&gt;"",FT!B572*100,"")</f>
        <v/>
      </c>
      <c r="H572" s="61" t="str">
        <f t="shared" si="28"/>
        <v/>
      </c>
      <c r="I572" t="str">
        <f>IF(FT!B572&lt;&gt;"",FT!E572,"")</f>
        <v/>
      </c>
      <c r="J572" t="str">
        <f>IF(FT!B572&lt;&gt;"",FT!C572,"")</f>
        <v/>
      </c>
    </row>
    <row r="573" spans="5:10">
      <c r="E573">
        <f t="shared" si="29"/>
        <v>571</v>
      </c>
      <c r="F573" s="61" t="str">
        <f>IF(FT!A573&lt;&gt;"",FT!A573*10,"")</f>
        <v/>
      </c>
      <c r="G573" s="61" t="str">
        <f>IF(FT!B573&lt;&gt;"",FT!B573*100,"")</f>
        <v/>
      </c>
      <c r="H573" s="61" t="str">
        <f t="shared" si="28"/>
        <v/>
      </c>
      <c r="I573" t="str">
        <f>IF(FT!B573&lt;&gt;"",FT!E573,"")</f>
        <v/>
      </c>
      <c r="J573" t="str">
        <f>IF(FT!B573&lt;&gt;"",FT!C573,"")</f>
        <v/>
      </c>
    </row>
    <row r="574" spans="5:10">
      <c r="E574">
        <f t="shared" si="29"/>
        <v>572</v>
      </c>
      <c r="F574" s="61" t="str">
        <f>IF(FT!A574&lt;&gt;"",FT!A574*10,"")</f>
        <v/>
      </c>
      <c r="G574" s="61" t="str">
        <f>IF(FT!B574&lt;&gt;"",FT!B574*100,"")</f>
        <v/>
      </c>
      <c r="H574" s="61" t="str">
        <f t="shared" si="28"/>
        <v/>
      </c>
      <c r="I574" t="str">
        <f>IF(FT!B574&lt;&gt;"",FT!E574,"")</f>
        <v/>
      </c>
      <c r="J574" t="str">
        <f>IF(FT!B574&lt;&gt;"",FT!C574,"")</f>
        <v/>
      </c>
    </row>
    <row r="575" spans="5:10">
      <c r="E575">
        <f t="shared" si="29"/>
        <v>573</v>
      </c>
      <c r="F575" s="61" t="str">
        <f>IF(FT!A575&lt;&gt;"",FT!A575*10,"")</f>
        <v/>
      </c>
      <c r="G575" s="61" t="str">
        <f>IF(FT!B575&lt;&gt;"",FT!B575*100,"")</f>
        <v/>
      </c>
      <c r="H575" s="61" t="str">
        <f t="shared" si="28"/>
        <v/>
      </c>
      <c r="I575" t="str">
        <f>IF(FT!B575&lt;&gt;"",FT!E575,"")</f>
        <v/>
      </c>
      <c r="J575" t="str">
        <f>IF(FT!B575&lt;&gt;"",FT!C575,"")</f>
        <v/>
      </c>
    </row>
    <row r="576" spans="5:10">
      <c r="E576">
        <f t="shared" si="29"/>
        <v>574</v>
      </c>
      <c r="F576" s="61" t="str">
        <f>IF(FT!A576&lt;&gt;"",FT!A576*10,"")</f>
        <v/>
      </c>
      <c r="G576" s="61" t="str">
        <f>IF(FT!B576&lt;&gt;"",FT!B576*100,"")</f>
        <v/>
      </c>
      <c r="H576" s="61" t="str">
        <f t="shared" si="28"/>
        <v/>
      </c>
      <c r="I576" t="str">
        <f>IF(FT!B576&lt;&gt;"",FT!E576,"")</f>
        <v/>
      </c>
      <c r="J576" t="str">
        <f>IF(FT!B576&lt;&gt;"",FT!C576,"")</f>
        <v/>
      </c>
    </row>
    <row r="577" spans="5:10">
      <c r="E577">
        <f t="shared" si="29"/>
        <v>575</v>
      </c>
      <c r="F577" s="61" t="str">
        <f>IF(FT!A577&lt;&gt;"",FT!A577*10,"")</f>
        <v/>
      </c>
      <c r="G577" s="61" t="str">
        <f>IF(FT!B577&lt;&gt;"",FT!B577*100,"")</f>
        <v/>
      </c>
      <c r="H577" s="61" t="str">
        <f t="shared" si="28"/>
        <v/>
      </c>
      <c r="I577" t="str">
        <f>IF(FT!B577&lt;&gt;"",FT!E577,"")</f>
        <v/>
      </c>
      <c r="J577" t="str">
        <f>IF(FT!B577&lt;&gt;"",FT!C577,"")</f>
        <v/>
      </c>
    </row>
    <row r="578" spans="5:10">
      <c r="E578">
        <f t="shared" si="29"/>
        <v>576</v>
      </c>
      <c r="F578" s="61" t="str">
        <f>IF(FT!A578&lt;&gt;"",FT!A578*10,"")</f>
        <v/>
      </c>
      <c r="G578" s="61" t="str">
        <f>IF(FT!B578&lt;&gt;"",FT!B578*100,"")</f>
        <v/>
      </c>
      <c r="H578" s="61" t="str">
        <f t="shared" si="28"/>
        <v/>
      </c>
      <c r="I578" t="str">
        <f>IF(FT!B578&lt;&gt;"",FT!E578,"")</f>
        <v/>
      </c>
      <c r="J578" t="str">
        <f>IF(FT!B578&lt;&gt;"",FT!C578,"")</f>
        <v/>
      </c>
    </row>
    <row r="579" spans="5:10">
      <c r="E579">
        <f t="shared" si="29"/>
        <v>577</v>
      </c>
      <c r="F579" s="61" t="str">
        <f>IF(FT!A579&lt;&gt;"",FT!A579*10,"")</f>
        <v/>
      </c>
      <c r="G579" s="61" t="str">
        <f>IF(FT!B579&lt;&gt;"",FT!B579*100,"")</f>
        <v/>
      </c>
      <c r="H579" s="61" t="str">
        <f t="shared" ref="H579:H642" si="30">(IF(F579&lt;&gt;"",1,""))</f>
        <v/>
      </c>
      <c r="I579" t="str">
        <f>IF(FT!B579&lt;&gt;"",FT!E579,"")</f>
        <v/>
      </c>
      <c r="J579" t="str">
        <f>IF(FT!B579&lt;&gt;"",FT!C579,"")</f>
        <v/>
      </c>
    </row>
    <row r="580" spans="5:10">
      <c r="E580">
        <f t="shared" ref="E580:E643" si="31">E579+1</f>
        <v>578</v>
      </c>
      <c r="F580" s="61" t="str">
        <f>IF(FT!A580&lt;&gt;"",FT!A580*10,"")</f>
        <v/>
      </c>
      <c r="G580" s="61" t="str">
        <f>IF(FT!B580&lt;&gt;"",FT!B580*100,"")</f>
        <v/>
      </c>
      <c r="H580" s="61" t="str">
        <f t="shared" si="30"/>
        <v/>
      </c>
      <c r="I580" t="str">
        <f>IF(FT!B580&lt;&gt;"",FT!E580,"")</f>
        <v/>
      </c>
      <c r="J580" t="str">
        <f>IF(FT!B580&lt;&gt;"",FT!C580,"")</f>
        <v/>
      </c>
    </row>
    <row r="581" spans="5:10">
      <c r="E581">
        <f t="shared" si="31"/>
        <v>579</v>
      </c>
      <c r="F581" s="61" t="str">
        <f>IF(FT!A581&lt;&gt;"",FT!A581*10,"")</f>
        <v/>
      </c>
      <c r="G581" s="61" t="str">
        <f>IF(FT!B581&lt;&gt;"",FT!B581*100,"")</f>
        <v/>
      </c>
      <c r="H581" s="61" t="str">
        <f t="shared" si="30"/>
        <v/>
      </c>
      <c r="I581" t="str">
        <f>IF(FT!B581&lt;&gt;"",FT!E581,"")</f>
        <v/>
      </c>
      <c r="J581" t="str">
        <f>IF(FT!B581&lt;&gt;"",FT!C581,"")</f>
        <v/>
      </c>
    </row>
    <row r="582" spans="5:10">
      <c r="E582">
        <f t="shared" si="31"/>
        <v>580</v>
      </c>
      <c r="F582" s="61" t="str">
        <f>IF(FT!A582&lt;&gt;"",FT!A582*10,"")</f>
        <v/>
      </c>
      <c r="G582" s="61" t="str">
        <f>IF(FT!B582&lt;&gt;"",FT!B582*100,"")</f>
        <v/>
      </c>
      <c r="H582" s="61" t="str">
        <f t="shared" si="30"/>
        <v/>
      </c>
      <c r="I582" t="str">
        <f>IF(FT!B582&lt;&gt;"",FT!E582,"")</f>
        <v/>
      </c>
      <c r="J582" t="str">
        <f>IF(FT!B582&lt;&gt;"",FT!C582,"")</f>
        <v/>
      </c>
    </row>
    <row r="583" spans="5:10">
      <c r="E583">
        <f t="shared" si="31"/>
        <v>581</v>
      </c>
      <c r="F583" s="61" t="str">
        <f>IF(FT!A583&lt;&gt;"",FT!A583*10,"")</f>
        <v/>
      </c>
      <c r="G583" s="61" t="str">
        <f>IF(FT!B583&lt;&gt;"",FT!B583*100,"")</f>
        <v/>
      </c>
      <c r="H583" s="61" t="str">
        <f t="shared" si="30"/>
        <v/>
      </c>
      <c r="I583" t="str">
        <f>IF(FT!B583&lt;&gt;"",FT!E583,"")</f>
        <v/>
      </c>
      <c r="J583" t="str">
        <f>IF(FT!B583&lt;&gt;"",FT!C583,"")</f>
        <v/>
      </c>
    </row>
    <row r="584" spans="5:10">
      <c r="E584">
        <f t="shared" si="31"/>
        <v>582</v>
      </c>
      <c r="F584" s="61" t="str">
        <f>IF(FT!A584&lt;&gt;"",FT!A584*10,"")</f>
        <v/>
      </c>
      <c r="G584" s="61" t="str">
        <f>IF(FT!B584&lt;&gt;"",FT!B584*100,"")</f>
        <v/>
      </c>
      <c r="H584" s="61" t="str">
        <f t="shared" si="30"/>
        <v/>
      </c>
      <c r="I584" t="str">
        <f>IF(FT!B584&lt;&gt;"",FT!E584,"")</f>
        <v/>
      </c>
      <c r="J584" t="str">
        <f>IF(FT!B584&lt;&gt;"",FT!C584,"")</f>
        <v/>
      </c>
    </row>
    <row r="585" spans="5:10">
      <c r="E585">
        <f t="shared" si="31"/>
        <v>583</v>
      </c>
      <c r="F585" s="61" t="str">
        <f>IF(FT!A585&lt;&gt;"",FT!A585*10,"")</f>
        <v/>
      </c>
      <c r="G585" s="61" t="str">
        <f>IF(FT!B585&lt;&gt;"",FT!B585*100,"")</f>
        <v/>
      </c>
      <c r="H585" s="61" t="str">
        <f t="shared" si="30"/>
        <v/>
      </c>
      <c r="I585" t="str">
        <f>IF(FT!B585&lt;&gt;"",FT!E585,"")</f>
        <v/>
      </c>
      <c r="J585" t="str">
        <f>IF(FT!B585&lt;&gt;"",FT!C585,"")</f>
        <v/>
      </c>
    </row>
    <row r="586" spans="5:10">
      <c r="E586">
        <f t="shared" si="31"/>
        <v>584</v>
      </c>
      <c r="F586" s="61" t="str">
        <f>IF(FT!A586&lt;&gt;"",FT!A586*10,"")</f>
        <v/>
      </c>
      <c r="G586" s="61" t="str">
        <f>IF(FT!B586&lt;&gt;"",FT!B586*100,"")</f>
        <v/>
      </c>
      <c r="H586" s="61" t="str">
        <f t="shared" si="30"/>
        <v/>
      </c>
      <c r="I586" t="str">
        <f>IF(FT!B586&lt;&gt;"",FT!E586,"")</f>
        <v/>
      </c>
      <c r="J586" t="str">
        <f>IF(FT!B586&lt;&gt;"",FT!C586,"")</f>
        <v/>
      </c>
    </row>
    <row r="587" spans="5:10">
      <c r="E587">
        <f t="shared" si="31"/>
        <v>585</v>
      </c>
      <c r="F587" s="61" t="str">
        <f>IF(FT!A587&lt;&gt;"",FT!A587*10,"")</f>
        <v/>
      </c>
      <c r="G587" s="61" t="str">
        <f>IF(FT!B587&lt;&gt;"",FT!B587*100,"")</f>
        <v/>
      </c>
      <c r="H587" s="61" t="str">
        <f t="shared" si="30"/>
        <v/>
      </c>
      <c r="I587" t="str">
        <f>IF(FT!B587&lt;&gt;"",FT!E587,"")</f>
        <v/>
      </c>
      <c r="J587" t="str">
        <f>IF(FT!B587&lt;&gt;"",FT!C587,"")</f>
        <v/>
      </c>
    </row>
    <row r="588" spans="5:10">
      <c r="E588">
        <f t="shared" si="31"/>
        <v>586</v>
      </c>
      <c r="F588" s="61" t="str">
        <f>IF(FT!A588&lt;&gt;"",FT!A588*10,"")</f>
        <v/>
      </c>
      <c r="G588" s="61" t="str">
        <f>IF(FT!B588&lt;&gt;"",FT!B588*100,"")</f>
        <v/>
      </c>
      <c r="H588" s="61" t="str">
        <f t="shared" si="30"/>
        <v/>
      </c>
      <c r="I588" t="str">
        <f>IF(FT!B588&lt;&gt;"",FT!E588,"")</f>
        <v/>
      </c>
      <c r="J588" t="str">
        <f>IF(FT!B588&lt;&gt;"",FT!C588,"")</f>
        <v/>
      </c>
    </row>
    <row r="589" spans="5:10">
      <c r="E589">
        <f t="shared" si="31"/>
        <v>587</v>
      </c>
      <c r="F589" s="61" t="str">
        <f>IF(FT!A589&lt;&gt;"",FT!A589*10,"")</f>
        <v/>
      </c>
      <c r="G589" s="61" t="str">
        <f>IF(FT!B589&lt;&gt;"",FT!B589*100,"")</f>
        <v/>
      </c>
      <c r="H589" s="61" t="str">
        <f t="shared" si="30"/>
        <v/>
      </c>
      <c r="I589" t="str">
        <f>IF(FT!B589&lt;&gt;"",FT!E589,"")</f>
        <v/>
      </c>
      <c r="J589" t="str">
        <f>IF(FT!B589&lt;&gt;"",FT!C589,"")</f>
        <v/>
      </c>
    </row>
    <row r="590" spans="5:10">
      <c r="E590">
        <f t="shared" si="31"/>
        <v>588</v>
      </c>
      <c r="F590" s="61" t="str">
        <f>IF(FT!A590&lt;&gt;"",FT!A590*10,"")</f>
        <v/>
      </c>
      <c r="G590" s="61" t="str">
        <f>IF(FT!B590&lt;&gt;"",FT!B590*100,"")</f>
        <v/>
      </c>
      <c r="H590" s="61" t="str">
        <f t="shared" si="30"/>
        <v/>
      </c>
      <c r="I590" t="str">
        <f>IF(FT!B590&lt;&gt;"",FT!E590,"")</f>
        <v/>
      </c>
      <c r="J590" t="str">
        <f>IF(FT!B590&lt;&gt;"",FT!C590,"")</f>
        <v/>
      </c>
    </row>
    <row r="591" spans="5:10">
      <c r="E591">
        <f t="shared" si="31"/>
        <v>589</v>
      </c>
      <c r="F591" s="61" t="str">
        <f>IF(FT!A591&lt;&gt;"",FT!A591*10,"")</f>
        <v/>
      </c>
      <c r="G591" s="61" t="str">
        <f>IF(FT!B591&lt;&gt;"",FT!B591*100,"")</f>
        <v/>
      </c>
      <c r="H591" s="61" t="str">
        <f t="shared" si="30"/>
        <v/>
      </c>
      <c r="I591" t="str">
        <f>IF(FT!B591&lt;&gt;"",FT!E591,"")</f>
        <v/>
      </c>
      <c r="J591" t="str">
        <f>IF(FT!B591&lt;&gt;"",FT!C591,"")</f>
        <v/>
      </c>
    </row>
    <row r="592" spans="5:10">
      <c r="E592">
        <f t="shared" si="31"/>
        <v>590</v>
      </c>
      <c r="F592" s="61" t="str">
        <f>IF(FT!A592&lt;&gt;"",FT!A592*10,"")</f>
        <v/>
      </c>
      <c r="G592" s="61" t="str">
        <f>IF(FT!B592&lt;&gt;"",FT!B592*100,"")</f>
        <v/>
      </c>
      <c r="H592" s="61" t="str">
        <f t="shared" si="30"/>
        <v/>
      </c>
      <c r="I592" t="str">
        <f>IF(FT!B592&lt;&gt;"",FT!E592,"")</f>
        <v/>
      </c>
      <c r="J592" t="str">
        <f>IF(FT!B592&lt;&gt;"",FT!C592,"")</f>
        <v/>
      </c>
    </row>
    <row r="593" spans="5:10">
      <c r="E593">
        <f t="shared" si="31"/>
        <v>591</v>
      </c>
      <c r="F593" s="61" t="str">
        <f>IF(FT!A593&lt;&gt;"",FT!A593*10,"")</f>
        <v/>
      </c>
      <c r="G593" s="61" t="str">
        <f>IF(FT!B593&lt;&gt;"",FT!B593*100,"")</f>
        <v/>
      </c>
      <c r="H593" s="61" t="str">
        <f t="shared" si="30"/>
        <v/>
      </c>
      <c r="I593" t="str">
        <f>IF(FT!B593&lt;&gt;"",FT!E593,"")</f>
        <v/>
      </c>
      <c r="J593" t="str">
        <f>IF(FT!B593&lt;&gt;"",FT!C593,"")</f>
        <v/>
      </c>
    </row>
    <row r="594" spans="5:10">
      <c r="E594">
        <f t="shared" si="31"/>
        <v>592</v>
      </c>
      <c r="F594" s="61" t="str">
        <f>IF(FT!A594&lt;&gt;"",FT!A594*10,"")</f>
        <v/>
      </c>
      <c r="G594" s="61" t="str">
        <f>IF(FT!B594&lt;&gt;"",FT!B594*100,"")</f>
        <v/>
      </c>
      <c r="H594" s="61" t="str">
        <f t="shared" si="30"/>
        <v/>
      </c>
      <c r="I594" t="str">
        <f>IF(FT!B594&lt;&gt;"",FT!E594,"")</f>
        <v/>
      </c>
      <c r="J594" t="str">
        <f>IF(FT!B594&lt;&gt;"",FT!C594,"")</f>
        <v/>
      </c>
    </row>
    <row r="595" spans="5:10">
      <c r="E595">
        <f t="shared" si="31"/>
        <v>593</v>
      </c>
      <c r="F595" s="61" t="str">
        <f>IF(FT!A595&lt;&gt;"",FT!A595*10,"")</f>
        <v/>
      </c>
      <c r="G595" s="61" t="str">
        <f>IF(FT!B595&lt;&gt;"",FT!B595*100,"")</f>
        <v/>
      </c>
      <c r="H595" s="61" t="str">
        <f t="shared" si="30"/>
        <v/>
      </c>
      <c r="I595" t="str">
        <f>IF(FT!B595&lt;&gt;"",FT!E595,"")</f>
        <v/>
      </c>
      <c r="J595" t="str">
        <f>IF(FT!B595&lt;&gt;"",FT!C595,"")</f>
        <v/>
      </c>
    </row>
    <row r="596" spans="5:10">
      <c r="E596">
        <f t="shared" si="31"/>
        <v>594</v>
      </c>
      <c r="F596" s="61" t="str">
        <f>IF(FT!A596&lt;&gt;"",FT!A596*10,"")</f>
        <v/>
      </c>
      <c r="G596" s="61" t="str">
        <f>IF(FT!B596&lt;&gt;"",FT!B596*100,"")</f>
        <v/>
      </c>
      <c r="H596" s="61" t="str">
        <f t="shared" si="30"/>
        <v/>
      </c>
      <c r="I596" t="str">
        <f>IF(FT!B596&lt;&gt;"",FT!E596,"")</f>
        <v/>
      </c>
      <c r="J596" t="str">
        <f>IF(FT!B596&lt;&gt;"",FT!C596,"")</f>
        <v/>
      </c>
    </row>
    <row r="597" spans="5:10">
      <c r="E597">
        <f t="shared" si="31"/>
        <v>595</v>
      </c>
      <c r="F597" s="61" t="str">
        <f>IF(FT!A597&lt;&gt;"",FT!A597*10,"")</f>
        <v/>
      </c>
      <c r="G597" s="61" t="str">
        <f>IF(FT!B597&lt;&gt;"",FT!B597*100,"")</f>
        <v/>
      </c>
      <c r="H597" s="61" t="str">
        <f t="shared" si="30"/>
        <v/>
      </c>
      <c r="I597" t="str">
        <f>IF(FT!B597&lt;&gt;"",FT!E597,"")</f>
        <v/>
      </c>
      <c r="J597" t="str">
        <f>IF(FT!B597&lt;&gt;"",FT!C597,"")</f>
        <v/>
      </c>
    </row>
    <row r="598" spans="5:10">
      <c r="E598">
        <f t="shared" si="31"/>
        <v>596</v>
      </c>
      <c r="F598" s="61" t="str">
        <f>IF(FT!A598&lt;&gt;"",FT!A598*10,"")</f>
        <v/>
      </c>
      <c r="G598" s="61" t="str">
        <f>IF(FT!B598&lt;&gt;"",FT!B598*100,"")</f>
        <v/>
      </c>
      <c r="H598" s="61" t="str">
        <f t="shared" si="30"/>
        <v/>
      </c>
      <c r="I598" t="str">
        <f>IF(FT!B598&lt;&gt;"",FT!E598,"")</f>
        <v/>
      </c>
      <c r="J598" t="str">
        <f>IF(FT!B598&lt;&gt;"",FT!C598,"")</f>
        <v/>
      </c>
    </row>
    <row r="599" spans="5:10">
      <c r="E599">
        <f t="shared" si="31"/>
        <v>597</v>
      </c>
      <c r="F599" s="61" t="str">
        <f>IF(FT!A599&lt;&gt;"",FT!A599*10,"")</f>
        <v/>
      </c>
      <c r="G599" s="61" t="str">
        <f>IF(FT!B599&lt;&gt;"",FT!B599*100,"")</f>
        <v/>
      </c>
      <c r="H599" s="61" t="str">
        <f t="shared" si="30"/>
        <v/>
      </c>
      <c r="I599" t="str">
        <f>IF(FT!B599&lt;&gt;"",FT!E599,"")</f>
        <v/>
      </c>
      <c r="J599" t="str">
        <f>IF(FT!B599&lt;&gt;"",FT!C599,"")</f>
        <v/>
      </c>
    </row>
    <row r="600" spans="5:10">
      <c r="E600">
        <f t="shared" si="31"/>
        <v>598</v>
      </c>
      <c r="F600" s="61" t="str">
        <f>IF(FT!A600&lt;&gt;"",FT!A600*10,"")</f>
        <v/>
      </c>
      <c r="G600" s="61" t="str">
        <f>IF(FT!B600&lt;&gt;"",FT!B600*100,"")</f>
        <v/>
      </c>
      <c r="H600" s="61" t="str">
        <f t="shared" si="30"/>
        <v/>
      </c>
      <c r="I600" t="str">
        <f>IF(FT!B600&lt;&gt;"",FT!E600,"")</f>
        <v/>
      </c>
      <c r="J600" t="str">
        <f>IF(FT!B600&lt;&gt;"",FT!C600,"")</f>
        <v/>
      </c>
    </row>
    <row r="601" spans="5:10">
      <c r="E601">
        <f t="shared" si="31"/>
        <v>599</v>
      </c>
      <c r="F601" s="61" t="str">
        <f>IF(FT!A601&lt;&gt;"",FT!A601*10,"")</f>
        <v/>
      </c>
      <c r="G601" s="61" t="str">
        <f>IF(FT!B601&lt;&gt;"",FT!B601*100,"")</f>
        <v/>
      </c>
      <c r="H601" s="61" t="str">
        <f t="shared" si="30"/>
        <v/>
      </c>
      <c r="I601" t="str">
        <f>IF(FT!B601&lt;&gt;"",FT!E601,"")</f>
        <v/>
      </c>
      <c r="J601" t="str">
        <f>IF(FT!B601&lt;&gt;"",FT!C601,"")</f>
        <v/>
      </c>
    </row>
    <row r="602" spans="5:10">
      <c r="E602">
        <f t="shared" si="31"/>
        <v>600</v>
      </c>
      <c r="F602" s="61" t="str">
        <f>IF(FT!A602&lt;&gt;"",FT!A602*10,"")</f>
        <v/>
      </c>
      <c r="G602" s="61" t="str">
        <f>IF(FT!B602&lt;&gt;"",FT!B602*100,"")</f>
        <v/>
      </c>
      <c r="H602" s="61" t="str">
        <f t="shared" si="30"/>
        <v/>
      </c>
      <c r="I602" t="str">
        <f>IF(FT!B602&lt;&gt;"",FT!E602,"")</f>
        <v/>
      </c>
      <c r="J602" t="str">
        <f>IF(FT!B602&lt;&gt;"",FT!C602,"")</f>
        <v/>
      </c>
    </row>
    <row r="603" spans="5:10">
      <c r="E603">
        <f t="shared" si="31"/>
        <v>601</v>
      </c>
      <c r="F603" s="61" t="str">
        <f>IF(FT!A603&lt;&gt;"",FT!A603*10,"")</f>
        <v/>
      </c>
      <c r="G603" s="61" t="str">
        <f>IF(FT!B603&lt;&gt;"",FT!B603*100,"")</f>
        <v/>
      </c>
      <c r="H603" s="61" t="str">
        <f t="shared" si="30"/>
        <v/>
      </c>
      <c r="I603" t="str">
        <f>IF(FT!B603&lt;&gt;"",FT!E603,"")</f>
        <v/>
      </c>
      <c r="J603" t="str">
        <f>IF(FT!B603&lt;&gt;"",FT!C603,"")</f>
        <v/>
      </c>
    </row>
    <row r="604" spans="5:10">
      <c r="E604">
        <f t="shared" si="31"/>
        <v>602</v>
      </c>
      <c r="F604" s="61" t="str">
        <f>IF(FT!A604&lt;&gt;"",FT!A604*10,"")</f>
        <v/>
      </c>
      <c r="G604" s="61" t="str">
        <f>IF(FT!B604&lt;&gt;"",FT!B604*100,"")</f>
        <v/>
      </c>
      <c r="H604" s="61" t="str">
        <f t="shared" si="30"/>
        <v/>
      </c>
      <c r="I604" t="str">
        <f>IF(FT!B604&lt;&gt;"",FT!E604,"")</f>
        <v/>
      </c>
      <c r="J604" t="str">
        <f>IF(FT!B604&lt;&gt;"",FT!C604,"")</f>
        <v/>
      </c>
    </row>
    <row r="605" spans="5:10">
      <c r="E605">
        <f t="shared" si="31"/>
        <v>603</v>
      </c>
      <c r="F605" s="61" t="str">
        <f>IF(FT!A605&lt;&gt;"",FT!A605*10,"")</f>
        <v/>
      </c>
      <c r="G605" s="61" t="str">
        <f>IF(FT!B605&lt;&gt;"",FT!B605*100,"")</f>
        <v/>
      </c>
      <c r="H605" s="61" t="str">
        <f t="shared" si="30"/>
        <v/>
      </c>
      <c r="I605" t="str">
        <f>IF(FT!B605&lt;&gt;"",FT!E605,"")</f>
        <v/>
      </c>
      <c r="J605" t="str">
        <f>IF(FT!B605&lt;&gt;"",FT!C605,"")</f>
        <v/>
      </c>
    </row>
    <row r="606" spans="5:10">
      <c r="E606">
        <f t="shared" si="31"/>
        <v>604</v>
      </c>
      <c r="F606" s="61" t="str">
        <f>IF(FT!A606&lt;&gt;"",FT!A606*10,"")</f>
        <v/>
      </c>
      <c r="G606" s="61" t="str">
        <f>IF(FT!B606&lt;&gt;"",FT!B606*100,"")</f>
        <v/>
      </c>
      <c r="H606" s="61" t="str">
        <f t="shared" si="30"/>
        <v/>
      </c>
      <c r="I606" t="str">
        <f>IF(FT!B606&lt;&gt;"",FT!E606,"")</f>
        <v/>
      </c>
      <c r="J606" t="str">
        <f>IF(FT!B606&lt;&gt;"",FT!C606,"")</f>
        <v/>
      </c>
    </row>
    <row r="607" spans="5:10">
      <c r="E607">
        <f t="shared" si="31"/>
        <v>605</v>
      </c>
      <c r="F607" s="61" t="str">
        <f>IF(FT!A607&lt;&gt;"",FT!A607*10,"")</f>
        <v/>
      </c>
      <c r="G607" s="61" t="str">
        <f>IF(FT!B607&lt;&gt;"",FT!B607*100,"")</f>
        <v/>
      </c>
      <c r="H607" s="61" t="str">
        <f t="shared" si="30"/>
        <v/>
      </c>
      <c r="I607" t="str">
        <f>IF(FT!B607&lt;&gt;"",FT!E607,"")</f>
        <v/>
      </c>
      <c r="J607" t="str">
        <f>IF(FT!B607&lt;&gt;"",FT!C607,"")</f>
        <v/>
      </c>
    </row>
    <row r="608" spans="5:10">
      <c r="E608">
        <f t="shared" si="31"/>
        <v>606</v>
      </c>
      <c r="F608" s="61" t="str">
        <f>IF(FT!A608&lt;&gt;"",FT!A608*10,"")</f>
        <v/>
      </c>
      <c r="G608" s="61" t="str">
        <f>IF(FT!B608&lt;&gt;"",FT!B608*100,"")</f>
        <v/>
      </c>
      <c r="H608" s="61" t="str">
        <f t="shared" si="30"/>
        <v/>
      </c>
      <c r="I608" t="str">
        <f>IF(FT!B608&lt;&gt;"",FT!E608,"")</f>
        <v/>
      </c>
      <c r="J608" t="str">
        <f>IF(FT!B608&lt;&gt;"",FT!C608,"")</f>
        <v/>
      </c>
    </row>
    <row r="609" spans="5:10">
      <c r="E609">
        <f t="shared" si="31"/>
        <v>607</v>
      </c>
      <c r="F609" s="61" t="str">
        <f>IF(FT!A609&lt;&gt;"",FT!A609*10,"")</f>
        <v/>
      </c>
      <c r="G609" s="61" t="str">
        <f>IF(FT!B609&lt;&gt;"",FT!B609*100,"")</f>
        <v/>
      </c>
      <c r="H609" s="61" t="str">
        <f t="shared" si="30"/>
        <v/>
      </c>
      <c r="I609" t="str">
        <f>IF(FT!B609&lt;&gt;"",FT!E609,"")</f>
        <v/>
      </c>
      <c r="J609" t="str">
        <f>IF(FT!B609&lt;&gt;"",FT!C609,"")</f>
        <v/>
      </c>
    </row>
    <row r="610" spans="5:10">
      <c r="E610">
        <f t="shared" si="31"/>
        <v>608</v>
      </c>
      <c r="F610" s="61" t="str">
        <f>IF(FT!A610&lt;&gt;"",FT!A610*10,"")</f>
        <v/>
      </c>
      <c r="G610" s="61" t="str">
        <f>IF(FT!B610&lt;&gt;"",FT!B610*100,"")</f>
        <v/>
      </c>
      <c r="H610" s="61" t="str">
        <f t="shared" si="30"/>
        <v/>
      </c>
      <c r="I610" t="str">
        <f>IF(FT!B610&lt;&gt;"",FT!E610,"")</f>
        <v/>
      </c>
      <c r="J610" t="str">
        <f>IF(FT!B610&lt;&gt;"",FT!C610,"")</f>
        <v/>
      </c>
    </row>
    <row r="611" spans="5:10">
      <c r="E611">
        <f t="shared" si="31"/>
        <v>609</v>
      </c>
      <c r="F611" s="61" t="str">
        <f>IF(FT!A611&lt;&gt;"",FT!A611*10,"")</f>
        <v/>
      </c>
      <c r="G611" s="61" t="str">
        <f>IF(FT!B611&lt;&gt;"",FT!B611*100,"")</f>
        <v/>
      </c>
      <c r="H611" s="61" t="str">
        <f t="shared" si="30"/>
        <v/>
      </c>
      <c r="I611" t="str">
        <f>IF(FT!B611&lt;&gt;"",FT!E611,"")</f>
        <v/>
      </c>
      <c r="J611" t="str">
        <f>IF(FT!B611&lt;&gt;"",FT!C611,"")</f>
        <v/>
      </c>
    </row>
    <row r="612" spans="5:10">
      <c r="E612">
        <f t="shared" si="31"/>
        <v>610</v>
      </c>
      <c r="F612" s="61" t="str">
        <f>IF(FT!A612&lt;&gt;"",FT!A612*10,"")</f>
        <v/>
      </c>
      <c r="G612" s="61" t="str">
        <f>IF(FT!B612&lt;&gt;"",FT!B612*100,"")</f>
        <v/>
      </c>
      <c r="H612" s="61" t="str">
        <f t="shared" si="30"/>
        <v/>
      </c>
      <c r="I612" t="str">
        <f>IF(FT!B612&lt;&gt;"",FT!E612,"")</f>
        <v/>
      </c>
      <c r="J612" t="str">
        <f>IF(FT!B612&lt;&gt;"",FT!C612,"")</f>
        <v/>
      </c>
    </row>
    <row r="613" spans="5:10">
      <c r="E613">
        <f t="shared" si="31"/>
        <v>611</v>
      </c>
      <c r="F613" s="61" t="str">
        <f>IF(FT!A613&lt;&gt;"",FT!A613*10,"")</f>
        <v/>
      </c>
      <c r="G613" s="61" t="str">
        <f>IF(FT!B613&lt;&gt;"",FT!B613*100,"")</f>
        <v/>
      </c>
      <c r="H613" s="61" t="str">
        <f t="shared" si="30"/>
        <v/>
      </c>
      <c r="I613" t="str">
        <f>IF(FT!B613&lt;&gt;"",FT!E613,"")</f>
        <v/>
      </c>
      <c r="J613" t="str">
        <f>IF(FT!B613&lt;&gt;"",FT!C613,"")</f>
        <v/>
      </c>
    </row>
    <row r="614" spans="5:10">
      <c r="E614">
        <f t="shared" si="31"/>
        <v>612</v>
      </c>
      <c r="F614" s="61" t="str">
        <f>IF(FT!A614&lt;&gt;"",FT!A614*10,"")</f>
        <v/>
      </c>
      <c r="G614" s="61" t="str">
        <f>IF(FT!B614&lt;&gt;"",FT!B614*100,"")</f>
        <v/>
      </c>
      <c r="H614" s="61" t="str">
        <f t="shared" si="30"/>
        <v/>
      </c>
      <c r="I614" t="str">
        <f>IF(FT!B614&lt;&gt;"",FT!E614,"")</f>
        <v/>
      </c>
      <c r="J614" t="str">
        <f>IF(FT!B614&lt;&gt;"",FT!C614,"")</f>
        <v/>
      </c>
    </row>
    <row r="615" spans="5:10">
      <c r="E615">
        <f t="shared" si="31"/>
        <v>613</v>
      </c>
      <c r="F615" s="61" t="str">
        <f>IF(FT!A615&lt;&gt;"",FT!A615*10,"")</f>
        <v/>
      </c>
      <c r="G615" s="61" t="str">
        <f>IF(FT!B615&lt;&gt;"",FT!B615*100,"")</f>
        <v/>
      </c>
      <c r="H615" s="61" t="str">
        <f t="shared" si="30"/>
        <v/>
      </c>
      <c r="I615" t="str">
        <f>IF(FT!B615&lt;&gt;"",FT!E615,"")</f>
        <v/>
      </c>
      <c r="J615" t="str">
        <f>IF(FT!B615&lt;&gt;"",FT!C615,"")</f>
        <v/>
      </c>
    </row>
    <row r="616" spans="5:10">
      <c r="E616">
        <f t="shared" si="31"/>
        <v>614</v>
      </c>
      <c r="F616" s="61" t="str">
        <f>IF(FT!A616&lt;&gt;"",FT!A616*10,"")</f>
        <v/>
      </c>
      <c r="G616" s="61" t="str">
        <f>IF(FT!B616&lt;&gt;"",FT!B616*100,"")</f>
        <v/>
      </c>
      <c r="H616" s="61" t="str">
        <f t="shared" si="30"/>
        <v/>
      </c>
      <c r="I616" t="str">
        <f>IF(FT!B616&lt;&gt;"",FT!E616,"")</f>
        <v/>
      </c>
      <c r="J616" t="str">
        <f>IF(FT!B616&lt;&gt;"",FT!C616,"")</f>
        <v/>
      </c>
    </row>
    <row r="617" spans="5:10">
      <c r="E617">
        <f t="shared" si="31"/>
        <v>615</v>
      </c>
      <c r="F617" s="61" t="str">
        <f>IF(FT!A617&lt;&gt;"",FT!A617*10,"")</f>
        <v/>
      </c>
      <c r="G617" s="61" t="str">
        <f>IF(FT!B617&lt;&gt;"",FT!B617*100,"")</f>
        <v/>
      </c>
      <c r="H617" s="61" t="str">
        <f t="shared" si="30"/>
        <v/>
      </c>
      <c r="I617" t="str">
        <f>IF(FT!B617&lt;&gt;"",FT!E617,"")</f>
        <v/>
      </c>
      <c r="J617" t="str">
        <f>IF(FT!B617&lt;&gt;"",FT!C617,"")</f>
        <v/>
      </c>
    </row>
    <row r="618" spans="5:10">
      <c r="E618">
        <f t="shared" si="31"/>
        <v>616</v>
      </c>
      <c r="F618" s="61" t="str">
        <f>IF(FT!A618&lt;&gt;"",FT!A618*10,"")</f>
        <v/>
      </c>
      <c r="G618" s="61" t="str">
        <f>IF(FT!B618&lt;&gt;"",FT!B618*100,"")</f>
        <v/>
      </c>
      <c r="H618" s="61" t="str">
        <f t="shared" si="30"/>
        <v/>
      </c>
      <c r="I618" t="str">
        <f>IF(FT!B618&lt;&gt;"",FT!E618,"")</f>
        <v/>
      </c>
      <c r="J618" t="str">
        <f>IF(FT!B618&lt;&gt;"",FT!C618,"")</f>
        <v/>
      </c>
    </row>
    <row r="619" spans="5:10">
      <c r="E619">
        <f t="shared" si="31"/>
        <v>617</v>
      </c>
      <c r="F619" s="61" t="str">
        <f>IF(FT!A619&lt;&gt;"",FT!A619*10,"")</f>
        <v/>
      </c>
      <c r="G619" s="61" t="str">
        <f>IF(FT!B619&lt;&gt;"",FT!B619*100,"")</f>
        <v/>
      </c>
      <c r="H619" s="61" t="str">
        <f t="shared" si="30"/>
        <v/>
      </c>
      <c r="I619" t="str">
        <f>IF(FT!B619&lt;&gt;"",FT!E619,"")</f>
        <v/>
      </c>
      <c r="J619" t="str">
        <f>IF(FT!B619&lt;&gt;"",FT!C619,"")</f>
        <v/>
      </c>
    </row>
    <row r="620" spans="5:10">
      <c r="E620">
        <f t="shared" si="31"/>
        <v>618</v>
      </c>
      <c r="F620" s="61" t="str">
        <f>IF(FT!A620&lt;&gt;"",FT!A620*10,"")</f>
        <v/>
      </c>
      <c r="G620" s="61" t="str">
        <f>IF(FT!B620&lt;&gt;"",FT!B620*100,"")</f>
        <v/>
      </c>
      <c r="H620" s="61" t="str">
        <f t="shared" si="30"/>
        <v/>
      </c>
      <c r="I620" t="str">
        <f>IF(FT!B620&lt;&gt;"",FT!E620,"")</f>
        <v/>
      </c>
      <c r="J620" t="str">
        <f>IF(FT!B620&lt;&gt;"",FT!C620,"")</f>
        <v/>
      </c>
    </row>
    <row r="621" spans="5:10">
      <c r="E621">
        <f t="shared" si="31"/>
        <v>619</v>
      </c>
      <c r="F621" s="61" t="str">
        <f>IF(FT!A621&lt;&gt;"",FT!A621*10,"")</f>
        <v/>
      </c>
      <c r="G621" s="61" t="str">
        <f>IF(FT!B621&lt;&gt;"",FT!B621*100,"")</f>
        <v/>
      </c>
      <c r="H621" s="61" t="str">
        <f t="shared" si="30"/>
        <v/>
      </c>
      <c r="I621" t="str">
        <f>IF(FT!B621&lt;&gt;"",FT!E621,"")</f>
        <v/>
      </c>
      <c r="J621" t="str">
        <f>IF(FT!B621&lt;&gt;"",FT!C621,"")</f>
        <v/>
      </c>
    </row>
    <row r="622" spans="5:10">
      <c r="E622">
        <f t="shared" si="31"/>
        <v>620</v>
      </c>
      <c r="F622" s="61" t="str">
        <f>IF(FT!A622&lt;&gt;"",FT!A622*10,"")</f>
        <v/>
      </c>
      <c r="G622" s="61" t="str">
        <f>IF(FT!B622&lt;&gt;"",FT!B622*100,"")</f>
        <v/>
      </c>
      <c r="H622" s="61" t="str">
        <f t="shared" si="30"/>
        <v/>
      </c>
      <c r="I622" t="str">
        <f>IF(FT!B622&lt;&gt;"",FT!E622,"")</f>
        <v/>
      </c>
      <c r="J622" t="str">
        <f>IF(FT!B622&lt;&gt;"",FT!C622,"")</f>
        <v/>
      </c>
    </row>
    <row r="623" spans="5:10">
      <c r="E623">
        <f t="shared" si="31"/>
        <v>621</v>
      </c>
      <c r="F623" s="61" t="str">
        <f>IF(FT!A623&lt;&gt;"",FT!A623*10,"")</f>
        <v/>
      </c>
      <c r="G623" s="61" t="str">
        <f>IF(FT!B623&lt;&gt;"",FT!B623*100,"")</f>
        <v/>
      </c>
      <c r="H623" s="61" t="str">
        <f t="shared" si="30"/>
        <v/>
      </c>
      <c r="I623" t="str">
        <f>IF(FT!B623&lt;&gt;"",FT!E623,"")</f>
        <v/>
      </c>
      <c r="J623" t="str">
        <f>IF(FT!B623&lt;&gt;"",FT!C623,"")</f>
        <v/>
      </c>
    </row>
    <row r="624" spans="5:10">
      <c r="E624">
        <f t="shared" si="31"/>
        <v>622</v>
      </c>
      <c r="F624" s="61" t="str">
        <f>IF(FT!A624&lt;&gt;"",FT!A624*10,"")</f>
        <v/>
      </c>
      <c r="G624" s="61" t="str">
        <f>IF(FT!B624&lt;&gt;"",FT!B624*100,"")</f>
        <v/>
      </c>
      <c r="H624" s="61" t="str">
        <f t="shared" si="30"/>
        <v/>
      </c>
      <c r="I624" t="str">
        <f>IF(FT!B624&lt;&gt;"",FT!E624,"")</f>
        <v/>
      </c>
      <c r="J624" t="str">
        <f>IF(FT!B624&lt;&gt;"",FT!C624,"")</f>
        <v/>
      </c>
    </row>
    <row r="625" spans="5:10">
      <c r="E625">
        <f t="shared" si="31"/>
        <v>623</v>
      </c>
      <c r="F625" s="61" t="str">
        <f>IF(FT!A625&lt;&gt;"",FT!A625*10,"")</f>
        <v/>
      </c>
      <c r="G625" s="61" t="str">
        <f>IF(FT!B625&lt;&gt;"",FT!B625*100,"")</f>
        <v/>
      </c>
      <c r="H625" s="61" t="str">
        <f t="shared" si="30"/>
        <v/>
      </c>
      <c r="I625" t="str">
        <f>IF(FT!B625&lt;&gt;"",FT!E625,"")</f>
        <v/>
      </c>
      <c r="J625" t="str">
        <f>IF(FT!B625&lt;&gt;"",FT!C625,"")</f>
        <v/>
      </c>
    </row>
    <row r="626" spans="5:10">
      <c r="E626">
        <f t="shared" si="31"/>
        <v>624</v>
      </c>
      <c r="F626" s="61" t="str">
        <f>IF(FT!A626&lt;&gt;"",FT!A626*10,"")</f>
        <v/>
      </c>
      <c r="G626" s="61" t="str">
        <f>IF(FT!B626&lt;&gt;"",FT!B626*100,"")</f>
        <v/>
      </c>
      <c r="H626" s="61" t="str">
        <f t="shared" si="30"/>
        <v/>
      </c>
      <c r="I626" t="str">
        <f>IF(FT!B626&lt;&gt;"",FT!E626,"")</f>
        <v/>
      </c>
      <c r="J626" t="str">
        <f>IF(FT!B626&lt;&gt;"",FT!C626,"")</f>
        <v/>
      </c>
    </row>
    <row r="627" spans="5:10">
      <c r="E627">
        <f t="shared" si="31"/>
        <v>625</v>
      </c>
      <c r="F627" s="61" t="str">
        <f>IF(FT!A627&lt;&gt;"",FT!A627*10,"")</f>
        <v/>
      </c>
      <c r="G627" s="61" t="str">
        <f>IF(FT!B627&lt;&gt;"",FT!B627*100,"")</f>
        <v/>
      </c>
      <c r="H627" s="61" t="str">
        <f t="shared" si="30"/>
        <v/>
      </c>
      <c r="I627" t="str">
        <f>IF(FT!B627&lt;&gt;"",FT!E627,"")</f>
        <v/>
      </c>
      <c r="J627" t="str">
        <f>IF(FT!B627&lt;&gt;"",FT!C627,"")</f>
        <v/>
      </c>
    </row>
    <row r="628" spans="5:10">
      <c r="E628">
        <f t="shared" si="31"/>
        <v>626</v>
      </c>
      <c r="F628" s="61" t="str">
        <f>IF(FT!A628&lt;&gt;"",FT!A628*10,"")</f>
        <v/>
      </c>
      <c r="G628" s="61" t="str">
        <f>IF(FT!B628&lt;&gt;"",FT!B628*100,"")</f>
        <v/>
      </c>
      <c r="H628" s="61" t="str">
        <f t="shared" si="30"/>
        <v/>
      </c>
      <c r="I628" t="str">
        <f>IF(FT!B628&lt;&gt;"",FT!E628,"")</f>
        <v/>
      </c>
      <c r="J628" t="str">
        <f>IF(FT!B628&lt;&gt;"",FT!C628,"")</f>
        <v/>
      </c>
    </row>
    <row r="629" spans="5:10">
      <c r="E629">
        <f t="shared" si="31"/>
        <v>627</v>
      </c>
      <c r="F629" s="61" t="str">
        <f>IF(FT!A629&lt;&gt;"",FT!A629*10,"")</f>
        <v/>
      </c>
      <c r="G629" s="61" t="str">
        <f>IF(FT!B629&lt;&gt;"",FT!B629*100,"")</f>
        <v/>
      </c>
      <c r="H629" s="61" t="str">
        <f t="shared" si="30"/>
        <v/>
      </c>
      <c r="I629" t="str">
        <f>IF(FT!B629&lt;&gt;"",FT!E629,"")</f>
        <v/>
      </c>
      <c r="J629" t="str">
        <f>IF(FT!B629&lt;&gt;"",FT!C629,"")</f>
        <v/>
      </c>
    </row>
    <row r="630" spans="5:10">
      <c r="E630">
        <f t="shared" si="31"/>
        <v>628</v>
      </c>
      <c r="F630" s="61" t="str">
        <f>IF(FT!A630&lt;&gt;"",FT!A630*10,"")</f>
        <v/>
      </c>
      <c r="G630" s="61" t="str">
        <f>IF(FT!B630&lt;&gt;"",FT!B630*100,"")</f>
        <v/>
      </c>
      <c r="H630" s="61" t="str">
        <f t="shared" si="30"/>
        <v/>
      </c>
      <c r="I630" t="str">
        <f>IF(FT!B630&lt;&gt;"",FT!E630,"")</f>
        <v/>
      </c>
      <c r="J630" t="str">
        <f>IF(FT!B630&lt;&gt;"",FT!C630,"")</f>
        <v/>
      </c>
    </row>
    <row r="631" spans="5:10">
      <c r="E631">
        <f t="shared" si="31"/>
        <v>629</v>
      </c>
      <c r="F631" s="61" t="str">
        <f>IF(FT!A631&lt;&gt;"",FT!A631*10,"")</f>
        <v/>
      </c>
      <c r="G631" s="61" t="str">
        <f>IF(FT!B631&lt;&gt;"",FT!B631*100,"")</f>
        <v/>
      </c>
      <c r="H631" s="61" t="str">
        <f t="shared" si="30"/>
        <v/>
      </c>
      <c r="I631" t="str">
        <f>IF(FT!B631&lt;&gt;"",FT!E631,"")</f>
        <v/>
      </c>
      <c r="J631" t="str">
        <f>IF(FT!B631&lt;&gt;"",FT!C631,"")</f>
        <v/>
      </c>
    </row>
    <row r="632" spans="5:10">
      <c r="E632">
        <f t="shared" si="31"/>
        <v>630</v>
      </c>
      <c r="F632" s="61" t="str">
        <f>IF(FT!A632&lt;&gt;"",FT!A632*10,"")</f>
        <v/>
      </c>
      <c r="G632" s="61" t="str">
        <f>IF(FT!B632&lt;&gt;"",FT!B632*100,"")</f>
        <v/>
      </c>
      <c r="H632" s="61" t="str">
        <f t="shared" si="30"/>
        <v/>
      </c>
      <c r="I632" t="str">
        <f>IF(FT!B632&lt;&gt;"",FT!E632,"")</f>
        <v/>
      </c>
      <c r="J632" t="str">
        <f>IF(FT!B632&lt;&gt;"",FT!C632,"")</f>
        <v/>
      </c>
    </row>
    <row r="633" spans="5:10">
      <c r="E633">
        <f t="shared" si="31"/>
        <v>631</v>
      </c>
      <c r="F633" s="61" t="str">
        <f>IF(FT!A633&lt;&gt;"",FT!A633*10,"")</f>
        <v/>
      </c>
      <c r="G633" s="61" t="str">
        <f>IF(FT!B633&lt;&gt;"",FT!B633*100,"")</f>
        <v/>
      </c>
      <c r="H633" s="61" t="str">
        <f t="shared" si="30"/>
        <v/>
      </c>
      <c r="I633" t="str">
        <f>IF(FT!B633&lt;&gt;"",FT!E633,"")</f>
        <v/>
      </c>
      <c r="J633" t="str">
        <f>IF(FT!B633&lt;&gt;"",FT!C633,"")</f>
        <v/>
      </c>
    </row>
    <row r="634" spans="5:10">
      <c r="E634">
        <f t="shared" si="31"/>
        <v>632</v>
      </c>
      <c r="F634" s="61" t="str">
        <f>IF(FT!A634&lt;&gt;"",FT!A634*10,"")</f>
        <v/>
      </c>
      <c r="G634" s="61" t="str">
        <f>IF(FT!B634&lt;&gt;"",FT!B634*100,"")</f>
        <v/>
      </c>
      <c r="H634" s="61" t="str">
        <f t="shared" si="30"/>
        <v/>
      </c>
      <c r="I634" t="str">
        <f>IF(FT!B634&lt;&gt;"",FT!E634,"")</f>
        <v/>
      </c>
      <c r="J634" t="str">
        <f>IF(FT!B634&lt;&gt;"",FT!C634,"")</f>
        <v/>
      </c>
    </row>
    <row r="635" spans="5:10">
      <c r="E635">
        <f t="shared" si="31"/>
        <v>633</v>
      </c>
      <c r="F635" s="61" t="str">
        <f>IF(FT!A635&lt;&gt;"",FT!A635*10,"")</f>
        <v/>
      </c>
      <c r="G635" s="61" t="str">
        <f>IF(FT!B635&lt;&gt;"",FT!B635*100,"")</f>
        <v/>
      </c>
      <c r="H635" s="61" t="str">
        <f t="shared" si="30"/>
        <v/>
      </c>
      <c r="I635" t="str">
        <f>IF(FT!B635&lt;&gt;"",FT!E635,"")</f>
        <v/>
      </c>
      <c r="J635" t="str">
        <f>IF(FT!B635&lt;&gt;"",FT!C635,"")</f>
        <v/>
      </c>
    </row>
    <row r="636" spans="5:10">
      <c r="E636">
        <f t="shared" si="31"/>
        <v>634</v>
      </c>
      <c r="F636" s="61" t="str">
        <f>IF(FT!A636&lt;&gt;"",FT!A636*10,"")</f>
        <v/>
      </c>
      <c r="G636" s="61" t="str">
        <f>IF(FT!B636&lt;&gt;"",FT!B636*100,"")</f>
        <v/>
      </c>
      <c r="H636" s="61" t="str">
        <f t="shared" si="30"/>
        <v/>
      </c>
      <c r="I636" t="str">
        <f>IF(FT!B636&lt;&gt;"",FT!E636,"")</f>
        <v/>
      </c>
      <c r="J636" t="str">
        <f>IF(FT!B636&lt;&gt;"",FT!C636,"")</f>
        <v/>
      </c>
    </row>
    <row r="637" spans="5:10">
      <c r="E637">
        <f t="shared" si="31"/>
        <v>635</v>
      </c>
      <c r="F637" s="61" t="str">
        <f>IF(FT!A637&lt;&gt;"",FT!A637*10,"")</f>
        <v/>
      </c>
      <c r="G637" s="61" t="str">
        <f>IF(FT!B637&lt;&gt;"",FT!B637*100,"")</f>
        <v/>
      </c>
      <c r="H637" s="61" t="str">
        <f t="shared" si="30"/>
        <v/>
      </c>
      <c r="I637" t="str">
        <f>IF(FT!B637&lt;&gt;"",FT!E637,"")</f>
        <v/>
      </c>
      <c r="J637" t="str">
        <f>IF(FT!B637&lt;&gt;"",FT!C637,"")</f>
        <v/>
      </c>
    </row>
    <row r="638" spans="5:10">
      <c r="E638">
        <f t="shared" si="31"/>
        <v>636</v>
      </c>
      <c r="F638" s="61" t="str">
        <f>IF(FT!A638&lt;&gt;"",FT!A638*10,"")</f>
        <v/>
      </c>
      <c r="G638" s="61" t="str">
        <f>IF(FT!B638&lt;&gt;"",FT!B638*100,"")</f>
        <v/>
      </c>
      <c r="H638" s="61" t="str">
        <f t="shared" si="30"/>
        <v/>
      </c>
      <c r="I638" t="str">
        <f>IF(FT!B638&lt;&gt;"",FT!E638,"")</f>
        <v/>
      </c>
      <c r="J638" t="str">
        <f>IF(FT!B638&lt;&gt;"",FT!C638,"")</f>
        <v/>
      </c>
    </row>
    <row r="639" spans="5:10">
      <c r="E639">
        <f t="shared" si="31"/>
        <v>637</v>
      </c>
      <c r="F639" s="61" t="str">
        <f>IF(FT!A639&lt;&gt;"",FT!A639*10,"")</f>
        <v/>
      </c>
      <c r="G639" s="61" t="str">
        <f>IF(FT!B639&lt;&gt;"",FT!B639*100,"")</f>
        <v/>
      </c>
      <c r="H639" s="61" t="str">
        <f t="shared" si="30"/>
        <v/>
      </c>
      <c r="I639" t="str">
        <f>IF(FT!B639&lt;&gt;"",FT!E639,"")</f>
        <v/>
      </c>
      <c r="J639" t="str">
        <f>IF(FT!B639&lt;&gt;"",FT!C639,"")</f>
        <v/>
      </c>
    </row>
    <row r="640" spans="5:10">
      <c r="E640">
        <f t="shared" si="31"/>
        <v>638</v>
      </c>
      <c r="F640" s="61" t="str">
        <f>IF(FT!A640&lt;&gt;"",FT!A640*10,"")</f>
        <v/>
      </c>
      <c r="G640" s="61" t="str">
        <f>IF(FT!B640&lt;&gt;"",FT!B640*100,"")</f>
        <v/>
      </c>
      <c r="H640" s="61" t="str">
        <f t="shared" si="30"/>
        <v/>
      </c>
      <c r="I640" t="str">
        <f>IF(FT!B640&lt;&gt;"",FT!E640,"")</f>
        <v/>
      </c>
      <c r="J640" t="str">
        <f>IF(FT!B640&lt;&gt;"",FT!C640,"")</f>
        <v/>
      </c>
    </row>
    <row r="641" spans="5:10">
      <c r="E641">
        <f t="shared" si="31"/>
        <v>639</v>
      </c>
      <c r="F641" s="61" t="str">
        <f>IF(FT!A641&lt;&gt;"",FT!A641*10,"")</f>
        <v/>
      </c>
      <c r="G641" s="61" t="str">
        <f>IF(FT!B641&lt;&gt;"",FT!B641*100,"")</f>
        <v/>
      </c>
      <c r="H641" s="61" t="str">
        <f t="shared" si="30"/>
        <v/>
      </c>
      <c r="I641" t="str">
        <f>IF(FT!B641&lt;&gt;"",FT!E641,"")</f>
        <v/>
      </c>
      <c r="J641" t="str">
        <f>IF(FT!B641&lt;&gt;"",FT!C641,"")</f>
        <v/>
      </c>
    </row>
    <row r="642" spans="5:10">
      <c r="E642">
        <f t="shared" si="31"/>
        <v>640</v>
      </c>
      <c r="F642" s="61" t="str">
        <f>IF(FT!A642&lt;&gt;"",FT!A642*10,"")</f>
        <v/>
      </c>
      <c r="G642" s="61" t="str">
        <f>IF(FT!B642&lt;&gt;"",FT!B642*100,"")</f>
        <v/>
      </c>
      <c r="H642" s="61" t="str">
        <f t="shared" si="30"/>
        <v/>
      </c>
      <c r="I642" t="str">
        <f>IF(FT!B642&lt;&gt;"",FT!E642,"")</f>
        <v/>
      </c>
      <c r="J642" t="str">
        <f>IF(FT!B642&lt;&gt;"",FT!C642,"")</f>
        <v/>
      </c>
    </row>
    <row r="643" spans="5:10">
      <c r="E643">
        <f t="shared" si="31"/>
        <v>641</v>
      </c>
      <c r="F643" s="61" t="str">
        <f>IF(FT!A643&lt;&gt;"",FT!A643*10,"")</f>
        <v/>
      </c>
      <c r="G643" s="61" t="str">
        <f>IF(FT!B643&lt;&gt;"",FT!B643*100,"")</f>
        <v/>
      </c>
      <c r="H643" s="61" t="str">
        <f t="shared" ref="H643:H706" si="32">(IF(F643&lt;&gt;"",1,""))</f>
        <v/>
      </c>
      <c r="I643" t="str">
        <f>IF(FT!B643&lt;&gt;"",FT!E643,"")</f>
        <v/>
      </c>
      <c r="J643" t="str">
        <f>IF(FT!B643&lt;&gt;"",FT!C643,"")</f>
        <v/>
      </c>
    </row>
    <row r="644" spans="5:10">
      <c r="E644">
        <f t="shared" ref="E644:E707" si="33">E643+1</f>
        <v>642</v>
      </c>
      <c r="F644" s="61" t="str">
        <f>IF(FT!A644&lt;&gt;"",FT!A644*10,"")</f>
        <v/>
      </c>
      <c r="G644" s="61" t="str">
        <f>IF(FT!B644&lt;&gt;"",FT!B644*100,"")</f>
        <v/>
      </c>
      <c r="H644" s="61" t="str">
        <f t="shared" si="32"/>
        <v/>
      </c>
      <c r="I644" t="str">
        <f>IF(FT!B644&lt;&gt;"",FT!E644,"")</f>
        <v/>
      </c>
      <c r="J644" t="str">
        <f>IF(FT!B644&lt;&gt;"",FT!C644,"")</f>
        <v/>
      </c>
    </row>
    <row r="645" spans="5:10">
      <c r="E645">
        <f t="shared" si="33"/>
        <v>643</v>
      </c>
      <c r="F645" s="61" t="str">
        <f>IF(FT!A645&lt;&gt;"",FT!A645*10,"")</f>
        <v/>
      </c>
      <c r="G645" s="61" t="str">
        <f>IF(FT!B645&lt;&gt;"",FT!B645*100,"")</f>
        <v/>
      </c>
      <c r="H645" s="61" t="str">
        <f t="shared" si="32"/>
        <v/>
      </c>
      <c r="I645" t="str">
        <f>IF(FT!B645&lt;&gt;"",FT!E645,"")</f>
        <v/>
      </c>
      <c r="J645" t="str">
        <f>IF(FT!B645&lt;&gt;"",FT!C645,"")</f>
        <v/>
      </c>
    </row>
    <row r="646" spans="5:10">
      <c r="E646">
        <f t="shared" si="33"/>
        <v>644</v>
      </c>
      <c r="F646" s="61" t="str">
        <f>IF(FT!A646&lt;&gt;"",FT!A646*10,"")</f>
        <v/>
      </c>
      <c r="G646" s="61" t="str">
        <f>IF(FT!B646&lt;&gt;"",FT!B646*100,"")</f>
        <v/>
      </c>
      <c r="H646" s="61" t="str">
        <f t="shared" si="32"/>
        <v/>
      </c>
      <c r="I646" t="str">
        <f>IF(FT!B646&lt;&gt;"",FT!E646,"")</f>
        <v/>
      </c>
      <c r="J646" t="str">
        <f>IF(FT!B646&lt;&gt;"",FT!C646,"")</f>
        <v/>
      </c>
    </row>
    <row r="647" spans="5:10">
      <c r="E647">
        <f t="shared" si="33"/>
        <v>645</v>
      </c>
      <c r="F647" s="61" t="str">
        <f>IF(FT!A647&lt;&gt;"",FT!A647*10,"")</f>
        <v/>
      </c>
      <c r="G647" s="61" t="str">
        <f>IF(FT!B647&lt;&gt;"",FT!B647*100,"")</f>
        <v/>
      </c>
      <c r="H647" s="61" t="str">
        <f t="shared" si="32"/>
        <v/>
      </c>
      <c r="I647" t="str">
        <f>IF(FT!B647&lt;&gt;"",FT!E647,"")</f>
        <v/>
      </c>
      <c r="J647" t="str">
        <f>IF(FT!B647&lt;&gt;"",FT!C647,"")</f>
        <v/>
      </c>
    </row>
    <row r="648" spans="5:10">
      <c r="E648">
        <f t="shared" si="33"/>
        <v>646</v>
      </c>
      <c r="F648" s="61" t="str">
        <f>IF(FT!A648&lt;&gt;"",FT!A648*10,"")</f>
        <v/>
      </c>
      <c r="G648" s="61" t="str">
        <f>IF(FT!B648&lt;&gt;"",FT!B648*100,"")</f>
        <v/>
      </c>
      <c r="H648" s="61" t="str">
        <f t="shared" si="32"/>
        <v/>
      </c>
      <c r="I648" t="str">
        <f>IF(FT!B648&lt;&gt;"",FT!E648,"")</f>
        <v/>
      </c>
      <c r="J648" t="str">
        <f>IF(FT!B648&lt;&gt;"",FT!C648,"")</f>
        <v/>
      </c>
    </row>
    <row r="649" spans="5:10">
      <c r="E649">
        <f t="shared" si="33"/>
        <v>647</v>
      </c>
      <c r="F649" s="61" t="str">
        <f>IF(FT!A649&lt;&gt;"",FT!A649*10,"")</f>
        <v/>
      </c>
      <c r="G649" s="61" t="str">
        <f>IF(FT!B649&lt;&gt;"",FT!B649*100,"")</f>
        <v/>
      </c>
      <c r="H649" s="61" t="str">
        <f t="shared" si="32"/>
        <v/>
      </c>
      <c r="I649" t="str">
        <f>IF(FT!B649&lt;&gt;"",FT!E649,"")</f>
        <v/>
      </c>
      <c r="J649" t="str">
        <f>IF(FT!B649&lt;&gt;"",FT!C649,"")</f>
        <v/>
      </c>
    </row>
    <row r="650" spans="5:10">
      <c r="E650">
        <f t="shared" si="33"/>
        <v>648</v>
      </c>
      <c r="F650" s="61" t="str">
        <f>IF(FT!A650&lt;&gt;"",FT!A650*10,"")</f>
        <v/>
      </c>
      <c r="G650" s="61" t="str">
        <f>IF(FT!B650&lt;&gt;"",FT!B650*100,"")</f>
        <v/>
      </c>
      <c r="H650" s="61" t="str">
        <f t="shared" si="32"/>
        <v/>
      </c>
      <c r="I650" t="str">
        <f>IF(FT!B650&lt;&gt;"",FT!E650,"")</f>
        <v/>
      </c>
      <c r="J650" t="str">
        <f>IF(FT!B650&lt;&gt;"",FT!C650,"")</f>
        <v/>
      </c>
    </row>
    <row r="651" spans="5:10">
      <c r="E651">
        <f t="shared" si="33"/>
        <v>649</v>
      </c>
      <c r="F651" s="61" t="str">
        <f>IF(FT!A651&lt;&gt;"",FT!A651*10,"")</f>
        <v/>
      </c>
      <c r="G651" s="61" t="str">
        <f>IF(FT!B651&lt;&gt;"",FT!B651*100,"")</f>
        <v/>
      </c>
      <c r="H651" s="61" t="str">
        <f t="shared" si="32"/>
        <v/>
      </c>
      <c r="I651" t="str">
        <f>IF(FT!B651&lt;&gt;"",FT!E651,"")</f>
        <v/>
      </c>
      <c r="J651" t="str">
        <f>IF(FT!B651&lt;&gt;"",FT!C651,"")</f>
        <v/>
      </c>
    </row>
    <row r="652" spans="5:10">
      <c r="E652">
        <f t="shared" si="33"/>
        <v>650</v>
      </c>
      <c r="F652" s="61" t="str">
        <f>IF(FT!A652&lt;&gt;"",FT!A652*10,"")</f>
        <v/>
      </c>
      <c r="G652" s="61" t="str">
        <f>IF(FT!B652&lt;&gt;"",FT!B652*100,"")</f>
        <v/>
      </c>
      <c r="H652" s="61" t="str">
        <f t="shared" si="32"/>
        <v/>
      </c>
      <c r="I652" t="str">
        <f>IF(FT!B652&lt;&gt;"",FT!E652,"")</f>
        <v/>
      </c>
      <c r="J652" t="str">
        <f>IF(FT!B652&lt;&gt;"",FT!C652,"")</f>
        <v/>
      </c>
    </row>
    <row r="653" spans="5:10">
      <c r="E653">
        <f t="shared" si="33"/>
        <v>651</v>
      </c>
      <c r="F653" s="61" t="str">
        <f>IF(FT!A653&lt;&gt;"",FT!A653*10,"")</f>
        <v/>
      </c>
      <c r="G653" s="61" t="str">
        <f>IF(FT!B653&lt;&gt;"",FT!B653*100,"")</f>
        <v/>
      </c>
      <c r="H653" s="61" t="str">
        <f t="shared" si="32"/>
        <v/>
      </c>
      <c r="I653" t="str">
        <f>IF(FT!B653&lt;&gt;"",FT!E653,"")</f>
        <v/>
      </c>
      <c r="J653" t="str">
        <f>IF(FT!B653&lt;&gt;"",FT!C653,"")</f>
        <v/>
      </c>
    </row>
    <row r="654" spans="5:10">
      <c r="E654">
        <f t="shared" si="33"/>
        <v>652</v>
      </c>
      <c r="F654" s="61" t="str">
        <f>IF(FT!A654&lt;&gt;"",FT!A654*10,"")</f>
        <v/>
      </c>
      <c r="G654" s="61" t="str">
        <f>IF(FT!B654&lt;&gt;"",FT!B654*100,"")</f>
        <v/>
      </c>
      <c r="H654" s="61" t="str">
        <f t="shared" si="32"/>
        <v/>
      </c>
      <c r="I654" t="str">
        <f>IF(FT!B654&lt;&gt;"",FT!E654,"")</f>
        <v/>
      </c>
      <c r="J654" t="str">
        <f>IF(FT!B654&lt;&gt;"",FT!C654,"")</f>
        <v/>
      </c>
    </row>
    <row r="655" spans="5:10">
      <c r="E655">
        <f t="shared" si="33"/>
        <v>653</v>
      </c>
      <c r="F655" s="61" t="str">
        <f>IF(FT!A655&lt;&gt;"",FT!A655*10,"")</f>
        <v/>
      </c>
      <c r="G655" s="61" t="str">
        <f>IF(FT!B655&lt;&gt;"",FT!B655*100,"")</f>
        <v/>
      </c>
      <c r="H655" s="61" t="str">
        <f t="shared" si="32"/>
        <v/>
      </c>
      <c r="I655" t="str">
        <f>IF(FT!B655&lt;&gt;"",FT!E655,"")</f>
        <v/>
      </c>
      <c r="J655" t="str">
        <f>IF(FT!B655&lt;&gt;"",FT!C655,"")</f>
        <v/>
      </c>
    </row>
    <row r="656" spans="5:10">
      <c r="E656">
        <f t="shared" si="33"/>
        <v>654</v>
      </c>
      <c r="F656" s="61" t="str">
        <f>IF(FT!A656&lt;&gt;"",FT!A656*10,"")</f>
        <v/>
      </c>
      <c r="G656" s="61" t="str">
        <f>IF(FT!B656&lt;&gt;"",FT!B656*100,"")</f>
        <v/>
      </c>
      <c r="H656" s="61" t="str">
        <f t="shared" si="32"/>
        <v/>
      </c>
      <c r="I656" t="str">
        <f>IF(FT!B656&lt;&gt;"",FT!E656,"")</f>
        <v/>
      </c>
      <c r="J656" t="str">
        <f>IF(FT!B656&lt;&gt;"",FT!C656,"")</f>
        <v/>
      </c>
    </row>
    <row r="657" spans="5:10">
      <c r="E657">
        <f t="shared" si="33"/>
        <v>655</v>
      </c>
      <c r="F657" s="61" t="str">
        <f>IF(FT!A657&lt;&gt;"",FT!A657*10,"")</f>
        <v/>
      </c>
      <c r="G657" s="61" t="str">
        <f>IF(FT!B657&lt;&gt;"",FT!B657*100,"")</f>
        <v/>
      </c>
      <c r="H657" s="61" t="str">
        <f t="shared" si="32"/>
        <v/>
      </c>
      <c r="I657" t="str">
        <f>IF(FT!B657&lt;&gt;"",FT!E657,"")</f>
        <v/>
      </c>
      <c r="J657" t="str">
        <f>IF(FT!B657&lt;&gt;"",FT!C657,"")</f>
        <v/>
      </c>
    </row>
    <row r="658" spans="5:10">
      <c r="E658">
        <f t="shared" si="33"/>
        <v>656</v>
      </c>
      <c r="F658" s="61" t="str">
        <f>IF(FT!A658&lt;&gt;"",FT!A658*10,"")</f>
        <v/>
      </c>
      <c r="G658" s="61" t="str">
        <f>IF(FT!B658&lt;&gt;"",FT!B658*100,"")</f>
        <v/>
      </c>
      <c r="H658" s="61" t="str">
        <f t="shared" si="32"/>
        <v/>
      </c>
      <c r="I658" t="str">
        <f>IF(FT!B658&lt;&gt;"",FT!E658,"")</f>
        <v/>
      </c>
      <c r="J658" t="str">
        <f>IF(FT!B658&lt;&gt;"",FT!C658,"")</f>
        <v/>
      </c>
    </row>
    <row r="659" spans="5:10">
      <c r="E659">
        <f t="shared" si="33"/>
        <v>657</v>
      </c>
      <c r="F659" s="61" t="str">
        <f>IF(FT!A659&lt;&gt;"",FT!A659*10,"")</f>
        <v/>
      </c>
      <c r="G659" s="61" t="str">
        <f>IF(FT!B659&lt;&gt;"",FT!B659*100,"")</f>
        <v/>
      </c>
      <c r="H659" s="61" t="str">
        <f t="shared" si="32"/>
        <v/>
      </c>
      <c r="I659" t="str">
        <f>IF(FT!B659&lt;&gt;"",FT!E659,"")</f>
        <v/>
      </c>
      <c r="J659" t="str">
        <f>IF(FT!B659&lt;&gt;"",FT!C659,"")</f>
        <v/>
      </c>
    </row>
    <row r="660" spans="5:10">
      <c r="E660">
        <f t="shared" si="33"/>
        <v>658</v>
      </c>
      <c r="F660" s="61" t="str">
        <f>IF(FT!A660&lt;&gt;"",FT!A660*10,"")</f>
        <v/>
      </c>
      <c r="G660" s="61" t="str">
        <f>IF(FT!B660&lt;&gt;"",FT!B660*100,"")</f>
        <v/>
      </c>
      <c r="H660" s="61" t="str">
        <f t="shared" si="32"/>
        <v/>
      </c>
      <c r="I660" t="str">
        <f>IF(FT!B660&lt;&gt;"",FT!E660,"")</f>
        <v/>
      </c>
      <c r="J660" t="str">
        <f>IF(FT!B660&lt;&gt;"",FT!C660,"")</f>
        <v/>
      </c>
    </row>
    <row r="661" spans="5:10">
      <c r="E661">
        <f t="shared" si="33"/>
        <v>659</v>
      </c>
      <c r="F661" s="61" t="str">
        <f>IF(FT!A661&lt;&gt;"",FT!A661*10,"")</f>
        <v/>
      </c>
      <c r="G661" s="61" t="str">
        <f>IF(FT!B661&lt;&gt;"",FT!B661*100,"")</f>
        <v/>
      </c>
      <c r="H661" s="61" t="str">
        <f t="shared" si="32"/>
        <v/>
      </c>
      <c r="I661" t="str">
        <f>IF(FT!B661&lt;&gt;"",FT!E661,"")</f>
        <v/>
      </c>
      <c r="J661" t="str">
        <f>IF(FT!B661&lt;&gt;"",FT!C661,"")</f>
        <v/>
      </c>
    </row>
    <row r="662" spans="5:10">
      <c r="E662">
        <f t="shared" si="33"/>
        <v>660</v>
      </c>
      <c r="F662" s="61" t="str">
        <f>IF(FT!A662&lt;&gt;"",FT!A662*10,"")</f>
        <v/>
      </c>
      <c r="G662" s="61" t="str">
        <f>IF(FT!B662&lt;&gt;"",FT!B662*100,"")</f>
        <v/>
      </c>
      <c r="H662" s="61" t="str">
        <f t="shared" si="32"/>
        <v/>
      </c>
      <c r="I662" t="str">
        <f>IF(FT!B662&lt;&gt;"",FT!E662,"")</f>
        <v/>
      </c>
      <c r="J662" t="str">
        <f>IF(FT!B662&lt;&gt;"",FT!C662,"")</f>
        <v/>
      </c>
    </row>
    <row r="663" spans="5:10">
      <c r="E663">
        <f t="shared" si="33"/>
        <v>661</v>
      </c>
      <c r="F663" s="61" t="str">
        <f>IF(FT!A663&lt;&gt;"",FT!A663*10,"")</f>
        <v/>
      </c>
      <c r="G663" s="61" t="str">
        <f>IF(FT!B663&lt;&gt;"",FT!B663*100,"")</f>
        <v/>
      </c>
      <c r="H663" s="61" t="str">
        <f t="shared" si="32"/>
        <v/>
      </c>
      <c r="I663" t="str">
        <f>IF(FT!B663&lt;&gt;"",FT!E663,"")</f>
        <v/>
      </c>
      <c r="J663" t="str">
        <f>IF(FT!B663&lt;&gt;"",FT!C663,"")</f>
        <v/>
      </c>
    </row>
    <row r="664" spans="5:10">
      <c r="E664">
        <f t="shared" si="33"/>
        <v>662</v>
      </c>
      <c r="F664" s="61" t="str">
        <f>IF(FT!A664&lt;&gt;"",FT!A664*10,"")</f>
        <v/>
      </c>
      <c r="G664" s="61" t="str">
        <f>IF(FT!B664&lt;&gt;"",FT!B664*100,"")</f>
        <v/>
      </c>
      <c r="H664" s="61" t="str">
        <f t="shared" si="32"/>
        <v/>
      </c>
      <c r="I664" t="str">
        <f>IF(FT!B664&lt;&gt;"",FT!E664,"")</f>
        <v/>
      </c>
      <c r="J664" t="str">
        <f>IF(FT!B664&lt;&gt;"",FT!C664,"")</f>
        <v/>
      </c>
    </row>
    <row r="665" spans="5:10">
      <c r="E665">
        <f t="shared" si="33"/>
        <v>663</v>
      </c>
      <c r="F665" s="61" t="str">
        <f>IF(FT!A665&lt;&gt;"",FT!A665*10,"")</f>
        <v/>
      </c>
      <c r="G665" s="61" t="str">
        <f>IF(FT!B665&lt;&gt;"",FT!B665*100,"")</f>
        <v/>
      </c>
      <c r="H665" s="61" t="str">
        <f t="shared" si="32"/>
        <v/>
      </c>
      <c r="I665" t="str">
        <f>IF(FT!B665&lt;&gt;"",FT!E665,"")</f>
        <v/>
      </c>
      <c r="J665" t="str">
        <f>IF(FT!B665&lt;&gt;"",FT!C665,"")</f>
        <v/>
      </c>
    </row>
    <row r="666" spans="5:10">
      <c r="E666">
        <f t="shared" si="33"/>
        <v>664</v>
      </c>
      <c r="F666" s="61" t="str">
        <f>IF(FT!A666&lt;&gt;"",FT!A666*10,"")</f>
        <v/>
      </c>
      <c r="G666" s="61" t="str">
        <f>IF(FT!B666&lt;&gt;"",FT!B666*100,"")</f>
        <v/>
      </c>
      <c r="H666" s="61" t="str">
        <f t="shared" si="32"/>
        <v/>
      </c>
      <c r="I666" t="str">
        <f>IF(FT!B666&lt;&gt;"",FT!E666,"")</f>
        <v/>
      </c>
      <c r="J666" t="str">
        <f>IF(FT!B666&lt;&gt;"",FT!C666,"")</f>
        <v/>
      </c>
    </row>
    <row r="667" spans="5:10">
      <c r="E667">
        <f t="shared" si="33"/>
        <v>665</v>
      </c>
      <c r="F667" s="61" t="str">
        <f>IF(FT!A667&lt;&gt;"",FT!A667*10,"")</f>
        <v/>
      </c>
      <c r="G667" s="61" t="str">
        <f>IF(FT!B667&lt;&gt;"",FT!B667*100,"")</f>
        <v/>
      </c>
      <c r="H667" s="61" t="str">
        <f t="shared" si="32"/>
        <v/>
      </c>
      <c r="I667" t="str">
        <f>IF(FT!B667&lt;&gt;"",FT!E667,"")</f>
        <v/>
      </c>
      <c r="J667" t="str">
        <f>IF(FT!B667&lt;&gt;"",FT!C667,"")</f>
        <v/>
      </c>
    </row>
    <row r="668" spans="5:10">
      <c r="E668">
        <f t="shared" si="33"/>
        <v>666</v>
      </c>
      <c r="F668" s="61" t="str">
        <f>IF(FT!A668&lt;&gt;"",FT!A668*10,"")</f>
        <v/>
      </c>
      <c r="G668" s="61" t="str">
        <f>IF(FT!B668&lt;&gt;"",FT!B668*100,"")</f>
        <v/>
      </c>
      <c r="H668" s="61" t="str">
        <f t="shared" si="32"/>
        <v/>
      </c>
      <c r="I668" t="str">
        <f>IF(FT!B668&lt;&gt;"",FT!E668,"")</f>
        <v/>
      </c>
      <c r="J668" t="str">
        <f>IF(FT!B668&lt;&gt;"",FT!C668,"")</f>
        <v/>
      </c>
    </row>
    <row r="669" spans="5:10">
      <c r="E669">
        <f t="shared" si="33"/>
        <v>667</v>
      </c>
      <c r="F669" s="61" t="str">
        <f>IF(FT!A669&lt;&gt;"",FT!A669*10,"")</f>
        <v/>
      </c>
      <c r="G669" s="61" t="str">
        <f>IF(FT!B669&lt;&gt;"",FT!B669*100,"")</f>
        <v/>
      </c>
      <c r="H669" s="61" t="str">
        <f t="shared" si="32"/>
        <v/>
      </c>
      <c r="I669" t="str">
        <f>IF(FT!B669&lt;&gt;"",FT!E669,"")</f>
        <v/>
      </c>
      <c r="J669" t="str">
        <f>IF(FT!B669&lt;&gt;"",FT!C669,"")</f>
        <v/>
      </c>
    </row>
    <row r="670" spans="5:10">
      <c r="E670">
        <f t="shared" si="33"/>
        <v>668</v>
      </c>
      <c r="F670" s="61" t="str">
        <f>IF(FT!A670&lt;&gt;"",FT!A670*10,"")</f>
        <v/>
      </c>
      <c r="G670" s="61" t="str">
        <f>IF(FT!B670&lt;&gt;"",FT!B670*100,"")</f>
        <v/>
      </c>
      <c r="H670" s="61" t="str">
        <f t="shared" si="32"/>
        <v/>
      </c>
      <c r="I670" t="str">
        <f>IF(FT!B670&lt;&gt;"",FT!E670,"")</f>
        <v/>
      </c>
      <c r="J670" t="str">
        <f>IF(FT!B670&lt;&gt;"",FT!C670,"")</f>
        <v/>
      </c>
    </row>
    <row r="671" spans="5:10">
      <c r="E671">
        <f t="shared" si="33"/>
        <v>669</v>
      </c>
      <c r="F671" s="61" t="str">
        <f>IF(FT!A671&lt;&gt;"",FT!A671*10,"")</f>
        <v/>
      </c>
      <c r="G671" s="61" t="str">
        <f>IF(FT!B671&lt;&gt;"",FT!B671*100,"")</f>
        <v/>
      </c>
      <c r="H671" s="61" t="str">
        <f t="shared" si="32"/>
        <v/>
      </c>
      <c r="I671" t="str">
        <f>IF(FT!B671&lt;&gt;"",FT!E671,"")</f>
        <v/>
      </c>
      <c r="J671" t="str">
        <f>IF(FT!B671&lt;&gt;"",FT!C671,"")</f>
        <v/>
      </c>
    </row>
    <row r="672" spans="5:10">
      <c r="E672">
        <f t="shared" si="33"/>
        <v>670</v>
      </c>
      <c r="F672" s="61" t="str">
        <f>IF(FT!A672&lt;&gt;"",FT!A672*10,"")</f>
        <v/>
      </c>
      <c r="G672" s="61" t="str">
        <f>IF(FT!B672&lt;&gt;"",FT!B672*100,"")</f>
        <v/>
      </c>
      <c r="H672" s="61" t="str">
        <f t="shared" si="32"/>
        <v/>
      </c>
      <c r="I672" t="str">
        <f>IF(FT!B672&lt;&gt;"",FT!E672,"")</f>
        <v/>
      </c>
      <c r="J672" t="str">
        <f>IF(FT!B672&lt;&gt;"",FT!C672,"")</f>
        <v/>
      </c>
    </row>
    <row r="673" spans="5:10">
      <c r="E673">
        <f t="shared" si="33"/>
        <v>671</v>
      </c>
      <c r="F673" s="61" t="str">
        <f>IF(FT!A673&lt;&gt;"",FT!A673*10,"")</f>
        <v/>
      </c>
      <c r="G673" s="61" t="str">
        <f>IF(FT!B673&lt;&gt;"",FT!B673*100,"")</f>
        <v/>
      </c>
      <c r="H673" s="61" t="str">
        <f t="shared" si="32"/>
        <v/>
      </c>
      <c r="I673" t="str">
        <f>IF(FT!B673&lt;&gt;"",FT!E673,"")</f>
        <v/>
      </c>
      <c r="J673" t="str">
        <f>IF(FT!B673&lt;&gt;"",FT!C673,"")</f>
        <v/>
      </c>
    </row>
    <row r="674" spans="5:10">
      <c r="E674">
        <f t="shared" si="33"/>
        <v>672</v>
      </c>
      <c r="F674" s="61" t="str">
        <f>IF(FT!A674&lt;&gt;"",FT!A674*10,"")</f>
        <v/>
      </c>
      <c r="G674" s="61" t="str">
        <f>IF(FT!B674&lt;&gt;"",FT!B674*100,"")</f>
        <v/>
      </c>
      <c r="H674" s="61" t="str">
        <f t="shared" si="32"/>
        <v/>
      </c>
      <c r="I674" t="str">
        <f>IF(FT!B674&lt;&gt;"",FT!E674,"")</f>
        <v/>
      </c>
      <c r="J674" t="str">
        <f>IF(FT!B674&lt;&gt;"",FT!C674,"")</f>
        <v/>
      </c>
    </row>
    <row r="675" spans="5:10">
      <c r="E675">
        <f t="shared" si="33"/>
        <v>673</v>
      </c>
      <c r="F675" s="61" t="str">
        <f>IF(FT!A675&lt;&gt;"",FT!A675*10,"")</f>
        <v/>
      </c>
      <c r="G675" s="61" t="str">
        <f>IF(FT!B675&lt;&gt;"",FT!B675*100,"")</f>
        <v/>
      </c>
      <c r="H675" s="61" t="str">
        <f t="shared" si="32"/>
        <v/>
      </c>
      <c r="I675" t="str">
        <f>IF(FT!B675&lt;&gt;"",FT!E675,"")</f>
        <v/>
      </c>
      <c r="J675" t="str">
        <f>IF(FT!B675&lt;&gt;"",FT!C675,"")</f>
        <v/>
      </c>
    </row>
    <row r="676" spans="5:10">
      <c r="E676">
        <f t="shared" si="33"/>
        <v>674</v>
      </c>
      <c r="F676" s="61" t="str">
        <f>IF(FT!A676&lt;&gt;"",FT!A676*10,"")</f>
        <v/>
      </c>
      <c r="G676" s="61" t="str">
        <f>IF(FT!B676&lt;&gt;"",FT!B676*100,"")</f>
        <v/>
      </c>
      <c r="H676" s="61" t="str">
        <f t="shared" si="32"/>
        <v/>
      </c>
      <c r="I676" t="str">
        <f>IF(FT!B676&lt;&gt;"",FT!E676,"")</f>
        <v/>
      </c>
      <c r="J676" t="str">
        <f>IF(FT!B676&lt;&gt;"",FT!C676,"")</f>
        <v/>
      </c>
    </row>
    <row r="677" spans="5:10">
      <c r="E677">
        <f t="shared" si="33"/>
        <v>675</v>
      </c>
      <c r="F677" s="61" t="str">
        <f>IF(FT!A677&lt;&gt;"",FT!A677*10,"")</f>
        <v/>
      </c>
      <c r="G677" s="61" t="str">
        <f>IF(FT!B677&lt;&gt;"",FT!B677*100,"")</f>
        <v/>
      </c>
      <c r="H677" s="61" t="str">
        <f t="shared" si="32"/>
        <v/>
      </c>
      <c r="I677" t="str">
        <f>IF(FT!B677&lt;&gt;"",FT!E677,"")</f>
        <v/>
      </c>
      <c r="J677" t="str">
        <f>IF(FT!B677&lt;&gt;"",FT!C677,"")</f>
        <v/>
      </c>
    </row>
    <row r="678" spans="5:10">
      <c r="E678">
        <f t="shared" si="33"/>
        <v>676</v>
      </c>
      <c r="F678" s="61" t="str">
        <f>IF(FT!A678&lt;&gt;"",FT!A678*10,"")</f>
        <v/>
      </c>
      <c r="G678" s="61" t="str">
        <f>IF(FT!B678&lt;&gt;"",FT!B678*100,"")</f>
        <v/>
      </c>
      <c r="H678" s="61" t="str">
        <f t="shared" si="32"/>
        <v/>
      </c>
      <c r="I678" t="str">
        <f>IF(FT!B678&lt;&gt;"",FT!E678,"")</f>
        <v/>
      </c>
      <c r="J678" t="str">
        <f>IF(FT!B678&lt;&gt;"",FT!C678,"")</f>
        <v/>
      </c>
    </row>
    <row r="679" spans="5:10">
      <c r="E679">
        <f t="shared" si="33"/>
        <v>677</v>
      </c>
      <c r="F679" s="61" t="str">
        <f>IF(FT!A679&lt;&gt;"",FT!A679*10,"")</f>
        <v/>
      </c>
      <c r="G679" s="61" t="str">
        <f>IF(FT!B679&lt;&gt;"",FT!B679*100,"")</f>
        <v/>
      </c>
      <c r="H679" s="61" t="str">
        <f t="shared" si="32"/>
        <v/>
      </c>
      <c r="I679" t="str">
        <f>IF(FT!B679&lt;&gt;"",FT!E679,"")</f>
        <v/>
      </c>
      <c r="J679" t="str">
        <f>IF(FT!B679&lt;&gt;"",FT!C679,"")</f>
        <v/>
      </c>
    </row>
    <row r="680" spans="5:10">
      <c r="E680">
        <f t="shared" si="33"/>
        <v>678</v>
      </c>
      <c r="F680" s="61" t="str">
        <f>IF(FT!A680&lt;&gt;"",FT!A680*10,"")</f>
        <v/>
      </c>
      <c r="G680" s="61" t="str">
        <f>IF(FT!B680&lt;&gt;"",FT!B680*100,"")</f>
        <v/>
      </c>
      <c r="H680" s="61" t="str">
        <f t="shared" si="32"/>
        <v/>
      </c>
      <c r="I680" t="str">
        <f>IF(FT!B680&lt;&gt;"",FT!E680,"")</f>
        <v/>
      </c>
      <c r="J680" t="str">
        <f>IF(FT!B680&lt;&gt;"",FT!C680,"")</f>
        <v/>
      </c>
    </row>
    <row r="681" spans="5:10">
      <c r="E681">
        <f t="shared" si="33"/>
        <v>679</v>
      </c>
      <c r="F681" s="61" t="str">
        <f>IF(FT!A681&lt;&gt;"",FT!A681*10,"")</f>
        <v/>
      </c>
      <c r="G681" s="61" t="str">
        <f>IF(FT!B681&lt;&gt;"",FT!B681*100,"")</f>
        <v/>
      </c>
      <c r="H681" s="61" t="str">
        <f t="shared" si="32"/>
        <v/>
      </c>
      <c r="I681" t="str">
        <f>IF(FT!B681&lt;&gt;"",FT!E681,"")</f>
        <v/>
      </c>
      <c r="J681" t="str">
        <f>IF(FT!B681&lt;&gt;"",FT!C681,"")</f>
        <v/>
      </c>
    </row>
    <row r="682" spans="5:10">
      <c r="E682">
        <f t="shared" si="33"/>
        <v>680</v>
      </c>
      <c r="F682" s="61" t="str">
        <f>IF(FT!A682&lt;&gt;"",FT!A682*10,"")</f>
        <v/>
      </c>
      <c r="G682" s="61" t="str">
        <f>IF(FT!B682&lt;&gt;"",FT!B682*100,"")</f>
        <v/>
      </c>
      <c r="H682" s="61" t="str">
        <f t="shared" si="32"/>
        <v/>
      </c>
      <c r="I682" t="str">
        <f>IF(FT!B682&lt;&gt;"",FT!E682,"")</f>
        <v/>
      </c>
      <c r="J682" t="str">
        <f>IF(FT!B682&lt;&gt;"",FT!C682,"")</f>
        <v/>
      </c>
    </row>
    <row r="683" spans="5:10">
      <c r="E683">
        <f t="shared" si="33"/>
        <v>681</v>
      </c>
      <c r="F683" s="61" t="str">
        <f>IF(FT!A683&lt;&gt;"",FT!A683*10,"")</f>
        <v/>
      </c>
      <c r="G683" s="61" t="str">
        <f>IF(FT!B683&lt;&gt;"",FT!B683*100,"")</f>
        <v/>
      </c>
      <c r="H683" s="61" t="str">
        <f t="shared" si="32"/>
        <v/>
      </c>
      <c r="I683" t="str">
        <f>IF(FT!B683&lt;&gt;"",FT!E683,"")</f>
        <v/>
      </c>
      <c r="J683" t="str">
        <f>IF(FT!B683&lt;&gt;"",FT!C683,"")</f>
        <v/>
      </c>
    </row>
    <row r="684" spans="5:10">
      <c r="E684">
        <f t="shared" si="33"/>
        <v>682</v>
      </c>
      <c r="F684" s="61" t="str">
        <f>IF(FT!A684&lt;&gt;"",FT!A684*10,"")</f>
        <v/>
      </c>
      <c r="G684" s="61" t="str">
        <f>IF(FT!B684&lt;&gt;"",FT!B684*100,"")</f>
        <v/>
      </c>
      <c r="H684" s="61" t="str">
        <f t="shared" si="32"/>
        <v/>
      </c>
      <c r="I684" t="str">
        <f>IF(FT!B684&lt;&gt;"",FT!E684,"")</f>
        <v/>
      </c>
      <c r="J684" t="str">
        <f>IF(FT!B684&lt;&gt;"",FT!C684,"")</f>
        <v/>
      </c>
    </row>
    <row r="685" spans="5:10">
      <c r="E685">
        <f t="shared" si="33"/>
        <v>683</v>
      </c>
      <c r="F685" s="61" t="str">
        <f>IF(FT!A685&lt;&gt;"",FT!A685*10,"")</f>
        <v/>
      </c>
      <c r="G685" s="61" t="str">
        <f>IF(FT!B685&lt;&gt;"",FT!B685*100,"")</f>
        <v/>
      </c>
      <c r="H685" s="61" t="str">
        <f t="shared" si="32"/>
        <v/>
      </c>
      <c r="I685" t="str">
        <f>IF(FT!B685&lt;&gt;"",FT!E685,"")</f>
        <v/>
      </c>
      <c r="J685" t="str">
        <f>IF(FT!B685&lt;&gt;"",FT!C685,"")</f>
        <v/>
      </c>
    </row>
    <row r="686" spans="5:10">
      <c r="E686">
        <f t="shared" si="33"/>
        <v>684</v>
      </c>
      <c r="F686" s="61" t="str">
        <f>IF(FT!A686&lt;&gt;"",FT!A686*10,"")</f>
        <v/>
      </c>
      <c r="G686" s="61" t="str">
        <f>IF(FT!B686&lt;&gt;"",FT!B686*100,"")</f>
        <v/>
      </c>
      <c r="H686" s="61" t="str">
        <f t="shared" si="32"/>
        <v/>
      </c>
      <c r="I686" t="str">
        <f>IF(FT!B686&lt;&gt;"",FT!E686,"")</f>
        <v/>
      </c>
      <c r="J686" t="str">
        <f>IF(FT!B686&lt;&gt;"",FT!C686,"")</f>
        <v/>
      </c>
    </row>
    <row r="687" spans="5:10">
      <c r="E687">
        <f t="shared" si="33"/>
        <v>685</v>
      </c>
      <c r="F687" s="61" t="str">
        <f>IF(FT!A687&lt;&gt;"",FT!A687*10,"")</f>
        <v/>
      </c>
      <c r="G687" s="61" t="str">
        <f>IF(FT!B687&lt;&gt;"",FT!B687*100,"")</f>
        <v/>
      </c>
      <c r="H687" s="61" t="str">
        <f t="shared" si="32"/>
        <v/>
      </c>
      <c r="I687" t="str">
        <f>IF(FT!B687&lt;&gt;"",FT!E687,"")</f>
        <v/>
      </c>
      <c r="J687" t="str">
        <f>IF(FT!B687&lt;&gt;"",FT!C687,"")</f>
        <v/>
      </c>
    </row>
    <row r="688" spans="5:10">
      <c r="E688">
        <f t="shared" si="33"/>
        <v>686</v>
      </c>
      <c r="F688" s="61" t="str">
        <f>IF(FT!A688&lt;&gt;"",FT!A688*10,"")</f>
        <v/>
      </c>
      <c r="G688" s="61" t="str">
        <f>IF(FT!B688&lt;&gt;"",FT!B688*100,"")</f>
        <v/>
      </c>
      <c r="H688" s="61" t="str">
        <f t="shared" si="32"/>
        <v/>
      </c>
      <c r="I688" t="str">
        <f>IF(FT!B688&lt;&gt;"",FT!E688,"")</f>
        <v/>
      </c>
      <c r="J688" t="str">
        <f>IF(FT!B688&lt;&gt;"",FT!C688,"")</f>
        <v/>
      </c>
    </row>
    <row r="689" spans="5:10">
      <c r="E689">
        <f t="shared" si="33"/>
        <v>687</v>
      </c>
      <c r="F689" s="61" t="str">
        <f>IF(FT!A689&lt;&gt;"",FT!A689*10,"")</f>
        <v/>
      </c>
      <c r="G689" s="61" t="str">
        <f>IF(FT!B689&lt;&gt;"",FT!B689*100,"")</f>
        <v/>
      </c>
      <c r="H689" s="61" t="str">
        <f t="shared" si="32"/>
        <v/>
      </c>
      <c r="I689" t="str">
        <f>IF(FT!B689&lt;&gt;"",FT!E689,"")</f>
        <v/>
      </c>
      <c r="J689" t="str">
        <f>IF(FT!B689&lt;&gt;"",FT!C689,"")</f>
        <v/>
      </c>
    </row>
    <row r="690" spans="5:10">
      <c r="E690">
        <f t="shared" si="33"/>
        <v>688</v>
      </c>
      <c r="F690" s="61" t="str">
        <f>IF(FT!A690&lt;&gt;"",FT!A690*10,"")</f>
        <v/>
      </c>
      <c r="G690" s="61" t="str">
        <f>IF(FT!B690&lt;&gt;"",FT!B690*100,"")</f>
        <v/>
      </c>
      <c r="H690" s="61" t="str">
        <f t="shared" si="32"/>
        <v/>
      </c>
      <c r="I690" t="str">
        <f>IF(FT!B690&lt;&gt;"",FT!E690,"")</f>
        <v/>
      </c>
      <c r="J690" t="str">
        <f>IF(FT!B690&lt;&gt;"",FT!C690,"")</f>
        <v/>
      </c>
    </row>
    <row r="691" spans="5:10">
      <c r="E691">
        <f t="shared" si="33"/>
        <v>689</v>
      </c>
      <c r="F691" s="61" t="str">
        <f>IF(FT!A691&lt;&gt;"",FT!A691*10,"")</f>
        <v/>
      </c>
      <c r="G691" s="61" t="str">
        <f>IF(FT!B691&lt;&gt;"",FT!B691*100,"")</f>
        <v/>
      </c>
      <c r="H691" s="61" t="str">
        <f t="shared" si="32"/>
        <v/>
      </c>
      <c r="I691" t="str">
        <f>IF(FT!B691&lt;&gt;"",FT!E691,"")</f>
        <v/>
      </c>
      <c r="J691" t="str">
        <f>IF(FT!B691&lt;&gt;"",FT!C691,"")</f>
        <v/>
      </c>
    </row>
    <row r="692" spans="5:10">
      <c r="E692">
        <f t="shared" si="33"/>
        <v>690</v>
      </c>
      <c r="F692" s="61" t="str">
        <f>IF(FT!A692&lt;&gt;"",FT!A692*10,"")</f>
        <v/>
      </c>
      <c r="G692" s="61" t="str">
        <f>IF(FT!B692&lt;&gt;"",FT!B692*100,"")</f>
        <v/>
      </c>
      <c r="H692" s="61" t="str">
        <f t="shared" si="32"/>
        <v/>
      </c>
      <c r="I692" t="str">
        <f>IF(FT!B692&lt;&gt;"",FT!E692,"")</f>
        <v/>
      </c>
      <c r="J692" t="str">
        <f>IF(FT!B692&lt;&gt;"",FT!C692,"")</f>
        <v/>
      </c>
    </row>
    <row r="693" spans="5:10">
      <c r="E693">
        <f t="shared" si="33"/>
        <v>691</v>
      </c>
      <c r="F693" s="61" t="str">
        <f>IF(FT!A693&lt;&gt;"",FT!A693*10,"")</f>
        <v/>
      </c>
      <c r="G693" s="61" t="str">
        <f>IF(FT!B693&lt;&gt;"",FT!B693*100,"")</f>
        <v/>
      </c>
      <c r="H693" s="61" t="str">
        <f t="shared" si="32"/>
        <v/>
      </c>
      <c r="I693" t="str">
        <f>IF(FT!B693&lt;&gt;"",FT!E693,"")</f>
        <v/>
      </c>
      <c r="J693" t="str">
        <f>IF(FT!B693&lt;&gt;"",FT!C693,"")</f>
        <v/>
      </c>
    </row>
    <row r="694" spans="5:10">
      <c r="E694">
        <f t="shared" si="33"/>
        <v>692</v>
      </c>
      <c r="F694" s="61" t="str">
        <f>IF(FT!A694&lt;&gt;"",FT!A694*10,"")</f>
        <v/>
      </c>
      <c r="G694" s="61" t="str">
        <f>IF(FT!B694&lt;&gt;"",FT!B694*100,"")</f>
        <v/>
      </c>
      <c r="H694" s="61" t="str">
        <f t="shared" si="32"/>
        <v/>
      </c>
      <c r="I694" t="str">
        <f>IF(FT!B694&lt;&gt;"",FT!E694,"")</f>
        <v/>
      </c>
      <c r="J694" t="str">
        <f>IF(FT!B694&lt;&gt;"",FT!C694,"")</f>
        <v/>
      </c>
    </row>
    <row r="695" spans="5:10">
      <c r="E695">
        <f t="shared" si="33"/>
        <v>693</v>
      </c>
      <c r="F695" s="61" t="str">
        <f>IF(FT!A695&lt;&gt;"",FT!A695*10,"")</f>
        <v/>
      </c>
      <c r="G695" s="61" t="str">
        <f>IF(FT!B695&lt;&gt;"",FT!B695*100,"")</f>
        <v/>
      </c>
      <c r="H695" s="61" t="str">
        <f t="shared" si="32"/>
        <v/>
      </c>
      <c r="I695" t="str">
        <f>IF(FT!B695&lt;&gt;"",FT!E695,"")</f>
        <v/>
      </c>
      <c r="J695" t="str">
        <f>IF(FT!B695&lt;&gt;"",FT!C695,"")</f>
        <v/>
      </c>
    </row>
    <row r="696" spans="5:10">
      <c r="E696">
        <f t="shared" si="33"/>
        <v>694</v>
      </c>
      <c r="F696" s="61" t="str">
        <f>IF(FT!A696&lt;&gt;"",FT!A696*10,"")</f>
        <v/>
      </c>
      <c r="G696" s="61" t="str">
        <f>IF(FT!B696&lt;&gt;"",FT!B696*100,"")</f>
        <v/>
      </c>
      <c r="H696" s="61" t="str">
        <f t="shared" si="32"/>
        <v/>
      </c>
      <c r="I696" t="str">
        <f>IF(FT!B696&lt;&gt;"",FT!E696,"")</f>
        <v/>
      </c>
      <c r="J696" t="str">
        <f>IF(FT!B696&lt;&gt;"",FT!C696,"")</f>
        <v/>
      </c>
    </row>
    <row r="697" spans="5:10">
      <c r="E697">
        <f t="shared" si="33"/>
        <v>695</v>
      </c>
      <c r="F697" s="61" t="str">
        <f>IF(FT!A697&lt;&gt;"",FT!A697*10,"")</f>
        <v/>
      </c>
      <c r="G697" s="61" t="str">
        <f>IF(FT!B697&lt;&gt;"",FT!B697*100,"")</f>
        <v/>
      </c>
      <c r="H697" s="61" t="str">
        <f t="shared" si="32"/>
        <v/>
      </c>
      <c r="I697" t="str">
        <f>IF(FT!B697&lt;&gt;"",FT!E697,"")</f>
        <v/>
      </c>
      <c r="J697" t="str">
        <f>IF(FT!B697&lt;&gt;"",FT!C697,"")</f>
        <v/>
      </c>
    </row>
    <row r="698" spans="5:10">
      <c r="E698">
        <f t="shared" si="33"/>
        <v>696</v>
      </c>
      <c r="F698" s="61" t="str">
        <f>IF(FT!A698&lt;&gt;"",FT!A698*10,"")</f>
        <v/>
      </c>
      <c r="G698" s="61" t="str">
        <f>IF(FT!B698&lt;&gt;"",FT!B698*100,"")</f>
        <v/>
      </c>
      <c r="H698" s="61" t="str">
        <f t="shared" si="32"/>
        <v/>
      </c>
      <c r="I698" t="str">
        <f>IF(FT!B698&lt;&gt;"",FT!E698,"")</f>
        <v/>
      </c>
      <c r="J698" t="str">
        <f>IF(FT!B698&lt;&gt;"",FT!C698,"")</f>
        <v/>
      </c>
    </row>
    <row r="699" spans="5:10">
      <c r="E699">
        <f t="shared" si="33"/>
        <v>697</v>
      </c>
      <c r="F699" s="61" t="str">
        <f>IF(FT!A699&lt;&gt;"",FT!A699*10,"")</f>
        <v/>
      </c>
      <c r="G699" s="61" t="str">
        <f>IF(FT!B699&lt;&gt;"",FT!B699*100,"")</f>
        <v/>
      </c>
      <c r="H699" s="61" t="str">
        <f t="shared" si="32"/>
        <v/>
      </c>
      <c r="I699" t="str">
        <f>IF(FT!B699&lt;&gt;"",FT!E699,"")</f>
        <v/>
      </c>
      <c r="J699" t="str">
        <f>IF(FT!B699&lt;&gt;"",FT!C699,"")</f>
        <v/>
      </c>
    </row>
    <row r="700" spans="5:10">
      <c r="E700">
        <f t="shared" si="33"/>
        <v>698</v>
      </c>
      <c r="F700" s="61" t="str">
        <f>IF(FT!A700&lt;&gt;"",FT!A700*10,"")</f>
        <v/>
      </c>
      <c r="G700" s="61" t="str">
        <f>IF(FT!B700&lt;&gt;"",FT!B700*100,"")</f>
        <v/>
      </c>
      <c r="H700" s="61" t="str">
        <f t="shared" si="32"/>
        <v/>
      </c>
      <c r="I700" t="str">
        <f>IF(FT!B700&lt;&gt;"",FT!E700,"")</f>
        <v/>
      </c>
      <c r="J700" t="str">
        <f>IF(FT!B700&lt;&gt;"",FT!C700,"")</f>
        <v/>
      </c>
    </row>
    <row r="701" spans="5:10">
      <c r="E701">
        <f t="shared" si="33"/>
        <v>699</v>
      </c>
      <c r="F701" s="61" t="str">
        <f>IF(FT!A701&lt;&gt;"",FT!A701*10,"")</f>
        <v/>
      </c>
      <c r="G701" s="61" t="str">
        <f>IF(FT!B701&lt;&gt;"",FT!B701*100,"")</f>
        <v/>
      </c>
      <c r="H701" s="61" t="str">
        <f t="shared" si="32"/>
        <v/>
      </c>
      <c r="I701" t="str">
        <f>IF(FT!B701&lt;&gt;"",FT!E701,"")</f>
        <v/>
      </c>
      <c r="J701" t="str">
        <f>IF(FT!B701&lt;&gt;"",FT!C701,"")</f>
        <v/>
      </c>
    </row>
    <row r="702" spans="5:10">
      <c r="E702">
        <f t="shared" si="33"/>
        <v>700</v>
      </c>
      <c r="F702" s="61" t="str">
        <f>IF(FT!A702&lt;&gt;"",FT!A702*10,"")</f>
        <v/>
      </c>
      <c r="G702" s="61" t="str">
        <f>IF(FT!B702&lt;&gt;"",FT!B702*100,"")</f>
        <v/>
      </c>
      <c r="H702" s="61" t="str">
        <f t="shared" si="32"/>
        <v/>
      </c>
      <c r="I702" t="str">
        <f>IF(FT!B702&lt;&gt;"",FT!E702,"")</f>
        <v/>
      </c>
      <c r="J702" t="str">
        <f>IF(FT!B702&lt;&gt;"",FT!C702,"")</f>
        <v/>
      </c>
    </row>
    <row r="703" spans="5:10">
      <c r="E703">
        <f t="shared" si="33"/>
        <v>701</v>
      </c>
      <c r="F703" s="61" t="str">
        <f>IF(FT!A703&lt;&gt;"",FT!A703*10,"")</f>
        <v/>
      </c>
      <c r="G703" s="61" t="str">
        <f>IF(FT!B703&lt;&gt;"",FT!B703*100,"")</f>
        <v/>
      </c>
      <c r="H703" s="61" t="str">
        <f t="shared" si="32"/>
        <v/>
      </c>
      <c r="I703" t="str">
        <f>IF(FT!B703&lt;&gt;"",FT!E703,"")</f>
        <v/>
      </c>
      <c r="J703" t="str">
        <f>IF(FT!B703&lt;&gt;"",FT!C703,"")</f>
        <v/>
      </c>
    </row>
    <row r="704" spans="5:10">
      <c r="E704">
        <f t="shared" si="33"/>
        <v>702</v>
      </c>
      <c r="F704" s="61" t="str">
        <f>IF(FT!A704&lt;&gt;"",FT!A704*10,"")</f>
        <v/>
      </c>
      <c r="G704" s="61" t="str">
        <f>IF(FT!B704&lt;&gt;"",FT!B704*100,"")</f>
        <v/>
      </c>
      <c r="H704" s="61" t="str">
        <f t="shared" si="32"/>
        <v/>
      </c>
      <c r="I704" t="str">
        <f>IF(FT!B704&lt;&gt;"",FT!E704,"")</f>
        <v/>
      </c>
      <c r="J704" t="str">
        <f>IF(FT!B704&lt;&gt;"",FT!C704,"")</f>
        <v/>
      </c>
    </row>
    <row r="705" spans="5:10">
      <c r="E705">
        <f t="shared" si="33"/>
        <v>703</v>
      </c>
      <c r="F705" s="61" t="str">
        <f>IF(FT!A705&lt;&gt;"",FT!A705*10,"")</f>
        <v/>
      </c>
      <c r="G705" s="61" t="str">
        <f>IF(FT!B705&lt;&gt;"",FT!B705*100,"")</f>
        <v/>
      </c>
      <c r="H705" s="61" t="str">
        <f t="shared" si="32"/>
        <v/>
      </c>
      <c r="I705" t="str">
        <f>IF(FT!B705&lt;&gt;"",FT!E705,"")</f>
        <v/>
      </c>
      <c r="J705" t="str">
        <f>IF(FT!B705&lt;&gt;"",FT!C705,"")</f>
        <v/>
      </c>
    </row>
    <row r="706" spans="5:10">
      <c r="E706">
        <f t="shared" si="33"/>
        <v>704</v>
      </c>
      <c r="F706" s="61" t="str">
        <f>IF(FT!A706&lt;&gt;"",FT!A706*10,"")</f>
        <v/>
      </c>
      <c r="G706" s="61" t="str">
        <f>IF(FT!B706&lt;&gt;"",FT!B706*100,"")</f>
        <v/>
      </c>
      <c r="H706" s="61" t="str">
        <f t="shared" si="32"/>
        <v/>
      </c>
      <c r="I706" t="str">
        <f>IF(FT!B706&lt;&gt;"",FT!E706,"")</f>
        <v/>
      </c>
      <c r="J706" t="str">
        <f>IF(FT!B706&lt;&gt;"",FT!C706,"")</f>
        <v/>
      </c>
    </row>
    <row r="707" spans="5:10">
      <c r="E707">
        <f t="shared" si="33"/>
        <v>705</v>
      </c>
      <c r="F707" s="61" t="str">
        <f>IF(FT!A707&lt;&gt;"",FT!A707*10,"")</f>
        <v/>
      </c>
      <c r="G707" s="61" t="str">
        <f>IF(FT!B707&lt;&gt;"",FT!B707*100,"")</f>
        <v/>
      </c>
      <c r="H707" s="61" t="str">
        <f t="shared" ref="H707:H770" si="34">(IF(F707&lt;&gt;"",1,""))</f>
        <v/>
      </c>
      <c r="I707" t="str">
        <f>IF(FT!B707&lt;&gt;"",FT!E707,"")</f>
        <v/>
      </c>
      <c r="J707" t="str">
        <f>IF(FT!B707&lt;&gt;"",FT!C707,"")</f>
        <v/>
      </c>
    </row>
    <row r="708" spans="5:10">
      <c r="E708">
        <f t="shared" ref="E708:E771" si="35">E707+1</f>
        <v>706</v>
      </c>
      <c r="F708" s="61" t="str">
        <f>IF(FT!A708&lt;&gt;"",FT!A708*10,"")</f>
        <v/>
      </c>
      <c r="G708" s="61" t="str">
        <f>IF(FT!B708&lt;&gt;"",FT!B708*100,"")</f>
        <v/>
      </c>
      <c r="H708" s="61" t="str">
        <f t="shared" si="34"/>
        <v/>
      </c>
      <c r="I708" t="str">
        <f>IF(FT!B708&lt;&gt;"",FT!E708,"")</f>
        <v/>
      </c>
      <c r="J708" t="str">
        <f>IF(FT!B708&lt;&gt;"",FT!C708,"")</f>
        <v/>
      </c>
    </row>
    <row r="709" spans="5:10">
      <c r="E709">
        <f t="shared" si="35"/>
        <v>707</v>
      </c>
      <c r="F709" s="61" t="str">
        <f>IF(FT!A709&lt;&gt;"",FT!A709*10,"")</f>
        <v/>
      </c>
      <c r="G709" s="61" t="str">
        <f>IF(FT!B709&lt;&gt;"",FT!B709*100,"")</f>
        <v/>
      </c>
      <c r="H709" s="61" t="str">
        <f t="shared" si="34"/>
        <v/>
      </c>
      <c r="I709" t="str">
        <f>IF(FT!B709&lt;&gt;"",FT!E709,"")</f>
        <v/>
      </c>
      <c r="J709" t="str">
        <f>IF(FT!B709&lt;&gt;"",FT!C709,"")</f>
        <v/>
      </c>
    </row>
    <row r="710" spans="5:10">
      <c r="E710">
        <f t="shared" si="35"/>
        <v>708</v>
      </c>
      <c r="F710" s="61" t="str">
        <f>IF(FT!A710&lt;&gt;"",FT!A710*10,"")</f>
        <v/>
      </c>
      <c r="G710" s="61" t="str">
        <f>IF(FT!B710&lt;&gt;"",FT!B710*100,"")</f>
        <v/>
      </c>
      <c r="H710" s="61" t="str">
        <f t="shared" si="34"/>
        <v/>
      </c>
      <c r="I710" t="str">
        <f>IF(FT!B710&lt;&gt;"",FT!E710,"")</f>
        <v/>
      </c>
      <c r="J710" t="str">
        <f>IF(FT!B710&lt;&gt;"",FT!C710,"")</f>
        <v/>
      </c>
    </row>
    <row r="711" spans="5:10">
      <c r="E711">
        <f t="shared" si="35"/>
        <v>709</v>
      </c>
      <c r="F711" s="61" t="str">
        <f>IF(FT!A711&lt;&gt;"",FT!A711*10,"")</f>
        <v/>
      </c>
      <c r="G711" s="61" t="str">
        <f>IF(FT!B711&lt;&gt;"",FT!B711*100,"")</f>
        <v/>
      </c>
      <c r="H711" s="61" t="str">
        <f t="shared" si="34"/>
        <v/>
      </c>
      <c r="I711" t="str">
        <f>IF(FT!B711&lt;&gt;"",FT!E711,"")</f>
        <v/>
      </c>
      <c r="J711" t="str">
        <f>IF(FT!B711&lt;&gt;"",FT!C711,"")</f>
        <v/>
      </c>
    </row>
    <row r="712" spans="5:10">
      <c r="E712">
        <f t="shared" si="35"/>
        <v>710</v>
      </c>
      <c r="F712" s="61" t="str">
        <f>IF(FT!A712&lt;&gt;"",FT!A712*10,"")</f>
        <v/>
      </c>
      <c r="G712" s="61" t="str">
        <f>IF(FT!B712&lt;&gt;"",FT!B712*100,"")</f>
        <v/>
      </c>
      <c r="H712" s="61" t="str">
        <f t="shared" si="34"/>
        <v/>
      </c>
      <c r="I712" t="str">
        <f>IF(FT!B712&lt;&gt;"",FT!E712,"")</f>
        <v/>
      </c>
      <c r="J712" t="str">
        <f>IF(FT!B712&lt;&gt;"",FT!C712,"")</f>
        <v/>
      </c>
    </row>
    <row r="713" spans="5:10">
      <c r="E713">
        <f t="shared" si="35"/>
        <v>711</v>
      </c>
      <c r="F713" s="61" t="str">
        <f>IF(FT!A713&lt;&gt;"",FT!A713*10,"")</f>
        <v/>
      </c>
      <c r="G713" s="61" t="str">
        <f>IF(FT!B713&lt;&gt;"",FT!B713*100,"")</f>
        <v/>
      </c>
      <c r="H713" s="61" t="str">
        <f t="shared" si="34"/>
        <v/>
      </c>
      <c r="I713" t="str">
        <f>IF(FT!B713&lt;&gt;"",FT!E713,"")</f>
        <v/>
      </c>
      <c r="J713" t="str">
        <f>IF(FT!B713&lt;&gt;"",FT!C713,"")</f>
        <v/>
      </c>
    </row>
    <row r="714" spans="5:10">
      <c r="E714">
        <f t="shared" si="35"/>
        <v>712</v>
      </c>
      <c r="F714" s="61" t="str">
        <f>IF(FT!A714&lt;&gt;"",FT!A714*10,"")</f>
        <v/>
      </c>
      <c r="G714" s="61" t="str">
        <f>IF(FT!B714&lt;&gt;"",FT!B714*100,"")</f>
        <v/>
      </c>
      <c r="H714" s="61" t="str">
        <f t="shared" si="34"/>
        <v/>
      </c>
      <c r="I714" t="str">
        <f>IF(FT!B714&lt;&gt;"",FT!E714,"")</f>
        <v/>
      </c>
      <c r="J714" t="str">
        <f>IF(FT!B714&lt;&gt;"",FT!C714,"")</f>
        <v/>
      </c>
    </row>
    <row r="715" spans="5:10">
      <c r="E715">
        <f t="shared" si="35"/>
        <v>713</v>
      </c>
      <c r="F715" s="61" t="str">
        <f>IF(FT!A715&lt;&gt;"",FT!A715*10,"")</f>
        <v/>
      </c>
      <c r="G715" s="61" t="str">
        <f>IF(FT!B715&lt;&gt;"",FT!B715*100,"")</f>
        <v/>
      </c>
      <c r="H715" s="61" t="str">
        <f t="shared" si="34"/>
        <v/>
      </c>
      <c r="I715" t="str">
        <f>IF(FT!B715&lt;&gt;"",FT!E715,"")</f>
        <v/>
      </c>
      <c r="J715" t="str">
        <f>IF(FT!B715&lt;&gt;"",FT!C715,"")</f>
        <v/>
      </c>
    </row>
    <row r="716" spans="5:10">
      <c r="E716">
        <f t="shared" si="35"/>
        <v>714</v>
      </c>
      <c r="F716" s="61" t="str">
        <f>IF(FT!A716&lt;&gt;"",FT!A716*10,"")</f>
        <v/>
      </c>
      <c r="G716" s="61" t="str">
        <f>IF(FT!B716&lt;&gt;"",FT!B716*100,"")</f>
        <v/>
      </c>
      <c r="H716" s="61" t="str">
        <f t="shared" si="34"/>
        <v/>
      </c>
      <c r="I716" t="str">
        <f>IF(FT!B716&lt;&gt;"",FT!E716,"")</f>
        <v/>
      </c>
      <c r="J716" t="str">
        <f>IF(FT!B716&lt;&gt;"",FT!C716,"")</f>
        <v/>
      </c>
    </row>
    <row r="717" spans="5:10">
      <c r="E717">
        <f t="shared" si="35"/>
        <v>715</v>
      </c>
      <c r="F717" s="61" t="str">
        <f>IF(FT!A717&lt;&gt;"",FT!A717*10,"")</f>
        <v/>
      </c>
      <c r="G717" s="61" t="str">
        <f>IF(FT!B717&lt;&gt;"",FT!B717*100,"")</f>
        <v/>
      </c>
      <c r="H717" s="61" t="str">
        <f t="shared" si="34"/>
        <v/>
      </c>
      <c r="I717" t="str">
        <f>IF(FT!B717&lt;&gt;"",FT!E717,"")</f>
        <v/>
      </c>
      <c r="J717" t="str">
        <f>IF(FT!B717&lt;&gt;"",FT!C717,"")</f>
        <v/>
      </c>
    </row>
    <row r="718" spans="5:10">
      <c r="E718">
        <f t="shared" si="35"/>
        <v>716</v>
      </c>
      <c r="F718" s="61" t="str">
        <f>IF(FT!A718&lt;&gt;"",FT!A718*10,"")</f>
        <v/>
      </c>
      <c r="G718" s="61" t="str">
        <f>IF(FT!B718&lt;&gt;"",FT!B718*100,"")</f>
        <v/>
      </c>
      <c r="H718" s="61" t="str">
        <f t="shared" si="34"/>
        <v/>
      </c>
      <c r="I718" t="str">
        <f>IF(FT!B718&lt;&gt;"",FT!E718,"")</f>
        <v/>
      </c>
      <c r="J718" t="str">
        <f>IF(FT!B718&lt;&gt;"",FT!C718,"")</f>
        <v/>
      </c>
    </row>
    <row r="719" spans="5:10">
      <c r="E719">
        <f t="shared" si="35"/>
        <v>717</v>
      </c>
      <c r="F719" s="61" t="str">
        <f>IF(FT!A719&lt;&gt;"",FT!A719*10,"")</f>
        <v/>
      </c>
      <c r="G719" s="61" t="str">
        <f>IF(FT!B719&lt;&gt;"",FT!B719*100,"")</f>
        <v/>
      </c>
      <c r="H719" s="61" t="str">
        <f t="shared" si="34"/>
        <v/>
      </c>
      <c r="I719" t="str">
        <f>IF(FT!B719&lt;&gt;"",FT!E719,"")</f>
        <v/>
      </c>
      <c r="J719" t="str">
        <f>IF(FT!B719&lt;&gt;"",FT!C719,"")</f>
        <v/>
      </c>
    </row>
    <row r="720" spans="5:10">
      <c r="E720">
        <f t="shared" si="35"/>
        <v>718</v>
      </c>
      <c r="F720" s="61" t="str">
        <f>IF(FT!A720&lt;&gt;"",FT!A720*10,"")</f>
        <v/>
      </c>
      <c r="G720" s="61" t="str">
        <f>IF(FT!B720&lt;&gt;"",FT!B720*100,"")</f>
        <v/>
      </c>
      <c r="H720" s="61" t="str">
        <f t="shared" si="34"/>
        <v/>
      </c>
      <c r="I720" t="str">
        <f>IF(FT!B720&lt;&gt;"",FT!E720,"")</f>
        <v/>
      </c>
      <c r="J720" t="str">
        <f>IF(FT!B720&lt;&gt;"",FT!C720,"")</f>
        <v/>
      </c>
    </row>
    <row r="721" spans="5:10">
      <c r="E721">
        <f t="shared" si="35"/>
        <v>719</v>
      </c>
      <c r="F721" s="61" t="str">
        <f>IF(FT!A721&lt;&gt;"",FT!A721*10,"")</f>
        <v/>
      </c>
      <c r="G721" s="61" t="str">
        <f>IF(FT!B721&lt;&gt;"",FT!B721*100,"")</f>
        <v/>
      </c>
      <c r="H721" s="61" t="str">
        <f t="shared" si="34"/>
        <v/>
      </c>
      <c r="I721" t="str">
        <f>IF(FT!B721&lt;&gt;"",FT!E721,"")</f>
        <v/>
      </c>
      <c r="J721" t="str">
        <f>IF(FT!B721&lt;&gt;"",FT!C721,"")</f>
        <v/>
      </c>
    </row>
    <row r="722" spans="5:10">
      <c r="E722">
        <f t="shared" si="35"/>
        <v>720</v>
      </c>
      <c r="F722" s="61" t="str">
        <f>IF(FT!A722&lt;&gt;"",FT!A722*10,"")</f>
        <v/>
      </c>
      <c r="G722" s="61" t="str">
        <f>IF(FT!B722&lt;&gt;"",FT!B722*100,"")</f>
        <v/>
      </c>
      <c r="H722" s="61" t="str">
        <f t="shared" si="34"/>
        <v/>
      </c>
      <c r="I722" t="str">
        <f>IF(FT!B722&lt;&gt;"",FT!E722,"")</f>
        <v/>
      </c>
      <c r="J722" t="str">
        <f>IF(FT!B722&lt;&gt;"",FT!C722,"")</f>
        <v/>
      </c>
    </row>
    <row r="723" spans="5:10">
      <c r="E723">
        <f t="shared" si="35"/>
        <v>721</v>
      </c>
      <c r="F723" s="61" t="str">
        <f>IF(FT!A723&lt;&gt;"",FT!A723*10,"")</f>
        <v/>
      </c>
      <c r="G723" s="61" t="str">
        <f>IF(FT!B723&lt;&gt;"",FT!B723*100,"")</f>
        <v/>
      </c>
      <c r="H723" s="61" t="str">
        <f t="shared" si="34"/>
        <v/>
      </c>
      <c r="I723" t="str">
        <f>IF(FT!B723&lt;&gt;"",FT!E723,"")</f>
        <v/>
      </c>
      <c r="J723" t="str">
        <f>IF(FT!B723&lt;&gt;"",FT!C723,"")</f>
        <v/>
      </c>
    </row>
    <row r="724" spans="5:10">
      <c r="E724">
        <f t="shared" si="35"/>
        <v>722</v>
      </c>
      <c r="F724" s="61" t="str">
        <f>IF(FT!A724&lt;&gt;"",FT!A724*10,"")</f>
        <v/>
      </c>
      <c r="G724" s="61" t="str">
        <f>IF(FT!B724&lt;&gt;"",FT!B724*100,"")</f>
        <v/>
      </c>
      <c r="H724" s="61" t="str">
        <f t="shared" si="34"/>
        <v/>
      </c>
      <c r="I724" t="str">
        <f>IF(FT!B724&lt;&gt;"",FT!E724,"")</f>
        <v/>
      </c>
      <c r="J724" t="str">
        <f>IF(FT!B724&lt;&gt;"",FT!C724,"")</f>
        <v/>
      </c>
    </row>
    <row r="725" spans="5:10">
      <c r="E725">
        <f t="shared" si="35"/>
        <v>723</v>
      </c>
      <c r="F725" s="61" t="str">
        <f>IF(FT!A725&lt;&gt;"",FT!A725*10,"")</f>
        <v/>
      </c>
      <c r="G725" s="61" t="str">
        <f>IF(FT!B725&lt;&gt;"",FT!B725*100,"")</f>
        <v/>
      </c>
      <c r="H725" s="61" t="str">
        <f t="shared" si="34"/>
        <v/>
      </c>
      <c r="I725" t="str">
        <f>IF(FT!B725&lt;&gt;"",FT!E725,"")</f>
        <v/>
      </c>
      <c r="J725" t="str">
        <f>IF(FT!B725&lt;&gt;"",FT!C725,"")</f>
        <v/>
      </c>
    </row>
    <row r="726" spans="5:10">
      <c r="E726">
        <f t="shared" si="35"/>
        <v>724</v>
      </c>
      <c r="F726" s="61" t="str">
        <f>IF(FT!A726&lt;&gt;"",FT!A726*10,"")</f>
        <v/>
      </c>
      <c r="G726" s="61" t="str">
        <f>IF(FT!B726&lt;&gt;"",FT!B726*100,"")</f>
        <v/>
      </c>
      <c r="H726" s="61" t="str">
        <f t="shared" si="34"/>
        <v/>
      </c>
      <c r="I726" t="str">
        <f>IF(FT!B726&lt;&gt;"",FT!E726,"")</f>
        <v/>
      </c>
      <c r="J726" t="str">
        <f>IF(FT!B726&lt;&gt;"",FT!C726,"")</f>
        <v/>
      </c>
    </row>
    <row r="727" spans="5:10">
      <c r="E727">
        <f t="shared" si="35"/>
        <v>725</v>
      </c>
      <c r="F727" s="61" t="str">
        <f>IF(FT!A727&lt;&gt;"",FT!A727*10,"")</f>
        <v/>
      </c>
      <c r="G727" s="61" t="str">
        <f>IF(FT!B727&lt;&gt;"",FT!B727*100,"")</f>
        <v/>
      </c>
      <c r="H727" s="61" t="str">
        <f t="shared" si="34"/>
        <v/>
      </c>
      <c r="I727" t="str">
        <f>IF(FT!B727&lt;&gt;"",FT!E727,"")</f>
        <v/>
      </c>
      <c r="J727" t="str">
        <f>IF(FT!B727&lt;&gt;"",FT!C727,"")</f>
        <v/>
      </c>
    </row>
    <row r="728" spans="5:10">
      <c r="E728">
        <f t="shared" si="35"/>
        <v>726</v>
      </c>
      <c r="F728" s="61" t="str">
        <f>IF(FT!A728&lt;&gt;"",FT!A728*10,"")</f>
        <v/>
      </c>
      <c r="G728" s="61" t="str">
        <f>IF(FT!B728&lt;&gt;"",FT!B728*100,"")</f>
        <v/>
      </c>
      <c r="H728" s="61" t="str">
        <f t="shared" si="34"/>
        <v/>
      </c>
      <c r="I728" t="str">
        <f>IF(FT!B728&lt;&gt;"",FT!E728,"")</f>
        <v/>
      </c>
      <c r="J728" t="str">
        <f>IF(FT!B728&lt;&gt;"",FT!C728,"")</f>
        <v/>
      </c>
    </row>
    <row r="729" spans="5:10">
      <c r="E729">
        <f t="shared" si="35"/>
        <v>727</v>
      </c>
      <c r="F729" s="61" t="str">
        <f>IF(FT!A729&lt;&gt;"",FT!A729*10,"")</f>
        <v/>
      </c>
      <c r="G729" s="61" t="str">
        <f>IF(FT!B729&lt;&gt;"",FT!B729*100,"")</f>
        <v/>
      </c>
      <c r="H729" s="61" t="str">
        <f t="shared" si="34"/>
        <v/>
      </c>
      <c r="I729" t="str">
        <f>IF(FT!B729&lt;&gt;"",FT!E729,"")</f>
        <v/>
      </c>
      <c r="J729" t="str">
        <f>IF(FT!B729&lt;&gt;"",FT!C729,"")</f>
        <v/>
      </c>
    </row>
    <row r="730" spans="5:10">
      <c r="E730">
        <f t="shared" si="35"/>
        <v>728</v>
      </c>
      <c r="F730" s="61" t="str">
        <f>IF(FT!A730&lt;&gt;"",FT!A730*10,"")</f>
        <v/>
      </c>
      <c r="G730" s="61" t="str">
        <f>IF(FT!B730&lt;&gt;"",FT!B730*100,"")</f>
        <v/>
      </c>
      <c r="H730" s="61" t="str">
        <f t="shared" si="34"/>
        <v/>
      </c>
      <c r="I730" t="str">
        <f>IF(FT!B730&lt;&gt;"",FT!E730,"")</f>
        <v/>
      </c>
      <c r="J730" t="str">
        <f>IF(FT!B730&lt;&gt;"",FT!C730,"")</f>
        <v/>
      </c>
    </row>
    <row r="731" spans="5:10">
      <c r="E731">
        <f t="shared" si="35"/>
        <v>729</v>
      </c>
      <c r="F731" s="61" t="str">
        <f>IF(FT!A731&lt;&gt;"",FT!A731*10,"")</f>
        <v/>
      </c>
      <c r="G731" s="61" t="str">
        <f>IF(FT!B731&lt;&gt;"",FT!B731*100,"")</f>
        <v/>
      </c>
      <c r="H731" s="61" t="str">
        <f t="shared" si="34"/>
        <v/>
      </c>
      <c r="I731" t="str">
        <f>IF(FT!B731&lt;&gt;"",FT!E731,"")</f>
        <v/>
      </c>
      <c r="J731" t="str">
        <f>IF(FT!B731&lt;&gt;"",FT!C731,"")</f>
        <v/>
      </c>
    </row>
    <row r="732" spans="5:10">
      <c r="E732">
        <f t="shared" si="35"/>
        <v>730</v>
      </c>
      <c r="F732" s="61" t="str">
        <f>IF(FT!A732&lt;&gt;"",FT!A732*10,"")</f>
        <v/>
      </c>
      <c r="G732" s="61" t="str">
        <f>IF(FT!B732&lt;&gt;"",FT!B732*100,"")</f>
        <v/>
      </c>
      <c r="H732" s="61" t="str">
        <f t="shared" si="34"/>
        <v/>
      </c>
      <c r="I732" t="str">
        <f>IF(FT!B732&lt;&gt;"",FT!E732,"")</f>
        <v/>
      </c>
      <c r="J732" t="str">
        <f>IF(FT!B732&lt;&gt;"",FT!C732,"")</f>
        <v/>
      </c>
    </row>
    <row r="733" spans="5:10">
      <c r="E733">
        <f t="shared" si="35"/>
        <v>731</v>
      </c>
      <c r="F733" s="61" t="str">
        <f>IF(FT!A733&lt;&gt;"",FT!A733*10,"")</f>
        <v/>
      </c>
      <c r="G733" s="61" t="str">
        <f>IF(FT!B733&lt;&gt;"",FT!B733*100,"")</f>
        <v/>
      </c>
      <c r="H733" s="61" t="str">
        <f t="shared" si="34"/>
        <v/>
      </c>
      <c r="I733" t="str">
        <f>IF(FT!B733&lt;&gt;"",FT!E733,"")</f>
        <v/>
      </c>
      <c r="J733" t="str">
        <f>IF(FT!B733&lt;&gt;"",FT!C733,"")</f>
        <v/>
      </c>
    </row>
    <row r="734" spans="5:10">
      <c r="E734">
        <f t="shared" si="35"/>
        <v>732</v>
      </c>
      <c r="F734" s="61" t="str">
        <f>IF(FT!A734&lt;&gt;"",FT!A734*10,"")</f>
        <v/>
      </c>
      <c r="G734" s="61" t="str">
        <f>IF(FT!B734&lt;&gt;"",FT!B734*100,"")</f>
        <v/>
      </c>
      <c r="H734" s="61" t="str">
        <f t="shared" si="34"/>
        <v/>
      </c>
      <c r="I734" t="str">
        <f>IF(FT!B734&lt;&gt;"",FT!E734,"")</f>
        <v/>
      </c>
      <c r="J734" t="str">
        <f>IF(FT!B734&lt;&gt;"",FT!C734,"")</f>
        <v/>
      </c>
    </row>
    <row r="735" spans="5:10">
      <c r="E735">
        <f t="shared" si="35"/>
        <v>733</v>
      </c>
      <c r="F735" s="61" t="str">
        <f>IF(FT!A735&lt;&gt;"",FT!A735*10,"")</f>
        <v/>
      </c>
      <c r="G735" s="61" t="str">
        <f>IF(FT!B735&lt;&gt;"",FT!B735*100,"")</f>
        <v/>
      </c>
      <c r="H735" s="61" t="str">
        <f t="shared" si="34"/>
        <v/>
      </c>
      <c r="I735" t="str">
        <f>IF(FT!B735&lt;&gt;"",FT!E735,"")</f>
        <v/>
      </c>
      <c r="J735" t="str">
        <f>IF(FT!B735&lt;&gt;"",FT!C735,"")</f>
        <v/>
      </c>
    </row>
    <row r="736" spans="5:10">
      <c r="E736">
        <f t="shared" si="35"/>
        <v>734</v>
      </c>
      <c r="F736" s="61" t="str">
        <f>IF(FT!A736&lt;&gt;"",FT!A736*10,"")</f>
        <v/>
      </c>
      <c r="G736" s="61" t="str">
        <f>IF(FT!B736&lt;&gt;"",FT!B736*100,"")</f>
        <v/>
      </c>
      <c r="H736" s="61" t="str">
        <f t="shared" si="34"/>
        <v/>
      </c>
      <c r="I736" t="str">
        <f>IF(FT!B736&lt;&gt;"",FT!E736,"")</f>
        <v/>
      </c>
      <c r="J736" t="str">
        <f>IF(FT!B736&lt;&gt;"",FT!C736,"")</f>
        <v/>
      </c>
    </row>
    <row r="737" spans="5:10">
      <c r="E737">
        <f t="shared" si="35"/>
        <v>735</v>
      </c>
      <c r="F737" s="61" t="str">
        <f>IF(FT!A737&lt;&gt;"",FT!A737*10,"")</f>
        <v/>
      </c>
      <c r="G737" s="61" t="str">
        <f>IF(FT!B737&lt;&gt;"",FT!B737*100,"")</f>
        <v/>
      </c>
      <c r="H737" s="61" t="str">
        <f t="shared" si="34"/>
        <v/>
      </c>
      <c r="I737" t="str">
        <f>IF(FT!B737&lt;&gt;"",FT!E737,"")</f>
        <v/>
      </c>
      <c r="J737" t="str">
        <f>IF(FT!B737&lt;&gt;"",FT!C737,"")</f>
        <v/>
      </c>
    </row>
    <row r="738" spans="5:10">
      <c r="E738">
        <f t="shared" si="35"/>
        <v>736</v>
      </c>
      <c r="F738" s="61" t="str">
        <f>IF(FT!A738&lt;&gt;"",FT!A738*10,"")</f>
        <v/>
      </c>
      <c r="G738" s="61" t="str">
        <f>IF(FT!B738&lt;&gt;"",FT!B738*100,"")</f>
        <v/>
      </c>
      <c r="H738" s="61" t="str">
        <f t="shared" si="34"/>
        <v/>
      </c>
      <c r="I738" t="str">
        <f>IF(FT!B738&lt;&gt;"",FT!E738,"")</f>
        <v/>
      </c>
      <c r="J738" t="str">
        <f>IF(FT!B738&lt;&gt;"",FT!C738,"")</f>
        <v/>
      </c>
    </row>
    <row r="739" spans="5:10">
      <c r="E739">
        <f t="shared" si="35"/>
        <v>737</v>
      </c>
      <c r="F739" s="61" t="str">
        <f>IF(FT!A739&lt;&gt;"",FT!A739*10,"")</f>
        <v/>
      </c>
      <c r="G739" s="61" t="str">
        <f>IF(FT!B739&lt;&gt;"",FT!B739*100,"")</f>
        <v/>
      </c>
      <c r="H739" s="61" t="str">
        <f t="shared" si="34"/>
        <v/>
      </c>
      <c r="I739" t="str">
        <f>IF(FT!B739&lt;&gt;"",FT!E739,"")</f>
        <v/>
      </c>
      <c r="J739" t="str">
        <f>IF(FT!B739&lt;&gt;"",FT!C739,"")</f>
        <v/>
      </c>
    </row>
    <row r="740" spans="5:10">
      <c r="E740">
        <f t="shared" si="35"/>
        <v>738</v>
      </c>
      <c r="F740" s="61" t="str">
        <f>IF(FT!A740&lt;&gt;"",FT!A740*10,"")</f>
        <v/>
      </c>
      <c r="G740" s="61" t="str">
        <f>IF(FT!B740&lt;&gt;"",FT!B740*100,"")</f>
        <v/>
      </c>
      <c r="H740" s="61" t="str">
        <f t="shared" si="34"/>
        <v/>
      </c>
      <c r="I740" t="str">
        <f>IF(FT!B740&lt;&gt;"",FT!E740,"")</f>
        <v/>
      </c>
      <c r="J740" t="str">
        <f>IF(FT!B740&lt;&gt;"",FT!C740,"")</f>
        <v/>
      </c>
    </row>
    <row r="741" spans="5:10">
      <c r="E741">
        <f t="shared" si="35"/>
        <v>739</v>
      </c>
      <c r="F741" s="61" t="str">
        <f>IF(FT!A741&lt;&gt;"",FT!A741*10,"")</f>
        <v/>
      </c>
      <c r="G741" s="61" t="str">
        <f>IF(FT!B741&lt;&gt;"",FT!B741*100,"")</f>
        <v/>
      </c>
      <c r="H741" s="61" t="str">
        <f t="shared" si="34"/>
        <v/>
      </c>
      <c r="I741" t="str">
        <f>IF(FT!B741&lt;&gt;"",FT!E741,"")</f>
        <v/>
      </c>
      <c r="J741" t="str">
        <f>IF(FT!B741&lt;&gt;"",FT!C741,"")</f>
        <v/>
      </c>
    </row>
    <row r="742" spans="5:10">
      <c r="E742">
        <f t="shared" si="35"/>
        <v>740</v>
      </c>
      <c r="F742" s="61" t="str">
        <f>IF(FT!A742&lt;&gt;"",FT!A742*10,"")</f>
        <v/>
      </c>
      <c r="G742" s="61" t="str">
        <f>IF(FT!B742&lt;&gt;"",FT!B742*100,"")</f>
        <v/>
      </c>
      <c r="H742" s="61" t="str">
        <f t="shared" si="34"/>
        <v/>
      </c>
      <c r="I742" t="str">
        <f>IF(FT!B742&lt;&gt;"",FT!E742,"")</f>
        <v/>
      </c>
      <c r="J742" t="str">
        <f>IF(FT!B742&lt;&gt;"",FT!C742,"")</f>
        <v/>
      </c>
    </row>
    <row r="743" spans="5:10">
      <c r="E743">
        <f t="shared" si="35"/>
        <v>741</v>
      </c>
      <c r="F743" s="61" t="str">
        <f>IF(FT!A743&lt;&gt;"",FT!A743*10,"")</f>
        <v/>
      </c>
      <c r="G743" s="61" t="str">
        <f>IF(FT!B743&lt;&gt;"",FT!B743*100,"")</f>
        <v/>
      </c>
      <c r="H743" s="61" t="str">
        <f t="shared" si="34"/>
        <v/>
      </c>
      <c r="I743" t="str">
        <f>IF(FT!B743&lt;&gt;"",FT!E743,"")</f>
        <v/>
      </c>
      <c r="J743" t="str">
        <f>IF(FT!B743&lt;&gt;"",FT!C743,"")</f>
        <v/>
      </c>
    </row>
    <row r="744" spans="5:10">
      <c r="E744">
        <f t="shared" si="35"/>
        <v>742</v>
      </c>
      <c r="F744" s="61" t="str">
        <f>IF(FT!A744&lt;&gt;"",FT!A744*10,"")</f>
        <v/>
      </c>
      <c r="G744" s="61" t="str">
        <f>IF(FT!B744&lt;&gt;"",FT!B744*100,"")</f>
        <v/>
      </c>
      <c r="H744" s="61" t="str">
        <f t="shared" si="34"/>
        <v/>
      </c>
      <c r="I744" t="str">
        <f>IF(FT!B744&lt;&gt;"",FT!E744,"")</f>
        <v/>
      </c>
      <c r="J744" t="str">
        <f>IF(FT!B744&lt;&gt;"",FT!C744,"")</f>
        <v/>
      </c>
    </row>
    <row r="745" spans="5:10">
      <c r="E745">
        <f t="shared" si="35"/>
        <v>743</v>
      </c>
      <c r="F745" s="61" t="str">
        <f>IF(FT!A745&lt;&gt;"",FT!A745*10,"")</f>
        <v/>
      </c>
      <c r="G745" s="61" t="str">
        <f>IF(FT!B745&lt;&gt;"",FT!B745*100,"")</f>
        <v/>
      </c>
      <c r="H745" s="61" t="str">
        <f t="shared" si="34"/>
        <v/>
      </c>
      <c r="I745" t="str">
        <f>IF(FT!B745&lt;&gt;"",FT!E745,"")</f>
        <v/>
      </c>
      <c r="J745" t="str">
        <f>IF(FT!B745&lt;&gt;"",FT!C745,"")</f>
        <v/>
      </c>
    </row>
    <row r="746" spans="5:10">
      <c r="E746">
        <f t="shared" si="35"/>
        <v>744</v>
      </c>
      <c r="F746" s="61" t="str">
        <f>IF(FT!A746&lt;&gt;"",FT!A746*10,"")</f>
        <v/>
      </c>
      <c r="G746" s="61" t="str">
        <f>IF(FT!B746&lt;&gt;"",FT!B746*100,"")</f>
        <v/>
      </c>
      <c r="H746" s="61" t="str">
        <f t="shared" si="34"/>
        <v/>
      </c>
      <c r="I746" t="str">
        <f>IF(FT!B746&lt;&gt;"",FT!E746,"")</f>
        <v/>
      </c>
      <c r="J746" t="str">
        <f>IF(FT!B746&lt;&gt;"",FT!C746,"")</f>
        <v/>
      </c>
    </row>
    <row r="747" spans="5:10">
      <c r="E747">
        <f t="shared" si="35"/>
        <v>745</v>
      </c>
      <c r="F747" s="61" t="str">
        <f>IF(FT!A747&lt;&gt;"",FT!A747*10,"")</f>
        <v/>
      </c>
      <c r="G747" s="61" t="str">
        <f>IF(FT!B747&lt;&gt;"",FT!B747*100,"")</f>
        <v/>
      </c>
      <c r="H747" s="61" t="str">
        <f t="shared" si="34"/>
        <v/>
      </c>
      <c r="I747" t="str">
        <f>IF(FT!B747&lt;&gt;"",FT!E747,"")</f>
        <v/>
      </c>
      <c r="J747" t="str">
        <f>IF(FT!B747&lt;&gt;"",FT!C747,"")</f>
        <v/>
      </c>
    </row>
    <row r="748" spans="5:10">
      <c r="E748">
        <f t="shared" si="35"/>
        <v>746</v>
      </c>
      <c r="F748" s="61" t="str">
        <f>IF(FT!A748&lt;&gt;"",FT!A748*10,"")</f>
        <v/>
      </c>
      <c r="G748" s="61" t="str">
        <f>IF(FT!B748&lt;&gt;"",FT!B748*100,"")</f>
        <v/>
      </c>
      <c r="H748" s="61" t="str">
        <f t="shared" si="34"/>
        <v/>
      </c>
      <c r="I748" t="str">
        <f>IF(FT!B748&lt;&gt;"",FT!E748,"")</f>
        <v/>
      </c>
      <c r="J748" t="str">
        <f>IF(FT!B748&lt;&gt;"",FT!C748,"")</f>
        <v/>
      </c>
    </row>
    <row r="749" spans="5:10">
      <c r="E749">
        <f t="shared" si="35"/>
        <v>747</v>
      </c>
      <c r="F749" s="61" t="str">
        <f>IF(FT!A749&lt;&gt;"",FT!A749*10,"")</f>
        <v/>
      </c>
      <c r="G749" s="61" t="str">
        <f>IF(FT!B749&lt;&gt;"",FT!B749*100,"")</f>
        <v/>
      </c>
      <c r="H749" s="61" t="str">
        <f t="shared" si="34"/>
        <v/>
      </c>
      <c r="I749" t="str">
        <f>IF(FT!B749&lt;&gt;"",FT!E749,"")</f>
        <v/>
      </c>
      <c r="J749" t="str">
        <f>IF(FT!B749&lt;&gt;"",FT!C749,"")</f>
        <v/>
      </c>
    </row>
    <row r="750" spans="5:10">
      <c r="E750">
        <f t="shared" si="35"/>
        <v>748</v>
      </c>
      <c r="F750" s="61" t="str">
        <f>IF(FT!A750&lt;&gt;"",FT!A750*10,"")</f>
        <v/>
      </c>
      <c r="G750" s="61" t="str">
        <f>IF(FT!B750&lt;&gt;"",FT!B750*100,"")</f>
        <v/>
      </c>
      <c r="H750" s="61" t="str">
        <f t="shared" si="34"/>
        <v/>
      </c>
      <c r="I750" t="str">
        <f>IF(FT!B750&lt;&gt;"",FT!E750,"")</f>
        <v/>
      </c>
      <c r="J750" t="str">
        <f>IF(FT!B750&lt;&gt;"",FT!C750,"")</f>
        <v/>
      </c>
    </row>
    <row r="751" spans="5:10">
      <c r="E751">
        <f t="shared" si="35"/>
        <v>749</v>
      </c>
      <c r="F751" s="61" t="str">
        <f>IF(FT!A751&lt;&gt;"",FT!A751*10,"")</f>
        <v/>
      </c>
      <c r="G751" s="61" t="str">
        <f>IF(FT!B751&lt;&gt;"",FT!B751*100,"")</f>
        <v/>
      </c>
      <c r="H751" s="61" t="str">
        <f t="shared" si="34"/>
        <v/>
      </c>
      <c r="I751" t="str">
        <f>IF(FT!B751&lt;&gt;"",FT!E751,"")</f>
        <v/>
      </c>
      <c r="J751" t="str">
        <f>IF(FT!B751&lt;&gt;"",FT!C751,"")</f>
        <v/>
      </c>
    </row>
    <row r="752" spans="5:10">
      <c r="E752">
        <f t="shared" si="35"/>
        <v>750</v>
      </c>
      <c r="F752" s="61" t="str">
        <f>IF(FT!A752&lt;&gt;"",FT!A752*10,"")</f>
        <v/>
      </c>
      <c r="G752" s="61" t="str">
        <f>IF(FT!B752&lt;&gt;"",FT!B752*100,"")</f>
        <v/>
      </c>
      <c r="H752" s="61" t="str">
        <f t="shared" si="34"/>
        <v/>
      </c>
      <c r="I752" t="str">
        <f>IF(FT!B752&lt;&gt;"",FT!E752,"")</f>
        <v/>
      </c>
      <c r="J752" t="str">
        <f>IF(FT!B752&lt;&gt;"",FT!C752,"")</f>
        <v/>
      </c>
    </row>
    <row r="753" spans="5:10">
      <c r="E753">
        <f t="shared" si="35"/>
        <v>751</v>
      </c>
      <c r="F753" s="61" t="str">
        <f>IF(FT!A753&lt;&gt;"",FT!A753*10,"")</f>
        <v/>
      </c>
      <c r="G753" s="61" t="str">
        <f>IF(FT!B753&lt;&gt;"",FT!B753*100,"")</f>
        <v/>
      </c>
      <c r="H753" s="61" t="str">
        <f t="shared" si="34"/>
        <v/>
      </c>
      <c r="I753" t="str">
        <f>IF(FT!B753&lt;&gt;"",FT!E753,"")</f>
        <v/>
      </c>
      <c r="J753" t="str">
        <f>IF(FT!B753&lt;&gt;"",FT!C753,"")</f>
        <v/>
      </c>
    </row>
    <row r="754" spans="5:10">
      <c r="E754">
        <f t="shared" si="35"/>
        <v>752</v>
      </c>
      <c r="F754" s="61" t="str">
        <f>IF(FT!A754&lt;&gt;"",FT!A754*10,"")</f>
        <v/>
      </c>
      <c r="G754" s="61" t="str">
        <f>IF(FT!B754&lt;&gt;"",FT!B754*100,"")</f>
        <v/>
      </c>
      <c r="H754" s="61" t="str">
        <f t="shared" si="34"/>
        <v/>
      </c>
      <c r="I754" t="str">
        <f>IF(FT!B754&lt;&gt;"",FT!E754,"")</f>
        <v/>
      </c>
      <c r="J754" t="str">
        <f>IF(FT!B754&lt;&gt;"",FT!C754,"")</f>
        <v/>
      </c>
    </row>
    <row r="755" spans="5:10">
      <c r="E755">
        <f t="shared" si="35"/>
        <v>753</v>
      </c>
      <c r="F755" s="61" t="str">
        <f>IF(FT!A755&lt;&gt;"",FT!A755*10,"")</f>
        <v/>
      </c>
      <c r="G755" s="61" t="str">
        <f>IF(FT!B755&lt;&gt;"",FT!B755*100,"")</f>
        <v/>
      </c>
      <c r="H755" s="61" t="str">
        <f t="shared" si="34"/>
        <v/>
      </c>
      <c r="I755" t="str">
        <f>IF(FT!B755&lt;&gt;"",FT!E755,"")</f>
        <v/>
      </c>
      <c r="J755" t="str">
        <f>IF(FT!B755&lt;&gt;"",FT!C755,"")</f>
        <v/>
      </c>
    </row>
    <row r="756" spans="5:10">
      <c r="E756">
        <f t="shared" si="35"/>
        <v>754</v>
      </c>
      <c r="F756" s="61" t="str">
        <f>IF(FT!A756&lt;&gt;"",FT!A756*10,"")</f>
        <v/>
      </c>
      <c r="G756" s="61" t="str">
        <f>IF(FT!B756&lt;&gt;"",FT!B756*100,"")</f>
        <v/>
      </c>
      <c r="H756" s="61" t="str">
        <f t="shared" si="34"/>
        <v/>
      </c>
      <c r="I756" t="str">
        <f>IF(FT!B756&lt;&gt;"",FT!E756,"")</f>
        <v/>
      </c>
      <c r="J756" t="str">
        <f>IF(FT!B756&lt;&gt;"",FT!C756,"")</f>
        <v/>
      </c>
    </row>
    <row r="757" spans="5:10">
      <c r="E757">
        <f t="shared" si="35"/>
        <v>755</v>
      </c>
      <c r="F757" s="61" t="str">
        <f>IF(FT!A757&lt;&gt;"",FT!A757*10,"")</f>
        <v/>
      </c>
      <c r="G757" s="61" t="str">
        <f>IF(FT!B757&lt;&gt;"",FT!B757*100,"")</f>
        <v/>
      </c>
      <c r="H757" s="61" t="str">
        <f t="shared" si="34"/>
        <v/>
      </c>
      <c r="I757" t="str">
        <f>IF(FT!B757&lt;&gt;"",FT!E757,"")</f>
        <v/>
      </c>
      <c r="J757" t="str">
        <f>IF(FT!B757&lt;&gt;"",FT!C757,"")</f>
        <v/>
      </c>
    </row>
    <row r="758" spans="5:10">
      <c r="E758">
        <f t="shared" si="35"/>
        <v>756</v>
      </c>
      <c r="F758" s="61" t="str">
        <f>IF(FT!A758&lt;&gt;"",FT!A758*10,"")</f>
        <v/>
      </c>
      <c r="G758" s="61" t="str">
        <f>IF(FT!B758&lt;&gt;"",FT!B758*100,"")</f>
        <v/>
      </c>
      <c r="H758" s="61" t="str">
        <f t="shared" si="34"/>
        <v/>
      </c>
      <c r="I758" t="str">
        <f>IF(FT!B758&lt;&gt;"",FT!E758,"")</f>
        <v/>
      </c>
      <c r="J758" t="str">
        <f>IF(FT!B758&lt;&gt;"",FT!C758,"")</f>
        <v/>
      </c>
    </row>
    <row r="759" spans="5:10">
      <c r="E759">
        <f t="shared" si="35"/>
        <v>757</v>
      </c>
      <c r="F759" s="61" t="str">
        <f>IF(FT!A759&lt;&gt;"",FT!A759*10,"")</f>
        <v/>
      </c>
      <c r="G759" s="61" t="str">
        <f>IF(FT!B759&lt;&gt;"",FT!B759*100,"")</f>
        <v/>
      </c>
      <c r="H759" s="61" t="str">
        <f t="shared" si="34"/>
        <v/>
      </c>
      <c r="I759" t="str">
        <f>IF(FT!B759&lt;&gt;"",FT!E759,"")</f>
        <v/>
      </c>
      <c r="J759" t="str">
        <f>IF(FT!B759&lt;&gt;"",FT!C759,"")</f>
        <v/>
      </c>
    </row>
    <row r="760" spans="5:10">
      <c r="E760">
        <f t="shared" si="35"/>
        <v>758</v>
      </c>
      <c r="F760" s="61" t="str">
        <f>IF(FT!A760&lt;&gt;"",FT!A760*10,"")</f>
        <v/>
      </c>
      <c r="G760" s="61" t="str">
        <f>IF(FT!B760&lt;&gt;"",FT!B760*100,"")</f>
        <v/>
      </c>
      <c r="H760" s="61" t="str">
        <f t="shared" si="34"/>
        <v/>
      </c>
      <c r="I760" t="str">
        <f>IF(FT!B760&lt;&gt;"",FT!E760,"")</f>
        <v/>
      </c>
      <c r="J760" t="str">
        <f>IF(FT!B760&lt;&gt;"",FT!C760,"")</f>
        <v/>
      </c>
    </row>
    <row r="761" spans="5:10">
      <c r="E761">
        <f t="shared" si="35"/>
        <v>759</v>
      </c>
      <c r="F761" s="61" t="str">
        <f>IF(FT!A761&lt;&gt;"",FT!A761*10,"")</f>
        <v/>
      </c>
      <c r="G761" s="61" t="str">
        <f>IF(FT!B761&lt;&gt;"",FT!B761*100,"")</f>
        <v/>
      </c>
      <c r="H761" s="61" t="str">
        <f t="shared" si="34"/>
        <v/>
      </c>
      <c r="I761" t="str">
        <f>IF(FT!B761&lt;&gt;"",FT!E761,"")</f>
        <v/>
      </c>
      <c r="J761" t="str">
        <f>IF(FT!B761&lt;&gt;"",FT!C761,"")</f>
        <v/>
      </c>
    </row>
    <row r="762" spans="5:10">
      <c r="E762">
        <f t="shared" si="35"/>
        <v>760</v>
      </c>
      <c r="F762" s="61" t="str">
        <f>IF(FT!A762&lt;&gt;"",FT!A762*10,"")</f>
        <v/>
      </c>
      <c r="G762" s="61" t="str">
        <f>IF(FT!B762&lt;&gt;"",FT!B762*100,"")</f>
        <v/>
      </c>
      <c r="H762" s="61" t="str">
        <f t="shared" si="34"/>
        <v/>
      </c>
      <c r="I762" t="str">
        <f>IF(FT!B762&lt;&gt;"",FT!E762,"")</f>
        <v/>
      </c>
      <c r="J762" t="str">
        <f>IF(FT!B762&lt;&gt;"",FT!C762,"")</f>
        <v/>
      </c>
    </row>
    <row r="763" spans="5:10">
      <c r="E763">
        <f t="shared" si="35"/>
        <v>761</v>
      </c>
      <c r="F763" s="61" t="str">
        <f>IF(FT!A763&lt;&gt;"",FT!A763*10,"")</f>
        <v/>
      </c>
      <c r="G763" s="61" t="str">
        <f>IF(FT!B763&lt;&gt;"",FT!B763*100,"")</f>
        <v/>
      </c>
      <c r="H763" s="61" t="str">
        <f t="shared" si="34"/>
        <v/>
      </c>
      <c r="I763" t="str">
        <f>IF(FT!B763&lt;&gt;"",FT!E763,"")</f>
        <v/>
      </c>
      <c r="J763" t="str">
        <f>IF(FT!B763&lt;&gt;"",FT!C763,"")</f>
        <v/>
      </c>
    </row>
    <row r="764" spans="5:10">
      <c r="E764">
        <f t="shared" si="35"/>
        <v>762</v>
      </c>
      <c r="F764" s="61" t="str">
        <f>IF(FT!A764&lt;&gt;"",FT!A764*10,"")</f>
        <v/>
      </c>
      <c r="G764" s="61" t="str">
        <f>IF(FT!B764&lt;&gt;"",FT!B764*100,"")</f>
        <v/>
      </c>
      <c r="H764" s="61" t="str">
        <f t="shared" si="34"/>
        <v/>
      </c>
      <c r="I764" t="str">
        <f>IF(FT!B764&lt;&gt;"",FT!E764,"")</f>
        <v/>
      </c>
      <c r="J764" t="str">
        <f>IF(FT!B764&lt;&gt;"",FT!C764,"")</f>
        <v/>
      </c>
    </row>
    <row r="765" spans="5:10">
      <c r="E765">
        <f t="shared" si="35"/>
        <v>763</v>
      </c>
      <c r="F765" s="61" t="str">
        <f>IF(FT!A765&lt;&gt;"",FT!A765*10,"")</f>
        <v/>
      </c>
      <c r="G765" s="61" t="str">
        <f>IF(FT!B765&lt;&gt;"",FT!B765*100,"")</f>
        <v/>
      </c>
      <c r="H765" s="61" t="str">
        <f t="shared" si="34"/>
        <v/>
      </c>
      <c r="I765" t="str">
        <f>IF(FT!B765&lt;&gt;"",FT!E765,"")</f>
        <v/>
      </c>
      <c r="J765" t="str">
        <f>IF(FT!B765&lt;&gt;"",FT!C765,"")</f>
        <v/>
      </c>
    </row>
    <row r="766" spans="5:10">
      <c r="E766">
        <f t="shared" si="35"/>
        <v>764</v>
      </c>
      <c r="F766" s="61" t="str">
        <f>IF(FT!A766&lt;&gt;"",FT!A766*10,"")</f>
        <v/>
      </c>
      <c r="G766" s="61" t="str">
        <f>IF(FT!B766&lt;&gt;"",FT!B766*100,"")</f>
        <v/>
      </c>
      <c r="H766" s="61" t="str">
        <f t="shared" si="34"/>
        <v/>
      </c>
      <c r="I766" t="str">
        <f>IF(FT!B766&lt;&gt;"",FT!E766,"")</f>
        <v/>
      </c>
      <c r="J766" t="str">
        <f>IF(FT!B766&lt;&gt;"",FT!C766,"")</f>
        <v/>
      </c>
    </row>
    <row r="767" spans="5:10">
      <c r="E767">
        <f t="shared" si="35"/>
        <v>765</v>
      </c>
      <c r="F767" s="61" t="str">
        <f>IF(FT!A767&lt;&gt;"",FT!A767*10,"")</f>
        <v/>
      </c>
      <c r="G767" s="61" t="str">
        <f>IF(FT!B767&lt;&gt;"",FT!B767*100,"")</f>
        <v/>
      </c>
      <c r="H767" s="61" t="str">
        <f t="shared" si="34"/>
        <v/>
      </c>
      <c r="I767" t="str">
        <f>IF(FT!B767&lt;&gt;"",FT!E767,"")</f>
        <v/>
      </c>
      <c r="J767" t="str">
        <f>IF(FT!B767&lt;&gt;"",FT!C767,"")</f>
        <v/>
      </c>
    </row>
    <row r="768" spans="5:10">
      <c r="E768">
        <f t="shared" si="35"/>
        <v>766</v>
      </c>
      <c r="F768" s="61" t="str">
        <f>IF(FT!A768&lt;&gt;"",FT!A768*10,"")</f>
        <v/>
      </c>
      <c r="G768" s="61" t="str">
        <f>IF(FT!B768&lt;&gt;"",FT!B768*100,"")</f>
        <v/>
      </c>
      <c r="H768" s="61" t="str">
        <f t="shared" si="34"/>
        <v/>
      </c>
      <c r="I768" t="str">
        <f>IF(FT!B768&lt;&gt;"",FT!E768,"")</f>
        <v/>
      </c>
      <c r="J768" t="str">
        <f>IF(FT!B768&lt;&gt;"",FT!C768,"")</f>
        <v/>
      </c>
    </row>
    <row r="769" spans="5:10">
      <c r="E769">
        <f t="shared" si="35"/>
        <v>767</v>
      </c>
      <c r="F769" s="61" t="str">
        <f>IF(FT!A769&lt;&gt;"",FT!A769*10,"")</f>
        <v/>
      </c>
      <c r="G769" s="61" t="str">
        <f>IF(FT!B769&lt;&gt;"",FT!B769*100,"")</f>
        <v/>
      </c>
      <c r="H769" s="61" t="str">
        <f t="shared" si="34"/>
        <v/>
      </c>
      <c r="I769" t="str">
        <f>IF(FT!B769&lt;&gt;"",FT!E769,"")</f>
        <v/>
      </c>
      <c r="J769" t="str">
        <f>IF(FT!B769&lt;&gt;"",FT!C769,"")</f>
        <v/>
      </c>
    </row>
    <row r="770" spans="5:10">
      <c r="E770">
        <f t="shared" si="35"/>
        <v>768</v>
      </c>
      <c r="F770" s="61" t="str">
        <f>IF(FT!A770&lt;&gt;"",FT!A770*10,"")</f>
        <v/>
      </c>
      <c r="G770" s="61" t="str">
        <f>IF(FT!B770&lt;&gt;"",FT!B770*100,"")</f>
        <v/>
      </c>
      <c r="H770" s="61" t="str">
        <f t="shared" si="34"/>
        <v/>
      </c>
      <c r="I770" t="str">
        <f>IF(FT!B770&lt;&gt;"",FT!E770,"")</f>
        <v/>
      </c>
      <c r="J770" t="str">
        <f>IF(FT!B770&lt;&gt;"",FT!C770,"")</f>
        <v/>
      </c>
    </row>
    <row r="771" spans="5:10">
      <c r="E771">
        <f t="shared" si="35"/>
        <v>769</v>
      </c>
      <c r="F771" s="61" t="str">
        <f>IF(FT!A771&lt;&gt;"",FT!A771*10,"")</f>
        <v/>
      </c>
      <c r="G771" s="61" t="str">
        <f>IF(FT!B771&lt;&gt;"",FT!B771*100,"")</f>
        <v/>
      </c>
      <c r="H771" s="61" t="str">
        <f t="shared" ref="H771:H834" si="36">(IF(F771&lt;&gt;"",1,""))</f>
        <v/>
      </c>
      <c r="I771" t="str">
        <f>IF(FT!B771&lt;&gt;"",FT!E771,"")</f>
        <v/>
      </c>
      <c r="J771" t="str">
        <f>IF(FT!B771&lt;&gt;"",FT!C771,"")</f>
        <v/>
      </c>
    </row>
    <row r="772" spans="5:10">
      <c r="E772">
        <f t="shared" ref="E772:E835" si="37">E771+1</f>
        <v>770</v>
      </c>
      <c r="F772" s="61" t="str">
        <f>IF(FT!A772&lt;&gt;"",FT!A772*10,"")</f>
        <v/>
      </c>
      <c r="G772" s="61" t="str">
        <f>IF(FT!B772&lt;&gt;"",FT!B772*100,"")</f>
        <v/>
      </c>
      <c r="H772" s="61" t="str">
        <f t="shared" si="36"/>
        <v/>
      </c>
      <c r="I772" t="str">
        <f>IF(FT!B772&lt;&gt;"",FT!E772,"")</f>
        <v/>
      </c>
      <c r="J772" t="str">
        <f>IF(FT!B772&lt;&gt;"",FT!C772,"")</f>
        <v/>
      </c>
    </row>
    <row r="773" spans="5:10">
      <c r="E773">
        <f t="shared" si="37"/>
        <v>771</v>
      </c>
      <c r="F773" s="61" t="str">
        <f>IF(FT!A773&lt;&gt;"",FT!A773*10,"")</f>
        <v/>
      </c>
      <c r="G773" s="61" t="str">
        <f>IF(FT!B773&lt;&gt;"",FT!B773*100,"")</f>
        <v/>
      </c>
      <c r="H773" s="61" t="str">
        <f t="shared" si="36"/>
        <v/>
      </c>
      <c r="I773" t="str">
        <f>IF(FT!B773&lt;&gt;"",FT!E773,"")</f>
        <v/>
      </c>
      <c r="J773" t="str">
        <f>IF(FT!B773&lt;&gt;"",FT!C773,"")</f>
        <v/>
      </c>
    </row>
    <row r="774" spans="5:10">
      <c r="E774">
        <f t="shared" si="37"/>
        <v>772</v>
      </c>
      <c r="F774" s="61" t="str">
        <f>IF(FT!A774&lt;&gt;"",FT!A774*10,"")</f>
        <v/>
      </c>
      <c r="G774" s="61" t="str">
        <f>IF(FT!B774&lt;&gt;"",FT!B774*100,"")</f>
        <v/>
      </c>
      <c r="H774" s="61" t="str">
        <f t="shared" si="36"/>
        <v/>
      </c>
      <c r="I774" t="str">
        <f>IF(FT!B774&lt;&gt;"",FT!E774,"")</f>
        <v/>
      </c>
      <c r="J774" t="str">
        <f>IF(FT!B774&lt;&gt;"",FT!C774,"")</f>
        <v/>
      </c>
    </row>
    <row r="775" spans="5:10">
      <c r="E775">
        <f t="shared" si="37"/>
        <v>773</v>
      </c>
      <c r="F775" s="61" t="str">
        <f>IF(FT!A775&lt;&gt;"",FT!A775*10,"")</f>
        <v/>
      </c>
      <c r="G775" s="61" t="str">
        <f>IF(FT!B775&lt;&gt;"",FT!B775*100,"")</f>
        <v/>
      </c>
      <c r="H775" s="61" t="str">
        <f t="shared" si="36"/>
        <v/>
      </c>
      <c r="I775" t="str">
        <f>IF(FT!B775&lt;&gt;"",FT!E775,"")</f>
        <v/>
      </c>
      <c r="J775" t="str">
        <f>IF(FT!B775&lt;&gt;"",FT!C775,"")</f>
        <v/>
      </c>
    </row>
    <row r="776" spans="5:10">
      <c r="E776">
        <f t="shared" si="37"/>
        <v>774</v>
      </c>
      <c r="F776" s="61" t="str">
        <f>IF(FT!A776&lt;&gt;"",FT!A776*10,"")</f>
        <v/>
      </c>
      <c r="G776" s="61" t="str">
        <f>IF(FT!B776&lt;&gt;"",FT!B776*100,"")</f>
        <v/>
      </c>
      <c r="H776" s="61" t="str">
        <f t="shared" si="36"/>
        <v/>
      </c>
      <c r="I776" t="str">
        <f>IF(FT!B776&lt;&gt;"",FT!E776,"")</f>
        <v/>
      </c>
      <c r="J776" t="str">
        <f>IF(FT!B776&lt;&gt;"",FT!C776,"")</f>
        <v/>
      </c>
    </row>
    <row r="777" spans="5:10">
      <c r="E777">
        <f t="shared" si="37"/>
        <v>775</v>
      </c>
      <c r="F777" s="61" t="str">
        <f>IF(FT!A777&lt;&gt;"",FT!A777*10,"")</f>
        <v/>
      </c>
      <c r="G777" s="61" t="str">
        <f>IF(FT!B777&lt;&gt;"",FT!B777*100,"")</f>
        <v/>
      </c>
      <c r="H777" s="61" t="str">
        <f t="shared" si="36"/>
        <v/>
      </c>
      <c r="I777" t="str">
        <f>IF(FT!B777&lt;&gt;"",FT!E777,"")</f>
        <v/>
      </c>
      <c r="J777" t="str">
        <f>IF(FT!B777&lt;&gt;"",FT!C777,"")</f>
        <v/>
      </c>
    </row>
    <row r="778" spans="5:10">
      <c r="E778">
        <f t="shared" si="37"/>
        <v>776</v>
      </c>
      <c r="F778" s="61" t="str">
        <f>IF(FT!A778&lt;&gt;"",FT!A778*10,"")</f>
        <v/>
      </c>
      <c r="G778" s="61" t="str">
        <f>IF(FT!B778&lt;&gt;"",FT!B778*100,"")</f>
        <v/>
      </c>
      <c r="H778" s="61" t="str">
        <f t="shared" si="36"/>
        <v/>
      </c>
      <c r="I778" t="str">
        <f>IF(FT!B778&lt;&gt;"",FT!E778,"")</f>
        <v/>
      </c>
      <c r="J778" t="str">
        <f>IF(FT!B778&lt;&gt;"",FT!C778,"")</f>
        <v/>
      </c>
    </row>
    <row r="779" spans="5:10">
      <c r="E779">
        <f t="shared" si="37"/>
        <v>777</v>
      </c>
      <c r="F779" s="61" t="str">
        <f>IF(FT!A779&lt;&gt;"",FT!A779*10,"")</f>
        <v/>
      </c>
      <c r="G779" s="61" t="str">
        <f>IF(FT!B779&lt;&gt;"",FT!B779*100,"")</f>
        <v/>
      </c>
      <c r="H779" s="61" t="str">
        <f t="shared" si="36"/>
        <v/>
      </c>
      <c r="I779" t="str">
        <f>IF(FT!B779&lt;&gt;"",FT!E779,"")</f>
        <v/>
      </c>
      <c r="J779" t="str">
        <f>IF(FT!B779&lt;&gt;"",FT!C779,"")</f>
        <v/>
      </c>
    </row>
    <row r="780" spans="5:10">
      <c r="E780">
        <f t="shared" si="37"/>
        <v>778</v>
      </c>
      <c r="F780" s="61" t="str">
        <f>IF(FT!A780&lt;&gt;"",FT!A780*10,"")</f>
        <v/>
      </c>
      <c r="G780" s="61" t="str">
        <f>IF(FT!B780&lt;&gt;"",FT!B780*100,"")</f>
        <v/>
      </c>
      <c r="H780" s="61" t="str">
        <f t="shared" si="36"/>
        <v/>
      </c>
      <c r="I780" t="str">
        <f>IF(FT!B780&lt;&gt;"",FT!E780,"")</f>
        <v/>
      </c>
      <c r="J780" t="str">
        <f>IF(FT!B780&lt;&gt;"",FT!C780,"")</f>
        <v/>
      </c>
    </row>
    <row r="781" spans="5:10">
      <c r="E781">
        <f t="shared" si="37"/>
        <v>779</v>
      </c>
      <c r="F781" s="61" t="str">
        <f>IF(FT!A781&lt;&gt;"",FT!A781*10,"")</f>
        <v/>
      </c>
      <c r="G781" s="61" t="str">
        <f>IF(FT!B781&lt;&gt;"",FT!B781*100,"")</f>
        <v/>
      </c>
      <c r="H781" s="61" t="str">
        <f t="shared" si="36"/>
        <v/>
      </c>
      <c r="I781" t="str">
        <f>IF(FT!B781&lt;&gt;"",FT!E781,"")</f>
        <v/>
      </c>
      <c r="J781" t="str">
        <f>IF(FT!B781&lt;&gt;"",FT!C781,"")</f>
        <v/>
      </c>
    </row>
    <row r="782" spans="5:10">
      <c r="E782">
        <f t="shared" si="37"/>
        <v>780</v>
      </c>
      <c r="F782" s="61" t="str">
        <f>IF(FT!A782&lt;&gt;"",FT!A782*10,"")</f>
        <v/>
      </c>
      <c r="G782" s="61" t="str">
        <f>IF(FT!B782&lt;&gt;"",FT!B782*100,"")</f>
        <v/>
      </c>
      <c r="H782" s="61" t="str">
        <f t="shared" si="36"/>
        <v/>
      </c>
      <c r="I782" t="str">
        <f>IF(FT!B782&lt;&gt;"",FT!E782,"")</f>
        <v/>
      </c>
      <c r="J782" t="str">
        <f>IF(FT!B782&lt;&gt;"",FT!C782,"")</f>
        <v/>
      </c>
    </row>
    <row r="783" spans="5:10">
      <c r="E783">
        <f t="shared" si="37"/>
        <v>781</v>
      </c>
      <c r="F783" s="61" t="str">
        <f>IF(FT!A783&lt;&gt;"",FT!A783*10,"")</f>
        <v/>
      </c>
      <c r="G783" s="61" t="str">
        <f>IF(FT!B783&lt;&gt;"",FT!B783*100,"")</f>
        <v/>
      </c>
      <c r="H783" s="61" t="str">
        <f t="shared" si="36"/>
        <v/>
      </c>
      <c r="I783" t="str">
        <f>IF(FT!B783&lt;&gt;"",FT!E783,"")</f>
        <v/>
      </c>
      <c r="J783" t="str">
        <f>IF(FT!B783&lt;&gt;"",FT!C783,"")</f>
        <v/>
      </c>
    </row>
    <row r="784" spans="5:10">
      <c r="E784">
        <f t="shared" si="37"/>
        <v>782</v>
      </c>
      <c r="F784" s="61" t="str">
        <f>IF(FT!A784&lt;&gt;"",FT!A784*10,"")</f>
        <v/>
      </c>
      <c r="G784" s="61" t="str">
        <f>IF(FT!B784&lt;&gt;"",FT!B784*100,"")</f>
        <v/>
      </c>
      <c r="H784" s="61" t="str">
        <f t="shared" si="36"/>
        <v/>
      </c>
      <c r="I784" t="str">
        <f>IF(FT!B784&lt;&gt;"",FT!E784,"")</f>
        <v/>
      </c>
      <c r="J784" t="str">
        <f>IF(FT!B784&lt;&gt;"",FT!C784,"")</f>
        <v/>
      </c>
    </row>
    <row r="785" spans="5:10">
      <c r="E785">
        <f t="shared" si="37"/>
        <v>783</v>
      </c>
      <c r="F785" s="61" t="str">
        <f>IF(FT!A785&lt;&gt;"",FT!A785*10,"")</f>
        <v/>
      </c>
      <c r="G785" s="61" t="str">
        <f>IF(FT!B785&lt;&gt;"",FT!B785*100,"")</f>
        <v/>
      </c>
      <c r="H785" s="61" t="str">
        <f t="shared" si="36"/>
        <v/>
      </c>
      <c r="I785" t="str">
        <f>IF(FT!B785&lt;&gt;"",FT!E785,"")</f>
        <v/>
      </c>
      <c r="J785" t="str">
        <f>IF(FT!B785&lt;&gt;"",FT!C785,"")</f>
        <v/>
      </c>
    </row>
    <row r="786" spans="5:10">
      <c r="E786">
        <f t="shared" si="37"/>
        <v>784</v>
      </c>
      <c r="F786" s="61" t="str">
        <f>IF(FT!A786&lt;&gt;"",FT!A786*10,"")</f>
        <v/>
      </c>
      <c r="G786" s="61" t="str">
        <f>IF(FT!B786&lt;&gt;"",FT!B786*100,"")</f>
        <v/>
      </c>
      <c r="H786" s="61" t="str">
        <f t="shared" si="36"/>
        <v/>
      </c>
      <c r="I786" t="str">
        <f>IF(FT!B786&lt;&gt;"",FT!E786,"")</f>
        <v/>
      </c>
      <c r="J786" t="str">
        <f>IF(FT!B786&lt;&gt;"",FT!C786,"")</f>
        <v/>
      </c>
    </row>
    <row r="787" spans="5:10">
      <c r="E787">
        <f t="shared" si="37"/>
        <v>785</v>
      </c>
      <c r="F787" s="61" t="str">
        <f>IF(FT!A787&lt;&gt;"",FT!A787*10,"")</f>
        <v/>
      </c>
      <c r="G787" s="61" t="str">
        <f>IF(FT!B787&lt;&gt;"",FT!B787*100,"")</f>
        <v/>
      </c>
      <c r="H787" s="61" t="str">
        <f t="shared" si="36"/>
        <v/>
      </c>
      <c r="I787" t="str">
        <f>IF(FT!B787&lt;&gt;"",FT!E787,"")</f>
        <v/>
      </c>
      <c r="J787" t="str">
        <f>IF(FT!B787&lt;&gt;"",FT!C787,"")</f>
        <v/>
      </c>
    </row>
    <row r="788" spans="5:10">
      <c r="E788">
        <f t="shared" si="37"/>
        <v>786</v>
      </c>
      <c r="F788" s="61" t="str">
        <f>IF(FT!A788&lt;&gt;"",FT!A788*10,"")</f>
        <v/>
      </c>
      <c r="G788" s="61" t="str">
        <f>IF(FT!B788&lt;&gt;"",FT!B788*100,"")</f>
        <v/>
      </c>
      <c r="H788" s="61" t="str">
        <f t="shared" si="36"/>
        <v/>
      </c>
      <c r="I788" t="str">
        <f>IF(FT!B788&lt;&gt;"",FT!E788,"")</f>
        <v/>
      </c>
      <c r="J788" t="str">
        <f>IF(FT!B788&lt;&gt;"",FT!C788,"")</f>
        <v/>
      </c>
    </row>
    <row r="789" spans="5:10">
      <c r="E789">
        <f t="shared" si="37"/>
        <v>787</v>
      </c>
      <c r="F789" s="61" t="str">
        <f>IF(FT!A789&lt;&gt;"",FT!A789*10,"")</f>
        <v/>
      </c>
      <c r="G789" s="61" t="str">
        <f>IF(FT!B789&lt;&gt;"",FT!B789*100,"")</f>
        <v/>
      </c>
      <c r="H789" s="61" t="str">
        <f t="shared" si="36"/>
        <v/>
      </c>
      <c r="I789" t="str">
        <f>IF(FT!B789&lt;&gt;"",FT!E789,"")</f>
        <v/>
      </c>
      <c r="J789" t="str">
        <f>IF(FT!B789&lt;&gt;"",FT!C789,"")</f>
        <v/>
      </c>
    </row>
    <row r="790" spans="5:10">
      <c r="E790">
        <f t="shared" si="37"/>
        <v>788</v>
      </c>
      <c r="F790" s="61" t="str">
        <f>IF(FT!A790&lt;&gt;"",FT!A790*10,"")</f>
        <v/>
      </c>
      <c r="G790" s="61" t="str">
        <f>IF(FT!B790&lt;&gt;"",FT!B790*100,"")</f>
        <v/>
      </c>
      <c r="H790" s="61" t="str">
        <f t="shared" si="36"/>
        <v/>
      </c>
      <c r="I790" t="str">
        <f>IF(FT!B790&lt;&gt;"",FT!E790,"")</f>
        <v/>
      </c>
      <c r="J790" t="str">
        <f>IF(FT!B790&lt;&gt;"",FT!C790,"")</f>
        <v/>
      </c>
    </row>
    <row r="791" spans="5:10">
      <c r="E791">
        <f t="shared" si="37"/>
        <v>789</v>
      </c>
      <c r="F791" s="61" t="str">
        <f>IF(FT!A791&lt;&gt;"",FT!A791*10,"")</f>
        <v/>
      </c>
      <c r="G791" s="61" t="str">
        <f>IF(FT!B791&lt;&gt;"",FT!B791*100,"")</f>
        <v/>
      </c>
      <c r="H791" s="61" t="str">
        <f t="shared" si="36"/>
        <v/>
      </c>
      <c r="I791" t="str">
        <f>IF(FT!B791&lt;&gt;"",FT!E791,"")</f>
        <v/>
      </c>
      <c r="J791" t="str">
        <f>IF(FT!B791&lt;&gt;"",FT!C791,"")</f>
        <v/>
      </c>
    </row>
    <row r="792" spans="5:10">
      <c r="E792">
        <f t="shared" si="37"/>
        <v>790</v>
      </c>
      <c r="F792" s="61" t="str">
        <f>IF(FT!A792&lt;&gt;"",FT!A792*10,"")</f>
        <v/>
      </c>
      <c r="G792" s="61" t="str">
        <f>IF(FT!B792&lt;&gt;"",FT!B792*100,"")</f>
        <v/>
      </c>
      <c r="H792" s="61" t="str">
        <f t="shared" si="36"/>
        <v/>
      </c>
      <c r="I792" t="str">
        <f>IF(FT!B792&lt;&gt;"",FT!E792,"")</f>
        <v/>
      </c>
      <c r="J792" t="str">
        <f>IF(FT!B792&lt;&gt;"",FT!C792,"")</f>
        <v/>
      </c>
    </row>
    <row r="793" spans="5:10">
      <c r="E793">
        <f t="shared" si="37"/>
        <v>791</v>
      </c>
      <c r="F793" s="61" t="str">
        <f>IF(FT!A793&lt;&gt;"",FT!A793*10,"")</f>
        <v/>
      </c>
      <c r="G793" s="61" t="str">
        <f>IF(FT!B793&lt;&gt;"",FT!B793*100,"")</f>
        <v/>
      </c>
      <c r="H793" s="61" t="str">
        <f t="shared" si="36"/>
        <v/>
      </c>
      <c r="I793" t="str">
        <f>IF(FT!B793&lt;&gt;"",FT!E793,"")</f>
        <v/>
      </c>
      <c r="J793" t="str">
        <f>IF(FT!B793&lt;&gt;"",FT!C793,"")</f>
        <v/>
      </c>
    </row>
    <row r="794" spans="5:10">
      <c r="E794">
        <f t="shared" si="37"/>
        <v>792</v>
      </c>
      <c r="F794" s="61" t="str">
        <f>IF(FT!A794&lt;&gt;"",FT!A794*10,"")</f>
        <v/>
      </c>
      <c r="G794" s="61" t="str">
        <f>IF(FT!B794&lt;&gt;"",FT!B794*100,"")</f>
        <v/>
      </c>
      <c r="H794" s="61" t="str">
        <f t="shared" si="36"/>
        <v/>
      </c>
      <c r="I794" t="str">
        <f>IF(FT!B794&lt;&gt;"",FT!E794,"")</f>
        <v/>
      </c>
      <c r="J794" t="str">
        <f>IF(FT!B794&lt;&gt;"",FT!C794,"")</f>
        <v/>
      </c>
    </row>
    <row r="795" spans="5:10">
      <c r="E795">
        <f t="shared" si="37"/>
        <v>793</v>
      </c>
      <c r="F795" s="61" t="str">
        <f>IF(FT!A795&lt;&gt;"",FT!A795*10,"")</f>
        <v/>
      </c>
      <c r="G795" s="61" t="str">
        <f>IF(FT!B795&lt;&gt;"",FT!B795*100,"")</f>
        <v/>
      </c>
      <c r="H795" s="61" t="str">
        <f t="shared" si="36"/>
        <v/>
      </c>
      <c r="I795" t="str">
        <f>IF(FT!B795&lt;&gt;"",FT!E795,"")</f>
        <v/>
      </c>
      <c r="J795" t="str">
        <f>IF(FT!B795&lt;&gt;"",FT!C795,"")</f>
        <v/>
      </c>
    </row>
    <row r="796" spans="5:10">
      <c r="E796">
        <f t="shared" si="37"/>
        <v>794</v>
      </c>
      <c r="F796" s="61" t="str">
        <f>IF(FT!A796&lt;&gt;"",FT!A796*10,"")</f>
        <v/>
      </c>
      <c r="G796" s="61" t="str">
        <f>IF(FT!B796&lt;&gt;"",FT!B796*100,"")</f>
        <v/>
      </c>
      <c r="H796" s="61" t="str">
        <f t="shared" si="36"/>
        <v/>
      </c>
      <c r="I796" t="str">
        <f>IF(FT!B796&lt;&gt;"",FT!E796,"")</f>
        <v/>
      </c>
      <c r="J796" t="str">
        <f>IF(FT!B796&lt;&gt;"",FT!C796,"")</f>
        <v/>
      </c>
    </row>
    <row r="797" spans="5:10">
      <c r="E797">
        <f t="shared" si="37"/>
        <v>795</v>
      </c>
      <c r="F797" s="61" t="str">
        <f>IF(FT!A797&lt;&gt;"",FT!A797*10,"")</f>
        <v/>
      </c>
      <c r="G797" s="61" t="str">
        <f>IF(FT!B797&lt;&gt;"",FT!B797*100,"")</f>
        <v/>
      </c>
      <c r="H797" s="61" t="str">
        <f t="shared" si="36"/>
        <v/>
      </c>
      <c r="I797" t="str">
        <f>IF(FT!B797&lt;&gt;"",FT!E797,"")</f>
        <v/>
      </c>
      <c r="J797" t="str">
        <f>IF(FT!B797&lt;&gt;"",FT!C797,"")</f>
        <v/>
      </c>
    </row>
    <row r="798" spans="5:10">
      <c r="E798">
        <f t="shared" si="37"/>
        <v>796</v>
      </c>
      <c r="F798" s="61" t="str">
        <f>IF(FT!A798&lt;&gt;"",FT!A798*10,"")</f>
        <v/>
      </c>
      <c r="G798" s="61" t="str">
        <f>IF(FT!B798&lt;&gt;"",FT!B798*100,"")</f>
        <v/>
      </c>
      <c r="H798" s="61" t="str">
        <f t="shared" si="36"/>
        <v/>
      </c>
      <c r="I798" t="str">
        <f>IF(FT!B798&lt;&gt;"",FT!E798,"")</f>
        <v/>
      </c>
      <c r="J798" t="str">
        <f>IF(FT!B798&lt;&gt;"",FT!C798,"")</f>
        <v/>
      </c>
    </row>
    <row r="799" spans="5:10">
      <c r="E799">
        <f t="shared" si="37"/>
        <v>797</v>
      </c>
      <c r="F799" s="61" t="str">
        <f>IF(FT!A799&lt;&gt;"",FT!A799*10,"")</f>
        <v/>
      </c>
      <c r="G799" s="61" t="str">
        <f>IF(FT!B799&lt;&gt;"",FT!B799*100,"")</f>
        <v/>
      </c>
      <c r="H799" s="61" t="str">
        <f t="shared" si="36"/>
        <v/>
      </c>
      <c r="I799" t="str">
        <f>IF(FT!B799&lt;&gt;"",FT!E799,"")</f>
        <v/>
      </c>
      <c r="J799" t="str">
        <f>IF(FT!B799&lt;&gt;"",FT!C799,"")</f>
        <v/>
      </c>
    </row>
    <row r="800" spans="5:10">
      <c r="E800">
        <f t="shared" si="37"/>
        <v>798</v>
      </c>
      <c r="F800" s="61" t="str">
        <f>IF(FT!A800&lt;&gt;"",FT!A800*10,"")</f>
        <v/>
      </c>
      <c r="G800" s="61" t="str">
        <f>IF(FT!B800&lt;&gt;"",FT!B800*100,"")</f>
        <v/>
      </c>
      <c r="H800" s="61" t="str">
        <f t="shared" si="36"/>
        <v/>
      </c>
      <c r="I800" t="str">
        <f>IF(FT!B800&lt;&gt;"",FT!E800,"")</f>
        <v/>
      </c>
      <c r="J800" t="str">
        <f>IF(FT!B800&lt;&gt;"",FT!C800,"")</f>
        <v/>
      </c>
    </row>
    <row r="801" spans="5:10">
      <c r="E801">
        <f t="shared" si="37"/>
        <v>799</v>
      </c>
      <c r="F801" s="61" t="str">
        <f>IF(FT!A801&lt;&gt;"",FT!A801*10,"")</f>
        <v/>
      </c>
      <c r="G801" s="61" t="str">
        <f>IF(FT!B801&lt;&gt;"",FT!B801*100,"")</f>
        <v/>
      </c>
      <c r="H801" s="61" t="str">
        <f t="shared" si="36"/>
        <v/>
      </c>
      <c r="I801" t="str">
        <f>IF(FT!B801&lt;&gt;"",FT!E801,"")</f>
        <v/>
      </c>
      <c r="J801" t="str">
        <f>IF(FT!B801&lt;&gt;"",FT!C801,"")</f>
        <v/>
      </c>
    </row>
    <row r="802" spans="5:10">
      <c r="E802">
        <f t="shared" si="37"/>
        <v>800</v>
      </c>
      <c r="F802" s="61" t="str">
        <f>IF(FT!A802&lt;&gt;"",FT!A802*10,"")</f>
        <v/>
      </c>
      <c r="G802" s="61" t="str">
        <f>IF(FT!B802&lt;&gt;"",FT!B802*100,"")</f>
        <v/>
      </c>
      <c r="H802" s="61" t="str">
        <f t="shared" si="36"/>
        <v/>
      </c>
      <c r="I802" t="str">
        <f>IF(FT!B802&lt;&gt;"",FT!E802,"")</f>
        <v/>
      </c>
      <c r="J802" t="str">
        <f>IF(FT!B802&lt;&gt;"",FT!C802,"")</f>
        <v/>
      </c>
    </row>
    <row r="803" spans="5:10">
      <c r="E803">
        <f t="shared" si="37"/>
        <v>801</v>
      </c>
      <c r="F803" s="61" t="str">
        <f>IF(FT!A803&lt;&gt;"",FT!A803*10,"")</f>
        <v/>
      </c>
      <c r="G803" s="61" t="str">
        <f>IF(FT!B803&lt;&gt;"",FT!B803*100,"")</f>
        <v/>
      </c>
      <c r="H803" s="61" t="str">
        <f t="shared" si="36"/>
        <v/>
      </c>
      <c r="I803" t="str">
        <f>IF(FT!B803&lt;&gt;"",FT!E803,"")</f>
        <v/>
      </c>
      <c r="J803" t="str">
        <f>IF(FT!B803&lt;&gt;"",FT!C803,"")</f>
        <v/>
      </c>
    </row>
    <row r="804" spans="5:10">
      <c r="E804">
        <f t="shared" si="37"/>
        <v>802</v>
      </c>
      <c r="F804" s="61" t="str">
        <f>IF(FT!A804&lt;&gt;"",FT!A804*10,"")</f>
        <v/>
      </c>
      <c r="G804" s="61" t="str">
        <f>IF(FT!B804&lt;&gt;"",FT!B804*100,"")</f>
        <v/>
      </c>
      <c r="H804" s="61" t="str">
        <f t="shared" si="36"/>
        <v/>
      </c>
      <c r="I804" t="str">
        <f>IF(FT!B804&lt;&gt;"",FT!E804,"")</f>
        <v/>
      </c>
      <c r="J804" t="str">
        <f>IF(FT!B804&lt;&gt;"",FT!C804,"")</f>
        <v/>
      </c>
    </row>
    <row r="805" spans="5:10">
      <c r="E805">
        <f t="shared" si="37"/>
        <v>803</v>
      </c>
      <c r="F805" s="61" t="str">
        <f>IF(FT!A805&lt;&gt;"",FT!A805*10,"")</f>
        <v/>
      </c>
      <c r="G805" s="61" t="str">
        <f>IF(FT!B805&lt;&gt;"",FT!B805*100,"")</f>
        <v/>
      </c>
      <c r="H805" s="61" t="str">
        <f t="shared" si="36"/>
        <v/>
      </c>
      <c r="I805" t="str">
        <f>IF(FT!B805&lt;&gt;"",FT!E805,"")</f>
        <v/>
      </c>
      <c r="J805" t="str">
        <f>IF(FT!B805&lt;&gt;"",FT!C805,"")</f>
        <v/>
      </c>
    </row>
    <row r="806" spans="5:10">
      <c r="E806">
        <f t="shared" si="37"/>
        <v>804</v>
      </c>
      <c r="F806" s="61" t="str">
        <f>IF(FT!A806&lt;&gt;"",FT!A806*10,"")</f>
        <v/>
      </c>
      <c r="G806" s="61" t="str">
        <f>IF(FT!B806&lt;&gt;"",FT!B806*100,"")</f>
        <v/>
      </c>
      <c r="H806" s="61" t="str">
        <f t="shared" si="36"/>
        <v/>
      </c>
      <c r="I806" t="str">
        <f>IF(FT!B806&lt;&gt;"",FT!E806,"")</f>
        <v/>
      </c>
      <c r="J806" t="str">
        <f>IF(FT!B806&lt;&gt;"",FT!C806,"")</f>
        <v/>
      </c>
    </row>
    <row r="807" spans="5:10">
      <c r="E807">
        <f t="shared" si="37"/>
        <v>805</v>
      </c>
      <c r="F807" s="61" t="str">
        <f>IF(FT!A807&lt;&gt;"",FT!A807*10,"")</f>
        <v/>
      </c>
      <c r="G807" s="61" t="str">
        <f>IF(FT!B807&lt;&gt;"",FT!B807*100,"")</f>
        <v/>
      </c>
      <c r="H807" s="61" t="str">
        <f t="shared" si="36"/>
        <v/>
      </c>
      <c r="I807" t="str">
        <f>IF(FT!B807&lt;&gt;"",FT!E807,"")</f>
        <v/>
      </c>
      <c r="J807" t="str">
        <f>IF(FT!B807&lt;&gt;"",FT!C807,"")</f>
        <v/>
      </c>
    </row>
    <row r="808" spans="5:10">
      <c r="E808">
        <f t="shared" si="37"/>
        <v>806</v>
      </c>
      <c r="F808" s="61" t="str">
        <f>IF(FT!A808&lt;&gt;"",FT!A808*10,"")</f>
        <v/>
      </c>
      <c r="G808" s="61" t="str">
        <f>IF(FT!B808&lt;&gt;"",FT!B808*100,"")</f>
        <v/>
      </c>
      <c r="H808" s="61" t="str">
        <f t="shared" si="36"/>
        <v/>
      </c>
      <c r="I808" t="str">
        <f>IF(FT!B808&lt;&gt;"",FT!E808,"")</f>
        <v/>
      </c>
      <c r="J808" t="str">
        <f>IF(FT!B808&lt;&gt;"",FT!C808,"")</f>
        <v/>
      </c>
    </row>
    <row r="809" spans="5:10">
      <c r="E809">
        <f t="shared" si="37"/>
        <v>807</v>
      </c>
      <c r="F809" s="61" t="str">
        <f>IF(FT!A809&lt;&gt;"",FT!A809*10,"")</f>
        <v/>
      </c>
      <c r="G809" s="61" t="str">
        <f>IF(FT!B809&lt;&gt;"",FT!B809*100,"")</f>
        <v/>
      </c>
      <c r="H809" s="61" t="str">
        <f t="shared" si="36"/>
        <v/>
      </c>
      <c r="I809" t="str">
        <f>IF(FT!B809&lt;&gt;"",FT!E809,"")</f>
        <v/>
      </c>
      <c r="J809" t="str">
        <f>IF(FT!B809&lt;&gt;"",FT!C809,"")</f>
        <v/>
      </c>
    </row>
    <row r="810" spans="5:10">
      <c r="E810">
        <f t="shared" si="37"/>
        <v>808</v>
      </c>
      <c r="F810" s="61" t="str">
        <f>IF(FT!A810&lt;&gt;"",FT!A810*10,"")</f>
        <v/>
      </c>
      <c r="G810" s="61" t="str">
        <f>IF(FT!B810&lt;&gt;"",FT!B810*100,"")</f>
        <v/>
      </c>
      <c r="H810" s="61" t="str">
        <f t="shared" si="36"/>
        <v/>
      </c>
      <c r="I810" t="str">
        <f>IF(FT!B810&lt;&gt;"",FT!E810,"")</f>
        <v/>
      </c>
      <c r="J810" t="str">
        <f>IF(FT!B810&lt;&gt;"",FT!C810,"")</f>
        <v/>
      </c>
    </row>
    <row r="811" spans="5:10">
      <c r="E811">
        <f t="shared" si="37"/>
        <v>809</v>
      </c>
      <c r="F811" s="61" t="str">
        <f>IF(FT!A811&lt;&gt;"",FT!A811*10,"")</f>
        <v/>
      </c>
      <c r="G811" s="61" t="str">
        <f>IF(FT!B811&lt;&gt;"",FT!B811*100,"")</f>
        <v/>
      </c>
      <c r="H811" s="61" t="str">
        <f t="shared" si="36"/>
        <v/>
      </c>
      <c r="I811" t="str">
        <f>IF(FT!B811&lt;&gt;"",FT!E811,"")</f>
        <v/>
      </c>
      <c r="J811" t="str">
        <f>IF(FT!B811&lt;&gt;"",FT!C811,"")</f>
        <v/>
      </c>
    </row>
    <row r="812" spans="5:10">
      <c r="E812">
        <f t="shared" si="37"/>
        <v>810</v>
      </c>
      <c r="F812" s="61" t="str">
        <f>IF(FT!A812&lt;&gt;"",FT!A812*10,"")</f>
        <v/>
      </c>
      <c r="G812" s="61" t="str">
        <f>IF(FT!B812&lt;&gt;"",FT!B812*100,"")</f>
        <v/>
      </c>
      <c r="H812" s="61" t="str">
        <f t="shared" si="36"/>
        <v/>
      </c>
      <c r="I812" t="str">
        <f>IF(FT!B812&lt;&gt;"",FT!E812,"")</f>
        <v/>
      </c>
      <c r="J812" t="str">
        <f>IF(FT!B812&lt;&gt;"",FT!C812,"")</f>
        <v/>
      </c>
    </row>
    <row r="813" spans="5:10">
      <c r="E813">
        <f t="shared" si="37"/>
        <v>811</v>
      </c>
      <c r="F813" s="61" t="str">
        <f>IF(FT!A813&lt;&gt;"",FT!A813*10,"")</f>
        <v/>
      </c>
      <c r="G813" s="61" t="str">
        <f>IF(FT!B813&lt;&gt;"",FT!B813*100,"")</f>
        <v/>
      </c>
      <c r="H813" s="61" t="str">
        <f t="shared" si="36"/>
        <v/>
      </c>
      <c r="I813" t="str">
        <f>IF(FT!B813&lt;&gt;"",FT!E813,"")</f>
        <v/>
      </c>
      <c r="J813" t="str">
        <f>IF(FT!B813&lt;&gt;"",FT!C813,"")</f>
        <v/>
      </c>
    </row>
    <row r="814" spans="5:10">
      <c r="E814">
        <f t="shared" si="37"/>
        <v>812</v>
      </c>
      <c r="F814" s="61" t="str">
        <f>IF(FT!A814&lt;&gt;"",FT!A814*10,"")</f>
        <v/>
      </c>
      <c r="G814" s="61" t="str">
        <f>IF(FT!B814&lt;&gt;"",FT!B814*100,"")</f>
        <v/>
      </c>
      <c r="H814" s="61" t="str">
        <f t="shared" si="36"/>
        <v/>
      </c>
      <c r="I814" t="str">
        <f>IF(FT!B814&lt;&gt;"",FT!E814,"")</f>
        <v/>
      </c>
      <c r="J814" t="str">
        <f>IF(FT!B814&lt;&gt;"",FT!C814,"")</f>
        <v/>
      </c>
    </row>
    <row r="815" spans="5:10">
      <c r="E815">
        <f t="shared" si="37"/>
        <v>813</v>
      </c>
      <c r="F815" s="61" t="str">
        <f>IF(FT!A815&lt;&gt;"",FT!A815*10,"")</f>
        <v/>
      </c>
      <c r="G815" s="61" t="str">
        <f>IF(FT!B815&lt;&gt;"",FT!B815*100,"")</f>
        <v/>
      </c>
      <c r="H815" s="61" t="str">
        <f t="shared" si="36"/>
        <v/>
      </c>
      <c r="I815" t="str">
        <f>IF(FT!B815&lt;&gt;"",FT!E815,"")</f>
        <v/>
      </c>
      <c r="J815" t="str">
        <f>IF(FT!B815&lt;&gt;"",FT!C815,"")</f>
        <v/>
      </c>
    </row>
    <row r="816" spans="5:10">
      <c r="E816">
        <f t="shared" si="37"/>
        <v>814</v>
      </c>
      <c r="F816" s="61" t="str">
        <f>IF(FT!A816&lt;&gt;"",FT!A816*10,"")</f>
        <v/>
      </c>
      <c r="G816" s="61" t="str">
        <f>IF(FT!B816&lt;&gt;"",FT!B816*100,"")</f>
        <v/>
      </c>
      <c r="H816" s="61" t="str">
        <f t="shared" si="36"/>
        <v/>
      </c>
      <c r="I816" t="str">
        <f>IF(FT!B816&lt;&gt;"",FT!E816,"")</f>
        <v/>
      </c>
      <c r="J816" t="str">
        <f>IF(FT!B816&lt;&gt;"",FT!C816,"")</f>
        <v/>
      </c>
    </row>
    <row r="817" spans="5:10">
      <c r="E817">
        <f t="shared" si="37"/>
        <v>815</v>
      </c>
      <c r="F817" s="61" t="str">
        <f>IF(FT!A817&lt;&gt;"",FT!A817*10,"")</f>
        <v/>
      </c>
      <c r="G817" s="61" t="str">
        <f>IF(FT!B817&lt;&gt;"",FT!B817*100,"")</f>
        <v/>
      </c>
      <c r="H817" s="61" t="str">
        <f t="shared" si="36"/>
        <v/>
      </c>
      <c r="I817" t="str">
        <f>IF(FT!B817&lt;&gt;"",FT!E817,"")</f>
        <v/>
      </c>
      <c r="J817" t="str">
        <f>IF(FT!B817&lt;&gt;"",FT!C817,"")</f>
        <v/>
      </c>
    </row>
    <row r="818" spans="5:10">
      <c r="E818">
        <f t="shared" si="37"/>
        <v>816</v>
      </c>
      <c r="F818" s="61" t="str">
        <f>IF(FT!A818&lt;&gt;"",FT!A818*10,"")</f>
        <v/>
      </c>
      <c r="G818" s="61" t="str">
        <f>IF(FT!B818&lt;&gt;"",FT!B818*100,"")</f>
        <v/>
      </c>
      <c r="H818" s="61" t="str">
        <f t="shared" si="36"/>
        <v/>
      </c>
      <c r="I818" t="str">
        <f>IF(FT!B818&lt;&gt;"",FT!E818,"")</f>
        <v/>
      </c>
      <c r="J818" t="str">
        <f>IF(FT!B818&lt;&gt;"",FT!C818,"")</f>
        <v/>
      </c>
    </row>
    <row r="819" spans="5:10">
      <c r="E819">
        <f t="shared" si="37"/>
        <v>817</v>
      </c>
      <c r="F819" s="61" t="str">
        <f>IF(FT!A819&lt;&gt;"",FT!A819*10,"")</f>
        <v/>
      </c>
      <c r="G819" s="61" t="str">
        <f>IF(FT!B819&lt;&gt;"",FT!B819*100,"")</f>
        <v/>
      </c>
      <c r="H819" s="61" t="str">
        <f t="shared" si="36"/>
        <v/>
      </c>
      <c r="I819" t="str">
        <f>IF(FT!B819&lt;&gt;"",FT!E819,"")</f>
        <v/>
      </c>
      <c r="J819" t="str">
        <f>IF(FT!B819&lt;&gt;"",FT!C819,"")</f>
        <v/>
      </c>
    </row>
    <row r="820" spans="5:10">
      <c r="E820">
        <f t="shared" si="37"/>
        <v>818</v>
      </c>
      <c r="F820" s="61" t="str">
        <f>IF(FT!A820&lt;&gt;"",FT!A820*10,"")</f>
        <v/>
      </c>
      <c r="G820" s="61" t="str">
        <f>IF(FT!B820&lt;&gt;"",FT!B820*100,"")</f>
        <v/>
      </c>
      <c r="H820" s="61" t="str">
        <f t="shared" si="36"/>
        <v/>
      </c>
      <c r="I820" t="str">
        <f>IF(FT!B820&lt;&gt;"",FT!E820,"")</f>
        <v/>
      </c>
      <c r="J820" t="str">
        <f>IF(FT!B820&lt;&gt;"",FT!C820,"")</f>
        <v/>
      </c>
    </row>
    <row r="821" spans="5:10">
      <c r="E821">
        <f t="shared" si="37"/>
        <v>819</v>
      </c>
      <c r="F821" s="61" t="str">
        <f>IF(FT!A821&lt;&gt;"",FT!A821*10,"")</f>
        <v/>
      </c>
      <c r="G821" s="61" t="str">
        <f>IF(FT!B821&lt;&gt;"",FT!B821*100,"")</f>
        <v/>
      </c>
      <c r="H821" s="61" t="str">
        <f t="shared" si="36"/>
        <v/>
      </c>
      <c r="I821" t="str">
        <f>IF(FT!B821&lt;&gt;"",FT!E821,"")</f>
        <v/>
      </c>
      <c r="J821" t="str">
        <f>IF(FT!B821&lt;&gt;"",FT!C821,"")</f>
        <v/>
      </c>
    </row>
    <row r="822" spans="5:10">
      <c r="E822">
        <f t="shared" si="37"/>
        <v>820</v>
      </c>
      <c r="F822" s="61" t="str">
        <f>IF(FT!A822&lt;&gt;"",FT!A822*10,"")</f>
        <v/>
      </c>
      <c r="G822" s="61" t="str">
        <f>IF(FT!B822&lt;&gt;"",FT!B822*100,"")</f>
        <v/>
      </c>
      <c r="H822" s="61" t="str">
        <f t="shared" si="36"/>
        <v/>
      </c>
      <c r="I822" t="str">
        <f>IF(FT!B822&lt;&gt;"",FT!E822,"")</f>
        <v/>
      </c>
      <c r="J822" t="str">
        <f>IF(FT!B822&lt;&gt;"",FT!C822,"")</f>
        <v/>
      </c>
    </row>
    <row r="823" spans="5:10">
      <c r="E823">
        <f t="shared" si="37"/>
        <v>821</v>
      </c>
      <c r="F823" s="61" t="str">
        <f>IF(FT!A823&lt;&gt;"",FT!A823*10,"")</f>
        <v/>
      </c>
      <c r="G823" s="61" t="str">
        <f>IF(FT!B823&lt;&gt;"",FT!B823*100,"")</f>
        <v/>
      </c>
      <c r="H823" s="61" t="str">
        <f t="shared" si="36"/>
        <v/>
      </c>
      <c r="I823" t="str">
        <f>IF(FT!B823&lt;&gt;"",FT!E823,"")</f>
        <v/>
      </c>
      <c r="J823" t="str">
        <f>IF(FT!B823&lt;&gt;"",FT!C823,"")</f>
        <v/>
      </c>
    </row>
    <row r="824" spans="5:10">
      <c r="E824">
        <f t="shared" si="37"/>
        <v>822</v>
      </c>
      <c r="F824" s="61" t="str">
        <f>IF(FT!A824&lt;&gt;"",FT!A824*10,"")</f>
        <v/>
      </c>
      <c r="G824" s="61" t="str">
        <f>IF(FT!B824&lt;&gt;"",FT!B824*100,"")</f>
        <v/>
      </c>
      <c r="H824" s="61" t="str">
        <f t="shared" si="36"/>
        <v/>
      </c>
      <c r="I824" t="str">
        <f>IF(FT!B824&lt;&gt;"",FT!E824,"")</f>
        <v/>
      </c>
      <c r="J824" t="str">
        <f>IF(FT!B824&lt;&gt;"",FT!C824,"")</f>
        <v/>
      </c>
    </row>
    <row r="825" spans="5:10">
      <c r="E825">
        <f t="shared" si="37"/>
        <v>823</v>
      </c>
      <c r="F825" s="61" t="str">
        <f>IF(FT!A825&lt;&gt;"",FT!A825*10,"")</f>
        <v/>
      </c>
      <c r="G825" s="61" t="str">
        <f>IF(FT!B825&lt;&gt;"",FT!B825*100,"")</f>
        <v/>
      </c>
      <c r="H825" s="61" t="str">
        <f t="shared" si="36"/>
        <v/>
      </c>
      <c r="I825" t="str">
        <f>IF(FT!B825&lt;&gt;"",FT!E825,"")</f>
        <v/>
      </c>
      <c r="J825" t="str">
        <f>IF(FT!B825&lt;&gt;"",FT!C825,"")</f>
        <v/>
      </c>
    </row>
    <row r="826" spans="5:10">
      <c r="E826">
        <f t="shared" si="37"/>
        <v>824</v>
      </c>
      <c r="F826" s="61" t="str">
        <f>IF(FT!A826&lt;&gt;"",FT!A826*10,"")</f>
        <v/>
      </c>
      <c r="G826" s="61" t="str">
        <f>IF(FT!B826&lt;&gt;"",FT!B826*100,"")</f>
        <v/>
      </c>
      <c r="H826" s="61" t="str">
        <f t="shared" si="36"/>
        <v/>
      </c>
      <c r="I826" t="str">
        <f>IF(FT!B826&lt;&gt;"",FT!E826,"")</f>
        <v/>
      </c>
      <c r="J826" t="str">
        <f>IF(FT!B826&lt;&gt;"",FT!C826,"")</f>
        <v/>
      </c>
    </row>
    <row r="827" spans="5:10">
      <c r="E827">
        <f t="shared" si="37"/>
        <v>825</v>
      </c>
      <c r="F827" s="61" t="str">
        <f>IF(FT!A827&lt;&gt;"",FT!A827*10,"")</f>
        <v/>
      </c>
      <c r="G827" s="61" t="str">
        <f>IF(FT!B827&lt;&gt;"",FT!B827*100,"")</f>
        <v/>
      </c>
      <c r="H827" s="61" t="str">
        <f t="shared" si="36"/>
        <v/>
      </c>
      <c r="I827" t="str">
        <f>IF(FT!B827&lt;&gt;"",FT!E827,"")</f>
        <v/>
      </c>
      <c r="J827" t="str">
        <f>IF(FT!B827&lt;&gt;"",FT!C827,"")</f>
        <v/>
      </c>
    </row>
    <row r="828" spans="5:10">
      <c r="E828">
        <f t="shared" si="37"/>
        <v>826</v>
      </c>
      <c r="F828" s="61" t="str">
        <f>IF(FT!A828&lt;&gt;"",FT!A828*10,"")</f>
        <v/>
      </c>
      <c r="G828" s="61" t="str">
        <f>IF(FT!B828&lt;&gt;"",FT!B828*100,"")</f>
        <v/>
      </c>
      <c r="H828" s="61" t="str">
        <f t="shared" si="36"/>
        <v/>
      </c>
      <c r="I828" t="str">
        <f>IF(FT!B828&lt;&gt;"",FT!E828,"")</f>
        <v/>
      </c>
      <c r="J828" t="str">
        <f>IF(FT!B828&lt;&gt;"",FT!C828,"")</f>
        <v/>
      </c>
    </row>
    <row r="829" spans="5:10">
      <c r="E829">
        <f t="shared" si="37"/>
        <v>827</v>
      </c>
      <c r="F829" s="61" t="str">
        <f>IF(FT!A829&lt;&gt;"",FT!A829*10,"")</f>
        <v/>
      </c>
      <c r="G829" s="61" t="str">
        <f>IF(FT!B829&lt;&gt;"",FT!B829*100,"")</f>
        <v/>
      </c>
      <c r="H829" s="61" t="str">
        <f t="shared" si="36"/>
        <v/>
      </c>
      <c r="I829" t="str">
        <f>IF(FT!B829&lt;&gt;"",FT!E829,"")</f>
        <v/>
      </c>
      <c r="J829" t="str">
        <f>IF(FT!B829&lt;&gt;"",FT!C829,"")</f>
        <v/>
      </c>
    </row>
    <row r="830" spans="5:10">
      <c r="E830">
        <f t="shared" si="37"/>
        <v>828</v>
      </c>
      <c r="F830" s="61" t="str">
        <f>IF(FT!A830&lt;&gt;"",FT!A830*10,"")</f>
        <v/>
      </c>
      <c r="G830" s="61" t="str">
        <f>IF(FT!B830&lt;&gt;"",FT!B830*100,"")</f>
        <v/>
      </c>
      <c r="H830" s="61" t="str">
        <f t="shared" si="36"/>
        <v/>
      </c>
      <c r="I830" t="str">
        <f>IF(FT!B830&lt;&gt;"",FT!E830,"")</f>
        <v/>
      </c>
      <c r="J830" t="str">
        <f>IF(FT!B830&lt;&gt;"",FT!C830,"")</f>
        <v/>
      </c>
    </row>
    <row r="831" spans="5:10">
      <c r="E831">
        <f t="shared" si="37"/>
        <v>829</v>
      </c>
      <c r="F831" s="61" t="str">
        <f>IF(FT!A831&lt;&gt;"",FT!A831*10,"")</f>
        <v/>
      </c>
      <c r="G831" s="61" t="str">
        <f>IF(FT!B831&lt;&gt;"",FT!B831*100,"")</f>
        <v/>
      </c>
      <c r="H831" s="61" t="str">
        <f t="shared" si="36"/>
        <v/>
      </c>
      <c r="I831" t="str">
        <f>IF(FT!B831&lt;&gt;"",FT!E831,"")</f>
        <v/>
      </c>
      <c r="J831" t="str">
        <f>IF(FT!B831&lt;&gt;"",FT!C831,"")</f>
        <v/>
      </c>
    </row>
    <row r="832" spans="5:10">
      <c r="E832">
        <f t="shared" si="37"/>
        <v>830</v>
      </c>
      <c r="F832" s="61" t="str">
        <f>IF(FT!A832&lt;&gt;"",FT!A832*10,"")</f>
        <v/>
      </c>
      <c r="G832" s="61" t="str">
        <f>IF(FT!B832&lt;&gt;"",FT!B832*100,"")</f>
        <v/>
      </c>
      <c r="H832" s="61" t="str">
        <f t="shared" si="36"/>
        <v/>
      </c>
      <c r="I832" t="str">
        <f>IF(FT!B832&lt;&gt;"",FT!E832,"")</f>
        <v/>
      </c>
      <c r="J832" t="str">
        <f>IF(FT!B832&lt;&gt;"",FT!C832,"")</f>
        <v/>
      </c>
    </row>
    <row r="833" spans="5:10">
      <c r="E833">
        <f t="shared" si="37"/>
        <v>831</v>
      </c>
      <c r="F833" s="61" t="str">
        <f>IF(FT!A833&lt;&gt;"",FT!A833*10,"")</f>
        <v/>
      </c>
      <c r="G833" s="61" t="str">
        <f>IF(FT!B833&lt;&gt;"",FT!B833*100,"")</f>
        <v/>
      </c>
      <c r="H833" s="61" t="str">
        <f t="shared" si="36"/>
        <v/>
      </c>
      <c r="I833" t="str">
        <f>IF(FT!B833&lt;&gt;"",FT!E833,"")</f>
        <v/>
      </c>
      <c r="J833" t="str">
        <f>IF(FT!B833&lt;&gt;"",FT!C833,"")</f>
        <v/>
      </c>
    </row>
    <row r="834" spans="5:10">
      <c r="E834">
        <f t="shared" si="37"/>
        <v>832</v>
      </c>
      <c r="F834" s="61" t="str">
        <f>IF(FT!A834&lt;&gt;"",FT!A834*10,"")</f>
        <v/>
      </c>
      <c r="G834" s="61" t="str">
        <f>IF(FT!B834&lt;&gt;"",FT!B834*100,"")</f>
        <v/>
      </c>
      <c r="H834" s="61" t="str">
        <f t="shared" si="36"/>
        <v/>
      </c>
      <c r="I834" t="str">
        <f>IF(FT!B834&lt;&gt;"",FT!E834,"")</f>
        <v/>
      </c>
      <c r="J834" t="str">
        <f>IF(FT!B834&lt;&gt;"",FT!C834,"")</f>
        <v/>
      </c>
    </row>
    <row r="835" spans="5:10">
      <c r="E835">
        <f t="shared" si="37"/>
        <v>833</v>
      </c>
      <c r="F835" s="61" t="str">
        <f>IF(FT!A835&lt;&gt;"",FT!A835*10,"")</f>
        <v/>
      </c>
      <c r="G835" s="61" t="str">
        <f>IF(FT!B835&lt;&gt;"",FT!B835*100,"")</f>
        <v/>
      </c>
      <c r="H835" s="61" t="str">
        <f t="shared" ref="H835:H898" si="38">(IF(F835&lt;&gt;"",1,""))</f>
        <v/>
      </c>
      <c r="I835" t="str">
        <f>IF(FT!B835&lt;&gt;"",FT!E835,"")</f>
        <v/>
      </c>
      <c r="J835" t="str">
        <f>IF(FT!B835&lt;&gt;"",FT!C835,"")</f>
        <v/>
      </c>
    </row>
    <row r="836" spans="5:10">
      <c r="E836">
        <f t="shared" ref="E836:E899" si="39">E835+1</f>
        <v>834</v>
      </c>
      <c r="F836" s="61" t="str">
        <f>IF(FT!A836&lt;&gt;"",FT!A836*10,"")</f>
        <v/>
      </c>
      <c r="G836" s="61" t="str">
        <f>IF(FT!B836&lt;&gt;"",FT!B836*100,"")</f>
        <v/>
      </c>
      <c r="H836" s="61" t="str">
        <f t="shared" si="38"/>
        <v/>
      </c>
      <c r="I836" t="str">
        <f>IF(FT!B836&lt;&gt;"",FT!E836,"")</f>
        <v/>
      </c>
      <c r="J836" t="str">
        <f>IF(FT!B836&lt;&gt;"",FT!C836,"")</f>
        <v/>
      </c>
    </row>
    <row r="837" spans="5:10">
      <c r="E837">
        <f t="shared" si="39"/>
        <v>835</v>
      </c>
      <c r="F837" s="61" t="str">
        <f>IF(FT!A837&lt;&gt;"",FT!A837*10,"")</f>
        <v/>
      </c>
      <c r="G837" s="61" t="str">
        <f>IF(FT!B837&lt;&gt;"",FT!B837*100,"")</f>
        <v/>
      </c>
      <c r="H837" s="61" t="str">
        <f t="shared" si="38"/>
        <v/>
      </c>
      <c r="I837" t="str">
        <f>IF(FT!B837&lt;&gt;"",FT!E837,"")</f>
        <v/>
      </c>
      <c r="J837" t="str">
        <f>IF(FT!B837&lt;&gt;"",FT!C837,"")</f>
        <v/>
      </c>
    </row>
    <row r="838" spans="5:10">
      <c r="E838">
        <f t="shared" si="39"/>
        <v>836</v>
      </c>
      <c r="F838" s="61" t="str">
        <f>IF(FT!A838&lt;&gt;"",FT!A838*10,"")</f>
        <v/>
      </c>
      <c r="G838" s="61" t="str">
        <f>IF(FT!B838&lt;&gt;"",FT!B838*100,"")</f>
        <v/>
      </c>
      <c r="H838" s="61" t="str">
        <f t="shared" si="38"/>
        <v/>
      </c>
      <c r="I838" t="str">
        <f>IF(FT!B838&lt;&gt;"",FT!E838,"")</f>
        <v/>
      </c>
      <c r="J838" t="str">
        <f>IF(FT!B838&lt;&gt;"",FT!C838,"")</f>
        <v/>
      </c>
    </row>
    <row r="839" spans="5:10">
      <c r="E839">
        <f t="shared" si="39"/>
        <v>837</v>
      </c>
      <c r="F839" s="61" t="str">
        <f>IF(FT!A839&lt;&gt;"",FT!A839*10,"")</f>
        <v/>
      </c>
      <c r="G839" s="61" t="str">
        <f>IF(FT!B839&lt;&gt;"",FT!B839*100,"")</f>
        <v/>
      </c>
      <c r="H839" s="61" t="str">
        <f t="shared" si="38"/>
        <v/>
      </c>
      <c r="I839" t="str">
        <f>IF(FT!B839&lt;&gt;"",FT!E839,"")</f>
        <v/>
      </c>
      <c r="J839" t="str">
        <f>IF(FT!B839&lt;&gt;"",FT!C839,"")</f>
        <v/>
      </c>
    </row>
    <row r="840" spans="5:10">
      <c r="E840">
        <f t="shared" si="39"/>
        <v>838</v>
      </c>
      <c r="F840" s="61" t="str">
        <f>IF(FT!A840&lt;&gt;"",FT!A840*10,"")</f>
        <v/>
      </c>
      <c r="G840" s="61" t="str">
        <f>IF(FT!B840&lt;&gt;"",FT!B840*100,"")</f>
        <v/>
      </c>
      <c r="H840" s="61" t="str">
        <f t="shared" si="38"/>
        <v/>
      </c>
      <c r="I840" t="str">
        <f>IF(FT!B840&lt;&gt;"",FT!E840,"")</f>
        <v/>
      </c>
      <c r="J840" t="str">
        <f>IF(FT!B840&lt;&gt;"",FT!C840,"")</f>
        <v/>
      </c>
    </row>
    <row r="841" spans="5:10">
      <c r="E841">
        <f t="shared" si="39"/>
        <v>839</v>
      </c>
      <c r="F841" s="61" t="str">
        <f>IF(FT!A841&lt;&gt;"",FT!A841*10,"")</f>
        <v/>
      </c>
      <c r="G841" s="61" t="str">
        <f>IF(FT!B841&lt;&gt;"",FT!B841*100,"")</f>
        <v/>
      </c>
      <c r="H841" s="61" t="str">
        <f t="shared" si="38"/>
        <v/>
      </c>
      <c r="I841" t="str">
        <f>IF(FT!B841&lt;&gt;"",FT!E841,"")</f>
        <v/>
      </c>
      <c r="J841" t="str">
        <f>IF(FT!B841&lt;&gt;"",FT!C841,"")</f>
        <v/>
      </c>
    </row>
    <row r="842" spans="5:10">
      <c r="E842">
        <f t="shared" si="39"/>
        <v>840</v>
      </c>
      <c r="F842" s="61" t="str">
        <f>IF(FT!A842&lt;&gt;"",FT!A842*10,"")</f>
        <v/>
      </c>
      <c r="G842" s="61" t="str">
        <f>IF(FT!B842&lt;&gt;"",FT!B842*100,"")</f>
        <v/>
      </c>
      <c r="H842" s="61" t="str">
        <f t="shared" si="38"/>
        <v/>
      </c>
      <c r="I842" t="str">
        <f>IF(FT!B842&lt;&gt;"",FT!E842,"")</f>
        <v/>
      </c>
      <c r="J842" t="str">
        <f>IF(FT!B842&lt;&gt;"",FT!C842,"")</f>
        <v/>
      </c>
    </row>
    <row r="843" spans="5:10">
      <c r="E843">
        <f t="shared" si="39"/>
        <v>841</v>
      </c>
      <c r="F843" s="61" t="str">
        <f>IF(FT!A843&lt;&gt;"",FT!A843*10,"")</f>
        <v/>
      </c>
      <c r="G843" s="61" t="str">
        <f>IF(FT!B843&lt;&gt;"",FT!B843*100,"")</f>
        <v/>
      </c>
      <c r="H843" s="61" t="str">
        <f t="shared" si="38"/>
        <v/>
      </c>
      <c r="I843" t="str">
        <f>IF(FT!B843&lt;&gt;"",FT!E843,"")</f>
        <v/>
      </c>
      <c r="J843" t="str">
        <f>IF(FT!B843&lt;&gt;"",FT!C843,"")</f>
        <v/>
      </c>
    </row>
    <row r="844" spans="5:10">
      <c r="E844">
        <f t="shared" si="39"/>
        <v>842</v>
      </c>
      <c r="F844" s="61" t="str">
        <f>IF(FT!A844&lt;&gt;"",FT!A844*10,"")</f>
        <v/>
      </c>
      <c r="G844" s="61" t="str">
        <f>IF(FT!B844&lt;&gt;"",FT!B844*100,"")</f>
        <v/>
      </c>
      <c r="H844" s="61" t="str">
        <f t="shared" si="38"/>
        <v/>
      </c>
      <c r="I844" t="str">
        <f>IF(FT!B844&lt;&gt;"",FT!E844,"")</f>
        <v/>
      </c>
      <c r="J844" t="str">
        <f>IF(FT!B844&lt;&gt;"",FT!C844,"")</f>
        <v/>
      </c>
    </row>
    <row r="845" spans="5:10">
      <c r="E845">
        <f t="shared" si="39"/>
        <v>843</v>
      </c>
      <c r="F845" s="61" t="str">
        <f>IF(FT!A845&lt;&gt;"",FT!A845*10,"")</f>
        <v/>
      </c>
      <c r="G845" s="61" t="str">
        <f>IF(FT!B845&lt;&gt;"",FT!B845*100,"")</f>
        <v/>
      </c>
      <c r="H845" s="61" t="str">
        <f t="shared" si="38"/>
        <v/>
      </c>
      <c r="I845" t="str">
        <f>IF(FT!B845&lt;&gt;"",FT!E845,"")</f>
        <v/>
      </c>
      <c r="J845" t="str">
        <f>IF(FT!B845&lt;&gt;"",FT!C845,"")</f>
        <v/>
      </c>
    </row>
    <row r="846" spans="5:10">
      <c r="E846">
        <f t="shared" si="39"/>
        <v>844</v>
      </c>
      <c r="F846" s="61" t="str">
        <f>IF(FT!A846&lt;&gt;"",FT!A846*10,"")</f>
        <v/>
      </c>
      <c r="G846" s="61" t="str">
        <f>IF(FT!B846&lt;&gt;"",FT!B846*100,"")</f>
        <v/>
      </c>
      <c r="H846" s="61" t="str">
        <f t="shared" si="38"/>
        <v/>
      </c>
      <c r="I846" t="str">
        <f>IF(FT!B846&lt;&gt;"",FT!E846,"")</f>
        <v/>
      </c>
      <c r="J846" t="str">
        <f>IF(FT!B846&lt;&gt;"",FT!C846,"")</f>
        <v/>
      </c>
    </row>
    <row r="847" spans="5:10">
      <c r="E847">
        <f t="shared" si="39"/>
        <v>845</v>
      </c>
      <c r="F847" s="61" t="str">
        <f>IF(FT!A847&lt;&gt;"",FT!A847*10,"")</f>
        <v/>
      </c>
      <c r="G847" s="61" t="str">
        <f>IF(FT!B847&lt;&gt;"",FT!B847*100,"")</f>
        <v/>
      </c>
      <c r="H847" s="61" t="str">
        <f t="shared" si="38"/>
        <v/>
      </c>
      <c r="I847" t="str">
        <f>IF(FT!B847&lt;&gt;"",FT!E847,"")</f>
        <v/>
      </c>
      <c r="J847" t="str">
        <f>IF(FT!B847&lt;&gt;"",FT!C847,"")</f>
        <v/>
      </c>
    </row>
    <row r="848" spans="5:10">
      <c r="E848">
        <f t="shared" si="39"/>
        <v>846</v>
      </c>
      <c r="F848" s="61" t="str">
        <f>IF(FT!A848&lt;&gt;"",FT!A848*10,"")</f>
        <v/>
      </c>
      <c r="G848" s="61" t="str">
        <f>IF(FT!B848&lt;&gt;"",FT!B848*100,"")</f>
        <v/>
      </c>
      <c r="H848" s="61" t="str">
        <f t="shared" si="38"/>
        <v/>
      </c>
      <c r="I848" t="str">
        <f>IF(FT!B848&lt;&gt;"",FT!E848,"")</f>
        <v/>
      </c>
      <c r="J848" t="str">
        <f>IF(FT!B848&lt;&gt;"",FT!C848,"")</f>
        <v/>
      </c>
    </row>
    <row r="849" spans="5:10">
      <c r="E849">
        <f t="shared" si="39"/>
        <v>847</v>
      </c>
      <c r="F849" s="61" t="str">
        <f>IF(FT!A849&lt;&gt;"",FT!A849*10,"")</f>
        <v/>
      </c>
      <c r="G849" s="61" t="str">
        <f>IF(FT!B849&lt;&gt;"",FT!B849*100,"")</f>
        <v/>
      </c>
      <c r="H849" s="61" t="str">
        <f t="shared" si="38"/>
        <v/>
      </c>
      <c r="I849" t="str">
        <f>IF(FT!B849&lt;&gt;"",FT!E849,"")</f>
        <v/>
      </c>
      <c r="J849" t="str">
        <f>IF(FT!B849&lt;&gt;"",FT!C849,"")</f>
        <v/>
      </c>
    </row>
    <row r="850" spans="5:10">
      <c r="E850">
        <f t="shared" si="39"/>
        <v>848</v>
      </c>
      <c r="F850" s="61" t="str">
        <f>IF(FT!A850&lt;&gt;"",FT!A850*10,"")</f>
        <v/>
      </c>
      <c r="G850" s="61" t="str">
        <f>IF(FT!B850&lt;&gt;"",FT!B850*100,"")</f>
        <v/>
      </c>
      <c r="H850" s="61" t="str">
        <f t="shared" si="38"/>
        <v/>
      </c>
      <c r="I850" t="str">
        <f>IF(FT!B850&lt;&gt;"",FT!E850,"")</f>
        <v/>
      </c>
      <c r="J850" t="str">
        <f>IF(FT!B850&lt;&gt;"",FT!C850,"")</f>
        <v/>
      </c>
    </row>
    <row r="851" spans="5:10">
      <c r="E851">
        <f t="shared" si="39"/>
        <v>849</v>
      </c>
      <c r="F851" s="61" t="str">
        <f>IF(FT!A851&lt;&gt;"",FT!A851*10,"")</f>
        <v/>
      </c>
      <c r="G851" s="61" t="str">
        <f>IF(FT!B851&lt;&gt;"",FT!B851*100,"")</f>
        <v/>
      </c>
      <c r="H851" s="61" t="str">
        <f t="shared" si="38"/>
        <v/>
      </c>
      <c r="I851" t="str">
        <f>IF(FT!B851&lt;&gt;"",FT!E851,"")</f>
        <v/>
      </c>
      <c r="J851" t="str">
        <f>IF(FT!B851&lt;&gt;"",FT!C851,"")</f>
        <v/>
      </c>
    </row>
    <row r="852" spans="5:10">
      <c r="E852">
        <f t="shared" si="39"/>
        <v>850</v>
      </c>
      <c r="F852" s="61" t="str">
        <f>IF(FT!A852&lt;&gt;"",FT!A852*10,"")</f>
        <v/>
      </c>
      <c r="G852" s="61" t="str">
        <f>IF(FT!B852&lt;&gt;"",FT!B852*100,"")</f>
        <v/>
      </c>
      <c r="H852" s="61" t="str">
        <f t="shared" si="38"/>
        <v/>
      </c>
      <c r="I852" t="str">
        <f>IF(FT!B852&lt;&gt;"",FT!E852,"")</f>
        <v/>
      </c>
      <c r="J852" t="str">
        <f>IF(FT!B852&lt;&gt;"",FT!C852,"")</f>
        <v/>
      </c>
    </row>
    <row r="853" spans="5:10">
      <c r="E853">
        <f t="shared" si="39"/>
        <v>851</v>
      </c>
      <c r="F853" s="61" t="str">
        <f>IF(FT!A853&lt;&gt;"",FT!A853*10,"")</f>
        <v/>
      </c>
      <c r="G853" s="61" t="str">
        <f>IF(FT!B853&lt;&gt;"",FT!B853*100,"")</f>
        <v/>
      </c>
      <c r="H853" s="61" t="str">
        <f t="shared" si="38"/>
        <v/>
      </c>
      <c r="I853" t="str">
        <f>IF(FT!B853&lt;&gt;"",FT!E853,"")</f>
        <v/>
      </c>
      <c r="J853" t="str">
        <f>IF(FT!B853&lt;&gt;"",FT!C853,"")</f>
        <v/>
      </c>
    </row>
    <row r="854" spans="5:10">
      <c r="E854">
        <f t="shared" si="39"/>
        <v>852</v>
      </c>
      <c r="F854" s="61" t="str">
        <f>IF(FT!A854&lt;&gt;"",FT!A854*10,"")</f>
        <v/>
      </c>
      <c r="G854" s="61" t="str">
        <f>IF(FT!B854&lt;&gt;"",FT!B854*100,"")</f>
        <v/>
      </c>
      <c r="H854" s="61" t="str">
        <f t="shared" si="38"/>
        <v/>
      </c>
      <c r="I854" t="str">
        <f>IF(FT!B854&lt;&gt;"",FT!E854,"")</f>
        <v/>
      </c>
      <c r="J854" t="str">
        <f>IF(FT!B854&lt;&gt;"",FT!C854,"")</f>
        <v/>
      </c>
    </row>
    <row r="855" spans="5:10">
      <c r="E855">
        <f t="shared" si="39"/>
        <v>853</v>
      </c>
      <c r="F855" s="61" t="str">
        <f>IF(FT!A855&lt;&gt;"",FT!A855*10,"")</f>
        <v/>
      </c>
      <c r="G855" s="61" t="str">
        <f>IF(FT!B855&lt;&gt;"",FT!B855*100,"")</f>
        <v/>
      </c>
      <c r="H855" s="61" t="str">
        <f t="shared" si="38"/>
        <v/>
      </c>
      <c r="I855" t="str">
        <f>IF(FT!B855&lt;&gt;"",FT!E855,"")</f>
        <v/>
      </c>
      <c r="J855" t="str">
        <f>IF(FT!B855&lt;&gt;"",FT!C855,"")</f>
        <v/>
      </c>
    </row>
    <row r="856" spans="5:10">
      <c r="E856">
        <f t="shared" si="39"/>
        <v>854</v>
      </c>
      <c r="F856" s="61" t="str">
        <f>IF(FT!A856&lt;&gt;"",FT!A856*10,"")</f>
        <v/>
      </c>
      <c r="G856" s="61" t="str">
        <f>IF(FT!B856&lt;&gt;"",FT!B856*100,"")</f>
        <v/>
      </c>
      <c r="H856" s="61" t="str">
        <f t="shared" si="38"/>
        <v/>
      </c>
      <c r="I856" t="str">
        <f>IF(FT!B856&lt;&gt;"",FT!E856,"")</f>
        <v/>
      </c>
      <c r="J856" t="str">
        <f>IF(FT!B856&lt;&gt;"",FT!C856,"")</f>
        <v/>
      </c>
    </row>
    <row r="857" spans="5:10">
      <c r="E857">
        <f t="shared" si="39"/>
        <v>855</v>
      </c>
      <c r="F857" s="61" t="str">
        <f>IF(FT!A857&lt;&gt;"",FT!A857*10,"")</f>
        <v/>
      </c>
      <c r="G857" s="61" t="str">
        <f>IF(FT!B857&lt;&gt;"",FT!B857*100,"")</f>
        <v/>
      </c>
      <c r="H857" s="61" t="str">
        <f t="shared" si="38"/>
        <v/>
      </c>
      <c r="I857" t="str">
        <f>IF(FT!B857&lt;&gt;"",FT!E857,"")</f>
        <v/>
      </c>
      <c r="J857" t="str">
        <f>IF(FT!B857&lt;&gt;"",FT!C857,"")</f>
        <v/>
      </c>
    </row>
    <row r="858" spans="5:10">
      <c r="E858">
        <f t="shared" si="39"/>
        <v>856</v>
      </c>
      <c r="F858" s="61" t="str">
        <f>IF(FT!A858&lt;&gt;"",FT!A858*10,"")</f>
        <v/>
      </c>
      <c r="G858" s="61" t="str">
        <f>IF(FT!B858&lt;&gt;"",FT!B858*100,"")</f>
        <v/>
      </c>
      <c r="H858" s="61" t="str">
        <f t="shared" si="38"/>
        <v/>
      </c>
      <c r="I858" t="str">
        <f>IF(FT!B858&lt;&gt;"",FT!E858,"")</f>
        <v/>
      </c>
      <c r="J858" t="str">
        <f>IF(FT!B858&lt;&gt;"",FT!C858,"")</f>
        <v/>
      </c>
    </row>
    <row r="859" spans="5:10">
      <c r="E859">
        <f t="shared" si="39"/>
        <v>857</v>
      </c>
      <c r="F859" s="61" t="str">
        <f>IF(FT!A859&lt;&gt;"",FT!A859*10,"")</f>
        <v/>
      </c>
      <c r="G859" s="61" t="str">
        <f>IF(FT!B859&lt;&gt;"",FT!B859*100,"")</f>
        <v/>
      </c>
      <c r="H859" s="61" t="str">
        <f t="shared" si="38"/>
        <v/>
      </c>
      <c r="I859" t="str">
        <f>IF(FT!B859&lt;&gt;"",FT!E859,"")</f>
        <v/>
      </c>
      <c r="J859" t="str">
        <f>IF(FT!B859&lt;&gt;"",FT!C859,"")</f>
        <v/>
      </c>
    </row>
    <row r="860" spans="5:10">
      <c r="E860">
        <f t="shared" si="39"/>
        <v>858</v>
      </c>
      <c r="F860" s="61" t="str">
        <f>IF(FT!A860&lt;&gt;"",FT!A860*10,"")</f>
        <v/>
      </c>
      <c r="G860" s="61" t="str">
        <f>IF(FT!B860&lt;&gt;"",FT!B860*100,"")</f>
        <v/>
      </c>
      <c r="H860" s="61" t="str">
        <f t="shared" si="38"/>
        <v/>
      </c>
      <c r="I860" t="str">
        <f>IF(FT!B860&lt;&gt;"",FT!E860,"")</f>
        <v/>
      </c>
      <c r="J860" t="str">
        <f>IF(FT!B860&lt;&gt;"",FT!C860,"")</f>
        <v/>
      </c>
    </row>
    <row r="861" spans="5:10">
      <c r="E861">
        <f t="shared" si="39"/>
        <v>859</v>
      </c>
      <c r="F861" s="61" t="str">
        <f>IF(FT!A861&lt;&gt;"",FT!A861*10,"")</f>
        <v/>
      </c>
      <c r="G861" s="61" t="str">
        <f>IF(FT!B861&lt;&gt;"",FT!B861*100,"")</f>
        <v/>
      </c>
      <c r="H861" s="61" t="str">
        <f t="shared" si="38"/>
        <v/>
      </c>
      <c r="I861" t="str">
        <f>IF(FT!B861&lt;&gt;"",FT!E861,"")</f>
        <v/>
      </c>
      <c r="J861" t="str">
        <f>IF(FT!B861&lt;&gt;"",FT!C861,"")</f>
        <v/>
      </c>
    </row>
    <row r="862" spans="5:10">
      <c r="E862">
        <f t="shared" si="39"/>
        <v>860</v>
      </c>
      <c r="F862" s="61" t="str">
        <f>IF(FT!A862&lt;&gt;"",FT!A862*10,"")</f>
        <v/>
      </c>
      <c r="G862" s="61" t="str">
        <f>IF(FT!B862&lt;&gt;"",FT!B862*100,"")</f>
        <v/>
      </c>
      <c r="H862" s="61" t="str">
        <f t="shared" si="38"/>
        <v/>
      </c>
      <c r="I862" t="str">
        <f>IF(FT!B862&lt;&gt;"",FT!E862,"")</f>
        <v/>
      </c>
      <c r="J862" t="str">
        <f>IF(FT!B862&lt;&gt;"",FT!C862,"")</f>
        <v/>
      </c>
    </row>
    <row r="863" spans="5:10">
      <c r="E863">
        <f t="shared" si="39"/>
        <v>861</v>
      </c>
      <c r="F863" s="61" t="str">
        <f>IF(FT!A863&lt;&gt;"",FT!A863*10,"")</f>
        <v/>
      </c>
      <c r="G863" s="61" t="str">
        <f>IF(FT!B863&lt;&gt;"",FT!B863*100,"")</f>
        <v/>
      </c>
      <c r="H863" s="61" t="str">
        <f t="shared" si="38"/>
        <v/>
      </c>
      <c r="I863" t="str">
        <f>IF(FT!B863&lt;&gt;"",FT!E863,"")</f>
        <v/>
      </c>
      <c r="J863" t="str">
        <f>IF(FT!B863&lt;&gt;"",FT!C863,"")</f>
        <v/>
      </c>
    </row>
    <row r="864" spans="5:10">
      <c r="E864">
        <f t="shared" si="39"/>
        <v>862</v>
      </c>
      <c r="F864" s="61" t="str">
        <f>IF(FT!A864&lt;&gt;"",FT!A864*10,"")</f>
        <v/>
      </c>
      <c r="G864" s="61" t="str">
        <f>IF(FT!B864&lt;&gt;"",FT!B864*100,"")</f>
        <v/>
      </c>
      <c r="H864" s="61" t="str">
        <f t="shared" si="38"/>
        <v/>
      </c>
      <c r="I864" t="str">
        <f>IF(FT!B864&lt;&gt;"",FT!E864,"")</f>
        <v/>
      </c>
      <c r="J864" t="str">
        <f>IF(FT!B864&lt;&gt;"",FT!C864,"")</f>
        <v/>
      </c>
    </row>
    <row r="865" spans="5:10">
      <c r="E865">
        <f t="shared" si="39"/>
        <v>863</v>
      </c>
      <c r="F865" s="61" t="str">
        <f>IF(FT!A865&lt;&gt;"",FT!A865*10,"")</f>
        <v/>
      </c>
      <c r="G865" s="61" t="str">
        <f>IF(FT!B865&lt;&gt;"",FT!B865*100,"")</f>
        <v/>
      </c>
      <c r="H865" s="61" t="str">
        <f t="shared" si="38"/>
        <v/>
      </c>
      <c r="I865" t="str">
        <f>IF(FT!B865&lt;&gt;"",FT!E865,"")</f>
        <v/>
      </c>
      <c r="J865" t="str">
        <f>IF(FT!B865&lt;&gt;"",FT!C865,"")</f>
        <v/>
      </c>
    </row>
    <row r="866" spans="5:10">
      <c r="E866">
        <f t="shared" si="39"/>
        <v>864</v>
      </c>
      <c r="F866" s="61" t="str">
        <f>IF(FT!A866&lt;&gt;"",FT!A866*10,"")</f>
        <v/>
      </c>
      <c r="G866" s="61" t="str">
        <f>IF(FT!B866&lt;&gt;"",FT!B866*100,"")</f>
        <v/>
      </c>
      <c r="H866" s="61" t="str">
        <f t="shared" si="38"/>
        <v/>
      </c>
      <c r="I866" t="str">
        <f>IF(FT!B866&lt;&gt;"",FT!E866,"")</f>
        <v/>
      </c>
      <c r="J866" t="str">
        <f>IF(FT!B866&lt;&gt;"",FT!C866,"")</f>
        <v/>
      </c>
    </row>
    <row r="867" spans="5:10">
      <c r="E867">
        <f t="shared" si="39"/>
        <v>865</v>
      </c>
      <c r="F867" s="61" t="str">
        <f>IF(FT!A867&lt;&gt;"",FT!A867*10,"")</f>
        <v/>
      </c>
      <c r="G867" s="61" t="str">
        <f>IF(FT!B867&lt;&gt;"",FT!B867*100,"")</f>
        <v/>
      </c>
      <c r="H867" s="61" t="str">
        <f t="shared" si="38"/>
        <v/>
      </c>
      <c r="I867" t="str">
        <f>IF(FT!B867&lt;&gt;"",FT!E867,"")</f>
        <v/>
      </c>
      <c r="J867" t="str">
        <f>IF(FT!B867&lt;&gt;"",FT!C867,"")</f>
        <v/>
      </c>
    </row>
    <row r="868" spans="5:10">
      <c r="E868">
        <f t="shared" si="39"/>
        <v>866</v>
      </c>
      <c r="F868" s="61" t="str">
        <f>IF(FT!A868&lt;&gt;"",FT!A868*10,"")</f>
        <v/>
      </c>
      <c r="G868" s="61" t="str">
        <f>IF(FT!B868&lt;&gt;"",FT!B868*100,"")</f>
        <v/>
      </c>
      <c r="H868" s="61" t="str">
        <f t="shared" si="38"/>
        <v/>
      </c>
      <c r="I868" t="str">
        <f>IF(FT!B868&lt;&gt;"",FT!E868,"")</f>
        <v/>
      </c>
      <c r="J868" t="str">
        <f>IF(FT!B868&lt;&gt;"",FT!C868,"")</f>
        <v/>
      </c>
    </row>
    <row r="869" spans="5:10">
      <c r="E869">
        <f t="shared" si="39"/>
        <v>867</v>
      </c>
      <c r="F869" s="61" t="str">
        <f>IF(FT!A869&lt;&gt;"",FT!A869*10,"")</f>
        <v/>
      </c>
      <c r="G869" s="61" t="str">
        <f>IF(FT!B869&lt;&gt;"",FT!B869*100,"")</f>
        <v/>
      </c>
      <c r="H869" s="61" t="str">
        <f t="shared" si="38"/>
        <v/>
      </c>
      <c r="I869" t="str">
        <f>IF(FT!B869&lt;&gt;"",FT!E869,"")</f>
        <v/>
      </c>
      <c r="J869" t="str">
        <f>IF(FT!B869&lt;&gt;"",FT!C869,"")</f>
        <v/>
      </c>
    </row>
    <row r="870" spans="5:10">
      <c r="E870">
        <f t="shared" si="39"/>
        <v>868</v>
      </c>
      <c r="F870" s="61" t="str">
        <f>IF(FT!A870&lt;&gt;"",FT!A870*10,"")</f>
        <v/>
      </c>
      <c r="G870" s="61" t="str">
        <f>IF(FT!B870&lt;&gt;"",FT!B870*100,"")</f>
        <v/>
      </c>
      <c r="H870" s="61" t="str">
        <f t="shared" si="38"/>
        <v/>
      </c>
      <c r="I870" t="str">
        <f>IF(FT!B870&lt;&gt;"",FT!E870,"")</f>
        <v/>
      </c>
      <c r="J870" t="str">
        <f>IF(FT!B870&lt;&gt;"",FT!C870,"")</f>
        <v/>
      </c>
    </row>
    <row r="871" spans="5:10">
      <c r="E871">
        <f t="shared" si="39"/>
        <v>869</v>
      </c>
      <c r="F871" s="61" t="str">
        <f>IF(FT!A871&lt;&gt;"",FT!A871*10,"")</f>
        <v/>
      </c>
      <c r="G871" s="61" t="str">
        <f>IF(FT!B871&lt;&gt;"",FT!B871*100,"")</f>
        <v/>
      </c>
      <c r="H871" s="61" t="str">
        <f t="shared" si="38"/>
        <v/>
      </c>
      <c r="I871" t="str">
        <f>IF(FT!B871&lt;&gt;"",FT!E871,"")</f>
        <v/>
      </c>
      <c r="J871" t="str">
        <f>IF(FT!B871&lt;&gt;"",FT!C871,"")</f>
        <v/>
      </c>
    </row>
    <row r="872" spans="5:10">
      <c r="E872">
        <f t="shared" si="39"/>
        <v>870</v>
      </c>
      <c r="F872" s="61" t="str">
        <f>IF(FT!A872&lt;&gt;"",FT!A872*10,"")</f>
        <v/>
      </c>
      <c r="G872" s="61" t="str">
        <f>IF(FT!B872&lt;&gt;"",FT!B872*100,"")</f>
        <v/>
      </c>
      <c r="H872" s="61" t="str">
        <f t="shared" si="38"/>
        <v/>
      </c>
      <c r="I872" t="str">
        <f>IF(FT!B872&lt;&gt;"",FT!E872,"")</f>
        <v/>
      </c>
      <c r="J872" t="str">
        <f>IF(FT!B872&lt;&gt;"",FT!C872,"")</f>
        <v/>
      </c>
    </row>
    <row r="873" spans="5:10">
      <c r="E873">
        <f t="shared" si="39"/>
        <v>871</v>
      </c>
      <c r="F873" s="61" t="str">
        <f>IF(FT!A873&lt;&gt;"",FT!A873*10,"")</f>
        <v/>
      </c>
      <c r="G873" s="61" t="str">
        <f>IF(FT!B873&lt;&gt;"",FT!B873*100,"")</f>
        <v/>
      </c>
      <c r="H873" s="61" t="str">
        <f t="shared" si="38"/>
        <v/>
      </c>
      <c r="I873" t="str">
        <f>IF(FT!B873&lt;&gt;"",FT!E873,"")</f>
        <v/>
      </c>
      <c r="J873" t="str">
        <f>IF(FT!B873&lt;&gt;"",FT!C873,"")</f>
        <v/>
      </c>
    </row>
    <row r="874" spans="5:10">
      <c r="E874">
        <f t="shared" si="39"/>
        <v>872</v>
      </c>
      <c r="F874" s="61" t="str">
        <f>IF(FT!A874&lt;&gt;"",FT!A874*10,"")</f>
        <v/>
      </c>
      <c r="G874" s="61" t="str">
        <f>IF(FT!B874&lt;&gt;"",FT!B874*100,"")</f>
        <v/>
      </c>
      <c r="H874" s="61" t="str">
        <f t="shared" si="38"/>
        <v/>
      </c>
      <c r="I874" t="str">
        <f>IF(FT!B874&lt;&gt;"",FT!E874,"")</f>
        <v/>
      </c>
      <c r="J874" t="str">
        <f>IF(FT!B874&lt;&gt;"",FT!C874,"")</f>
        <v/>
      </c>
    </row>
    <row r="875" spans="5:10">
      <c r="E875">
        <f t="shared" si="39"/>
        <v>873</v>
      </c>
      <c r="F875" s="61" t="str">
        <f>IF(FT!A875&lt;&gt;"",FT!A875*10,"")</f>
        <v/>
      </c>
      <c r="G875" s="61" t="str">
        <f>IF(FT!B875&lt;&gt;"",FT!B875*100,"")</f>
        <v/>
      </c>
      <c r="H875" s="61" t="str">
        <f t="shared" si="38"/>
        <v/>
      </c>
      <c r="I875" t="str">
        <f>IF(FT!B875&lt;&gt;"",FT!E875,"")</f>
        <v/>
      </c>
      <c r="J875" t="str">
        <f>IF(FT!B875&lt;&gt;"",FT!C875,"")</f>
        <v/>
      </c>
    </row>
    <row r="876" spans="5:10">
      <c r="E876">
        <f t="shared" si="39"/>
        <v>874</v>
      </c>
      <c r="F876" s="61" t="str">
        <f>IF(FT!A876&lt;&gt;"",FT!A876*10,"")</f>
        <v/>
      </c>
      <c r="G876" s="61" t="str">
        <f>IF(FT!B876&lt;&gt;"",FT!B876*100,"")</f>
        <v/>
      </c>
      <c r="H876" s="61" t="str">
        <f t="shared" si="38"/>
        <v/>
      </c>
      <c r="I876" t="str">
        <f>IF(FT!B876&lt;&gt;"",FT!E876,"")</f>
        <v/>
      </c>
      <c r="J876" t="str">
        <f>IF(FT!B876&lt;&gt;"",FT!C876,"")</f>
        <v/>
      </c>
    </row>
    <row r="877" spans="5:10">
      <c r="E877">
        <f t="shared" si="39"/>
        <v>875</v>
      </c>
      <c r="F877" s="61" t="str">
        <f>IF(FT!A877&lt;&gt;"",FT!A877*10,"")</f>
        <v/>
      </c>
      <c r="G877" s="61" t="str">
        <f>IF(FT!B877&lt;&gt;"",FT!B877*100,"")</f>
        <v/>
      </c>
      <c r="H877" s="61" t="str">
        <f t="shared" si="38"/>
        <v/>
      </c>
      <c r="I877" t="str">
        <f>IF(FT!B877&lt;&gt;"",FT!E877,"")</f>
        <v/>
      </c>
      <c r="J877" t="str">
        <f>IF(FT!B877&lt;&gt;"",FT!C877,"")</f>
        <v/>
      </c>
    </row>
    <row r="878" spans="5:10">
      <c r="E878">
        <f t="shared" si="39"/>
        <v>876</v>
      </c>
      <c r="F878" s="61" t="str">
        <f>IF(FT!A878&lt;&gt;"",FT!A878*10,"")</f>
        <v/>
      </c>
      <c r="G878" s="61" t="str">
        <f>IF(FT!B878&lt;&gt;"",FT!B878*100,"")</f>
        <v/>
      </c>
      <c r="H878" s="61" t="str">
        <f t="shared" si="38"/>
        <v/>
      </c>
      <c r="I878" t="str">
        <f>IF(FT!B878&lt;&gt;"",FT!E878,"")</f>
        <v/>
      </c>
      <c r="J878" t="str">
        <f>IF(FT!B878&lt;&gt;"",FT!C878,"")</f>
        <v/>
      </c>
    </row>
    <row r="879" spans="5:10">
      <c r="E879">
        <f t="shared" si="39"/>
        <v>877</v>
      </c>
      <c r="F879" s="61" t="str">
        <f>IF(FT!A879&lt;&gt;"",FT!A879*10,"")</f>
        <v/>
      </c>
      <c r="G879" s="61" t="str">
        <f>IF(FT!B879&lt;&gt;"",FT!B879*100,"")</f>
        <v/>
      </c>
      <c r="H879" s="61" t="str">
        <f t="shared" si="38"/>
        <v/>
      </c>
      <c r="I879" t="str">
        <f>IF(FT!B879&lt;&gt;"",FT!E879,"")</f>
        <v/>
      </c>
      <c r="J879" t="str">
        <f>IF(FT!B879&lt;&gt;"",FT!C879,"")</f>
        <v/>
      </c>
    </row>
    <row r="880" spans="5:10">
      <c r="E880">
        <f t="shared" si="39"/>
        <v>878</v>
      </c>
      <c r="F880" s="61" t="str">
        <f>IF(FT!A880&lt;&gt;"",FT!A880*10,"")</f>
        <v/>
      </c>
      <c r="G880" s="61" t="str">
        <f>IF(FT!B880&lt;&gt;"",FT!B880*100,"")</f>
        <v/>
      </c>
      <c r="H880" s="61" t="str">
        <f t="shared" si="38"/>
        <v/>
      </c>
      <c r="I880" t="str">
        <f>IF(FT!B880&lt;&gt;"",FT!E880,"")</f>
        <v/>
      </c>
      <c r="J880" t="str">
        <f>IF(FT!B880&lt;&gt;"",FT!C880,"")</f>
        <v/>
      </c>
    </row>
    <row r="881" spans="5:10">
      <c r="E881">
        <f t="shared" si="39"/>
        <v>879</v>
      </c>
      <c r="F881" s="61" t="str">
        <f>IF(FT!A881&lt;&gt;"",FT!A881*10,"")</f>
        <v/>
      </c>
      <c r="G881" s="61" t="str">
        <f>IF(FT!B881&lt;&gt;"",FT!B881*100,"")</f>
        <v/>
      </c>
      <c r="H881" s="61" t="str">
        <f t="shared" si="38"/>
        <v/>
      </c>
      <c r="I881" t="str">
        <f>IF(FT!B881&lt;&gt;"",FT!E881,"")</f>
        <v/>
      </c>
      <c r="J881" t="str">
        <f>IF(FT!B881&lt;&gt;"",FT!C881,"")</f>
        <v/>
      </c>
    </row>
    <row r="882" spans="5:10">
      <c r="E882">
        <f t="shared" si="39"/>
        <v>880</v>
      </c>
      <c r="F882" s="61" t="str">
        <f>IF(FT!A882&lt;&gt;"",FT!A882*10,"")</f>
        <v/>
      </c>
      <c r="G882" s="61" t="str">
        <f>IF(FT!B882&lt;&gt;"",FT!B882*100,"")</f>
        <v/>
      </c>
      <c r="H882" s="61" t="str">
        <f t="shared" si="38"/>
        <v/>
      </c>
      <c r="I882" t="str">
        <f>IF(FT!B882&lt;&gt;"",FT!E882,"")</f>
        <v/>
      </c>
      <c r="J882" t="str">
        <f>IF(FT!B882&lt;&gt;"",FT!C882,"")</f>
        <v/>
      </c>
    </row>
    <row r="883" spans="5:10">
      <c r="E883">
        <f t="shared" si="39"/>
        <v>881</v>
      </c>
      <c r="F883" s="61" t="str">
        <f>IF(FT!A883&lt;&gt;"",FT!A883*10,"")</f>
        <v/>
      </c>
      <c r="G883" s="61" t="str">
        <f>IF(FT!B883&lt;&gt;"",FT!B883*100,"")</f>
        <v/>
      </c>
      <c r="H883" s="61" t="str">
        <f t="shared" si="38"/>
        <v/>
      </c>
      <c r="I883" t="str">
        <f>IF(FT!B883&lt;&gt;"",FT!E883,"")</f>
        <v/>
      </c>
      <c r="J883" t="str">
        <f>IF(FT!B883&lt;&gt;"",FT!C883,"")</f>
        <v/>
      </c>
    </row>
    <row r="884" spans="5:10">
      <c r="E884">
        <f t="shared" si="39"/>
        <v>882</v>
      </c>
      <c r="F884" s="61" t="str">
        <f>IF(FT!A884&lt;&gt;"",FT!A884*10,"")</f>
        <v/>
      </c>
      <c r="G884" s="61" t="str">
        <f>IF(FT!B884&lt;&gt;"",FT!B884*100,"")</f>
        <v/>
      </c>
      <c r="H884" s="61" t="str">
        <f t="shared" si="38"/>
        <v/>
      </c>
      <c r="I884" t="str">
        <f>IF(FT!B884&lt;&gt;"",FT!E884,"")</f>
        <v/>
      </c>
      <c r="J884" t="str">
        <f>IF(FT!B884&lt;&gt;"",FT!C884,"")</f>
        <v/>
      </c>
    </row>
    <row r="885" spans="5:10">
      <c r="E885">
        <f t="shared" si="39"/>
        <v>883</v>
      </c>
      <c r="F885" s="61" t="str">
        <f>IF(FT!A885&lt;&gt;"",FT!A885*10,"")</f>
        <v/>
      </c>
      <c r="G885" s="61" t="str">
        <f>IF(FT!B885&lt;&gt;"",FT!B885*100,"")</f>
        <v/>
      </c>
      <c r="H885" s="61" t="str">
        <f t="shared" si="38"/>
        <v/>
      </c>
      <c r="I885" t="str">
        <f>IF(FT!B885&lt;&gt;"",FT!E885,"")</f>
        <v/>
      </c>
      <c r="J885" t="str">
        <f>IF(FT!B885&lt;&gt;"",FT!C885,"")</f>
        <v/>
      </c>
    </row>
    <row r="886" spans="5:10">
      <c r="E886">
        <f t="shared" si="39"/>
        <v>884</v>
      </c>
      <c r="F886" s="61" t="str">
        <f>IF(FT!A886&lt;&gt;"",FT!A886*10,"")</f>
        <v/>
      </c>
      <c r="G886" s="61" t="str">
        <f>IF(FT!B886&lt;&gt;"",FT!B886*100,"")</f>
        <v/>
      </c>
      <c r="H886" s="61" t="str">
        <f t="shared" si="38"/>
        <v/>
      </c>
      <c r="I886" t="str">
        <f>IF(FT!B886&lt;&gt;"",FT!E886,"")</f>
        <v/>
      </c>
      <c r="J886" t="str">
        <f>IF(FT!B886&lt;&gt;"",FT!C886,"")</f>
        <v/>
      </c>
    </row>
    <row r="887" spans="5:10">
      <c r="E887">
        <f t="shared" si="39"/>
        <v>885</v>
      </c>
      <c r="F887" s="61" t="str">
        <f>IF(FT!A887&lt;&gt;"",FT!A887*10,"")</f>
        <v/>
      </c>
      <c r="G887" s="61" t="str">
        <f>IF(FT!B887&lt;&gt;"",FT!B887*100,"")</f>
        <v/>
      </c>
      <c r="H887" s="61" t="str">
        <f t="shared" si="38"/>
        <v/>
      </c>
      <c r="I887" t="str">
        <f>IF(FT!B887&lt;&gt;"",FT!E887,"")</f>
        <v/>
      </c>
      <c r="J887" t="str">
        <f>IF(FT!B887&lt;&gt;"",FT!C887,"")</f>
        <v/>
      </c>
    </row>
    <row r="888" spans="5:10">
      <c r="E888">
        <f t="shared" si="39"/>
        <v>886</v>
      </c>
      <c r="F888" s="61" t="str">
        <f>IF(FT!A888&lt;&gt;"",FT!A888*10,"")</f>
        <v/>
      </c>
      <c r="G888" s="61" t="str">
        <f>IF(FT!B888&lt;&gt;"",FT!B888*100,"")</f>
        <v/>
      </c>
      <c r="H888" s="61" t="str">
        <f t="shared" si="38"/>
        <v/>
      </c>
      <c r="I888" t="str">
        <f>IF(FT!B888&lt;&gt;"",FT!E888,"")</f>
        <v/>
      </c>
      <c r="J888" t="str">
        <f>IF(FT!B888&lt;&gt;"",FT!C888,"")</f>
        <v/>
      </c>
    </row>
    <row r="889" spans="5:10">
      <c r="E889">
        <f t="shared" si="39"/>
        <v>887</v>
      </c>
      <c r="F889" s="61" t="str">
        <f>IF(FT!A889&lt;&gt;"",FT!A889*10,"")</f>
        <v/>
      </c>
      <c r="G889" s="61" t="str">
        <f>IF(FT!B889&lt;&gt;"",FT!B889*100,"")</f>
        <v/>
      </c>
      <c r="H889" s="61" t="str">
        <f t="shared" si="38"/>
        <v/>
      </c>
      <c r="I889" t="str">
        <f>IF(FT!B889&lt;&gt;"",FT!E889,"")</f>
        <v/>
      </c>
      <c r="J889" t="str">
        <f>IF(FT!B889&lt;&gt;"",FT!C889,"")</f>
        <v/>
      </c>
    </row>
    <row r="890" spans="5:10">
      <c r="E890">
        <f t="shared" si="39"/>
        <v>888</v>
      </c>
      <c r="F890" s="61" t="str">
        <f>IF(FT!A890&lt;&gt;"",FT!A890*10,"")</f>
        <v/>
      </c>
      <c r="G890" s="61" t="str">
        <f>IF(FT!B890&lt;&gt;"",FT!B890*100,"")</f>
        <v/>
      </c>
      <c r="H890" s="61" t="str">
        <f t="shared" si="38"/>
        <v/>
      </c>
      <c r="I890" t="str">
        <f>IF(FT!B890&lt;&gt;"",FT!E890,"")</f>
        <v/>
      </c>
      <c r="J890" t="str">
        <f>IF(FT!B890&lt;&gt;"",FT!C890,"")</f>
        <v/>
      </c>
    </row>
    <row r="891" spans="5:10">
      <c r="E891">
        <f t="shared" si="39"/>
        <v>889</v>
      </c>
      <c r="F891" s="61" t="str">
        <f>IF(FT!A891&lt;&gt;"",FT!A891*10,"")</f>
        <v/>
      </c>
      <c r="G891" s="61" t="str">
        <f>IF(FT!B891&lt;&gt;"",FT!B891*100,"")</f>
        <v/>
      </c>
      <c r="H891" s="61" t="str">
        <f t="shared" si="38"/>
        <v/>
      </c>
      <c r="I891" t="str">
        <f>IF(FT!B891&lt;&gt;"",FT!E891,"")</f>
        <v/>
      </c>
      <c r="J891" t="str">
        <f>IF(FT!B891&lt;&gt;"",FT!C891,"")</f>
        <v/>
      </c>
    </row>
    <row r="892" spans="5:10">
      <c r="E892">
        <f t="shared" si="39"/>
        <v>890</v>
      </c>
      <c r="F892" s="61" t="str">
        <f>IF(FT!A892&lt;&gt;"",FT!A892*10,"")</f>
        <v/>
      </c>
      <c r="G892" s="61" t="str">
        <f>IF(FT!B892&lt;&gt;"",FT!B892*100,"")</f>
        <v/>
      </c>
      <c r="H892" s="61" t="str">
        <f t="shared" si="38"/>
        <v/>
      </c>
      <c r="I892" t="str">
        <f>IF(FT!B892&lt;&gt;"",FT!E892,"")</f>
        <v/>
      </c>
      <c r="J892" t="str">
        <f>IF(FT!B892&lt;&gt;"",FT!C892,"")</f>
        <v/>
      </c>
    </row>
    <row r="893" spans="5:10">
      <c r="E893">
        <f t="shared" si="39"/>
        <v>891</v>
      </c>
      <c r="F893" s="61" t="str">
        <f>IF(FT!A893&lt;&gt;"",FT!A893*10,"")</f>
        <v/>
      </c>
      <c r="G893" s="61" t="str">
        <f>IF(FT!B893&lt;&gt;"",FT!B893*100,"")</f>
        <v/>
      </c>
      <c r="H893" s="61" t="str">
        <f t="shared" si="38"/>
        <v/>
      </c>
      <c r="I893" t="str">
        <f>IF(FT!B893&lt;&gt;"",FT!E893,"")</f>
        <v/>
      </c>
      <c r="J893" t="str">
        <f>IF(FT!B893&lt;&gt;"",FT!C893,"")</f>
        <v/>
      </c>
    </row>
    <row r="894" spans="5:10">
      <c r="E894">
        <f t="shared" si="39"/>
        <v>892</v>
      </c>
      <c r="F894" s="61" t="str">
        <f>IF(FT!A894&lt;&gt;"",FT!A894*10,"")</f>
        <v/>
      </c>
      <c r="G894" s="61" t="str">
        <f>IF(FT!B894&lt;&gt;"",FT!B894*100,"")</f>
        <v/>
      </c>
      <c r="H894" s="61" t="str">
        <f t="shared" si="38"/>
        <v/>
      </c>
      <c r="I894" t="str">
        <f>IF(FT!B894&lt;&gt;"",FT!E894,"")</f>
        <v/>
      </c>
      <c r="J894" t="str">
        <f>IF(FT!B894&lt;&gt;"",FT!C894,"")</f>
        <v/>
      </c>
    </row>
    <row r="895" spans="5:10">
      <c r="E895">
        <f t="shared" si="39"/>
        <v>893</v>
      </c>
      <c r="F895" s="61" t="str">
        <f>IF(FT!A895&lt;&gt;"",FT!A895*10,"")</f>
        <v/>
      </c>
      <c r="G895" s="61" t="str">
        <f>IF(FT!B895&lt;&gt;"",FT!B895*100,"")</f>
        <v/>
      </c>
      <c r="H895" s="61" t="str">
        <f t="shared" si="38"/>
        <v/>
      </c>
      <c r="I895" t="str">
        <f>IF(FT!B895&lt;&gt;"",FT!E895,"")</f>
        <v/>
      </c>
      <c r="J895" t="str">
        <f>IF(FT!B895&lt;&gt;"",FT!C895,"")</f>
        <v/>
      </c>
    </row>
    <row r="896" spans="5:10">
      <c r="E896">
        <f t="shared" si="39"/>
        <v>894</v>
      </c>
      <c r="F896" s="61" t="str">
        <f>IF(FT!A896&lt;&gt;"",FT!A896*10,"")</f>
        <v/>
      </c>
      <c r="G896" s="61" t="str">
        <f>IF(FT!B896&lt;&gt;"",FT!B896*100,"")</f>
        <v/>
      </c>
      <c r="H896" s="61" t="str">
        <f t="shared" si="38"/>
        <v/>
      </c>
      <c r="I896" t="str">
        <f>IF(FT!B896&lt;&gt;"",FT!E896,"")</f>
        <v/>
      </c>
      <c r="J896" t="str">
        <f>IF(FT!B896&lt;&gt;"",FT!C896,"")</f>
        <v/>
      </c>
    </row>
    <row r="897" spans="5:10">
      <c r="E897">
        <f t="shared" si="39"/>
        <v>895</v>
      </c>
      <c r="F897" s="61" t="str">
        <f>IF(FT!A897&lt;&gt;"",FT!A897*10,"")</f>
        <v/>
      </c>
      <c r="G897" s="61" t="str">
        <f>IF(FT!B897&lt;&gt;"",FT!B897*100,"")</f>
        <v/>
      </c>
      <c r="H897" s="61" t="str">
        <f t="shared" si="38"/>
        <v/>
      </c>
      <c r="I897" t="str">
        <f>IF(FT!B897&lt;&gt;"",FT!E897,"")</f>
        <v/>
      </c>
      <c r="J897" t="str">
        <f>IF(FT!B897&lt;&gt;"",FT!C897,"")</f>
        <v/>
      </c>
    </row>
    <row r="898" spans="5:10">
      <c r="E898">
        <f t="shared" si="39"/>
        <v>896</v>
      </c>
      <c r="F898" s="61" t="str">
        <f>IF(FT!A898&lt;&gt;"",FT!A898*10,"")</f>
        <v/>
      </c>
      <c r="G898" s="61" t="str">
        <f>IF(FT!B898&lt;&gt;"",FT!B898*100,"")</f>
        <v/>
      </c>
      <c r="H898" s="61" t="str">
        <f t="shared" si="38"/>
        <v/>
      </c>
      <c r="I898" t="str">
        <f>IF(FT!B898&lt;&gt;"",FT!E898,"")</f>
        <v/>
      </c>
      <c r="J898" t="str">
        <f>IF(FT!B898&lt;&gt;"",FT!C898,"")</f>
        <v/>
      </c>
    </row>
    <row r="899" spans="5:10">
      <c r="E899">
        <f t="shared" si="39"/>
        <v>897</v>
      </c>
      <c r="F899" s="61" t="str">
        <f>IF(FT!A899&lt;&gt;"",FT!A899*10,"")</f>
        <v/>
      </c>
      <c r="G899" s="61" t="str">
        <f>IF(FT!B899&lt;&gt;"",FT!B899*100,"")</f>
        <v/>
      </c>
      <c r="H899" s="61" t="str">
        <f t="shared" ref="H899:H962" si="40">(IF(F899&lt;&gt;"",1,""))</f>
        <v/>
      </c>
      <c r="I899" t="str">
        <f>IF(FT!B899&lt;&gt;"",FT!E899,"")</f>
        <v/>
      </c>
      <c r="J899" t="str">
        <f>IF(FT!B899&lt;&gt;"",FT!C899,"")</f>
        <v/>
      </c>
    </row>
    <row r="900" spans="5:10">
      <c r="E900">
        <f t="shared" ref="E900:E963" si="41">E899+1</f>
        <v>898</v>
      </c>
      <c r="F900" s="61" t="str">
        <f>IF(FT!A900&lt;&gt;"",FT!A900*10,"")</f>
        <v/>
      </c>
      <c r="G900" s="61" t="str">
        <f>IF(FT!B900&lt;&gt;"",FT!B900*100,"")</f>
        <v/>
      </c>
      <c r="H900" s="61" t="str">
        <f t="shared" si="40"/>
        <v/>
      </c>
      <c r="I900" t="str">
        <f>IF(FT!B900&lt;&gt;"",FT!E900,"")</f>
        <v/>
      </c>
      <c r="J900" t="str">
        <f>IF(FT!B900&lt;&gt;"",FT!C900,"")</f>
        <v/>
      </c>
    </row>
    <row r="901" spans="5:10">
      <c r="E901">
        <f t="shared" si="41"/>
        <v>899</v>
      </c>
      <c r="F901" s="61" t="str">
        <f>IF(FT!A901&lt;&gt;"",FT!A901*10,"")</f>
        <v/>
      </c>
      <c r="G901" s="61" t="str">
        <f>IF(FT!B901&lt;&gt;"",FT!B901*100,"")</f>
        <v/>
      </c>
      <c r="H901" s="61" t="str">
        <f t="shared" si="40"/>
        <v/>
      </c>
      <c r="I901" t="str">
        <f>IF(FT!B901&lt;&gt;"",FT!E901,"")</f>
        <v/>
      </c>
      <c r="J901" t="str">
        <f>IF(FT!B901&lt;&gt;"",FT!C901,"")</f>
        <v/>
      </c>
    </row>
    <row r="902" spans="5:10">
      <c r="E902">
        <f t="shared" si="41"/>
        <v>900</v>
      </c>
      <c r="F902" s="61" t="str">
        <f>IF(FT!A902&lt;&gt;"",FT!A902*10,"")</f>
        <v/>
      </c>
      <c r="G902" s="61" t="str">
        <f>IF(FT!B902&lt;&gt;"",FT!B902*100,"")</f>
        <v/>
      </c>
      <c r="H902" s="61" t="str">
        <f t="shared" si="40"/>
        <v/>
      </c>
      <c r="I902" t="str">
        <f>IF(FT!B902&lt;&gt;"",FT!E902,"")</f>
        <v/>
      </c>
      <c r="J902" t="str">
        <f>IF(FT!B902&lt;&gt;"",FT!C902,"")</f>
        <v/>
      </c>
    </row>
    <row r="903" spans="5:10">
      <c r="E903">
        <f t="shared" si="41"/>
        <v>901</v>
      </c>
      <c r="F903" s="61" t="str">
        <f>IF(FT!A903&lt;&gt;"",FT!A903*10,"")</f>
        <v/>
      </c>
      <c r="G903" s="61" t="str">
        <f>IF(FT!B903&lt;&gt;"",FT!B903*100,"")</f>
        <v/>
      </c>
      <c r="H903" s="61" t="str">
        <f t="shared" si="40"/>
        <v/>
      </c>
      <c r="I903" t="str">
        <f>IF(FT!B903&lt;&gt;"",FT!E903,"")</f>
        <v/>
      </c>
      <c r="J903" t="str">
        <f>IF(FT!B903&lt;&gt;"",FT!C903,"")</f>
        <v/>
      </c>
    </row>
    <row r="904" spans="5:10">
      <c r="E904">
        <f t="shared" si="41"/>
        <v>902</v>
      </c>
      <c r="F904" s="61" t="str">
        <f>IF(FT!A904&lt;&gt;"",FT!A904*10,"")</f>
        <v/>
      </c>
      <c r="G904" s="61" t="str">
        <f>IF(FT!B904&lt;&gt;"",FT!B904*100,"")</f>
        <v/>
      </c>
      <c r="H904" s="61" t="str">
        <f t="shared" si="40"/>
        <v/>
      </c>
      <c r="I904" t="str">
        <f>IF(FT!B904&lt;&gt;"",FT!E904,"")</f>
        <v/>
      </c>
      <c r="J904" t="str">
        <f>IF(FT!B904&lt;&gt;"",FT!C904,"")</f>
        <v/>
      </c>
    </row>
    <row r="905" spans="5:10">
      <c r="E905">
        <f t="shared" si="41"/>
        <v>903</v>
      </c>
      <c r="F905" s="61" t="str">
        <f>IF(FT!A905&lt;&gt;"",FT!A905*10,"")</f>
        <v/>
      </c>
      <c r="G905" s="61" t="str">
        <f>IF(FT!B905&lt;&gt;"",FT!B905*100,"")</f>
        <v/>
      </c>
      <c r="H905" s="61" t="str">
        <f t="shared" si="40"/>
        <v/>
      </c>
      <c r="I905" t="str">
        <f>IF(FT!B905&lt;&gt;"",FT!E905,"")</f>
        <v/>
      </c>
      <c r="J905" t="str">
        <f>IF(FT!B905&lt;&gt;"",FT!C905,"")</f>
        <v/>
      </c>
    </row>
    <row r="906" spans="5:10">
      <c r="E906">
        <f t="shared" si="41"/>
        <v>904</v>
      </c>
      <c r="F906" s="61" t="str">
        <f>IF(FT!A906&lt;&gt;"",FT!A906*10,"")</f>
        <v/>
      </c>
      <c r="G906" s="61" t="str">
        <f>IF(FT!B906&lt;&gt;"",FT!B906*100,"")</f>
        <v/>
      </c>
      <c r="H906" s="61" t="str">
        <f t="shared" si="40"/>
        <v/>
      </c>
      <c r="I906" t="str">
        <f>IF(FT!B906&lt;&gt;"",FT!E906,"")</f>
        <v/>
      </c>
      <c r="J906" t="str">
        <f>IF(FT!B906&lt;&gt;"",FT!C906,"")</f>
        <v/>
      </c>
    </row>
    <row r="907" spans="5:10">
      <c r="E907">
        <f t="shared" si="41"/>
        <v>905</v>
      </c>
      <c r="F907" s="61" t="str">
        <f>IF(FT!A907&lt;&gt;"",FT!A907*10,"")</f>
        <v/>
      </c>
      <c r="G907" s="61" t="str">
        <f>IF(FT!B907&lt;&gt;"",FT!B907*100,"")</f>
        <v/>
      </c>
      <c r="H907" s="61" t="str">
        <f t="shared" si="40"/>
        <v/>
      </c>
      <c r="I907" t="str">
        <f>IF(FT!B907&lt;&gt;"",FT!E907,"")</f>
        <v/>
      </c>
      <c r="J907" t="str">
        <f>IF(FT!B907&lt;&gt;"",FT!C907,"")</f>
        <v/>
      </c>
    </row>
    <row r="908" spans="5:10">
      <c r="E908">
        <f t="shared" si="41"/>
        <v>906</v>
      </c>
      <c r="F908" s="61" t="str">
        <f>IF(FT!A908&lt;&gt;"",FT!A908*10,"")</f>
        <v/>
      </c>
      <c r="G908" s="61" t="str">
        <f>IF(FT!B908&lt;&gt;"",FT!B908*100,"")</f>
        <v/>
      </c>
      <c r="H908" s="61" t="str">
        <f t="shared" si="40"/>
        <v/>
      </c>
      <c r="I908" t="str">
        <f>IF(FT!B908&lt;&gt;"",FT!E908,"")</f>
        <v/>
      </c>
      <c r="J908" t="str">
        <f>IF(FT!B908&lt;&gt;"",FT!C908,"")</f>
        <v/>
      </c>
    </row>
    <row r="909" spans="5:10">
      <c r="E909">
        <f t="shared" si="41"/>
        <v>907</v>
      </c>
      <c r="F909" s="61" t="str">
        <f>IF(FT!A909&lt;&gt;"",FT!A909*10,"")</f>
        <v/>
      </c>
      <c r="G909" s="61" t="str">
        <f>IF(FT!B909&lt;&gt;"",FT!B909*100,"")</f>
        <v/>
      </c>
      <c r="H909" s="61" t="str">
        <f t="shared" si="40"/>
        <v/>
      </c>
      <c r="I909" t="str">
        <f>IF(FT!B909&lt;&gt;"",FT!E909,"")</f>
        <v/>
      </c>
      <c r="J909" t="str">
        <f>IF(FT!B909&lt;&gt;"",FT!C909,"")</f>
        <v/>
      </c>
    </row>
    <row r="910" spans="5:10">
      <c r="E910">
        <f t="shared" si="41"/>
        <v>908</v>
      </c>
      <c r="F910" s="61" t="str">
        <f>IF(FT!A910&lt;&gt;"",FT!A910*10,"")</f>
        <v/>
      </c>
      <c r="G910" s="61" t="str">
        <f>IF(FT!B910&lt;&gt;"",FT!B910*100,"")</f>
        <v/>
      </c>
      <c r="H910" s="61" t="str">
        <f t="shared" si="40"/>
        <v/>
      </c>
      <c r="I910" t="str">
        <f>IF(FT!B910&lt;&gt;"",FT!E910,"")</f>
        <v/>
      </c>
      <c r="J910" t="str">
        <f>IF(FT!B910&lt;&gt;"",FT!C910,"")</f>
        <v/>
      </c>
    </row>
    <row r="911" spans="5:10">
      <c r="E911">
        <f t="shared" si="41"/>
        <v>909</v>
      </c>
      <c r="F911" s="61" t="str">
        <f>IF(FT!A911&lt;&gt;"",FT!A911*10,"")</f>
        <v/>
      </c>
      <c r="G911" s="61" t="str">
        <f>IF(FT!B911&lt;&gt;"",FT!B911*100,"")</f>
        <v/>
      </c>
      <c r="H911" s="61" t="str">
        <f t="shared" si="40"/>
        <v/>
      </c>
      <c r="I911" t="str">
        <f>IF(FT!B911&lt;&gt;"",FT!E911,"")</f>
        <v/>
      </c>
      <c r="J911" t="str">
        <f>IF(FT!B911&lt;&gt;"",FT!C911,"")</f>
        <v/>
      </c>
    </row>
    <row r="912" spans="5:10">
      <c r="E912">
        <f t="shared" si="41"/>
        <v>910</v>
      </c>
      <c r="F912" s="61" t="str">
        <f>IF(FT!A912&lt;&gt;"",FT!A912*10,"")</f>
        <v/>
      </c>
      <c r="G912" s="61" t="str">
        <f>IF(FT!B912&lt;&gt;"",FT!B912*100,"")</f>
        <v/>
      </c>
      <c r="H912" s="61" t="str">
        <f t="shared" si="40"/>
        <v/>
      </c>
      <c r="I912" t="str">
        <f>IF(FT!B912&lt;&gt;"",FT!E912,"")</f>
        <v/>
      </c>
      <c r="J912" t="str">
        <f>IF(FT!B912&lt;&gt;"",FT!C912,"")</f>
        <v/>
      </c>
    </row>
    <row r="913" spans="5:10">
      <c r="E913">
        <f t="shared" si="41"/>
        <v>911</v>
      </c>
      <c r="F913" s="61" t="str">
        <f>IF(FT!A913&lt;&gt;"",FT!A913*10,"")</f>
        <v/>
      </c>
      <c r="G913" s="61" t="str">
        <f>IF(FT!B913&lt;&gt;"",FT!B913*100,"")</f>
        <v/>
      </c>
      <c r="H913" s="61" t="str">
        <f t="shared" si="40"/>
        <v/>
      </c>
      <c r="I913" t="str">
        <f>IF(FT!B913&lt;&gt;"",FT!E913,"")</f>
        <v/>
      </c>
      <c r="J913" t="str">
        <f>IF(FT!B913&lt;&gt;"",FT!C913,"")</f>
        <v/>
      </c>
    </row>
    <row r="914" spans="5:10">
      <c r="E914">
        <f t="shared" si="41"/>
        <v>912</v>
      </c>
      <c r="F914" s="61" t="str">
        <f>IF(FT!A914&lt;&gt;"",FT!A914*10,"")</f>
        <v/>
      </c>
      <c r="G914" s="61" t="str">
        <f>IF(FT!B914&lt;&gt;"",FT!B914*100,"")</f>
        <v/>
      </c>
      <c r="H914" s="61" t="str">
        <f t="shared" si="40"/>
        <v/>
      </c>
      <c r="I914" t="str">
        <f>IF(FT!B914&lt;&gt;"",FT!E914,"")</f>
        <v/>
      </c>
      <c r="J914" t="str">
        <f>IF(FT!B914&lt;&gt;"",FT!C914,"")</f>
        <v/>
      </c>
    </row>
    <row r="915" spans="5:10">
      <c r="E915">
        <f t="shared" si="41"/>
        <v>913</v>
      </c>
      <c r="F915" s="61" t="str">
        <f>IF(FT!A915&lt;&gt;"",FT!A915*10,"")</f>
        <v/>
      </c>
      <c r="G915" s="61" t="str">
        <f>IF(FT!B915&lt;&gt;"",FT!B915*100,"")</f>
        <v/>
      </c>
      <c r="H915" s="61" t="str">
        <f t="shared" si="40"/>
        <v/>
      </c>
      <c r="I915" t="str">
        <f>IF(FT!B915&lt;&gt;"",FT!E915,"")</f>
        <v/>
      </c>
      <c r="J915" t="str">
        <f>IF(FT!B915&lt;&gt;"",FT!C915,"")</f>
        <v/>
      </c>
    </row>
    <row r="916" spans="5:10">
      <c r="E916">
        <f t="shared" si="41"/>
        <v>914</v>
      </c>
      <c r="F916" s="61" t="str">
        <f>IF(FT!A916&lt;&gt;"",FT!A916*10,"")</f>
        <v/>
      </c>
      <c r="G916" s="61" t="str">
        <f>IF(FT!B916&lt;&gt;"",FT!B916*100,"")</f>
        <v/>
      </c>
      <c r="H916" s="61" t="str">
        <f t="shared" si="40"/>
        <v/>
      </c>
      <c r="I916" t="str">
        <f>IF(FT!B916&lt;&gt;"",FT!E916,"")</f>
        <v/>
      </c>
      <c r="J916" t="str">
        <f>IF(FT!B916&lt;&gt;"",FT!C916,"")</f>
        <v/>
      </c>
    </row>
    <row r="917" spans="5:10">
      <c r="E917">
        <f t="shared" si="41"/>
        <v>915</v>
      </c>
      <c r="F917" s="61" t="str">
        <f>IF(FT!A917&lt;&gt;"",FT!A917*10,"")</f>
        <v/>
      </c>
      <c r="G917" s="61" t="str">
        <f>IF(FT!B917&lt;&gt;"",FT!B917*100,"")</f>
        <v/>
      </c>
      <c r="H917" s="61" t="str">
        <f t="shared" si="40"/>
        <v/>
      </c>
      <c r="I917" t="str">
        <f>IF(FT!B917&lt;&gt;"",FT!E917,"")</f>
        <v/>
      </c>
      <c r="J917" t="str">
        <f>IF(FT!B917&lt;&gt;"",FT!C917,"")</f>
        <v/>
      </c>
    </row>
    <row r="918" spans="5:10">
      <c r="E918">
        <f t="shared" si="41"/>
        <v>916</v>
      </c>
      <c r="F918" s="61" t="str">
        <f>IF(FT!A918&lt;&gt;"",FT!A918*10,"")</f>
        <v/>
      </c>
      <c r="G918" s="61" t="str">
        <f>IF(FT!B918&lt;&gt;"",FT!B918*100,"")</f>
        <v/>
      </c>
      <c r="H918" s="61" t="str">
        <f t="shared" si="40"/>
        <v/>
      </c>
      <c r="I918" t="str">
        <f>IF(FT!B918&lt;&gt;"",FT!E918,"")</f>
        <v/>
      </c>
      <c r="J918" t="str">
        <f>IF(FT!B918&lt;&gt;"",FT!C918,"")</f>
        <v/>
      </c>
    </row>
    <row r="919" spans="5:10">
      <c r="E919">
        <f t="shared" si="41"/>
        <v>917</v>
      </c>
      <c r="F919" s="61" t="str">
        <f>IF(FT!A919&lt;&gt;"",FT!A919*10,"")</f>
        <v/>
      </c>
      <c r="G919" s="61" t="str">
        <f>IF(FT!B919&lt;&gt;"",FT!B919*100,"")</f>
        <v/>
      </c>
      <c r="H919" s="61" t="str">
        <f t="shared" si="40"/>
        <v/>
      </c>
      <c r="I919" t="str">
        <f>IF(FT!B919&lt;&gt;"",FT!E919,"")</f>
        <v/>
      </c>
      <c r="J919" t="str">
        <f>IF(FT!B919&lt;&gt;"",FT!C919,"")</f>
        <v/>
      </c>
    </row>
    <row r="920" spans="5:10">
      <c r="E920">
        <f t="shared" si="41"/>
        <v>918</v>
      </c>
      <c r="F920" s="61" t="str">
        <f>IF(FT!A920&lt;&gt;"",FT!A920*10,"")</f>
        <v/>
      </c>
      <c r="G920" s="61" t="str">
        <f>IF(FT!B920&lt;&gt;"",FT!B920*100,"")</f>
        <v/>
      </c>
      <c r="H920" s="61" t="str">
        <f t="shared" si="40"/>
        <v/>
      </c>
      <c r="I920" t="str">
        <f>IF(FT!B920&lt;&gt;"",FT!E920,"")</f>
        <v/>
      </c>
      <c r="J920" t="str">
        <f>IF(FT!B920&lt;&gt;"",FT!C920,"")</f>
        <v/>
      </c>
    </row>
    <row r="921" spans="5:10">
      <c r="E921">
        <f t="shared" si="41"/>
        <v>919</v>
      </c>
      <c r="F921" s="61" t="str">
        <f>IF(FT!A921&lt;&gt;"",FT!A921*10,"")</f>
        <v/>
      </c>
      <c r="G921" s="61" t="str">
        <f>IF(FT!B921&lt;&gt;"",FT!B921*100,"")</f>
        <v/>
      </c>
      <c r="H921" s="61" t="str">
        <f t="shared" si="40"/>
        <v/>
      </c>
      <c r="I921" t="str">
        <f>IF(FT!B921&lt;&gt;"",FT!E921,"")</f>
        <v/>
      </c>
      <c r="J921" t="str">
        <f>IF(FT!B921&lt;&gt;"",FT!C921,"")</f>
        <v/>
      </c>
    </row>
    <row r="922" spans="5:10">
      <c r="E922">
        <f t="shared" si="41"/>
        <v>920</v>
      </c>
      <c r="F922" s="61" t="str">
        <f>IF(FT!A922&lt;&gt;"",FT!A922*10,"")</f>
        <v/>
      </c>
      <c r="G922" s="61" t="str">
        <f>IF(FT!B922&lt;&gt;"",FT!B922*100,"")</f>
        <v/>
      </c>
      <c r="H922" s="61" t="str">
        <f t="shared" si="40"/>
        <v/>
      </c>
      <c r="I922" t="str">
        <f>IF(FT!B922&lt;&gt;"",FT!E922,"")</f>
        <v/>
      </c>
      <c r="J922" t="str">
        <f>IF(FT!B922&lt;&gt;"",FT!C922,"")</f>
        <v/>
      </c>
    </row>
    <row r="923" spans="5:10">
      <c r="E923">
        <f t="shared" si="41"/>
        <v>921</v>
      </c>
      <c r="F923" s="61" t="str">
        <f>IF(FT!A923&lt;&gt;"",FT!A923*10,"")</f>
        <v/>
      </c>
      <c r="G923" s="61" t="str">
        <f>IF(FT!B923&lt;&gt;"",FT!B923*100,"")</f>
        <v/>
      </c>
      <c r="H923" s="61" t="str">
        <f t="shared" si="40"/>
        <v/>
      </c>
      <c r="I923" t="str">
        <f>IF(FT!B923&lt;&gt;"",FT!E923,"")</f>
        <v/>
      </c>
      <c r="J923" t="str">
        <f>IF(FT!B923&lt;&gt;"",FT!C923,"")</f>
        <v/>
      </c>
    </row>
    <row r="924" spans="5:10">
      <c r="E924">
        <f t="shared" si="41"/>
        <v>922</v>
      </c>
      <c r="F924" s="61" t="str">
        <f>IF(FT!A924&lt;&gt;"",FT!A924*10,"")</f>
        <v/>
      </c>
      <c r="G924" s="61" t="str">
        <f>IF(FT!B924&lt;&gt;"",FT!B924*100,"")</f>
        <v/>
      </c>
      <c r="H924" s="61" t="str">
        <f t="shared" si="40"/>
        <v/>
      </c>
      <c r="I924" t="str">
        <f>IF(FT!B924&lt;&gt;"",FT!E924,"")</f>
        <v/>
      </c>
      <c r="J924" t="str">
        <f>IF(FT!B924&lt;&gt;"",FT!C924,"")</f>
        <v/>
      </c>
    </row>
    <row r="925" spans="5:10">
      <c r="E925">
        <f t="shared" si="41"/>
        <v>923</v>
      </c>
      <c r="F925" s="61" t="str">
        <f>IF(FT!A925&lt;&gt;"",FT!A925*10,"")</f>
        <v/>
      </c>
      <c r="G925" s="61" t="str">
        <f>IF(FT!B925&lt;&gt;"",FT!B925*100,"")</f>
        <v/>
      </c>
      <c r="H925" s="61" t="str">
        <f t="shared" si="40"/>
        <v/>
      </c>
      <c r="I925" t="str">
        <f>IF(FT!B925&lt;&gt;"",FT!E925,"")</f>
        <v/>
      </c>
      <c r="J925" t="str">
        <f>IF(FT!B925&lt;&gt;"",FT!C925,"")</f>
        <v/>
      </c>
    </row>
    <row r="926" spans="5:10">
      <c r="E926">
        <f t="shared" si="41"/>
        <v>924</v>
      </c>
      <c r="F926" s="61" t="str">
        <f>IF(FT!A926&lt;&gt;"",FT!A926*10,"")</f>
        <v/>
      </c>
      <c r="G926" s="61" t="str">
        <f>IF(FT!B926&lt;&gt;"",FT!B926*100,"")</f>
        <v/>
      </c>
      <c r="H926" s="61" t="str">
        <f t="shared" si="40"/>
        <v/>
      </c>
      <c r="I926" t="str">
        <f>IF(FT!B926&lt;&gt;"",FT!E926,"")</f>
        <v/>
      </c>
      <c r="J926" t="str">
        <f>IF(FT!B926&lt;&gt;"",FT!C926,"")</f>
        <v/>
      </c>
    </row>
    <row r="927" spans="5:10">
      <c r="E927">
        <f t="shared" si="41"/>
        <v>925</v>
      </c>
      <c r="F927" s="61" t="str">
        <f>IF(FT!A927&lt;&gt;"",FT!A927*10,"")</f>
        <v/>
      </c>
      <c r="G927" s="61" t="str">
        <f>IF(FT!B927&lt;&gt;"",FT!B927*100,"")</f>
        <v/>
      </c>
      <c r="H927" s="61" t="str">
        <f t="shared" si="40"/>
        <v/>
      </c>
      <c r="I927" t="str">
        <f>IF(FT!B927&lt;&gt;"",FT!E927,"")</f>
        <v/>
      </c>
      <c r="J927" t="str">
        <f>IF(FT!B927&lt;&gt;"",FT!C927,"")</f>
        <v/>
      </c>
    </row>
    <row r="928" spans="5:10">
      <c r="E928">
        <f t="shared" si="41"/>
        <v>926</v>
      </c>
      <c r="F928" s="61" t="str">
        <f>IF(FT!A928&lt;&gt;"",FT!A928*10,"")</f>
        <v/>
      </c>
      <c r="G928" s="61" t="str">
        <f>IF(FT!B928&lt;&gt;"",FT!B928*100,"")</f>
        <v/>
      </c>
      <c r="H928" s="61" t="str">
        <f t="shared" si="40"/>
        <v/>
      </c>
      <c r="I928" t="str">
        <f>IF(FT!B928&lt;&gt;"",FT!E928,"")</f>
        <v/>
      </c>
      <c r="J928" t="str">
        <f>IF(FT!B928&lt;&gt;"",FT!C928,"")</f>
        <v/>
      </c>
    </row>
    <row r="929" spans="5:10">
      <c r="E929">
        <f t="shared" si="41"/>
        <v>927</v>
      </c>
      <c r="F929" s="61" t="str">
        <f>IF(FT!A929&lt;&gt;"",FT!A929*10,"")</f>
        <v/>
      </c>
      <c r="G929" s="61" t="str">
        <f>IF(FT!B929&lt;&gt;"",FT!B929*100,"")</f>
        <v/>
      </c>
      <c r="H929" s="61" t="str">
        <f t="shared" si="40"/>
        <v/>
      </c>
      <c r="I929" t="str">
        <f>IF(FT!B929&lt;&gt;"",FT!E929,"")</f>
        <v/>
      </c>
      <c r="J929" t="str">
        <f>IF(FT!B929&lt;&gt;"",FT!C929,"")</f>
        <v/>
      </c>
    </row>
    <row r="930" spans="5:10">
      <c r="E930">
        <f t="shared" si="41"/>
        <v>928</v>
      </c>
      <c r="F930" s="61" t="str">
        <f>IF(FT!A930&lt;&gt;"",FT!A930*10,"")</f>
        <v/>
      </c>
      <c r="G930" s="61" t="str">
        <f>IF(FT!B930&lt;&gt;"",FT!B930*100,"")</f>
        <v/>
      </c>
      <c r="H930" s="61" t="str">
        <f t="shared" si="40"/>
        <v/>
      </c>
      <c r="I930" t="str">
        <f>IF(FT!B930&lt;&gt;"",FT!E930,"")</f>
        <v/>
      </c>
      <c r="J930" t="str">
        <f>IF(FT!B930&lt;&gt;"",FT!C930,"")</f>
        <v/>
      </c>
    </row>
    <row r="931" spans="5:10">
      <c r="E931">
        <f t="shared" si="41"/>
        <v>929</v>
      </c>
      <c r="F931" s="61" t="str">
        <f>IF(FT!A931&lt;&gt;"",FT!A931*10,"")</f>
        <v/>
      </c>
      <c r="G931" s="61" t="str">
        <f>IF(FT!B931&lt;&gt;"",FT!B931*100,"")</f>
        <v/>
      </c>
      <c r="H931" s="61" t="str">
        <f t="shared" si="40"/>
        <v/>
      </c>
      <c r="I931" t="str">
        <f>IF(FT!B931&lt;&gt;"",FT!E931,"")</f>
        <v/>
      </c>
      <c r="J931" t="str">
        <f>IF(FT!B931&lt;&gt;"",FT!C931,"")</f>
        <v/>
      </c>
    </row>
    <row r="932" spans="5:10">
      <c r="E932">
        <f t="shared" si="41"/>
        <v>930</v>
      </c>
      <c r="F932" s="61" t="str">
        <f>IF(FT!A932&lt;&gt;"",FT!A932*10,"")</f>
        <v/>
      </c>
      <c r="G932" s="61" t="str">
        <f>IF(FT!B932&lt;&gt;"",FT!B932*100,"")</f>
        <v/>
      </c>
      <c r="H932" s="61" t="str">
        <f t="shared" si="40"/>
        <v/>
      </c>
      <c r="I932" t="str">
        <f>IF(FT!B932&lt;&gt;"",FT!E932,"")</f>
        <v/>
      </c>
      <c r="J932" t="str">
        <f>IF(FT!B932&lt;&gt;"",FT!C932,"")</f>
        <v/>
      </c>
    </row>
    <row r="933" spans="5:10">
      <c r="E933">
        <f t="shared" si="41"/>
        <v>931</v>
      </c>
      <c r="F933" s="61" t="str">
        <f>IF(FT!A933&lt;&gt;"",FT!A933*10,"")</f>
        <v/>
      </c>
      <c r="G933" s="61" t="str">
        <f>IF(FT!B933&lt;&gt;"",FT!B933*100,"")</f>
        <v/>
      </c>
      <c r="H933" s="61" t="str">
        <f t="shared" si="40"/>
        <v/>
      </c>
      <c r="I933" t="str">
        <f>IF(FT!B933&lt;&gt;"",FT!E933,"")</f>
        <v/>
      </c>
      <c r="J933" t="str">
        <f>IF(FT!B933&lt;&gt;"",FT!C933,"")</f>
        <v/>
      </c>
    </row>
    <row r="934" spans="5:10">
      <c r="E934">
        <f t="shared" si="41"/>
        <v>932</v>
      </c>
      <c r="F934" s="61" t="str">
        <f>IF(FT!A934&lt;&gt;"",FT!A934*10,"")</f>
        <v/>
      </c>
      <c r="G934" s="61" t="str">
        <f>IF(FT!B934&lt;&gt;"",FT!B934*100,"")</f>
        <v/>
      </c>
      <c r="H934" s="61" t="str">
        <f t="shared" si="40"/>
        <v/>
      </c>
      <c r="I934" t="str">
        <f>IF(FT!B934&lt;&gt;"",FT!E934,"")</f>
        <v/>
      </c>
      <c r="J934" t="str">
        <f>IF(FT!B934&lt;&gt;"",FT!C934,"")</f>
        <v/>
      </c>
    </row>
    <row r="935" spans="5:10">
      <c r="E935">
        <f t="shared" si="41"/>
        <v>933</v>
      </c>
      <c r="F935" s="61" t="str">
        <f>IF(FT!A935&lt;&gt;"",FT!A935*10,"")</f>
        <v/>
      </c>
      <c r="G935" s="61" t="str">
        <f>IF(FT!B935&lt;&gt;"",FT!B935*100,"")</f>
        <v/>
      </c>
      <c r="H935" s="61" t="str">
        <f t="shared" si="40"/>
        <v/>
      </c>
      <c r="I935" t="str">
        <f>IF(FT!B935&lt;&gt;"",FT!E935,"")</f>
        <v/>
      </c>
      <c r="J935" t="str">
        <f>IF(FT!B935&lt;&gt;"",FT!C935,"")</f>
        <v/>
      </c>
    </row>
    <row r="936" spans="5:10">
      <c r="E936">
        <f t="shared" si="41"/>
        <v>934</v>
      </c>
      <c r="F936" s="61" t="str">
        <f>IF(FT!A936&lt;&gt;"",FT!A936*10,"")</f>
        <v/>
      </c>
      <c r="G936" s="61" t="str">
        <f>IF(FT!B936&lt;&gt;"",FT!B936*100,"")</f>
        <v/>
      </c>
      <c r="H936" s="61" t="str">
        <f t="shared" si="40"/>
        <v/>
      </c>
      <c r="I936" t="str">
        <f>IF(FT!B936&lt;&gt;"",FT!E936,"")</f>
        <v/>
      </c>
      <c r="J936" t="str">
        <f>IF(FT!B936&lt;&gt;"",FT!C936,"")</f>
        <v/>
      </c>
    </row>
    <row r="937" spans="5:10">
      <c r="E937">
        <f t="shared" si="41"/>
        <v>935</v>
      </c>
      <c r="F937" s="61" t="str">
        <f>IF(FT!A937&lt;&gt;"",FT!A937*10,"")</f>
        <v/>
      </c>
      <c r="G937" s="61" t="str">
        <f>IF(FT!B937&lt;&gt;"",FT!B937*100,"")</f>
        <v/>
      </c>
      <c r="H937" s="61" t="str">
        <f t="shared" si="40"/>
        <v/>
      </c>
      <c r="I937" t="str">
        <f>IF(FT!B937&lt;&gt;"",FT!E937,"")</f>
        <v/>
      </c>
      <c r="J937" t="str">
        <f>IF(FT!B937&lt;&gt;"",FT!C937,"")</f>
        <v/>
      </c>
    </row>
    <row r="938" spans="5:10">
      <c r="E938">
        <f t="shared" si="41"/>
        <v>936</v>
      </c>
      <c r="F938" s="61" t="str">
        <f>IF(FT!A938&lt;&gt;"",FT!A938*10,"")</f>
        <v/>
      </c>
      <c r="G938" s="61" t="str">
        <f>IF(FT!B938&lt;&gt;"",FT!B938*100,"")</f>
        <v/>
      </c>
      <c r="H938" s="61" t="str">
        <f t="shared" si="40"/>
        <v/>
      </c>
      <c r="I938" t="str">
        <f>IF(FT!B938&lt;&gt;"",FT!E938,"")</f>
        <v/>
      </c>
      <c r="J938" t="str">
        <f>IF(FT!B938&lt;&gt;"",FT!C938,"")</f>
        <v/>
      </c>
    </row>
    <row r="939" spans="5:10">
      <c r="E939">
        <f t="shared" si="41"/>
        <v>937</v>
      </c>
      <c r="F939" s="61" t="str">
        <f>IF(FT!A939&lt;&gt;"",FT!A939*10,"")</f>
        <v/>
      </c>
      <c r="G939" s="61" t="str">
        <f>IF(FT!B939&lt;&gt;"",FT!B939*100,"")</f>
        <v/>
      </c>
      <c r="H939" s="61" t="str">
        <f t="shared" si="40"/>
        <v/>
      </c>
      <c r="I939" t="str">
        <f>IF(FT!B939&lt;&gt;"",FT!E939,"")</f>
        <v/>
      </c>
      <c r="J939" t="str">
        <f>IF(FT!B939&lt;&gt;"",FT!C939,"")</f>
        <v/>
      </c>
    </row>
    <row r="940" spans="5:10">
      <c r="E940">
        <f t="shared" si="41"/>
        <v>938</v>
      </c>
      <c r="F940" s="61" t="str">
        <f>IF(FT!A940&lt;&gt;"",FT!A940*10,"")</f>
        <v/>
      </c>
      <c r="G940" s="61" t="str">
        <f>IF(FT!B940&lt;&gt;"",FT!B940*100,"")</f>
        <v/>
      </c>
      <c r="H940" s="61" t="str">
        <f t="shared" si="40"/>
        <v/>
      </c>
      <c r="I940" t="str">
        <f>IF(FT!B940&lt;&gt;"",FT!E940,"")</f>
        <v/>
      </c>
      <c r="J940" t="str">
        <f>IF(FT!B940&lt;&gt;"",FT!C940,"")</f>
        <v/>
      </c>
    </row>
    <row r="941" spans="5:10">
      <c r="E941">
        <f t="shared" si="41"/>
        <v>939</v>
      </c>
      <c r="F941" s="61" t="str">
        <f>IF(FT!A941&lt;&gt;"",FT!A941*10,"")</f>
        <v/>
      </c>
      <c r="G941" s="61" t="str">
        <f>IF(FT!B941&lt;&gt;"",FT!B941*100,"")</f>
        <v/>
      </c>
      <c r="H941" s="61" t="str">
        <f t="shared" si="40"/>
        <v/>
      </c>
      <c r="I941" t="str">
        <f>IF(FT!B941&lt;&gt;"",FT!E941,"")</f>
        <v/>
      </c>
      <c r="J941" t="str">
        <f>IF(FT!B941&lt;&gt;"",FT!C941,"")</f>
        <v/>
      </c>
    </row>
    <row r="942" spans="5:10">
      <c r="E942">
        <f t="shared" si="41"/>
        <v>940</v>
      </c>
      <c r="F942" s="61" t="str">
        <f>IF(FT!A942&lt;&gt;"",FT!A942*10,"")</f>
        <v/>
      </c>
      <c r="G942" s="61" t="str">
        <f>IF(FT!B942&lt;&gt;"",FT!B942*100,"")</f>
        <v/>
      </c>
      <c r="H942" s="61" t="str">
        <f t="shared" si="40"/>
        <v/>
      </c>
      <c r="I942" t="str">
        <f>IF(FT!B942&lt;&gt;"",FT!E942,"")</f>
        <v/>
      </c>
      <c r="J942" t="str">
        <f>IF(FT!B942&lt;&gt;"",FT!C942,"")</f>
        <v/>
      </c>
    </row>
    <row r="943" spans="5:10">
      <c r="E943">
        <f t="shared" si="41"/>
        <v>941</v>
      </c>
      <c r="F943" s="61" t="str">
        <f>IF(FT!A943&lt;&gt;"",FT!A943*10,"")</f>
        <v/>
      </c>
      <c r="G943" s="61" t="str">
        <f>IF(FT!B943&lt;&gt;"",FT!B943*100,"")</f>
        <v/>
      </c>
      <c r="H943" s="61" t="str">
        <f t="shared" si="40"/>
        <v/>
      </c>
      <c r="I943" t="str">
        <f>IF(FT!B943&lt;&gt;"",FT!E943,"")</f>
        <v/>
      </c>
      <c r="J943" t="str">
        <f>IF(FT!B943&lt;&gt;"",FT!C943,"")</f>
        <v/>
      </c>
    </row>
    <row r="944" spans="5:10">
      <c r="E944">
        <f t="shared" si="41"/>
        <v>942</v>
      </c>
      <c r="F944" s="61" t="str">
        <f>IF(FT!A944&lt;&gt;"",FT!A944*10,"")</f>
        <v/>
      </c>
      <c r="G944" s="61" t="str">
        <f>IF(FT!B944&lt;&gt;"",FT!B944*100,"")</f>
        <v/>
      </c>
      <c r="H944" s="61" t="str">
        <f t="shared" si="40"/>
        <v/>
      </c>
      <c r="I944" t="str">
        <f>IF(FT!B944&lt;&gt;"",FT!E944,"")</f>
        <v/>
      </c>
      <c r="J944" t="str">
        <f>IF(FT!B944&lt;&gt;"",FT!C944,"")</f>
        <v/>
      </c>
    </row>
    <row r="945" spans="5:10">
      <c r="E945">
        <f t="shared" si="41"/>
        <v>943</v>
      </c>
      <c r="F945" s="61" t="str">
        <f>IF(FT!A945&lt;&gt;"",FT!A945*10,"")</f>
        <v/>
      </c>
      <c r="G945" s="61" t="str">
        <f>IF(FT!B945&lt;&gt;"",FT!B945*100,"")</f>
        <v/>
      </c>
      <c r="H945" s="61" t="str">
        <f t="shared" si="40"/>
        <v/>
      </c>
      <c r="I945" t="str">
        <f>IF(FT!B945&lt;&gt;"",FT!E945,"")</f>
        <v/>
      </c>
      <c r="J945" t="str">
        <f>IF(FT!B945&lt;&gt;"",FT!C945,"")</f>
        <v/>
      </c>
    </row>
    <row r="946" spans="5:10">
      <c r="E946">
        <f t="shared" si="41"/>
        <v>944</v>
      </c>
      <c r="F946" s="61" t="str">
        <f>IF(FT!A946&lt;&gt;"",FT!A946*10,"")</f>
        <v/>
      </c>
      <c r="G946" s="61" t="str">
        <f>IF(FT!B946&lt;&gt;"",FT!B946*100,"")</f>
        <v/>
      </c>
      <c r="H946" s="61" t="str">
        <f t="shared" si="40"/>
        <v/>
      </c>
      <c r="I946" t="str">
        <f>IF(FT!B946&lt;&gt;"",FT!E946,"")</f>
        <v/>
      </c>
      <c r="J946" t="str">
        <f>IF(FT!B946&lt;&gt;"",FT!C946,"")</f>
        <v/>
      </c>
    </row>
    <row r="947" spans="5:10">
      <c r="E947">
        <f t="shared" si="41"/>
        <v>945</v>
      </c>
      <c r="F947" s="61" t="str">
        <f>IF(FT!A947&lt;&gt;"",FT!A947*10,"")</f>
        <v/>
      </c>
      <c r="G947" s="61" t="str">
        <f>IF(FT!B947&lt;&gt;"",FT!B947*100,"")</f>
        <v/>
      </c>
      <c r="H947" s="61" t="str">
        <f t="shared" si="40"/>
        <v/>
      </c>
      <c r="I947" t="str">
        <f>IF(FT!B947&lt;&gt;"",FT!E947,"")</f>
        <v/>
      </c>
      <c r="J947" t="str">
        <f>IF(FT!B947&lt;&gt;"",FT!C947,"")</f>
        <v/>
      </c>
    </row>
    <row r="948" spans="5:10">
      <c r="E948">
        <f t="shared" si="41"/>
        <v>946</v>
      </c>
      <c r="F948" s="61" t="str">
        <f>IF(FT!A948&lt;&gt;"",FT!A948*10,"")</f>
        <v/>
      </c>
      <c r="G948" s="61" t="str">
        <f>IF(FT!B948&lt;&gt;"",FT!B948*100,"")</f>
        <v/>
      </c>
      <c r="H948" s="61" t="str">
        <f t="shared" si="40"/>
        <v/>
      </c>
      <c r="I948" t="str">
        <f>IF(FT!B948&lt;&gt;"",FT!E948,"")</f>
        <v/>
      </c>
      <c r="J948" t="str">
        <f>IF(FT!B948&lt;&gt;"",FT!C948,"")</f>
        <v/>
      </c>
    </row>
    <row r="949" spans="5:10">
      <c r="E949">
        <f t="shared" si="41"/>
        <v>947</v>
      </c>
      <c r="F949" s="61" t="str">
        <f>IF(FT!A949&lt;&gt;"",FT!A949*10,"")</f>
        <v/>
      </c>
      <c r="G949" s="61" t="str">
        <f>IF(FT!B949&lt;&gt;"",FT!B949*100,"")</f>
        <v/>
      </c>
      <c r="H949" s="61" t="str">
        <f t="shared" si="40"/>
        <v/>
      </c>
      <c r="I949" t="str">
        <f>IF(FT!B949&lt;&gt;"",FT!E949,"")</f>
        <v/>
      </c>
      <c r="J949" t="str">
        <f>IF(FT!B949&lt;&gt;"",FT!C949,"")</f>
        <v/>
      </c>
    </row>
    <row r="950" spans="5:10">
      <c r="E950">
        <f t="shared" si="41"/>
        <v>948</v>
      </c>
      <c r="F950" s="61" t="str">
        <f>IF(FT!A950&lt;&gt;"",FT!A950*10,"")</f>
        <v/>
      </c>
      <c r="G950" s="61" t="str">
        <f>IF(FT!B950&lt;&gt;"",FT!B950*100,"")</f>
        <v/>
      </c>
      <c r="H950" s="61" t="str">
        <f t="shared" si="40"/>
        <v/>
      </c>
      <c r="I950" t="str">
        <f>IF(FT!B950&lt;&gt;"",FT!E950,"")</f>
        <v/>
      </c>
      <c r="J950" t="str">
        <f>IF(FT!B950&lt;&gt;"",FT!C950,"")</f>
        <v/>
      </c>
    </row>
    <row r="951" spans="5:10">
      <c r="E951">
        <f t="shared" si="41"/>
        <v>949</v>
      </c>
      <c r="F951" s="61" t="str">
        <f>IF(FT!A951&lt;&gt;"",FT!A951*10,"")</f>
        <v/>
      </c>
      <c r="G951" s="61" t="str">
        <f>IF(FT!B951&lt;&gt;"",FT!B951*100,"")</f>
        <v/>
      </c>
      <c r="H951" s="61" t="str">
        <f t="shared" si="40"/>
        <v/>
      </c>
      <c r="I951" t="str">
        <f>IF(FT!B951&lt;&gt;"",FT!E951,"")</f>
        <v/>
      </c>
      <c r="J951" t="str">
        <f>IF(FT!B951&lt;&gt;"",FT!C951,"")</f>
        <v/>
      </c>
    </row>
    <row r="952" spans="5:10">
      <c r="E952">
        <f t="shared" si="41"/>
        <v>950</v>
      </c>
      <c r="F952" s="61" t="str">
        <f>IF(FT!A952&lt;&gt;"",FT!A952*10,"")</f>
        <v/>
      </c>
      <c r="G952" s="61" t="str">
        <f>IF(FT!B952&lt;&gt;"",FT!B952*100,"")</f>
        <v/>
      </c>
      <c r="H952" s="61" t="str">
        <f t="shared" si="40"/>
        <v/>
      </c>
      <c r="I952" t="str">
        <f>IF(FT!B952&lt;&gt;"",FT!E952,"")</f>
        <v/>
      </c>
      <c r="J952" t="str">
        <f>IF(FT!B952&lt;&gt;"",FT!C952,"")</f>
        <v/>
      </c>
    </row>
    <row r="953" spans="5:10">
      <c r="E953">
        <f t="shared" si="41"/>
        <v>951</v>
      </c>
      <c r="F953" s="61" t="str">
        <f>IF(FT!A953&lt;&gt;"",FT!A953*10,"")</f>
        <v/>
      </c>
      <c r="G953" s="61" t="str">
        <f>IF(FT!B953&lt;&gt;"",FT!B953*100,"")</f>
        <v/>
      </c>
      <c r="H953" s="61" t="str">
        <f t="shared" si="40"/>
        <v/>
      </c>
      <c r="I953" t="str">
        <f>IF(FT!B953&lt;&gt;"",FT!E953,"")</f>
        <v/>
      </c>
      <c r="J953" t="str">
        <f>IF(FT!B953&lt;&gt;"",FT!C953,"")</f>
        <v/>
      </c>
    </row>
    <row r="954" spans="5:10">
      <c r="E954">
        <f t="shared" si="41"/>
        <v>952</v>
      </c>
      <c r="F954" s="61" t="str">
        <f>IF(FT!A954&lt;&gt;"",FT!A954*10,"")</f>
        <v/>
      </c>
      <c r="G954" s="61" t="str">
        <f>IF(FT!B954&lt;&gt;"",FT!B954*100,"")</f>
        <v/>
      </c>
      <c r="H954" s="61" t="str">
        <f t="shared" si="40"/>
        <v/>
      </c>
      <c r="I954" t="str">
        <f>IF(FT!B954&lt;&gt;"",FT!E954,"")</f>
        <v/>
      </c>
      <c r="J954" t="str">
        <f>IF(FT!B954&lt;&gt;"",FT!C954,"")</f>
        <v/>
      </c>
    </row>
    <row r="955" spans="5:10">
      <c r="E955">
        <f t="shared" si="41"/>
        <v>953</v>
      </c>
      <c r="F955" s="61" t="str">
        <f>IF(FT!A955&lt;&gt;"",FT!A955*10,"")</f>
        <v/>
      </c>
      <c r="G955" s="61" t="str">
        <f>IF(FT!B955&lt;&gt;"",FT!B955*100,"")</f>
        <v/>
      </c>
      <c r="H955" s="61" t="str">
        <f t="shared" si="40"/>
        <v/>
      </c>
      <c r="I955" t="str">
        <f>IF(FT!B955&lt;&gt;"",FT!E955,"")</f>
        <v/>
      </c>
      <c r="J955" t="str">
        <f>IF(FT!B955&lt;&gt;"",FT!C955,"")</f>
        <v/>
      </c>
    </row>
    <row r="956" spans="5:10">
      <c r="E956">
        <f t="shared" si="41"/>
        <v>954</v>
      </c>
      <c r="F956" s="61" t="str">
        <f>IF(FT!A956&lt;&gt;"",FT!A956*10,"")</f>
        <v/>
      </c>
      <c r="G956" s="61" t="str">
        <f>IF(FT!B956&lt;&gt;"",FT!B956*100,"")</f>
        <v/>
      </c>
      <c r="H956" s="61" t="str">
        <f t="shared" si="40"/>
        <v/>
      </c>
      <c r="I956" t="str">
        <f>IF(FT!B956&lt;&gt;"",FT!E956,"")</f>
        <v/>
      </c>
      <c r="J956" t="str">
        <f>IF(FT!B956&lt;&gt;"",FT!C956,"")</f>
        <v/>
      </c>
    </row>
    <row r="957" spans="5:10">
      <c r="E957">
        <f t="shared" si="41"/>
        <v>955</v>
      </c>
      <c r="F957" s="61" t="str">
        <f>IF(FT!A957&lt;&gt;"",FT!A957*10,"")</f>
        <v/>
      </c>
      <c r="G957" s="61" t="str">
        <f>IF(FT!B957&lt;&gt;"",FT!B957*100,"")</f>
        <v/>
      </c>
      <c r="H957" s="61" t="str">
        <f t="shared" si="40"/>
        <v/>
      </c>
      <c r="I957" t="str">
        <f>IF(FT!B957&lt;&gt;"",FT!E957,"")</f>
        <v/>
      </c>
      <c r="J957" t="str">
        <f>IF(FT!B957&lt;&gt;"",FT!C957,"")</f>
        <v/>
      </c>
    </row>
    <row r="958" spans="5:10">
      <c r="E958">
        <f t="shared" si="41"/>
        <v>956</v>
      </c>
      <c r="F958" s="61" t="str">
        <f>IF(FT!A958&lt;&gt;"",FT!A958*10,"")</f>
        <v/>
      </c>
      <c r="G958" s="61" t="str">
        <f>IF(FT!B958&lt;&gt;"",FT!B958*100,"")</f>
        <v/>
      </c>
      <c r="H958" s="61" t="str">
        <f t="shared" si="40"/>
        <v/>
      </c>
      <c r="I958" t="str">
        <f>IF(FT!B958&lt;&gt;"",FT!E958,"")</f>
        <v/>
      </c>
      <c r="J958" t="str">
        <f>IF(FT!B958&lt;&gt;"",FT!C958,"")</f>
        <v/>
      </c>
    </row>
    <row r="959" spans="5:10">
      <c r="E959">
        <f t="shared" si="41"/>
        <v>957</v>
      </c>
      <c r="F959" s="61" t="str">
        <f>IF(FT!A959&lt;&gt;"",FT!A959*10,"")</f>
        <v/>
      </c>
      <c r="G959" s="61" t="str">
        <f>IF(FT!B959&lt;&gt;"",FT!B959*100,"")</f>
        <v/>
      </c>
      <c r="H959" s="61" t="str">
        <f t="shared" si="40"/>
        <v/>
      </c>
      <c r="I959" t="str">
        <f>IF(FT!B959&lt;&gt;"",FT!E959,"")</f>
        <v/>
      </c>
      <c r="J959" t="str">
        <f>IF(FT!B959&lt;&gt;"",FT!C959,"")</f>
        <v/>
      </c>
    </row>
    <row r="960" spans="5:10">
      <c r="E960">
        <f t="shared" si="41"/>
        <v>958</v>
      </c>
      <c r="F960" s="61" t="str">
        <f>IF(FT!A960&lt;&gt;"",FT!A960*10,"")</f>
        <v/>
      </c>
      <c r="G960" s="61" t="str">
        <f>IF(FT!B960&lt;&gt;"",FT!B960*100,"")</f>
        <v/>
      </c>
      <c r="H960" s="61" t="str">
        <f t="shared" si="40"/>
        <v/>
      </c>
      <c r="I960" t="str">
        <f>IF(FT!B960&lt;&gt;"",FT!E960,"")</f>
        <v/>
      </c>
      <c r="J960" t="str">
        <f>IF(FT!B960&lt;&gt;"",FT!C960,"")</f>
        <v/>
      </c>
    </row>
    <row r="961" spans="5:10">
      <c r="E961">
        <f t="shared" si="41"/>
        <v>959</v>
      </c>
      <c r="F961" s="61" t="str">
        <f>IF(FT!A961&lt;&gt;"",FT!A961*10,"")</f>
        <v/>
      </c>
      <c r="G961" s="61" t="str">
        <f>IF(FT!B961&lt;&gt;"",FT!B961*100,"")</f>
        <v/>
      </c>
      <c r="H961" s="61" t="str">
        <f t="shared" si="40"/>
        <v/>
      </c>
      <c r="I961" t="str">
        <f>IF(FT!B961&lt;&gt;"",FT!E961,"")</f>
        <v/>
      </c>
      <c r="J961" t="str">
        <f>IF(FT!B961&lt;&gt;"",FT!C961,"")</f>
        <v/>
      </c>
    </row>
    <row r="962" spans="5:10">
      <c r="E962">
        <f t="shared" si="41"/>
        <v>960</v>
      </c>
      <c r="F962" s="61" t="str">
        <f>IF(FT!A962&lt;&gt;"",FT!A962*10,"")</f>
        <v/>
      </c>
      <c r="G962" s="61" t="str">
        <f>IF(FT!B962&lt;&gt;"",FT!B962*100,"")</f>
        <v/>
      </c>
      <c r="H962" s="61" t="str">
        <f t="shared" si="40"/>
        <v/>
      </c>
      <c r="I962" t="str">
        <f>IF(FT!B962&lt;&gt;"",FT!E962,"")</f>
        <v/>
      </c>
      <c r="J962" t="str">
        <f>IF(FT!B962&lt;&gt;"",FT!C962,"")</f>
        <v/>
      </c>
    </row>
    <row r="963" spans="5:10">
      <c r="E963">
        <f t="shared" si="41"/>
        <v>961</v>
      </c>
      <c r="F963" s="61" t="str">
        <f>IF(FT!A963&lt;&gt;"",FT!A963*10,"")</f>
        <v/>
      </c>
      <c r="G963" s="61" t="str">
        <f>IF(FT!B963&lt;&gt;"",FT!B963*100,"")</f>
        <v/>
      </c>
      <c r="H963" s="61" t="str">
        <f t="shared" ref="H963:H1026" si="42">(IF(F963&lt;&gt;"",1,""))</f>
        <v/>
      </c>
      <c r="I963" t="str">
        <f>IF(FT!B963&lt;&gt;"",FT!E963,"")</f>
        <v/>
      </c>
      <c r="J963" t="str">
        <f>IF(FT!B963&lt;&gt;"",FT!C963,"")</f>
        <v/>
      </c>
    </row>
    <row r="964" spans="5:10">
      <c r="E964">
        <f t="shared" ref="E964:E1027" si="43">E963+1</f>
        <v>962</v>
      </c>
      <c r="F964" s="61" t="str">
        <f>IF(FT!A964&lt;&gt;"",FT!A964*10,"")</f>
        <v/>
      </c>
      <c r="G964" s="61" t="str">
        <f>IF(FT!B964&lt;&gt;"",FT!B964*100,"")</f>
        <v/>
      </c>
      <c r="H964" s="61" t="str">
        <f t="shared" si="42"/>
        <v/>
      </c>
      <c r="I964" t="str">
        <f>IF(FT!B964&lt;&gt;"",FT!E964,"")</f>
        <v/>
      </c>
      <c r="J964" t="str">
        <f>IF(FT!B964&lt;&gt;"",FT!C964,"")</f>
        <v/>
      </c>
    </row>
    <row r="965" spans="5:10">
      <c r="E965">
        <f t="shared" si="43"/>
        <v>963</v>
      </c>
      <c r="F965" s="61" t="str">
        <f>IF(FT!A965&lt;&gt;"",FT!A965*10,"")</f>
        <v/>
      </c>
      <c r="G965" s="61" t="str">
        <f>IF(FT!B965&lt;&gt;"",FT!B965*100,"")</f>
        <v/>
      </c>
      <c r="H965" s="61" t="str">
        <f t="shared" si="42"/>
        <v/>
      </c>
      <c r="I965" t="str">
        <f>IF(FT!B965&lt;&gt;"",FT!E965,"")</f>
        <v/>
      </c>
      <c r="J965" t="str">
        <f>IF(FT!B965&lt;&gt;"",FT!C965,"")</f>
        <v/>
      </c>
    </row>
    <row r="966" spans="5:10">
      <c r="E966">
        <f t="shared" si="43"/>
        <v>964</v>
      </c>
      <c r="F966" s="61" t="str">
        <f>IF(FT!A966&lt;&gt;"",FT!A966*10,"")</f>
        <v/>
      </c>
      <c r="G966" s="61" t="str">
        <f>IF(FT!B966&lt;&gt;"",FT!B966*100,"")</f>
        <v/>
      </c>
      <c r="H966" s="61" t="str">
        <f t="shared" si="42"/>
        <v/>
      </c>
      <c r="I966" t="str">
        <f>IF(FT!B966&lt;&gt;"",FT!E966,"")</f>
        <v/>
      </c>
      <c r="J966" t="str">
        <f>IF(FT!B966&lt;&gt;"",FT!C966,"")</f>
        <v/>
      </c>
    </row>
    <row r="967" spans="5:10">
      <c r="E967">
        <f t="shared" si="43"/>
        <v>965</v>
      </c>
      <c r="F967" s="61" t="str">
        <f>IF(FT!A967&lt;&gt;"",FT!A967*10,"")</f>
        <v/>
      </c>
      <c r="G967" s="61" t="str">
        <f>IF(FT!B967&lt;&gt;"",FT!B967*100,"")</f>
        <v/>
      </c>
      <c r="H967" s="61" t="str">
        <f t="shared" si="42"/>
        <v/>
      </c>
      <c r="I967" t="str">
        <f>IF(FT!B967&lt;&gt;"",FT!E967,"")</f>
        <v/>
      </c>
      <c r="J967" t="str">
        <f>IF(FT!B967&lt;&gt;"",FT!C967,"")</f>
        <v/>
      </c>
    </row>
    <row r="968" spans="5:10">
      <c r="E968">
        <f t="shared" si="43"/>
        <v>966</v>
      </c>
      <c r="F968" s="61" t="str">
        <f>IF(FT!A968&lt;&gt;"",FT!A968*10,"")</f>
        <v/>
      </c>
      <c r="G968" s="61" t="str">
        <f>IF(FT!B968&lt;&gt;"",FT!B968*100,"")</f>
        <v/>
      </c>
      <c r="H968" s="61" t="str">
        <f t="shared" si="42"/>
        <v/>
      </c>
      <c r="I968" t="str">
        <f>IF(FT!B968&lt;&gt;"",FT!E968,"")</f>
        <v/>
      </c>
      <c r="J968" t="str">
        <f>IF(FT!B968&lt;&gt;"",FT!C968,"")</f>
        <v/>
      </c>
    </row>
    <row r="969" spans="5:10">
      <c r="E969">
        <f t="shared" si="43"/>
        <v>967</v>
      </c>
      <c r="F969" s="61" t="str">
        <f>IF(FT!A969&lt;&gt;"",FT!A969*10,"")</f>
        <v/>
      </c>
      <c r="G969" s="61" t="str">
        <f>IF(FT!B969&lt;&gt;"",FT!B969*100,"")</f>
        <v/>
      </c>
      <c r="H969" s="61" t="str">
        <f t="shared" si="42"/>
        <v/>
      </c>
      <c r="I969" t="str">
        <f>IF(FT!B969&lt;&gt;"",FT!E969,"")</f>
        <v/>
      </c>
      <c r="J969" t="str">
        <f>IF(FT!B969&lt;&gt;"",FT!C969,"")</f>
        <v/>
      </c>
    </row>
    <row r="970" spans="5:10">
      <c r="E970">
        <f t="shared" si="43"/>
        <v>968</v>
      </c>
      <c r="F970" s="61" t="str">
        <f>IF(FT!A970&lt;&gt;"",FT!A970*10,"")</f>
        <v/>
      </c>
      <c r="G970" s="61" t="str">
        <f>IF(FT!B970&lt;&gt;"",FT!B970*100,"")</f>
        <v/>
      </c>
      <c r="H970" s="61" t="str">
        <f t="shared" si="42"/>
        <v/>
      </c>
      <c r="I970" t="str">
        <f>IF(FT!B970&lt;&gt;"",FT!E970,"")</f>
        <v/>
      </c>
      <c r="J970" t="str">
        <f>IF(FT!B970&lt;&gt;"",FT!C970,"")</f>
        <v/>
      </c>
    </row>
    <row r="971" spans="5:10">
      <c r="E971">
        <f t="shared" si="43"/>
        <v>969</v>
      </c>
      <c r="F971" s="61" t="str">
        <f>IF(FT!A971&lt;&gt;"",FT!A971*10,"")</f>
        <v/>
      </c>
      <c r="G971" s="61" t="str">
        <f>IF(FT!B971&lt;&gt;"",FT!B971*100,"")</f>
        <v/>
      </c>
      <c r="H971" s="61" t="str">
        <f t="shared" si="42"/>
        <v/>
      </c>
      <c r="I971" t="str">
        <f>IF(FT!B971&lt;&gt;"",FT!E971,"")</f>
        <v/>
      </c>
      <c r="J971" t="str">
        <f>IF(FT!B971&lt;&gt;"",FT!C971,"")</f>
        <v/>
      </c>
    </row>
    <row r="972" spans="5:10">
      <c r="E972">
        <f t="shared" si="43"/>
        <v>970</v>
      </c>
      <c r="F972" s="61" t="str">
        <f>IF(FT!A972&lt;&gt;"",FT!A972*10,"")</f>
        <v/>
      </c>
      <c r="G972" s="61" t="str">
        <f>IF(FT!B972&lt;&gt;"",FT!B972*100,"")</f>
        <v/>
      </c>
      <c r="H972" s="61" t="str">
        <f t="shared" si="42"/>
        <v/>
      </c>
      <c r="I972" t="str">
        <f>IF(FT!B972&lt;&gt;"",FT!E972,"")</f>
        <v/>
      </c>
      <c r="J972" t="str">
        <f>IF(FT!B972&lt;&gt;"",FT!C972,"")</f>
        <v/>
      </c>
    </row>
    <row r="973" spans="5:10">
      <c r="E973">
        <f t="shared" si="43"/>
        <v>971</v>
      </c>
      <c r="F973" s="61" t="str">
        <f>IF(FT!A973&lt;&gt;"",FT!A973*10,"")</f>
        <v/>
      </c>
      <c r="G973" s="61" t="str">
        <f>IF(FT!B973&lt;&gt;"",FT!B973*100,"")</f>
        <v/>
      </c>
      <c r="H973" s="61" t="str">
        <f t="shared" si="42"/>
        <v/>
      </c>
      <c r="I973" t="str">
        <f>IF(FT!B973&lt;&gt;"",FT!E973,"")</f>
        <v/>
      </c>
      <c r="J973" t="str">
        <f>IF(FT!B973&lt;&gt;"",FT!C973,"")</f>
        <v/>
      </c>
    </row>
    <row r="974" spans="5:10">
      <c r="E974">
        <f t="shared" si="43"/>
        <v>972</v>
      </c>
      <c r="F974" s="61" t="str">
        <f>IF(FT!A974&lt;&gt;"",FT!A974*10,"")</f>
        <v/>
      </c>
      <c r="G974" s="61" t="str">
        <f>IF(FT!B974&lt;&gt;"",FT!B974*100,"")</f>
        <v/>
      </c>
      <c r="H974" s="61" t="str">
        <f t="shared" si="42"/>
        <v/>
      </c>
      <c r="I974" t="str">
        <f>IF(FT!B974&lt;&gt;"",FT!E974,"")</f>
        <v/>
      </c>
      <c r="J974" t="str">
        <f>IF(FT!B974&lt;&gt;"",FT!C974,"")</f>
        <v/>
      </c>
    </row>
    <row r="975" spans="5:10">
      <c r="E975">
        <f t="shared" si="43"/>
        <v>973</v>
      </c>
      <c r="F975" s="61" t="str">
        <f>IF(FT!A975&lt;&gt;"",FT!A975*10,"")</f>
        <v/>
      </c>
      <c r="G975" s="61" t="str">
        <f>IF(FT!B975&lt;&gt;"",FT!B975*100,"")</f>
        <v/>
      </c>
      <c r="H975" s="61" t="str">
        <f t="shared" si="42"/>
        <v/>
      </c>
      <c r="I975" t="str">
        <f>IF(FT!B975&lt;&gt;"",FT!E975,"")</f>
        <v/>
      </c>
      <c r="J975" t="str">
        <f>IF(FT!B975&lt;&gt;"",FT!C975,"")</f>
        <v/>
      </c>
    </row>
    <row r="976" spans="5:10">
      <c r="E976">
        <f t="shared" si="43"/>
        <v>974</v>
      </c>
      <c r="F976" s="61" t="str">
        <f>IF(FT!A976&lt;&gt;"",FT!A976*10,"")</f>
        <v/>
      </c>
      <c r="G976" s="61" t="str">
        <f>IF(FT!B976&lt;&gt;"",FT!B976*100,"")</f>
        <v/>
      </c>
      <c r="H976" s="61" t="str">
        <f t="shared" si="42"/>
        <v/>
      </c>
      <c r="I976" t="str">
        <f>IF(FT!B976&lt;&gt;"",FT!E976,"")</f>
        <v/>
      </c>
      <c r="J976" t="str">
        <f>IF(FT!B976&lt;&gt;"",FT!C976,"")</f>
        <v/>
      </c>
    </row>
    <row r="977" spans="5:10">
      <c r="E977">
        <f t="shared" si="43"/>
        <v>975</v>
      </c>
      <c r="F977" s="61" t="str">
        <f>IF(FT!A977&lt;&gt;"",FT!A977*10,"")</f>
        <v/>
      </c>
      <c r="G977" s="61" t="str">
        <f>IF(FT!B977&lt;&gt;"",FT!B977*100,"")</f>
        <v/>
      </c>
      <c r="H977" s="61" t="str">
        <f t="shared" si="42"/>
        <v/>
      </c>
      <c r="I977" t="str">
        <f>IF(FT!B977&lt;&gt;"",FT!E977,"")</f>
        <v/>
      </c>
      <c r="J977" t="str">
        <f>IF(FT!B977&lt;&gt;"",FT!C977,"")</f>
        <v/>
      </c>
    </row>
    <row r="978" spans="5:10">
      <c r="E978">
        <f t="shared" si="43"/>
        <v>976</v>
      </c>
      <c r="F978" s="61" t="str">
        <f>IF(FT!A978&lt;&gt;"",FT!A978*10,"")</f>
        <v/>
      </c>
      <c r="G978" s="61" t="str">
        <f>IF(FT!B978&lt;&gt;"",FT!B978*100,"")</f>
        <v/>
      </c>
      <c r="H978" s="61" t="str">
        <f t="shared" si="42"/>
        <v/>
      </c>
      <c r="I978" t="str">
        <f>IF(FT!B978&lt;&gt;"",FT!E978,"")</f>
        <v/>
      </c>
      <c r="J978" t="str">
        <f>IF(FT!B978&lt;&gt;"",FT!C978,"")</f>
        <v/>
      </c>
    </row>
    <row r="979" spans="5:10">
      <c r="E979">
        <f t="shared" si="43"/>
        <v>977</v>
      </c>
      <c r="F979" s="61" t="str">
        <f>IF(FT!A979&lt;&gt;"",FT!A979*10,"")</f>
        <v/>
      </c>
      <c r="G979" s="61" t="str">
        <f>IF(FT!B979&lt;&gt;"",FT!B979*100,"")</f>
        <v/>
      </c>
      <c r="H979" s="61" t="str">
        <f t="shared" si="42"/>
        <v/>
      </c>
      <c r="I979" t="str">
        <f>IF(FT!B979&lt;&gt;"",FT!E979,"")</f>
        <v/>
      </c>
      <c r="J979" t="str">
        <f>IF(FT!B979&lt;&gt;"",FT!C979,"")</f>
        <v/>
      </c>
    </row>
    <row r="980" spans="5:10">
      <c r="E980">
        <f t="shared" si="43"/>
        <v>978</v>
      </c>
      <c r="F980" s="61" t="str">
        <f>IF(FT!A980&lt;&gt;"",FT!A980*10,"")</f>
        <v/>
      </c>
      <c r="G980" s="61" t="str">
        <f>IF(FT!B980&lt;&gt;"",FT!B980*100,"")</f>
        <v/>
      </c>
      <c r="H980" s="61" t="str">
        <f t="shared" si="42"/>
        <v/>
      </c>
      <c r="I980" t="str">
        <f>IF(FT!B980&lt;&gt;"",FT!E980,"")</f>
        <v/>
      </c>
      <c r="J980" t="str">
        <f>IF(FT!B980&lt;&gt;"",FT!C980,"")</f>
        <v/>
      </c>
    </row>
    <row r="981" spans="5:10">
      <c r="E981">
        <f t="shared" si="43"/>
        <v>979</v>
      </c>
      <c r="F981" s="61" t="str">
        <f>IF(FT!A981&lt;&gt;"",FT!A981*10,"")</f>
        <v/>
      </c>
      <c r="G981" s="61" t="str">
        <f>IF(FT!B981&lt;&gt;"",FT!B981*100,"")</f>
        <v/>
      </c>
      <c r="H981" s="61" t="str">
        <f t="shared" si="42"/>
        <v/>
      </c>
      <c r="I981" t="str">
        <f>IF(FT!B981&lt;&gt;"",FT!E981,"")</f>
        <v/>
      </c>
      <c r="J981" t="str">
        <f>IF(FT!B981&lt;&gt;"",FT!C981,"")</f>
        <v/>
      </c>
    </row>
    <row r="982" spans="5:10">
      <c r="E982">
        <f t="shared" si="43"/>
        <v>980</v>
      </c>
      <c r="F982" s="61" t="str">
        <f>IF(FT!A982&lt;&gt;"",FT!A982*10,"")</f>
        <v/>
      </c>
      <c r="G982" s="61" t="str">
        <f>IF(FT!B982&lt;&gt;"",FT!B982*100,"")</f>
        <v/>
      </c>
      <c r="H982" s="61" t="str">
        <f t="shared" si="42"/>
        <v/>
      </c>
      <c r="I982" t="str">
        <f>IF(FT!B982&lt;&gt;"",FT!E982,"")</f>
        <v/>
      </c>
      <c r="J982" t="str">
        <f>IF(FT!B982&lt;&gt;"",FT!C982,"")</f>
        <v/>
      </c>
    </row>
    <row r="983" spans="5:10">
      <c r="E983">
        <f t="shared" si="43"/>
        <v>981</v>
      </c>
      <c r="F983" s="61" t="str">
        <f>IF(FT!A983&lt;&gt;"",FT!A983*10,"")</f>
        <v/>
      </c>
      <c r="G983" s="61" t="str">
        <f>IF(FT!B983&lt;&gt;"",FT!B983*100,"")</f>
        <v/>
      </c>
      <c r="H983" s="61" t="str">
        <f t="shared" si="42"/>
        <v/>
      </c>
      <c r="I983" t="str">
        <f>IF(FT!B983&lt;&gt;"",FT!E983,"")</f>
        <v/>
      </c>
      <c r="J983" t="str">
        <f>IF(FT!B983&lt;&gt;"",FT!C983,"")</f>
        <v/>
      </c>
    </row>
    <row r="984" spans="5:10">
      <c r="E984">
        <f t="shared" si="43"/>
        <v>982</v>
      </c>
      <c r="F984" s="61" t="str">
        <f>IF(FT!A984&lt;&gt;"",FT!A984*10,"")</f>
        <v/>
      </c>
      <c r="G984" s="61" t="str">
        <f>IF(FT!B984&lt;&gt;"",FT!B984*100,"")</f>
        <v/>
      </c>
      <c r="H984" s="61" t="str">
        <f t="shared" si="42"/>
        <v/>
      </c>
      <c r="I984" t="str">
        <f>IF(FT!B984&lt;&gt;"",FT!E984,"")</f>
        <v/>
      </c>
      <c r="J984" t="str">
        <f>IF(FT!B984&lt;&gt;"",FT!C984,"")</f>
        <v/>
      </c>
    </row>
    <row r="985" spans="5:10">
      <c r="E985">
        <f t="shared" si="43"/>
        <v>983</v>
      </c>
      <c r="F985" s="61" t="str">
        <f>IF(FT!A985&lt;&gt;"",FT!A985*10,"")</f>
        <v/>
      </c>
      <c r="G985" s="61" t="str">
        <f>IF(FT!B985&lt;&gt;"",FT!B985*100,"")</f>
        <v/>
      </c>
      <c r="H985" s="61" t="str">
        <f t="shared" si="42"/>
        <v/>
      </c>
      <c r="I985" t="str">
        <f>IF(FT!B985&lt;&gt;"",FT!E985,"")</f>
        <v/>
      </c>
      <c r="J985" t="str">
        <f>IF(FT!B985&lt;&gt;"",FT!C985,"")</f>
        <v/>
      </c>
    </row>
    <row r="986" spans="5:10">
      <c r="E986">
        <f t="shared" si="43"/>
        <v>984</v>
      </c>
      <c r="F986" s="61" t="str">
        <f>IF(FT!A986&lt;&gt;"",FT!A986*10,"")</f>
        <v/>
      </c>
      <c r="G986" s="61" t="str">
        <f>IF(FT!B986&lt;&gt;"",FT!B986*100,"")</f>
        <v/>
      </c>
      <c r="H986" s="61" t="str">
        <f t="shared" si="42"/>
        <v/>
      </c>
      <c r="I986" t="str">
        <f>IF(FT!B986&lt;&gt;"",FT!E986,"")</f>
        <v/>
      </c>
      <c r="J986" t="str">
        <f>IF(FT!B986&lt;&gt;"",FT!C986,"")</f>
        <v/>
      </c>
    </row>
    <row r="987" spans="5:10">
      <c r="E987">
        <f t="shared" si="43"/>
        <v>985</v>
      </c>
      <c r="F987" s="61" t="str">
        <f>IF(FT!A987&lt;&gt;"",FT!A987*10,"")</f>
        <v/>
      </c>
      <c r="G987" s="61" t="str">
        <f>IF(FT!B987&lt;&gt;"",FT!B987*100,"")</f>
        <v/>
      </c>
      <c r="H987" s="61" t="str">
        <f t="shared" si="42"/>
        <v/>
      </c>
      <c r="I987" t="str">
        <f>IF(FT!B987&lt;&gt;"",FT!E987,"")</f>
        <v/>
      </c>
      <c r="J987" t="str">
        <f>IF(FT!B987&lt;&gt;"",FT!C987,"")</f>
        <v/>
      </c>
    </row>
    <row r="988" spans="5:10">
      <c r="E988">
        <f t="shared" si="43"/>
        <v>986</v>
      </c>
      <c r="F988" s="61" t="str">
        <f>IF(FT!A988&lt;&gt;"",FT!A988*10,"")</f>
        <v/>
      </c>
      <c r="G988" s="61" t="str">
        <f>IF(FT!B988&lt;&gt;"",FT!B988*100,"")</f>
        <v/>
      </c>
      <c r="H988" s="61" t="str">
        <f t="shared" si="42"/>
        <v/>
      </c>
      <c r="I988" t="str">
        <f>IF(FT!B988&lt;&gt;"",FT!E988,"")</f>
        <v/>
      </c>
      <c r="J988" t="str">
        <f>IF(FT!B988&lt;&gt;"",FT!C988,"")</f>
        <v/>
      </c>
    </row>
    <row r="989" spans="5:10">
      <c r="E989">
        <f t="shared" si="43"/>
        <v>987</v>
      </c>
      <c r="F989" s="61" t="str">
        <f>IF(FT!A989&lt;&gt;"",FT!A989*10,"")</f>
        <v/>
      </c>
      <c r="G989" s="61" t="str">
        <f>IF(FT!B989&lt;&gt;"",FT!B989*100,"")</f>
        <v/>
      </c>
      <c r="H989" s="61" t="str">
        <f t="shared" si="42"/>
        <v/>
      </c>
      <c r="I989" t="str">
        <f>IF(FT!B989&lt;&gt;"",FT!E989,"")</f>
        <v/>
      </c>
      <c r="J989" t="str">
        <f>IF(FT!B989&lt;&gt;"",FT!C989,"")</f>
        <v/>
      </c>
    </row>
    <row r="990" spans="5:10">
      <c r="E990">
        <f t="shared" si="43"/>
        <v>988</v>
      </c>
      <c r="F990" s="61" t="str">
        <f>IF(FT!A990&lt;&gt;"",FT!A990*10,"")</f>
        <v/>
      </c>
      <c r="G990" s="61" t="str">
        <f>IF(FT!B990&lt;&gt;"",FT!B990*100,"")</f>
        <v/>
      </c>
      <c r="H990" s="61" t="str">
        <f t="shared" si="42"/>
        <v/>
      </c>
      <c r="I990" t="str">
        <f>IF(FT!B990&lt;&gt;"",FT!E990,"")</f>
        <v/>
      </c>
      <c r="J990" t="str">
        <f>IF(FT!B990&lt;&gt;"",FT!C990,"")</f>
        <v/>
      </c>
    </row>
    <row r="991" spans="5:10">
      <c r="E991">
        <f t="shared" si="43"/>
        <v>989</v>
      </c>
      <c r="F991" s="61" t="str">
        <f>IF(FT!A991&lt;&gt;"",FT!A991*10,"")</f>
        <v/>
      </c>
      <c r="G991" s="61" t="str">
        <f>IF(FT!B991&lt;&gt;"",FT!B991*100,"")</f>
        <v/>
      </c>
      <c r="H991" s="61" t="str">
        <f t="shared" si="42"/>
        <v/>
      </c>
      <c r="I991" t="str">
        <f>IF(FT!B991&lt;&gt;"",FT!E991,"")</f>
        <v/>
      </c>
      <c r="J991" t="str">
        <f>IF(FT!B991&lt;&gt;"",FT!C991,"")</f>
        <v/>
      </c>
    </row>
    <row r="992" spans="5:10">
      <c r="E992">
        <f t="shared" si="43"/>
        <v>990</v>
      </c>
      <c r="F992" s="61" t="str">
        <f>IF(FT!A992&lt;&gt;"",FT!A992*10,"")</f>
        <v/>
      </c>
      <c r="G992" s="61" t="str">
        <f>IF(FT!B992&lt;&gt;"",FT!B992*100,"")</f>
        <v/>
      </c>
      <c r="H992" s="61" t="str">
        <f t="shared" si="42"/>
        <v/>
      </c>
      <c r="I992" t="str">
        <f>IF(FT!B992&lt;&gt;"",FT!E992,"")</f>
        <v/>
      </c>
      <c r="J992" t="str">
        <f>IF(FT!B992&lt;&gt;"",FT!C992,"")</f>
        <v/>
      </c>
    </row>
    <row r="993" spans="5:10">
      <c r="E993">
        <f t="shared" si="43"/>
        <v>991</v>
      </c>
      <c r="F993" s="61" t="str">
        <f>IF(FT!A993&lt;&gt;"",FT!A993*10,"")</f>
        <v/>
      </c>
      <c r="G993" s="61" t="str">
        <f>IF(FT!B993&lt;&gt;"",FT!B993*100,"")</f>
        <v/>
      </c>
      <c r="H993" s="61" t="str">
        <f t="shared" si="42"/>
        <v/>
      </c>
      <c r="I993" t="str">
        <f>IF(FT!B993&lt;&gt;"",FT!E993,"")</f>
        <v/>
      </c>
      <c r="J993" t="str">
        <f>IF(FT!B993&lt;&gt;"",FT!C993,"")</f>
        <v/>
      </c>
    </row>
    <row r="994" spans="5:10">
      <c r="E994">
        <f t="shared" si="43"/>
        <v>992</v>
      </c>
      <c r="F994" s="61" t="str">
        <f>IF(FT!A994&lt;&gt;"",FT!A994*10,"")</f>
        <v/>
      </c>
      <c r="G994" s="61" t="str">
        <f>IF(FT!B994&lt;&gt;"",FT!B994*100,"")</f>
        <v/>
      </c>
      <c r="H994" s="61" t="str">
        <f t="shared" si="42"/>
        <v/>
      </c>
      <c r="I994" t="str">
        <f>IF(FT!B994&lt;&gt;"",FT!E994,"")</f>
        <v/>
      </c>
      <c r="J994" t="str">
        <f>IF(FT!B994&lt;&gt;"",FT!C994,"")</f>
        <v/>
      </c>
    </row>
    <row r="995" spans="5:10">
      <c r="E995">
        <f t="shared" si="43"/>
        <v>993</v>
      </c>
      <c r="F995" s="61" t="str">
        <f>IF(FT!A995&lt;&gt;"",FT!A995*10,"")</f>
        <v/>
      </c>
      <c r="G995" s="61" t="str">
        <f>IF(FT!B995&lt;&gt;"",FT!B995*100,"")</f>
        <v/>
      </c>
      <c r="H995" s="61" t="str">
        <f t="shared" si="42"/>
        <v/>
      </c>
      <c r="I995" t="str">
        <f>IF(FT!B995&lt;&gt;"",FT!E995,"")</f>
        <v/>
      </c>
      <c r="J995" t="str">
        <f>IF(FT!B995&lt;&gt;"",FT!C995,"")</f>
        <v/>
      </c>
    </row>
    <row r="996" spans="5:10">
      <c r="E996">
        <f t="shared" si="43"/>
        <v>994</v>
      </c>
      <c r="F996" s="61" t="str">
        <f>IF(FT!A996&lt;&gt;"",FT!A996*10,"")</f>
        <v/>
      </c>
      <c r="G996" s="61" t="str">
        <f>IF(FT!B996&lt;&gt;"",FT!B996*100,"")</f>
        <v/>
      </c>
      <c r="H996" s="61" t="str">
        <f t="shared" si="42"/>
        <v/>
      </c>
      <c r="I996" t="str">
        <f>IF(FT!B996&lt;&gt;"",FT!E996,"")</f>
        <v/>
      </c>
      <c r="J996" t="str">
        <f>IF(FT!B996&lt;&gt;"",FT!C996,"")</f>
        <v/>
      </c>
    </row>
    <row r="997" spans="5:10">
      <c r="E997">
        <f t="shared" si="43"/>
        <v>995</v>
      </c>
      <c r="F997" s="61" t="str">
        <f>IF(FT!A997&lt;&gt;"",FT!A997*10,"")</f>
        <v/>
      </c>
      <c r="G997" s="61" t="str">
        <f>IF(FT!B997&lt;&gt;"",FT!B997*100,"")</f>
        <v/>
      </c>
      <c r="H997" s="61" t="str">
        <f t="shared" si="42"/>
        <v/>
      </c>
      <c r="I997" t="str">
        <f>IF(FT!B997&lt;&gt;"",FT!E997,"")</f>
        <v/>
      </c>
      <c r="J997" t="str">
        <f>IF(FT!B997&lt;&gt;"",FT!C997,"")</f>
        <v/>
      </c>
    </row>
    <row r="998" spans="5:10">
      <c r="E998">
        <f t="shared" si="43"/>
        <v>996</v>
      </c>
      <c r="F998" s="61" t="str">
        <f>IF(FT!A998&lt;&gt;"",FT!A998*10,"")</f>
        <v/>
      </c>
      <c r="G998" s="61" t="str">
        <f>IF(FT!B998&lt;&gt;"",FT!B998*100,"")</f>
        <v/>
      </c>
      <c r="H998" s="61" t="str">
        <f t="shared" si="42"/>
        <v/>
      </c>
      <c r="I998" t="str">
        <f>IF(FT!B998&lt;&gt;"",FT!E998,"")</f>
        <v/>
      </c>
      <c r="J998" t="str">
        <f>IF(FT!B998&lt;&gt;"",FT!C998,"")</f>
        <v/>
      </c>
    </row>
    <row r="999" spans="5:10">
      <c r="E999">
        <f t="shared" si="43"/>
        <v>997</v>
      </c>
      <c r="F999" s="61" t="str">
        <f>IF(FT!A999&lt;&gt;"",FT!A999*10,"")</f>
        <v/>
      </c>
      <c r="G999" s="61" t="str">
        <f>IF(FT!B999&lt;&gt;"",FT!B999*100,"")</f>
        <v/>
      </c>
      <c r="H999" s="61" t="str">
        <f t="shared" si="42"/>
        <v/>
      </c>
      <c r="I999" t="str">
        <f>IF(FT!B999&lt;&gt;"",FT!E999,"")</f>
        <v/>
      </c>
      <c r="J999" t="str">
        <f>IF(FT!B999&lt;&gt;"",FT!C999,"")</f>
        <v/>
      </c>
    </row>
    <row r="1000" spans="5:10">
      <c r="E1000">
        <f t="shared" si="43"/>
        <v>998</v>
      </c>
      <c r="F1000" s="61" t="str">
        <f>IF(FT!A1000&lt;&gt;"",FT!A1000*10,"")</f>
        <v/>
      </c>
      <c r="G1000" s="61" t="str">
        <f>IF(FT!B1000&lt;&gt;"",FT!B1000*100,"")</f>
        <v/>
      </c>
      <c r="H1000" s="61" t="str">
        <f t="shared" si="42"/>
        <v/>
      </c>
      <c r="I1000" t="str">
        <f>IF(FT!B1000&lt;&gt;"",FT!E1000,"")</f>
        <v/>
      </c>
      <c r="J1000" t="str">
        <f>IF(FT!B1000&lt;&gt;"",FT!C1000,"")</f>
        <v/>
      </c>
    </row>
    <row r="1001" spans="5:10">
      <c r="E1001">
        <f t="shared" si="43"/>
        <v>999</v>
      </c>
      <c r="F1001" s="61" t="str">
        <f>IF(FT!A1001&lt;&gt;"",FT!A1001*10,"")</f>
        <v/>
      </c>
      <c r="G1001" s="61" t="str">
        <f>IF(FT!B1001&lt;&gt;"",FT!B1001*100,"")</f>
        <v/>
      </c>
      <c r="H1001" s="61" t="str">
        <f t="shared" si="42"/>
        <v/>
      </c>
      <c r="I1001" t="str">
        <f>IF(FT!B1001&lt;&gt;"",FT!E1001,"")</f>
        <v/>
      </c>
      <c r="J1001" t="str">
        <f>IF(FT!B1001&lt;&gt;"",FT!C1001,"")</f>
        <v/>
      </c>
    </row>
    <row r="1002" spans="5:10">
      <c r="E1002">
        <f t="shared" si="43"/>
        <v>1000</v>
      </c>
      <c r="F1002" s="61" t="str">
        <f>IF(FT!A1002&lt;&gt;"",FT!A1002*10,"")</f>
        <v/>
      </c>
      <c r="G1002" s="61" t="str">
        <f>IF(FT!B1002&lt;&gt;"",FT!B1002*100,"")</f>
        <v/>
      </c>
      <c r="H1002" s="61" t="str">
        <f t="shared" si="42"/>
        <v/>
      </c>
      <c r="I1002" t="str">
        <f>IF(FT!B1002&lt;&gt;"",FT!E1002,"")</f>
        <v/>
      </c>
      <c r="J1002" t="str">
        <f>IF(FT!B1002&lt;&gt;"",FT!C1002,"")</f>
        <v/>
      </c>
    </row>
    <row r="1003" spans="5:10">
      <c r="E1003">
        <f t="shared" si="43"/>
        <v>1001</v>
      </c>
      <c r="F1003" s="61" t="str">
        <f>IF(FT!A1003&lt;&gt;"",FT!A1003*10,"")</f>
        <v/>
      </c>
      <c r="G1003" s="61" t="str">
        <f>IF(FT!B1003&lt;&gt;"",FT!B1003*100,"")</f>
        <v/>
      </c>
      <c r="H1003" s="61" t="str">
        <f t="shared" si="42"/>
        <v/>
      </c>
      <c r="I1003" t="str">
        <f>IF(FT!B1003&lt;&gt;"",FT!E1003,"")</f>
        <v/>
      </c>
      <c r="J1003" t="str">
        <f>IF(FT!B1003&lt;&gt;"",FT!C1003,"")</f>
        <v/>
      </c>
    </row>
    <row r="1004" spans="5:10">
      <c r="E1004">
        <f t="shared" si="43"/>
        <v>1002</v>
      </c>
      <c r="F1004" s="61" t="str">
        <f>IF(FT!A1004&lt;&gt;"",FT!A1004*10,"")</f>
        <v/>
      </c>
      <c r="G1004" s="61" t="str">
        <f>IF(FT!B1004&lt;&gt;"",FT!B1004*100,"")</f>
        <v/>
      </c>
      <c r="H1004" s="61" t="str">
        <f t="shared" si="42"/>
        <v/>
      </c>
      <c r="I1004" t="str">
        <f>IF(FT!B1004&lt;&gt;"",FT!E1004,"")</f>
        <v/>
      </c>
      <c r="J1004" t="str">
        <f>IF(FT!B1004&lt;&gt;"",FT!C1004,"")</f>
        <v/>
      </c>
    </row>
    <row r="1005" spans="5:10">
      <c r="E1005">
        <f t="shared" si="43"/>
        <v>1003</v>
      </c>
      <c r="F1005" s="61" t="str">
        <f>IF(FT!A1005&lt;&gt;"",FT!A1005*10,"")</f>
        <v/>
      </c>
      <c r="G1005" s="61" t="str">
        <f>IF(FT!B1005&lt;&gt;"",FT!B1005*100,"")</f>
        <v/>
      </c>
      <c r="H1005" s="61" t="str">
        <f t="shared" si="42"/>
        <v/>
      </c>
      <c r="I1005" t="str">
        <f>IF(FT!B1005&lt;&gt;"",FT!E1005,"")</f>
        <v/>
      </c>
      <c r="J1005" t="str">
        <f>IF(FT!B1005&lt;&gt;"",FT!C1005,"")</f>
        <v/>
      </c>
    </row>
    <row r="1006" spans="5:10">
      <c r="E1006">
        <f t="shared" si="43"/>
        <v>1004</v>
      </c>
      <c r="F1006" s="61" t="str">
        <f>IF(FT!A1006&lt;&gt;"",FT!A1006*10,"")</f>
        <v/>
      </c>
      <c r="G1006" s="61" t="str">
        <f>IF(FT!B1006&lt;&gt;"",FT!B1006*100,"")</f>
        <v/>
      </c>
      <c r="H1006" s="61" t="str">
        <f t="shared" si="42"/>
        <v/>
      </c>
      <c r="I1006" t="str">
        <f>IF(FT!B1006&lt;&gt;"",FT!E1006,"")</f>
        <v/>
      </c>
      <c r="J1006" t="str">
        <f>IF(FT!B1006&lt;&gt;"",FT!C1006,"")</f>
        <v/>
      </c>
    </row>
    <row r="1007" spans="5:10">
      <c r="E1007">
        <f t="shared" si="43"/>
        <v>1005</v>
      </c>
      <c r="F1007" s="61" t="str">
        <f>IF(FT!A1007&lt;&gt;"",FT!A1007*10,"")</f>
        <v/>
      </c>
      <c r="G1007" s="61" t="str">
        <f>IF(FT!B1007&lt;&gt;"",FT!B1007*100,"")</f>
        <v/>
      </c>
      <c r="H1007" s="61" t="str">
        <f t="shared" si="42"/>
        <v/>
      </c>
      <c r="I1007" t="str">
        <f>IF(FT!B1007&lt;&gt;"",FT!E1007,"")</f>
        <v/>
      </c>
      <c r="J1007" t="str">
        <f>IF(FT!B1007&lt;&gt;"",FT!C1007,"")</f>
        <v/>
      </c>
    </row>
    <row r="1008" spans="5:10">
      <c r="E1008">
        <f t="shared" si="43"/>
        <v>1006</v>
      </c>
      <c r="F1008" s="61" t="str">
        <f>IF(FT!A1008&lt;&gt;"",FT!A1008*10,"")</f>
        <v/>
      </c>
      <c r="G1008" s="61" t="str">
        <f>IF(FT!B1008&lt;&gt;"",FT!B1008*100,"")</f>
        <v/>
      </c>
      <c r="H1008" s="61" t="str">
        <f t="shared" si="42"/>
        <v/>
      </c>
      <c r="I1008" t="str">
        <f>IF(FT!B1008&lt;&gt;"",FT!E1008,"")</f>
        <v/>
      </c>
      <c r="J1008" t="str">
        <f>IF(FT!B1008&lt;&gt;"",FT!C1008,"")</f>
        <v/>
      </c>
    </row>
    <row r="1009" spans="5:10">
      <c r="E1009">
        <f t="shared" si="43"/>
        <v>1007</v>
      </c>
      <c r="F1009" s="61" t="str">
        <f>IF(FT!A1009&lt;&gt;"",FT!A1009*10,"")</f>
        <v/>
      </c>
      <c r="G1009" s="61" t="str">
        <f>IF(FT!B1009&lt;&gt;"",FT!B1009*100,"")</f>
        <v/>
      </c>
      <c r="H1009" s="61" t="str">
        <f t="shared" si="42"/>
        <v/>
      </c>
      <c r="I1009" t="str">
        <f>IF(FT!B1009&lt;&gt;"",FT!E1009,"")</f>
        <v/>
      </c>
      <c r="J1009" t="str">
        <f>IF(FT!B1009&lt;&gt;"",FT!C1009,"")</f>
        <v/>
      </c>
    </row>
    <row r="1010" spans="5:10">
      <c r="E1010">
        <f t="shared" si="43"/>
        <v>1008</v>
      </c>
      <c r="F1010" s="61" t="str">
        <f>IF(FT!A1010&lt;&gt;"",FT!A1010*10,"")</f>
        <v/>
      </c>
      <c r="G1010" s="61" t="str">
        <f>IF(FT!B1010&lt;&gt;"",FT!B1010*100,"")</f>
        <v/>
      </c>
      <c r="H1010" s="61" t="str">
        <f t="shared" si="42"/>
        <v/>
      </c>
      <c r="I1010" t="str">
        <f>IF(FT!B1010&lt;&gt;"",FT!E1010,"")</f>
        <v/>
      </c>
      <c r="J1010" t="str">
        <f>IF(FT!B1010&lt;&gt;"",FT!C1010,"")</f>
        <v/>
      </c>
    </row>
    <row r="1011" spans="5:10">
      <c r="E1011">
        <f t="shared" si="43"/>
        <v>1009</v>
      </c>
      <c r="F1011" s="61" t="str">
        <f>IF(FT!A1011&lt;&gt;"",FT!A1011*10,"")</f>
        <v/>
      </c>
      <c r="G1011" s="61" t="str">
        <f>IF(FT!B1011&lt;&gt;"",FT!B1011*100,"")</f>
        <v/>
      </c>
      <c r="H1011" s="61" t="str">
        <f t="shared" si="42"/>
        <v/>
      </c>
      <c r="I1011" t="str">
        <f>IF(FT!B1011&lt;&gt;"",FT!E1011,"")</f>
        <v/>
      </c>
      <c r="J1011" t="str">
        <f>IF(FT!B1011&lt;&gt;"",FT!C1011,"")</f>
        <v/>
      </c>
    </row>
    <row r="1012" spans="5:10">
      <c r="E1012">
        <f t="shared" si="43"/>
        <v>1010</v>
      </c>
      <c r="F1012" s="61" t="str">
        <f>IF(FT!A1012&lt;&gt;"",FT!A1012*10,"")</f>
        <v/>
      </c>
      <c r="G1012" s="61" t="str">
        <f>IF(FT!B1012&lt;&gt;"",FT!B1012*100,"")</f>
        <v/>
      </c>
      <c r="H1012" s="61" t="str">
        <f t="shared" si="42"/>
        <v/>
      </c>
      <c r="I1012" t="str">
        <f>IF(FT!B1012&lt;&gt;"",FT!E1012,"")</f>
        <v/>
      </c>
      <c r="J1012" t="str">
        <f>IF(FT!B1012&lt;&gt;"",FT!C1012,"")</f>
        <v/>
      </c>
    </row>
    <row r="1013" spans="5:10">
      <c r="E1013">
        <f t="shared" si="43"/>
        <v>1011</v>
      </c>
      <c r="F1013" s="61" t="str">
        <f>IF(FT!A1013&lt;&gt;"",FT!A1013*10,"")</f>
        <v/>
      </c>
      <c r="G1013" s="61" t="str">
        <f>IF(FT!B1013&lt;&gt;"",FT!B1013*100,"")</f>
        <v/>
      </c>
      <c r="H1013" s="61" t="str">
        <f t="shared" si="42"/>
        <v/>
      </c>
      <c r="I1013" t="str">
        <f>IF(FT!B1013&lt;&gt;"",FT!E1013,"")</f>
        <v/>
      </c>
      <c r="J1013" t="str">
        <f>IF(FT!B1013&lt;&gt;"",FT!C1013,"")</f>
        <v/>
      </c>
    </row>
    <row r="1014" spans="5:10">
      <c r="E1014">
        <f t="shared" si="43"/>
        <v>1012</v>
      </c>
      <c r="F1014" s="61" t="str">
        <f>IF(FT!A1014&lt;&gt;"",FT!A1014*10,"")</f>
        <v/>
      </c>
      <c r="G1014" s="61" t="str">
        <f>IF(FT!B1014&lt;&gt;"",FT!B1014*100,"")</f>
        <v/>
      </c>
      <c r="H1014" s="61" t="str">
        <f t="shared" si="42"/>
        <v/>
      </c>
      <c r="I1014" t="str">
        <f>IF(FT!B1014&lt;&gt;"",FT!E1014,"")</f>
        <v/>
      </c>
      <c r="J1014" t="str">
        <f>IF(FT!B1014&lt;&gt;"",FT!C1014,"")</f>
        <v/>
      </c>
    </row>
    <row r="1015" spans="5:10">
      <c r="E1015">
        <f t="shared" si="43"/>
        <v>1013</v>
      </c>
      <c r="F1015" s="61" t="str">
        <f>IF(FT!A1015&lt;&gt;"",FT!A1015*10,"")</f>
        <v/>
      </c>
      <c r="G1015" s="61" t="str">
        <f>IF(FT!B1015&lt;&gt;"",FT!B1015*100,"")</f>
        <v/>
      </c>
      <c r="H1015" s="61" t="str">
        <f t="shared" si="42"/>
        <v/>
      </c>
      <c r="I1015" t="str">
        <f>IF(FT!B1015&lt;&gt;"",FT!E1015,"")</f>
        <v/>
      </c>
      <c r="J1015" t="str">
        <f>IF(FT!B1015&lt;&gt;"",FT!C1015,"")</f>
        <v/>
      </c>
    </row>
    <row r="1016" spans="5:10">
      <c r="E1016">
        <f t="shared" si="43"/>
        <v>1014</v>
      </c>
      <c r="F1016" s="61" t="str">
        <f>IF(FT!A1016&lt;&gt;"",FT!A1016*10,"")</f>
        <v/>
      </c>
      <c r="G1016" s="61" t="str">
        <f>IF(FT!B1016&lt;&gt;"",FT!B1016*100,"")</f>
        <v/>
      </c>
      <c r="H1016" s="61" t="str">
        <f t="shared" si="42"/>
        <v/>
      </c>
      <c r="I1016" t="str">
        <f>IF(FT!B1016&lt;&gt;"",FT!E1016,"")</f>
        <v/>
      </c>
      <c r="J1016" t="str">
        <f>IF(FT!B1016&lt;&gt;"",FT!C1016,"")</f>
        <v/>
      </c>
    </row>
    <row r="1017" spans="5:10">
      <c r="E1017">
        <f t="shared" si="43"/>
        <v>1015</v>
      </c>
      <c r="F1017" s="61" t="str">
        <f>IF(FT!A1017&lt;&gt;"",FT!A1017*10,"")</f>
        <v/>
      </c>
      <c r="G1017" s="61" t="str">
        <f>IF(FT!B1017&lt;&gt;"",FT!B1017*100,"")</f>
        <v/>
      </c>
      <c r="H1017" s="61" t="str">
        <f t="shared" si="42"/>
        <v/>
      </c>
      <c r="I1017" t="str">
        <f>IF(FT!B1017&lt;&gt;"",FT!E1017,"")</f>
        <v/>
      </c>
      <c r="J1017" t="str">
        <f>IF(FT!B1017&lt;&gt;"",FT!C1017,"")</f>
        <v/>
      </c>
    </row>
    <row r="1018" spans="5:10">
      <c r="E1018">
        <f t="shared" si="43"/>
        <v>1016</v>
      </c>
      <c r="F1018" s="61" t="str">
        <f>IF(FT!A1018&lt;&gt;"",FT!A1018*10,"")</f>
        <v/>
      </c>
      <c r="G1018" s="61" t="str">
        <f>IF(FT!B1018&lt;&gt;"",FT!B1018*100,"")</f>
        <v/>
      </c>
      <c r="H1018" s="61" t="str">
        <f t="shared" si="42"/>
        <v/>
      </c>
      <c r="I1018" t="str">
        <f>IF(FT!B1018&lt;&gt;"",FT!E1018,"")</f>
        <v/>
      </c>
      <c r="J1018" t="str">
        <f>IF(FT!B1018&lt;&gt;"",FT!C1018,"")</f>
        <v/>
      </c>
    </row>
    <row r="1019" spans="5:10">
      <c r="E1019">
        <f t="shared" si="43"/>
        <v>1017</v>
      </c>
      <c r="F1019" s="61" t="str">
        <f>IF(FT!A1019&lt;&gt;"",FT!A1019*10,"")</f>
        <v/>
      </c>
      <c r="G1019" s="61" t="str">
        <f>IF(FT!B1019&lt;&gt;"",FT!B1019*100,"")</f>
        <v/>
      </c>
      <c r="H1019" s="61" t="str">
        <f t="shared" si="42"/>
        <v/>
      </c>
      <c r="I1019" t="str">
        <f>IF(FT!B1019&lt;&gt;"",FT!E1019,"")</f>
        <v/>
      </c>
      <c r="J1019" t="str">
        <f>IF(FT!B1019&lt;&gt;"",FT!C1019,"")</f>
        <v/>
      </c>
    </row>
    <row r="1020" spans="5:10">
      <c r="E1020">
        <f t="shared" si="43"/>
        <v>1018</v>
      </c>
      <c r="F1020" s="61" t="str">
        <f>IF(FT!A1020&lt;&gt;"",FT!A1020*10,"")</f>
        <v/>
      </c>
      <c r="G1020" s="61" t="str">
        <f>IF(FT!B1020&lt;&gt;"",FT!B1020*100,"")</f>
        <v/>
      </c>
      <c r="H1020" s="61" t="str">
        <f t="shared" si="42"/>
        <v/>
      </c>
      <c r="I1020" t="str">
        <f>IF(FT!B1020&lt;&gt;"",FT!E1020,"")</f>
        <v/>
      </c>
      <c r="J1020" t="str">
        <f>IF(FT!B1020&lt;&gt;"",FT!C1020,"")</f>
        <v/>
      </c>
    </row>
    <row r="1021" spans="5:10">
      <c r="E1021">
        <f t="shared" si="43"/>
        <v>1019</v>
      </c>
      <c r="F1021" s="61" t="str">
        <f>IF(FT!A1021&lt;&gt;"",FT!A1021*10,"")</f>
        <v/>
      </c>
      <c r="G1021" s="61" t="str">
        <f>IF(FT!B1021&lt;&gt;"",FT!B1021*100,"")</f>
        <v/>
      </c>
      <c r="H1021" s="61" t="str">
        <f t="shared" si="42"/>
        <v/>
      </c>
      <c r="I1021" t="str">
        <f>IF(FT!B1021&lt;&gt;"",FT!E1021,"")</f>
        <v/>
      </c>
      <c r="J1021" t="str">
        <f>IF(FT!B1021&lt;&gt;"",FT!C1021,"")</f>
        <v/>
      </c>
    </row>
    <row r="1022" spans="5:10">
      <c r="E1022">
        <f t="shared" si="43"/>
        <v>1020</v>
      </c>
      <c r="F1022" s="61" t="str">
        <f>IF(FT!A1022&lt;&gt;"",FT!A1022*10,"")</f>
        <v/>
      </c>
      <c r="G1022" s="61" t="str">
        <f>IF(FT!B1022&lt;&gt;"",FT!B1022*100,"")</f>
        <v/>
      </c>
      <c r="H1022" s="61" t="str">
        <f t="shared" si="42"/>
        <v/>
      </c>
      <c r="I1022" t="str">
        <f>IF(FT!B1022&lt;&gt;"",FT!E1022,"")</f>
        <v/>
      </c>
      <c r="J1022" t="str">
        <f>IF(FT!B1022&lt;&gt;"",FT!C1022,"")</f>
        <v/>
      </c>
    </row>
    <row r="1023" spans="5:10">
      <c r="E1023">
        <f t="shared" si="43"/>
        <v>1021</v>
      </c>
      <c r="F1023" s="61" t="str">
        <f>IF(FT!A1023&lt;&gt;"",FT!A1023*10,"")</f>
        <v/>
      </c>
      <c r="G1023" s="61" t="str">
        <f>IF(FT!B1023&lt;&gt;"",FT!B1023*100,"")</f>
        <v/>
      </c>
      <c r="H1023" s="61" t="str">
        <f t="shared" si="42"/>
        <v/>
      </c>
      <c r="I1023" t="str">
        <f>IF(FT!B1023&lt;&gt;"",FT!E1023,"")</f>
        <v/>
      </c>
      <c r="J1023" t="str">
        <f>IF(FT!B1023&lt;&gt;"",FT!C1023,"")</f>
        <v/>
      </c>
    </row>
    <row r="1024" spans="5:10">
      <c r="E1024">
        <f t="shared" si="43"/>
        <v>1022</v>
      </c>
      <c r="F1024" s="61" t="str">
        <f>IF(FT!A1024&lt;&gt;"",FT!A1024*10,"")</f>
        <v/>
      </c>
      <c r="G1024" s="61" t="str">
        <f>IF(FT!B1024&lt;&gt;"",FT!B1024*100,"")</f>
        <v/>
      </c>
      <c r="H1024" s="61" t="str">
        <f t="shared" si="42"/>
        <v/>
      </c>
      <c r="I1024" t="str">
        <f>IF(FT!B1024&lt;&gt;"",FT!E1024,"")</f>
        <v/>
      </c>
      <c r="J1024" t="str">
        <f>IF(FT!B1024&lt;&gt;"",FT!C1024,"")</f>
        <v/>
      </c>
    </row>
    <row r="1025" spans="5:10">
      <c r="E1025">
        <f t="shared" si="43"/>
        <v>1023</v>
      </c>
      <c r="F1025" s="61" t="str">
        <f>IF(FT!A1025&lt;&gt;"",FT!A1025*10,"")</f>
        <v/>
      </c>
      <c r="G1025" s="61" t="str">
        <f>IF(FT!B1025&lt;&gt;"",FT!B1025*100,"")</f>
        <v/>
      </c>
      <c r="H1025" s="61" t="str">
        <f t="shared" si="42"/>
        <v/>
      </c>
      <c r="I1025" t="str">
        <f>IF(FT!B1025&lt;&gt;"",FT!E1025,"")</f>
        <v/>
      </c>
      <c r="J1025" t="str">
        <f>IF(FT!B1025&lt;&gt;"",FT!C1025,"")</f>
        <v/>
      </c>
    </row>
    <row r="1026" spans="5:10">
      <c r="E1026">
        <f t="shared" si="43"/>
        <v>1024</v>
      </c>
      <c r="F1026" s="61" t="str">
        <f>IF(FT!A1026&lt;&gt;"",FT!A1026*10,"")</f>
        <v/>
      </c>
      <c r="G1026" s="61" t="str">
        <f>IF(FT!B1026&lt;&gt;"",FT!B1026*100,"")</f>
        <v/>
      </c>
      <c r="H1026" s="61" t="str">
        <f t="shared" si="42"/>
        <v/>
      </c>
      <c r="I1026" t="str">
        <f>IF(FT!B1026&lt;&gt;"",FT!E1026,"")</f>
        <v/>
      </c>
      <c r="J1026" t="str">
        <f>IF(FT!B1026&lt;&gt;"",FT!C1026,"")</f>
        <v/>
      </c>
    </row>
    <row r="1027" spans="5:10">
      <c r="E1027">
        <f t="shared" si="43"/>
        <v>1025</v>
      </c>
      <c r="F1027" s="61" t="str">
        <f>IF(FT!A1027&lt;&gt;"",FT!A1027*10,"")</f>
        <v/>
      </c>
      <c r="G1027" s="61" t="str">
        <f>IF(FT!B1027&lt;&gt;"",FT!B1027*100,"")</f>
        <v/>
      </c>
      <c r="H1027" s="61" t="str">
        <f t="shared" ref="H1027:H1090" si="44">(IF(F1027&lt;&gt;"",1,""))</f>
        <v/>
      </c>
      <c r="I1027" t="str">
        <f>IF(FT!B1027&lt;&gt;"",FT!E1027,"")</f>
        <v/>
      </c>
      <c r="J1027" t="str">
        <f>IF(FT!B1027&lt;&gt;"",FT!C1027,"")</f>
        <v/>
      </c>
    </row>
    <row r="1028" spans="5:10">
      <c r="E1028">
        <f t="shared" ref="E1028:E1091" si="45">E1027+1</f>
        <v>1026</v>
      </c>
      <c r="F1028" s="61" t="str">
        <f>IF(FT!A1028&lt;&gt;"",FT!A1028*10,"")</f>
        <v/>
      </c>
      <c r="G1028" s="61" t="str">
        <f>IF(FT!B1028&lt;&gt;"",FT!B1028*100,"")</f>
        <v/>
      </c>
      <c r="H1028" s="61" t="str">
        <f t="shared" si="44"/>
        <v/>
      </c>
      <c r="I1028" t="str">
        <f>IF(FT!B1028&lt;&gt;"",FT!E1028,"")</f>
        <v/>
      </c>
      <c r="J1028" t="str">
        <f>IF(FT!B1028&lt;&gt;"",FT!C1028,"")</f>
        <v/>
      </c>
    </row>
    <row r="1029" spans="5:10">
      <c r="E1029">
        <f t="shared" si="45"/>
        <v>1027</v>
      </c>
      <c r="F1029" s="61" t="str">
        <f>IF(FT!A1029&lt;&gt;"",FT!A1029*10,"")</f>
        <v/>
      </c>
      <c r="G1029" s="61" t="str">
        <f>IF(FT!B1029&lt;&gt;"",FT!B1029*100,"")</f>
        <v/>
      </c>
      <c r="H1029" s="61" t="str">
        <f t="shared" si="44"/>
        <v/>
      </c>
      <c r="I1029" t="str">
        <f>IF(FT!B1029&lt;&gt;"",FT!E1029,"")</f>
        <v/>
      </c>
      <c r="J1029" t="str">
        <f>IF(FT!B1029&lt;&gt;"",FT!C1029,"")</f>
        <v/>
      </c>
    </row>
    <row r="1030" spans="5:10">
      <c r="E1030">
        <f t="shared" si="45"/>
        <v>1028</v>
      </c>
      <c r="F1030" s="61" t="str">
        <f>IF(FT!A1030&lt;&gt;"",FT!A1030*10,"")</f>
        <v/>
      </c>
      <c r="G1030" s="61" t="str">
        <f>IF(FT!B1030&lt;&gt;"",FT!B1030*100,"")</f>
        <v/>
      </c>
      <c r="H1030" s="61" t="str">
        <f t="shared" si="44"/>
        <v/>
      </c>
      <c r="I1030" t="str">
        <f>IF(FT!B1030&lt;&gt;"",FT!E1030,"")</f>
        <v/>
      </c>
      <c r="J1030" t="str">
        <f>IF(FT!B1030&lt;&gt;"",FT!C1030,"")</f>
        <v/>
      </c>
    </row>
    <row r="1031" spans="5:10">
      <c r="E1031">
        <f t="shared" si="45"/>
        <v>1029</v>
      </c>
      <c r="F1031" s="61" t="str">
        <f>IF(FT!A1031&lt;&gt;"",FT!A1031*10,"")</f>
        <v/>
      </c>
      <c r="G1031" s="61" t="str">
        <f>IF(FT!B1031&lt;&gt;"",FT!B1031*100,"")</f>
        <v/>
      </c>
      <c r="H1031" s="61" t="str">
        <f t="shared" si="44"/>
        <v/>
      </c>
      <c r="I1031" t="str">
        <f>IF(FT!B1031&lt;&gt;"",FT!E1031,"")</f>
        <v/>
      </c>
      <c r="J1031" t="str">
        <f>IF(FT!B1031&lt;&gt;"",FT!C1031,"")</f>
        <v/>
      </c>
    </row>
    <row r="1032" spans="5:10">
      <c r="E1032">
        <f t="shared" si="45"/>
        <v>1030</v>
      </c>
      <c r="F1032" s="61" t="str">
        <f>IF(FT!A1032&lt;&gt;"",FT!A1032*10,"")</f>
        <v/>
      </c>
      <c r="G1032" s="61" t="str">
        <f>IF(FT!B1032&lt;&gt;"",FT!B1032*100,"")</f>
        <v/>
      </c>
      <c r="H1032" s="61" t="str">
        <f t="shared" si="44"/>
        <v/>
      </c>
      <c r="I1032" t="str">
        <f>IF(FT!B1032&lt;&gt;"",FT!E1032,"")</f>
        <v/>
      </c>
      <c r="J1032" t="str">
        <f>IF(FT!B1032&lt;&gt;"",FT!C1032,"")</f>
        <v/>
      </c>
    </row>
    <row r="1033" spans="5:10">
      <c r="E1033">
        <f t="shared" si="45"/>
        <v>1031</v>
      </c>
      <c r="F1033" s="61" t="str">
        <f>IF(FT!A1033&lt;&gt;"",FT!A1033*10,"")</f>
        <v/>
      </c>
      <c r="G1033" s="61" t="str">
        <f>IF(FT!B1033&lt;&gt;"",FT!B1033*100,"")</f>
        <v/>
      </c>
      <c r="H1033" s="61" t="str">
        <f t="shared" si="44"/>
        <v/>
      </c>
      <c r="I1033" t="str">
        <f>IF(FT!B1033&lt;&gt;"",FT!E1033,"")</f>
        <v/>
      </c>
      <c r="J1033" t="str">
        <f>IF(FT!B1033&lt;&gt;"",FT!C1033,"")</f>
        <v/>
      </c>
    </row>
    <row r="1034" spans="5:10">
      <c r="E1034">
        <f t="shared" si="45"/>
        <v>1032</v>
      </c>
      <c r="F1034" s="61" t="str">
        <f>IF(FT!A1034&lt;&gt;"",FT!A1034*10,"")</f>
        <v/>
      </c>
      <c r="G1034" s="61" t="str">
        <f>IF(FT!B1034&lt;&gt;"",FT!B1034*100,"")</f>
        <v/>
      </c>
      <c r="H1034" s="61" t="str">
        <f t="shared" si="44"/>
        <v/>
      </c>
      <c r="I1034" t="str">
        <f>IF(FT!B1034&lt;&gt;"",FT!E1034,"")</f>
        <v/>
      </c>
      <c r="J1034" t="str">
        <f>IF(FT!B1034&lt;&gt;"",FT!C1034,"")</f>
        <v/>
      </c>
    </row>
    <row r="1035" spans="5:10">
      <c r="E1035">
        <f t="shared" si="45"/>
        <v>1033</v>
      </c>
      <c r="F1035" s="61" t="str">
        <f>IF(FT!A1035&lt;&gt;"",FT!A1035*10,"")</f>
        <v/>
      </c>
      <c r="G1035" s="61" t="str">
        <f>IF(FT!B1035&lt;&gt;"",FT!B1035*100,"")</f>
        <v/>
      </c>
      <c r="H1035" s="61" t="str">
        <f t="shared" si="44"/>
        <v/>
      </c>
      <c r="I1035" t="str">
        <f>IF(FT!B1035&lt;&gt;"",FT!E1035,"")</f>
        <v/>
      </c>
      <c r="J1035" t="str">
        <f>IF(FT!B1035&lt;&gt;"",FT!C1035,"")</f>
        <v/>
      </c>
    </row>
    <row r="1036" spans="5:10">
      <c r="E1036">
        <f t="shared" si="45"/>
        <v>1034</v>
      </c>
      <c r="F1036" s="61" t="str">
        <f>IF(FT!A1036&lt;&gt;"",FT!A1036*10,"")</f>
        <v/>
      </c>
      <c r="G1036" s="61" t="str">
        <f>IF(FT!B1036&lt;&gt;"",FT!B1036*100,"")</f>
        <v/>
      </c>
      <c r="H1036" s="61" t="str">
        <f t="shared" si="44"/>
        <v/>
      </c>
      <c r="I1036" t="str">
        <f>IF(FT!B1036&lt;&gt;"",FT!E1036,"")</f>
        <v/>
      </c>
      <c r="J1036" t="str">
        <f>IF(FT!B1036&lt;&gt;"",FT!C1036,"")</f>
        <v/>
      </c>
    </row>
    <row r="1037" spans="5:10">
      <c r="E1037">
        <f t="shared" si="45"/>
        <v>1035</v>
      </c>
      <c r="F1037" s="61" t="str">
        <f>IF(FT!A1037&lt;&gt;"",FT!A1037*10,"")</f>
        <v/>
      </c>
      <c r="G1037" s="61" t="str">
        <f>IF(FT!B1037&lt;&gt;"",FT!B1037*100,"")</f>
        <v/>
      </c>
      <c r="H1037" s="61" t="str">
        <f t="shared" si="44"/>
        <v/>
      </c>
      <c r="I1037" t="str">
        <f>IF(FT!B1037&lt;&gt;"",FT!E1037,"")</f>
        <v/>
      </c>
      <c r="J1037" t="str">
        <f>IF(FT!B1037&lt;&gt;"",FT!C1037,"")</f>
        <v/>
      </c>
    </row>
    <row r="1038" spans="5:10">
      <c r="E1038">
        <f t="shared" si="45"/>
        <v>1036</v>
      </c>
      <c r="F1038" s="61" t="str">
        <f>IF(FT!A1038&lt;&gt;"",FT!A1038*10,"")</f>
        <v/>
      </c>
      <c r="G1038" s="61" t="str">
        <f>IF(FT!B1038&lt;&gt;"",FT!B1038*100,"")</f>
        <v/>
      </c>
      <c r="H1038" s="61" t="str">
        <f t="shared" si="44"/>
        <v/>
      </c>
      <c r="I1038" t="str">
        <f>IF(FT!B1038&lt;&gt;"",FT!E1038,"")</f>
        <v/>
      </c>
      <c r="J1038" t="str">
        <f>IF(FT!B1038&lt;&gt;"",FT!C1038,"")</f>
        <v/>
      </c>
    </row>
    <row r="1039" spans="5:10">
      <c r="E1039">
        <f t="shared" si="45"/>
        <v>1037</v>
      </c>
      <c r="F1039" s="61" t="str">
        <f>IF(FT!A1039&lt;&gt;"",FT!A1039*10,"")</f>
        <v/>
      </c>
      <c r="G1039" s="61" t="str">
        <f>IF(FT!B1039&lt;&gt;"",FT!B1039*100,"")</f>
        <v/>
      </c>
      <c r="H1039" s="61" t="str">
        <f t="shared" si="44"/>
        <v/>
      </c>
      <c r="I1039" t="str">
        <f>IF(FT!B1039&lt;&gt;"",FT!E1039,"")</f>
        <v/>
      </c>
      <c r="J1039" t="str">
        <f>IF(FT!B1039&lt;&gt;"",FT!C1039,"")</f>
        <v/>
      </c>
    </row>
    <row r="1040" spans="5:10">
      <c r="E1040">
        <f t="shared" si="45"/>
        <v>1038</v>
      </c>
      <c r="F1040" s="61" t="str">
        <f>IF(FT!A1040&lt;&gt;"",FT!A1040*10,"")</f>
        <v/>
      </c>
      <c r="G1040" s="61" t="str">
        <f>IF(FT!B1040&lt;&gt;"",FT!B1040*100,"")</f>
        <v/>
      </c>
      <c r="H1040" s="61" t="str">
        <f t="shared" si="44"/>
        <v/>
      </c>
      <c r="I1040" t="str">
        <f>IF(FT!B1040&lt;&gt;"",FT!E1040,"")</f>
        <v/>
      </c>
      <c r="J1040" t="str">
        <f>IF(FT!B1040&lt;&gt;"",FT!C1040,"")</f>
        <v/>
      </c>
    </row>
    <row r="1041" spans="5:10">
      <c r="E1041">
        <f t="shared" si="45"/>
        <v>1039</v>
      </c>
      <c r="F1041" s="61" t="str">
        <f>IF(FT!A1041&lt;&gt;"",FT!A1041*10,"")</f>
        <v/>
      </c>
      <c r="G1041" s="61" t="str">
        <f>IF(FT!B1041&lt;&gt;"",FT!B1041*100,"")</f>
        <v/>
      </c>
      <c r="H1041" s="61" t="str">
        <f t="shared" si="44"/>
        <v/>
      </c>
      <c r="I1041" t="str">
        <f>IF(FT!B1041&lt;&gt;"",FT!E1041,"")</f>
        <v/>
      </c>
      <c r="J1041" t="str">
        <f>IF(FT!B1041&lt;&gt;"",FT!C1041,"")</f>
        <v/>
      </c>
    </row>
    <row r="1042" spans="5:10">
      <c r="E1042">
        <f t="shared" si="45"/>
        <v>1040</v>
      </c>
      <c r="F1042" s="61" t="str">
        <f>IF(FT!A1042&lt;&gt;"",FT!A1042*10,"")</f>
        <v/>
      </c>
      <c r="G1042" s="61" t="str">
        <f>IF(FT!B1042&lt;&gt;"",FT!B1042*100,"")</f>
        <v/>
      </c>
      <c r="H1042" s="61" t="str">
        <f t="shared" si="44"/>
        <v/>
      </c>
      <c r="I1042" t="str">
        <f>IF(FT!B1042&lt;&gt;"",FT!E1042,"")</f>
        <v/>
      </c>
      <c r="J1042" t="str">
        <f>IF(FT!B1042&lt;&gt;"",FT!C1042,"")</f>
        <v/>
      </c>
    </row>
    <row r="1043" spans="5:10">
      <c r="E1043">
        <f t="shared" si="45"/>
        <v>1041</v>
      </c>
      <c r="F1043" s="61" t="str">
        <f>IF(FT!A1043&lt;&gt;"",FT!A1043*10,"")</f>
        <v/>
      </c>
      <c r="G1043" s="61" t="str">
        <f>IF(FT!B1043&lt;&gt;"",FT!B1043*100,"")</f>
        <v/>
      </c>
      <c r="H1043" s="61" t="str">
        <f t="shared" si="44"/>
        <v/>
      </c>
      <c r="I1043" t="str">
        <f>IF(FT!B1043&lt;&gt;"",FT!E1043,"")</f>
        <v/>
      </c>
      <c r="J1043" t="str">
        <f>IF(FT!B1043&lt;&gt;"",FT!C1043,"")</f>
        <v/>
      </c>
    </row>
    <row r="1044" spans="5:10">
      <c r="E1044">
        <f t="shared" si="45"/>
        <v>1042</v>
      </c>
      <c r="F1044" s="61" t="str">
        <f>IF(FT!A1044&lt;&gt;"",FT!A1044*10,"")</f>
        <v/>
      </c>
      <c r="G1044" s="61" t="str">
        <f>IF(FT!B1044&lt;&gt;"",FT!B1044*100,"")</f>
        <v/>
      </c>
      <c r="H1044" s="61" t="str">
        <f t="shared" si="44"/>
        <v/>
      </c>
      <c r="I1044" t="str">
        <f>IF(FT!B1044&lt;&gt;"",FT!E1044,"")</f>
        <v/>
      </c>
      <c r="J1044" t="str">
        <f>IF(FT!B1044&lt;&gt;"",FT!C1044,"")</f>
        <v/>
      </c>
    </row>
    <row r="1045" spans="5:10">
      <c r="E1045">
        <f t="shared" si="45"/>
        <v>1043</v>
      </c>
      <c r="F1045" s="61" t="str">
        <f>IF(FT!A1045&lt;&gt;"",FT!A1045*10,"")</f>
        <v/>
      </c>
      <c r="G1045" s="61" t="str">
        <f>IF(FT!B1045&lt;&gt;"",FT!B1045*100,"")</f>
        <v/>
      </c>
      <c r="H1045" s="61" t="str">
        <f t="shared" si="44"/>
        <v/>
      </c>
      <c r="I1045" t="str">
        <f>IF(FT!B1045&lt;&gt;"",FT!E1045,"")</f>
        <v/>
      </c>
      <c r="J1045" t="str">
        <f>IF(FT!B1045&lt;&gt;"",FT!C1045,"")</f>
        <v/>
      </c>
    </row>
    <row r="1046" spans="5:10">
      <c r="E1046">
        <f t="shared" si="45"/>
        <v>1044</v>
      </c>
      <c r="F1046" s="61" t="str">
        <f>IF(FT!A1046&lt;&gt;"",FT!A1046*10,"")</f>
        <v/>
      </c>
      <c r="G1046" s="61" t="str">
        <f>IF(FT!B1046&lt;&gt;"",FT!B1046*100,"")</f>
        <v/>
      </c>
      <c r="H1046" s="61" t="str">
        <f t="shared" si="44"/>
        <v/>
      </c>
      <c r="I1046" t="str">
        <f>IF(FT!B1046&lt;&gt;"",FT!E1046,"")</f>
        <v/>
      </c>
      <c r="J1046" t="str">
        <f>IF(FT!B1046&lt;&gt;"",FT!C1046,"")</f>
        <v/>
      </c>
    </row>
    <row r="1047" spans="5:10">
      <c r="E1047">
        <f t="shared" si="45"/>
        <v>1045</v>
      </c>
      <c r="F1047" s="61" t="str">
        <f>IF(FT!A1047&lt;&gt;"",FT!A1047*10,"")</f>
        <v/>
      </c>
      <c r="G1047" s="61" t="str">
        <f>IF(FT!B1047&lt;&gt;"",FT!B1047*100,"")</f>
        <v/>
      </c>
      <c r="H1047" s="61" t="str">
        <f t="shared" si="44"/>
        <v/>
      </c>
      <c r="I1047" t="str">
        <f>IF(FT!B1047&lt;&gt;"",FT!E1047,"")</f>
        <v/>
      </c>
      <c r="J1047" t="str">
        <f>IF(FT!B1047&lt;&gt;"",FT!C1047,"")</f>
        <v/>
      </c>
    </row>
    <row r="1048" spans="5:10">
      <c r="E1048">
        <f t="shared" si="45"/>
        <v>1046</v>
      </c>
      <c r="F1048" s="61" t="str">
        <f>IF(FT!A1048&lt;&gt;"",FT!A1048*10,"")</f>
        <v/>
      </c>
      <c r="G1048" s="61" t="str">
        <f>IF(FT!B1048&lt;&gt;"",FT!B1048*100,"")</f>
        <v/>
      </c>
      <c r="H1048" s="61" t="str">
        <f t="shared" si="44"/>
        <v/>
      </c>
      <c r="I1048" t="str">
        <f>IF(FT!B1048&lt;&gt;"",FT!E1048,"")</f>
        <v/>
      </c>
      <c r="J1048" t="str">
        <f>IF(FT!B1048&lt;&gt;"",FT!C1048,"")</f>
        <v/>
      </c>
    </row>
    <row r="1049" spans="5:10">
      <c r="E1049">
        <f t="shared" si="45"/>
        <v>1047</v>
      </c>
      <c r="F1049" s="61" t="str">
        <f>IF(FT!A1049&lt;&gt;"",FT!A1049*10,"")</f>
        <v/>
      </c>
      <c r="G1049" s="61" t="str">
        <f>IF(FT!B1049&lt;&gt;"",FT!B1049*100,"")</f>
        <v/>
      </c>
      <c r="H1049" s="61" t="str">
        <f t="shared" si="44"/>
        <v/>
      </c>
      <c r="I1049" t="str">
        <f>IF(FT!B1049&lt;&gt;"",FT!E1049,"")</f>
        <v/>
      </c>
      <c r="J1049" t="str">
        <f>IF(FT!B1049&lt;&gt;"",FT!C1049,"")</f>
        <v/>
      </c>
    </row>
    <row r="1050" spans="5:10">
      <c r="E1050">
        <f t="shared" si="45"/>
        <v>1048</v>
      </c>
      <c r="F1050" s="61" t="str">
        <f>IF(FT!A1050&lt;&gt;"",FT!A1050*10,"")</f>
        <v/>
      </c>
      <c r="G1050" s="61" t="str">
        <f>IF(FT!B1050&lt;&gt;"",FT!B1050*100,"")</f>
        <v/>
      </c>
      <c r="H1050" s="61" t="str">
        <f t="shared" si="44"/>
        <v/>
      </c>
      <c r="I1050" t="str">
        <f>IF(FT!B1050&lt;&gt;"",FT!E1050,"")</f>
        <v/>
      </c>
      <c r="J1050" t="str">
        <f>IF(FT!B1050&lt;&gt;"",FT!C1050,"")</f>
        <v/>
      </c>
    </row>
    <row r="1051" spans="5:10">
      <c r="E1051">
        <f t="shared" si="45"/>
        <v>1049</v>
      </c>
      <c r="F1051" s="61" t="str">
        <f>IF(FT!A1051&lt;&gt;"",FT!A1051*10,"")</f>
        <v/>
      </c>
      <c r="G1051" s="61" t="str">
        <f>IF(FT!B1051&lt;&gt;"",FT!B1051*100,"")</f>
        <v/>
      </c>
      <c r="H1051" s="61" t="str">
        <f t="shared" si="44"/>
        <v/>
      </c>
      <c r="I1051" t="str">
        <f>IF(FT!B1051&lt;&gt;"",FT!E1051,"")</f>
        <v/>
      </c>
      <c r="J1051" t="str">
        <f>IF(FT!B1051&lt;&gt;"",FT!C1051,"")</f>
        <v/>
      </c>
    </row>
    <row r="1052" spans="5:10">
      <c r="E1052">
        <f t="shared" si="45"/>
        <v>1050</v>
      </c>
      <c r="F1052" s="61" t="str">
        <f>IF(FT!A1052&lt;&gt;"",FT!A1052*10,"")</f>
        <v/>
      </c>
      <c r="G1052" s="61" t="str">
        <f>IF(FT!B1052&lt;&gt;"",FT!B1052*100,"")</f>
        <v/>
      </c>
      <c r="H1052" s="61" t="str">
        <f t="shared" si="44"/>
        <v/>
      </c>
      <c r="I1052" t="str">
        <f>IF(FT!B1052&lt;&gt;"",FT!E1052,"")</f>
        <v/>
      </c>
      <c r="J1052" t="str">
        <f>IF(FT!B1052&lt;&gt;"",FT!C1052,"")</f>
        <v/>
      </c>
    </row>
    <row r="1053" spans="5:10">
      <c r="E1053">
        <f t="shared" si="45"/>
        <v>1051</v>
      </c>
      <c r="F1053" s="61" t="str">
        <f>IF(FT!A1053&lt;&gt;"",FT!A1053*10,"")</f>
        <v/>
      </c>
      <c r="G1053" s="61" t="str">
        <f>IF(FT!B1053&lt;&gt;"",FT!B1053*100,"")</f>
        <v/>
      </c>
      <c r="H1053" s="61" t="str">
        <f t="shared" si="44"/>
        <v/>
      </c>
      <c r="I1053" t="str">
        <f>IF(FT!B1053&lt;&gt;"",FT!E1053,"")</f>
        <v/>
      </c>
      <c r="J1053" t="str">
        <f>IF(FT!B1053&lt;&gt;"",FT!C1053,"")</f>
        <v/>
      </c>
    </row>
    <row r="1054" spans="5:10">
      <c r="E1054">
        <f t="shared" si="45"/>
        <v>1052</v>
      </c>
      <c r="F1054" s="61" t="str">
        <f>IF(FT!A1054&lt;&gt;"",FT!A1054*10,"")</f>
        <v/>
      </c>
      <c r="G1054" s="61" t="str">
        <f>IF(FT!B1054&lt;&gt;"",FT!B1054*100,"")</f>
        <v/>
      </c>
      <c r="H1054" s="61" t="str">
        <f t="shared" si="44"/>
        <v/>
      </c>
      <c r="I1054" t="str">
        <f>IF(FT!B1054&lt;&gt;"",FT!E1054,"")</f>
        <v/>
      </c>
      <c r="J1054" t="str">
        <f>IF(FT!B1054&lt;&gt;"",FT!C1054,"")</f>
        <v/>
      </c>
    </row>
    <row r="1055" spans="5:10">
      <c r="E1055">
        <f t="shared" si="45"/>
        <v>1053</v>
      </c>
      <c r="F1055" s="61" t="str">
        <f>IF(FT!A1055&lt;&gt;"",FT!A1055*10,"")</f>
        <v/>
      </c>
      <c r="G1055" s="61" t="str">
        <f>IF(FT!B1055&lt;&gt;"",FT!B1055*100,"")</f>
        <v/>
      </c>
      <c r="H1055" s="61" t="str">
        <f t="shared" si="44"/>
        <v/>
      </c>
      <c r="I1055" t="str">
        <f>IF(FT!B1055&lt;&gt;"",FT!E1055,"")</f>
        <v/>
      </c>
      <c r="J1055" t="str">
        <f>IF(FT!B1055&lt;&gt;"",FT!C1055,"")</f>
        <v/>
      </c>
    </row>
    <row r="1056" spans="5:10">
      <c r="E1056">
        <f t="shared" si="45"/>
        <v>1054</v>
      </c>
      <c r="F1056" s="61" t="str">
        <f>IF(FT!A1056&lt;&gt;"",FT!A1056*10,"")</f>
        <v/>
      </c>
      <c r="G1056" s="61" t="str">
        <f>IF(FT!B1056&lt;&gt;"",FT!B1056*100,"")</f>
        <v/>
      </c>
      <c r="H1056" s="61" t="str">
        <f t="shared" si="44"/>
        <v/>
      </c>
      <c r="I1056" t="str">
        <f>IF(FT!B1056&lt;&gt;"",FT!E1056,"")</f>
        <v/>
      </c>
      <c r="J1056" t="str">
        <f>IF(FT!B1056&lt;&gt;"",FT!C1056,"")</f>
        <v/>
      </c>
    </row>
    <row r="1057" spans="5:10">
      <c r="E1057">
        <f t="shared" si="45"/>
        <v>1055</v>
      </c>
      <c r="F1057" s="61" t="str">
        <f>IF(FT!A1057&lt;&gt;"",FT!A1057*10,"")</f>
        <v/>
      </c>
      <c r="G1057" s="61" t="str">
        <f>IF(FT!B1057&lt;&gt;"",FT!B1057*100,"")</f>
        <v/>
      </c>
      <c r="H1057" s="61" t="str">
        <f t="shared" si="44"/>
        <v/>
      </c>
      <c r="I1057" t="str">
        <f>IF(FT!B1057&lt;&gt;"",FT!E1057,"")</f>
        <v/>
      </c>
      <c r="J1057" t="str">
        <f>IF(FT!B1057&lt;&gt;"",FT!C1057,"")</f>
        <v/>
      </c>
    </row>
    <row r="1058" spans="5:10">
      <c r="E1058">
        <f t="shared" si="45"/>
        <v>1056</v>
      </c>
      <c r="F1058" s="61" t="str">
        <f>IF(FT!A1058&lt;&gt;"",FT!A1058*10,"")</f>
        <v/>
      </c>
      <c r="G1058" s="61" t="str">
        <f>IF(FT!B1058&lt;&gt;"",FT!B1058*100,"")</f>
        <v/>
      </c>
      <c r="H1058" s="61" t="str">
        <f t="shared" si="44"/>
        <v/>
      </c>
      <c r="I1058" t="str">
        <f>IF(FT!B1058&lt;&gt;"",FT!E1058,"")</f>
        <v/>
      </c>
      <c r="J1058" t="str">
        <f>IF(FT!B1058&lt;&gt;"",FT!C1058,"")</f>
        <v/>
      </c>
    </row>
    <row r="1059" spans="5:10">
      <c r="E1059">
        <f t="shared" si="45"/>
        <v>1057</v>
      </c>
      <c r="F1059" s="61" t="str">
        <f>IF(FT!A1059&lt;&gt;"",FT!A1059*10,"")</f>
        <v/>
      </c>
      <c r="G1059" s="61" t="str">
        <f>IF(FT!B1059&lt;&gt;"",FT!B1059*100,"")</f>
        <v/>
      </c>
      <c r="H1059" s="61" t="str">
        <f t="shared" si="44"/>
        <v/>
      </c>
      <c r="I1059" t="str">
        <f>IF(FT!B1059&lt;&gt;"",FT!E1059,"")</f>
        <v/>
      </c>
      <c r="J1059" t="str">
        <f>IF(FT!B1059&lt;&gt;"",FT!C1059,"")</f>
        <v/>
      </c>
    </row>
    <row r="1060" spans="5:10">
      <c r="E1060">
        <f t="shared" si="45"/>
        <v>1058</v>
      </c>
      <c r="F1060" s="61" t="str">
        <f>IF(FT!A1060&lt;&gt;"",FT!A1060*10,"")</f>
        <v/>
      </c>
      <c r="G1060" s="61" t="str">
        <f>IF(FT!B1060&lt;&gt;"",FT!B1060*100,"")</f>
        <v/>
      </c>
      <c r="H1060" s="61" t="str">
        <f t="shared" si="44"/>
        <v/>
      </c>
      <c r="I1060" t="str">
        <f>IF(FT!B1060&lt;&gt;"",FT!E1060,"")</f>
        <v/>
      </c>
      <c r="J1060" t="str">
        <f>IF(FT!B1060&lt;&gt;"",FT!C1060,"")</f>
        <v/>
      </c>
    </row>
    <row r="1061" spans="5:10">
      <c r="E1061">
        <f t="shared" si="45"/>
        <v>1059</v>
      </c>
      <c r="F1061" s="61" t="str">
        <f>IF(FT!A1061&lt;&gt;"",FT!A1061*10,"")</f>
        <v/>
      </c>
      <c r="G1061" s="61" t="str">
        <f>IF(FT!B1061&lt;&gt;"",FT!B1061*100,"")</f>
        <v/>
      </c>
      <c r="H1061" s="61" t="str">
        <f t="shared" si="44"/>
        <v/>
      </c>
      <c r="I1061" t="str">
        <f>IF(FT!B1061&lt;&gt;"",FT!E1061,"")</f>
        <v/>
      </c>
      <c r="J1061" t="str">
        <f>IF(FT!B1061&lt;&gt;"",FT!C1061,"")</f>
        <v/>
      </c>
    </row>
    <row r="1062" spans="5:10">
      <c r="E1062">
        <f t="shared" si="45"/>
        <v>1060</v>
      </c>
      <c r="F1062" s="61" t="str">
        <f>IF(FT!A1062&lt;&gt;"",FT!A1062*10,"")</f>
        <v/>
      </c>
      <c r="G1062" s="61" t="str">
        <f>IF(FT!B1062&lt;&gt;"",FT!B1062*100,"")</f>
        <v/>
      </c>
      <c r="H1062" s="61" t="str">
        <f t="shared" si="44"/>
        <v/>
      </c>
      <c r="I1062" t="str">
        <f>IF(FT!B1062&lt;&gt;"",FT!E1062,"")</f>
        <v/>
      </c>
      <c r="J1062" t="str">
        <f>IF(FT!B1062&lt;&gt;"",FT!C1062,"")</f>
        <v/>
      </c>
    </row>
    <row r="1063" spans="5:10">
      <c r="E1063">
        <f t="shared" si="45"/>
        <v>1061</v>
      </c>
      <c r="F1063" s="61" t="str">
        <f>IF(FT!A1063&lt;&gt;"",FT!A1063*10,"")</f>
        <v/>
      </c>
      <c r="G1063" s="61" t="str">
        <f>IF(FT!B1063&lt;&gt;"",FT!B1063*100,"")</f>
        <v/>
      </c>
      <c r="H1063" s="61" t="str">
        <f t="shared" si="44"/>
        <v/>
      </c>
      <c r="I1063" t="str">
        <f>IF(FT!B1063&lt;&gt;"",FT!E1063,"")</f>
        <v/>
      </c>
      <c r="J1063" t="str">
        <f>IF(FT!B1063&lt;&gt;"",FT!C1063,"")</f>
        <v/>
      </c>
    </row>
    <row r="1064" spans="5:10">
      <c r="E1064">
        <f t="shared" si="45"/>
        <v>1062</v>
      </c>
      <c r="F1064" s="61" t="str">
        <f>IF(FT!A1064&lt;&gt;"",FT!A1064*10,"")</f>
        <v/>
      </c>
      <c r="G1064" s="61" t="str">
        <f>IF(FT!B1064&lt;&gt;"",FT!B1064*100,"")</f>
        <v/>
      </c>
      <c r="H1064" s="61" t="str">
        <f t="shared" si="44"/>
        <v/>
      </c>
      <c r="I1064" t="str">
        <f>IF(FT!B1064&lt;&gt;"",FT!E1064,"")</f>
        <v/>
      </c>
      <c r="J1064" t="str">
        <f>IF(FT!B1064&lt;&gt;"",FT!C1064,"")</f>
        <v/>
      </c>
    </row>
    <row r="1065" spans="5:10">
      <c r="E1065">
        <f t="shared" si="45"/>
        <v>1063</v>
      </c>
      <c r="F1065" s="61" t="str">
        <f>IF(FT!A1065&lt;&gt;"",FT!A1065*10,"")</f>
        <v/>
      </c>
      <c r="G1065" s="61" t="str">
        <f>IF(FT!B1065&lt;&gt;"",FT!B1065*100,"")</f>
        <v/>
      </c>
      <c r="H1065" s="61" t="str">
        <f t="shared" si="44"/>
        <v/>
      </c>
      <c r="I1065" t="str">
        <f>IF(FT!B1065&lt;&gt;"",FT!E1065,"")</f>
        <v/>
      </c>
      <c r="J1065" t="str">
        <f>IF(FT!B1065&lt;&gt;"",FT!C1065,"")</f>
        <v/>
      </c>
    </row>
    <row r="1066" spans="5:10">
      <c r="E1066">
        <f t="shared" si="45"/>
        <v>1064</v>
      </c>
      <c r="F1066" s="61" t="str">
        <f>IF(FT!A1066&lt;&gt;"",FT!A1066*10,"")</f>
        <v/>
      </c>
      <c r="G1066" s="61" t="str">
        <f>IF(FT!B1066&lt;&gt;"",FT!B1066*100,"")</f>
        <v/>
      </c>
      <c r="H1066" s="61" t="str">
        <f t="shared" si="44"/>
        <v/>
      </c>
      <c r="I1066" t="str">
        <f>IF(FT!B1066&lt;&gt;"",FT!E1066,"")</f>
        <v/>
      </c>
      <c r="J1066" t="str">
        <f>IF(FT!B1066&lt;&gt;"",FT!C1066,"")</f>
        <v/>
      </c>
    </row>
    <row r="1067" spans="5:10">
      <c r="E1067">
        <f t="shared" si="45"/>
        <v>1065</v>
      </c>
      <c r="F1067" s="61" t="str">
        <f>IF(FT!A1067&lt;&gt;"",FT!A1067*10,"")</f>
        <v/>
      </c>
      <c r="G1067" s="61" t="str">
        <f>IF(FT!B1067&lt;&gt;"",FT!B1067*100,"")</f>
        <v/>
      </c>
      <c r="H1067" s="61" t="str">
        <f t="shared" si="44"/>
        <v/>
      </c>
      <c r="I1067" t="str">
        <f>IF(FT!B1067&lt;&gt;"",FT!E1067,"")</f>
        <v/>
      </c>
      <c r="J1067" t="str">
        <f>IF(FT!B1067&lt;&gt;"",FT!C1067,"")</f>
        <v/>
      </c>
    </row>
    <row r="1068" spans="5:10">
      <c r="E1068">
        <f t="shared" si="45"/>
        <v>1066</v>
      </c>
      <c r="F1068" s="61" t="str">
        <f>IF(FT!A1068&lt;&gt;"",FT!A1068*10,"")</f>
        <v/>
      </c>
      <c r="G1068" s="61" t="str">
        <f>IF(FT!B1068&lt;&gt;"",FT!B1068*100,"")</f>
        <v/>
      </c>
      <c r="H1068" s="61" t="str">
        <f t="shared" si="44"/>
        <v/>
      </c>
      <c r="I1068" t="str">
        <f>IF(FT!B1068&lt;&gt;"",FT!E1068,"")</f>
        <v/>
      </c>
      <c r="J1068" t="str">
        <f>IF(FT!B1068&lt;&gt;"",FT!C1068,"")</f>
        <v/>
      </c>
    </row>
    <row r="1069" spans="5:10">
      <c r="E1069">
        <f t="shared" si="45"/>
        <v>1067</v>
      </c>
      <c r="F1069" s="61" t="str">
        <f>IF(FT!A1069&lt;&gt;"",FT!A1069*10,"")</f>
        <v/>
      </c>
      <c r="G1069" s="61" t="str">
        <f>IF(FT!B1069&lt;&gt;"",FT!B1069*100,"")</f>
        <v/>
      </c>
      <c r="H1069" s="61" t="str">
        <f t="shared" si="44"/>
        <v/>
      </c>
      <c r="I1069" t="str">
        <f>IF(FT!B1069&lt;&gt;"",FT!E1069,"")</f>
        <v/>
      </c>
      <c r="J1069" t="str">
        <f>IF(FT!B1069&lt;&gt;"",FT!C1069,"")</f>
        <v/>
      </c>
    </row>
    <row r="1070" spans="5:10">
      <c r="E1070">
        <f t="shared" si="45"/>
        <v>1068</v>
      </c>
      <c r="F1070" s="61" t="str">
        <f>IF(FT!A1070&lt;&gt;"",FT!A1070*10,"")</f>
        <v/>
      </c>
      <c r="G1070" s="61" t="str">
        <f>IF(FT!B1070&lt;&gt;"",FT!B1070*100,"")</f>
        <v/>
      </c>
      <c r="H1070" s="61" t="str">
        <f t="shared" si="44"/>
        <v/>
      </c>
      <c r="I1070" t="str">
        <f>IF(FT!B1070&lt;&gt;"",FT!E1070,"")</f>
        <v/>
      </c>
      <c r="J1070" t="str">
        <f>IF(FT!B1070&lt;&gt;"",FT!C1070,"")</f>
        <v/>
      </c>
    </row>
    <row r="1071" spans="5:10">
      <c r="E1071">
        <f t="shared" si="45"/>
        <v>1069</v>
      </c>
      <c r="F1071" s="61" t="str">
        <f>IF(FT!A1071&lt;&gt;"",FT!A1071*10,"")</f>
        <v/>
      </c>
      <c r="G1071" s="61" t="str">
        <f>IF(FT!B1071&lt;&gt;"",FT!B1071*100,"")</f>
        <v/>
      </c>
      <c r="H1071" s="61" t="str">
        <f t="shared" si="44"/>
        <v/>
      </c>
      <c r="I1071" t="str">
        <f>IF(FT!B1071&lt;&gt;"",FT!E1071,"")</f>
        <v/>
      </c>
      <c r="J1071" t="str">
        <f>IF(FT!B1071&lt;&gt;"",FT!C1071,"")</f>
        <v/>
      </c>
    </row>
    <row r="1072" spans="5:10">
      <c r="E1072">
        <f t="shared" si="45"/>
        <v>1070</v>
      </c>
      <c r="F1072" s="61" t="str">
        <f>IF(FT!A1072&lt;&gt;"",FT!A1072*10,"")</f>
        <v/>
      </c>
      <c r="G1072" s="61" t="str">
        <f>IF(FT!B1072&lt;&gt;"",FT!B1072*100,"")</f>
        <v/>
      </c>
      <c r="H1072" s="61" t="str">
        <f t="shared" si="44"/>
        <v/>
      </c>
      <c r="I1072" t="str">
        <f>IF(FT!B1072&lt;&gt;"",FT!E1072,"")</f>
        <v/>
      </c>
      <c r="J1072" t="str">
        <f>IF(FT!B1072&lt;&gt;"",FT!C1072,"")</f>
        <v/>
      </c>
    </row>
    <row r="1073" spans="5:10">
      <c r="E1073">
        <f t="shared" si="45"/>
        <v>1071</v>
      </c>
      <c r="F1073" s="61" t="str">
        <f>IF(FT!A1073&lt;&gt;"",FT!A1073*10,"")</f>
        <v/>
      </c>
      <c r="G1073" s="61" t="str">
        <f>IF(FT!B1073&lt;&gt;"",FT!B1073*100,"")</f>
        <v/>
      </c>
      <c r="H1073" s="61" t="str">
        <f t="shared" si="44"/>
        <v/>
      </c>
      <c r="I1073" t="str">
        <f>IF(FT!B1073&lt;&gt;"",FT!E1073,"")</f>
        <v/>
      </c>
      <c r="J1073" t="str">
        <f>IF(FT!B1073&lt;&gt;"",FT!C1073,"")</f>
        <v/>
      </c>
    </row>
    <row r="1074" spans="5:10">
      <c r="E1074">
        <f t="shared" si="45"/>
        <v>1072</v>
      </c>
      <c r="F1074" s="61" t="str">
        <f>IF(FT!A1074&lt;&gt;"",FT!A1074*10,"")</f>
        <v/>
      </c>
      <c r="G1074" s="61" t="str">
        <f>IF(FT!B1074&lt;&gt;"",FT!B1074*100,"")</f>
        <v/>
      </c>
      <c r="H1074" s="61" t="str">
        <f t="shared" si="44"/>
        <v/>
      </c>
      <c r="I1074" t="str">
        <f>IF(FT!B1074&lt;&gt;"",FT!E1074,"")</f>
        <v/>
      </c>
      <c r="J1074" t="str">
        <f>IF(FT!B1074&lt;&gt;"",FT!C1074,"")</f>
        <v/>
      </c>
    </row>
    <row r="1075" spans="5:10">
      <c r="E1075">
        <f t="shared" si="45"/>
        <v>1073</v>
      </c>
      <c r="F1075" s="61" t="str">
        <f>IF(FT!A1075&lt;&gt;"",FT!A1075*10,"")</f>
        <v/>
      </c>
      <c r="G1075" s="61" t="str">
        <f>IF(FT!B1075&lt;&gt;"",FT!B1075*100,"")</f>
        <v/>
      </c>
      <c r="H1075" s="61" t="str">
        <f t="shared" si="44"/>
        <v/>
      </c>
      <c r="I1075" t="str">
        <f>IF(FT!B1075&lt;&gt;"",FT!E1075,"")</f>
        <v/>
      </c>
      <c r="J1075" t="str">
        <f>IF(FT!B1075&lt;&gt;"",FT!C1075,"")</f>
        <v/>
      </c>
    </row>
    <row r="1076" spans="5:10">
      <c r="E1076">
        <f t="shared" si="45"/>
        <v>1074</v>
      </c>
      <c r="F1076" s="61" t="str">
        <f>IF(FT!A1076&lt;&gt;"",FT!A1076*10,"")</f>
        <v/>
      </c>
      <c r="G1076" s="61" t="str">
        <f>IF(FT!B1076&lt;&gt;"",FT!B1076*100,"")</f>
        <v/>
      </c>
      <c r="H1076" s="61" t="str">
        <f t="shared" si="44"/>
        <v/>
      </c>
      <c r="I1076" t="str">
        <f>IF(FT!B1076&lt;&gt;"",FT!E1076,"")</f>
        <v/>
      </c>
      <c r="J1076" t="str">
        <f>IF(FT!B1076&lt;&gt;"",FT!C1076,"")</f>
        <v/>
      </c>
    </row>
    <row r="1077" spans="5:10">
      <c r="E1077">
        <f t="shared" si="45"/>
        <v>1075</v>
      </c>
      <c r="F1077" s="61" t="str">
        <f>IF(FT!A1077&lt;&gt;"",FT!A1077*10,"")</f>
        <v/>
      </c>
      <c r="G1077" s="61" t="str">
        <f>IF(FT!B1077&lt;&gt;"",FT!B1077*100,"")</f>
        <v/>
      </c>
      <c r="H1077" s="61" t="str">
        <f t="shared" si="44"/>
        <v/>
      </c>
      <c r="I1077" t="str">
        <f>IF(FT!B1077&lt;&gt;"",FT!E1077,"")</f>
        <v/>
      </c>
      <c r="J1077" t="str">
        <f>IF(FT!B1077&lt;&gt;"",FT!C1077,"")</f>
        <v/>
      </c>
    </row>
    <row r="1078" spans="5:10">
      <c r="E1078">
        <f t="shared" si="45"/>
        <v>1076</v>
      </c>
      <c r="F1078" s="61" t="str">
        <f>IF(FT!A1078&lt;&gt;"",FT!A1078*10,"")</f>
        <v/>
      </c>
      <c r="G1078" s="61" t="str">
        <f>IF(FT!B1078&lt;&gt;"",FT!B1078*100,"")</f>
        <v/>
      </c>
      <c r="H1078" s="61" t="str">
        <f t="shared" si="44"/>
        <v/>
      </c>
      <c r="I1078" t="str">
        <f>IF(FT!B1078&lt;&gt;"",FT!E1078,"")</f>
        <v/>
      </c>
      <c r="J1078" t="str">
        <f>IF(FT!B1078&lt;&gt;"",FT!C1078,"")</f>
        <v/>
      </c>
    </row>
    <row r="1079" spans="5:10">
      <c r="E1079">
        <f t="shared" si="45"/>
        <v>1077</v>
      </c>
      <c r="F1079" s="61" t="str">
        <f>IF(FT!A1079&lt;&gt;"",FT!A1079*10,"")</f>
        <v/>
      </c>
      <c r="G1079" s="61" t="str">
        <f>IF(FT!B1079&lt;&gt;"",FT!B1079*100,"")</f>
        <v/>
      </c>
      <c r="H1079" s="61" t="str">
        <f t="shared" si="44"/>
        <v/>
      </c>
      <c r="I1079" t="str">
        <f>IF(FT!B1079&lt;&gt;"",FT!E1079,"")</f>
        <v/>
      </c>
      <c r="J1079" t="str">
        <f>IF(FT!B1079&lt;&gt;"",FT!C1079,"")</f>
        <v/>
      </c>
    </row>
    <row r="1080" spans="5:10">
      <c r="E1080">
        <f t="shared" si="45"/>
        <v>1078</v>
      </c>
      <c r="F1080" s="61" t="str">
        <f>IF(FT!A1080&lt;&gt;"",FT!A1080*10,"")</f>
        <v/>
      </c>
      <c r="G1080" s="61" t="str">
        <f>IF(FT!B1080&lt;&gt;"",FT!B1080*100,"")</f>
        <v/>
      </c>
      <c r="H1080" s="61" t="str">
        <f t="shared" si="44"/>
        <v/>
      </c>
      <c r="I1080" t="str">
        <f>IF(FT!B1080&lt;&gt;"",FT!E1080,"")</f>
        <v/>
      </c>
      <c r="J1080" t="str">
        <f>IF(FT!B1080&lt;&gt;"",FT!C1080,"")</f>
        <v/>
      </c>
    </row>
    <row r="1081" spans="5:10">
      <c r="E1081">
        <f t="shared" si="45"/>
        <v>1079</v>
      </c>
      <c r="F1081" s="61" t="str">
        <f>IF(FT!A1081&lt;&gt;"",FT!A1081*10,"")</f>
        <v/>
      </c>
      <c r="G1081" s="61" t="str">
        <f>IF(FT!B1081&lt;&gt;"",FT!B1081*100,"")</f>
        <v/>
      </c>
      <c r="H1081" s="61" t="str">
        <f t="shared" si="44"/>
        <v/>
      </c>
      <c r="I1081" t="str">
        <f>IF(FT!B1081&lt;&gt;"",FT!E1081,"")</f>
        <v/>
      </c>
      <c r="J1081" t="str">
        <f>IF(FT!B1081&lt;&gt;"",FT!C1081,"")</f>
        <v/>
      </c>
    </row>
    <row r="1082" spans="5:10">
      <c r="E1082">
        <f t="shared" si="45"/>
        <v>1080</v>
      </c>
      <c r="F1082" s="61" t="str">
        <f>IF(FT!A1082&lt;&gt;"",FT!A1082*10,"")</f>
        <v/>
      </c>
      <c r="G1082" s="61" t="str">
        <f>IF(FT!B1082&lt;&gt;"",FT!B1082*100,"")</f>
        <v/>
      </c>
      <c r="H1082" s="61" t="str">
        <f t="shared" si="44"/>
        <v/>
      </c>
      <c r="I1082" t="str">
        <f>IF(FT!B1082&lt;&gt;"",FT!E1082,"")</f>
        <v/>
      </c>
      <c r="J1082" t="str">
        <f>IF(FT!B1082&lt;&gt;"",FT!C1082,"")</f>
        <v/>
      </c>
    </row>
    <row r="1083" spans="5:10">
      <c r="E1083">
        <f t="shared" si="45"/>
        <v>1081</v>
      </c>
      <c r="F1083" s="61" t="str">
        <f>IF(FT!A1083&lt;&gt;"",FT!A1083*10,"")</f>
        <v/>
      </c>
      <c r="G1083" s="61" t="str">
        <f>IF(FT!B1083&lt;&gt;"",FT!B1083*100,"")</f>
        <v/>
      </c>
      <c r="H1083" s="61" t="str">
        <f t="shared" si="44"/>
        <v/>
      </c>
      <c r="I1083" t="str">
        <f>IF(FT!B1083&lt;&gt;"",FT!E1083,"")</f>
        <v/>
      </c>
      <c r="J1083" t="str">
        <f>IF(FT!B1083&lt;&gt;"",FT!C1083,"")</f>
        <v/>
      </c>
    </row>
    <row r="1084" spans="5:10">
      <c r="E1084">
        <f t="shared" si="45"/>
        <v>1082</v>
      </c>
      <c r="F1084" s="61" t="str">
        <f>IF(FT!A1084&lt;&gt;"",FT!A1084*10,"")</f>
        <v/>
      </c>
      <c r="G1084" s="61" t="str">
        <f>IF(FT!B1084&lt;&gt;"",FT!B1084*100,"")</f>
        <v/>
      </c>
      <c r="H1084" s="61" t="str">
        <f t="shared" si="44"/>
        <v/>
      </c>
      <c r="I1084" t="str">
        <f>IF(FT!B1084&lt;&gt;"",FT!E1084,"")</f>
        <v/>
      </c>
      <c r="J1084" t="str">
        <f>IF(FT!B1084&lt;&gt;"",FT!C1084,"")</f>
        <v/>
      </c>
    </row>
    <row r="1085" spans="5:10">
      <c r="E1085">
        <f t="shared" si="45"/>
        <v>1083</v>
      </c>
      <c r="F1085" s="61" t="str">
        <f>IF(FT!A1085&lt;&gt;"",FT!A1085*10,"")</f>
        <v/>
      </c>
      <c r="G1085" s="61" t="str">
        <f>IF(FT!B1085&lt;&gt;"",FT!B1085*100,"")</f>
        <v/>
      </c>
      <c r="H1085" s="61" t="str">
        <f t="shared" si="44"/>
        <v/>
      </c>
      <c r="I1085" t="str">
        <f>IF(FT!B1085&lt;&gt;"",FT!E1085,"")</f>
        <v/>
      </c>
      <c r="J1085" t="str">
        <f>IF(FT!B1085&lt;&gt;"",FT!C1085,"")</f>
        <v/>
      </c>
    </row>
    <row r="1086" spans="5:10">
      <c r="E1086">
        <f t="shared" si="45"/>
        <v>1084</v>
      </c>
      <c r="F1086" s="61" t="str">
        <f>IF(FT!A1086&lt;&gt;"",FT!A1086*10,"")</f>
        <v/>
      </c>
      <c r="G1086" s="61" t="str">
        <f>IF(FT!B1086&lt;&gt;"",FT!B1086*100,"")</f>
        <v/>
      </c>
      <c r="H1086" s="61" t="str">
        <f t="shared" si="44"/>
        <v/>
      </c>
      <c r="I1086" t="str">
        <f>IF(FT!B1086&lt;&gt;"",FT!E1086,"")</f>
        <v/>
      </c>
      <c r="J1086" t="str">
        <f>IF(FT!B1086&lt;&gt;"",FT!C1086,"")</f>
        <v/>
      </c>
    </row>
    <row r="1087" spans="5:10">
      <c r="E1087">
        <f t="shared" si="45"/>
        <v>1085</v>
      </c>
      <c r="F1087" s="61" t="str">
        <f>IF(FT!A1087&lt;&gt;"",FT!A1087*10,"")</f>
        <v/>
      </c>
      <c r="G1087" s="61" t="str">
        <f>IF(FT!B1087&lt;&gt;"",FT!B1087*100,"")</f>
        <v/>
      </c>
      <c r="H1087" s="61" t="str">
        <f t="shared" si="44"/>
        <v/>
      </c>
      <c r="I1087" t="str">
        <f>IF(FT!B1087&lt;&gt;"",FT!E1087,"")</f>
        <v/>
      </c>
      <c r="J1087" t="str">
        <f>IF(FT!B1087&lt;&gt;"",FT!C1087,"")</f>
        <v/>
      </c>
    </row>
    <row r="1088" spans="5:10">
      <c r="E1088">
        <f t="shared" si="45"/>
        <v>1086</v>
      </c>
      <c r="F1088" s="61" t="str">
        <f>IF(FT!A1088&lt;&gt;"",FT!A1088*10,"")</f>
        <v/>
      </c>
      <c r="G1088" s="61" t="str">
        <f>IF(FT!B1088&lt;&gt;"",FT!B1088*100,"")</f>
        <v/>
      </c>
      <c r="H1088" s="61" t="str">
        <f t="shared" si="44"/>
        <v/>
      </c>
      <c r="I1088" t="str">
        <f>IF(FT!B1088&lt;&gt;"",FT!E1088,"")</f>
        <v/>
      </c>
      <c r="J1088" t="str">
        <f>IF(FT!B1088&lt;&gt;"",FT!C1088,"")</f>
        <v/>
      </c>
    </row>
    <row r="1089" spans="5:10">
      <c r="E1089">
        <f t="shared" si="45"/>
        <v>1087</v>
      </c>
      <c r="F1089" s="61" t="str">
        <f>IF(FT!A1089&lt;&gt;"",FT!A1089*10,"")</f>
        <v/>
      </c>
      <c r="G1089" s="61" t="str">
        <f>IF(FT!B1089&lt;&gt;"",FT!B1089*100,"")</f>
        <v/>
      </c>
      <c r="H1089" s="61" t="str">
        <f t="shared" si="44"/>
        <v/>
      </c>
      <c r="I1089" t="str">
        <f>IF(FT!B1089&lt;&gt;"",FT!E1089,"")</f>
        <v/>
      </c>
      <c r="J1089" t="str">
        <f>IF(FT!B1089&lt;&gt;"",FT!C1089,"")</f>
        <v/>
      </c>
    </row>
    <row r="1090" spans="5:10">
      <c r="E1090">
        <f t="shared" si="45"/>
        <v>1088</v>
      </c>
      <c r="F1090" s="61" t="str">
        <f>IF(FT!A1090&lt;&gt;"",FT!A1090*10,"")</f>
        <v/>
      </c>
      <c r="G1090" s="61" t="str">
        <f>IF(FT!B1090&lt;&gt;"",FT!B1090*100,"")</f>
        <v/>
      </c>
      <c r="H1090" s="61" t="str">
        <f t="shared" si="44"/>
        <v/>
      </c>
      <c r="I1090" t="str">
        <f>IF(FT!B1090&lt;&gt;"",FT!E1090,"")</f>
        <v/>
      </c>
      <c r="J1090" t="str">
        <f>IF(FT!B1090&lt;&gt;"",FT!C1090,"")</f>
        <v/>
      </c>
    </row>
    <row r="1091" spans="5:10">
      <c r="E1091">
        <f t="shared" si="45"/>
        <v>1089</v>
      </c>
      <c r="F1091" s="61" t="str">
        <f>IF(FT!A1091&lt;&gt;"",FT!A1091*10,"")</f>
        <v/>
      </c>
      <c r="G1091" s="61" t="str">
        <f>IF(FT!B1091&lt;&gt;"",FT!B1091*100,"")</f>
        <v/>
      </c>
      <c r="H1091" s="61" t="str">
        <f t="shared" ref="H1091:H1154" si="46">(IF(F1091&lt;&gt;"",1,""))</f>
        <v/>
      </c>
      <c r="I1091" t="str">
        <f>IF(FT!B1091&lt;&gt;"",FT!E1091,"")</f>
        <v/>
      </c>
      <c r="J1091" t="str">
        <f>IF(FT!B1091&lt;&gt;"",FT!C1091,"")</f>
        <v/>
      </c>
    </row>
    <row r="1092" spans="5:10">
      <c r="E1092">
        <f t="shared" ref="E1092:E1155" si="47">E1091+1</f>
        <v>1090</v>
      </c>
      <c r="F1092" s="61" t="str">
        <f>IF(FT!A1092&lt;&gt;"",FT!A1092*10,"")</f>
        <v/>
      </c>
      <c r="G1092" s="61" t="str">
        <f>IF(FT!B1092&lt;&gt;"",FT!B1092*100,"")</f>
        <v/>
      </c>
      <c r="H1092" s="61" t="str">
        <f t="shared" si="46"/>
        <v/>
      </c>
      <c r="I1092" t="str">
        <f>IF(FT!B1092&lt;&gt;"",FT!E1092,"")</f>
        <v/>
      </c>
      <c r="J1092" t="str">
        <f>IF(FT!B1092&lt;&gt;"",FT!C1092,"")</f>
        <v/>
      </c>
    </row>
    <row r="1093" spans="5:10">
      <c r="E1093">
        <f t="shared" si="47"/>
        <v>1091</v>
      </c>
      <c r="F1093" s="61" t="str">
        <f>IF(FT!A1093&lt;&gt;"",FT!A1093*10,"")</f>
        <v/>
      </c>
      <c r="G1093" s="61" t="str">
        <f>IF(FT!B1093&lt;&gt;"",FT!B1093*100,"")</f>
        <v/>
      </c>
      <c r="H1093" s="61" t="str">
        <f t="shared" si="46"/>
        <v/>
      </c>
      <c r="I1093" t="str">
        <f>IF(FT!B1093&lt;&gt;"",FT!E1093,"")</f>
        <v/>
      </c>
      <c r="J1093" t="str">
        <f>IF(FT!B1093&lt;&gt;"",FT!C1093,"")</f>
        <v/>
      </c>
    </row>
    <row r="1094" spans="5:10">
      <c r="E1094">
        <f t="shared" si="47"/>
        <v>1092</v>
      </c>
      <c r="F1094" s="61" t="str">
        <f>IF(FT!A1094&lt;&gt;"",FT!A1094*10,"")</f>
        <v/>
      </c>
      <c r="G1094" s="61" t="str">
        <f>IF(FT!B1094&lt;&gt;"",FT!B1094*100,"")</f>
        <v/>
      </c>
      <c r="H1094" s="61" t="str">
        <f t="shared" si="46"/>
        <v/>
      </c>
      <c r="I1094" t="str">
        <f>IF(FT!B1094&lt;&gt;"",FT!E1094,"")</f>
        <v/>
      </c>
      <c r="J1094" t="str">
        <f>IF(FT!B1094&lt;&gt;"",FT!C1094,"")</f>
        <v/>
      </c>
    </row>
    <row r="1095" spans="5:10">
      <c r="E1095">
        <f t="shared" si="47"/>
        <v>1093</v>
      </c>
      <c r="F1095" s="61" t="str">
        <f>IF(FT!A1095&lt;&gt;"",FT!A1095*10,"")</f>
        <v/>
      </c>
      <c r="G1095" s="61" t="str">
        <f>IF(FT!B1095&lt;&gt;"",FT!B1095*100,"")</f>
        <v/>
      </c>
      <c r="H1095" s="61" t="str">
        <f t="shared" si="46"/>
        <v/>
      </c>
      <c r="I1095" t="str">
        <f>IF(FT!B1095&lt;&gt;"",FT!E1095,"")</f>
        <v/>
      </c>
      <c r="J1095" t="str">
        <f>IF(FT!B1095&lt;&gt;"",FT!C1095,"")</f>
        <v/>
      </c>
    </row>
    <row r="1096" spans="5:10">
      <c r="E1096">
        <f t="shared" si="47"/>
        <v>1094</v>
      </c>
      <c r="F1096" s="61" t="str">
        <f>IF(FT!A1096&lt;&gt;"",FT!A1096*10,"")</f>
        <v/>
      </c>
      <c r="G1096" s="61" t="str">
        <f>IF(FT!B1096&lt;&gt;"",FT!B1096*100,"")</f>
        <v/>
      </c>
      <c r="H1096" s="61" t="str">
        <f t="shared" si="46"/>
        <v/>
      </c>
      <c r="I1096" t="str">
        <f>IF(FT!B1096&lt;&gt;"",FT!E1096,"")</f>
        <v/>
      </c>
      <c r="J1096" t="str">
        <f>IF(FT!B1096&lt;&gt;"",FT!C1096,"")</f>
        <v/>
      </c>
    </row>
    <row r="1097" spans="5:10">
      <c r="E1097">
        <f t="shared" si="47"/>
        <v>1095</v>
      </c>
      <c r="F1097" s="61" t="str">
        <f>IF(FT!A1097&lt;&gt;"",FT!A1097*10,"")</f>
        <v/>
      </c>
      <c r="G1097" s="61" t="str">
        <f>IF(FT!B1097&lt;&gt;"",FT!B1097*100,"")</f>
        <v/>
      </c>
      <c r="H1097" s="61" t="str">
        <f t="shared" si="46"/>
        <v/>
      </c>
      <c r="I1097" t="str">
        <f>IF(FT!B1097&lt;&gt;"",FT!E1097,"")</f>
        <v/>
      </c>
      <c r="J1097" t="str">
        <f>IF(FT!B1097&lt;&gt;"",FT!C1097,"")</f>
        <v/>
      </c>
    </row>
    <row r="1098" spans="5:10">
      <c r="E1098">
        <f t="shared" si="47"/>
        <v>1096</v>
      </c>
      <c r="F1098" s="61" t="str">
        <f>IF(FT!A1098&lt;&gt;"",FT!A1098*10,"")</f>
        <v/>
      </c>
      <c r="G1098" s="61" t="str">
        <f>IF(FT!B1098&lt;&gt;"",FT!B1098*100,"")</f>
        <v/>
      </c>
      <c r="H1098" s="61" t="str">
        <f t="shared" si="46"/>
        <v/>
      </c>
      <c r="I1098" t="str">
        <f>IF(FT!B1098&lt;&gt;"",FT!E1098,"")</f>
        <v/>
      </c>
      <c r="J1098" t="str">
        <f>IF(FT!B1098&lt;&gt;"",FT!C1098,"")</f>
        <v/>
      </c>
    </row>
    <row r="1099" spans="5:10">
      <c r="E1099">
        <f t="shared" si="47"/>
        <v>1097</v>
      </c>
      <c r="F1099" s="61" t="str">
        <f>IF(FT!A1099&lt;&gt;"",FT!A1099*10,"")</f>
        <v/>
      </c>
      <c r="G1099" s="61" t="str">
        <f>IF(FT!B1099&lt;&gt;"",FT!B1099*100,"")</f>
        <v/>
      </c>
      <c r="H1099" s="61" t="str">
        <f t="shared" si="46"/>
        <v/>
      </c>
      <c r="I1099" t="str">
        <f>IF(FT!B1099&lt;&gt;"",FT!E1099,"")</f>
        <v/>
      </c>
      <c r="J1099" t="str">
        <f>IF(FT!B1099&lt;&gt;"",FT!C1099,"")</f>
        <v/>
      </c>
    </row>
    <row r="1100" spans="5:10">
      <c r="E1100">
        <f t="shared" si="47"/>
        <v>1098</v>
      </c>
      <c r="F1100" s="61" t="str">
        <f>IF(FT!A1100&lt;&gt;"",FT!A1100*10,"")</f>
        <v/>
      </c>
      <c r="G1100" s="61" t="str">
        <f>IF(FT!B1100&lt;&gt;"",FT!B1100*100,"")</f>
        <v/>
      </c>
      <c r="H1100" s="61" t="str">
        <f t="shared" si="46"/>
        <v/>
      </c>
      <c r="I1100" t="str">
        <f>IF(FT!B1100&lt;&gt;"",FT!E1100,"")</f>
        <v/>
      </c>
      <c r="J1100" t="str">
        <f>IF(FT!B1100&lt;&gt;"",FT!C1100,"")</f>
        <v/>
      </c>
    </row>
    <row r="1101" spans="5:10">
      <c r="E1101">
        <f t="shared" si="47"/>
        <v>1099</v>
      </c>
      <c r="F1101" s="61" t="str">
        <f>IF(FT!A1101&lt;&gt;"",FT!A1101*10,"")</f>
        <v/>
      </c>
      <c r="G1101" s="61" t="str">
        <f>IF(FT!B1101&lt;&gt;"",FT!B1101*100,"")</f>
        <v/>
      </c>
      <c r="H1101" s="61" t="str">
        <f t="shared" si="46"/>
        <v/>
      </c>
      <c r="I1101" t="str">
        <f>IF(FT!B1101&lt;&gt;"",FT!E1101,"")</f>
        <v/>
      </c>
      <c r="J1101" t="str">
        <f>IF(FT!B1101&lt;&gt;"",FT!C1101,"")</f>
        <v/>
      </c>
    </row>
    <row r="1102" spans="5:10">
      <c r="E1102">
        <f t="shared" si="47"/>
        <v>1100</v>
      </c>
      <c r="F1102" s="61" t="str">
        <f>IF(FT!A1102&lt;&gt;"",FT!A1102*10,"")</f>
        <v/>
      </c>
      <c r="G1102" s="61" t="str">
        <f>IF(FT!B1102&lt;&gt;"",FT!B1102*100,"")</f>
        <v/>
      </c>
      <c r="H1102" s="61" t="str">
        <f t="shared" si="46"/>
        <v/>
      </c>
      <c r="I1102" t="str">
        <f>IF(FT!B1102&lt;&gt;"",FT!E1102,"")</f>
        <v/>
      </c>
      <c r="J1102" t="str">
        <f>IF(FT!B1102&lt;&gt;"",FT!C1102,"")</f>
        <v/>
      </c>
    </row>
    <row r="1103" spans="5:10">
      <c r="E1103">
        <f t="shared" si="47"/>
        <v>1101</v>
      </c>
      <c r="F1103" s="61" t="str">
        <f>IF(FT!A1103&lt;&gt;"",FT!A1103*10,"")</f>
        <v/>
      </c>
      <c r="G1103" s="61" t="str">
        <f>IF(FT!B1103&lt;&gt;"",FT!B1103*100,"")</f>
        <v/>
      </c>
      <c r="H1103" s="61" t="str">
        <f t="shared" si="46"/>
        <v/>
      </c>
      <c r="I1103" t="str">
        <f>IF(FT!B1103&lt;&gt;"",FT!E1103,"")</f>
        <v/>
      </c>
      <c r="J1103" t="str">
        <f>IF(FT!B1103&lt;&gt;"",FT!C1103,"")</f>
        <v/>
      </c>
    </row>
    <row r="1104" spans="5:10">
      <c r="E1104">
        <f t="shared" si="47"/>
        <v>1102</v>
      </c>
      <c r="F1104" s="61" t="str">
        <f>IF(FT!A1104&lt;&gt;"",FT!A1104*10,"")</f>
        <v/>
      </c>
      <c r="G1104" s="61" t="str">
        <f>IF(FT!B1104&lt;&gt;"",FT!B1104*100,"")</f>
        <v/>
      </c>
      <c r="H1104" s="61" t="str">
        <f t="shared" si="46"/>
        <v/>
      </c>
      <c r="I1104" t="str">
        <f>IF(FT!B1104&lt;&gt;"",FT!E1104,"")</f>
        <v/>
      </c>
      <c r="J1104" t="str">
        <f>IF(FT!B1104&lt;&gt;"",FT!C1104,"")</f>
        <v/>
      </c>
    </row>
    <row r="1105" spans="5:10">
      <c r="E1105">
        <f t="shared" si="47"/>
        <v>1103</v>
      </c>
      <c r="F1105" s="61" t="str">
        <f>IF(FT!A1105&lt;&gt;"",FT!A1105*10,"")</f>
        <v/>
      </c>
      <c r="G1105" s="61" t="str">
        <f>IF(FT!B1105&lt;&gt;"",FT!B1105*100,"")</f>
        <v/>
      </c>
      <c r="H1105" s="61" t="str">
        <f t="shared" si="46"/>
        <v/>
      </c>
      <c r="I1105" t="str">
        <f>IF(FT!B1105&lt;&gt;"",FT!E1105,"")</f>
        <v/>
      </c>
      <c r="J1105" t="str">
        <f>IF(FT!B1105&lt;&gt;"",FT!C1105,"")</f>
        <v/>
      </c>
    </row>
    <row r="1106" spans="5:10">
      <c r="E1106">
        <f t="shared" si="47"/>
        <v>1104</v>
      </c>
      <c r="F1106" s="61" t="str">
        <f>IF(FT!A1106&lt;&gt;"",FT!A1106*10,"")</f>
        <v/>
      </c>
      <c r="G1106" s="61" t="str">
        <f>IF(FT!B1106&lt;&gt;"",FT!B1106*100,"")</f>
        <v/>
      </c>
      <c r="H1106" s="61" t="str">
        <f t="shared" si="46"/>
        <v/>
      </c>
      <c r="I1106" t="str">
        <f>IF(FT!B1106&lt;&gt;"",FT!E1106,"")</f>
        <v/>
      </c>
      <c r="J1106" t="str">
        <f>IF(FT!B1106&lt;&gt;"",FT!C1106,"")</f>
        <v/>
      </c>
    </row>
    <row r="1107" spans="5:10">
      <c r="E1107">
        <f t="shared" si="47"/>
        <v>1105</v>
      </c>
      <c r="F1107" s="61" t="str">
        <f>IF(FT!A1107&lt;&gt;"",FT!A1107*10,"")</f>
        <v/>
      </c>
      <c r="G1107" s="61" t="str">
        <f>IF(FT!B1107&lt;&gt;"",FT!B1107*100,"")</f>
        <v/>
      </c>
      <c r="H1107" s="61" t="str">
        <f t="shared" si="46"/>
        <v/>
      </c>
      <c r="I1107" t="str">
        <f>IF(FT!B1107&lt;&gt;"",FT!E1107,"")</f>
        <v/>
      </c>
      <c r="J1107" t="str">
        <f>IF(FT!B1107&lt;&gt;"",FT!C1107,"")</f>
        <v/>
      </c>
    </row>
    <row r="1108" spans="5:10">
      <c r="E1108">
        <f t="shared" si="47"/>
        <v>1106</v>
      </c>
      <c r="F1108" s="61" t="str">
        <f>IF(FT!A1108&lt;&gt;"",FT!A1108*10,"")</f>
        <v/>
      </c>
      <c r="G1108" s="61" t="str">
        <f>IF(FT!B1108&lt;&gt;"",FT!B1108*100,"")</f>
        <v/>
      </c>
      <c r="H1108" s="61" t="str">
        <f t="shared" si="46"/>
        <v/>
      </c>
      <c r="I1108" t="str">
        <f>IF(FT!B1108&lt;&gt;"",FT!E1108,"")</f>
        <v/>
      </c>
      <c r="J1108" t="str">
        <f>IF(FT!B1108&lt;&gt;"",FT!C1108,"")</f>
        <v/>
      </c>
    </row>
    <row r="1109" spans="5:10">
      <c r="E1109">
        <f t="shared" si="47"/>
        <v>1107</v>
      </c>
      <c r="F1109" s="61" t="str">
        <f>IF(FT!A1109&lt;&gt;"",FT!A1109*10,"")</f>
        <v/>
      </c>
      <c r="G1109" s="61" t="str">
        <f>IF(FT!B1109&lt;&gt;"",FT!B1109*100,"")</f>
        <v/>
      </c>
      <c r="H1109" s="61" t="str">
        <f t="shared" si="46"/>
        <v/>
      </c>
      <c r="I1109" t="str">
        <f>IF(FT!B1109&lt;&gt;"",FT!E1109,"")</f>
        <v/>
      </c>
      <c r="J1109" t="str">
        <f>IF(FT!B1109&lt;&gt;"",FT!C1109,"")</f>
        <v/>
      </c>
    </row>
    <row r="1110" spans="5:10">
      <c r="E1110">
        <f t="shared" si="47"/>
        <v>1108</v>
      </c>
      <c r="F1110" s="61" t="str">
        <f>IF(FT!A1110&lt;&gt;"",FT!A1110*10,"")</f>
        <v/>
      </c>
      <c r="G1110" s="61" t="str">
        <f>IF(FT!B1110&lt;&gt;"",FT!B1110*100,"")</f>
        <v/>
      </c>
      <c r="H1110" s="61" t="str">
        <f t="shared" si="46"/>
        <v/>
      </c>
      <c r="I1110" t="str">
        <f>IF(FT!B1110&lt;&gt;"",FT!E1110,"")</f>
        <v/>
      </c>
      <c r="J1110" t="str">
        <f>IF(FT!B1110&lt;&gt;"",FT!C1110,"")</f>
        <v/>
      </c>
    </row>
    <row r="1111" spans="5:10">
      <c r="E1111">
        <f t="shared" si="47"/>
        <v>1109</v>
      </c>
      <c r="F1111" s="61" t="str">
        <f>IF(FT!A1111&lt;&gt;"",FT!A1111*10,"")</f>
        <v/>
      </c>
      <c r="G1111" s="61" t="str">
        <f>IF(FT!B1111&lt;&gt;"",FT!B1111*100,"")</f>
        <v/>
      </c>
      <c r="H1111" s="61" t="str">
        <f t="shared" si="46"/>
        <v/>
      </c>
      <c r="I1111" t="str">
        <f>IF(FT!B1111&lt;&gt;"",FT!E1111,"")</f>
        <v/>
      </c>
      <c r="J1111" t="str">
        <f>IF(FT!B1111&lt;&gt;"",FT!C1111,"")</f>
        <v/>
      </c>
    </row>
    <row r="1112" spans="5:10">
      <c r="E1112">
        <f t="shared" si="47"/>
        <v>1110</v>
      </c>
      <c r="F1112" s="61" t="str">
        <f>IF(FT!A1112&lt;&gt;"",FT!A1112*10,"")</f>
        <v/>
      </c>
      <c r="G1112" s="61" t="str">
        <f>IF(FT!B1112&lt;&gt;"",FT!B1112*100,"")</f>
        <v/>
      </c>
      <c r="H1112" s="61" t="str">
        <f t="shared" si="46"/>
        <v/>
      </c>
      <c r="I1112" t="str">
        <f>IF(FT!B1112&lt;&gt;"",FT!E1112,"")</f>
        <v/>
      </c>
      <c r="J1112" t="str">
        <f>IF(FT!B1112&lt;&gt;"",FT!C1112,"")</f>
        <v/>
      </c>
    </row>
    <row r="1113" spans="5:10">
      <c r="E1113">
        <f t="shared" si="47"/>
        <v>1111</v>
      </c>
      <c r="F1113" s="61" t="str">
        <f>IF(FT!A1113&lt;&gt;"",FT!A1113*10,"")</f>
        <v/>
      </c>
      <c r="G1113" s="61" t="str">
        <f>IF(FT!B1113&lt;&gt;"",FT!B1113*100,"")</f>
        <v/>
      </c>
      <c r="H1113" s="61" t="str">
        <f t="shared" si="46"/>
        <v/>
      </c>
      <c r="I1113" t="str">
        <f>IF(FT!B1113&lt;&gt;"",FT!E1113,"")</f>
        <v/>
      </c>
      <c r="J1113" t="str">
        <f>IF(FT!B1113&lt;&gt;"",FT!C1113,"")</f>
        <v/>
      </c>
    </row>
    <row r="1114" spans="5:10">
      <c r="E1114">
        <f t="shared" si="47"/>
        <v>1112</v>
      </c>
      <c r="F1114" s="61" t="str">
        <f>IF(FT!A1114&lt;&gt;"",FT!A1114*10,"")</f>
        <v/>
      </c>
      <c r="G1114" s="61" t="str">
        <f>IF(FT!B1114&lt;&gt;"",FT!B1114*100,"")</f>
        <v/>
      </c>
      <c r="H1114" s="61" t="str">
        <f t="shared" si="46"/>
        <v/>
      </c>
      <c r="I1114" t="str">
        <f>IF(FT!B1114&lt;&gt;"",FT!E1114,"")</f>
        <v/>
      </c>
      <c r="J1114" t="str">
        <f>IF(FT!B1114&lt;&gt;"",FT!C1114,"")</f>
        <v/>
      </c>
    </row>
    <row r="1115" spans="5:10">
      <c r="E1115">
        <f t="shared" si="47"/>
        <v>1113</v>
      </c>
      <c r="F1115" s="61" t="str">
        <f>IF(FT!A1115&lt;&gt;"",FT!A1115*10,"")</f>
        <v/>
      </c>
      <c r="G1115" s="61" t="str">
        <f>IF(FT!B1115&lt;&gt;"",FT!B1115*100,"")</f>
        <v/>
      </c>
      <c r="H1115" s="61" t="str">
        <f t="shared" si="46"/>
        <v/>
      </c>
      <c r="I1115" t="str">
        <f>IF(FT!B1115&lt;&gt;"",FT!E1115,"")</f>
        <v/>
      </c>
      <c r="J1115" t="str">
        <f>IF(FT!B1115&lt;&gt;"",FT!C1115,"")</f>
        <v/>
      </c>
    </row>
    <row r="1116" spans="5:10">
      <c r="E1116">
        <f t="shared" si="47"/>
        <v>1114</v>
      </c>
      <c r="F1116" s="61" t="str">
        <f>IF(FT!A1116&lt;&gt;"",FT!A1116*10,"")</f>
        <v/>
      </c>
      <c r="G1116" s="61" t="str">
        <f>IF(FT!B1116&lt;&gt;"",FT!B1116*100,"")</f>
        <v/>
      </c>
      <c r="H1116" s="61" t="str">
        <f t="shared" si="46"/>
        <v/>
      </c>
      <c r="I1116" t="str">
        <f>IF(FT!B1116&lt;&gt;"",FT!E1116,"")</f>
        <v/>
      </c>
      <c r="J1116" t="str">
        <f>IF(FT!B1116&lt;&gt;"",FT!C1116,"")</f>
        <v/>
      </c>
    </row>
    <row r="1117" spans="5:10">
      <c r="E1117">
        <f t="shared" si="47"/>
        <v>1115</v>
      </c>
      <c r="F1117" s="61" t="str">
        <f>IF(FT!A1117&lt;&gt;"",FT!A1117*10,"")</f>
        <v/>
      </c>
      <c r="G1117" s="61" t="str">
        <f>IF(FT!B1117&lt;&gt;"",FT!B1117*100,"")</f>
        <v/>
      </c>
      <c r="H1117" s="61" t="str">
        <f t="shared" si="46"/>
        <v/>
      </c>
      <c r="I1117" t="str">
        <f>IF(FT!B1117&lt;&gt;"",FT!E1117,"")</f>
        <v/>
      </c>
      <c r="J1117" t="str">
        <f>IF(FT!B1117&lt;&gt;"",FT!C1117,"")</f>
        <v/>
      </c>
    </row>
    <row r="1118" spans="5:10">
      <c r="E1118">
        <f t="shared" si="47"/>
        <v>1116</v>
      </c>
      <c r="F1118" s="61" t="str">
        <f>IF(FT!A1118&lt;&gt;"",FT!A1118*10,"")</f>
        <v/>
      </c>
      <c r="G1118" s="61" t="str">
        <f>IF(FT!B1118&lt;&gt;"",FT!B1118*100,"")</f>
        <v/>
      </c>
      <c r="H1118" s="61" t="str">
        <f t="shared" si="46"/>
        <v/>
      </c>
      <c r="I1118" t="str">
        <f>IF(FT!B1118&lt;&gt;"",FT!E1118,"")</f>
        <v/>
      </c>
      <c r="J1118" t="str">
        <f>IF(FT!B1118&lt;&gt;"",FT!C1118,"")</f>
        <v/>
      </c>
    </row>
    <row r="1119" spans="5:10">
      <c r="E1119">
        <f t="shared" si="47"/>
        <v>1117</v>
      </c>
      <c r="F1119" s="61" t="str">
        <f>IF(FT!A1119&lt;&gt;"",FT!A1119*10,"")</f>
        <v/>
      </c>
      <c r="G1119" s="61" t="str">
        <f>IF(FT!B1119&lt;&gt;"",FT!B1119*100,"")</f>
        <v/>
      </c>
      <c r="H1119" s="61" t="str">
        <f t="shared" si="46"/>
        <v/>
      </c>
      <c r="I1119" t="str">
        <f>IF(FT!B1119&lt;&gt;"",FT!E1119,"")</f>
        <v/>
      </c>
      <c r="J1119" t="str">
        <f>IF(FT!B1119&lt;&gt;"",FT!C1119,"")</f>
        <v/>
      </c>
    </row>
    <row r="1120" spans="5:10">
      <c r="E1120">
        <f t="shared" si="47"/>
        <v>1118</v>
      </c>
      <c r="F1120" s="61" t="str">
        <f>IF(FT!A1120&lt;&gt;"",FT!A1120*10,"")</f>
        <v/>
      </c>
      <c r="G1120" s="61" t="str">
        <f>IF(FT!B1120&lt;&gt;"",FT!B1120*100,"")</f>
        <v/>
      </c>
      <c r="H1120" s="61" t="str">
        <f t="shared" si="46"/>
        <v/>
      </c>
      <c r="I1120" t="str">
        <f>IF(FT!B1120&lt;&gt;"",FT!E1120,"")</f>
        <v/>
      </c>
      <c r="J1120" t="str">
        <f>IF(FT!B1120&lt;&gt;"",FT!C1120,"")</f>
        <v/>
      </c>
    </row>
    <row r="1121" spans="5:10">
      <c r="E1121">
        <f t="shared" si="47"/>
        <v>1119</v>
      </c>
      <c r="F1121" s="61" t="str">
        <f>IF(FT!A1121&lt;&gt;"",FT!A1121*10,"")</f>
        <v/>
      </c>
      <c r="G1121" s="61" t="str">
        <f>IF(FT!B1121&lt;&gt;"",FT!B1121*100,"")</f>
        <v/>
      </c>
      <c r="H1121" s="61" t="str">
        <f t="shared" si="46"/>
        <v/>
      </c>
      <c r="I1121" t="str">
        <f>IF(FT!B1121&lt;&gt;"",FT!E1121,"")</f>
        <v/>
      </c>
      <c r="J1121" t="str">
        <f>IF(FT!B1121&lt;&gt;"",FT!C1121,"")</f>
        <v/>
      </c>
    </row>
    <row r="1122" spans="5:10">
      <c r="E1122">
        <f t="shared" si="47"/>
        <v>1120</v>
      </c>
      <c r="F1122" s="61" t="str">
        <f>IF(FT!A1122&lt;&gt;"",FT!A1122*10,"")</f>
        <v/>
      </c>
      <c r="G1122" s="61" t="str">
        <f>IF(FT!B1122&lt;&gt;"",FT!B1122*100,"")</f>
        <v/>
      </c>
      <c r="H1122" s="61" t="str">
        <f t="shared" si="46"/>
        <v/>
      </c>
      <c r="I1122" t="str">
        <f>IF(FT!B1122&lt;&gt;"",FT!E1122,"")</f>
        <v/>
      </c>
      <c r="J1122" t="str">
        <f>IF(FT!B1122&lt;&gt;"",FT!C1122,"")</f>
        <v/>
      </c>
    </row>
    <row r="1123" spans="5:10">
      <c r="E1123">
        <f t="shared" si="47"/>
        <v>1121</v>
      </c>
      <c r="F1123" s="61" t="str">
        <f>IF(FT!A1123&lt;&gt;"",FT!A1123*10,"")</f>
        <v/>
      </c>
      <c r="G1123" s="61" t="str">
        <f>IF(FT!B1123&lt;&gt;"",FT!B1123*100,"")</f>
        <v/>
      </c>
      <c r="H1123" s="61" t="str">
        <f t="shared" si="46"/>
        <v/>
      </c>
      <c r="I1123" t="str">
        <f>IF(FT!B1123&lt;&gt;"",FT!E1123,"")</f>
        <v/>
      </c>
      <c r="J1123" t="str">
        <f>IF(FT!B1123&lt;&gt;"",FT!C1123,"")</f>
        <v/>
      </c>
    </row>
    <row r="1124" spans="5:10">
      <c r="E1124">
        <f t="shared" si="47"/>
        <v>1122</v>
      </c>
      <c r="F1124" s="61" t="str">
        <f>IF(FT!A1124&lt;&gt;"",FT!A1124*10,"")</f>
        <v/>
      </c>
      <c r="G1124" s="61" t="str">
        <f>IF(FT!B1124&lt;&gt;"",FT!B1124*100,"")</f>
        <v/>
      </c>
      <c r="H1124" s="61" t="str">
        <f t="shared" si="46"/>
        <v/>
      </c>
      <c r="I1124" t="str">
        <f>IF(FT!B1124&lt;&gt;"",FT!E1124,"")</f>
        <v/>
      </c>
      <c r="J1124" t="str">
        <f>IF(FT!B1124&lt;&gt;"",FT!C1124,"")</f>
        <v/>
      </c>
    </row>
    <row r="1125" spans="5:10">
      <c r="E1125">
        <f t="shared" si="47"/>
        <v>1123</v>
      </c>
      <c r="F1125" s="61" t="str">
        <f>IF(FT!A1125&lt;&gt;"",FT!A1125*10,"")</f>
        <v/>
      </c>
      <c r="G1125" s="61" t="str">
        <f>IF(FT!B1125&lt;&gt;"",FT!B1125*100,"")</f>
        <v/>
      </c>
      <c r="H1125" s="61" t="str">
        <f t="shared" si="46"/>
        <v/>
      </c>
      <c r="I1125" t="str">
        <f>IF(FT!B1125&lt;&gt;"",FT!E1125,"")</f>
        <v/>
      </c>
      <c r="J1125" t="str">
        <f>IF(FT!B1125&lt;&gt;"",FT!C1125,"")</f>
        <v/>
      </c>
    </row>
    <row r="1126" spans="5:10">
      <c r="E1126">
        <f t="shared" si="47"/>
        <v>1124</v>
      </c>
      <c r="F1126" s="61" t="str">
        <f>IF(FT!A1126&lt;&gt;"",FT!A1126*10,"")</f>
        <v/>
      </c>
      <c r="G1126" s="61" t="str">
        <f>IF(FT!B1126&lt;&gt;"",FT!B1126*100,"")</f>
        <v/>
      </c>
      <c r="H1126" s="61" t="str">
        <f t="shared" si="46"/>
        <v/>
      </c>
      <c r="I1126" t="str">
        <f>IF(FT!B1126&lt;&gt;"",FT!E1126,"")</f>
        <v/>
      </c>
      <c r="J1126" t="str">
        <f>IF(FT!B1126&lt;&gt;"",FT!C1126,"")</f>
        <v/>
      </c>
    </row>
    <row r="1127" spans="5:10">
      <c r="E1127">
        <f t="shared" si="47"/>
        <v>1125</v>
      </c>
      <c r="F1127" s="61" t="str">
        <f>IF(FT!A1127&lt;&gt;"",FT!A1127*10,"")</f>
        <v/>
      </c>
      <c r="G1127" s="61" t="str">
        <f>IF(FT!B1127&lt;&gt;"",FT!B1127*100,"")</f>
        <v/>
      </c>
      <c r="H1127" s="61" t="str">
        <f t="shared" si="46"/>
        <v/>
      </c>
      <c r="I1127" t="str">
        <f>IF(FT!B1127&lt;&gt;"",FT!E1127,"")</f>
        <v/>
      </c>
      <c r="J1127" t="str">
        <f>IF(FT!B1127&lt;&gt;"",FT!C1127,"")</f>
        <v/>
      </c>
    </row>
    <row r="1128" spans="5:10">
      <c r="E1128">
        <f t="shared" si="47"/>
        <v>1126</v>
      </c>
      <c r="F1128" s="61" t="str">
        <f>IF(FT!A1128&lt;&gt;"",FT!A1128*10,"")</f>
        <v/>
      </c>
      <c r="G1128" s="61" t="str">
        <f>IF(FT!B1128&lt;&gt;"",FT!B1128*100,"")</f>
        <v/>
      </c>
      <c r="H1128" s="61" t="str">
        <f t="shared" si="46"/>
        <v/>
      </c>
      <c r="I1128" t="str">
        <f>IF(FT!B1128&lt;&gt;"",FT!E1128,"")</f>
        <v/>
      </c>
      <c r="J1128" t="str">
        <f>IF(FT!B1128&lt;&gt;"",FT!C1128,"")</f>
        <v/>
      </c>
    </row>
    <row r="1129" spans="5:10">
      <c r="E1129">
        <f t="shared" si="47"/>
        <v>1127</v>
      </c>
      <c r="F1129" s="61" t="str">
        <f>IF(FT!A1129&lt;&gt;"",FT!A1129*10,"")</f>
        <v/>
      </c>
      <c r="G1129" s="61" t="str">
        <f>IF(FT!B1129&lt;&gt;"",FT!B1129*100,"")</f>
        <v/>
      </c>
      <c r="H1129" s="61" t="str">
        <f t="shared" si="46"/>
        <v/>
      </c>
      <c r="I1129" t="str">
        <f>IF(FT!B1129&lt;&gt;"",FT!E1129,"")</f>
        <v/>
      </c>
      <c r="J1129" t="str">
        <f>IF(FT!B1129&lt;&gt;"",FT!C1129,"")</f>
        <v/>
      </c>
    </row>
    <row r="1130" spans="5:10">
      <c r="E1130">
        <f t="shared" si="47"/>
        <v>1128</v>
      </c>
      <c r="F1130" s="61" t="str">
        <f>IF(FT!A1130&lt;&gt;"",FT!A1130*10,"")</f>
        <v/>
      </c>
      <c r="G1130" s="61" t="str">
        <f>IF(FT!B1130&lt;&gt;"",FT!B1130*100,"")</f>
        <v/>
      </c>
      <c r="H1130" s="61" t="str">
        <f t="shared" si="46"/>
        <v/>
      </c>
      <c r="I1130" t="str">
        <f>IF(FT!B1130&lt;&gt;"",FT!E1130,"")</f>
        <v/>
      </c>
      <c r="J1130" t="str">
        <f>IF(FT!B1130&lt;&gt;"",FT!C1130,"")</f>
        <v/>
      </c>
    </row>
    <row r="1131" spans="5:10">
      <c r="E1131">
        <f t="shared" si="47"/>
        <v>1129</v>
      </c>
      <c r="F1131" s="61" t="str">
        <f>IF(FT!A1131&lt;&gt;"",FT!A1131*10,"")</f>
        <v/>
      </c>
      <c r="G1131" s="61" t="str">
        <f>IF(FT!B1131&lt;&gt;"",FT!B1131*100,"")</f>
        <v/>
      </c>
      <c r="H1131" s="61" t="str">
        <f t="shared" si="46"/>
        <v/>
      </c>
      <c r="I1131" t="str">
        <f>IF(FT!B1131&lt;&gt;"",FT!E1131,"")</f>
        <v/>
      </c>
      <c r="J1131" t="str">
        <f>IF(FT!B1131&lt;&gt;"",FT!C1131,"")</f>
        <v/>
      </c>
    </row>
    <row r="1132" spans="5:10">
      <c r="E1132">
        <f t="shared" si="47"/>
        <v>1130</v>
      </c>
      <c r="F1132" s="61" t="str">
        <f>IF(FT!A1132&lt;&gt;"",FT!A1132*10,"")</f>
        <v/>
      </c>
      <c r="G1132" s="61" t="str">
        <f>IF(FT!B1132&lt;&gt;"",FT!B1132*100,"")</f>
        <v/>
      </c>
      <c r="H1132" s="61" t="str">
        <f t="shared" si="46"/>
        <v/>
      </c>
      <c r="I1132" t="str">
        <f>IF(FT!B1132&lt;&gt;"",FT!E1132,"")</f>
        <v/>
      </c>
      <c r="J1132" t="str">
        <f>IF(FT!B1132&lt;&gt;"",FT!C1132,"")</f>
        <v/>
      </c>
    </row>
    <row r="1133" spans="5:10">
      <c r="E1133">
        <f t="shared" si="47"/>
        <v>1131</v>
      </c>
      <c r="F1133" s="61" t="str">
        <f>IF(FT!A1133&lt;&gt;"",FT!A1133*10,"")</f>
        <v/>
      </c>
      <c r="G1133" s="61" t="str">
        <f>IF(FT!B1133&lt;&gt;"",FT!B1133*100,"")</f>
        <v/>
      </c>
      <c r="H1133" s="61" t="str">
        <f t="shared" si="46"/>
        <v/>
      </c>
      <c r="I1133" t="str">
        <f>IF(FT!B1133&lt;&gt;"",FT!E1133,"")</f>
        <v/>
      </c>
      <c r="J1133" t="str">
        <f>IF(FT!B1133&lt;&gt;"",FT!C1133,"")</f>
        <v/>
      </c>
    </row>
    <row r="1134" spans="5:10">
      <c r="E1134">
        <f t="shared" si="47"/>
        <v>1132</v>
      </c>
      <c r="F1134" s="61" t="str">
        <f>IF(FT!A1134&lt;&gt;"",FT!A1134*10,"")</f>
        <v/>
      </c>
      <c r="G1134" s="61" t="str">
        <f>IF(FT!B1134&lt;&gt;"",FT!B1134*100,"")</f>
        <v/>
      </c>
      <c r="H1134" s="61" t="str">
        <f t="shared" si="46"/>
        <v/>
      </c>
      <c r="I1134" t="str">
        <f>IF(FT!B1134&lt;&gt;"",FT!E1134,"")</f>
        <v/>
      </c>
      <c r="J1134" t="str">
        <f>IF(FT!B1134&lt;&gt;"",FT!C1134,"")</f>
        <v/>
      </c>
    </row>
    <row r="1135" spans="5:10">
      <c r="E1135">
        <f t="shared" si="47"/>
        <v>1133</v>
      </c>
      <c r="F1135" s="61" t="str">
        <f>IF(FT!A1135&lt;&gt;"",FT!A1135*10,"")</f>
        <v/>
      </c>
      <c r="G1135" s="61" t="str">
        <f>IF(FT!B1135&lt;&gt;"",FT!B1135*100,"")</f>
        <v/>
      </c>
      <c r="H1135" s="61" t="str">
        <f t="shared" si="46"/>
        <v/>
      </c>
      <c r="I1135" t="str">
        <f>IF(FT!B1135&lt;&gt;"",FT!E1135,"")</f>
        <v/>
      </c>
      <c r="J1135" t="str">
        <f>IF(FT!B1135&lt;&gt;"",FT!C1135,"")</f>
        <v/>
      </c>
    </row>
    <row r="1136" spans="5:10">
      <c r="E1136">
        <f t="shared" si="47"/>
        <v>1134</v>
      </c>
      <c r="F1136" s="61" t="str">
        <f>IF(FT!A1136&lt;&gt;"",FT!A1136*10,"")</f>
        <v/>
      </c>
      <c r="G1136" s="61" t="str">
        <f>IF(FT!B1136&lt;&gt;"",FT!B1136*100,"")</f>
        <v/>
      </c>
      <c r="H1136" s="61" t="str">
        <f t="shared" si="46"/>
        <v/>
      </c>
      <c r="I1136" t="str">
        <f>IF(FT!B1136&lt;&gt;"",FT!E1136,"")</f>
        <v/>
      </c>
      <c r="J1136" t="str">
        <f>IF(FT!B1136&lt;&gt;"",FT!C1136,"")</f>
        <v/>
      </c>
    </row>
    <row r="1137" spans="5:10">
      <c r="E1137">
        <f t="shared" si="47"/>
        <v>1135</v>
      </c>
      <c r="F1137" s="61" t="str">
        <f>IF(FT!A1137&lt;&gt;"",FT!A1137*10,"")</f>
        <v/>
      </c>
      <c r="G1137" s="61" t="str">
        <f>IF(FT!B1137&lt;&gt;"",FT!B1137*100,"")</f>
        <v/>
      </c>
      <c r="H1137" s="61" t="str">
        <f t="shared" si="46"/>
        <v/>
      </c>
      <c r="I1137" t="str">
        <f>IF(FT!B1137&lt;&gt;"",FT!E1137,"")</f>
        <v/>
      </c>
      <c r="J1137" t="str">
        <f>IF(FT!B1137&lt;&gt;"",FT!C1137,"")</f>
        <v/>
      </c>
    </row>
    <row r="1138" spans="5:10">
      <c r="E1138">
        <f t="shared" si="47"/>
        <v>1136</v>
      </c>
      <c r="F1138" s="61" t="str">
        <f>IF(FT!A1138&lt;&gt;"",FT!A1138*10,"")</f>
        <v/>
      </c>
      <c r="G1138" s="61" t="str">
        <f>IF(FT!B1138&lt;&gt;"",FT!B1138*100,"")</f>
        <v/>
      </c>
      <c r="H1138" s="61" t="str">
        <f t="shared" si="46"/>
        <v/>
      </c>
      <c r="I1138" t="str">
        <f>IF(FT!B1138&lt;&gt;"",FT!E1138,"")</f>
        <v/>
      </c>
      <c r="J1138" t="str">
        <f>IF(FT!B1138&lt;&gt;"",FT!C1138,"")</f>
        <v/>
      </c>
    </row>
    <row r="1139" spans="5:10">
      <c r="E1139">
        <f t="shared" si="47"/>
        <v>1137</v>
      </c>
      <c r="F1139" s="61" t="str">
        <f>IF(FT!A1139&lt;&gt;"",FT!A1139*10,"")</f>
        <v/>
      </c>
      <c r="G1139" s="61" t="str">
        <f>IF(FT!B1139&lt;&gt;"",FT!B1139*100,"")</f>
        <v/>
      </c>
      <c r="H1139" s="61" t="str">
        <f t="shared" si="46"/>
        <v/>
      </c>
      <c r="I1139" t="str">
        <f>IF(FT!B1139&lt;&gt;"",FT!E1139,"")</f>
        <v/>
      </c>
      <c r="J1139" t="str">
        <f>IF(FT!B1139&lt;&gt;"",FT!C1139,"")</f>
        <v/>
      </c>
    </row>
    <row r="1140" spans="5:10">
      <c r="E1140">
        <f t="shared" si="47"/>
        <v>1138</v>
      </c>
      <c r="F1140" s="61" t="str">
        <f>IF(FT!A1140&lt;&gt;"",FT!A1140*10,"")</f>
        <v/>
      </c>
      <c r="G1140" s="61" t="str">
        <f>IF(FT!B1140&lt;&gt;"",FT!B1140*100,"")</f>
        <v/>
      </c>
      <c r="H1140" s="61" t="str">
        <f t="shared" si="46"/>
        <v/>
      </c>
      <c r="I1140" t="str">
        <f>IF(FT!B1140&lt;&gt;"",FT!E1140,"")</f>
        <v/>
      </c>
      <c r="J1140" t="str">
        <f>IF(FT!B1140&lt;&gt;"",FT!C1140,"")</f>
        <v/>
      </c>
    </row>
    <row r="1141" spans="5:10">
      <c r="E1141">
        <f t="shared" si="47"/>
        <v>1139</v>
      </c>
      <c r="F1141" s="61" t="str">
        <f>IF(FT!A1141&lt;&gt;"",FT!A1141*10,"")</f>
        <v/>
      </c>
      <c r="G1141" s="61" t="str">
        <f>IF(FT!B1141&lt;&gt;"",FT!B1141*100,"")</f>
        <v/>
      </c>
      <c r="H1141" s="61" t="str">
        <f t="shared" si="46"/>
        <v/>
      </c>
      <c r="I1141" t="str">
        <f>IF(FT!B1141&lt;&gt;"",FT!E1141,"")</f>
        <v/>
      </c>
      <c r="J1141" t="str">
        <f>IF(FT!B1141&lt;&gt;"",FT!C1141,"")</f>
        <v/>
      </c>
    </row>
    <row r="1142" spans="5:10">
      <c r="E1142">
        <f t="shared" si="47"/>
        <v>1140</v>
      </c>
      <c r="F1142" s="61" t="str">
        <f>IF(FT!A1142&lt;&gt;"",FT!A1142*10,"")</f>
        <v/>
      </c>
      <c r="G1142" s="61" t="str">
        <f>IF(FT!B1142&lt;&gt;"",FT!B1142*100,"")</f>
        <v/>
      </c>
      <c r="H1142" s="61" t="str">
        <f t="shared" si="46"/>
        <v/>
      </c>
      <c r="I1142" t="str">
        <f>IF(FT!B1142&lt;&gt;"",FT!E1142,"")</f>
        <v/>
      </c>
      <c r="J1142" t="str">
        <f>IF(FT!B1142&lt;&gt;"",FT!C1142,"")</f>
        <v/>
      </c>
    </row>
    <row r="1143" spans="5:10">
      <c r="E1143">
        <f t="shared" si="47"/>
        <v>1141</v>
      </c>
      <c r="F1143" s="61" t="str">
        <f>IF(FT!A1143&lt;&gt;"",FT!A1143*10,"")</f>
        <v/>
      </c>
      <c r="G1143" s="61" t="str">
        <f>IF(FT!B1143&lt;&gt;"",FT!B1143*100,"")</f>
        <v/>
      </c>
      <c r="H1143" s="61" t="str">
        <f t="shared" si="46"/>
        <v/>
      </c>
      <c r="I1143" t="str">
        <f>IF(FT!B1143&lt;&gt;"",FT!E1143,"")</f>
        <v/>
      </c>
      <c r="J1143" t="str">
        <f>IF(FT!B1143&lt;&gt;"",FT!C1143,"")</f>
        <v/>
      </c>
    </row>
    <row r="1144" spans="5:10">
      <c r="E1144">
        <f t="shared" si="47"/>
        <v>1142</v>
      </c>
      <c r="F1144" s="61" t="str">
        <f>IF(FT!A1144&lt;&gt;"",FT!A1144*10,"")</f>
        <v/>
      </c>
      <c r="G1144" s="61" t="str">
        <f>IF(FT!B1144&lt;&gt;"",FT!B1144*100,"")</f>
        <v/>
      </c>
      <c r="H1144" s="61" t="str">
        <f t="shared" si="46"/>
        <v/>
      </c>
      <c r="I1144" t="str">
        <f>IF(FT!B1144&lt;&gt;"",FT!E1144,"")</f>
        <v/>
      </c>
      <c r="J1144" t="str">
        <f>IF(FT!B1144&lt;&gt;"",FT!C1144,"")</f>
        <v/>
      </c>
    </row>
    <row r="1145" spans="5:10">
      <c r="E1145">
        <f t="shared" si="47"/>
        <v>1143</v>
      </c>
      <c r="F1145" s="61" t="str">
        <f>IF(FT!A1145&lt;&gt;"",FT!A1145*10,"")</f>
        <v/>
      </c>
      <c r="G1145" s="61" t="str">
        <f>IF(FT!B1145&lt;&gt;"",FT!B1145*100,"")</f>
        <v/>
      </c>
      <c r="H1145" s="61" t="str">
        <f t="shared" si="46"/>
        <v/>
      </c>
      <c r="I1145" t="str">
        <f>IF(FT!B1145&lt;&gt;"",FT!E1145,"")</f>
        <v/>
      </c>
      <c r="J1145" t="str">
        <f>IF(FT!B1145&lt;&gt;"",FT!C1145,"")</f>
        <v/>
      </c>
    </row>
    <row r="1146" spans="5:10">
      <c r="E1146">
        <f t="shared" si="47"/>
        <v>1144</v>
      </c>
      <c r="F1146" s="61" t="str">
        <f>IF(FT!A1146&lt;&gt;"",FT!A1146*10,"")</f>
        <v/>
      </c>
      <c r="G1146" s="61" t="str">
        <f>IF(FT!B1146&lt;&gt;"",FT!B1146*100,"")</f>
        <v/>
      </c>
      <c r="H1146" s="61" t="str">
        <f t="shared" si="46"/>
        <v/>
      </c>
      <c r="I1146" t="str">
        <f>IF(FT!B1146&lt;&gt;"",FT!E1146,"")</f>
        <v/>
      </c>
      <c r="J1146" t="str">
        <f>IF(FT!B1146&lt;&gt;"",FT!C1146,"")</f>
        <v/>
      </c>
    </row>
    <row r="1147" spans="5:10">
      <c r="E1147">
        <f t="shared" si="47"/>
        <v>1145</v>
      </c>
      <c r="F1147" s="61" t="str">
        <f>IF(FT!A1147&lt;&gt;"",FT!A1147*10,"")</f>
        <v/>
      </c>
      <c r="G1147" s="61" t="str">
        <f>IF(FT!B1147&lt;&gt;"",FT!B1147*100,"")</f>
        <v/>
      </c>
      <c r="H1147" s="61" t="str">
        <f t="shared" si="46"/>
        <v/>
      </c>
      <c r="I1147" t="str">
        <f>IF(FT!B1147&lt;&gt;"",FT!E1147,"")</f>
        <v/>
      </c>
      <c r="J1147" t="str">
        <f>IF(FT!B1147&lt;&gt;"",FT!C1147,"")</f>
        <v/>
      </c>
    </row>
    <row r="1148" spans="5:10">
      <c r="E1148">
        <f t="shared" si="47"/>
        <v>1146</v>
      </c>
      <c r="F1148" s="61" t="str">
        <f>IF(FT!A1148&lt;&gt;"",FT!A1148*10,"")</f>
        <v/>
      </c>
      <c r="G1148" s="61" t="str">
        <f>IF(FT!B1148&lt;&gt;"",FT!B1148*100,"")</f>
        <v/>
      </c>
      <c r="H1148" s="61" t="str">
        <f t="shared" si="46"/>
        <v/>
      </c>
      <c r="I1148" t="str">
        <f>IF(FT!B1148&lt;&gt;"",FT!E1148,"")</f>
        <v/>
      </c>
      <c r="J1148" t="str">
        <f>IF(FT!B1148&lt;&gt;"",FT!C1148,"")</f>
        <v/>
      </c>
    </row>
    <row r="1149" spans="5:10">
      <c r="E1149">
        <f t="shared" si="47"/>
        <v>1147</v>
      </c>
      <c r="F1149" s="61" t="str">
        <f>IF(FT!A1149&lt;&gt;"",FT!A1149*10,"")</f>
        <v/>
      </c>
      <c r="G1149" s="61" t="str">
        <f>IF(FT!B1149&lt;&gt;"",FT!B1149*100,"")</f>
        <v/>
      </c>
      <c r="H1149" s="61" t="str">
        <f t="shared" si="46"/>
        <v/>
      </c>
      <c r="I1149" t="str">
        <f>IF(FT!B1149&lt;&gt;"",FT!E1149,"")</f>
        <v/>
      </c>
      <c r="J1149" t="str">
        <f>IF(FT!B1149&lt;&gt;"",FT!C1149,"")</f>
        <v/>
      </c>
    </row>
    <row r="1150" spans="5:10">
      <c r="E1150">
        <f t="shared" si="47"/>
        <v>1148</v>
      </c>
      <c r="F1150" s="61" t="str">
        <f>IF(FT!A1150&lt;&gt;"",FT!A1150*10,"")</f>
        <v/>
      </c>
      <c r="G1150" s="61" t="str">
        <f>IF(FT!B1150&lt;&gt;"",FT!B1150*100,"")</f>
        <v/>
      </c>
      <c r="H1150" s="61" t="str">
        <f t="shared" si="46"/>
        <v/>
      </c>
      <c r="I1150" t="str">
        <f>IF(FT!B1150&lt;&gt;"",FT!E1150,"")</f>
        <v/>
      </c>
      <c r="J1150" t="str">
        <f>IF(FT!B1150&lt;&gt;"",FT!C1150,"")</f>
        <v/>
      </c>
    </row>
    <row r="1151" spans="5:10">
      <c r="E1151">
        <f t="shared" si="47"/>
        <v>1149</v>
      </c>
      <c r="F1151" s="61" t="str">
        <f>IF(FT!A1151&lt;&gt;"",FT!A1151*10,"")</f>
        <v/>
      </c>
      <c r="G1151" s="61" t="str">
        <f>IF(FT!B1151&lt;&gt;"",FT!B1151*100,"")</f>
        <v/>
      </c>
      <c r="H1151" s="61" t="str">
        <f t="shared" si="46"/>
        <v/>
      </c>
      <c r="I1151" t="str">
        <f>IF(FT!B1151&lt;&gt;"",FT!E1151,"")</f>
        <v/>
      </c>
      <c r="J1151" t="str">
        <f>IF(FT!B1151&lt;&gt;"",FT!C1151,"")</f>
        <v/>
      </c>
    </row>
    <row r="1152" spans="5:10">
      <c r="E1152">
        <f t="shared" si="47"/>
        <v>1150</v>
      </c>
      <c r="F1152" s="61" t="str">
        <f>IF(FT!A1152&lt;&gt;"",FT!A1152*10,"")</f>
        <v/>
      </c>
      <c r="G1152" s="61" t="str">
        <f>IF(FT!B1152&lt;&gt;"",FT!B1152*100,"")</f>
        <v/>
      </c>
      <c r="H1152" s="61" t="str">
        <f t="shared" si="46"/>
        <v/>
      </c>
      <c r="I1152" t="str">
        <f>IF(FT!B1152&lt;&gt;"",FT!E1152,"")</f>
        <v/>
      </c>
      <c r="J1152" t="str">
        <f>IF(FT!B1152&lt;&gt;"",FT!C1152,"")</f>
        <v/>
      </c>
    </row>
    <row r="1153" spans="5:10">
      <c r="E1153">
        <f t="shared" si="47"/>
        <v>1151</v>
      </c>
      <c r="F1153" s="61" t="str">
        <f>IF(FT!A1153&lt;&gt;"",FT!A1153*10,"")</f>
        <v/>
      </c>
      <c r="G1153" s="61" t="str">
        <f>IF(FT!B1153&lt;&gt;"",FT!B1153*100,"")</f>
        <v/>
      </c>
      <c r="H1153" s="61" t="str">
        <f t="shared" si="46"/>
        <v/>
      </c>
      <c r="I1153" t="str">
        <f>IF(FT!B1153&lt;&gt;"",FT!E1153,"")</f>
        <v/>
      </c>
      <c r="J1153" t="str">
        <f>IF(FT!B1153&lt;&gt;"",FT!C1153,"")</f>
        <v/>
      </c>
    </row>
    <row r="1154" spans="5:10">
      <c r="E1154">
        <f t="shared" si="47"/>
        <v>1152</v>
      </c>
      <c r="F1154" s="61" t="str">
        <f>IF(FT!A1154&lt;&gt;"",FT!A1154*10,"")</f>
        <v/>
      </c>
      <c r="G1154" s="61" t="str">
        <f>IF(FT!B1154&lt;&gt;"",FT!B1154*100,"")</f>
        <v/>
      </c>
      <c r="H1154" s="61" t="str">
        <f t="shared" si="46"/>
        <v/>
      </c>
      <c r="I1154" t="str">
        <f>IF(FT!B1154&lt;&gt;"",FT!E1154,"")</f>
        <v/>
      </c>
      <c r="J1154" t="str">
        <f>IF(FT!B1154&lt;&gt;"",FT!C1154,"")</f>
        <v/>
      </c>
    </row>
    <row r="1155" spans="5:10">
      <c r="E1155">
        <f t="shared" si="47"/>
        <v>1153</v>
      </c>
      <c r="F1155" s="61" t="str">
        <f>IF(FT!A1155&lt;&gt;"",FT!A1155*10,"")</f>
        <v/>
      </c>
      <c r="G1155" s="61" t="str">
        <f>IF(FT!B1155&lt;&gt;"",FT!B1155*100,"")</f>
        <v/>
      </c>
      <c r="H1155" s="61" t="str">
        <f t="shared" ref="H1155:H1218" si="48">(IF(F1155&lt;&gt;"",1,""))</f>
        <v/>
      </c>
      <c r="I1155" t="str">
        <f>IF(FT!B1155&lt;&gt;"",FT!E1155,"")</f>
        <v/>
      </c>
      <c r="J1155" t="str">
        <f>IF(FT!B1155&lt;&gt;"",FT!C1155,"")</f>
        <v/>
      </c>
    </row>
    <row r="1156" spans="5:10">
      <c r="E1156">
        <f t="shared" ref="E1156:E1219" si="49">E1155+1</f>
        <v>1154</v>
      </c>
      <c r="F1156" s="61" t="str">
        <f>IF(FT!A1156&lt;&gt;"",FT!A1156*10,"")</f>
        <v/>
      </c>
      <c r="G1156" s="61" t="str">
        <f>IF(FT!B1156&lt;&gt;"",FT!B1156*100,"")</f>
        <v/>
      </c>
      <c r="H1156" s="61" t="str">
        <f t="shared" si="48"/>
        <v/>
      </c>
      <c r="I1156" t="str">
        <f>IF(FT!B1156&lt;&gt;"",FT!E1156,"")</f>
        <v/>
      </c>
      <c r="J1156" t="str">
        <f>IF(FT!B1156&lt;&gt;"",FT!C1156,"")</f>
        <v/>
      </c>
    </row>
    <row r="1157" spans="5:10">
      <c r="E1157">
        <f t="shared" si="49"/>
        <v>1155</v>
      </c>
      <c r="F1157" s="61" t="str">
        <f>IF(FT!A1157&lt;&gt;"",FT!A1157*10,"")</f>
        <v/>
      </c>
      <c r="G1157" s="61" t="str">
        <f>IF(FT!B1157&lt;&gt;"",FT!B1157*100,"")</f>
        <v/>
      </c>
      <c r="H1157" s="61" t="str">
        <f t="shared" si="48"/>
        <v/>
      </c>
      <c r="I1157" t="str">
        <f>IF(FT!B1157&lt;&gt;"",FT!E1157,"")</f>
        <v/>
      </c>
      <c r="J1157" t="str">
        <f>IF(FT!B1157&lt;&gt;"",FT!C1157,"")</f>
        <v/>
      </c>
    </row>
    <row r="1158" spans="5:10">
      <c r="E1158">
        <f t="shared" si="49"/>
        <v>1156</v>
      </c>
      <c r="F1158" s="61" t="str">
        <f>IF(FT!A1158&lt;&gt;"",FT!A1158*10,"")</f>
        <v/>
      </c>
      <c r="G1158" s="61" t="str">
        <f>IF(FT!B1158&lt;&gt;"",FT!B1158*100,"")</f>
        <v/>
      </c>
      <c r="H1158" s="61" t="str">
        <f t="shared" si="48"/>
        <v/>
      </c>
      <c r="I1158" t="str">
        <f>IF(FT!B1158&lt;&gt;"",FT!E1158,"")</f>
        <v/>
      </c>
      <c r="J1158" t="str">
        <f>IF(FT!B1158&lt;&gt;"",FT!C1158,"")</f>
        <v/>
      </c>
    </row>
    <row r="1159" spans="5:10">
      <c r="E1159">
        <f t="shared" si="49"/>
        <v>1157</v>
      </c>
      <c r="F1159" s="61" t="str">
        <f>IF(FT!A1159&lt;&gt;"",FT!A1159*10,"")</f>
        <v/>
      </c>
      <c r="G1159" s="61" t="str">
        <f>IF(FT!B1159&lt;&gt;"",FT!B1159*100,"")</f>
        <v/>
      </c>
      <c r="H1159" s="61" t="str">
        <f t="shared" si="48"/>
        <v/>
      </c>
      <c r="I1159" t="str">
        <f>IF(FT!B1159&lt;&gt;"",FT!E1159,"")</f>
        <v/>
      </c>
      <c r="J1159" t="str">
        <f>IF(FT!B1159&lt;&gt;"",FT!C1159,"")</f>
        <v/>
      </c>
    </row>
    <row r="1160" spans="5:10">
      <c r="E1160">
        <f t="shared" si="49"/>
        <v>1158</v>
      </c>
      <c r="F1160" s="61" t="str">
        <f>IF(FT!A1160&lt;&gt;"",FT!A1160*10,"")</f>
        <v/>
      </c>
      <c r="G1160" s="61" t="str">
        <f>IF(FT!B1160&lt;&gt;"",FT!B1160*100,"")</f>
        <v/>
      </c>
      <c r="H1160" s="61" t="str">
        <f t="shared" si="48"/>
        <v/>
      </c>
      <c r="I1160" t="str">
        <f>IF(FT!B1160&lt;&gt;"",FT!E1160,"")</f>
        <v/>
      </c>
      <c r="J1160" t="str">
        <f>IF(FT!B1160&lt;&gt;"",FT!C1160,"")</f>
        <v/>
      </c>
    </row>
    <row r="1161" spans="5:10">
      <c r="E1161">
        <f t="shared" si="49"/>
        <v>1159</v>
      </c>
      <c r="F1161" s="61" t="str">
        <f>IF(FT!A1161&lt;&gt;"",FT!A1161*10,"")</f>
        <v/>
      </c>
      <c r="G1161" s="61" t="str">
        <f>IF(FT!B1161&lt;&gt;"",FT!B1161*100,"")</f>
        <v/>
      </c>
      <c r="H1161" s="61" t="str">
        <f t="shared" si="48"/>
        <v/>
      </c>
      <c r="I1161" t="str">
        <f>IF(FT!B1161&lt;&gt;"",FT!E1161,"")</f>
        <v/>
      </c>
      <c r="J1161" t="str">
        <f>IF(FT!B1161&lt;&gt;"",FT!C1161,"")</f>
        <v/>
      </c>
    </row>
    <row r="1162" spans="5:10">
      <c r="E1162">
        <f t="shared" si="49"/>
        <v>1160</v>
      </c>
      <c r="F1162" s="61" t="str">
        <f>IF(FT!A1162&lt;&gt;"",FT!A1162*10,"")</f>
        <v/>
      </c>
      <c r="G1162" s="61" t="str">
        <f>IF(FT!B1162&lt;&gt;"",FT!B1162*100,"")</f>
        <v/>
      </c>
      <c r="H1162" s="61" t="str">
        <f t="shared" si="48"/>
        <v/>
      </c>
      <c r="I1162" t="str">
        <f>IF(FT!B1162&lt;&gt;"",FT!E1162,"")</f>
        <v/>
      </c>
      <c r="J1162" t="str">
        <f>IF(FT!B1162&lt;&gt;"",FT!C1162,"")</f>
        <v/>
      </c>
    </row>
    <row r="1163" spans="5:10">
      <c r="E1163">
        <f t="shared" si="49"/>
        <v>1161</v>
      </c>
      <c r="F1163" s="61" t="str">
        <f>IF(FT!A1163&lt;&gt;"",FT!A1163*10,"")</f>
        <v/>
      </c>
      <c r="G1163" s="61" t="str">
        <f>IF(FT!B1163&lt;&gt;"",FT!B1163*100,"")</f>
        <v/>
      </c>
      <c r="H1163" s="61" t="str">
        <f t="shared" si="48"/>
        <v/>
      </c>
      <c r="I1163" t="str">
        <f>IF(FT!B1163&lt;&gt;"",FT!E1163,"")</f>
        <v/>
      </c>
      <c r="J1163" t="str">
        <f>IF(FT!B1163&lt;&gt;"",FT!C1163,"")</f>
        <v/>
      </c>
    </row>
    <row r="1164" spans="5:10">
      <c r="E1164">
        <f t="shared" si="49"/>
        <v>1162</v>
      </c>
      <c r="F1164" s="61" t="str">
        <f>IF(FT!A1164&lt;&gt;"",FT!A1164*10,"")</f>
        <v/>
      </c>
      <c r="G1164" s="61" t="str">
        <f>IF(FT!B1164&lt;&gt;"",FT!B1164*100,"")</f>
        <v/>
      </c>
      <c r="H1164" s="61" t="str">
        <f t="shared" si="48"/>
        <v/>
      </c>
      <c r="I1164" t="str">
        <f>IF(FT!B1164&lt;&gt;"",FT!E1164,"")</f>
        <v/>
      </c>
      <c r="J1164" t="str">
        <f>IF(FT!B1164&lt;&gt;"",FT!C1164,"")</f>
        <v/>
      </c>
    </row>
    <row r="1165" spans="5:10">
      <c r="E1165">
        <f t="shared" si="49"/>
        <v>1163</v>
      </c>
      <c r="F1165" s="61" t="str">
        <f>IF(FT!A1165&lt;&gt;"",FT!A1165*10,"")</f>
        <v/>
      </c>
      <c r="G1165" s="61" t="str">
        <f>IF(FT!B1165&lt;&gt;"",FT!B1165*100,"")</f>
        <v/>
      </c>
      <c r="H1165" s="61" t="str">
        <f t="shared" si="48"/>
        <v/>
      </c>
      <c r="I1165" t="str">
        <f>IF(FT!B1165&lt;&gt;"",FT!E1165,"")</f>
        <v/>
      </c>
      <c r="J1165" t="str">
        <f>IF(FT!B1165&lt;&gt;"",FT!C1165,"")</f>
        <v/>
      </c>
    </row>
    <row r="1166" spans="5:10">
      <c r="E1166">
        <f t="shared" si="49"/>
        <v>1164</v>
      </c>
      <c r="F1166" s="61" t="str">
        <f>IF(FT!A1166&lt;&gt;"",FT!A1166*10,"")</f>
        <v/>
      </c>
      <c r="G1166" s="61" t="str">
        <f>IF(FT!B1166&lt;&gt;"",FT!B1166*100,"")</f>
        <v/>
      </c>
      <c r="H1166" s="61" t="str">
        <f t="shared" si="48"/>
        <v/>
      </c>
      <c r="I1166" t="str">
        <f>IF(FT!B1166&lt;&gt;"",FT!E1166,"")</f>
        <v/>
      </c>
      <c r="J1166" t="str">
        <f>IF(FT!B1166&lt;&gt;"",FT!C1166,"")</f>
        <v/>
      </c>
    </row>
    <row r="1167" spans="5:10">
      <c r="E1167">
        <f t="shared" si="49"/>
        <v>1165</v>
      </c>
      <c r="F1167" s="61" t="str">
        <f>IF(FT!A1167&lt;&gt;"",FT!A1167*10,"")</f>
        <v/>
      </c>
      <c r="G1167" s="61" t="str">
        <f>IF(FT!B1167&lt;&gt;"",FT!B1167*100,"")</f>
        <v/>
      </c>
      <c r="H1167" s="61" t="str">
        <f t="shared" si="48"/>
        <v/>
      </c>
      <c r="I1167" t="str">
        <f>IF(FT!B1167&lt;&gt;"",FT!E1167,"")</f>
        <v/>
      </c>
      <c r="J1167" t="str">
        <f>IF(FT!B1167&lt;&gt;"",FT!C1167,"")</f>
        <v/>
      </c>
    </row>
    <row r="1168" spans="5:10">
      <c r="E1168">
        <f t="shared" si="49"/>
        <v>1166</v>
      </c>
      <c r="F1168" s="61" t="str">
        <f>IF(FT!A1168&lt;&gt;"",FT!A1168*10,"")</f>
        <v/>
      </c>
      <c r="G1168" s="61" t="str">
        <f>IF(FT!B1168&lt;&gt;"",FT!B1168*100,"")</f>
        <v/>
      </c>
      <c r="H1168" s="61" t="str">
        <f t="shared" si="48"/>
        <v/>
      </c>
      <c r="I1168" t="str">
        <f>IF(FT!B1168&lt;&gt;"",FT!E1168,"")</f>
        <v/>
      </c>
      <c r="J1168" t="str">
        <f>IF(FT!B1168&lt;&gt;"",FT!C1168,"")</f>
        <v/>
      </c>
    </row>
    <row r="1169" spans="5:10">
      <c r="E1169">
        <f t="shared" si="49"/>
        <v>1167</v>
      </c>
      <c r="F1169" s="61" t="str">
        <f>IF(FT!A1169&lt;&gt;"",FT!A1169*10,"")</f>
        <v/>
      </c>
      <c r="G1169" s="61" t="str">
        <f>IF(FT!B1169&lt;&gt;"",FT!B1169*100,"")</f>
        <v/>
      </c>
      <c r="H1169" s="61" t="str">
        <f t="shared" si="48"/>
        <v/>
      </c>
      <c r="I1169" t="str">
        <f>IF(FT!B1169&lt;&gt;"",FT!E1169,"")</f>
        <v/>
      </c>
      <c r="J1169" t="str">
        <f>IF(FT!B1169&lt;&gt;"",FT!C1169,"")</f>
        <v/>
      </c>
    </row>
    <row r="1170" spans="5:10">
      <c r="E1170">
        <f t="shared" si="49"/>
        <v>1168</v>
      </c>
      <c r="F1170" s="61" t="str">
        <f>IF(FT!A1170&lt;&gt;"",FT!A1170*10,"")</f>
        <v/>
      </c>
      <c r="G1170" s="61" t="str">
        <f>IF(FT!B1170&lt;&gt;"",FT!B1170*100,"")</f>
        <v/>
      </c>
      <c r="H1170" s="61" t="str">
        <f t="shared" si="48"/>
        <v/>
      </c>
      <c r="I1170" t="str">
        <f>IF(FT!B1170&lt;&gt;"",FT!E1170,"")</f>
        <v/>
      </c>
      <c r="J1170" t="str">
        <f>IF(FT!B1170&lt;&gt;"",FT!C1170,"")</f>
        <v/>
      </c>
    </row>
    <row r="1171" spans="5:10">
      <c r="E1171">
        <f t="shared" si="49"/>
        <v>1169</v>
      </c>
      <c r="F1171" s="61" t="str">
        <f>IF(FT!A1171&lt;&gt;"",FT!A1171*10,"")</f>
        <v/>
      </c>
      <c r="G1171" s="61" t="str">
        <f>IF(FT!B1171&lt;&gt;"",FT!B1171*100,"")</f>
        <v/>
      </c>
      <c r="H1171" s="61" t="str">
        <f t="shared" si="48"/>
        <v/>
      </c>
      <c r="I1171" t="str">
        <f>IF(FT!B1171&lt;&gt;"",FT!E1171,"")</f>
        <v/>
      </c>
      <c r="J1171" t="str">
        <f>IF(FT!B1171&lt;&gt;"",FT!C1171,"")</f>
        <v/>
      </c>
    </row>
    <row r="1172" spans="5:10">
      <c r="E1172">
        <f t="shared" si="49"/>
        <v>1170</v>
      </c>
      <c r="F1172" s="61" t="str">
        <f>IF(FT!A1172&lt;&gt;"",FT!A1172*10,"")</f>
        <v/>
      </c>
      <c r="G1172" s="61" t="str">
        <f>IF(FT!B1172&lt;&gt;"",FT!B1172*100,"")</f>
        <v/>
      </c>
      <c r="H1172" s="61" t="str">
        <f t="shared" si="48"/>
        <v/>
      </c>
      <c r="I1172" t="str">
        <f>IF(FT!B1172&lt;&gt;"",FT!E1172,"")</f>
        <v/>
      </c>
      <c r="J1172" t="str">
        <f>IF(FT!B1172&lt;&gt;"",FT!C1172,"")</f>
        <v/>
      </c>
    </row>
    <row r="1173" spans="5:10">
      <c r="E1173">
        <f t="shared" si="49"/>
        <v>1171</v>
      </c>
      <c r="F1173" s="61" t="str">
        <f>IF(FT!A1173&lt;&gt;"",FT!A1173*10,"")</f>
        <v/>
      </c>
      <c r="G1173" s="61" t="str">
        <f>IF(FT!B1173&lt;&gt;"",FT!B1173*100,"")</f>
        <v/>
      </c>
      <c r="H1173" s="61" t="str">
        <f t="shared" si="48"/>
        <v/>
      </c>
      <c r="I1173" t="str">
        <f>IF(FT!B1173&lt;&gt;"",FT!E1173,"")</f>
        <v/>
      </c>
      <c r="J1173" t="str">
        <f>IF(FT!B1173&lt;&gt;"",FT!C1173,"")</f>
        <v/>
      </c>
    </row>
    <row r="1174" spans="5:10">
      <c r="E1174">
        <f t="shared" si="49"/>
        <v>1172</v>
      </c>
      <c r="F1174" s="61" t="str">
        <f>IF(FT!A1174&lt;&gt;"",FT!A1174*10,"")</f>
        <v/>
      </c>
      <c r="G1174" s="61" t="str">
        <f>IF(FT!B1174&lt;&gt;"",FT!B1174*100,"")</f>
        <v/>
      </c>
      <c r="H1174" s="61" t="str">
        <f t="shared" si="48"/>
        <v/>
      </c>
      <c r="I1174" t="str">
        <f>IF(FT!B1174&lt;&gt;"",FT!E1174,"")</f>
        <v/>
      </c>
      <c r="J1174" t="str">
        <f>IF(FT!B1174&lt;&gt;"",FT!C1174,"")</f>
        <v/>
      </c>
    </row>
    <row r="1175" spans="5:10">
      <c r="E1175">
        <f t="shared" si="49"/>
        <v>1173</v>
      </c>
      <c r="F1175" s="61" t="str">
        <f>IF(FT!A1175&lt;&gt;"",FT!A1175*10,"")</f>
        <v/>
      </c>
      <c r="G1175" s="61" t="str">
        <f>IF(FT!B1175&lt;&gt;"",FT!B1175*100,"")</f>
        <v/>
      </c>
      <c r="H1175" s="61" t="str">
        <f t="shared" si="48"/>
        <v/>
      </c>
      <c r="I1175" t="str">
        <f>IF(FT!B1175&lt;&gt;"",FT!E1175,"")</f>
        <v/>
      </c>
      <c r="J1175" t="str">
        <f>IF(FT!B1175&lt;&gt;"",FT!C1175,"")</f>
        <v/>
      </c>
    </row>
    <row r="1176" spans="5:10">
      <c r="E1176">
        <f t="shared" si="49"/>
        <v>1174</v>
      </c>
      <c r="F1176" s="61" t="str">
        <f>IF(FT!A1176&lt;&gt;"",FT!A1176*10,"")</f>
        <v/>
      </c>
      <c r="G1176" s="61" t="str">
        <f>IF(FT!B1176&lt;&gt;"",FT!B1176*100,"")</f>
        <v/>
      </c>
      <c r="H1176" s="61" t="str">
        <f t="shared" si="48"/>
        <v/>
      </c>
      <c r="I1176" t="str">
        <f>IF(FT!B1176&lt;&gt;"",FT!E1176,"")</f>
        <v/>
      </c>
      <c r="J1176" t="str">
        <f>IF(FT!B1176&lt;&gt;"",FT!C1176,"")</f>
        <v/>
      </c>
    </row>
    <row r="1177" spans="5:10">
      <c r="E1177">
        <f t="shared" si="49"/>
        <v>1175</v>
      </c>
      <c r="F1177" s="61" t="str">
        <f>IF(FT!A1177&lt;&gt;"",FT!A1177*10,"")</f>
        <v/>
      </c>
      <c r="G1177" s="61" t="str">
        <f>IF(FT!B1177&lt;&gt;"",FT!B1177*100,"")</f>
        <v/>
      </c>
      <c r="H1177" s="61" t="str">
        <f t="shared" si="48"/>
        <v/>
      </c>
      <c r="I1177" t="str">
        <f>IF(FT!B1177&lt;&gt;"",FT!E1177,"")</f>
        <v/>
      </c>
      <c r="J1177" t="str">
        <f>IF(FT!B1177&lt;&gt;"",FT!C1177,"")</f>
        <v/>
      </c>
    </row>
    <row r="1178" spans="5:10">
      <c r="E1178">
        <f t="shared" si="49"/>
        <v>1176</v>
      </c>
      <c r="F1178" s="61" t="str">
        <f>IF(FT!A1178&lt;&gt;"",FT!A1178*10,"")</f>
        <v/>
      </c>
      <c r="G1178" s="61" t="str">
        <f>IF(FT!B1178&lt;&gt;"",FT!B1178*100,"")</f>
        <v/>
      </c>
      <c r="H1178" s="61" t="str">
        <f t="shared" si="48"/>
        <v/>
      </c>
      <c r="I1178" t="str">
        <f>IF(FT!B1178&lt;&gt;"",FT!E1178,"")</f>
        <v/>
      </c>
      <c r="J1178" t="str">
        <f>IF(FT!B1178&lt;&gt;"",FT!C1178,"")</f>
        <v/>
      </c>
    </row>
    <row r="1179" spans="5:10">
      <c r="E1179">
        <f t="shared" si="49"/>
        <v>1177</v>
      </c>
      <c r="F1179" s="61" t="str">
        <f>IF(FT!A1179&lt;&gt;"",FT!A1179*10,"")</f>
        <v/>
      </c>
      <c r="G1179" s="61" t="str">
        <f>IF(FT!B1179&lt;&gt;"",FT!B1179*100,"")</f>
        <v/>
      </c>
      <c r="H1179" s="61" t="str">
        <f t="shared" si="48"/>
        <v/>
      </c>
      <c r="I1179" t="str">
        <f>IF(FT!B1179&lt;&gt;"",FT!E1179,"")</f>
        <v/>
      </c>
      <c r="J1179" t="str">
        <f>IF(FT!B1179&lt;&gt;"",FT!C1179,"")</f>
        <v/>
      </c>
    </row>
    <row r="1180" spans="5:10">
      <c r="E1180">
        <f t="shared" si="49"/>
        <v>1178</v>
      </c>
      <c r="F1180" s="61" t="str">
        <f>IF(FT!A1180&lt;&gt;"",FT!A1180*10,"")</f>
        <v/>
      </c>
      <c r="G1180" s="61" t="str">
        <f>IF(FT!B1180&lt;&gt;"",FT!B1180*100,"")</f>
        <v/>
      </c>
      <c r="H1180" s="61" t="str">
        <f t="shared" si="48"/>
        <v/>
      </c>
      <c r="I1180" t="str">
        <f>IF(FT!B1180&lt;&gt;"",FT!E1180,"")</f>
        <v/>
      </c>
      <c r="J1180" t="str">
        <f>IF(FT!B1180&lt;&gt;"",FT!C1180,"")</f>
        <v/>
      </c>
    </row>
    <row r="1181" spans="5:10">
      <c r="E1181">
        <f t="shared" si="49"/>
        <v>1179</v>
      </c>
      <c r="F1181" s="61" t="str">
        <f>IF(FT!A1181&lt;&gt;"",FT!A1181*10,"")</f>
        <v/>
      </c>
      <c r="G1181" s="61" t="str">
        <f>IF(FT!B1181&lt;&gt;"",FT!B1181*100,"")</f>
        <v/>
      </c>
      <c r="H1181" s="61" t="str">
        <f t="shared" si="48"/>
        <v/>
      </c>
      <c r="I1181" t="str">
        <f>IF(FT!B1181&lt;&gt;"",FT!E1181,"")</f>
        <v/>
      </c>
      <c r="J1181" t="str">
        <f>IF(FT!B1181&lt;&gt;"",FT!C1181,"")</f>
        <v/>
      </c>
    </row>
    <row r="1182" spans="5:10">
      <c r="E1182">
        <f t="shared" si="49"/>
        <v>1180</v>
      </c>
      <c r="F1182" s="61" t="str">
        <f>IF(FT!A1182&lt;&gt;"",FT!A1182*10,"")</f>
        <v/>
      </c>
      <c r="G1182" s="61" t="str">
        <f>IF(FT!B1182&lt;&gt;"",FT!B1182*100,"")</f>
        <v/>
      </c>
      <c r="H1182" s="61" t="str">
        <f t="shared" si="48"/>
        <v/>
      </c>
      <c r="I1182" t="str">
        <f>IF(FT!B1182&lt;&gt;"",FT!E1182,"")</f>
        <v/>
      </c>
      <c r="J1182" t="str">
        <f>IF(FT!B1182&lt;&gt;"",FT!C1182,"")</f>
        <v/>
      </c>
    </row>
    <row r="1183" spans="5:10">
      <c r="E1183">
        <f t="shared" si="49"/>
        <v>1181</v>
      </c>
      <c r="F1183" s="61" t="str">
        <f>IF(FT!A1183&lt;&gt;"",FT!A1183*10,"")</f>
        <v/>
      </c>
      <c r="G1183" s="61" t="str">
        <f>IF(FT!B1183&lt;&gt;"",FT!B1183*100,"")</f>
        <v/>
      </c>
      <c r="H1183" s="61" t="str">
        <f t="shared" si="48"/>
        <v/>
      </c>
      <c r="I1183" t="str">
        <f>IF(FT!B1183&lt;&gt;"",FT!E1183,"")</f>
        <v/>
      </c>
      <c r="J1183" t="str">
        <f>IF(FT!B1183&lt;&gt;"",FT!C1183,"")</f>
        <v/>
      </c>
    </row>
    <row r="1184" spans="5:10">
      <c r="E1184">
        <f t="shared" si="49"/>
        <v>1182</v>
      </c>
      <c r="F1184" s="61" t="str">
        <f>IF(FT!A1184&lt;&gt;"",FT!A1184*10,"")</f>
        <v/>
      </c>
      <c r="G1184" s="61" t="str">
        <f>IF(FT!B1184&lt;&gt;"",FT!B1184*100,"")</f>
        <v/>
      </c>
      <c r="H1184" s="61" t="str">
        <f t="shared" si="48"/>
        <v/>
      </c>
      <c r="I1184" t="str">
        <f>IF(FT!B1184&lt;&gt;"",FT!E1184,"")</f>
        <v/>
      </c>
      <c r="J1184" t="str">
        <f>IF(FT!B1184&lt;&gt;"",FT!C1184,"")</f>
        <v/>
      </c>
    </row>
    <row r="1185" spans="5:10">
      <c r="E1185">
        <f t="shared" si="49"/>
        <v>1183</v>
      </c>
      <c r="F1185" s="61" t="str">
        <f>IF(FT!A1185&lt;&gt;"",FT!A1185*10,"")</f>
        <v/>
      </c>
      <c r="G1185" s="61" t="str">
        <f>IF(FT!B1185&lt;&gt;"",FT!B1185*100,"")</f>
        <v/>
      </c>
      <c r="H1185" s="61" t="str">
        <f t="shared" si="48"/>
        <v/>
      </c>
      <c r="I1185" t="str">
        <f>IF(FT!B1185&lt;&gt;"",FT!E1185,"")</f>
        <v/>
      </c>
      <c r="J1185" t="str">
        <f>IF(FT!B1185&lt;&gt;"",FT!C1185,"")</f>
        <v/>
      </c>
    </row>
    <row r="1186" spans="5:10">
      <c r="E1186">
        <f t="shared" si="49"/>
        <v>1184</v>
      </c>
      <c r="F1186" s="61" t="str">
        <f>IF(FT!A1186&lt;&gt;"",FT!A1186*10,"")</f>
        <v/>
      </c>
      <c r="G1186" s="61" t="str">
        <f>IF(FT!B1186&lt;&gt;"",FT!B1186*100,"")</f>
        <v/>
      </c>
      <c r="H1186" s="61" t="str">
        <f t="shared" si="48"/>
        <v/>
      </c>
      <c r="I1186" t="str">
        <f>IF(FT!B1186&lt;&gt;"",FT!E1186,"")</f>
        <v/>
      </c>
      <c r="J1186" t="str">
        <f>IF(FT!B1186&lt;&gt;"",FT!C1186,"")</f>
        <v/>
      </c>
    </row>
    <row r="1187" spans="5:10">
      <c r="E1187">
        <f t="shared" si="49"/>
        <v>1185</v>
      </c>
      <c r="F1187" s="61" t="str">
        <f>IF(FT!A1187&lt;&gt;"",FT!A1187*10,"")</f>
        <v/>
      </c>
      <c r="G1187" s="61" t="str">
        <f>IF(FT!B1187&lt;&gt;"",FT!B1187*100,"")</f>
        <v/>
      </c>
      <c r="H1187" s="61" t="str">
        <f t="shared" si="48"/>
        <v/>
      </c>
      <c r="I1187" t="str">
        <f>IF(FT!B1187&lt;&gt;"",FT!E1187,"")</f>
        <v/>
      </c>
      <c r="J1187" t="str">
        <f>IF(FT!B1187&lt;&gt;"",FT!C1187,"")</f>
        <v/>
      </c>
    </row>
    <row r="1188" spans="5:10">
      <c r="E1188">
        <f t="shared" si="49"/>
        <v>1186</v>
      </c>
      <c r="F1188" s="61" t="str">
        <f>IF(FT!A1188&lt;&gt;"",FT!A1188*10,"")</f>
        <v/>
      </c>
      <c r="G1188" s="61" t="str">
        <f>IF(FT!B1188&lt;&gt;"",FT!B1188*100,"")</f>
        <v/>
      </c>
      <c r="H1188" s="61" t="str">
        <f t="shared" si="48"/>
        <v/>
      </c>
      <c r="I1188" t="str">
        <f>IF(FT!B1188&lt;&gt;"",FT!E1188,"")</f>
        <v/>
      </c>
      <c r="J1188" t="str">
        <f>IF(FT!B1188&lt;&gt;"",FT!C1188,"")</f>
        <v/>
      </c>
    </row>
    <row r="1189" spans="5:10">
      <c r="E1189">
        <f t="shared" si="49"/>
        <v>1187</v>
      </c>
      <c r="F1189" s="61" t="str">
        <f>IF(FT!A1189&lt;&gt;"",FT!A1189*10,"")</f>
        <v/>
      </c>
      <c r="G1189" s="61" t="str">
        <f>IF(FT!B1189&lt;&gt;"",FT!B1189*100,"")</f>
        <v/>
      </c>
      <c r="H1189" s="61" t="str">
        <f t="shared" si="48"/>
        <v/>
      </c>
      <c r="I1189" t="str">
        <f>IF(FT!B1189&lt;&gt;"",FT!E1189,"")</f>
        <v/>
      </c>
      <c r="J1189" t="str">
        <f>IF(FT!B1189&lt;&gt;"",FT!C1189,"")</f>
        <v/>
      </c>
    </row>
    <row r="1190" spans="5:10">
      <c r="E1190">
        <f t="shared" si="49"/>
        <v>1188</v>
      </c>
      <c r="F1190" s="61" t="str">
        <f>IF(FT!A1190&lt;&gt;"",FT!A1190*10,"")</f>
        <v/>
      </c>
      <c r="G1190" s="61" t="str">
        <f>IF(FT!B1190&lt;&gt;"",FT!B1190*100,"")</f>
        <v/>
      </c>
      <c r="H1190" s="61" t="str">
        <f t="shared" si="48"/>
        <v/>
      </c>
      <c r="I1190" t="str">
        <f>IF(FT!B1190&lt;&gt;"",FT!E1190,"")</f>
        <v/>
      </c>
      <c r="J1190" t="str">
        <f>IF(FT!B1190&lt;&gt;"",FT!C1190,"")</f>
        <v/>
      </c>
    </row>
    <row r="1191" spans="5:10">
      <c r="E1191">
        <f t="shared" si="49"/>
        <v>1189</v>
      </c>
      <c r="F1191" s="61" t="str">
        <f>IF(FT!A1191&lt;&gt;"",FT!A1191*10,"")</f>
        <v/>
      </c>
      <c r="G1191" s="61" t="str">
        <f>IF(FT!B1191&lt;&gt;"",FT!B1191*100,"")</f>
        <v/>
      </c>
      <c r="H1191" s="61" t="str">
        <f t="shared" si="48"/>
        <v/>
      </c>
      <c r="I1191" t="str">
        <f>IF(FT!B1191&lt;&gt;"",FT!E1191,"")</f>
        <v/>
      </c>
      <c r="J1191" t="str">
        <f>IF(FT!B1191&lt;&gt;"",FT!C1191,"")</f>
        <v/>
      </c>
    </row>
    <row r="1192" spans="5:10">
      <c r="E1192">
        <f t="shared" si="49"/>
        <v>1190</v>
      </c>
      <c r="F1192" s="61" t="str">
        <f>IF(FT!A1192&lt;&gt;"",FT!A1192*10,"")</f>
        <v/>
      </c>
      <c r="G1192" s="61" t="str">
        <f>IF(FT!B1192&lt;&gt;"",FT!B1192*100,"")</f>
        <v/>
      </c>
      <c r="H1192" s="61" t="str">
        <f t="shared" si="48"/>
        <v/>
      </c>
      <c r="I1192" t="str">
        <f>IF(FT!B1192&lt;&gt;"",FT!E1192,"")</f>
        <v/>
      </c>
      <c r="J1192" t="str">
        <f>IF(FT!B1192&lt;&gt;"",FT!C1192,"")</f>
        <v/>
      </c>
    </row>
    <row r="1193" spans="5:10">
      <c r="E1193">
        <f t="shared" si="49"/>
        <v>1191</v>
      </c>
      <c r="F1193" s="61" t="str">
        <f>IF(FT!A1193&lt;&gt;"",FT!A1193*10,"")</f>
        <v/>
      </c>
      <c r="G1193" s="61" t="str">
        <f>IF(FT!B1193&lt;&gt;"",FT!B1193*100,"")</f>
        <v/>
      </c>
      <c r="H1193" s="61" t="str">
        <f t="shared" si="48"/>
        <v/>
      </c>
      <c r="I1193" t="str">
        <f>IF(FT!B1193&lt;&gt;"",FT!E1193,"")</f>
        <v/>
      </c>
      <c r="J1193" t="str">
        <f>IF(FT!B1193&lt;&gt;"",FT!C1193,"")</f>
        <v/>
      </c>
    </row>
    <row r="1194" spans="5:10">
      <c r="E1194">
        <f t="shared" si="49"/>
        <v>1192</v>
      </c>
      <c r="F1194" s="61" t="str">
        <f>IF(FT!A1194&lt;&gt;"",FT!A1194*10,"")</f>
        <v/>
      </c>
      <c r="G1194" s="61" t="str">
        <f>IF(FT!B1194&lt;&gt;"",FT!B1194*100,"")</f>
        <v/>
      </c>
      <c r="H1194" s="61" t="str">
        <f t="shared" si="48"/>
        <v/>
      </c>
      <c r="I1194" t="str">
        <f>IF(FT!B1194&lt;&gt;"",FT!E1194,"")</f>
        <v/>
      </c>
      <c r="J1194" t="str">
        <f>IF(FT!B1194&lt;&gt;"",FT!C1194,"")</f>
        <v/>
      </c>
    </row>
    <row r="1195" spans="5:10">
      <c r="E1195">
        <f t="shared" si="49"/>
        <v>1193</v>
      </c>
      <c r="F1195" s="61" t="str">
        <f>IF(FT!A1195&lt;&gt;"",FT!A1195*10,"")</f>
        <v/>
      </c>
      <c r="G1195" s="61" t="str">
        <f>IF(FT!B1195&lt;&gt;"",FT!B1195*100,"")</f>
        <v/>
      </c>
      <c r="H1195" s="61" t="str">
        <f t="shared" si="48"/>
        <v/>
      </c>
      <c r="I1195" t="str">
        <f>IF(FT!B1195&lt;&gt;"",FT!E1195,"")</f>
        <v/>
      </c>
      <c r="J1195" t="str">
        <f>IF(FT!B1195&lt;&gt;"",FT!C1195,"")</f>
        <v/>
      </c>
    </row>
    <row r="1196" spans="5:10">
      <c r="E1196">
        <f t="shared" si="49"/>
        <v>1194</v>
      </c>
      <c r="F1196" s="61" t="str">
        <f>IF(FT!A1196&lt;&gt;"",FT!A1196*10,"")</f>
        <v/>
      </c>
      <c r="G1196" s="61" t="str">
        <f>IF(FT!B1196&lt;&gt;"",FT!B1196*100,"")</f>
        <v/>
      </c>
      <c r="H1196" s="61" t="str">
        <f t="shared" si="48"/>
        <v/>
      </c>
      <c r="I1196" t="str">
        <f>IF(FT!B1196&lt;&gt;"",FT!E1196,"")</f>
        <v/>
      </c>
      <c r="J1196" t="str">
        <f>IF(FT!B1196&lt;&gt;"",FT!C1196,"")</f>
        <v/>
      </c>
    </row>
    <row r="1197" spans="5:10">
      <c r="E1197">
        <f t="shared" si="49"/>
        <v>1195</v>
      </c>
      <c r="F1197" s="61" t="str">
        <f>IF(FT!A1197&lt;&gt;"",FT!A1197*10,"")</f>
        <v/>
      </c>
      <c r="G1197" s="61" t="str">
        <f>IF(FT!B1197&lt;&gt;"",FT!B1197*100,"")</f>
        <v/>
      </c>
      <c r="H1197" s="61" t="str">
        <f t="shared" si="48"/>
        <v/>
      </c>
      <c r="I1197" t="str">
        <f>IF(FT!B1197&lt;&gt;"",FT!E1197,"")</f>
        <v/>
      </c>
      <c r="J1197" t="str">
        <f>IF(FT!B1197&lt;&gt;"",FT!C1197,"")</f>
        <v/>
      </c>
    </row>
    <row r="1198" spans="5:10">
      <c r="E1198">
        <f t="shared" si="49"/>
        <v>1196</v>
      </c>
      <c r="F1198" s="61" t="str">
        <f>IF(FT!A1198&lt;&gt;"",FT!A1198*10,"")</f>
        <v/>
      </c>
      <c r="G1198" s="61" t="str">
        <f>IF(FT!B1198&lt;&gt;"",FT!B1198*100,"")</f>
        <v/>
      </c>
      <c r="H1198" s="61" t="str">
        <f t="shared" si="48"/>
        <v/>
      </c>
      <c r="I1198" t="str">
        <f>IF(FT!B1198&lt;&gt;"",FT!E1198,"")</f>
        <v/>
      </c>
      <c r="J1198" t="str">
        <f>IF(FT!B1198&lt;&gt;"",FT!C1198,"")</f>
        <v/>
      </c>
    </row>
    <row r="1199" spans="5:10">
      <c r="E1199">
        <f t="shared" si="49"/>
        <v>1197</v>
      </c>
      <c r="F1199" s="61" t="str">
        <f>IF(FT!A1199&lt;&gt;"",FT!A1199*10,"")</f>
        <v/>
      </c>
      <c r="G1199" s="61" t="str">
        <f>IF(FT!B1199&lt;&gt;"",FT!B1199*100,"")</f>
        <v/>
      </c>
      <c r="H1199" s="61" t="str">
        <f t="shared" si="48"/>
        <v/>
      </c>
      <c r="I1199" t="str">
        <f>IF(FT!B1199&lt;&gt;"",FT!E1199,"")</f>
        <v/>
      </c>
      <c r="J1199" t="str">
        <f>IF(FT!B1199&lt;&gt;"",FT!C1199,"")</f>
        <v/>
      </c>
    </row>
    <row r="1200" spans="5:10">
      <c r="E1200">
        <f t="shared" si="49"/>
        <v>1198</v>
      </c>
      <c r="F1200" s="61" t="str">
        <f>IF(FT!A1200&lt;&gt;"",FT!A1200*10,"")</f>
        <v/>
      </c>
      <c r="G1200" s="61" t="str">
        <f>IF(FT!B1200&lt;&gt;"",FT!B1200*100,"")</f>
        <v/>
      </c>
      <c r="H1200" s="61" t="str">
        <f t="shared" si="48"/>
        <v/>
      </c>
      <c r="I1200" t="str">
        <f>IF(FT!B1200&lt;&gt;"",FT!E1200,"")</f>
        <v/>
      </c>
      <c r="J1200" t="str">
        <f>IF(FT!B1200&lt;&gt;"",FT!C1200,"")</f>
        <v/>
      </c>
    </row>
    <row r="1201" spans="5:10">
      <c r="E1201">
        <f t="shared" si="49"/>
        <v>1199</v>
      </c>
      <c r="F1201" s="61" t="str">
        <f>IF(FT!A1201&lt;&gt;"",FT!A1201*10,"")</f>
        <v/>
      </c>
      <c r="G1201" s="61" t="str">
        <f>IF(FT!B1201&lt;&gt;"",FT!B1201*100,"")</f>
        <v/>
      </c>
      <c r="H1201" s="61" t="str">
        <f t="shared" si="48"/>
        <v/>
      </c>
      <c r="I1201" t="str">
        <f>IF(FT!B1201&lt;&gt;"",FT!E1201,"")</f>
        <v/>
      </c>
      <c r="J1201" t="str">
        <f>IF(FT!B1201&lt;&gt;"",FT!C1201,"")</f>
        <v/>
      </c>
    </row>
    <row r="1202" spans="5:10">
      <c r="E1202">
        <f t="shared" si="49"/>
        <v>1200</v>
      </c>
      <c r="F1202" s="61" t="str">
        <f>IF(FT!A1202&lt;&gt;"",FT!A1202*10,"")</f>
        <v/>
      </c>
      <c r="G1202" s="61" t="str">
        <f>IF(FT!B1202&lt;&gt;"",FT!B1202*100,"")</f>
        <v/>
      </c>
      <c r="H1202" s="61" t="str">
        <f t="shared" si="48"/>
        <v/>
      </c>
      <c r="I1202" t="str">
        <f>IF(FT!B1202&lt;&gt;"",FT!E1202,"")</f>
        <v/>
      </c>
      <c r="J1202" t="str">
        <f>IF(FT!B1202&lt;&gt;"",FT!C1202,"")</f>
        <v/>
      </c>
    </row>
    <row r="1203" spans="5:10">
      <c r="E1203">
        <f t="shared" si="49"/>
        <v>1201</v>
      </c>
      <c r="F1203" s="61" t="str">
        <f>IF(FT!A1203&lt;&gt;"",FT!A1203*10,"")</f>
        <v/>
      </c>
      <c r="G1203" s="61" t="str">
        <f>IF(FT!B1203&lt;&gt;"",FT!B1203*100,"")</f>
        <v/>
      </c>
      <c r="H1203" s="61" t="str">
        <f t="shared" si="48"/>
        <v/>
      </c>
      <c r="I1203" t="str">
        <f>IF(FT!B1203&lt;&gt;"",FT!E1203,"")</f>
        <v/>
      </c>
      <c r="J1203" t="str">
        <f>IF(FT!B1203&lt;&gt;"",FT!C1203,"")</f>
        <v/>
      </c>
    </row>
    <row r="1204" spans="5:10">
      <c r="E1204">
        <f t="shared" si="49"/>
        <v>1202</v>
      </c>
      <c r="F1204" s="61" t="str">
        <f>IF(FT!A1204&lt;&gt;"",FT!A1204*10,"")</f>
        <v/>
      </c>
      <c r="G1204" s="61" t="str">
        <f>IF(FT!B1204&lt;&gt;"",FT!B1204*100,"")</f>
        <v/>
      </c>
      <c r="H1204" s="61" t="str">
        <f t="shared" si="48"/>
        <v/>
      </c>
      <c r="I1204" t="str">
        <f>IF(FT!B1204&lt;&gt;"",FT!E1204,"")</f>
        <v/>
      </c>
      <c r="J1204" t="str">
        <f>IF(FT!B1204&lt;&gt;"",FT!C1204,"")</f>
        <v/>
      </c>
    </row>
    <row r="1205" spans="5:10">
      <c r="E1205">
        <f t="shared" si="49"/>
        <v>1203</v>
      </c>
      <c r="F1205" s="61" t="str">
        <f>IF(FT!A1205&lt;&gt;"",FT!A1205*10,"")</f>
        <v/>
      </c>
      <c r="G1205" s="61" t="str">
        <f>IF(FT!B1205&lt;&gt;"",FT!B1205*100,"")</f>
        <v/>
      </c>
      <c r="H1205" s="61" t="str">
        <f t="shared" si="48"/>
        <v/>
      </c>
      <c r="I1205" t="str">
        <f>IF(FT!B1205&lt;&gt;"",FT!E1205,"")</f>
        <v/>
      </c>
      <c r="J1205" t="str">
        <f>IF(FT!B1205&lt;&gt;"",FT!C1205,"")</f>
        <v/>
      </c>
    </row>
    <row r="1206" spans="5:10">
      <c r="E1206">
        <f t="shared" si="49"/>
        <v>1204</v>
      </c>
      <c r="F1206" s="61" t="str">
        <f>IF(FT!A1206&lt;&gt;"",FT!A1206*10,"")</f>
        <v/>
      </c>
      <c r="G1206" s="61" t="str">
        <f>IF(FT!B1206&lt;&gt;"",FT!B1206*100,"")</f>
        <v/>
      </c>
      <c r="H1206" s="61" t="str">
        <f t="shared" si="48"/>
        <v/>
      </c>
      <c r="I1206" t="str">
        <f>IF(FT!B1206&lt;&gt;"",FT!E1206,"")</f>
        <v/>
      </c>
      <c r="J1206" t="str">
        <f>IF(FT!B1206&lt;&gt;"",FT!C1206,"")</f>
        <v/>
      </c>
    </row>
    <row r="1207" spans="5:10">
      <c r="E1207">
        <f t="shared" si="49"/>
        <v>1205</v>
      </c>
      <c r="F1207" s="61" t="str">
        <f>IF(FT!A1207&lt;&gt;"",FT!A1207*10,"")</f>
        <v/>
      </c>
      <c r="G1207" s="61" t="str">
        <f>IF(FT!B1207&lt;&gt;"",FT!B1207*100,"")</f>
        <v/>
      </c>
      <c r="H1207" s="61" t="str">
        <f t="shared" si="48"/>
        <v/>
      </c>
      <c r="I1207" t="str">
        <f>IF(FT!B1207&lt;&gt;"",FT!E1207,"")</f>
        <v/>
      </c>
      <c r="J1207" t="str">
        <f>IF(FT!B1207&lt;&gt;"",FT!C1207,"")</f>
        <v/>
      </c>
    </row>
    <row r="1208" spans="5:10">
      <c r="E1208">
        <f t="shared" si="49"/>
        <v>1206</v>
      </c>
      <c r="F1208" s="61" t="str">
        <f>IF(FT!A1208&lt;&gt;"",FT!A1208*10,"")</f>
        <v/>
      </c>
      <c r="G1208" s="61" t="str">
        <f>IF(FT!B1208&lt;&gt;"",FT!B1208*100,"")</f>
        <v/>
      </c>
      <c r="H1208" s="61" t="str">
        <f t="shared" si="48"/>
        <v/>
      </c>
      <c r="I1208" t="str">
        <f>IF(FT!B1208&lt;&gt;"",FT!E1208,"")</f>
        <v/>
      </c>
      <c r="J1208" t="str">
        <f>IF(FT!B1208&lt;&gt;"",FT!C1208,"")</f>
        <v/>
      </c>
    </row>
    <row r="1209" spans="5:10">
      <c r="E1209">
        <f t="shared" si="49"/>
        <v>1207</v>
      </c>
      <c r="F1209" s="61" t="str">
        <f>IF(FT!A1209&lt;&gt;"",FT!A1209*10,"")</f>
        <v/>
      </c>
      <c r="G1209" s="61" t="str">
        <f>IF(FT!B1209&lt;&gt;"",FT!B1209*100,"")</f>
        <v/>
      </c>
      <c r="H1209" s="61" t="str">
        <f t="shared" si="48"/>
        <v/>
      </c>
      <c r="I1209" t="str">
        <f>IF(FT!B1209&lt;&gt;"",FT!E1209,"")</f>
        <v/>
      </c>
      <c r="J1209" t="str">
        <f>IF(FT!B1209&lt;&gt;"",FT!C1209,"")</f>
        <v/>
      </c>
    </row>
    <row r="1210" spans="5:10">
      <c r="E1210">
        <f t="shared" si="49"/>
        <v>1208</v>
      </c>
      <c r="F1210" s="61" t="str">
        <f>IF(FT!A1210&lt;&gt;"",FT!A1210*10,"")</f>
        <v/>
      </c>
      <c r="G1210" s="61" t="str">
        <f>IF(FT!B1210&lt;&gt;"",FT!B1210*100,"")</f>
        <v/>
      </c>
      <c r="H1210" s="61" t="str">
        <f t="shared" si="48"/>
        <v/>
      </c>
      <c r="I1210" t="str">
        <f>IF(FT!B1210&lt;&gt;"",FT!E1210,"")</f>
        <v/>
      </c>
      <c r="J1210" t="str">
        <f>IF(FT!B1210&lt;&gt;"",FT!C1210,"")</f>
        <v/>
      </c>
    </row>
    <row r="1211" spans="5:10">
      <c r="E1211">
        <f t="shared" si="49"/>
        <v>1209</v>
      </c>
      <c r="F1211" s="61" t="str">
        <f>IF(FT!A1211&lt;&gt;"",FT!A1211*10,"")</f>
        <v/>
      </c>
      <c r="G1211" s="61" t="str">
        <f>IF(FT!B1211&lt;&gt;"",FT!B1211*100,"")</f>
        <v/>
      </c>
      <c r="H1211" s="61" t="str">
        <f t="shared" si="48"/>
        <v/>
      </c>
      <c r="I1211" t="str">
        <f>IF(FT!B1211&lt;&gt;"",FT!E1211,"")</f>
        <v/>
      </c>
      <c r="J1211" t="str">
        <f>IF(FT!B1211&lt;&gt;"",FT!C1211,"")</f>
        <v/>
      </c>
    </row>
    <row r="1212" spans="5:10">
      <c r="E1212">
        <f t="shared" si="49"/>
        <v>1210</v>
      </c>
      <c r="F1212" s="61" t="str">
        <f>IF(FT!A1212&lt;&gt;"",FT!A1212*10,"")</f>
        <v/>
      </c>
      <c r="G1212" s="61" t="str">
        <f>IF(FT!B1212&lt;&gt;"",FT!B1212*100,"")</f>
        <v/>
      </c>
      <c r="H1212" s="61" t="str">
        <f t="shared" si="48"/>
        <v/>
      </c>
      <c r="I1212" t="str">
        <f>IF(FT!B1212&lt;&gt;"",FT!E1212,"")</f>
        <v/>
      </c>
      <c r="J1212" t="str">
        <f>IF(FT!B1212&lt;&gt;"",FT!C1212,"")</f>
        <v/>
      </c>
    </row>
    <row r="1213" spans="5:10">
      <c r="E1213">
        <f t="shared" si="49"/>
        <v>1211</v>
      </c>
      <c r="F1213" s="61" t="str">
        <f>IF(FT!A1213&lt;&gt;"",FT!A1213*10,"")</f>
        <v/>
      </c>
      <c r="G1213" s="61" t="str">
        <f>IF(FT!B1213&lt;&gt;"",FT!B1213*100,"")</f>
        <v/>
      </c>
      <c r="H1213" s="61" t="str">
        <f t="shared" si="48"/>
        <v/>
      </c>
      <c r="I1213" t="str">
        <f>IF(FT!B1213&lt;&gt;"",FT!E1213,"")</f>
        <v/>
      </c>
      <c r="J1213" t="str">
        <f>IF(FT!B1213&lt;&gt;"",FT!C1213,"")</f>
        <v/>
      </c>
    </row>
    <row r="1214" spans="5:10">
      <c r="E1214">
        <f t="shared" si="49"/>
        <v>1212</v>
      </c>
      <c r="F1214" s="61" t="str">
        <f>IF(FT!A1214&lt;&gt;"",FT!A1214*10,"")</f>
        <v/>
      </c>
      <c r="G1214" s="61" t="str">
        <f>IF(FT!B1214&lt;&gt;"",FT!B1214*100,"")</f>
        <v/>
      </c>
      <c r="H1214" s="61" t="str">
        <f t="shared" si="48"/>
        <v/>
      </c>
      <c r="I1214" t="str">
        <f>IF(FT!B1214&lt;&gt;"",FT!E1214,"")</f>
        <v/>
      </c>
      <c r="J1214" t="str">
        <f>IF(FT!B1214&lt;&gt;"",FT!C1214,"")</f>
        <v/>
      </c>
    </row>
    <row r="1215" spans="5:10">
      <c r="E1215">
        <f t="shared" si="49"/>
        <v>1213</v>
      </c>
      <c r="F1215" s="61" t="str">
        <f>IF(FT!A1215&lt;&gt;"",FT!A1215*10,"")</f>
        <v/>
      </c>
      <c r="G1215" s="61" t="str">
        <f>IF(FT!B1215&lt;&gt;"",FT!B1215*100,"")</f>
        <v/>
      </c>
      <c r="H1215" s="61" t="str">
        <f t="shared" si="48"/>
        <v/>
      </c>
      <c r="I1215" t="str">
        <f>IF(FT!B1215&lt;&gt;"",FT!E1215,"")</f>
        <v/>
      </c>
      <c r="J1215" t="str">
        <f>IF(FT!B1215&lt;&gt;"",FT!C1215,"")</f>
        <v/>
      </c>
    </row>
    <row r="1216" spans="5:10">
      <c r="E1216">
        <f t="shared" si="49"/>
        <v>1214</v>
      </c>
      <c r="F1216" s="61" t="str">
        <f>IF(FT!A1216&lt;&gt;"",FT!A1216*10,"")</f>
        <v/>
      </c>
      <c r="G1216" s="61" t="str">
        <f>IF(FT!B1216&lt;&gt;"",FT!B1216*100,"")</f>
        <v/>
      </c>
      <c r="H1216" s="61" t="str">
        <f t="shared" si="48"/>
        <v/>
      </c>
      <c r="I1216" t="str">
        <f>IF(FT!B1216&lt;&gt;"",FT!E1216,"")</f>
        <v/>
      </c>
      <c r="J1216" t="str">
        <f>IF(FT!B1216&lt;&gt;"",FT!C1216,"")</f>
        <v/>
      </c>
    </row>
    <row r="1217" spans="5:10">
      <c r="E1217">
        <f t="shared" si="49"/>
        <v>1215</v>
      </c>
      <c r="F1217" s="61" t="str">
        <f>IF(FT!A1217&lt;&gt;"",FT!A1217*10,"")</f>
        <v/>
      </c>
      <c r="G1217" s="61" t="str">
        <f>IF(FT!B1217&lt;&gt;"",FT!B1217*100,"")</f>
        <v/>
      </c>
      <c r="H1217" s="61" t="str">
        <f t="shared" si="48"/>
        <v/>
      </c>
      <c r="I1217" t="str">
        <f>IF(FT!B1217&lt;&gt;"",FT!E1217,"")</f>
        <v/>
      </c>
      <c r="J1217" t="str">
        <f>IF(FT!B1217&lt;&gt;"",FT!C1217,"")</f>
        <v/>
      </c>
    </row>
    <row r="1218" spans="5:10">
      <c r="E1218">
        <f t="shared" si="49"/>
        <v>1216</v>
      </c>
      <c r="F1218" s="61" t="str">
        <f>IF(FT!A1218&lt;&gt;"",FT!A1218*10,"")</f>
        <v/>
      </c>
      <c r="G1218" s="61" t="str">
        <f>IF(FT!B1218&lt;&gt;"",FT!B1218*100,"")</f>
        <v/>
      </c>
      <c r="H1218" s="61" t="str">
        <f t="shared" si="48"/>
        <v/>
      </c>
      <c r="I1218" t="str">
        <f>IF(FT!B1218&lt;&gt;"",FT!E1218,"")</f>
        <v/>
      </c>
      <c r="J1218" t="str">
        <f>IF(FT!B1218&lt;&gt;"",FT!C1218,"")</f>
        <v/>
      </c>
    </row>
    <row r="1219" spans="5:10">
      <c r="E1219">
        <f t="shared" si="49"/>
        <v>1217</v>
      </c>
      <c r="F1219" s="61" t="str">
        <f>IF(FT!A1219&lt;&gt;"",FT!A1219*10,"")</f>
        <v/>
      </c>
      <c r="G1219" s="61" t="str">
        <f>IF(FT!B1219&lt;&gt;"",FT!B1219*100,"")</f>
        <v/>
      </c>
      <c r="H1219" s="61" t="str">
        <f t="shared" ref="H1219:H1282" si="50">(IF(F1219&lt;&gt;"",1,""))</f>
        <v/>
      </c>
      <c r="I1219" t="str">
        <f>IF(FT!B1219&lt;&gt;"",FT!E1219,"")</f>
        <v/>
      </c>
      <c r="J1219" t="str">
        <f>IF(FT!B1219&lt;&gt;"",FT!C1219,"")</f>
        <v/>
      </c>
    </row>
    <row r="1220" spans="5:10">
      <c r="E1220">
        <f t="shared" ref="E1220:E1283" si="51">E1219+1</f>
        <v>1218</v>
      </c>
      <c r="F1220" s="61" t="str">
        <f>IF(FT!A1220&lt;&gt;"",FT!A1220*10,"")</f>
        <v/>
      </c>
      <c r="G1220" s="61" t="str">
        <f>IF(FT!B1220&lt;&gt;"",FT!B1220*100,"")</f>
        <v/>
      </c>
      <c r="H1220" s="61" t="str">
        <f t="shared" si="50"/>
        <v/>
      </c>
      <c r="I1220" t="str">
        <f>IF(FT!B1220&lt;&gt;"",FT!E1220,"")</f>
        <v/>
      </c>
      <c r="J1220" t="str">
        <f>IF(FT!B1220&lt;&gt;"",FT!C1220,"")</f>
        <v/>
      </c>
    </row>
    <row r="1221" spans="5:10">
      <c r="E1221">
        <f t="shared" si="51"/>
        <v>1219</v>
      </c>
      <c r="F1221" s="61" t="str">
        <f>IF(FT!A1221&lt;&gt;"",FT!A1221*10,"")</f>
        <v/>
      </c>
      <c r="G1221" s="61" t="str">
        <f>IF(FT!B1221&lt;&gt;"",FT!B1221*100,"")</f>
        <v/>
      </c>
      <c r="H1221" s="61" t="str">
        <f t="shared" si="50"/>
        <v/>
      </c>
      <c r="I1221" t="str">
        <f>IF(FT!B1221&lt;&gt;"",FT!E1221,"")</f>
        <v/>
      </c>
      <c r="J1221" t="str">
        <f>IF(FT!B1221&lt;&gt;"",FT!C1221,"")</f>
        <v/>
      </c>
    </row>
    <row r="1222" spans="5:10">
      <c r="E1222">
        <f t="shared" si="51"/>
        <v>1220</v>
      </c>
      <c r="F1222" s="61" t="str">
        <f>IF(FT!A1222&lt;&gt;"",FT!A1222*10,"")</f>
        <v/>
      </c>
      <c r="G1222" s="61" t="str">
        <f>IF(FT!B1222&lt;&gt;"",FT!B1222*100,"")</f>
        <v/>
      </c>
      <c r="H1222" s="61" t="str">
        <f t="shared" si="50"/>
        <v/>
      </c>
      <c r="I1222" t="str">
        <f>IF(FT!B1222&lt;&gt;"",FT!E1222,"")</f>
        <v/>
      </c>
      <c r="J1222" t="str">
        <f>IF(FT!B1222&lt;&gt;"",FT!C1222,"")</f>
        <v/>
      </c>
    </row>
    <row r="1223" spans="5:10">
      <c r="E1223">
        <f t="shared" si="51"/>
        <v>1221</v>
      </c>
      <c r="F1223" s="61" t="str">
        <f>IF(FT!A1223&lt;&gt;"",FT!A1223*10,"")</f>
        <v/>
      </c>
      <c r="G1223" s="61" t="str">
        <f>IF(FT!B1223&lt;&gt;"",FT!B1223*100,"")</f>
        <v/>
      </c>
      <c r="H1223" s="61" t="str">
        <f t="shared" si="50"/>
        <v/>
      </c>
      <c r="I1223" t="str">
        <f>IF(FT!B1223&lt;&gt;"",FT!E1223,"")</f>
        <v/>
      </c>
      <c r="J1223" t="str">
        <f>IF(FT!B1223&lt;&gt;"",FT!C1223,"")</f>
        <v/>
      </c>
    </row>
    <row r="1224" spans="5:10">
      <c r="E1224">
        <f t="shared" si="51"/>
        <v>1222</v>
      </c>
      <c r="F1224" s="61" t="str">
        <f>IF(FT!A1224&lt;&gt;"",FT!A1224*10,"")</f>
        <v/>
      </c>
      <c r="G1224" s="61" t="str">
        <f>IF(FT!B1224&lt;&gt;"",FT!B1224*100,"")</f>
        <v/>
      </c>
      <c r="H1224" s="61" t="str">
        <f t="shared" si="50"/>
        <v/>
      </c>
      <c r="I1224" t="str">
        <f>IF(FT!B1224&lt;&gt;"",FT!E1224,"")</f>
        <v/>
      </c>
      <c r="J1224" t="str">
        <f>IF(FT!B1224&lt;&gt;"",FT!C1224,"")</f>
        <v/>
      </c>
    </row>
    <row r="1225" spans="5:10">
      <c r="E1225">
        <f t="shared" si="51"/>
        <v>1223</v>
      </c>
      <c r="F1225" s="61" t="str">
        <f>IF(FT!A1225&lt;&gt;"",FT!A1225*10,"")</f>
        <v/>
      </c>
      <c r="G1225" s="61" t="str">
        <f>IF(FT!B1225&lt;&gt;"",FT!B1225*100,"")</f>
        <v/>
      </c>
      <c r="H1225" s="61" t="str">
        <f t="shared" si="50"/>
        <v/>
      </c>
      <c r="I1225" t="str">
        <f>IF(FT!B1225&lt;&gt;"",FT!E1225,"")</f>
        <v/>
      </c>
      <c r="J1225" t="str">
        <f>IF(FT!B1225&lt;&gt;"",FT!C1225,"")</f>
        <v/>
      </c>
    </row>
    <row r="1226" spans="5:10">
      <c r="E1226">
        <f t="shared" si="51"/>
        <v>1224</v>
      </c>
      <c r="F1226" s="61" t="str">
        <f>IF(FT!A1226&lt;&gt;"",FT!A1226*10,"")</f>
        <v/>
      </c>
      <c r="G1226" s="61" t="str">
        <f>IF(FT!B1226&lt;&gt;"",FT!B1226*100,"")</f>
        <v/>
      </c>
      <c r="H1226" s="61" t="str">
        <f t="shared" si="50"/>
        <v/>
      </c>
      <c r="I1226" t="str">
        <f>IF(FT!B1226&lt;&gt;"",FT!E1226,"")</f>
        <v/>
      </c>
      <c r="J1226" t="str">
        <f>IF(FT!B1226&lt;&gt;"",FT!C1226,"")</f>
        <v/>
      </c>
    </row>
    <row r="1227" spans="5:10">
      <c r="E1227">
        <f t="shared" si="51"/>
        <v>1225</v>
      </c>
      <c r="F1227" s="61" t="str">
        <f>IF(FT!A1227&lt;&gt;"",FT!A1227*10,"")</f>
        <v/>
      </c>
      <c r="G1227" s="61" t="str">
        <f>IF(FT!B1227&lt;&gt;"",FT!B1227*100,"")</f>
        <v/>
      </c>
      <c r="H1227" s="61" t="str">
        <f t="shared" si="50"/>
        <v/>
      </c>
      <c r="I1227" t="str">
        <f>IF(FT!B1227&lt;&gt;"",FT!E1227,"")</f>
        <v/>
      </c>
      <c r="J1227" t="str">
        <f>IF(FT!B1227&lt;&gt;"",FT!C1227,"")</f>
        <v/>
      </c>
    </row>
    <row r="1228" spans="5:10">
      <c r="E1228">
        <f t="shared" si="51"/>
        <v>1226</v>
      </c>
      <c r="F1228" s="61" t="str">
        <f>IF(FT!A1228&lt;&gt;"",FT!A1228*10,"")</f>
        <v/>
      </c>
      <c r="G1228" s="61" t="str">
        <f>IF(FT!B1228&lt;&gt;"",FT!B1228*100,"")</f>
        <v/>
      </c>
      <c r="H1228" s="61" t="str">
        <f t="shared" si="50"/>
        <v/>
      </c>
      <c r="I1228" t="str">
        <f>IF(FT!B1228&lt;&gt;"",FT!E1228,"")</f>
        <v/>
      </c>
      <c r="J1228" t="str">
        <f>IF(FT!B1228&lt;&gt;"",FT!C1228,"")</f>
        <v/>
      </c>
    </row>
    <row r="1229" spans="5:10">
      <c r="E1229">
        <f t="shared" si="51"/>
        <v>1227</v>
      </c>
      <c r="F1229" s="61" t="str">
        <f>IF(FT!A1229&lt;&gt;"",FT!A1229*10,"")</f>
        <v/>
      </c>
      <c r="G1229" s="61" t="str">
        <f>IF(FT!B1229&lt;&gt;"",FT!B1229*100,"")</f>
        <v/>
      </c>
      <c r="H1229" s="61" t="str">
        <f t="shared" si="50"/>
        <v/>
      </c>
      <c r="I1229" t="str">
        <f>IF(FT!B1229&lt;&gt;"",FT!E1229,"")</f>
        <v/>
      </c>
      <c r="J1229" t="str">
        <f>IF(FT!B1229&lt;&gt;"",FT!C1229,"")</f>
        <v/>
      </c>
    </row>
    <row r="1230" spans="5:10">
      <c r="E1230">
        <f t="shared" si="51"/>
        <v>1228</v>
      </c>
      <c r="F1230" s="61" t="str">
        <f>IF(FT!A1230&lt;&gt;"",FT!A1230*10,"")</f>
        <v/>
      </c>
      <c r="G1230" s="61" t="str">
        <f>IF(FT!B1230&lt;&gt;"",FT!B1230*100,"")</f>
        <v/>
      </c>
      <c r="H1230" s="61" t="str">
        <f t="shared" si="50"/>
        <v/>
      </c>
      <c r="I1230" t="str">
        <f>IF(FT!B1230&lt;&gt;"",FT!E1230,"")</f>
        <v/>
      </c>
      <c r="J1230" t="str">
        <f>IF(FT!B1230&lt;&gt;"",FT!C1230,"")</f>
        <v/>
      </c>
    </row>
    <row r="1231" spans="5:10">
      <c r="E1231">
        <f t="shared" si="51"/>
        <v>1229</v>
      </c>
      <c r="F1231" s="61" t="str">
        <f>IF(FT!A1231&lt;&gt;"",FT!A1231*10,"")</f>
        <v/>
      </c>
      <c r="G1231" s="61" t="str">
        <f>IF(FT!B1231&lt;&gt;"",FT!B1231*100,"")</f>
        <v/>
      </c>
      <c r="H1231" s="61" t="str">
        <f t="shared" si="50"/>
        <v/>
      </c>
      <c r="I1231" t="str">
        <f>IF(FT!B1231&lt;&gt;"",FT!E1231,"")</f>
        <v/>
      </c>
      <c r="J1231" t="str">
        <f>IF(FT!B1231&lt;&gt;"",FT!C1231,"")</f>
        <v/>
      </c>
    </row>
    <row r="1232" spans="5:10">
      <c r="E1232">
        <f t="shared" si="51"/>
        <v>1230</v>
      </c>
      <c r="F1232" s="61" t="str">
        <f>IF(FT!A1232&lt;&gt;"",FT!A1232*10,"")</f>
        <v/>
      </c>
      <c r="G1232" s="61" t="str">
        <f>IF(FT!B1232&lt;&gt;"",FT!B1232*100,"")</f>
        <v/>
      </c>
      <c r="H1232" s="61" t="str">
        <f t="shared" si="50"/>
        <v/>
      </c>
      <c r="I1232" t="str">
        <f>IF(FT!B1232&lt;&gt;"",FT!E1232,"")</f>
        <v/>
      </c>
      <c r="J1232" t="str">
        <f>IF(FT!B1232&lt;&gt;"",FT!C1232,"")</f>
        <v/>
      </c>
    </row>
    <row r="1233" spans="5:10">
      <c r="E1233">
        <f t="shared" si="51"/>
        <v>1231</v>
      </c>
      <c r="F1233" s="61" t="str">
        <f>IF(FT!A1233&lt;&gt;"",FT!A1233*10,"")</f>
        <v/>
      </c>
      <c r="G1233" s="61" t="str">
        <f>IF(FT!B1233&lt;&gt;"",FT!B1233*100,"")</f>
        <v/>
      </c>
      <c r="H1233" s="61" t="str">
        <f t="shared" si="50"/>
        <v/>
      </c>
      <c r="I1233" t="str">
        <f>IF(FT!B1233&lt;&gt;"",FT!E1233,"")</f>
        <v/>
      </c>
      <c r="J1233" t="str">
        <f>IF(FT!B1233&lt;&gt;"",FT!C1233,"")</f>
        <v/>
      </c>
    </row>
    <row r="1234" spans="5:10">
      <c r="E1234">
        <f t="shared" si="51"/>
        <v>1232</v>
      </c>
      <c r="F1234" s="61" t="str">
        <f>IF(FT!A1234&lt;&gt;"",FT!A1234*10,"")</f>
        <v/>
      </c>
      <c r="G1234" s="61" t="str">
        <f>IF(FT!B1234&lt;&gt;"",FT!B1234*100,"")</f>
        <v/>
      </c>
      <c r="H1234" s="61" t="str">
        <f t="shared" si="50"/>
        <v/>
      </c>
      <c r="I1234" t="str">
        <f>IF(FT!B1234&lt;&gt;"",FT!E1234,"")</f>
        <v/>
      </c>
      <c r="J1234" t="str">
        <f>IF(FT!B1234&lt;&gt;"",FT!C1234,"")</f>
        <v/>
      </c>
    </row>
    <row r="1235" spans="5:10">
      <c r="E1235">
        <f t="shared" si="51"/>
        <v>1233</v>
      </c>
      <c r="F1235" s="61" t="str">
        <f>IF(FT!A1235&lt;&gt;"",FT!A1235*10,"")</f>
        <v/>
      </c>
      <c r="G1235" s="61" t="str">
        <f>IF(FT!B1235&lt;&gt;"",FT!B1235*100,"")</f>
        <v/>
      </c>
      <c r="H1235" s="61" t="str">
        <f t="shared" si="50"/>
        <v/>
      </c>
      <c r="I1235" t="str">
        <f>IF(FT!B1235&lt;&gt;"",FT!E1235,"")</f>
        <v/>
      </c>
      <c r="J1235" t="str">
        <f>IF(FT!B1235&lt;&gt;"",FT!C1235,"")</f>
        <v/>
      </c>
    </row>
    <row r="1236" spans="5:10">
      <c r="E1236">
        <f t="shared" si="51"/>
        <v>1234</v>
      </c>
      <c r="F1236" s="61" t="str">
        <f>IF(FT!A1236&lt;&gt;"",FT!A1236*10,"")</f>
        <v/>
      </c>
      <c r="G1236" s="61" t="str">
        <f>IF(FT!B1236&lt;&gt;"",FT!B1236*100,"")</f>
        <v/>
      </c>
      <c r="H1236" s="61" t="str">
        <f t="shared" si="50"/>
        <v/>
      </c>
      <c r="I1236" t="str">
        <f>IF(FT!B1236&lt;&gt;"",FT!E1236,"")</f>
        <v/>
      </c>
      <c r="J1236" t="str">
        <f>IF(FT!B1236&lt;&gt;"",FT!C1236,"")</f>
        <v/>
      </c>
    </row>
    <row r="1237" spans="5:10">
      <c r="E1237">
        <f t="shared" si="51"/>
        <v>1235</v>
      </c>
      <c r="F1237" s="61" t="str">
        <f>IF(FT!A1237&lt;&gt;"",FT!A1237*10,"")</f>
        <v/>
      </c>
      <c r="G1237" s="61" t="str">
        <f>IF(FT!B1237&lt;&gt;"",FT!B1237*100,"")</f>
        <v/>
      </c>
      <c r="H1237" s="61" t="str">
        <f t="shared" si="50"/>
        <v/>
      </c>
      <c r="I1237" t="str">
        <f>IF(FT!B1237&lt;&gt;"",FT!E1237,"")</f>
        <v/>
      </c>
      <c r="J1237" t="str">
        <f>IF(FT!B1237&lt;&gt;"",FT!C1237,"")</f>
        <v/>
      </c>
    </row>
    <row r="1238" spans="5:10">
      <c r="E1238">
        <f t="shared" si="51"/>
        <v>1236</v>
      </c>
      <c r="F1238" s="61" t="str">
        <f>IF(FT!A1238&lt;&gt;"",FT!A1238*10,"")</f>
        <v/>
      </c>
      <c r="G1238" s="61" t="str">
        <f>IF(FT!B1238&lt;&gt;"",FT!B1238*100,"")</f>
        <v/>
      </c>
      <c r="H1238" s="61" t="str">
        <f t="shared" si="50"/>
        <v/>
      </c>
      <c r="I1238" t="str">
        <f>IF(FT!B1238&lt;&gt;"",FT!E1238,"")</f>
        <v/>
      </c>
      <c r="J1238" t="str">
        <f>IF(FT!B1238&lt;&gt;"",FT!C1238,"")</f>
        <v/>
      </c>
    </row>
    <row r="1239" spans="5:10">
      <c r="E1239">
        <f t="shared" si="51"/>
        <v>1237</v>
      </c>
      <c r="F1239" s="61" t="str">
        <f>IF(FT!A1239&lt;&gt;"",FT!A1239*10,"")</f>
        <v/>
      </c>
      <c r="G1239" s="61" t="str">
        <f>IF(FT!B1239&lt;&gt;"",FT!B1239*100,"")</f>
        <v/>
      </c>
      <c r="H1239" s="61" t="str">
        <f t="shared" si="50"/>
        <v/>
      </c>
      <c r="I1239" t="str">
        <f>IF(FT!B1239&lt;&gt;"",FT!E1239,"")</f>
        <v/>
      </c>
      <c r="J1239" t="str">
        <f>IF(FT!B1239&lt;&gt;"",FT!C1239,"")</f>
        <v/>
      </c>
    </row>
    <row r="1240" spans="5:10">
      <c r="E1240">
        <f t="shared" si="51"/>
        <v>1238</v>
      </c>
      <c r="F1240" s="61" t="str">
        <f>IF(FT!A1240&lt;&gt;"",FT!A1240*10,"")</f>
        <v/>
      </c>
      <c r="G1240" s="61" t="str">
        <f>IF(FT!B1240&lt;&gt;"",FT!B1240*100,"")</f>
        <v/>
      </c>
      <c r="H1240" s="61" t="str">
        <f t="shared" si="50"/>
        <v/>
      </c>
      <c r="I1240" t="str">
        <f>IF(FT!B1240&lt;&gt;"",FT!E1240,"")</f>
        <v/>
      </c>
      <c r="J1240" t="str">
        <f>IF(FT!B1240&lt;&gt;"",FT!C1240,"")</f>
        <v/>
      </c>
    </row>
    <row r="1241" spans="5:10">
      <c r="E1241">
        <f t="shared" si="51"/>
        <v>1239</v>
      </c>
      <c r="F1241" s="61" t="str">
        <f>IF(FT!A1241&lt;&gt;"",FT!A1241*10,"")</f>
        <v/>
      </c>
      <c r="G1241" s="61" t="str">
        <f>IF(FT!B1241&lt;&gt;"",FT!B1241*100,"")</f>
        <v/>
      </c>
      <c r="H1241" s="61" t="str">
        <f t="shared" si="50"/>
        <v/>
      </c>
      <c r="I1241" t="str">
        <f>IF(FT!B1241&lt;&gt;"",FT!E1241,"")</f>
        <v/>
      </c>
      <c r="J1241" t="str">
        <f>IF(FT!B1241&lt;&gt;"",FT!C1241,"")</f>
        <v/>
      </c>
    </row>
    <row r="1242" spans="5:10">
      <c r="E1242">
        <f t="shared" si="51"/>
        <v>1240</v>
      </c>
      <c r="F1242" s="61" t="str">
        <f>IF(FT!A1242&lt;&gt;"",FT!A1242*10,"")</f>
        <v/>
      </c>
      <c r="G1242" s="61" t="str">
        <f>IF(FT!B1242&lt;&gt;"",FT!B1242*100,"")</f>
        <v/>
      </c>
      <c r="H1242" s="61" t="str">
        <f t="shared" si="50"/>
        <v/>
      </c>
      <c r="I1242" t="str">
        <f>IF(FT!B1242&lt;&gt;"",FT!E1242,"")</f>
        <v/>
      </c>
      <c r="J1242" t="str">
        <f>IF(FT!B1242&lt;&gt;"",FT!C1242,"")</f>
        <v/>
      </c>
    </row>
    <row r="1243" spans="5:10">
      <c r="E1243">
        <f t="shared" si="51"/>
        <v>1241</v>
      </c>
      <c r="F1243" s="61" t="str">
        <f>IF(FT!A1243&lt;&gt;"",FT!A1243*10,"")</f>
        <v/>
      </c>
      <c r="G1243" s="61" t="str">
        <f>IF(FT!B1243&lt;&gt;"",FT!B1243*100,"")</f>
        <v/>
      </c>
      <c r="H1243" s="61" t="str">
        <f t="shared" si="50"/>
        <v/>
      </c>
      <c r="I1243" t="str">
        <f>IF(FT!B1243&lt;&gt;"",FT!E1243,"")</f>
        <v/>
      </c>
      <c r="J1243" t="str">
        <f>IF(FT!B1243&lt;&gt;"",FT!C1243,"")</f>
        <v/>
      </c>
    </row>
    <row r="1244" spans="5:10">
      <c r="E1244">
        <f t="shared" si="51"/>
        <v>1242</v>
      </c>
      <c r="F1244" s="61" t="str">
        <f>IF(FT!A1244&lt;&gt;"",FT!A1244*10,"")</f>
        <v/>
      </c>
      <c r="G1244" s="61" t="str">
        <f>IF(FT!B1244&lt;&gt;"",FT!B1244*100,"")</f>
        <v/>
      </c>
      <c r="H1244" s="61" t="str">
        <f t="shared" si="50"/>
        <v/>
      </c>
      <c r="I1244" t="str">
        <f>IF(FT!B1244&lt;&gt;"",FT!E1244,"")</f>
        <v/>
      </c>
      <c r="J1244" t="str">
        <f>IF(FT!B1244&lt;&gt;"",FT!C1244,"")</f>
        <v/>
      </c>
    </row>
    <row r="1245" spans="5:10">
      <c r="E1245">
        <f t="shared" si="51"/>
        <v>1243</v>
      </c>
      <c r="F1245" s="61" t="str">
        <f>IF(FT!A1245&lt;&gt;"",FT!A1245*10,"")</f>
        <v/>
      </c>
      <c r="G1245" s="61" t="str">
        <f>IF(FT!B1245&lt;&gt;"",FT!B1245*100,"")</f>
        <v/>
      </c>
      <c r="H1245" s="61" t="str">
        <f t="shared" si="50"/>
        <v/>
      </c>
      <c r="I1245" t="str">
        <f>IF(FT!B1245&lt;&gt;"",FT!E1245,"")</f>
        <v/>
      </c>
      <c r="J1245" t="str">
        <f>IF(FT!B1245&lt;&gt;"",FT!C1245,"")</f>
        <v/>
      </c>
    </row>
    <row r="1246" spans="5:10">
      <c r="E1246">
        <f t="shared" si="51"/>
        <v>1244</v>
      </c>
      <c r="F1246" s="61" t="str">
        <f>IF(FT!A1246&lt;&gt;"",FT!A1246*10,"")</f>
        <v/>
      </c>
      <c r="G1246" s="61" t="str">
        <f>IF(FT!B1246&lt;&gt;"",FT!B1246*100,"")</f>
        <v/>
      </c>
      <c r="H1246" s="61" t="str">
        <f t="shared" si="50"/>
        <v/>
      </c>
      <c r="I1246" t="str">
        <f>IF(FT!B1246&lt;&gt;"",FT!E1246,"")</f>
        <v/>
      </c>
      <c r="J1246" t="str">
        <f>IF(FT!B1246&lt;&gt;"",FT!C1246,"")</f>
        <v/>
      </c>
    </row>
    <row r="1247" spans="5:10">
      <c r="E1247">
        <f t="shared" si="51"/>
        <v>1245</v>
      </c>
      <c r="F1247" s="61" t="str">
        <f>IF(FT!A1247&lt;&gt;"",FT!A1247*10,"")</f>
        <v/>
      </c>
      <c r="G1247" s="61" t="str">
        <f>IF(FT!B1247&lt;&gt;"",FT!B1247*100,"")</f>
        <v/>
      </c>
      <c r="H1247" s="61" t="str">
        <f t="shared" si="50"/>
        <v/>
      </c>
      <c r="I1247" t="str">
        <f>IF(FT!B1247&lt;&gt;"",FT!E1247,"")</f>
        <v/>
      </c>
      <c r="J1247" t="str">
        <f>IF(FT!B1247&lt;&gt;"",FT!C1247,"")</f>
        <v/>
      </c>
    </row>
    <row r="1248" spans="5:10">
      <c r="E1248">
        <f t="shared" si="51"/>
        <v>1246</v>
      </c>
      <c r="F1248" s="61" t="str">
        <f>IF(FT!A1248&lt;&gt;"",FT!A1248*10,"")</f>
        <v/>
      </c>
      <c r="G1248" s="61" t="str">
        <f>IF(FT!B1248&lt;&gt;"",FT!B1248*100,"")</f>
        <v/>
      </c>
      <c r="H1248" s="61" t="str">
        <f t="shared" si="50"/>
        <v/>
      </c>
      <c r="I1248" t="str">
        <f>IF(FT!B1248&lt;&gt;"",FT!E1248,"")</f>
        <v/>
      </c>
      <c r="J1248" t="str">
        <f>IF(FT!B1248&lt;&gt;"",FT!C1248,"")</f>
        <v/>
      </c>
    </row>
    <row r="1249" spans="5:10">
      <c r="E1249">
        <f t="shared" si="51"/>
        <v>1247</v>
      </c>
      <c r="F1249" s="61" t="str">
        <f>IF(FT!A1249&lt;&gt;"",FT!A1249*10,"")</f>
        <v/>
      </c>
      <c r="G1249" s="61" t="str">
        <f>IF(FT!B1249&lt;&gt;"",FT!B1249*100,"")</f>
        <v/>
      </c>
      <c r="H1249" s="61" t="str">
        <f t="shared" si="50"/>
        <v/>
      </c>
      <c r="I1249" t="str">
        <f>IF(FT!B1249&lt;&gt;"",FT!E1249,"")</f>
        <v/>
      </c>
      <c r="J1249" t="str">
        <f>IF(FT!B1249&lt;&gt;"",FT!C1249,"")</f>
        <v/>
      </c>
    </row>
    <row r="1250" spans="5:10">
      <c r="E1250">
        <f t="shared" si="51"/>
        <v>1248</v>
      </c>
      <c r="F1250" s="61" t="str">
        <f>IF(FT!A1250&lt;&gt;"",FT!A1250*10,"")</f>
        <v/>
      </c>
      <c r="G1250" s="61" t="str">
        <f>IF(FT!B1250&lt;&gt;"",FT!B1250*100,"")</f>
        <v/>
      </c>
      <c r="H1250" s="61" t="str">
        <f t="shared" si="50"/>
        <v/>
      </c>
      <c r="I1250" t="str">
        <f>IF(FT!B1250&lt;&gt;"",FT!E1250,"")</f>
        <v/>
      </c>
      <c r="J1250" t="str">
        <f>IF(FT!B1250&lt;&gt;"",FT!C1250,"")</f>
        <v/>
      </c>
    </row>
    <row r="1251" spans="5:10">
      <c r="E1251">
        <f t="shared" si="51"/>
        <v>1249</v>
      </c>
      <c r="F1251" s="61" t="str">
        <f>IF(FT!A1251&lt;&gt;"",FT!A1251*10,"")</f>
        <v/>
      </c>
      <c r="G1251" s="61" t="str">
        <f>IF(FT!B1251&lt;&gt;"",FT!B1251*100,"")</f>
        <v/>
      </c>
      <c r="H1251" s="61" t="str">
        <f t="shared" si="50"/>
        <v/>
      </c>
      <c r="I1251" t="str">
        <f>IF(FT!B1251&lt;&gt;"",FT!E1251,"")</f>
        <v/>
      </c>
      <c r="J1251" t="str">
        <f>IF(FT!B1251&lt;&gt;"",FT!C1251,"")</f>
        <v/>
      </c>
    </row>
    <row r="1252" spans="5:10">
      <c r="E1252">
        <f t="shared" si="51"/>
        <v>1250</v>
      </c>
      <c r="F1252" s="61" t="str">
        <f>IF(FT!A1252&lt;&gt;"",FT!A1252*10,"")</f>
        <v/>
      </c>
      <c r="G1252" s="61" t="str">
        <f>IF(FT!B1252&lt;&gt;"",FT!B1252*100,"")</f>
        <v/>
      </c>
      <c r="H1252" s="61" t="str">
        <f t="shared" si="50"/>
        <v/>
      </c>
      <c r="I1252" t="str">
        <f>IF(FT!B1252&lt;&gt;"",FT!E1252,"")</f>
        <v/>
      </c>
      <c r="J1252" t="str">
        <f>IF(FT!B1252&lt;&gt;"",FT!C1252,"")</f>
        <v/>
      </c>
    </row>
    <row r="1253" spans="5:10">
      <c r="E1253">
        <f t="shared" si="51"/>
        <v>1251</v>
      </c>
      <c r="F1253" s="61" t="str">
        <f>IF(FT!A1253&lt;&gt;"",FT!A1253*10,"")</f>
        <v/>
      </c>
      <c r="G1253" s="61" t="str">
        <f>IF(FT!B1253&lt;&gt;"",FT!B1253*100,"")</f>
        <v/>
      </c>
      <c r="H1253" s="61" t="str">
        <f t="shared" si="50"/>
        <v/>
      </c>
      <c r="I1253" t="str">
        <f>IF(FT!B1253&lt;&gt;"",FT!E1253,"")</f>
        <v/>
      </c>
      <c r="J1253" t="str">
        <f>IF(FT!B1253&lt;&gt;"",FT!C1253,"")</f>
        <v/>
      </c>
    </row>
    <row r="1254" spans="5:10">
      <c r="E1254">
        <f t="shared" si="51"/>
        <v>1252</v>
      </c>
      <c r="F1254" s="61" t="str">
        <f>IF(FT!A1254&lt;&gt;"",FT!A1254*10,"")</f>
        <v/>
      </c>
      <c r="G1254" s="61" t="str">
        <f>IF(FT!B1254&lt;&gt;"",FT!B1254*100,"")</f>
        <v/>
      </c>
      <c r="H1254" s="61" t="str">
        <f t="shared" si="50"/>
        <v/>
      </c>
      <c r="I1254" t="str">
        <f>IF(FT!B1254&lt;&gt;"",FT!E1254,"")</f>
        <v/>
      </c>
      <c r="J1254" t="str">
        <f>IF(FT!B1254&lt;&gt;"",FT!C1254,"")</f>
        <v/>
      </c>
    </row>
    <row r="1255" spans="5:10">
      <c r="E1255">
        <f t="shared" si="51"/>
        <v>1253</v>
      </c>
      <c r="F1255" s="61" t="str">
        <f>IF(FT!A1255&lt;&gt;"",FT!A1255*10,"")</f>
        <v/>
      </c>
      <c r="G1255" s="61" t="str">
        <f>IF(FT!B1255&lt;&gt;"",FT!B1255*100,"")</f>
        <v/>
      </c>
      <c r="H1255" s="61" t="str">
        <f t="shared" si="50"/>
        <v/>
      </c>
      <c r="I1255" t="str">
        <f>IF(FT!B1255&lt;&gt;"",FT!E1255,"")</f>
        <v/>
      </c>
      <c r="J1255" t="str">
        <f>IF(FT!B1255&lt;&gt;"",FT!C1255,"")</f>
        <v/>
      </c>
    </row>
    <row r="1256" spans="5:10">
      <c r="E1256">
        <f t="shared" si="51"/>
        <v>1254</v>
      </c>
      <c r="F1256" s="61" t="str">
        <f>IF(FT!A1256&lt;&gt;"",FT!A1256*10,"")</f>
        <v/>
      </c>
      <c r="G1256" s="61" t="str">
        <f>IF(FT!B1256&lt;&gt;"",FT!B1256*100,"")</f>
        <v/>
      </c>
      <c r="H1256" s="61" t="str">
        <f t="shared" si="50"/>
        <v/>
      </c>
      <c r="I1256" t="str">
        <f>IF(FT!B1256&lt;&gt;"",FT!E1256,"")</f>
        <v/>
      </c>
      <c r="J1256" t="str">
        <f>IF(FT!B1256&lt;&gt;"",FT!C1256,"")</f>
        <v/>
      </c>
    </row>
    <row r="1257" spans="5:10">
      <c r="E1257">
        <f t="shared" si="51"/>
        <v>1255</v>
      </c>
      <c r="F1257" s="61" t="str">
        <f>IF(FT!A1257&lt;&gt;"",FT!A1257*10,"")</f>
        <v/>
      </c>
      <c r="G1257" s="61" t="str">
        <f>IF(FT!B1257&lt;&gt;"",FT!B1257*100,"")</f>
        <v/>
      </c>
      <c r="H1257" s="61" t="str">
        <f t="shared" si="50"/>
        <v/>
      </c>
      <c r="I1257" t="str">
        <f>IF(FT!B1257&lt;&gt;"",FT!E1257,"")</f>
        <v/>
      </c>
      <c r="J1257" t="str">
        <f>IF(FT!B1257&lt;&gt;"",FT!C1257,"")</f>
        <v/>
      </c>
    </row>
    <row r="1258" spans="5:10">
      <c r="E1258">
        <f t="shared" si="51"/>
        <v>1256</v>
      </c>
      <c r="F1258" s="61" t="str">
        <f>IF(FT!A1258&lt;&gt;"",FT!A1258*10,"")</f>
        <v/>
      </c>
      <c r="G1258" s="61" t="str">
        <f>IF(FT!B1258&lt;&gt;"",FT!B1258*100,"")</f>
        <v/>
      </c>
      <c r="H1258" s="61" t="str">
        <f t="shared" si="50"/>
        <v/>
      </c>
      <c r="I1258" t="str">
        <f>IF(FT!B1258&lt;&gt;"",FT!E1258,"")</f>
        <v/>
      </c>
      <c r="J1258" t="str">
        <f>IF(FT!B1258&lt;&gt;"",FT!C1258,"")</f>
        <v/>
      </c>
    </row>
    <row r="1259" spans="5:10">
      <c r="E1259">
        <f t="shared" si="51"/>
        <v>1257</v>
      </c>
      <c r="F1259" s="61" t="str">
        <f>IF(FT!A1259&lt;&gt;"",FT!A1259*10,"")</f>
        <v/>
      </c>
      <c r="G1259" s="61" t="str">
        <f>IF(FT!B1259&lt;&gt;"",FT!B1259*100,"")</f>
        <v/>
      </c>
      <c r="H1259" s="61" t="str">
        <f t="shared" si="50"/>
        <v/>
      </c>
      <c r="I1259" t="str">
        <f>IF(FT!B1259&lt;&gt;"",FT!E1259,"")</f>
        <v/>
      </c>
      <c r="J1259" t="str">
        <f>IF(FT!B1259&lt;&gt;"",FT!C1259,"")</f>
        <v/>
      </c>
    </row>
    <row r="1260" spans="5:10">
      <c r="E1260">
        <f t="shared" si="51"/>
        <v>1258</v>
      </c>
      <c r="F1260" s="61" t="str">
        <f>IF(FT!A1260&lt;&gt;"",FT!A1260*10,"")</f>
        <v/>
      </c>
      <c r="G1260" s="61" t="str">
        <f>IF(FT!B1260&lt;&gt;"",FT!B1260*100,"")</f>
        <v/>
      </c>
      <c r="H1260" s="61" t="str">
        <f t="shared" si="50"/>
        <v/>
      </c>
      <c r="I1260" t="str">
        <f>IF(FT!B1260&lt;&gt;"",FT!E1260,"")</f>
        <v/>
      </c>
      <c r="J1260" t="str">
        <f>IF(FT!B1260&lt;&gt;"",FT!C1260,"")</f>
        <v/>
      </c>
    </row>
    <row r="1261" spans="5:10">
      <c r="E1261">
        <f t="shared" si="51"/>
        <v>1259</v>
      </c>
      <c r="F1261" s="61" t="str">
        <f>IF(FT!A1261&lt;&gt;"",FT!A1261*10,"")</f>
        <v/>
      </c>
      <c r="G1261" s="61" t="str">
        <f>IF(FT!B1261&lt;&gt;"",FT!B1261*100,"")</f>
        <v/>
      </c>
      <c r="H1261" s="61" t="str">
        <f t="shared" si="50"/>
        <v/>
      </c>
      <c r="I1261" t="str">
        <f>IF(FT!B1261&lt;&gt;"",FT!E1261,"")</f>
        <v/>
      </c>
      <c r="J1261" t="str">
        <f>IF(FT!B1261&lt;&gt;"",FT!C1261,"")</f>
        <v/>
      </c>
    </row>
    <row r="1262" spans="5:10">
      <c r="E1262">
        <f t="shared" si="51"/>
        <v>1260</v>
      </c>
      <c r="F1262" s="61" t="str">
        <f>IF(FT!A1262&lt;&gt;"",FT!A1262*10,"")</f>
        <v/>
      </c>
      <c r="G1262" s="61" t="str">
        <f>IF(FT!B1262&lt;&gt;"",FT!B1262*100,"")</f>
        <v/>
      </c>
      <c r="H1262" s="61" t="str">
        <f t="shared" si="50"/>
        <v/>
      </c>
      <c r="I1262" t="str">
        <f>IF(FT!B1262&lt;&gt;"",FT!E1262,"")</f>
        <v/>
      </c>
      <c r="J1262" t="str">
        <f>IF(FT!B1262&lt;&gt;"",FT!C1262,"")</f>
        <v/>
      </c>
    </row>
    <row r="1263" spans="5:10">
      <c r="E1263">
        <f t="shared" si="51"/>
        <v>1261</v>
      </c>
      <c r="F1263" s="61" t="str">
        <f>IF(FT!A1263&lt;&gt;"",FT!A1263*10,"")</f>
        <v/>
      </c>
      <c r="G1263" s="61" t="str">
        <f>IF(FT!B1263&lt;&gt;"",FT!B1263*100,"")</f>
        <v/>
      </c>
      <c r="H1263" s="61" t="str">
        <f t="shared" si="50"/>
        <v/>
      </c>
      <c r="I1263" t="str">
        <f>IF(FT!B1263&lt;&gt;"",FT!E1263,"")</f>
        <v/>
      </c>
      <c r="J1263" t="str">
        <f>IF(FT!B1263&lt;&gt;"",FT!C1263,"")</f>
        <v/>
      </c>
    </row>
    <row r="1264" spans="5:10">
      <c r="E1264">
        <f t="shared" si="51"/>
        <v>1262</v>
      </c>
      <c r="F1264" s="61" t="str">
        <f>IF(FT!A1264&lt;&gt;"",FT!A1264*10,"")</f>
        <v/>
      </c>
      <c r="G1264" s="61" t="str">
        <f>IF(FT!B1264&lt;&gt;"",FT!B1264*100,"")</f>
        <v/>
      </c>
      <c r="H1264" s="61" t="str">
        <f t="shared" si="50"/>
        <v/>
      </c>
      <c r="I1264" t="str">
        <f>IF(FT!B1264&lt;&gt;"",FT!E1264,"")</f>
        <v/>
      </c>
      <c r="J1264" t="str">
        <f>IF(FT!B1264&lt;&gt;"",FT!C1264,"")</f>
        <v/>
      </c>
    </row>
    <row r="1265" spans="5:10">
      <c r="E1265">
        <f t="shared" si="51"/>
        <v>1263</v>
      </c>
      <c r="F1265" s="61" t="str">
        <f>IF(FT!A1265&lt;&gt;"",FT!A1265*10,"")</f>
        <v/>
      </c>
      <c r="G1265" s="61" t="str">
        <f>IF(FT!B1265&lt;&gt;"",FT!B1265*100,"")</f>
        <v/>
      </c>
      <c r="H1265" s="61" t="str">
        <f t="shared" si="50"/>
        <v/>
      </c>
      <c r="I1265" t="str">
        <f>IF(FT!B1265&lt;&gt;"",FT!E1265,"")</f>
        <v/>
      </c>
      <c r="J1265" t="str">
        <f>IF(FT!B1265&lt;&gt;"",FT!C1265,"")</f>
        <v/>
      </c>
    </row>
    <row r="1266" spans="5:10">
      <c r="E1266">
        <f t="shared" si="51"/>
        <v>1264</v>
      </c>
      <c r="F1266" s="61" t="str">
        <f>IF(FT!A1266&lt;&gt;"",FT!A1266*10,"")</f>
        <v/>
      </c>
      <c r="G1266" s="61" t="str">
        <f>IF(FT!B1266&lt;&gt;"",FT!B1266*100,"")</f>
        <v/>
      </c>
      <c r="H1266" s="61" t="str">
        <f t="shared" si="50"/>
        <v/>
      </c>
      <c r="I1266" t="str">
        <f>IF(FT!B1266&lt;&gt;"",FT!E1266,"")</f>
        <v/>
      </c>
      <c r="J1266" t="str">
        <f>IF(FT!B1266&lt;&gt;"",FT!C1266,"")</f>
        <v/>
      </c>
    </row>
    <row r="1267" spans="5:10">
      <c r="E1267">
        <f t="shared" si="51"/>
        <v>1265</v>
      </c>
      <c r="F1267" s="61" t="str">
        <f>IF(FT!A1267&lt;&gt;"",FT!A1267*10,"")</f>
        <v/>
      </c>
      <c r="G1267" s="61" t="str">
        <f>IF(FT!B1267&lt;&gt;"",FT!B1267*100,"")</f>
        <v/>
      </c>
      <c r="H1267" s="61" t="str">
        <f t="shared" si="50"/>
        <v/>
      </c>
      <c r="I1267" t="str">
        <f>IF(FT!B1267&lt;&gt;"",FT!E1267,"")</f>
        <v/>
      </c>
      <c r="J1267" t="str">
        <f>IF(FT!B1267&lt;&gt;"",FT!C1267,"")</f>
        <v/>
      </c>
    </row>
    <row r="1268" spans="5:10">
      <c r="E1268">
        <f t="shared" si="51"/>
        <v>1266</v>
      </c>
      <c r="F1268" s="61" t="str">
        <f>IF(FT!A1268&lt;&gt;"",FT!A1268*10,"")</f>
        <v/>
      </c>
      <c r="G1268" s="61" t="str">
        <f>IF(FT!B1268&lt;&gt;"",FT!B1268*100,"")</f>
        <v/>
      </c>
      <c r="H1268" s="61" t="str">
        <f t="shared" si="50"/>
        <v/>
      </c>
      <c r="I1268" t="str">
        <f>IF(FT!B1268&lt;&gt;"",FT!E1268,"")</f>
        <v/>
      </c>
      <c r="J1268" t="str">
        <f>IF(FT!B1268&lt;&gt;"",FT!C1268,"")</f>
        <v/>
      </c>
    </row>
    <row r="1269" spans="5:10">
      <c r="E1269">
        <f t="shared" si="51"/>
        <v>1267</v>
      </c>
      <c r="F1269" s="61" t="str">
        <f>IF(FT!A1269&lt;&gt;"",FT!A1269*10,"")</f>
        <v/>
      </c>
      <c r="G1269" s="61" t="str">
        <f>IF(FT!B1269&lt;&gt;"",FT!B1269*100,"")</f>
        <v/>
      </c>
      <c r="H1269" s="61" t="str">
        <f t="shared" si="50"/>
        <v/>
      </c>
      <c r="I1269" t="str">
        <f>IF(FT!B1269&lt;&gt;"",FT!E1269,"")</f>
        <v/>
      </c>
      <c r="J1269" t="str">
        <f>IF(FT!B1269&lt;&gt;"",FT!C1269,"")</f>
        <v/>
      </c>
    </row>
    <row r="1270" spans="5:10">
      <c r="E1270">
        <f t="shared" si="51"/>
        <v>1268</v>
      </c>
      <c r="F1270" s="61" t="str">
        <f>IF(FT!A1270&lt;&gt;"",FT!A1270*10,"")</f>
        <v/>
      </c>
      <c r="G1270" s="61" t="str">
        <f>IF(FT!B1270&lt;&gt;"",FT!B1270*100,"")</f>
        <v/>
      </c>
      <c r="H1270" s="61" t="str">
        <f t="shared" si="50"/>
        <v/>
      </c>
      <c r="I1270" t="str">
        <f>IF(FT!B1270&lt;&gt;"",FT!E1270,"")</f>
        <v/>
      </c>
      <c r="J1270" t="str">
        <f>IF(FT!B1270&lt;&gt;"",FT!C1270,"")</f>
        <v/>
      </c>
    </row>
    <row r="1271" spans="5:10">
      <c r="E1271">
        <f t="shared" si="51"/>
        <v>1269</v>
      </c>
      <c r="F1271" s="61" t="str">
        <f>IF(FT!A1271&lt;&gt;"",FT!A1271*10,"")</f>
        <v/>
      </c>
      <c r="G1271" s="61" t="str">
        <f>IF(FT!B1271&lt;&gt;"",FT!B1271*100,"")</f>
        <v/>
      </c>
      <c r="H1271" s="61" t="str">
        <f t="shared" si="50"/>
        <v/>
      </c>
      <c r="I1271" t="str">
        <f>IF(FT!B1271&lt;&gt;"",FT!E1271,"")</f>
        <v/>
      </c>
      <c r="J1271" t="str">
        <f>IF(FT!B1271&lt;&gt;"",FT!C1271,"")</f>
        <v/>
      </c>
    </row>
    <row r="1272" spans="5:10">
      <c r="E1272">
        <f t="shared" si="51"/>
        <v>1270</v>
      </c>
      <c r="F1272" s="61" t="str">
        <f>IF(FT!A1272&lt;&gt;"",FT!A1272*10,"")</f>
        <v/>
      </c>
      <c r="G1272" s="61" t="str">
        <f>IF(FT!B1272&lt;&gt;"",FT!B1272*100,"")</f>
        <v/>
      </c>
      <c r="H1272" s="61" t="str">
        <f t="shared" si="50"/>
        <v/>
      </c>
      <c r="I1272" t="str">
        <f>IF(FT!B1272&lt;&gt;"",FT!E1272,"")</f>
        <v/>
      </c>
      <c r="J1272" t="str">
        <f>IF(FT!B1272&lt;&gt;"",FT!C1272,"")</f>
        <v/>
      </c>
    </row>
    <row r="1273" spans="5:10">
      <c r="E1273">
        <f t="shared" si="51"/>
        <v>1271</v>
      </c>
      <c r="F1273" s="61" t="str">
        <f>IF(FT!A1273&lt;&gt;"",FT!A1273*10,"")</f>
        <v/>
      </c>
      <c r="G1273" s="61" t="str">
        <f>IF(FT!B1273&lt;&gt;"",FT!B1273*100,"")</f>
        <v/>
      </c>
      <c r="H1273" s="61" t="str">
        <f t="shared" si="50"/>
        <v/>
      </c>
      <c r="I1273" t="str">
        <f>IF(FT!B1273&lt;&gt;"",FT!E1273,"")</f>
        <v/>
      </c>
      <c r="J1273" t="str">
        <f>IF(FT!B1273&lt;&gt;"",FT!C1273,"")</f>
        <v/>
      </c>
    </row>
    <row r="1274" spans="5:10">
      <c r="E1274">
        <f t="shared" si="51"/>
        <v>1272</v>
      </c>
      <c r="F1274" s="61" t="str">
        <f>IF(FT!A1274&lt;&gt;"",FT!A1274*10,"")</f>
        <v/>
      </c>
      <c r="G1274" s="61" t="str">
        <f>IF(FT!B1274&lt;&gt;"",FT!B1274*100,"")</f>
        <v/>
      </c>
      <c r="H1274" s="61" t="str">
        <f t="shared" si="50"/>
        <v/>
      </c>
      <c r="I1274" t="str">
        <f>IF(FT!B1274&lt;&gt;"",FT!E1274,"")</f>
        <v/>
      </c>
      <c r="J1274" t="str">
        <f>IF(FT!B1274&lt;&gt;"",FT!C1274,"")</f>
        <v/>
      </c>
    </row>
    <row r="1275" spans="5:10">
      <c r="E1275">
        <f t="shared" si="51"/>
        <v>1273</v>
      </c>
      <c r="F1275" s="61" t="str">
        <f>IF(FT!A1275&lt;&gt;"",FT!A1275*10,"")</f>
        <v/>
      </c>
      <c r="G1275" s="61" t="str">
        <f>IF(FT!B1275&lt;&gt;"",FT!B1275*100,"")</f>
        <v/>
      </c>
      <c r="H1275" s="61" t="str">
        <f t="shared" si="50"/>
        <v/>
      </c>
      <c r="I1275" t="str">
        <f>IF(FT!B1275&lt;&gt;"",FT!E1275,"")</f>
        <v/>
      </c>
      <c r="J1275" t="str">
        <f>IF(FT!B1275&lt;&gt;"",FT!C1275,"")</f>
        <v/>
      </c>
    </row>
    <row r="1276" spans="5:10">
      <c r="E1276">
        <f t="shared" si="51"/>
        <v>1274</v>
      </c>
      <c r="F1276" s="61" t="str">
        <f>IF(FT!A1276&lt;&gt;"",FT!A1276*10,"")</f>
        <v/>
      </c>
      <c r="G1276" s="61" t="str">
        <f>IF(FT!B1276&lt;&gt;"",FT!B1276*100,"")</f>
        <v/>
      </c>
      <c r="H1276" s="61" t="str">
        <f t="shared" si="50"/>
        <v/>
      </c>
      <c r="I1276" t="str">
        <f>IF(FT!B1276&lt;&gt;"",FT!E1276,"")</f>
        <v/>
      </c>
      <c r="J1276" t="str">
        <f>IF(FT!B1276&lt;&gt;"",FT!C1276,"")</f>
        <v/>
      </c>
    </row>
    <row r="1277" spans="5:10">
      <c r="E1277">
        <f t="shared" si="51"/>
        <v>1275</v>
      </c>
      <c r="F1277" s="61" t="str">
        <f>IF(FT!A1277&lt;&gt;"",FT!A1277*10,"")</f>
        <v/>
      </c>
      <c r="G1277" s="61" t="str">
        <f>IF(FT!B1277&lt;&gt;"",FT!B1277*100,"")</f>
        <v/>
      </c>
      <c r="H1277" s="61" t="str">
        <f t="shared" si="50"/>
        <v/>
      </c>
      <c r="I1277" t="str">
        <f>IF(FT!B1277&lt;&gt;"",FT!E1277,"")</f>
        <v/>
      </c>
      <c r="J1277" t="str">
        <f>IF(FT!B1277&lt;&gt;"",FT!C1277,"")</f>
        <v/>
      </c>
    </row>
    <row r="1278" spans="5:10">
      <c r="E1278">
        <f t="shared" si="51"/>
        <v>1276</v>
      </c>
      <c r="F1278" s="61" t="str">
        <f>IF(FT!A1278&lt;&gt;"",FT!A1278*10,"")</f>
        <v/>
      </c>
      <c r="G1278" s="61" t="str">
        <f>IF(FT!B1278&lt;&gt;"",FT!B1278*100,"")</f>
        <v/>
      </c>
      <c r="H1278" s="61" t="str">
        <f t="shared" si="50"/>
        <v/>
      </c>
      <c r="I1278" t="str">
        <f>IF(FT!B1278&lt;&gt;"",FT!E1278,"")</f>
        <v/>
      </c>
      <c r="J1278" t="str">
        <f>IF(FT!B1278&lt;&gt;"",FT!C1278,"")</f>
        <v/>
      </c>
    </row>
    <row r="1279" spans="5:10">
      <c r="E1279">
        <f t="shared" si="51"/>
        <v>1277</v>
      </c>
      <c r="F1279" s="61" t="str">
        <f>IF(FT!A1279&lt;&gt;"",FT!A1279*10,"")</f>
        <v/>
      </c>
      <c r="G1279" s="61" t="str">
        <f>IF(FT!B1279&lt;&gt;"",FT!B1279*100,"")</f>
        <v/>
      </c>
      <c r="H1279" s="61" t="str">
        <f t="shared" si="50"/>
        <v/>
      </c>
      <c r="I1279" t="str">
        <f>IF(FT!B1279&lt;&gt;"",FT!E1279,"")</f>
        <v/>
      </c>
      <c r="J1279" t="str">
        <f>IF(FT!B1279&lt;&gt;"",FT!C1279,"")</f>
        <v/>
      </c>
    </row>
    <row r="1280" spans="5:10">
      <c r="E1280">
        <f t="shared" si="51"/>
        <v>1278</v>
      </c>
      <c r="F1280" s="61" t="str">
        <f>IF(FT!A1280&lt;&gt;"",FT!A1280*10,"")</f>
        <v/>
      </c>
      <c r="G1280" s="61" t="str">
        <f>IF(FT!B1280&lt;&gt;"",FT!B1280*100,"")</f>
        <v/>
      </c>
      <c r="H1280" s="61" t="str">
        <f t="shared" si="50"/>
        <v/>
      </c>
      <c r="I1280" t="str">
        <f>IF(FT!B1280&lt;&gt;"",FT!E1280,"")</f>
        <v/>
      </c>
      <c r="J1280" t="str">
        <f>IF(FT!B1280&lt;&gt;"",FT!C1280,"")</f>
        <v/>
      </c>
    </row>
    <row r="1281" spans="5:10">
      <c r="E1281">
        <f t="shared" si="51"/>
        <v>1279</v>
      </c>
      <c r="F1281" s="61" t="str">
        <f>IF(FT!A1281&lt;&gt;"",FT!A1281*10,"")</f>
        <v/>
      </c>
      <c r="G1281" s="61" t="str">
        <f>IF(FT!B1281&lt;&gt;"",FT!B1281*100,"")</f>
        <v/>
      </c>
      <c r="H1281" s="61" t="str">
        <f t="shared" si="50"/>
        <v/>
      </c>
      <c r="I1281" t="str">
        <f>IF(FT!B1281&lt;&gt;"",FT!E1281,"")</f>
        <v/>
      </c>
      <c r="J1281" t="str">
        <f>IF(FT!B1281&lt;&gt;"",FT!C1281,"")</f>
        <v/>
      </c>
    </row>
    <row r="1282" spans="5:10">
      <c r="E1282">
        <f t="shared" si="51"/>
        <v>1280</v>
      </c>
      <c r="F1282" s="61" t="str">
        <f>IF(FT!A1282&lt;&gt;"",FT!A1282*10,"")</f>
        <v/>
      </c>
      <c r="G1282" s="61" t="str">
        <f>IF(FT!B1282&lt;&gt;"",FT!B1282*100,"")</f>
        <v/>
      </c>
      <c r="H1282" s="61" t="str">
        <f t="shared" si="50"/>
        <v/>
      </c>
      <c r="I1282" t="str">
        <f>IF(FT!B1282&lt;&gt;"",FT!E1282,"")</f>
        <v/>
      </c>
      <c r="J1282" t="str">
        <f>IF(FT!B1282&lt;&gt;"",FT!C1282,"")</f>
        <v/>
      </c>
    </row>
    <row r="1283" spans="5:10">
      <c r="E1283">
        <f t="shared" si="51"/>
        <v>1281</v>
      </c>
      <c r="F1283" s="61" t="str">
        <f>IF(FT!A1283&lt;&gt;"",FT!A1283*10,"")</f>
        <v/>
      </c>
      <c r="G1283" s="61" t="str">
        <f>IF(FT!B1283&lt;&gt;"",FT!B1283*100,"")</f>
        <v/>
      </c>
      <c r="H1283" s="61" t="str">
        <f t="shared" ref="H1283:H1346" si="52">(IF(F1283&lt;&gt;"",1,""))</f>
        <v/>
      </c>
      <c r="I1283" t="str">
        <f>IF(FT!B1283&lt;&gt;"",FT!E1283,"")</f>
        <v/>
      </c>
      <c r="J1283" t="str">
        <f>IF(FT!B1283&lt;&gt;"",FT!C1283,"")</f>
        <v/>
      </c>
    </row>
    <row r="1284" spans="5:10">
      <c r="E1284">
        <f t="shared" ref="E1284:E1347" si="53">E1283+1</f>
        <v>1282</v>
      </c>
      <c r="F1284" s="61" t="str">
        <f>IF(FT!A1284&lt;&gt;"",FT!A1284*10,"")</f>
        <v/>
      </c>
      <c r="G1284" s="61" t="str">
        <f>IF(FT!B1284&lt;&gt;"",FT!B1284*100,"")</f>
        <v/>
      </c>
      <c r="H1284" s="61" t="str">
        <f t="shared" si="52"/>
        <v/>
      </c>
      <c r="I1284" t="str">
        <f>IF(FT!B1284&lt;&gt;"",FT!E1284,"")</f>
        <v/>
      </c>
      <c r="J1284" t="str">
        <f>IF(FT!B1284&lt;&gt;"",FT!C1284,"")</f>
        <v/>
      </c>
    </row>
    <row r="1285" spans="5:10">
      <c r="E1285">
        <f t="shared" si="53"/>
        <v>1283</v>
      </c>
      <c r="F1285" s="61" t="str">
        <f>IF(FT!A1285&lt;&gt;"",FT!A1285*10,"")</f>
        <v/>
      </c>
      <c r="G1285" s="61" t="str">
        <f>IF(FT!B1285&lt;&gt;"",FT!B1285*100,"")</f>
        <v/>
      </c>
      <c r="H1285" s="61" t="str">
        <f t="shared" si="52"/>
        <v/>
      </c>
      <c r="I1285" t="str">
        <f>IF(FT!B1285&lt;&gt;"",FT!E1285,"")</f>
        <v/>
      </c>
      <c r="J1285" t="str">
        <f>IF(FT!B1285&lt;&gt;"",FT!C1285,"")</f>
        <v/>
      </c>
    </row>
    <row r="1286" spans="5:10">
      <c r="E1286">
        <f t="shared" si="53"/>
        <v>1284</v>
      </c>
      <c r="F1286" s="61" t="str">
        <f>IF(FT!A1286&lt;&gt;"",FT!A1286*10,"")</f>
        <v/>
      </c>
      <c r="G1286" s="61" t="str">
        <f>IF(FT!B1286&lt;&gt;"",FT!B1286*100,"")</f>
        <v/>
      </c>
      <c r="H1286" s="61" t="str">
        <f t="shared" si="52"/>
        <v/>
      </c>
      <c r="I1286" t="str">
        <f>IF(FT!B1286&lt;&gt;"",FT!E1286,"")</f>
        <v/>
      </c>
      <c r="J1286" t="str">
        <f>IF(FT!B1286&lt;&gt;"",FT!C1286,"")</f>
        <v/>
      </c>
    </row>
    <row r="1287" spans="5:10">
      <c r="E1287">
        <f t="shared" si="53"/>
        <v>1285</v>
      </c>
      <c r="F1287" s="61" t="str">
        <f>IF(FT!A1287&lt;&gt;"",FT!A1287*10,"")</f>
        <v/>
      </c>
      <c r="G1287" s="61" t="str">
        <f>IF(FT!B1287&lt;&gt;"",FT!B1287*100,"")</f>
        <v/>
      </c>
      <c r="H1287" s="61" t="str">
        <f t="shared" si="52"/>
        <v/>
      </c>
      <c r="I1287" t="str">
        <f>IF(FT!B1287&lt;&gt;"",FT!E1287,"")</f>
        <v/>
      </c>
      <c r="J1287" t="str">
        <f>IF(FT!B1287&lt;&gt;"",FT!C1287,"")</f>
        <v/>
      </c>
    </row>
    <row r="1288" spans="5:10">
      <c r="E1288">
        <f t="shared" si="53"/>
        <v>1286</v>
      </c>
      <c r="F1288" s="61" t="str">
        <f>IF(FT!A1288&lt;&gt;"",FT!A1288*10,"")</f>
        <v/>
      </c>
      <c r="G1288" s="61" t="str">
        <f>IF(FT!B1288&lt;&gt;"",FT!B1288*100,"")</f>
        <v/>
      </c>
      <c r="H1288" s="61" t="str">
        <f t="shared" si="52"/>
        <v/>
      </c>
      <c r="I1288" t="str">
        <f>IF(FT!B1288&lt;&gt;"",FT!E1288,"")</f>
        <v/>
      </c>
      <c r="J1288" t="str">
        <f>IF(FT!B1288&lt;&gt;"",FT!C1288,"")</f>
        <v/>
      </c>
    </row>
    <row r="1289" spans="5:10">
      <c r="E1289">
        <f t="shared" si="53"/>
        <v>1287</v>
      </c>
      <c r="F1289" s="61" t="str">
        <f>IF(FT!A1289&lt;&gt;"",FT!A1289*10,"")</f>
        <v/>
      </c>
      <c r="G1289" s="61" t="str">
        <f>IF(FT!B1289&lt;&gt;"",FT!B1289*100,"")</f>
        <v/>
      </c>
      <c r="H1289" s="61" t="str">
        <f t="shared" si="52"/>
        <v/>
      </c>
      <c r="I1289" t="str">
        <f>IF(FT!B1289&lt;&gt;"",FT!E1289,"")</f>
        <v/>
      </c>
      <c r="J1289" t="str">
        <f>IF(FT!B1289&lt;&gt;"",FT!C1289,"")</f>
        <v/>
      </c>
    </row>
    <row r="1290" spans="5:10">
      <c r="E1290">
        <f t="shared" si="53"/>
        <v>1288</v>
      </c>
      <c r="F1290" s="61" t="str">
        <f>IF(FT!A1290&lt;&gt;"",FT!A1290*10,"")</f>
        <v/>
      </c>
      <c r="G1290" s="61" t="str">
        <f>IF(FT!B1290&lt;&gt;"",FT!B1290*100,"")</f>
        <v/>
      </c>
      <c r="H1290" s="61" t="str">
        <f t="shared" si="52"/>
        <v/>
      </c>
      <c r="I1290" t="str">
        <f>IF(FT!B1290&lt;&gt;"",FT!E1290,"")</f>
        <v/>
      </c>
      <c r="J1290" t="str">
        <f>IF(FT!B1290&lt;&gt;"",FT!C1290,"")</f>
        <v/>
      </c>
    </row>
    <row r="1291" spans="5:10">
      <c r="E1291">
        <f t="shared" si="53"/>
        <v>1289</v>
      </c>
      <c r="F1291" s="61" t="str">
        <f>IF(FT!A1291&lt;&gt;"",FT!A1291*10,"")</f>
        <v/>
      </c>
      <c r="G1291" s="61" t="str">
        <f>IF(FT!B1291&lt;&gt;"",FT!B1291*100,"")</f>
        <v/>
      </c>
      <c r="H1291" s="61" t="str">
        <f t="shared" si="52"/>
        <v/>
      </c>
      <c r="I1291" t="str">
        <f>IF(FT!B1291&lt;&gt;"",FT!E1291,"")</f>
        <v/>
      </c>
      <c r="J1291" t="str">
        <f>IF(FT!B1291&lt;&gt;"",FT!C1291,"")</f>
        <v/>
      </c>
    </row>
    <row r="1292" spans="5:10">
      <c r="E1292">
        <f t="shared" si="53"/>
        <v>1290</v>
      </c>
      <c r="F1292" s="61" t="str">
        <f>IF(FT!A1292&lt;&gt;"",FT!A1292*10,"")</f>
        <v/>
      </c>
      <c r="G1292" s="61" t="str">
        <f>IF(FT!B1292&lt;&gt;"",FT!B1292*100,"")</f>
        <v/>
      </c>
      <c r="H1292" s="61" t="str">
        <f t="shared" si="52"/>
        <v/>
      </c>
      <c r="I1292" t="str">
        <f>IF(FT!B1292&lt;&gt;"",FT!E1292,"")</f>
        <v/>
      </c>
      <c r="J1292" t="str">
        <f>IF(FT!B1292&lt;&gt;"",FT!C1292,"")</f>
        <v/>
      </c>
    </row>
    <row r="1293" spans="5:10">
      <c r="E1293">
        <f t="shared" si="53"/>
        <v>1291</v>
      </c>
      <c r="F1293" s="61" t="str">
        <f>IF(FT!A1293&lt;&gt;"",FT!A1293*10,"")</f>
        <v/>
      </c>
      <c r="G1293" s="61" t="str">
        <f>IF(FT!B1293&lt;&gt;"",FT!B1293*100,"")</f>
        <v/>
      </c>
      <c r="H1293" s="61" t="str">
        <f t="shared" si="52"/>
        <v/>
      </c>
      <c r="I1293" t="str">
        <f>IF(FT!B1293&lt;&gt;"",FT!E1293,"")</f>
        <v/>
      </c>
      <c r="J1293" t="str">
        <f>IF(FT!B1293&lt;&gt;"",FT!C1293,"")</f>
        <v/>
      </c>
    </row>
    <row r="1294" spans="5:10">
      <c r="E1294">
        <f t="shared" si="53"/>
        <v>1292</v>
      </c>
      <c r="F1294" s="61" t="str">
        <f>IF(FT!A1294&lt;&gt;"",FT!A1294*10,"")</f>
        <v/>
      </c>
      <c r="G1294" s="61" t="str">
        <f>IF(FT!B1294&lt;&gt;"",FT!B1294*100,"")</f>
        <v/>
      </c>
      <c r="H1294" s="61" t="str">
        <f t="shared" si="52"/>
        <v/>
      </c>
      <c r="I1294" t="str">
        <f>IF(FT!B1294&lt;&gt;"",FT!E1294,"")</f>
        <v/>
      </c>
      <c r="J1294" t="str">
        <f>IF(FT!B1294&lt;&gt;"",FT!C1294,"")</f>
        <v/>
      </c>
    </row>
    <row r="1295" spans="5:10">
      <c r="E1295">
        <f t="shared" si="53"/>
        <v>1293</v>
      </c>
      <c r="F1295" s="61" t="str">
        <f>IF(FT!A1295&lt;&gt;"",FT!A1295*10,"")</f>
        <v/>
      </c>
      <c r="G1295" s="61" t="str">
        <f>IF(FT!B1295&lt;&gt;"",FT!B1295*100,"")</f>
        <v/>
      </c>
      <c r="H1295" s="61" t="str">
        <f t="shared" si="52"/>
        <v/>
      </c>
      <c r="I1295" t="str">
        <f>IF(FT!B1295&lt;&gt;"",FT!E1295,"")</f>
        <v/>
      </c>
      <c r="J1295" t="str">
        <f>IF(FT!B1295&lt;&gt;"",FT!C1295,"")</f>
        <v/>
      </c>
    </row>
    <row r="1296" spans="5:10">
      <c r="E1296">
        <f t="shared" si="53"/>
        <v>1294</v>
      </c>
      <c r="F1296" s="61" t="str">
        <f>IF(FT!A1296&lt;&gt;"",FT!A1296*10,"")</f>
        <v/>
      </c>
      <c r="G1296" s="61" t="str">
        <f>IF(FT!B1296&lt;&gt;"",FT!B1296*100,"")</f>
        <v/>
      </c>
      <c r="H1296" s="61" t="str">
        <f t="shared" si="52"/>
        <v/>
      </c>
      <c r="I1296" t="str">
        <f>IF(FT!B1296&lt;&gt;"",FT!E1296,"")</f>
        <v/>
      </c>
      <c r="J1296" t="str">
        <f>IF(FT!B1296&lt;&gt;"",FT!C1296,"")</f>
        <v/>
      </c>
    </row>
    <row r="1297" spans="5:10">
      <c r="E1297">
        <f t="shared" si="53"/>
        <v>1295</v>
      </c>
      <c r="F1297" s="61" t="str">
        <f>IF(FT!A1297&lt;&gt;"",FT!A1297*10,"")</f>
        <v/>
      </c>
      <c r="G1297" s="61" t="str">
        <f>IF(FT!B1297&lt;&gt;"",FT!B1297*100,"")</f>
        <v/>
      </c>
      <c r="H1297" s="61" t="str">
        <f t="shared" si="52"/>
        <v/>
      </c>
      <c r="I1297" t="str">
        <f>IF(FT!B1297&lt;&gt;"",FT!E1297,"")</f>
        <v/>
      </c>
      <c r="J1297" t="str">
        <f>IF(FT!B1297&lt;&gt;"",FT!C1297,"")</f>
        <v/>
      </c>
    </row>
    <row r="1298" spans="5:10">
      <c r="E1298">
        <f t="shared" si="53"/>
        <v>1296</v>
      </c>
      <c r="F1298" s="61" t="str">
        <f>IF(FT!A1298&lt;&gt;"",FT!A1298*10,"")</f>
        <v/>
      </c>
      <c r="G1298" s="61" t="str">
        <f>IF(FT!B1298&lt;&gt;"",FT!B1298*100,"")</f>
        <v/>
      </c>
      <c r="H1298" s="61" t="str">
        <f t="shared" si="52"/>
        <v/>
      </c>
      <c r="I1298" t="str">
        <f>IF(FT!B1298&lt;&gt;"",FT!E1298,"")</f>
        <v/>
      </c>
      <c r="J1298" t="str">
        <f>IF(FT!B1298&lt;&gt;"",FT!C1298,"")</f>
        <v/>
      </c>
    </row>
    <row r="1299" spans="5:10">
      <c r="E1299">
        <f t="shared" si="53"/>
        <v>1297</v>
      </c>
      <c r="F1299" s="61" t="str">
        <f>IF(FT!A1299&lt;&gt;"",FT!A1299*10,"")</f>
        <v/>
      </c>
      <c r="G1299" s="61" t="str">
        <f>IF(FT!B1299&lt;&gt;"",FT!B1299*100,"")</f>
        <v/>
      </c>
      <c r="H1299" s="61" t="str">
        <f t="shared" si="52"/>
        <v/>
      </c>
      <c r="I1299" t="str">
        <f>IF(FT!B1299&lt;&gt;"",FT!E1299,"")</f>
        <v/>
      </c>
      <c r="J1299" t="str">
        <f>IF(FT!B1299&lt;&gt;"",FT!C1299,"")</f>
        <v/>
      </c>
    </row>
    <row r="1300" spans="5:10">
      <c r="E1300">
        <f t="shared" si="53"/>
        <v>1298</v>
      </c>
      <c r="F1300" s="61" t="str">
        <f>IF(FT!A1300&lt;&gt;"",FT!A1300*10,"")</f>
        <v/>
      </c>
      <c r="G1300" s="61" t="str">
        <f>IF(FT!B1300&lt;&gt;"",FT!B1300*100,"")</f>
        <v/>
      </c>
      <c r="H1300" s="61" t="str">
        <f t="shared" si="52"/>
        <v/>
      </c>
      <c r="I1300" t="str">
        <f>IF(FT!B1300&lt;&gt;"",FT!E1300,"")</f>
        <v/>
      </c>
      <c r="J1300" t="str">
        <f>IF(FT!B1300&lt;&gt;"",FT!C1300,"")</f>
        <v/>
      </c>
    </row>
    <row r="1301" spans="5:10">
      <c r="E1301">
        <f t="shared" si="53"/>
        <v>1299</v>
      </c>
      <c r="F1301" s="61" t="str">
        <f>IF(FT!A1301&lt;&gt;"",FT!A1301*10,"")</f>
        <v/>
      </c>
      <c r="G1301" s="61" t="str">
        <f>IF(FT!B1301&lt;&gt;"",FT!B1301*100,"")</f>
        <v/>
      </c>
      <c r="H1301" s="61" t="str">
        <f t="shared" si="52"/>
        <v/>
      </c>
      <c r="I1301" t="str">
        <f>IF(FT!B1301&lt;&gt;"",FT!E1301,"")</f>
        <v/>
      </c>
      <c r="J1301" t="str">
        <f>IF(FT!B1301&lt;&gt;"",FT!C1301,"")</f>
        <v/>
      </c>
    </row>
    <row r="1302" spans="5:10">
      <c r="E1302">
        <f t="shared" si="53"/>
        <v>1300</v>
      </c>
      <c r="F1302" s="61" t="str">
        <f>IF(FT!A1302&lt;&gt;"",FT!A1302*10,"")</f>
        <v/>
      </c>
      <c r="G1302" s="61" t="str">
        <f>IF(FT!B1302&lt;&gt;"",FT!B1302*100,"")</f>
        <v/>
      </c>
      <c r="H1302" s="61" t="str">
        <f t="shared" si="52"/>
        <v/>
      </c>
      <c r="I1302" t="str">
        <f>IF(FT!B1302&lt;&gt;"",FT!E1302,"")</f>
        <v/>
      </c>
      <c r="J1302" t="str">
        <f>IF(FT!B1302&lt;&gt;"",FT!C1302,"")</f>
        <v/>
      </c>
    </row>
    <row r="1303" spans="5:10">
      <c r="E1303">
        <f t="shared" si="53"/>
        <v>1301</v>
      </c>
      <c r="F1303" s="61" t="str">
        <f>IF(FT!A1303&lt;&gt;"",FT!A1303*10,"")</f>
        <v/>
      </c>
      <c r="G1303" s="61" t="str">
        <f>IF(FT!B1303&lt;&gt;"",FT!B1303*100,"")</f>
        <v/>
      </c>
      <c r="H1303" s="61" t="str">
        <f t="shared" si="52"/>
        <v/>
      </c>
      <c r="I1303" t="str">
        <f>IF(FT!B1303&lt;&gt;"",FT!E1303,"")</f>
        <v/>
      </c>
      <c r="J1303" t="str">
        <f>IF(FT!B1303&lt;&gt;"",FT!C1303,"")</f>
        <v/>
      </c>
    </row>
    <row r="1304" spans="5:10">
      <c r="E1304">
        <f t="shared" si="53"/>
        <v>1302</v>
      </c>
      <c r="F1304" s="61" t="str">
        <f>IF(FT!A1304&lt;&gt;"",FT!A1304*10,"")</f>
        <v/>
      </c>
      <c r="G1304" s="61" t="str">
        <f>IF(FT!B1304&lt;&gt;"",FT!B1304*100,"")</f>
        <v/>
      </c>
      <c r="H1304" s="61" t="str">
        <f t="shared" si="52"/>
        <v/>
      </c>
      <c r="I1304" t="str">
        <f>IF(FT!B1304&lt;&gt;"",FT!E1304,"")</f>
        <v/>
      </c>
      <c r="J1304" t="str">
        <f>IF(FT!B1304&lt;&gt;"",FT!C1304,"")</f>
        <v/>
      </c>
    </row>
    <row r="1305" spans="5:10">
      <c r="E1305">
        <f t="shared" si="53"/>
        <v>1303</v>
      </c>
      <c r="F1305" s="61" t="str">
        <f>IF(FT!A1305&lt;&gt;"",FT!A1305*10,"")</f>
        <v/>
      </c>
      <c r="G1305" s="61" t="str">
        <f>IF(FT!B1305&lt;&gt;"",FT!B1305*100,"")</f>
        <v/>
      </c>
      <c r="H1305" s="61" t="str">
        <f t="shared" si="52"/>
        <v/>
      </c>
      <c r="I1305" t="str">
        <f>IF(FT!B1305&lt;&gt;"",FT!E1305,"")</f>
        <v/>
      </c>
      <c r="J1305" t="str">
        <f>IF(FT!B1305&lt;&gt;"",FT!C1305,"")</f>
        <v/>
      </c>
    </row>
    <row r="1306" spans="5:10">
      <c r="E1306">
        <f t="shared" si="53"/>
        <v>1304</v>
      </c>
      <c r="F1306" s="61" t="str">
        <f>IF(FT!A1306&lt;&gt;"",FT!A1306*10,"")</f>
        <v/>
      </c>
      <c r="G1306" s="61" t="str">
        <f>IF(FT!B1306&lt;&gt;"",FT!B1306*100,"")</f>
        <v/>
      </c>
      <c r="H1306" s="61" t="str">
        <f t="shared" si="52"/>
        <v/>
      </c>
      <c r="I1306" t="str">
        <f>IF(FT!B1306&lt;&gt;"",FT!E1306,"")</f>
        <v/>
      </c>
      <c r="J1306" t="str">
        <f>IF(FT!B1306&lt;&gt;"",FT!C1306,"")</f>
        <v/>
      </c>
    </row>
    <row r="1307" spans="5:10">
      <c r="E1307">
        <f t="shared" si="53"/>
        <v>1305</v>
      </c>
      <c r="F1307" s="61" t="str">
        <f>IF(FT!A1307&lt;&gt;"",FT!A1307*10,"")</f>
        <v/>
      </c>
      <c r="G1307" s="61" t="str">
        <f>IF(FT!B1307&lt;&gt;"",FT!B1307*100,"")</f>
        <v/>
      </c>
      <c r="H1307" s="61" t="str">
        <f t="shared" si="52"/>
        <v/>
      </c>
      <c r="I1307" t="str">
        <f>IF(FT!B1307&lt;&gt;"",FT!E1307,"")</f>
        <v/>
      </c>
      <c r="J1307" t="str">
        <f>IF(FT!B1307&lt;&gt;"",FT!C1307,"")</f>
        <v/>
      </c>
    </row>
    <row r="1308" spans="5:10">
      <c r="E1308">
        <f t="shared" si="53"/>
        <v>1306</v>
      </c>
      <c r="F1308" s="61" t="str">
        <f>IF(FT!A1308&lt;&gt;"",FT!A1308*10,"")</f>
        <v/>
      </c>
      <c r="G1308" s="61" t="str">
        <f>IF(FT!B1308&lt;&gt;"",FT!B1308*100,"")</f>
        <v/>
      </c>
      <c r="H1308" s="61" t="str">
        <f t="shared" si="52"/>
        <v/>
      </c>
      <c r="I1308" t="str">
        <f>IF(FT!B1308&lt;&gt;"",FT!E1308,"")</f>
        <v/>
      </c>
      <c r="J1308" t="str">
        <f>IF(FT!B1308&lt;&gt;"",FT!C1308,"")</f>
        <v/>
      </c>
    </row>
    <row r="1309" spans="5:10">
      <c r="E1309">
        <f t="shared" si="53"/>
        <v>1307</v>
      </c>
      <c r="F1309" s="61" t="str">
        <f>IF(FT!A1309&lt;&gt;"",FT!A1309*10,"")</f>
        <v/>
      </c>
      <c r="G1309" s="61" t="str">
        <f>IF(FT!B1309&lt;&gt;"",FT!B1309*100,"")</f>
        <v/>
      </c>
      <c r="H1309" s="61" t="str">
        <f t="shared" si="52"/>
        <v/>
      </c>
      <c r="I1309" t="str">
        <f>IF(FT!B1309&lt;&gt;"",FT!E1309,"")</f>
        <v/>
      </c>
      <c r="J1309" t="str">
        <f>IF(FT!B1309&lt;&gt;"",FT!C1309,"")</f>
        <v/>
      </c>
    </row>
    <row r="1310" spans="5:10">
      <c r="E1310">
        <f t="shared" si="53"/>
        <v>1308</v>
      </c>
      <c r="F1310" s="61" t="str">
        <f>IF(FT!A1310&lt;&gt;"",FT!A1310*10,"")</f>
        <v/>
      </c>
      <c r="G1310" s="61" t="str">
        <f>IF(FT!B1310&lt;&gt;"",FT!B1310*100,"")</f>
        <v/>
      </c>
      <c r="H1310" s="61" t="str">
        <f t="shared" si="52"/>
        <v/>
      </c>
      <c r="I1310" t="str">
        <f>IF(FT!B1310&lt;&gt;"",FT!E1310,"")</f>
        <v/>
      </c>
      <c r="J1310" t="str">
        <f>IF(FT!B1310&lt;&gt;"",FT!C1310,"")</f>
        <v/>
      </c>
    </row>
    <row r="1311" spans="5:10">
      <c r="E1311">
        <f t="shared" si="53"/>
        <v>1309</v>
      </c>
      <c r="F1311" s="61" t="str">
        <f>IF(FT!A1311&lt;&gt;"",FT!A1311*10,"")</f>
        <v/>
      </c>
      <c r="G1311" s="61" t="str">
        <f>IF(FT!B1311&lt;&gt;"",FT!B1311*100,"")</f>
        <v/>
      </c>
      <c r="H1311" s="61" t="str">
        <f t="shared" si="52"/>
        <v/>
      </c>
      <c r="I1311" t="str">
        <f>IF(FT!B1311&lt;&gt;"",FT!E1311,"")</f>
        <v/>
      </c>
      <c r="J1311" t="str">
        <f>IF(FT!B1311&lt;&gt;"",FT!C1311,"")</f>
        <v/>
      </c>
    </row>
    <row r="1312" spans="5:10">
      <c r="E1312">
        <f t="shared" si="53"/>
        <v>1310</v>
      </c>
      <c r="F1312" s="61" t="str">
        <f>IF(FT!A1312&lt;&gt;"",FT!A1312*10,"")</f>
        <v/>
      </c>
      <c r="G1312" s="61" t="str">
        <f>IF(FT!B1312&lt;&gt;"",FT!B1312*100,"")</f>
        <v/>
      </c>
      <c r="H1312" s="61" t="str">
        <f t="shared" si="52"/>
        <v/>
      </c>
      <c r="I1312" t="str">
        <f>IF(FT!B1312&lt;&gt;"",FT!E1312,"")</f>
        <v/>
      </c>
      <c r="J1312" t="str">
        <f>IF(FT!B1312&lt;&gt;"",FT!C1312,"")</f>
        <v/>
      </c>
    </row>
    <row r="1313" spans="5:10">
      <c r="E1313">
        <f t="shared" si="53"/>
        <v>1311</v>
      </c>
      <c r="F1313" s="61" t="str">
        <f>IF(FT!A1313&lt;&gt;"",FT!A1313*10,"")</f>
        <v/>
      </c>
      <c r="G1313" s="61" t="str">
        <f>IF(FT!B1313&lt;&gt;"",FT!B1313*100,"")</f>
        <v/>
      </c>
      <c r="H1313" s="61" t="str">
        <f t="shared" si="52"/>
        <v/>
      </c>
      <c r="I1313" t="str">
        <f>IF(FT!B1313&lt;&gt;"",FT!E1313,"")</f>
        <v/>
      </c>
      <c r="J1313" t="str">
        <f>IF(FT!B1313&lt;&gt;"",FT!C1313,"")</f>
        <v/>
      </c>
    </row>
    <row r="1314" spans="5:10">
      <c r="E1314">
        <f t="shared" si="53"/>
        <v>1312</v>
      </c>
      <c r="F1314" s="61" t="str">
        <f>IF(FT!A1314&lt;&gt;"",FT!A1314*10,"")</f>
        <v/>
      </c>
      <c r="G1314" s="61" t="str">
        <f>IF(FT!B1314&lt;&gt;"",FT!B1314*100,"")</f>
        <v/>
      </c>
      <c r="H1314" s="61" t="str">
        <f t="shared" si="52"/>
        <v/>
      </c>
      <c r="I1314" t="str">
        <f>IF(FT!B1314&lt;&gt;"",FT!E1314,"")</f>
        <v/>
      </c>
      <c r="J1314" t="str">
        <f>IF(FT!B1314&lt;&gt;"",FT!C1314,"")</f>
        <v/>
      </c>
    </row>
    <row r="1315" spans="5:10">
      <c r="E1315">
        <f t="shared" si="53"/>
        <v>1313</v>
      </c>
      <c r="F1315" s="61" t="str">
        <f>IF(FT!A1315&lt;&gt;"",FT!A1315*10,"")</f>
        <v/>
      </c>
      <c r="G1315" s="61" t="str">
        <f>IF(FT!B1315&lt;&gt;"",FT!B1315*100,"")</f>
        <v/>
      </c>
      <c r="H1315" s="61" t="str">
        <f t="shared" si="52"/>
        <v/>
      </c>
      <c r="I1315" t="str">
        <f>IF(FT!B1315&lt;&gt;"",FT!E1315,"")</f>
        <v/>
      </c>
      <c r="J1315" t="str">
        <f>IF(FT!B1315&lt;&gt;"",FT!C1315,"")</f>
        <v/>
      </c>
    </row>
    <row r="1316" spans="5:10">
      <c r="E1316">
        <f t="shared" si="53"/>
        <v>1314</v>
      </c>
      <c r="F1316" s="61" t="str">
        <f>IF(FT!A1316&lt;&gt;"",FT!A1316*10,"")</f>
        <v/>
      </c>
      <c r="G1316" s="61" t="str">
        <f>IF(FT!B1316&lt;&gt;"",FT!B1316*100,"")</f>
        <v/>
      </c>
      <c r="H1316" s="61" t="str">
        <f t="shared" si="52"/>
        <v/>
      </c>
      <c r="I1316" t="str">
        <f>IF(FT!B1316&lt;&gt;"",FT!E1316,"")</f>
        <v/>
      </c>
      <c r="J1316" t="str">
        <f>IF(FT!B1316&lt;&gt;"",FT!C1316,"")</f>
        <v/>
      </c>
    </row>
    <row r="1317" spans="5:10">
      <c r="E1317">
        <f t="shared" si="53"/>
        <v>1315</v>
      </c>
      <c r="F1317" s="61" t="str">
        <f>IF(FT!A1317&lt;&gt;"",FT!A1317*10,"")</f>
        <v/>
      </c>
      <c r="G1317" s="61" t="str">
        <f>IF(FT!B1317&lt;&gt;"",FT!B1317*100,"")</f>
        <v/>
      </c>
      <c r="H1317" s="61" t="str">
        <f t="shared" si="52"/>
        <v/>
      </c>
      <c r="I1317" t="str">
        <f>IF(FT!B1317&lt;&gt;"",FT!E1317,"")</f>
        <v/>
      </c>
      <c r="J1317" t="str">
        <f>IF(FT!B1317&lt;&gt;"",FT!C1317,"")</f>
        <v/>
      </c>
    </row>
    <row r="1318" spans="5:10">
      <c r="E1318">
        <f t="shared" si="53"/>
        <v>1316</v>
      </c>
      <c r="F1318" s="61" t="str">
        <f>IF(FT!A1318&lt;&gt;"",FT!A1318*10,"")</f>
        <v/>
      </c>
      <c r="G1318" s="61" t="str">
        <f>IF(FT!B1318&lt;&gt;"",FT!B1318*100,"")</f>
        <v/>
      </c>
      <c r="H1318" s="61" t="str">
        <f t="shared" si="52"/>
        <v/>
      </c>
      <c r="I1318" t="str">
        <f>IF(FT!B1318&lt;&gt;"",FT!E1318,"")</f>
        <v/>
      </c>
      <c r="J1318" t="str">
        <f>IF(FT!B1318&lt;&gt;"",FT!C1318,"")</f>
        <v/>
      </c>
    </row>
    <row r="1319" spans="5:10">
      <c r="E1319">
        <f t="shared" si="53"/>
        <v>1317</v>
      </c>
      <c r="F1319" s="61" t="str">
        <f>IF(FT!A1319&lt;&gt;"",FT!A1319*10,"")</f>
        <v/>
      </c>
      <c r="G1319" s="61" t="str">
        <f>IF(FT!B1319&lt;&gt;"",FT!B1319*100,"")</f>
        <v/>
      </c>
      <c r="H1319" s="61" t="str">
        <f t="shared" si="52"/>
        <v/>
      </c>
      <c r="I1319" t="str">
        <f>IF(FT!B1319&lt;&gt;"",FT!E1319,"")</f>
        <v/>
      </c>
      <c r="J1319" t="str">
        <f>IF(FT!B1319&lt;&gt;"",FT!C1319,"")</f>
        <v/>
      </c>
    </row>
    <row r="1320" spans="5:10">
      <c r="E1320">
        <f t="shared" si="53"/>
        <v>1318</v>
      </c>
      <c r="F1320" s="61" t="str">
        <f>IF(FT!A1320&lt;&gt;"",FT!A1320*10,"")</f>
        <v/>
      </c>
      <c r="G1320" s="61" t="str">
        <f>IF(FT!B1320&lt;&gt;"",FT!B1320*100,"")</f>
        <v/>
      </c>
      <c r="H1320" s="61" t="str">
        <f t="shared" si="52"/>
        <v/>
      </c>
      <c r="I1320" t="str">
        <f>IF(FT!B1320&lt;&gt;"",FT!E1320,"")</f>
        <v/>
      </c>
      <c r="J1320" t="str">
        <f>IF(FT!B1320&lt;&gt;"",FT!C1320,"")</f>
        <v/>
      </c>
    </row>
    <row r="1321" spans="5:10">
      <c r="E1321">
        <f t="shared" si="53"/>
        <v>1319</v>
      </c>
      <c r="F1321" s="61" t="str">
        <f>IF(FT!A1321&lt;&gt;"",FT!A1321*10,"")</f>
        <v/>
      </c>
      <c r="G1321" s="61" t="str">
        <f>IF(FT!B1321&lt;&gt;"",FT!B1321*100,"")</f>
        <v/>
      </c>
      <c r="H1321" s="61" t="str">
        <f t="shared" si="52"/>
        <v/>
      </c>
      <c r="I1321" t="str">
        <f>IF(FT!B1321&lt;&gt;"",FT!E1321,"")</f>
        <v/>
      </c>
      <c r="J1321" t="str">
        <f>IF(FT!B1321&lt;&gt;"",FT!C1321,"")</f>
        <v/>
      </c>
    </row>
    <row r="1322" spans="5:10">
      <c r="E1322">
        <f t="shared" si="53"/>
        <v>1320</v>
      </c>
      <c r="F1322" s="61" t="str">
        <f>IF(FT!A1322&lt;&gt;"",FT!A1322*10,"")</f>
        <v/>
      </c>
      <c r="G1322" s="61" t="str">
        <f>IF(FT!B1322&lt;&gt;"",FT!B1322*100,"")</f>
        <v/>
      </c>
      <c r="H1322" s="61" t="str">
        <f t="shared" si="52"/>
        <v/>
      </c>
      <c r="I1322" t="str">
        <f>IF(FT!B1322&lt;&gt;"",FT!E1322,"")</f>
        <v/>
      </c>
      <c r="J1322" t="str">
        <f>IF(FT!B1322&lt;&gt;"",FT!C1322,"")</f>
        <v/>
      </c>
    </row>
    <row r="1323" spans="5:10">
      <c r="E1323">
        <f t="shared" si="53"/>
        <v>1321</v>
      </c>
      <c r="F1323" s="61" t="str">
        <f>IF(FT!A1323&lt;&gt;"",FT!A1323*10,"")</f>
        <v/>
      </c>
      <c r="G1323" s="61" t="str">
        <f>IF(FT!B1323&lt;&gt;"",FT!B1323*100,"")</f>
        <v/>
      </c>
      <c r="H1323" s="61" t="str">
        <f t="shared" si="52"/>
        <v/>
      </c>
      <c r="I1323" t="str">
        <f>IF(FT!B1323&lt;&gt;"",FT!E1323,"")</f>
        <v/>
      </c>
      <c r="J1323" t="str">
        <f>IF(FT!B1323&lt;&gt;"",FT!C1323,"")</f>
        <v/>
      </c>
    </row>
    <row r="1324" spans="5:10">
      <c r="E1324">
        <f t="shared" si="53"/>
        <v>1322</v>
      </c>
      <c r="F1324" s="61" t="str">
        <f>IF(FT!A1324&lt;&gt;"",FT!A1324*10,"")</f>
        <v/>
      </c>
      <c r="G1324" s="61" t="str">
        <f>IF(FT!B1324&lt;&gt;"",FT!B1324*100,"")</f>
        <v/>
      </c>
      <c r="H1324" s="61" t="str">
        <f t="shared" si="52"/>
        <v/>
      </c>
      <c r="I1324" t="str">
        <f>IF(FT!B1324&lt;&gt;"",FT!E1324,"")</f>
        <v/>
      </c>
      <c r="J1324" t="str">
        <f>IF(FT!B1324&lt;&gt;"",FT!C1324,"")</f>
        <v/>
      </c>
    </row>
    <row r="1325" spans="5:10">
      <c r="E1325">
        <f t="shared" si="53"/>
        <v>1323</v>
      </c>
      <c r="F1325" s="61" t="str">
        <f>IF(FT!A1325&lt;&gt;"",FT!A1325*10,"")</f>
        <v/>
      </c>
      <c r="G1325" s="61" t="str">
        <f>IF(FT!B1325&lt;&gt;"",FT!B1325*100,"")</f>
        <v/>
      </c>
      <c r="H1325" s="61" t="str">
        <f t="shared" si="52"/>
        <v/>
      </c>
      <c r="I1325" t="str">
        <f>IF(FT!B1325&lt;&gt;"",FT!E1325,"")</f>
        <v/>
      </c>
      <c r="J1325" t="str">
        <f>IF(FT!B1325&lt;&gt;"",FT!C1325,"")</f>
        <v/>
      </c>
    </row>
    <row r="1326" spans="5:10">
      <c r="E1326">
        <f t="shared" si="53"/>
        <v>1324</v>
      </c>
      <c r="F1326" s="61" t="str">
        <f>IF(FT!A1326&lt;&gt;"",FT!A1326*10,"")</f>
        <v/>
      </c>
      <c r="G1326" s="61" t="str">
        <f>IF(FT!B1326&lt;&gt;"",FT!B1326*100,"")</f>
        <v/>
      </c>
      <c r="H1326" s="61" t="str">
        <f t="shared" si="52"/>
        <v/>
      </c>
      <c r="I1326" t="str">
        <f>IF(FT!B1326&lt;&gt;"",FT!E1326,"")</f>
        <v/>
      </c>
      <c r="J1326" t="str">
        <f>IF(FT!B1326&lt;&gt;"",FT!C1326,"")</f>
        <v/>
      </c>
    </row>
    <row r="1327" spans="5:10">
      <c r="E1327">
        <f t="shared" si="53"/>
        <v>1325</v>
      </c>
      <c r="F1327" s="61" t="str">
        <f>IF(FT!A1327&lt;&gt;"",FT!A1327*10,"")</f>
        <v/>
      </c>
      <c r="G1327" s="61" t="str">
        <f>IF(FT!B1327&lt;&gt;"",FT!B1327*100,"")</f>
        <v/>
      </c>
      <c r="H1327" s="61" t="str">
        <f t="shared" si="52"/>
        <v/>
      </c>
      <c r="I1327" t="str">
        <f>IF(FT!B1327&lt;&gt;"",FT!E1327,"")</f>
        <v/>
      </c>
      <c r="J1327" t="str">
        <f>IF(FT!B1327&lt;&gt;"",FT!C1327,"")</f>
        <v/>
      </c>
    </row>
    <row r="1328" spans="5:10">
      <c r="E1328">
        <f t="shared" si="53"/>
        <v>1326</v>
      </c>
      <c r="F1328" s="61" t="str">
        <f>IF(FT!A1328&lt;&gt;"",FT!A1328*10,"")</f>
        <v/>
      </c>
      <c r="G1328" s="61" t="str">
        <f>IF(FT!B1328&lt;&gt;"",FT!B1328*100,"")</f>
        <v/>
      </c>
      <c r="H1328" s="61" t="str">
        <f t="shared" si="52"/>
        <v/>
      </c>
      <c r="I1328" t="str">
        <f>IF(FT!B1328&lt;&gt;"",FT!E1328,"")</f>
        <v/>
      </c>
      <c r="J1328" t="str">
        <f>IF(FT!B1328&lt;&gt;"",FT!C1328,"")</f>
        <v/>
      </c>
    </row>
    <row r="1329" spans="5:10">
      <c r="E1329">
        <f t="shared" si="53"/>
        <v>1327</v>
      </c>
      <c r="F1329" s="61" t="str">
        <f>IF(FT!A1329&lt;&gt;"",FT!A1329*10,"")</f>
        <v/>
      </c>
      <c r="G1329" s="61" t="str">
        <f>IF(FT!B1329&lt;&gt;"",FT!B1329*100,"")</f>
        <v/>
      </c>
      <c r="H1329" s="61" t="str">
        <f t="shared" si="52"/>
        <v/>
      </c>
      <c r="I1329" t="str">
        <f>IF(FT!B1329&lt;&gt;"",FT!E1329,"")</f>
        <v/>
      </c>
      <c r="J1329" t="str">
        <f>IF(FT!B1329&lt;&gt;"",FT!C1329,"")</f>
        <v/>
      </c>
    </row>
    <row r="1330" spans="5:10">
      <c r="E1330">
        <f t="shared" si="53"/>
        <v>1328</v>
      </c>
      <c r="F1330" s="61" t="str">
        <f>IF(FT!A1330&lt;&gt;"",FT!A1330*10,"")</f>
        <v/>
      </c>
      <c r="G1330" s="61" t="str">
        <f>IF(FT!B1330&lt;&gt;"",FT!B1330*100,"")</f>
        <v/>
      </c>
      <c r="H1330" s="61" t="str">
        <f t="shared" si="52"/>
        <v/>
      </c>
      <c r="I1330" t="str">
        <f>IF(FT!B1330&lt;&gt;"",FT!E1330,"")</f>
        <v/>
      </c>
      <c r="J1330" t="str">
        <f>IF(FT!B1330&lt;&gt;"",FT!C1330,"")</f>
        <v/>
      </c>
    </row>
    <row r="1331" spans="5:10">
      <c r="E1331">
        <f t="shared" si="53"/>
        <v>1329</v>
      </c>
      <c r="F1331" s="61" t="str">
        <f>IF(FT!A1331&lt;&gt;"",FT!A1331*10,"")</f>
        <v/>
      </c>
      <c r="G1331" s="61" t="str">
        <f>IF(FT!B1331&lt;&gt;"",FT!B1331*100,"")</f>
        <v/>
      </c>
      <c r="H1331" s="61" t="str">
        <f t="shared" si="52"/>
        <v/>
      </c>
      <c r="I1331" t="str">
        <f>IF(FT!B1331&lt;&gt;"",FT!E1331,"")</f>
        <v/>
      </c>
      <c r="J1331" t="str">
        <f>IF(FT!B1331&lt;&gt;"",FT!C1331,"")</f>
        <v/>
      </c>
    </row>
    <row r="1332" spans="5:10">
      <c r="E1332">
        <f t="shared" si="53"/>
        <v>1330</v>
      </c>
      <c r="F1332" s="61" t="str">
        <f>IF(FT!A1332&lt;&gt;"",FT!A1332*10,"")</f>
        <v/>
      </c>
      <c r="G1332" s="61" t="str">
        <f>IF(FT!B1332&lt;&gt;"",FT!B1332*100,"")</f>
        <v/>
      </c>
      <c r="H1332" s="61" t="str">
        <f t="shared" si="52"/>
        <v/>
      </c>
      <c r="I1332" t="str">
        <f>IF(FT!B1332&lt;&gt;"",FT!E1332,"")</f>
        <v/>
      </c>
      <c r="J1332" t="str">
        <f>IF(FT!B1332&lt;&gt;"",FT!C1332,"")</f>
        <v/>
      </c>
    </row>
    <row r="1333" spans="5:10">
      <c r="E1333">
        <f t="shared" si="53"/>
        <v>1331</v>
      </c>
      <c r="F1333" s="61" t="str">
        <f>IF(FT!A1333&lt;&gt;"",FT!A1333*10,"")</f>
        <v/>
      </c>
      <c r="G1333" s="61" t="str">
        <f>IF(FT!B1333&lt;&gt;"",FT!B1333*100,"")</f>
        <v/>
      </c>
      <c r="H1333" s="61" t="str">
        <f t="shared" si="52"/>
        <v/>
      </c>
      <c r="I1333" t="str">
        <f>IF(FT!B1333&lt;&gt;"",FT!E1333,"")</f>
        <v/>
      </c>
      <c r="J1333" t="str">
        <f>IF(FT!B1333&lt;&gt;"",FT!C1333,"")</f>
        <v/>
      </c>
    </row>
    <row r="1334" spans="5:10">
      <c r="E1334">
        <f t="shared" si="53"/>
        <v>1332</v>
      </c>
      <c r="F1334" s="61" t="str">
        <f>IF(FT!A1334&lt;&gt;"",FT!A1334*10,"")</f>
        <v/>
      </c>
      <c r="G1334" s="61" t="str">
        <f>IF(FT!B1334&lt;&gt;"",FT!B1334*100,"")</f>
        <v/>
      </c>
      <c r="H1334" s="61" t="str">
        <f t="shared" si="52"/>
        <v/>
      </c>
      <c r="I1334" t="str">
        <f>IF(FT!B1334&lt;&gt;"",FT!E1334,"")</f>
        <v/>
      </c>
      <c r="J1334" t="str">
        <f>IF(FT!B1334&lt;&gt;"",FT!C1334,"")</f>
        <v/>
      </c>
    </row>
    <row r="1335" spans="5:10">
      <c r="E1335">
        <f t="shared" si="53"/>
        <v>1333</v>
      </c>
      <c r="F1335" s="61" t="str">
        <f>IF(FT!A1335&lt;&gt;"",FT!A1335*10,"")</f>
        <v/>
      </c>
      <c r="G1335" s="61" t="str">
        <f>IF(FT!B1335&lt;&gt;"",FT!B1335*100,"")</f>
        <v/>
      </c>
      <c r="H1335" s="61" t="str">
        <f t="shared" si="52"/>
        <v/>
      </c>
      <c r="I1335" t="str">
        <f>IF(FT!B1335&lt;&gt;"",FT!E1335,"")</f>
        <v/>
      </c>
      <c r="J1335" t="str">
        <f>IF(FT!B1335&lt;&gt;"",FT!C1335,"")</f>
        <v/>
      </c>
    </row>
    <row r="1336" spans="5:10">
      <c r="E1336">
        <f t="shared" si="53"/>
        <v>1334</v>
      </c>
      <c r="F1336" s="61" t="str">
        <f>IF(FT!A1336&lt;&gt;"",FT!A1336*10,"")</f>
        <v/>
      </c>
      <c r="G1336" s="61" t="str">
        <f>IF(FT!B1336&lt;&gt;"",FT!B1336*100,"")</f>
        <v/>
      </c>
      <c r="H1336" s="61" t="str">
        <f t="shared" si="52"/>
        <v/>
      </c>
      <c r="I1336" t="str">
        <f>IF(FT!B1336&lt;&gt;"",FT!E1336,"")</f>
        <v/>
      </c>
      <c r="J1336" t="str">
        <f>IF(FT!B1336&lt;&gt;"",FT!C1336,"")</f>
        <v/>
      </c>
    </row>
    <row r="1337" spans="5:10">
      <c r="E1337">
        <f t="shared" si="53"/>
        <v>1335</v>
      </c>
      <c r="F1337" s="61" t="str">
        <f>IF(FT!A1337&lt;&gt;"",FT!A1337*10,"")</f>
        <v/>
      </c>
      <c r="G1337" s="61" t="str">
        <f>IF(FT!B1337&lt;&gt;"",FT!B1337*100,"")</f>
        <v/>
      </c>
      <c r="H1337" s="61" t="str">
        <f t="shared" si="52"/>
        <v/>
      </c>
      <c r="I1337" t="str">
        <f>IF(FT!B1337&lt;&gt;"",FT!E1337,"")</f>
        <v/>
      </c>
      <c r="J1337" t="str">
        <f>IF(FT!B1337&lt;&gt;"",FT!C1337,"")</f>
        <v/>
      </c>
    </row>
    <row r="1338" spans="5:10">
      <c r="E1338">
        <f t="shared" si="53"/>
        <v>1336</v>
      </c>
      <c r="F1338" s="61" t="str">
        <f>IF(FT!A1338&lt;&gt;"",FT!A1338*10,"")</f>
        <v/>
      </c>
      <c r="G1338" s="61" t="str">
        <f>IF(FT!B1338&lt;&gt;"",FT!B1338*100,"")</f>
        <v/>
      </c>
      <c r="H1338" s="61" t="str">
        <f t="shared" si="52"/>
        <v/>
      </c>
      <c r="I1338" t="str">
        <f>IF(FT!B1338&lt;&gt;"",FT!E1338,"")</f>
        <v/>
      </c>
      <c r="J1338" t="str">
        <f>IF(FT!B1338&lt;&gt;"",FT!C1338,"")</f>
        <v/>
      </c>
    </row>
    <row r="1339" spans="5:10">
      <c r="E1339">
        <f t="shared" si="53"/>
        <v>1337</v>
      </c>
      <c r="F1339" s="61" t="str">
        <f>IF(FT!A1339&lt;&gt;"",FT!A1339*10,"")</f>
        <v/>
      </c>
      <c r="G1339" s="61" t="str">
        <f>IF(FT!B1339&lt;&gt;"",FT!B1339*100,"")</f>
        <v/>
      </c>
      <c r="H1339" s="61" t="str">
        <f t="shared" si="52"/>
        <v/>
      </c>
      <c r="I1339" t="str">
        <f>IF(FT!B1339&lt;&gt;"",FT!E1339,"")</f>
        <v/>
      </c>
      <c r="J1339" t="str">
        <f>IF(FT!B1339&lt;&gt;"",FT!C1339,"")</f>
        <v/>
      </c>
    </row>
    <row r="1340" spans="5:10">
      <c r="E1340">
        <f t="shared" si="53"/>
        <v>1338</v>
      </c>
      <c r="F1340" s="61" t="str">
        <f>IF(FT!A1340&lt;&gt;"",FT!A1340*10,"")</f>
        <v/>
      </c>
      <c r="G1340" s="61" t="str">
        <f>IF(FT!B1340&lt;&gt;"",FT!B1340*100,"")</f>
        <v/>
      </c>
      <c r="H1340" s="61" t="str">
        <f t="shared" si="52"/>
        <v/>
      </c>
      <c r="I1340" t="str">
        <f>IF(FT!B1340&lt;&gt;"",FT!E1340,"")</f>
        <v/>
      </c>
      <c r="J1340" t="str">
        <f>IF(FT!B1340&lt;&gt;"",FT!C1340,"")</f>
        <v/>
      </c>
    </row>
    <row r="1341" spans="5:10">
      <c r="E1341">
        <f t="shared" si="53"/>
        <v>1339</v>
      </c>
      <c r="F1341" s="61" t="str">
        <f>IF(FT!A1341&lt;&gt;"",FT!A1341*10,"")</f>
        <v/>
      </c>
      <c r="G1341" s="61" t="str">
        <f>IF(FT!B1341&lt;&gt;"",FT!B1341*100,"")</f>
        <v/>
      </c>
      <c r="H1341" s="61" t="str">
        <f t="shared" si="52"/>
        <v/>
      </c>
      <c r="I1341" t="str">
        <f>IF(FT!B1341&lt;&gt;"",FT!E1341,"")</f>
        <v/>
      </c>
      <c r="J1341" t="str">
        <f>IF(FT!B1341&lt;&gt;"",FT!C1341,"")</f>
        <v/>
      </c>
    </row>
    <row r="1342" spans="5:10">
      <c r="E1342">
        <f t="shared" si="53"/>
        <v>1340</v>
      </c>
      <c r="F1342" s="61" t="str">
        <f>IF(FT!A1342&lt;&gt;"",FT!A1342*10,"")</f>
        <v/>
      </c>
      <c r="G1342" s="61" t="str">
        <f>IF(FT!B1342&lt;&gt;"",FT!B1342*100,"")</f>
        <v/>
      </c>
      <c r="H1342" s="61" t="str">
        <f t="shared" si="52"/>
        <v/>
      </c>
      <c r="I1342" t="str">
        <f>IF(FT!B1342&lt;&gt;"",FT!E1342,"")</f>
        <v/>
      </c>
      <c r="J1342" t="str">
        <f>IF(FT!B1342&lt;&gt;"",FT!C1342,"")</f>
        <v/>
      </c>
    </row>
    <row r="1343" spans="5:10">
      <c r="E1343">
        <f t="shared" si="53"/>
        <v>1341</v>
      </c>
      <c r="F1343" s="61" t="str">
        <f>IF(FT!A1343&lt;&gt;"",FT!A1343*10,"")</f>
        <v/>
      </c>
      <c r="G1343" s="61" t="str">
        <f>IF(FT!B1343&lt;&gt;"",FT!B1343*100,"")</f>
        <v/>
      </c>
      <c r="H1343" s="61" t="str">
        <f t="shared" si="52"/>
        <v/>
      </c>
      <c r="I1343" t="str">
        <f>IF(FT!B1343&lt;&gt;"",FT!E1343,"")</f>
        <v/>
      </c>
      <c r="J1343" t="str">
        <f>IF(FT!B1343&lt;&gt;"",FT!C1343,"")</f>
        <v/>
      </c>
    </row>
    <row r="1344" spans="5:10">
      <c r="E1344">
        <f t="shared" si="53"/>
        <v>1342</v>
      </c>
      <c r="F1344" s="61" t="str">
        <f>IF(FT!A1344&lt;&gt;"",FT!A1344*10,"")</f>
        <v/>
      </c>
      <c r="G1344" s="61" t="str">
        <f>IF(FT!B1344&lt;&gt;"",FT!B1344*100,"")</f>
        <v/>
      </c>
      <c r="H1344" s="61" t="str">
        <f t="shared" si="52"/>
        <v/>
      </c>
      <c r="I1344" t="str">
        <f>IF(FT!B1344&lt;&gt;"",FT!E1344,"")</f>
        <v/>
      </c>
      <c r="J1344" t="str">
        <f>IF(FT!B1344&lt;&gt;"",FT!C1344,"")</f>
        <v/>
      </c>
    </row>
    <row r="1345" spans="5:10">
      <c r="E1345">
        <f t="shared" si="53"/>
        <v>1343</v>
      </c>
      <c r="F1345" s="61" t="str">
        <f>IF(FT!A1345&lt;&gt;"",FT!A1345*10,"")</f>
        <v/>
      </c>
      <c r="G1345" s="61" t="str">
        <f>IF(FT!B1345&lt;&gt;"",FT!B1345*100,"")</f>
        <v/>
      </c>
      <c r="H1345" s="61" t="str">
        <f t="shared" si="52"/>
        <v/>
      </c>
      <c r="I1345" t="str">
        <f>IF(FT!B1345&lt;&gt;"",FT!E1345,"")</f>
        <v/>
      </c>
      <c r="J1345" t="str">
        <f>IF(FT!B1345&lt;&gt;"",FT!C1345,"")</f>
        <v/>
      </c>
    </row>
    <row r="1346" spans="5:10">
      <c r="E1346">
        <f t="shared" si="53"/>
        <v>1344</v>
      </c>
      <c r="F1346" s="61" t="str">
        <f>IF(FT!A1346&lt;&gt;"",FT!A1346*10,"")</f>
        <v/>
      </c>
      <c r="G1346" s="61" t="str">
        <f>IF(FT!B1346&lt;&gt;"",FT!B1346*100,"")</f>
        <v/>
      </c>
      <c r="H1346" s="61" t="str">
        <f t="shared" si="52"/>
        <v/>
      </c>
      <c r="I1346" t="str">
        <f>IF(FT!B1346&lt;&gt;"",FT!E1346,"")</f>
        <v/>
      </c>
      <c r="J1346" t="str">
        <f>IF(FT!B1346&lt;&gt;"",FT!C1346,"")</f>
        <v/>
      </c>
    </row>
    <row r="1347" spans="5:10">
      <c r="E1347">
        <f t="shared" si="53"/>
        <v>1345</v>
      </c>
      <c r="F1347" s="61" t="str">
        <f>IF(FT!A1347&lt;&gt;"",FT!A1347*10,"")</f>
        <v/>
      </c>
      <c r="G1347" s="61" t="str">
        <f>IF(FT!B1347&lt;&gt;"",FT!B1347*100,"")</f>
        <v/>
      </c>
      <c r="H1347" s="61" t="str">
        <f t="shared" ref="H1347:H1410" si="54">(IF(F1347&lt;&gt;"",1,""))</f>
        <v/>
      </c>
      <c r="I1347" t="str">
        <f>IF(FT!B1347&lt;&gt;"",FT!E1347,"")</f>
        <v/>
      </c>
      <c r="J1347" t="str">
        <f>IF(FT!B1347&lt;&gt;"",FT!C1347,"")</f>
        <v/>
      </c>
    </row>
    <row r="1348" spans="5:10">
      <c r="E1348">
        <f t="shared" ref="E1348:E1411" si="55">E1347+1</f>
        <v>1346</v>
      </c>
      <c r="F1348" s="61" t="str">
        <f>IF(FT!A1348&lt;&gt;"",FT!A1348*10,"")</f>
        <v/>
      </c>
      <c r="G1348" s="61" t="str">
        <f>IF(FT!B1348&lt;&gt;"",FT!B1348*100,"")</f>
        <v/>
      </c>
      <c r="H1348" s="61" t="str">
        <f t="shared" si="54"/>
        <v/>
      </c>
      <c r="I1348" t="str">
        <f>IF(FT!B1348&lt;&gt;"",FT!E1348,"")</f>
        <v/>
      </c>
      <c r="J1348" t="str">
        <f>IF(FT!B1348&lt;&gt;"",FT!C1348,"")</f>
        <v/>
      </c>
    </row>
    <row r="1349" spans="5:10">
      <c r="E1349">
        <f t="shared" si="55"/>
        <v>1347</v>
      </c>
      <c r="F1349" s="61" t="str">
        <f>IF(FT!A1349&lt;&gt;"",FT!A1349*10,"")</f>
        <v/>
      </c>
      <c r="G1349" s="61" t="str">
        <f>IF(FT!B1349&lt;&gt;"",FT!B1349*100,"")</f>
        <v/>
      </c>
      <c r="H1349" s="61" t="str">
        <f t="shared" si="54"/>
        <v/>
      </c>
      <c r="I1349" t="str">
        <f>IF(FT!B1349&lt;&gt;"",FT!E1349,"")</f>
        <v/>
      </c>
      <c r="J1349" t="str">
        <f>IF(FT!B1349&lt;&gt;"",FT!C1349,"")</f>
        <v/>
      </c>
    </row>
    <row r="1350" spans="5:10">
      <c r="E1350">
        <f t="shared" si="55"/>
        <v>1348</v>
      </c>
      <c r="F1350" s="61" t="str">
        <f>IF(FT!A1350&lt;&gt;"",FT!A1350*10,"")</f>
        <v/>
      </c>
      <c r="G1350" s="61" t="str">
        <f>IF(FT!B1350&lt;&gt;"",FT!B1350*100,"")</f>
        <v/>
      </c>
      <c r="H1350" s="61" t="str">
        <f t="shared" si="54"/>
        <v/>
      </c>
      <c r="I1350" t="str">
        <f>IF(FT!B1350&lt;&gt;"",FT!E1350,"")</f>
        <v/>
      </c>
      <c r="J1350" t="str">
        <f>IF(FT!B1350&lt;&gt;"",FT!C1350,"")</f>
        <v/>
      </c>
    </row>
    <row r="1351" spans="5:10">
      <c r="E1351">
        <f t="shared" si="55"/>
        <v>1349</v>
      </c>
      <c r="F1351" s="61" t="str">
        <f>IF(FT!A1351&lt;&gt;"",FT!A1351*10,"")</f>
        <v/>
      </c>
      <c r="G1351" s="61" t="str">
        <f>IF(FT!B1351&lt;&gt;"",FT!B1351*100,"")</f>
        <v/>
      </c>
      <c r="H1351" s="61" t="str">
        <f t="shared" si="54"/>
        <v/>
      </c>
      <c r="I1351" t="str">
        <f>IF(FT!B1351&lt;&gt;"",FT!E1351,"")</f>
        <v/>
      </c>
      <c r="J1351" t="str">
        <f>IF(FT!B1351&lt;&gt;"",FT!C1351,"")</f>
        <v/>
      </c>
    </row>
    <row r="1352" spans="5:10">
      <c r="E1352">
        <f t="shared" si="55"/>
        <v>1350</v>
      </c>
      <c r="F1352" s="61" t="str">
        <f>IF(FT!A1352&lt;&gt;"",FT!A1352*10,"")</f>
        <v/>
      </c>
      <c r="G1352" s="61" t="str">
        <f>IF(FT!B1352&lt;&gt;"",FT!B1352*100,"")</f>
        <v/>
      </c>
      <c r="H1352" s="61" t="str">
        <f t="shared" si="54"/>
        <v/>
      </c>
      <c r="I1352" t="str">
        <f>IF(FT!B1352&lt;&gt;"",FT!E1352,"")</f>
        <v/>
      </c>
      <c r="J1352" t="str">
        <f>IF(FT!B1352&lt;&gt;"",FT!C1352,"")</f>
        <v/>
      </c>
    </row>
    <row r="1353" spans="5:10">
      <c r="E1353">
        <f t="shared" si="55"/>
        <v>1351</v>
      </c>
      <c r="F1353" s="61" t="str">
        <f>IF(FT!A1353&lt;&gt;"",FT!A1353*10,"")</f>
        <v/>
      </c>
      <c r="G1353" s="61" t="str">
        <f>IF(FT!B1353&lt;&gt;"",FT!B1353*100,"")</f>
        <v/>
      </c>
      <c r="H1353" s="61" t="str">
        <f t="shared" si="54"/>
        <v/>
      </c>
      <c r="I1353" t="str">
        <f>IF(FT!B1353&lt;&gt;"",FT!E1353,"")</f>
        <v/>
      </c>
      <c r="J1353" t="str">
        <f>IF(FT!B1353&lt;&gt;"",FT!C1353,"")</f>
        <v/>
      </c>
    </row>
    <row r="1354" spans="5:10">
      <c r="E1354">
        <f t="shared" si="55"/>
        <v>1352</v>
      </c>
      <c r="F1354" s="61" t="str">
        <f>IF(FT!A1354&lt;&gt;"",FT!A1354*10,"")</f>
        <v/>
      </c>
      <c r="G1354" s="61" t="str">
        <f>IF(FT!B1354&lt;&gt;"",FT!B1354*100,"")</f>
        <v/>
      </c>
      <c r="H1354" s="61" t="str">
        <f t="shared" si="54"/>
        <v/>
      </c>
      <c r="I1354" t="str">
        <f>IF(FT!B1354&lt;&gt;"",FT!E1354,"")</f>
        <v/>
      </c>
      <c r="J1354" t="str">
        <f>IF(FT!B1354&lt;&gt;"",FT!C1354,"")</f>
        <v/>
      </c>
    </row>
    <row r="1355" spans="5:10">
      <c r="E1355">
        <f t="shared" si="55"/>
        <v>1353</v>
      </c>
      <c r="F1355" s="61" t="str">
        <f>IF(FT!A1355&lt;&gt;"",FT!A1355*10,"")</f>
        <v/>
      </c>
      <c r="G1355" s="61" t="str">
        <f>IF(FT!B1355&lt;&gt;"",FT!B1355*100,"")</f>
        <v/>
      </c>
      <c r="H1355" s="61" t="str">
        <f t="shared" si="54"/>
        <v/>
      </c>
      <c r="I1355" t="str">
        <f>IF(FT!B1355&lt;&gt;"",FT!E1355,"")</f>
        <v/>
      </c>
      <c r="J1355" t="str">
        <f>IF(FT!B1355&lt;&gt;"",FT!C1355,"")</f>
        <v/>
      </c>
    </row>
    <row r="1356" spans="5:10">
      <c r="E1356">
        <f t="shared" si="55"/>
        <v>1354</v>
      </c>
      <c r="F1356" s="61" t="str">
        <f>IF(FT!A1356&lt;&gt;"",FT!A1356*10,"")</f>
        <v/>
      </c>
      <c r="G1356" s="61" t="str">
        <f>IF(FT!B1356&lt;&gt;"",FT!B1356*100,"")</f>
        <v/>
      </c>
      <c r="H1356" s="61" t="str">
        <f t="shared" si="54"/>
        <v/>
      </c>
      <c r="I1356" t="str">
        <f>IF(FT!B1356&lt;&gt;"",FT!E1356,"")</f>
        <v/>
      </c>
      <c r="J1356" t="str">
        <f>IF(FT!B1356&lt;&gt;"",FT!C1356,"")</f>
        <v/>
      </c>
    </row>
    <row r="1357" spans="5:10">
      <c r="E1357">
        <f t="shared" si="55"/>
        <v>1355</v>
      </c>
      <c r="F1357" s="61" t="str">
        <f>IF(FT!A1357&lt;&gt;"",FT!A1357*10,"")</f>
        <v/>
      </c>
      <c r="G1357" s="61" t="str">
        <f>IF(FT!B1357&lt;&gt;"",FT!B1357*100,"")</f>
        <v/>
      </c>
      <c r="H1357" s="61" t="str">
        <f t="shared" si="54"/>
        <v/>
      </c>
      <c r="I1357" t="str">
        <f>IF(FT!B1357&lt;&gt;"",FT!E1357,"")</f>
        <v/>
      </c>
      <c r="J1357" t="str">
        <f>IF(FT!B1357&lt;&gt;"",FT!C1357,"")</f>
        <v/>
      </c>
    </row>
    <row r="1358" spans="5:10">
      <c r="E1358">
        <f t="shared" si="55"/>
        <v>1356</v>
      </c>
      <c r="F1358" s="61" t="str">
        <f>IF(FT!A1358&lt;&gt;"",FT!A1358*10,"")</f>
        <v/>
      </c>
      <c r="G1358" s="61" t="str">
        <f>IF(FT!B1358&lt;&gt;"",FT!B1358*100,"")</f>
        <v/>
      </c>
      <c r="H1358" s="61" t="str">
        <f t="shared" si="54"/>
        <v/>
      </c>
      <c r="I1358" t="str">
        <f>IF(FT!B1358&lt;&gt;"",FT!E1358,"")</f>
        <v/>
      </c>
      <c r="J1358" t="str">
        <f>IF(FT!B1358&lt;&gt;"",FT!C1358,"")</f>
        <v/>
      </c>
    </row>
    <row r="1359" spans="5:10">
      <c r="E1359">
        <f t="shared" si="55"/>
        <v>1357</v>
      </c>
      <c r="F1359" s="61" t="str">
        <f>IF(FT!A1359&lt;&gt;"",FT!A1359*10,"")</f>
        <v/>
      </c>
      <c r="G1359" s="61" t="str">
        <f>IF(FT!B1359&lt;&gt;"",FT!B1359*100,"")</f>
        <v/>
      </c>
      <c r="H1359" s="61" t="str">
        <f t="shared" si="54"/>
        <v/>
      </c>
      <c r="I1359" t="str">
        <f>IF(FT!B1359&lt;&gt;"",FT!E1359,"")</f>
        <v/>
      </c>
      <c r="J1359" t="str">
        <f>IF(FT!B1359&lt;&gt;"",FT!C1359,"")</f>
        <v/>
      </c>
    </row>
    <row r="1360" spans="5:10">
      <c r="E1360">
        <f t="shared" si="55"/>
        <v>1358</v>
      </c>
      <c r="F1360" s="61" t="str">
        <f>IF(FT!A1360&lt;&gt;"",FT!A1360*10,"")</f>
        <v/>
      </c>
      <c r="G1360" s="61" t="str">
        <f>IF(FT!B1360&lt;&gt;"",FT!B1360*100,"")</f>
        <v/>
      </c>
      <c r="H1360" s="61" t="str">
        <f t="shared" si="54"/>
        <v/>
      </c>
      <c r="I1360" t="str">
        <f>IF(FT!B1360&lt;&gt;"",FT!E1360,"")</f>
        <v/>
      </c>
      <c r="J1360" t="str">
        <f>IF(FT!B1360&lt;&gt;"",FT!C1360,"")</f>
        <v/>
      </c>
    </row>
    <row r="1361" spans="5:10">
      <c r="E1361">
        <f t="shared" si="55"/>
        <v>1359</v>
      </c>
      <c r="F1361" s="61" t="str">
        <f>IF(FT!A1361&lt;&gt;"",FT!A1361*10,"")</f>
        <v/>
      </c>
      <c r="G1361" s="61" t="str">
        <f>IF(FT!B1361&lt;&gt;"",FT!B1361*100,"")</f>
        <v/>
      </c>
      <c r="H1361" s="61" t="str">
        <f t="shared" si="54"/>
        <v/>
      </c>
      <c r="I1361" t="str">
        <f>IF(FT!B1361&lt;&gt;"",FT!E1361,"")</f>
        <v/>
      </c>
      <c r="J1361" t="str">
        <f>IF(FT!B1361&lt;&gt;"",FT!C1361,"")</f>
        <v/>
      </c>
    </row>
    <row r="1362" spans="5:10">
      <c r="E1362">
        <f t="shared" si="55"/>
        <v>1360</v>
      </c>
      <c r="F1362" s="61" t="str">
        <f>IF(FT!A1362&lt;&gt;"",FT!A1362*10,"")</f>
        <v/>
      </c>
      <c r="G1362" s="61" t="str">
        <f>IF(FT!B1362&lt;&gt;"",FT!B1362*100,"")</f>
        <v/>
      </c>
      <c r="H1362" s="61" t="str">
        <f t="shared" si="54"/>
        <v/>
      </c>
      <c r="I1362" t="str">
        <f>IF(FT!B1362&lt;&gt;"",FT!E1362,"")</f>
        <v/>
      </c>
      <c r="J1362" t="str">
        <f>IF(FT!B1362&lt;&gt;"",FT!C1362,"")</f>
        <v/>
      </c>
    </row>
    <row r="1363" spans="5:10">
      <c r="E1363">
        <f t="shared" si="55"/>
        <v>1361</v>
      </c>
      <c r="F1363" s="61" t="str">
        <f>IF(FT!A1363&lt;&gt;"",FT!A1363*10,"")</f>
        <v/>
      </c>
      <c r="G1363" s="61" t="str">
        <f>IF(FT!B1363&lt;&gt;"",FT!B1363*100,"")</f>
        <v/>
      </c>
      <c r="H1363" s="61" t="str">
        <f t="shared" si="54"/>
        <v/>
      </c>
      <c r="I1363" t="str">
        <f>IF(FT!B1363&lt;&gt;"",FT!E1363,"")</f>
        <v/>
      </c>
      <c r="J1363" t="str">
        <f>IF(FT!B1363&lt;&gt;"",FT!C1363,"")</f>
        <v/>
      </c>
    </row>
    <row r="1364" spans="5:10">
      <c r="E1364">
        <f t="shared" si="55"/>
        <v>1362</v>
      </c>
      <c r="F1364" s="61" t="str">
        <f>IF(FT!A1364&lt;&gt;"",FT!A1364*10,"")</f>
        <v/>
      </c>
      <c r="G1364" s="61" t="str">
        <f>IF(FT!B1364&lt;&gt;"",FT!B1364*100,"")</f>
        <v/>
      </c>
      <c r="H1364" s="61" t="str">
        <f t="shared" si="54"/>
        <v/>
      </c>
      <c r="I1364" t="str">
        <f>IF(FT!B1364&lt;&gt;"",FT!E1364,"")</f>
        <v/>
      </c>
      <c r="J1364" t="str">
        <f>IF(FT!B1364&lt;&gt;"",FT!C1364,"")</f>
        <v/>
      </c>
    </row>
    <row r="1365" spans="5:10">
      <c r="E1365">
        <f t="shared" si="55"/>
        <v>1363</v>
      </c>
      <c r="F1365" s="61" t="str">
        <f>IF(FT!A1365&lt;&gt;"",FT!A1365*10,"")</f>
        <v/>
      </c>
      <c r="G1365" s="61" t="str">
        <f>IF(FT!B1365&lt;&gt;"",FT!B1365*100,"")</f>
        <v/>
      </c>
      <c r="H1365" s="61" t="str">
        <f t="shared" si="54"/>
        <v/>
      </c>
      <c r="I1365" t="str">
        <f>IF(FT!B1365&lt;&gt;"",FT!E1365,"")</f>
        <v/>
      </c>
      <c r="J1365" t="str">
        <f>IF(FT!B1365&lt;&gt;"",FT!C1365,"")</f>
        <v/>
      </c>
    </row>
    <row r="1366" spans="5:10">
      <c r="E1366">
        <f t="shared" si="55"/>
        <v>1364</v>
      </c>
      <c r="F1366" s="61" t="str">
        <f>IF(FT!A1366&lt;&gt;"",FT!A1366*10,"")</f>
        <v/>
      </c>
      <c r="G1366" s="61" t="str">
        <f>IF(FT!B1366&lt;&gt;"",FT!B1366*100,"")</f>
        <v/>
      </c>
      <c r="H1366" s="61" t="str">
        <f t="shared" si="54"/>
        <v/>
      </c>
      <c r="I1366" t="str">
        <f>IF(FT!B1366&lt;&gt;"",FT!E1366,"")</f>
        <v/>
      </c>
      <c r="J1366" t="str">
        <f>IF(FT!B1366&lt;&gt;"",FT!C1366,"")</f>
        <v/>
      </c>
    </row>
    <row r="1367" spans="5:10">
      <c r="E1367">
        <f t="shared" si="55"/>
        <v>1365</v>
      </c>
      <c r="F1367" s="61" t="str">
        <f>IF(FT!A1367&lt;&gt;"",FT!A1367*10,"")</f>
        <v/>
      </c>
      <c r="G1367" s="61" t="str">
        <f>IF(FT!B1367&lt;&gt;"",FT!B1367*100,"")</f>
        <v/>
      </c>
      <c r="H1367" s="61" t="str">
        <f t="shared" si="54"/>
        <v/>
      </c>
      <c r="I1367" t="str">
        <f>IF(FT!B1367&lt;&gt;"",FT!E1367,"")</f>
        <v/>
      </c>
      <c r="J1367" t="str">
        <f>IF(FT!B1367&lt;&gt;"",FT!C1367,"")</f>
        <v/>
      </c>
    </row>
    <row r="1368" spans="5:10">
      <c r="E1368">
        <f t="shared" si="55"/>
        <v>1366</v>
      </c>
      <c r="F1368" s="61" t="str">
        <f>IF(FT!A1368&lt;&gt;"",FT!A1368*10,"")</f>
        <v/>
      </c>
      <c r="G1368" s="61" t="str">
        <f>IF(FT!B1368&lt;&gt;"",FT!B1368*100,"")</f>
        <v/>
      </c>
      <c r="H1368" s="61" t="str">
        <f t="shared" si="54"/>
        <v/>
      </c>
      <c r="I1368" t="str">
        <f>IF(FT!B1368&lt;&gt;"",FT!E1368,"")</f>
        <v/>
      </c>
      <c r="J1368" t="str">
        <f>IF(FT!B1368&lt;&gt;"",FT!C1368,"")</f>
        <v/>
      </c>
    </row>
    <row r="1369" spans="5:10">
      <c r="E1369">
        <f t="shared" si="55"/>
        <v>1367</v>
      </c>
      <c r="F1369" s="61" t="str">
        <f>IF(FT!A1369&lt;&gt;"",FT!A1369*10,"")</f>
        <v/>
      </c>
      <c r="G1369" s="61" t="str">
        <f>IF(FT!B1369&lt;&gt;"",FT!B1369*100,"")</f>
        <v/>
      </c>
      <c r="H1369" s="61" t="str">
        <f t="shared" si="54"/>
        <v/>
      </c>
      <c r="I1369" t="str">
        <f>IF(FT!B1369&lt;&gt;"",FT!E1369,"")</f>
        <v/>
      </c>
      <c r="J1369" t="str">
        <f>IF(FT!B1369&lt;&gt;"",FT!C1369,"")</f>
        <v/>
      </c>
    </row>
    <row r="1370" spans="5:10">
      <c r="E1370">
        <f t="shared" si="55"/>
        <v>1368</v>
      </c>
      <c r="F1370" s="61" t="str">
        <f>IF(FT!A1370&lt;&gt;"",FT!A1370*10,"")</f>
        <v/>
      </c>
      <c r="G1370" s="61" t="str">
        <f>IF(FT!B1370&lt;&gt;"",FT!B1370*100,"")</f>
        <v/>
      </c>
      <c r="H1370" s="61" t="str">
        <f t="shared" si="54"/>
        <v/>
      </c>
      <c r="I1370" t="str">
        <f>IF(FT!B1370&lt;&gt;"",FT!E1370,"")</f>
        <v/>
      </c>
      <c r="J1370" t="str">
        <f>IF(FT!B1370&lt;&gt;"",FT!C1370,"")</f>
        <v/>
      </c>
    </row>
    <row r="1371" spans="5:10">
      <c r="E1371">
        <f t="shared" si="55"/>
        <v>1369</v>
      </c>
      <c r="F1371" s="61" t="str">
        <f>IF(FT!A1371&lt;&gt;"",FT!A1371*10,"")</f>
        <v/>
      </c>
      <c r="G1371" s="61" t="str">
        <f>IF(FT!B1371&lt;&gt;"",FT!B1371*100,"")</f>
        <v/>
      </c>
      <c r="H1371" s="61" t="str">
        <f t="shared" si="54"/>
        <v/>
      </c>
      <c r="I1371" t="str">
        <f>IF(FT!B1371&lt;&gt;"",FT!E1371,"")</f>
        <v/>
      </c>
      <c r="J1371" t="str">
        <f>IF(FT!B1371&lt;&gt;"",FT!C1371,"")</f>
        <v/>
      </c>
    </row>
    <row r="1372" spans="5:10">
      <c r="E1372">
        <f t="shared" si="55"/>
        <v>1370</v>
      </c>
      <c r="F1372" s="61" t="str">
        <f>IF(FT!A1372&lt;&gt;"",FT!A1372*10,"")</f>
        <v/>
      </c>
      <c r="G1372" s="61" t="str">
        <f>IF(FT!B1372&lt;&gt;"",FT!B1372*100,"")</f>
        <v/>
      </c>
      <c r="H1372" s="61" t="str">
        <f t="shared" si="54"/>
        <v/>
      </c>
      <c r="I1372" t="str">
        <f>IF(FT!B1372&lt;&gt;"",FT!E1372,"")</f>
        <v/>
      </c>
      <c r="J1372" t="str">
        <f>IF(FT!B1372&lt;&gt;"",FT!C1372,"")</f>
        <v/>
      </c>
    </row>
    <row r="1373" spans="5:10">
      <c r="E1373">
        <f t="shared" si="55"/>
        <v>1371</v>
      </c>
      <c r="F1373" s="61" t="str">
        <f>IF(FT!A1373&lt;&gt;"",FT!A1373*10,"")</f>
        <v/>
      </c>
      <c r="G1373" s="61" t="str">
        <f>IF(FT!B1373&lt;&gt;"",FT!B1373*100,"")</f>
        <v/>
      </c>
      <c r="H1373" s="61" t="str">
        <f t="shared" si="54"/>
        <v/>
      </c>
      <c r="I1373" t="str">
        <f>IF(FT!B1373&lt;&gt;"",FT!E1373,"")</f>
        <v/>
      </c>
      <c r="J1373" t="str">
        <f>IF(FT!B1373&lt;&gt;"",FT!C1373,"")</f>
        <v/>
      </c>
    </row>
    <row r="1374" spans="5:10">
      <c r="E1374">
        <f t="shared" si="55"/>
        <v>1372</v>
      </c>
      <c r="F1374" s="61" t="str">
        <f>IF(FT!A1374&lt;&gt;"",FT!A1374*10,"")</f>
        <v/>
      </c>
      <c r="G1374" s="61" t="str">
        <f>IF(FT!B1374&lt;&gt;"",FT!B1374*100,"")</f>
        <v/>
      </c>
      <c r="H1374" s="61" t="str">
        <f t="shared" si="54"/>
        <v/>
      </c>
      <c r="I1374" t="str">
        <f>IF(FT!B1374&lt;&gt;"",FT!E1374,"")</f>
        <v/>
      </c>
      <c r="J1374" t="str">
        <f>IF(FT!B1374&lt;&gt;"",FT!C1374,"")</f>
        <v/>
      </c>
    </row>
    <row r="1375" spans="5:10">
      <c r="E1375">
        <f t="shared" si="55"/>
        <v>1373</v>
      </c>
      <c r="F1375" s="61" t="str">
        <f>IF(FT!A1375&lt;&gt;"",FT!A1375*10,"")</f>
        <v/>
      </c>
      <c r="G1375" s="61" t="str">
        <f>IF(FT!B1375&lt;&gt;"",FT!B1375*100,"")</f>
        <v/>
      </c>
      <c r="H1375" s="61" t="str">
        <f t="shared" si="54"/>
        <v/>
      </c>
      <c r="I1375" t="str">
        <f>IF(FT!B1375&lt;&gt;"",FT!E1375,"")</f>
        <v/>
      </c>
      <c r="J1375" t="str">
        <f>IF(FT!B1375&lt;&gt;"",FT!C1375,"")</f>
        <v/>
      </c>
    </row>
    <row r="1376" spans="5:10">
      <c r="E1376">
        <f t="shared" si="55"/>
        <v>1374</v>
      </c>
      <c r="F1376" s="61" t="str">
        <f>IF(FT!A1376&lt;&gt;"",FT!A1376*10,"")</f>
        <v/>
      </c>
      <c r="G1376" s="61" t="str">
        <f>IF(FT!B1376&lt;&gt;"",FT!B1376*100,"")</f>
        <v/>
      </c>
      <c r="H1376" s="61" t="str">
        <f t="shared" si="54"/>
        <v/>
      </c>
      <c r="I1376" t="str">
        <f>IF(FT!B1376&lt;&gt;"",FT!E1376,"")</f>
        <v/>
      </c>
      <c r="J1376" t="str">
        <f>IF(FT!B1376&lt;&gt;"",FT!C1376,"")</f>
        <v/>
      </c>
    </row>
    <row r="1377" spans="5:10">
      <c r="E1377">
        <f t="shared" si="55"/>
        <v>1375</v>
      </c>
      <c r="F1377" s="61" t="str">
        <f>IF(FT!A1377&lt;&gt;"",FT!A1377*10,"")</f>
        <v/>
      </c>
      <c r="G1377" s="61" t="str">
        <f>IF(FT!B1377&lt;&gt;"",FT!B1377*100,"")</f>
        <v/>
      </c>
      <c r="H1377" s="61" t="str">
        <f t="shared" si="54"/>
        <v/>
      </c>
      <c r="I1377" t="str">
        <f>IF(FT!B1377&lt;&gt;"",FT!E1377,"")</f>
        <v/>
      </c>
      <c r="J1377" t="str">
        <f>IF(FT!B1377&lt;&gt;"",FT!C1377,"")</f>
        <v/>
      </c>
    </row>
    <row r="1378" spans="5:10">
      <c r="E1378">
        <f t="shared" si="55"/>
        <v>1376</v>
      </c>
      <c r="F1378" s="61" t="str">
        <f>IF(FT!A1378&lt;&gt;"",FT!A1378*10,"")</f>
        <v/>
      </c>
      <c r="G1378" s="61" t="str">
        <f>IF(FT!B1378&lt;&gt;"",FT!B1378*100,"")</f>
        <v/>
      </c>
      <c r="H1378" s="61" t="str">
        <f t="shared" si="54"/>
        <v/>
      </c>
      <c r="I1378" t="str">
        <f>IF(FT!B1378&lt;&gt;"",FT!E1378,"")</f>
        <v/>
      </c>
      <c r="J1378" t="str">
        <f>IF(FT!B1378&lt;&gt;"",FT!C1378,"")</f>
        <v/>
      </c>
    </row>
    <row r="1379" spans="5:10">
      <c r="E1379">
        <f t="shared" si="55"/>
        <v>1377</v>
      </c>
      <c r="F1379" s="61" t="str">
        <f>IF(FT!A1379&lt;&gt;"",FT!A1379*10,"")</f>
        <v/>
      </c>
      <c r="G1379" s="61" t="str">
        <f>IF(FT!B1379&lt;&gt;"",FT!B1379*100,"")</f>
        <v/>
      </c>
      <c r="H1379" s="61" t="str">
        <f t="shared" si="54"/>
        <v/>
      </c>
      <c r="I1379" t="str">
        <f>IF(FT!B1379&lt;&gt;"",FT!E1379,"")</f>
        <v/>
      </c>
      <c r="J1379" t="str">
        <f>IF(FT!B1379&lt;&gt;"",FT!C1379,"")</f>
        <v/>
      </c>
    </row>
    <row r="1380" spans="5:10">
      <c r="E1380">
        <f t="shared" si="55"/>
        <v>1378</v>
      </c>
      <c r="F1380" s="61" t="str">
        <f>IF(FT!A1380&lt;&gt;"",FT!A1380*10,"")</f>
        <v/>
      </c>
      <c r="G1380" s="61" t="str">
        <f>IF(FT!B1380&lt;&gt;"",FT!B1380*100,"")</f>
        <v/>
      </c>
      <c r="H1380" s="61" t="str">
        <f t="shared" si="54"/>
        <v/>
      </c>
      <c r="I1380" t="str">
        <f>IF(FT!B1380&lt;&gt;"",FT!E1380,"")</f>
        <v/>
      </c>
      <c r="J1380" t="str">
        <f>IF(FT!B1380&lt;&gt;"",FT!C1380,"")</f>
        <v/>
      </c>
    </row>
    <row r="1381" spans="5:10">
      <c r="E1381">
        <f t="shared" si="55"/>
        <v>1379</v>
      </c>
      <c r="F1381" s="61" t="str">
        <f>IF(FT!A1381&lt;&gt;"",FT!A1381*10,"")</f>
        <v/>
      </c>
      <c r="G1381" s="61" t="str">
        <f>IF(FT!B1381&lt;&gt;"",FT!B1381*100,"")</f>
        <v/>
      </c>
      <c r="H1381" s="61" t="str">
        <f t="shared" si="54"/>
        <v/>
      </c>
      <c r="I1381" t="str">
        <f>IF(FT!B1381&lt;&gt;"",FT!E1381,"")</f>
        <v/>
      </c>
      <c r="J1381" t="str">
        <f>IF(FT!B1381&lt;&gt;"",FT!C1381,"")</f>
        <v/>
      </c>
    </row>
    <row r="1382" spans="5:10">
      <c r="E1382">
        <f t="shared" si="55"/>
        <v>1380</v>
      </c>
      <c r="F1382" s="61" t="str">
        <f>IF(FT!A1382&lt;&gt;"",FT!A1382*10,"")</f>
        <v/>
      </c>
      <c r="G1382" s="61" t="str">
        <f>IF(FT!B1382&lt;&gt;"",FT!B1382*100,"")</f>
        <v/>
      </c>
      <c r="H1382" s="61" t="str">
        <f t="shared" si="54"/>
        <v/>
      </c>
      <c r="I1382" t="str">
        <f>IF(FT!B1382&lt;&gt;"",FT!E1382,"")</f>
        <v/>
      </c>
      <c r="J1382" t="str">
        <f>IF(FT!B1382&lt;&gt;"",FT!C1382,"")</f>
        <v/>
      </c>
    </row>
    <row r="1383" spans="5:10">
      <c r="E1383">
        <f t="shared" si="55"/>
        <v>1381</v>
      </c>
      <c r="F1383" s="61" t="str">
        <f>IF(FT!A1383&lt;&gt;"",FT!A1383*10,"")</f>
        <v/>
      </c>
      <c r="G1383" s="61" t="str">
        <f>IF(FT!B1383&lt;&gt;"",FT!B1383*100,"")</f>
        <v/>
      </c>
      <c r="H1383" s="61" t="str">
        <f t="shared" si="54"/>
        <v/>
      </c>
      <c r="I1383" t="str">
        <f>IF(FT!B1383&lt;&gt;"",FT!E1383,"")</f>
        <v/>
      </c>
      <c r="J1383" t="str">
        <f>IF(FT!B1383&lt;&gt;"",FT!C1383,"")</f>
        <v/>
      </c>
    </row>
    <row r="1384" spans="5:10">
      <c r="E1384">
        <f t="shared" si="55"/>
        <v>1382</v>
      </c>
      <c r="F1384" s="61" t="str">
        <f>IF(FT!A1384&lt;&gt;"",FT!A1384*10,"")</f>
        <v/>
      </c>
      <c r="G1384" s="61" t="str">
        <f>IF(FT!B1384&lt;&gt;"",FT!B1384*100,"")</f>
        <v/>
      </c>
      <c r="H1384" s="61" t="str">
        <f t="shared" si="54"/>
        <v/>
      </c>
      <c r="I1384" t="str">
        <f>IF(FT!B1384&lt;&gt;"",FT!E1384,"")</f>
        <v/>
      </c>
      <c r="J1384" t="str">
        <f>IF(FT!B1384&lt;&gt;"",FT!C1384,"")</f>
        <v/>
      </c>
    </row>
    <row r="1385" spans="5:10">
      <c r="E1385">
        <f t="shared" si="55"/>
        <v>1383</v>
      </c>
      <c r="F1385" s="61" t="str">
        <f>IF(FT!A1385&lt;&gt;"",FT!A1385*10,"")</f>
        <v/>
      </c>
      <c r="G1385" s="61" t="str">
        <f>IF(FT!B1385&lt;&gt;"",FT!B1385*100,"")</f>
        <v/>
      </c>
      <c r="H1385" s="61" t="str">
        <f t="shared" si="54"/>
        <v/>
      </c>
      <c r="I1385" t="str">
        <f>IF(FT!B1385&lt;&gt;"",FT!E1385,"")</f>
        <v/>
      </c>
      <c r="J1385" t="str">
        <f>IF(FT!B1385&lt;&gt;"",FT!C1385,"")</f>
        <v/>
      </c>
    </row>
    <row r="1386" spans="5:10">
      <c r="E1386">
        <f t="shared" si="55"/>
        <v>1384</v>
      </c>
      <c r="F1386" s="61" t="str">
        <f>IF(FT!A1386&lt;&gt;"",FT!A1386*10,"")</f>
        <v/>
      </c>
      <c r="G1386" s="61" t="str">
        <f>IF(FT!B1386&lt;&gt;"",FT!B1386*100,"")</f>
        <v/>
      </c>
      <c r="H1386" s="61" t="str">
        <f t="shared" si="54"/>
        <v/>
      </c>
      <c r="I1386" t="str">
        <f>IF(FT!B1386&lt;&gt;"",FT!E1386,"")</f>
        <v/>
      </c>
      <c r="J1386" t="str">
        <f>IF(FT!B1386&lt;&gt;"",FT!C1386,"")</f>
        <v/>
      </c>
    </row>
    <row r="1387" spans="5:10">
      <c r="E1387">
        <f t="shared" si="55"/>
        <v>1385</v>
      </c>
      <c r="F1387" s="61" t="str">
        <f>IF(FT!A1387&lt;&gt;"",FT!A1387*10,"")</f>
        <v/>
      </c>
      <c r="G1387" s="61" t="str">
        <f>IF(FT!B1387&lt;&gt;"",FT!B1387*100,"")</f>
        <v/>
      </c>
      <c r="H1387" s="61" t="str">
        <f t="shared" si="54"/>
        <v/>
      </c>
      <c r="I1387" t="str">
        <f>IF(FT!B1387&lt;&gt;"",FT!E1387,"")</f>
        <v/>
      </c>
      <c r="J1387" t="str">
        <f>IF(FT!B1387&lt;&gt;"",FT!C1387,"")</f>
        <v/>
      </c>
    </row>
    <row r="1388" spans="5:10">
      <c r="E1388">
        <f t="shared" si="55"/>
        <v>1386</v>
      </c>
      <c r="F1388" s="61" t="str">
        <f>IF(FT!A1388&lt;&gt;"",FT!A1388*10,"")</f>
        <v/>
      </c>
      <c r="G1388" s="61" t="str">
        <f>IF(FT!B1388&lt;&gt;"",FT!B1388*100,"")</f>
        <v/>
      </c>
      <c r="H1388" s="61" t="str">
        <f t="shared" si="54"/>
        <v/>
      </c>
      <c r="I1388" t="str">
        <f>IF(FT!B1388&lt;&gt;"",FT!E1388,"")</f>
        <v/>
      </c>
      <c r="J1388" t="str">
        <f>IF(FT!B1388&lt;&gt;"",FT!C1388,"")</f>
        <v/>
      </c>
    </row>
    <row r="1389" spans="5:10">
      <c r="E1389">
        <f t="shared" si="55"/>
        <v>1387</v>
      </c>
      <c r="F1389" s="61" t="str">
        <f>IF(FT!A1389&lt;&gt;"",FT!A1389*10,"")</f>
        <v/>
      </c>
      <c r="G1389" s="61" t="str">
        <f>IF(FT!B1389&lt;&gt;"",FT!B1389*100,"")</f>
        <v/>
      </c>
      <c r="H1389" s="61" t="str">
        <f t="shared" si="54"/>
        <v/>
      </c>
      <c r="I1389" t="str">
        <f>IF(FT!B1389&lt;&gt;"",FT!E1389,"")</f>
        <v/>
      </c>
      <c r="J1389" t="str">
        <f>IF(FT!B1389&lt;&gt;"",FT!C1389,"")</f>
        <v/>
      </c>
    </row>
    <row r="1390" spans="5:10">
      <c r="E1390">
        <f t="shared" si="55"/>
        <v>1388</v>
      </c>
      <c r="F1390" s="61" t="str">
        <f>IF(FT!A1390&lt;&gt;"",FT!A1390*10,"")</f>
        <v/>
      </c>
      <c r="G1390" s="61" t="str">
        <f>IF(FT!B1390&lt;&gt;"",FT!B1390*100,"")</f>
        <v/>
      </c>
      <c r="H1390" s="61" t="str">
        <f t="shared" si="54"/>
        <v/>
      </c>
      <c r="I1390" t="str">
        <f>IF(FT!B1390&lt;&gt;"",FT!E1390,"")</f>
        <v/>
      </c>
      <c r="J1390" t="str">
        <f>IF(FT!B1390&lt;&gt;"",FT!C1390,"")</f>
        <v/>
      </c>
    </row>
    <row r="1391" spans="5:10">
      <c r="E1391">
        <f t="shared" si="55"/>
        <v>1389</v>
      </c>
      <c r="F1391" s="61" t="str">
        <f>IF(FT!A1391&lt;&gt;"",FT!A1391*10,"")</f>
        <v/>
      </c>
      <c r="G1391" s="61" t="str">
        <f>IF(FT!B1391&lt;&gt;"",FT!B1391*100,"")</f>
        <v/>
      </c>
      <c r="H1391" s="61" t="str">
        <f t="shared" si="54"/>
        <v/>
      </c>
      <c r="I1391" t="str">
        <f>IF(FT!B1391&lt;&gt;"",FT!E1391,"")</f>
        <v/>
      </c>
      <c r="J1391" t="str">
        <f>IF(FT!B1391&lt;&gt;"",FT!C1391,"")</f>
        <v/>
      </c>
    </row>
    <row r="1392" spans="5:10">
      <c r="E1392">
        <f t="shared" si="55"/>
        <v>1390</v>
      </c>
      <c r="F1392" s="61" t="str">
        <f>IF(FT!A1392&lt;&gt;"",FT!A1392*10,"")</f>
        <v/>
      </c>
      <c r="G1392" s="61" t="str">
        <f>IF(FT!B1392&lt;&gt;"",FT!B1392*100,"")</f>
        <v/>
      </c>
      <c r="H1392" s="61" t="str">
        <f t="shared" si="54"/>
        <v/>
      </c>
      <c r="I1392" t="str">
        <f>IF(FT!B1392&lt;&gt;"",FT!E1392,"")</f>
        <v/>
      </c>
      <c r="J1392" t="str">
        <f>IF(FT!B1392&lt;&gt;"",FT!C1392,"")</f>
        <v/>
      </c>
    </row>
    <row r="1393" spans="5:10">
      <c r="E1393">
        <f t="shared" si="55"/>
        <v>1391</v>
      </c>
      <c r="F1393" s="61" t="str">
        <f>IF(FT!A1393&lt;&gt;"",FT!A1393*10,"")</f>
        <v/>
      </c>
      <c r="G1393" s="61" t="str">
        <f>IF(FT!B1393&lt;&gt;"",FT!B1393*100,"")</f>
        <v/>
      </c>
      <c r="H1393" s="61" t="str">
        <f t="shared" si="54"/>
        <v/>
      </c>
      <c r="I1393" t="str">
        <f>IF(FT!B1393&lt;&gt;"",FT!E1393,"")</f>
        <v/>
      </c>
      <c r="J1393" t="str">
        <f>IF(FT!B1393&lt;&gt;"",FT!C1393,"")</f>
        <v/>
      </c>
    </row>
    <row r="1394" spans="5:10">
      <c r="E1394">
        <f t="shared" si="55"/>
        <v>1392</v>
      </c>
      <c r="F1394" s="61" t="str">
        <f>IF(FT!A1394&lt;&gt;"",FT!A1394*10,"")</f>
        <v/>
      </c>
      <c r="G1394" s="61" t="str">
        <f>IF(FT!B1394&lt;&gt;"",FT!B1394*100,"")</f>
        <v/>
      </c>
      <c r="H1394" s="61" t="str">
        <f t="shared" si="54"/>
        <v/>
      </c>
      <c r="I1394" t="str">
        <f>IF(FT!B1394&lt;&gt;"",FT!E1394,"")</f>
        <v/>
      </c>
      <c r="J1394" t="str">
        <f>IF(FT!B1394&lt;&gt;"",FT!C1394,"")</f>
        <v/>
      </c>
    </row>
    <row r="1395" spans="5:10">
      <c r="E1395">
        <f t="shared" si="55"/>
        <v>1393</v>
      </c>
      <c r="F1395" s="61" t="str">
        <f>IF(FT!A1395&lt;&gt;"",FT!A1395*10,"")</f>
        <v/>
      </c>
      <c r="G1395" s="61" t="str">
        <f>IF(FT!B1395&lt;&gt;"",FT!B1395*100,"")</f>
        <v/>
      </c>
      <c r="H1395" s="61" t="str">
        <f t="shared" si="54"/>
        <v/>
      </c>
      <c r="I1395" t="str">
        <f>IF(FT!B1395&lt;&gt;"",FT!E1395,"")</f>
        <v/>
      </c>
      <c r="J1395" t="str">
        <f>IF(FT!B1395&lt;&gt;"",FT!C1395,"")</f>
        <v/>
      </c>
    </row>
    <row r="1396" spans="5:10">
      <c r="E1396">
        <f t="shared" si="55"/>
        <v>1394</v>
      </c>
      <c r="F1396" s="61" t="str">
        <f>IF(FT!A1396&lt;&gt;"",FT!A1396*10,"")</f>
        <v/>
      </c>
      <c r="G1396" s="61" t="str">
        <f>IF(FT!B1396&lt;&gt;"",FT!B1396*100,"")</f>
        <v/>
      </c>
      <c r="H1396" s="61" t="str">
        <f t="shared" si="54"/>
        <v/>
      </c>
      <c r="I1396" t="str">
        <f>IF(FT!B1396&lt;&gt;"",FT!E1396,"")</f>
        <v/>
      </c>
      <c r="J1396" t="str">
        <f>IF(FT!B1396&lt;&gt;"",FT!C1396,"")</f>
        <v/>
      </c>
    </row>
    <row r="1397" spans="5:10">
      <c r="E1397">
        <f t="shared" si="55"/>
        <v>1395</v>
      </c>
      <c r="F1397" s="61" t="str">
        <f>IF(FT!A1397&lt;&gt;"",FT!A1397*10,"")</f>
        <v/>
      </c>
      <c r="G1397" s="61" t="str">
        <f>IF(FT!B1397&lt;&gt;"",FT!B1397*100,"")</f>
        <v/>
      </c>
      <c r="H1397" s="61" t="str">
        <f t="shared" si="54"/>
        <v/>
      </c>
      <c r="I1397" t="str">
        <f>IF(FT!B1397&lt;&gt;"",FT!E1397,"")</f>
        <v/>
      </c>
      <c r="J1397" t="str">
        <f>IF(FT!B1397&lt;&gt;"",FT!C1397,"")</f>
        <v/>
      </c>
    </row>
    <row r="1398" spans="5:10">
      <c r="E1398">
        <f t="shared" si="55"/>
        <v>1396</v>
      </c>
      <c r="F1398" s="61" t="str">
        <f>IF(FT!A1398&lt;&gt;"",FT!A1398*10,"")</f>
        <v/>
      </c>
      <c r="G1398" s="61" t="str">
        <f>IF(FT!B1398&lt;&gt;"",FT!B1398*100,"")</f>
        <v/>
      </c>
      <c r="H1398" s="61" t="str">
        <f t="shared" si="54"/>
        <v/>
      </c>
      <c r="I1398" t="str">
        <f>IF(FT!B1398&lt;&gt;"",FT!E1398,"")</f>
        <v/>
      </c>
      <c r="J1398" t="str">
        <f>IF(FT!B1398&lt;&gt;"",FT!C1398,"")</f>
        <v/>
      </c>
    </row>
    <row r="1399" spans="5:10">
      <c r="E1399">
        <f t="shared" si="55"/>
        <v>1397</v>
      </c>
      <c r="F1399" s="61" t="str">
        <f>IF(FT!A1399&lt;&gt;"",FT!A1399*10,"")</f>
        <v/>
      </c>
      <c r="G1399" s="61" t="str">
        <f>IF(FT!B1399&lt;&gt;"",FT!B1399*100,"")</f>
        <v/>
      </c>
      <c r="H1399" s="61" t="str">
        <f t="shared" si="54"/>
        <v/>
      </c>
      <c r="I1399" t="str">
        <f>IF(FT!B1399&lt;&gt;"",FT!E1399,"")</f>
        <v/>
      </c>
      <c r="J1399" t="str">
        <f>IF(FT!B1399&lt;&gt;"",FT!C1399,"")</f>
        <v/>
      </c>
    </row>
    <row r="1400" spans="5:10">
      <c r="E1400">
        <f t="shared" si="55"/>
        <v>1398</v>
      </c>
      <c r="F1400" s="61" t="str">
        <f>IF(FT!A1400&lt;&gt;"",FT!A1400*10,"")</f>
        <v/>
      </c>
      <c r="G1400" s="61" t="str">
        <f>IF(FT!B1400&lt;&gt;"",FT!B1400*100,"")</f>
        <v/>
      </c>
      <c r="H1400" s="61" t="str">
        <f t="shared" si="54"/>
        <v/>
      </c>
      <c r="I1400" t="str">
        <f>IF(FT!B1400&lt;&gt;"",FT!E1400,"")</f>
        <v/>
      </c>
      <c r="J1400" t="str">
        <f>IF(FT!B1400&lt;&gt;"",FT!C1400,"")</f>
        <v/>
      </c>
    </row>
    <row r="1401" spans="5:10">
      <c r="E1401">
        <f t="shared" si="55"/>
        <v>1399</v>
      </c>
      <c r="F1401" s="61" t="str">
        <f>IF(FT!A1401&lt;&gt;"",FT!A1401*10,"")</f>
        <v/>
      </c>
      <c r="G1401" s="61" t="str">
        <f>IF(FT!B1401&lt;&gt;"",FT!B1401*100,"")</f>
        <v/>
      </c>
      <c r="H1401" s="61" t="str">
        <f t="shared" si="54"/>
        <v/>
      </c>
      <c r="I1401" t="str">
        <f>IF(FT!B1401&lt;&gt;"",FT!E1401,"")</f>
        <v/>
      </c>
      <c r="J1401" t="str">
        <f>IF(FT!B1401&lt;&gt;"",FT!C1401,"")</f>
        <v/>
      </c>
    </row>
    <row r="1402" spans="5:10">
      <c r="E1402">
        <f t="shared" si="55"/>
        <v>1400</v>
      </c>
      <c r="F1402" s="61" t="str">
        <f>IF(FT!A1402&lt;&gt;"",FT!A1402*10,"")</f>
        <v/>
      </c>
      <c r="G1402" s="61" t="str">
        <f>IF(FT!B1402&lt;&gt;"",FT!B1402*100,"")</f>
        <v/>
      </c>
      <c r="H1402" s="61" t="str">
        <f t="shared" si="54"/>
        <v/>
      </c>
      <c r="I1402" t="str">
        <f>IF(FT!B1402&lt;&gt;"",FT!E1402,"")</f>
        <v/>
      </c>
      <c r="J1402" t="str">
        <f>IF(FT!B1402&lt;&gt;"",FT!C1402,"")</f>
        <v/>
      </c>
    </row>
    <row r="1403" spans="5:10">
      <c r="E1403">
        <f t="shared" si="55"/>
        <v>1401</v>
      </c>
      <c r="F1403" s="61" t="str">
        <f>IF(FT!A1403&lt;&gt;"",FT!A1403*10,"")</f>
        <v/>
      </c>
      <c r="G1403" s="61" t="str">
        <f>IF(FT!B1403&lt;&gt;"",FT!B1403*100,"")</f>
        <v/>
      </c>
      <c r="H1403" s="61" t="str">
        <f t="shared" si="54"/>
        <v/>
      </c>
      <c r="I1403" t="str">
        <f>IF(FT!B1403&lt;&gt;"",FT!E1403,"")</f>
        <v/>
      </c>
      <c r="J1403" t="str">
        <f>IF(FT!B1403&lt;&gt;"",FT!C1403,"")</f>
        <v/>
      </c>
    </row>
    <row r="1404" spans="5:10">
      <c r="E1404">
        <f t="shared" si="55"/>
        <v>1402</v>
      </c>
      <c r="F1404" s="61" t="str">
        <f>IF(FT!A1404&lt;&gt;"",FT!A1404*10,"")</f>
        <v/>
      </c>
      <c r="G1404" s="61" t="str">
        <f>IF(FT!B1404&lt;&gt;"",FT!B1404*100,"")</f>
        <v/>
      </c>
      <c r="H1404" s="61" t="str">
        <f t="shared" si="54"/>
        <v/>
      </c>
      <c r="I1404" t="str">
        <f>IF(FT!B1404&lt;&gt;"",FT!E1404,"")</f>
        <v/>
      </c>
      <c r="J1404" t="str">
        <f>IF(FT!B1404&lt;&gt;"",FT!C1404,"")</f>
        <v/>
      </c>
    </row>
    <row r="1405" spans="5:10">
      <c r="E1405">
        <f t="shared" si="55"/>
        <v>1403</v>
      </c>
      <c r="F1405" s="61" t="str">
        <f>IF(FT!A1405&lt;&gt;"",FT!A1405*10,"")</f>
        <v/>
      </c>
      <c r="G1405" s="61" t="str">
        <f>IF(FT!B1405&lt;&gt;"",FT!B1405*100,"")</f>
        <v/>
      </c>
      <c r="H1405" s="61" t="str">
        <f t="shared" si="54"/>
        <v/>
      </c>
      <c r="I1405" t="str">
        <f>IF(FT!B1405&lt;&gt;"",FT!E1405,"")</f>
        <v/>
      </c>
      <c r="J1405" t="str">
        <f>IF(FT!B1405&lt;&gt;"",FT!C1405,"")</f>
        <v/>
      </c>
    </row>
    <row r="1406" spans="5:10">
      <c r="E1406">
        <f t="shared" si="55"/>
        <v>1404</v>
      </c>
      <c r="F1406" s="61" t="str">
        <f>IF(FT!A1406&lt;&gt;"",FT!A1406*10,"")</f>
        <v/>
      </c>
      <c r="G1406" s="61" t="str">
        <f>IF(FT!B1406&lt;&gt;"",FT!B1406*100,"")</f>
        <v/>
      </c>
      <c r="H1406" s="61" t="str">
        <f t="shared" si="54"/>
        <v/>
      </c>
      <c r="I1406" t="str">
        <f>IF(FT!B1406&lt;&gt;"",FT!E1406,"")</f>
        <v/>
      </c>
      <c r="J1406" t="str">
        <f>IF(FT!B1406&lt;&gt;"",FT!C1406,"")</f>
        <v/>
      </c>
    </row>
    <row r="1407" spans="5:10">
      <c r="E1407">
        <f t="shared" si="55"/>
        <v>1405</v>
      </c>
      <c r="F1407" s="61" t="str">
        <f>IF(FT!A1407&lt;&gt;"",FT!A1407*10,"")</f>
        <v/>
      </c>
      <c r="G1407" s="61" t="str">
        <f>IF(FT!B1407&lt;&gt;"",FT!B1407*100,"")</f>
        <v/>
      </c>
      <c r="H1407" s="61" t="str">
        <f t="shared" si="54"/>
        <v/>
      </c>
      <c r="I1407" t="str">
        <f>IF(FT!B1407&lt;&gt;"",FT!E1407,"")</f>
        <v/>
      </c>
      <c r="J1407" t="str">
        <f>IF(FT!B1407&lt;&gt;"",FT!C1407,"")</f>
        <v/>
      </c>
    </row>
    <row r="1408" spans="5:10">
      <c r="E1408">
        <f t="shared" si="55"/>
        <v>1406</v>
      </c>
      <c r="F1408" s="61" t="str">
        <f>IF(FT!A1408&lt;&gt;"",FT!A1408*10,"")</f>
        <v/>
      </c>
      <c r="G1408" s="61" t="str">
        <f>IF(FT!B1408&lt;&gt;"",FT!B1408*100,"")</f>
        <v/>
      </c>
      <c r="H1408" s="61" t="str">
        <f t="shared" si="54"/>
        <v/>
      </c>
      <c r="I1408" t="str">
        <f>IF(FT!B1408&lt;&gt;"",FT!E1408,"")</f>
        <v/>
      </c>
      <c r="J1408" t="str">
        <f>IF(FT!B1408&lt;&gt;"",FT!C1408,"")</f>
        <v/>
      </c>
    </row>
    <row r="1409" spans="5:10">
      <c r="E1409">
        <f t="shared" si="55"/>
        <v>1407</v>
      </c>
      <c r="F1409" s="61" t="str">
        <f>IF(FT!A1409&lt;&gt;"",FT!A1409*10,"")</f>
        <v/>
      </c>
      <c r="G1409" s="61" t="str">
        <f>IF(FT!B1409&lt;&gt;"",FT!B1409*100,"")</f>
        <v/>
      </c>
      <c r="H1409" s="61" t="str">
        <f t="shared" si="54"/>
        <v/>
      </c>
      <c r="I1409" t="str">
        <f>IF(FT!B1409&lt;&gt;"",FT!E1409,"")</f>
        <v/>
      </c>
      <c r="J1409" t="str">
        <f>IF(FT!B1409&lt;&gt;"",FT!C1409,"")</f>
        <v/>
      </c>
    </row>
    <row r="1410" spans="5:10">
      <c r="E1410">
        <f t="shared" si="55"/>
        <v>1408</v>
      </c>
      <c r="F1410" s="61" t="str">
        <f>IF(FT!A1410&lt;&gt;"",FT!A1410*10,"")</f>
        <v/>
      </c>
      <c r="G1410" s="61" t="str">
        <f>IF(FT!B1410&lt;&gt;"",FT!B1410*100,"")</f>
        <v/>
      </c>
      <c r="H1410" s="61" t="str">
        <f t="shared" si="54"/>
        <v/>
      </c>
      <c r="I1410" t="str">
        <f>IF(FT!B1410&lt;&gt;"",FT!E1410,"")</f>
        <v/>
      </c>
      <c r="J1410" t="str">
        <f>IF(FT!B1410&lt;&gt;"",FT!C1410,"")</f>
        <v/>
      </c>
    </row>
    <row r="1411" spans="5:10">
      <c r="E1411">
        <f t="shared" si="55"/>
        <v>1409</v>
      </c>
      <c r="F1411" s="61" t="str">
        <f>IF(FT!A1411&lt;&gt;"",FT!A1411*10,"")</f>
        <v/>
      </c>
      <c r="G1411" s="61" t="str">
        <f>IF(FT!B1411&lt;&gt;"",FT!B1411*100,"")</f>
        <v/>
      </c>
      <c r="H1411" s="61" t="str">
        <f t="shared" ref="H1411:H1474" si="56">(IF(F1411&lt;&gt;"",1,""))</f>
        <v/>
      </c>
      <c r="I1411" t="str">
        <f>IF(FT!B1411&lt;&gt;"",FT!E1411,"")</f>
        <v/>
      </c>
      <c r="J1411" t="str">
        <f>IF(FT!B1411&lt;&gt;"",FT!C1411,"")</f>
        <v/>
      </c>
    </row>
    <row r="1412" spans="5:10">
      <c r="E1412">
        <f t="shared" ref="E1412:E1475" si="57">E1411+1</f>
        <v>1410</v>
      </c>
      <c r="F1412" s="61" t="str">
        <f>IF(FT!A1412&lt;&gt;"",FT!A1412*10,"")</f>
        <v/>
      </c>
      <c r="G1412" s="61" t="str">
        <f>IF(FT!B1412&lt;&gt;"",FT!B1412*100,"")</f>
        <v/>
      </c>
      <c r="H1412" s="61" t="str">
        <f t="shared" si="56"/>
        <v/>
      </c>
      <c r="I1412" t="str">
        <f>IF(FT!B1412&lt;&gt;"",FT!E1412,"")</f>
        <v/>
      </c>
      <c r="J1412" t="str">
        <f>IF(FT!B1412&lt;&gt;"",FT!C1412,"")</f>
        <v/>
      </c>
    </row>
    <row r="1413" spans="5:10">
      <c r="E1413">
        <f t="shared" si="57"/>
        <v>1411</v>
      </c>
      <c r="F1413" s="61" t="str">
        <f>IF(FT!A1413&lt;&gt;"",FT!A1413*10,"")</f>
        <v/>
      </c>
      <c r="G1413" s="61" t="str">
        <f>IF(FT!B1413&lt;&gt;"",FT!B1413*100,"")</f>
        <v/>
      </c>
      <c r="H1413" s="61" t="str">
        <f t="shared" si="56"/>
        <v/>
      </c>
      <c r="I1413" t="str">
        <f>IF(FT!B1413&lt;&gt;"",FT!E1413,"")</f>
        <v/>
      </c>
      <c r="J1413" t="str">
        <f>IF(FT!B1413&lt;&gt;"",FT!C1413,"")</f>
        <v/>
      </c>
    </row>
    <row r="1414" spans="5:10">
      <c r="E1414">
        <f t="shared" si="57"/>
        <v>1412</v>
      </c>
      <c r="F1414" s="61" t="str">
        <f>IF(FT!A1414&lt;&gt;"",FT!A1414*10,"")</f>
        <v/>
      </c>
      <c r="G1414" s="61" t="str">
        <f>IF(FT!B1414&lt;&gt;"",FT!B1414*100,"")</f>
        <v/>
      </c>
      <c r="H1414" s="61" t="str">
        <f t="shared" si="56"/>
        <v/>
      </c>
      <c r="I1414" t="str">
        <f>IF(FT!B1414&lt;&gt;"",FT!E1414,"")</f>
        <v/>
      </c>
      <c r="J1414" t="str">
        <f>IF(FT!B1414&lt;&gt;"",FT!C1414,"")</f>
        <v/>
      </c>
    </row>
    <row r="1415" spans="5:10">
      <c r="E1415">
        <f t="shared" si="57"/>
        <v>1413</v>
      </c>
      <c r="F1415" s="61" t="str">
        <f>IF(FT!A1415&lt;&gt;"",FT!A1415*10,"")</f>
        <v/>
      </c>
      <c r="G1415" s="61" t="str">
        <f>IF(FT!B1415&lt;&gt;"",FT!B1415*100,"")</f>
        <v/>
      </c>
      <c r="H1415" s="61" t="str">
        <f t="shared" si="56"/>
        <v/>
      </c>
      <c r="I1415" t="str">
        <f>IF(FT!B1415&lt;&gt;"",FT!E1415,"")</f>
        <v/>
      </c>
      <c r="J1415" t="str">
        <f>IF(FT!B1415&lt;&gt;"",FT!C1415,"")</f>
        <v/>
      </c>
    </row>
    <row r="1416" spans="5:10">
      <c r="E1416">
        <f t="shared" si="57"/>
        <v>1414</v>
      </c>
      <c r="F1416" s="61" t="str">
        <f>IF(FT!A1416&lt;&gt;"",FT!A1416*10,"")</f>
        <v/>
      </c>
      <c r="G1416" s="61" t="str">
        <f>IF(FT!B1416&lt;&gt;"",FT!B1416*100,"")</f>
        <v/>
      </c>
      <c r="H1416" s="61" t="str">
        <f t="shared" si="56"/>
        <v/>
      </c>
      <c r="I1416" t="str">
        <f>IF(FT!B1416&lt;&gt;"",FT!E1416,"")</f>
        <v/>
      </c>
      <c r="J1416" t="str">
        <f>IF(FT!B1416&lt;&gt;"",FT!C1416,"")</f>
        <v/>
      </c>
    </row>
    <row r="1417" spans="5:10">
      <c r="E1417">
        <f t="shared" si="57"/>
        <v>1415</v>
      </c>
      <c r="F1417" s="61" t="str">
        <f>IF(FT!A1417&lt;&gt;"",FT!A1417*10,"")</f>
        <v/>
      </c>
      <c r="G1417" s="61" t="str">
        <f>IF(FT!B1417&lt;&gt;"",FT!B1417*100,"")</f>
        <v/>
      </c>
      <c r="H1417" s="61" t="str">
        <f t="shared" si="56"/>
        <v/>
      </c>
      <c r="I1417" t="str">
        <f>IF(FT!B1417&lt;&gt;"",FT!E1417,"")</f>
        <v/>
      </c>
      <c r="J1417" t="str">
        <f>IF(FT!B1417&lt;&gt;"",FT!C1417,"")</f>
        <v/>
      </c>
    </row>
    <row r="1418" spans="5:10">
      <c r="E1418">
        <f t="shared" si="57"/>
        <v>1416</v>
      </c>
      <c r="F1418" s="61" t="str">
        <f>IF(FT!A1418&lt;&gt;"",FT!A1418*10,"")</f>
        <v/>
      </c>
      <c r="G1418" s="61" t="str">
        <f>IF(FT!B1418&lt;&gt;"",FT!B1418*100,"")</f>
        <v/>
      </c>
      <c r="H1418" s="61" t="str">
        <f t="shared" si="56"/>
        <v/>
      </c>
      <c r="I1418" t="str">
        <f>IF(FT!B1418&lt;&gt;"",FT!E1418,"")</f>
        <v/>
      </c>
      <c r="J1418" t="str">
        <f>IF(FT!B1418&lt;&gt;"",FT!C1418,"")</f>
        <v/>
      </c>
    </row>
    <row r="1419" spans="5:10">
      <c r="E1419">
        <f t="shared" si="57"/>
        <v>1417</v>
      </c>
      <c r="F1419" s="61" t="str">
        <f>IF(FT!A1419&lt;&gt;"",FT!A1419*10,"")</f>
        <v/>
      </c>
      <c r="G1419" s="61" t="str">
        <f>IF(FT!B1419&lt;&gt;"",FT!B1419*100,"")</f>
        <v/>
      </c>
      <c r="H1419" s="61" t="str">
        <f t="shared" si="56"/>
        <v/>
      </c>
      <c r="I1419" t="str">
        <f>IF(FT!B1419&lt;&gt;"",FT!E1419,"")</f>
        <v/>
      </c>
      <c r="J1419" t="str">
        <f>IF(FT!B1419&lt;&gt;"",FT!C1419,"")</f>
        <v/>
      </c>
    </row>
    <row r="1420" spans="5:10">
      <c r="E1420">
        <f t="shared" si="57"/>
        <v>1418</v>
      </c>
      <c r="F1420" s="61" t="str">
        <f>IF(FT!A1420&lt;&gt;"",FT!A1420*10,"")</f>
        <v/>
      </c>
      <c r="G1420" s="61" t="str">
        <f>IF(FT!B1420&lt;&gt;"",FT!B1420*100,"")</f>
        <v/>
      </c>
      <c r="H1420" s="61" t="str">
        <f t="shared" si="56"/>
        <v/>
      </c>
      <c r="I1420" t="str">
        <f>IF(FT!B1420&lt;&gt;"",FT!E1420,"")</f>
        <v/>
      </c>
      <c r="J1420" t="str">
        <f>IF(FT!B1420&lt;&gt;"",FT!C1420,"")</f>
        <v/>
      </c>
    </row>
    <row r="1421" spans="5:10">
      <c r="E1421">
        <f t="shared" si="57"/>
        <v>1419</v>
      </c>
      <c r="F1421" s="61" t="str">
        <f>IF(FT!A1421&lt;&gt;"",FT!A1421*10,"")</f>
        <v/>
      </c>
      <c r="G1421" s="61" t="str">
        <f>IF(FT!B1421&lt;&gt;"",FT!B1421*100,"")</f>
        <v/>
      </c>
      <c r="H1421" s="61" t="str">
        <f t="shared" si="56"/>
        <v/>
      </c>
      <c r="I1421" t="str">
        <f>IF(FT!B1421&lt;&gt;"",FT!E1421,"")</f>
        <v/>
      </c>
      <c r="J1421" t="str">
        <f>IF(FT!B1421&lt;&gt;"",FT!C1421,"")</f>
        <v/>
      </c>
    </row>
    <row r="1422" spans="5:10">
      <c r="E1422">
        <f t="shared" si="57"/>
        <v>1420</v>
      </c>
      <c r="F1422" s="61" t="str">
        <f>IF(FT!A1422&lt;&gt;"",FT!A1422*10,"")</f>
        <v/>
      </c>
      <c r="G1422" s="61" t="str">
        <f>IF(FT!B1422&lt;&gt;"",FT!B1422*100,"")</f>
        <v/>
      </c>
      <c r="H1422" s="61" t="str">
        <f t="shared" si="56"/>
        <v/>
      </c>
      <c r="I1422" t="str">
        <f>IF(FT!B1422&lt;&gt;"",FT!E1422,"")</f>
        <v/>
      </c>
      <c r="J1422" t="str">
        <f>IF(FT!B1422&lt;&gt;"",FT!C1422,"")</f>
        <v/>
      </c>
    </row>
    <row r="1423" spans="5:10">
      <c r="E1423">
        <f t="shared" si="57"/>
        <v>1421</v>
      </c>
      <c r="F1423" s="61" t="str">
        <f>IF(FT!A1423&lt;&gt;"",FT!A1423*10,"")</f>
        <v/>
      </c>
      <c r="G1423" s="61" t="str">
        <f>IF(FT!B1423&lt;&gt;"",FT!B1423*100,"")</f>
        <v/>
      </c>
      <c r="H1423" s="61" t="str">
        <f t="shared" si="56"/>
        <v/>
      </c>
      <c r="I1423" t="str">
        <f>IF(FT!B1423&lt;&gt;"",FT!E1423,"")</f>
        <v/>
      </c>
      <c r="J1423" t="str">
        <f>IF(FT!B1423&lt;&gt;"",FT!C1423,"")</f>
        <v/>
      </c>
    </row>
    <row r="1424" spans="5:10">
      <c r="E1424">
        <f t="shared" si="57"/>
        <v>1422</v>
      </c>
      <c r="F1424" s="61" t="str">
        <f>IF(FT!A1424&lt;&gt;"",FT!A1424*10,"")</f>
        <v/>
      </c>
      <c r="G1424" s="61" t="str">
        <f>IF(FT!B1424&lt;&gt;"",FT!B1424*100,"")</f>
        <v/>
      </c>
      <c r="H1424" s="61" t="str">
        <f t="shared" si="56"/>
        <v/>
      </c>
      <c r="I1424" t="str">
        <f>IF(FT!B1424&lt;&gt;"",FT!E1424,"")</f>
        <v/>
      </c>
      <c r="J1424" t="str">
        <f>IF(FT!B1424&lt;&gt;"",FT!C1424,"")</f>
        <v/>
      </c>
    </row>
    <row r="1425" spans="5:10">
      <c r="E1425">
        <f t="shared" si="57"/>
        <v>1423</v>
      </c>
      <c r="F1425" s="61" t="str">
        <f>IF(FT!A1425&lt;&gt;"",FT!A1425*10,"")</f>
        <v/>
      </c>
      <c r="G1425" s="61" t="str">
        <f>IF(FT!B1425&lt;&gt;"",FT!B1425*100,"")</f>
        <v/>
      </c>
      <c r="H1425" s="61" t="str">
        <f t="shared" si="56"/>
        <v/>
      </c>
      <c r="I1425" t="str">
        <f>IF(FT!B1425&lt;&gt;"",FT!E1425,"")</f>
        <v/>
      </c>
      <c r="J1425" t="str">
        <f>IF(FT!B1425&lt;&gt;"",FT!C1425,"")</f>
        <v/>
      </c>
    </row>
    <row r="1426" spans="5:10">
      <c r="E1426">
        <f t="shared" si="57"/>
        <v>1424</v>
      </c>
      <c r="F1426" s="61" t="str">
        <f>IF(FT!A1426&lt;&gt;"",FT!A1426*10,"")</f>
        <v/>
      </c>
      <c r="G1426" s="61" t="str">
        <f>IF(FT!B1426&lt;&gt;"",FT!B1426*100,"")</f>
        <v/>
      </c>
      <c r="H1426" s="61" t="str">
        <f t="shared" si="56"/>
        <v/>
      </c>
      <c r="I1426" t="str">
        <f>IF(FT!B1426&lt;&gt;"",FT!E1426,"")</f>
        <v/>
      </c>
      <c r="J1426" t="str">
        <f>IF(FT!B1426&lt;&gt;"",FT!C1426,"")</f>
        <v/>
      </c>
    </row>
    <row r="1427" spans="5:10">
      <c r="E1427">
        <f t="shared" si="57"/>
        <v>1425</v>
      </c>
      <c r="F1427" s="61" t="str">
        <f>IF(FT!A1427&lt;&gt;"",FT!A1427*10,"")</f>
        <v/>
      </c>
      <c r="G1427" s="61" t="str">
        <f>IF(FT!B1427&lt;&gt;"",FT!B1427*100,"")</f>
        <v/>
      </c>
      <c r="H1427" s="61" t="str">
        <f t="shared" si="56"/>
        <v/>
      </c>
      <c r="I1427" t="str">
        <f>IF(FT!B1427&lt;&gt;"",FT!E1427,"")</f>
        <v/>
      </c>
      <c r="J1427" t="str">
        <f>IF(FT!B1427&lt;&gt;"",FT!C1427,"")</f>
        <v/>
      </c>
    </row>
    <row r="1428" spans="5:10">
      <c r="E1428">
        <f t="shared" si="57"/>
        <v>1426</v>
      </c>
      <c r="F1428" s="61" t="str">
        <f>IF(FT!A1428&lt;&gt;"",FT!A1428*10,"")</f>
        <v/>
      </c>
      <c r="G1428" s="61" t="str">
        <f>IF(FT!B1428&lt;&gt;"",FT!B1428*100,"")</f>
        <v/>
      </c>
      <c r="H1428" s="61" t="str">
        <f t="shared" si="56"/>
        <v/>
      </c>
      <c r="I1428" t="str">
        <f>IF(FT!B1428&lt;&gt;"",FT!E1428,"")</f>
        <v/>
      </c>
      <c r="J1428" t="str">
        <f>IF(FT!B1428&lt;&gt;"",FT!C1428,"")</f>
        <v/>
      </c>
    </row>
    <row r="1429" spans="5:10">
      <c r="E1429">
        <f t="shared" si="57"/>
        <v>1427</v>
      </c>
      <c r="F1429" s="61" t="str">
        <f>IF(FT!A1429&lt;&gt;"",FT!A1429*10,"")</f>
        <v/>
      </c>
      <c r="G1429" s="61" t="str">
        <f>IF(FT!B1429&lt;&gt;"",FT!B1429*100,"")</f>
        <v/>
      </c>
      <c r="H1429" s="61" t="str">
        <f t="shared" si="56"/>
        <v/>
      </c>
      <c r="I1429" t="str">
        <f>IF(FT!B1429&lt;&gt;"",FT!E1429,"")</f>
        <v/>
      </c>
      <c r="J1429" t="str">
        <f>IF(FT!B1429&lt;&gt;"",FT!C1429,"")</f>
        <v/>
      </c>
    </row>
    <row r="1430" spans="5:10">
      <c r="E1430">
        <f t="shared" si="57"/>
        <v>1428</v>
      </c>
      <c r="F1430" s="61" t="str">
        <f>IF(FT!A1430&lt;&gt;"",FT!A1430*10,"")</f>
        <v/>
      </c>
      <c r="G1430" s="61" t="str">
        <f>IF(FT!B1430&lt;&gt;"",FT!B1430*100,"")</f>
        <v/>
      </c>
      <c r="H1430" s="61" t="str">
        <f t="shared" si="56"/>
        <v/>
      </c>
      <c r="I1430" t="str">
        <f>IF(FT!B1430&lt;&gt;"",FT!E1430,"")</f>
        <v/>
      </c>
      <c r="J1430" t="str">
        <f>IF(FT!B1430&lt;&gt;"",FT!C1430,"")</f>
        <v/>
      </c>
    </row>
    <row r="1431" spans="5:10">
      <c r="E1431">
        <f t="shared" si="57"/>
        <v>1429</v>
      </c>
      <c r="F1431" s="61" t="str">
        <f>IF(FT!A1431&lt;&gt;"",FT!A1431*10,"")</f>
        <v/>
      </c>
      <c r="G1431" s="61" t="str">
        <f>IF(FT!B1431&lt;&gt;"",FT!B1431*100,"")</f>
        <v/>
      </c>
      <c r="H1431" s="61" t="str">
        <f t="shared" si="56"/>
        <v/>
      </c>
      <c r="I1431" t="str">
        <f>IF(FT!B1431&lt;&gt;"",FT!E1431,"")</f>
        <v/>
      </c>
      <c r="J1431" t="str">
        <f>IF(FT!B1431&lt;&gt;"",FT!C1431,"")</f>
        <v/>
      </c>
    </row>
    <row r="1432" spans="5:10">
      <c r="E1432">
        <f t="shared" si="57"/>
        <v>1430</v>
      </c>
      <c r="F1432" s="61" t="str">
        <f>IF(FT!A1432&lt;&gt;"",FT!A1432*10,"")</f>
        <v/>
      </c>
      <c r="G1432" s="61" t="str">
        <f>IF(FT!B1432&lt;&gt;"",FT!B1432*100,"")</f>
        <v/>
      </c>
      <c r="H1432" s="61" t="str">
        <f t="shared" si="56"/>
        <v/>
      </c>
      <c r="I1432" t="str">
        <f>IF(FT!B1432&lt;&gt;"",FT!E1432,"")</f>
        <v/>
      </c>
      <c r="J1432" t="str">
        <f>IF(FT!B1432&lt;&gt;"",FT!C1432,"")</f>
        <v/>
      </c>
    </row>
    <row r="1433" spans="5:10">
      <c r="E1433">
        <f t="shared" si="57"/>
        <v>1431</v>
      </c>
      <c r="F1433" s="61" t="str">
        <f>IF(FT!A1433&lt;&gt;"",FT!A1433*10,"")</f>
        <v/>
      </c>
      <c r="G1433" s="61" t="str">
        <f>IF(FT!B1433&lt;&gt;"",FT!B1433*100,"")</f>
        <v/>
      </c>
      <c r="H1433" s="61" t="str">
        <f t="shared" si="56"/>
        <v/>
      </c>
      <c r="I1433" t="str">
        <f>IF(FT!B1433&lt;&gt;"",FT!E1433,"")</f>
        <v/>
      </c>
      <c r="J1433" t="str">
        <f>IF(FT!B1433&lt;&gt;"",FT!C1433,"")</f>
        <v/>
      </c>
    </row>
    <row r="1434" spans="5:10">
      <c r="E1434">
        <f t="shared" si="57"/>
        <v>1432</v>
      </c>
      <c r="F1434" s="61" t="str">
        <f>IF(FT!A1434&lt;&gt;"",FT!A1434*10,"")</f>
        <v/>
      </c>
      <c r="G1434" s="61" t="str">
        <f>IF(FT!B1434&lt;&gt;"",FT!B1434*100,"")</f>
        <v/>
      </c>
      <c r="H1434" s="61" t="str">
        <f t="shared" si="56"/>
        <v/>
      </c>
      <c r="I1434" t="str">
        <f>IF(FT!B1434&lt;&gt;"",FT!E1434,"")</f>
        <v/>
      </c>
      <c r="J1434" t="str">
        <f>IF(FT!B1434&lt;&gt;"",FT!C1434,"")</f>
        <v/>
      </c>
    </row>
    <row r="1435" spans="5:10">
      <c r="E1435">
        <f t="shared" si="57"/>
        <v>1433</v>
      </c>
      <c r="F1435" s="61" t="str">
        <f>IF(FT!A1435&lt;&gt;"",FT!A1435*10,"")</f>
        <v/>
      </c>
      <c r="G1435" s="61" t="str">
        <f>IF(FT!B1435&lt;&gt;"",FT!B1435*100,"")</f>
        <v/>
      </c>
      <c r="H1435" s="61" t="str">
        <f t="shared" si="56"/>
        <v/>
      </c>
      <c r="I1435" t="str">
        <f>IF(FT!B1435&lt;&gt;"",FT!E1435,"")</f>
        <v/>
      </c>
      <c r="J1435" t="str">
        <f>IF(FT!B1435&lt;&gt;"",FT!C1435,"")</f>
        <v/>
      </c>
    </row>
    <row r="1436" spans="5:10">
      <c r="E1436">
        <f t="shared" si="57"/>
        <v>1434</v>
      </c>
      <c r="F1436" s="61" t="str">
        <f>IF(FT!A1436&lt;&gt;"",FT!A1436*10,"")</f>
        <v/>
      </c>
      <c r="G1436" s="61" t="str">
        <f>IF(FT!B1436&lt;&gt;"",FT!B1436*100,"")</f>
        <v/>
      </c>
      <c r="H1436" s="61" t="str">
        <f t="shared" si="56"/>
        <v/>
      </c>
      <c r="I1436" t="str">
        <f>IF(FT!B1436&lt;&gt;"",FT!E1436,"")</f>
        <v/>
      </c>
      <c r="J1436" t="str">
        <f>IF(FT!B1436&lt;&gt;"",FT!C1436,"")</f>
        <v/>
      </c>
    </row>
    <row r="1437" spans="5:10">
      <c r="E1437">
        <f t="shared" si="57"/>
        <v>1435</v>
      </c>
      <c r="F1437" s="61" t="str">
        <f>IF(FT!A1437&lt;&gt;"",FT!A1437*10,"")</f>
        <v/>
      </c>
      <c r="G1437" s="61" t="str">
        <f>IF(FT!B1437&lt;&gt;"",FT!B1437*100,"")</f>
        <v/>
      </c>
      <c r="H1437" s="61" t="str">
        <f t="shared" si="56"/>
        <v/>
      </c>
      <c r="I1437" t="str">
        <f>IF(FT!B1437&lt;&gt;"",FT!E1437,"")</f>
        <v/>
      </c>
      <c r="J1437" t="str">
        <f>IF(FT!B1437&lt;&gt;"",FT!C1437,"")</f>
        <v/>
      </c>
    </row>
    <row r="1438" spans="5:10">
      <c r="E1438">
        <f t="shared" si="57"/>
        <v>1436</v>
      </c>
      <c r="F1438" s="61" t="str">
        <f>IF(FT!A1438&lt;&gt;"",FT!A1438*10,"")</f>
        <v/>
      </c>
      <c r="G1438" s="61" t="str">
        <f>IF(FT!B1438&lt;&gt;"",FT!B1438*100,"")</f>
        <v/>
      </c>
      <c r="H1438" s="61" t="str">
        <f t="shared" si="56"/>
        <v/>
      </c>
      <c r="I1438" t="str">
        <f>IF(FT!B1438&lt;&gt;"",FT!E1438,"")</f>
        <v/>
      </c>
      <c r="J1438" t="str">
        <f>IF(FT!B1438&lt;&gt;"",FT!C1438,"")</f>
        <v/>
      </c>
    </row>
    <row r="1439" spans="5:10">
      <c r="E1439">
        <f t="shared" si="57"/>
        <v>1437</v>
      </c>
      <c r="F1439" s="61" t="str">
        <f>IF(FT!A1439&lt;&gt;"",FT!A1439*10,"")</f>
        <v/>
      </c>
      <c r="G1439" s="61" t="str">
        <f>IF(FT!B1439&lt;&gt;"",FT!B1439*100,"")</f>
        <v/>
      </c>
      <c r="H1439" s="61" t="str">
        <f t="shared" si="56"/>
        <v/>
      </c>
      <c r="I1439" t="str">
        <f>IF(FT!B1439&lt;&gt;"",FT!E1439,"")</f>
        <v/>
      </c>
      <c r="J1439" t="str">
        <f>IF(FT!B1439&lt;&gt;"",FT!C1439,"")</f>
        <v/>
      </c>
    </row>
    <row r="1440" spans="5:10">
      <c r="E1440">
        <f t="shared" si="57"/>
        <v>1438</v>
      </c>
      <c r="F1440" s="61" t="str">
        <f>IF(FT!A1440&lt;&gt;"",FT!A1440*10,"")</f>
        <v/>
      </c>
      <c r="G1440" s="61" t="str">
        <f>IF(FT!B1440&lt;&gt;"",FT!B1440*100,"")</f>
        <v/>
      </c>
      <c r="H1440" s="61" t="str">
        <f t="shared" si="56"/>
        <v/>
      </c>
      <c r="I1440" t="str">
        <f>IF(FT!B1440&lt;&gt;"",FT!E1440,"")</f>
        <v/>
      </c>
      <c r="J1440" t="str">
        <f>IF(FT!B1440&lt;&gt;"",FT!C1440,"")</f>
        <v/>
      </c>
    </row>
    <row r="1441" spans="5:10">
      <c r="E1441">
        <f t="shared" si="57"/>
        <v>1439</v>
      </c>
      <c r="F1441" s="61" t="str">
        <f>IF(FT!A1441&lt;&gt;"",FT!A1441*10,"")</f>
        <v/>
      </c>
      <c r="G1441" s="61" t="str">
        <f>IF(FT!B1441&lt;&gt;"",FT!B1441*100,"")</f>
        <v/>
      </c>
      <c r="H1441" s="61" t="str">
        <f t="shared" si="56"/>
        <v/>
      </c>
      <c r="I1441" t="str">
        <f>IF(FT!B1441&lt;&gt;"",FT!E1441,"")</f>
        <v/>
      </c>
      <c r="J1441" t="str">
        <f>IF(FT!B1441&lt;&gt;"",FT!C1441,"")</f>
        <v/>
      </c>
    </row>
    <row r="1442" spans="5:10">
      <c r="E1442">
        <f t="shared" si="57"/>
        <v>1440</v>
      </c>
      <c r="F1442" s="61" t="str">
        <f>IF(FT!A1442&lt;&gt;"",FT!A1442*10,"")</f>
        <v/>
      </c>
      <c r="G1442" s="61" t="str">
        <f>IF(FT!B1442&lt;&gt;"",FT!B1442*100,"")</f>
        <v/>
      </c>
      <c r="H1442" s="61" t="str">
        <f t="shared" si="56"/>
        <v/>
      </c>
      <c r="I1442" t="str">
        <f>IF(FT!B1442&lt;&gt;"",FT!E1442,"")</f>
        <v/>
      </c>
      <c r="J1442" t="str">
        <f>IF(FT!B1442&lt;&gt;"",FT!C1442,"")</f>
        <v/>
      </c>
    </row>
    <row r="1443" spans="5:10">
      <c r="E1443">
        <f t="shared" si="57"/>
        <v>1441</v>
      </c>
      <c r="F1443" s="61" t="str">
        <f>IF(FT!A1443&lt;&gt;"",FT!A1443*10,"")</f>
        <v/>
      </c>
      <c r="G1443" s="61" t="str">
        <f>IF(FT!B1443&lt;&gt;"",FT!B1443*100,"")</f>
        <v/>
      </c>
      <c r="H1443" s="61" t="str">
        <f t="shared" si="56"/>
        <v/>
      </c>
      <c r="I1443" t="str">
        <f>IF(FT!B1443&lt;&gt;"",FT!E1443,"")</f>
        <v/>
      </c>
      <c r="J1443" t="str">
        <f>IF(FT!B1443&lt;&gt;"",FT!C1443,"")</f>
        <v/>
      </c>
    </row>
    <row r="1444" spans="5:10">
      <c r="E1444">
        <f t="shared" si="57"/>
        <v>1442</v>
      </c>
      <c r="F1444" s="61" t="str">
        <f>IF(FT!A1444&lt;&gt;"",FT!A1444*10,"")</f>
        <v/>
      </c>
      <c r="G1444" s="61" t="str">
        <f>IF(FT!B1444&lt;&gt;"",FT!B1444*100,"")</f>
        <v/>
      </c>
      <c r="H1444" s="61" t="str">
        <f t="shared" si="56"/>
        <v/>
      </c>
      <c r="I1444" t="str">
        <f>IF(FT!B1444&lt;&gt;"",FT!E1444,"")</f>
        <v/>
      </c>
      <c r="J1444" t="str">
        <f>IF(FT!B1444&lt;&gt;"",FT!C1444,"")</f>
        <v/>
      </c>
    </row>
    <row r="1445" spans="5:10">
      <c r="E1445">
        <f t="shared" si="57"/>
        <v>1443</v>
      </c>
      <c r="F1445" s="61" t="str">
        <f>IF(FT!A1445&lt;&gt;"",FT!A1445*10,"")</f>
        <v/>
      </c>
      <c r="G1445" s="61" t="str">
        <f>IF(FT!B1445&lt;&gt;"",FT!B1445*100,"")</f>
        <v/>
      </c>
      <c r="H1445" s="61" t="str">
        <f t="shared" si="56"/>
        <v/>
      </c>
      <c r="I1445" t="str">
        <f>IF(FT!B1445&lt;&gt;"",FT!E1445,"")</f>
        <v/>
      </c>
      <c r="J1445" t="str">
        <f>IF(FT!B1445&lt;&gt;"",FT!C1445,"")</f>
        <v/>
      </c>
    </row>
    <row r="1446" spans="5:10">
      <c r="E1446">
        <f t="shared" si="57"/>
        <v>1444</v>
      </c>
      <c r="F1446" s="61" t="str">
        <f>IF(FT!A1446&lt;&gt;"",FT!A1446*10,"")</f>
        <v/>
      </c>
      <c r="G1446" s="61" t="str">
        <f>IF(FT!B1446&lt;&gt;"",FT!B1446*100,"")</f>
        <v/>
      </c>
      <c r="H1446" s="61" t="str">
        <f t="shared" si="56"/>
        <v/>
      </c>
      <c r="I1446" t="str">
        <f>IF(FT!B1446&lt;&gt;"",FT!E1446,"")</f>
        <v/>
      </c>
      <c r="J1446" t="str">
        <f>IF(FT!B1446&lt;&gt;"",FT!C1446,"")</f>
        <v/>
      </c>
    </row>
    <row r="1447" spans="5:10">
      <c r="E1447">
        <f t="shared" si="57"/>
        <v>1445</v>
      </c>
      <c r="F1447" s="61" t="str">
        <f>IF(FT!A1447&lt;&gt;"",FT!A1447*10,"")</f>
        <v/>
      </c>
      <c r="G1447" s="61" t="str">
        <f>IF(FT!B1447&lt;&gt;"",FT!B1447*100,"")</f>
        <v/>
      </c>
      <c r="H1447" s="61" t="str">
        <f t="shared" si="56"/>
        <v/>
      </c>
      <c r="I1447" t="str">
        <f>IF(FT!B1447&lt;&gt;"",FT!E1447,"")</f>
        <v/>
      </c>
      <c r="J1447" t="str">
        <f>IF(FT!B1447&lt;&gt;"",FT!C1447,"")</f>
        <v/>
      </c>
    </row>
    <row r="1448" spans="5:10">
      <c r="E1448">
        <f t="shared" si="57"/>
        <v>1446</v>
      </c>
      <c r="F1448" s="61" t="str">
        <f>IF(FT!A1448&lt;&gt;"",FT!A1448*10,"")</f>
        <v/>
      </c>
      <c r="G1448" s="61" t="str">
        <f>IF(FT!B1448&lt;&gt;"",FT!B1448*100,"")</f>
        <v/>
      </c>
      <c r="H1448" s="61" t="str">
        <f t="shared" si="56"/>
        <v/>
      </c>
      <c r="I1448" t="str">
        <f>IF(FT!B1448&lt;&gt;"",FT!E1448,"")</f>
        <v/>
      </c>
      <c r="J1448" t="str">
        <f>IF(FT!B1448&lt;&gt;"",FT!C1448,"")</f>
        <v/>
      </c>
    </row>
    <row r="1449" spans="5:10">
      <c r="E1449">
        <f t="shared" si="57"/>
        <v>1447</v>
      </c>
      <c r="F1449" s="61" t="str">
        <f>IF(FT!A1449&lt;&gt;"",FT!A1449*10,"")</f>
        <v/>
      </c>
      <c r="G1449" s="61" t="str">
        <f>IF(FT!B1449&lt;&gt;"",FT!B1449*100,"")</f>
        <v/>
      </c>
      <c r="H1449" s="61" t="str">
        <f t="shared" si="56"/>
        <v/>
      </c>
      <c r="I1449" t="str">
        <f>IF(FT!B1449&lt;&gt;"",FT!E1449,"")</f>
        <v/>
      </c>
      <c r="J1449" t="str">
        <f>IF(FT!B1449&lt;&gt;"",FT!C1449,"")</f>
        <v/>
      </c>
    </row>
    <row r="1450" spans="5:10">
      <c r="E1450">
        <f t="shared" si="57"/>
        <v>1448</v>
      </c>
      <c r="F1450" s="61" t="str">
        <f>IF(FT!A1450&lt;&gt;"",FT!A1450*10,"")</f>
        <v/>
      </c>
      <c r="G1450" s="61" t="str">
        <f>IF(FT!B1450&lt;&gt;"",FT!B1450*100,"")</f>
        <v/>
      </c>
      <c r="H1450" s="61" t="str">
        <f t="shared" si="56"/>
        <v/>
      </c>
      <c r="I1450" t="str">
        <f>IF(FT!B1450&lt;&gt;"",FT!E1450,"")</f>
        <v/>
      </c>
      <c r="J1450" t="str">
        <f>IF(FT!B1450&lt;&gt;"",FT!C1450,"")</f>
        <v/>
      </c>
    </row>
    <row r="1451" spans="5:10">
      <c r="E1451">
        <f t="shared" si="57"/>
        <v>1449</v>
      </c>
      <c r="F1451" s="61" t="str">
        <f>IF(FT!A1451&lt;&gt;"",FT!A1451*10,"")</f>
        <v/>
      </c>
      <c r="G1451" s="61" t="str">
        <f>IF(FT!B1451&lt;&gt;"",FT!B1451*100,"")</f>
        <v/>
      </c>
      <c r="H1451" s="61" t="str">
        <f t="shared" si="56"/>
        <v/>
      </c>
      <c r="I1451" t="str">
        <f>IF(FT!B1451&lt;&gt;"",FT!E1451,"")</f>
        <v/>
      </c>
      <c r="J1451" t="str">
        <f>IF(FT!B1451&lt;&gt;"",FT!C1451,"")</f>
        <v/>
      </c>
    </row>
    <row r="1452" spans="5:10">
      <c r="E1452">
        <f t="shared" si="57"/>
        <v>1450</v>
      </c>
      <c r="F1452" s="61" t="str">
        <f>IF(FT!A1452&lt;&gt;"",FT!A1452*10,"")</f>
        <v/>
      </c>
      <c r="G1452" s="61" t="str">
        <f>IF(FT!B1452&lt;&gt;"",FT!B1452*100,"")</f>
        <v/>
      </c>
      <c r="H1452" s="61" t="str">
        <f t="shared" si="56"/>
        <v/>
      </c>
      <c r="I1452" t="str">
        <f>IF(FT!B1452&lt;&gt;"",FT!E1452,"")</f>
        <v/>
      </c>
      <c r="J1452" t="str">
        <f>IF(FT!B1452&lt;&gt;"",FT!C1452,"")</f>
        <v/>
      </c>
    </row>
    <row r="1453" spans="5:10">
      <c r="E1453">
        <f t="shared" si="57"/>
        <v>1451</v>
      </c>
      <c r="F1453" s="61" t="str">
        <f>IF(FT!A1453&lt;&gt;"",FT!A1453*10,"")</f>
        <v/>
      </c>
      <c r="G1453" s="61" t="str">
        <f>IF(FT!B1453&lt;&gt;"",FT!B1453*100,"")</f>
        <v/>
      </c>
      <c r="H1453" s="61" t="str">
        <f t="shared" si="56"/>
        <v/>
      </c>
      <c r="I1453" t="str">
        <f>IF(FT!B1453&lt;&gt;"",FT!E1453,"")</f>
        <v/>
      </c>
      <c r="J1453" t="str">
        <f>IF(FT!B1453&lt;&gt;"",FT!C1453,"")</f>
        <v/>
      </c>
    </row>
    <row r="1454" spans="5:10">
      <c r="E1454">
        <f t="shared" si="57"/>
        <v>1452</v>
      </c>
      <c r="F1454" s="61" t="str">
        <f>IF(FT!A1454&lt;&gt;"",FT!A1454*10,"")</f>
        <v/>
      </c>
      <c r="G1454" s="61" t="str">
        <f>IF(FT!B1454&lt;&gt;"",FT!B1454*100,"")</f>
        <v/>
      </c>
      <c r="H1454" s="61" t="str">
        <f t="shared" si="56"/>
        <v/>
      </c>
      <c r="I1454" t="str">
        <f>IF(FT!B1454&lt;&gt;"",FT!E1454,"")</f>
        <v/>
      </c>
      <c r="J1454" t="str">
        <f>IF(FT!B1454&lt;&gt;"",FT!C1454,"")</f>
        <v/>
      </c>
    </row>
    <row r="1455" spans="5:10">
      <c r="E1455">
        <f t="shared" si="57"/>
        <v>1453</v>
      </c>
      <c r="F1455" s="61" t="str">
        <f>IF(FT!A1455&lt;&gt;"",FT!A1455*10,"")</f>
        <v/>
      </c>
      <c r="G1455" s="61" t="str">
        <f>IF(FT!B1455&lt;&gt;"",FT!B1455*100,"")</f>
        <v/>
      </c>
      <c r="H1455" s="61" t="str">
        <f t="shared" si="56"/>
        <v/>
      </c>
      <c r="I1455" t="str">
        <f>IF(FT!B1455&lt;&gt;"",FT!E1455,"")</f>
        <v/>
      </c>
      <c r="J1455" t="str">
        <f>IF(FT!B1455&lt;&gt;"",FT!C1455,"")</f>
        <v/>
      </c>
    </row>
    <row r="1456" spans="5:10">
      <c r="E1456">
        <f t="shared" si="57"/>
        <v>1454</v>
      </c>
      <c r="F1456" s="61" t="str">
        <f>IF(FT!A1456&lt;&gt;"",FT!A1456*10,"")</f>
        <v/>
      </c>
      <c r="G1456" s="61" t="str">
        <f>IF(FT!B1456&lt;&gt;"",FT!B1456*100,"")</f>
        <v/>
      </c>
      <c r="H1456" s="61" t="str">
        <f t="shared" si="56"/>
        <v/>
      </c>
      <c r="I1456" t="str">
        <f>IF(FT!B1456&lt;&gt;"",FT!E1456,"")</f>
        <v/>
      </c>
      <c r="J1456" t="str">
        <f>IF(FT!B1456&lt;&gt;"",FT!C1456,"")</f>
        <v/>
      </c>
    </row>
    <row r="1457" spans="5:10">
      <c r="E1457">
        <f t="shared" si="57"/>
        <v>1455</v>
      </c>
      <c r="F1457" s="61" t="str">
        <f>IF(FT!A1457&lt;&gt;"",FT!A1457*10,"")</f>
        <v/>
      </c>
      <c r="G1457" s="61" t="str">
        <f>IF(FT!B1457&lt;&gt;"",FT!B1457*100,"")</f>
        <v/>
      </c>
      <c r="H1457" s="61" t="str">
        <f t="shared" si="56"/>
        <v/>
      </c>
      <c r="I1457" t="str">
        <f>IF(FT!B1457&lt;&gt;"",FT!E1457,"")</f>
        <v/>
      </c>
      <c r="J1457" t="str">
        <f>IF(FT!B1457&lt;&gt;"",FT!C1457,"")</f>
        <v/>
      </c>
    </row>
    <row r="1458" spans="5:10">
      <c r="E1458">
        <f t="shared" si="57"/>
        <v>1456</v>
      </c>
      <c r="F1458" s="61" t="str">
        <f>IF(FT!A1458&lt;&gt;"",FT!A1458*10,"")</f>
        <v/>
      </c>
      <c r="G1458" s="61" t="str">
        <f>IF(FT!B1458&lt;&gt;"",FT!B1458*100,"")</f>
        <v/>
      </c>
      <c r="H1458" s="61" t="str">
        <f t="shared" si="56"/>
        <v/>
      </c>
      <c r="I1458" t="str">
        <f>IF(FT!B1458&lt;&gt;"",FT!E1458,"")</f>
        <v/>
      </c>
      <c r="J1458" t="str">
        <f>IF(FT!B1458&lt;&gt;"",FT!C1458,"")</f>
        <v/>
      </c>
    </row>
    <row r="1459" spans="5:10">
      <c r="E1459">
        <f t="shared" si="57"/>
        <v>1457</v>
      </c>
      <c r="F1459" s="61" t="str">
        <f>IF(FT!A1459&lt;&gt;"",FT!A1459*10,"")</f>
        <v/>
      </c>
      <c r="G1459" s="61" t="str">
        <f>IF(FT!B1459&lt;&gt;"",FT!B1459*100,"")</f>
        <v/>
      </c>
      <c r="H1459" s="61" t="str">
        <f t="shared" si="56"/>
        <v/>
      </c>
      <c r="I1459" t="str">
        <f>IF(FT!B1459&lt;&gt;"",FT!E1459,"")</f>
        <v/>
      </c>
      <c r="J1459" t="str">
        <f>IF(FT!B1459&lt;&gt;"",FT!C1459,"")</f>
        <v/>
      </c>
    </row>
    <row r="1460" spans="5:10">
      <c r="E1460">
        <f t="shared" si="57"/>
        <v>1458</v>
      </c>
      <c r="F1460" s="61" t="str">
        <f>IF(FT!A1460&lt;&gt;"",FT!A1460*10,"")</f>
        <v/>
      </c>
      <c r="G1460" s="61" t="str">
        <f>IF(FT!B1460&lt;&gt;"",FT!B1460*100,"")</f>
        <v/>
      </c>
      <c r="H1460" s="61" t="str">
        <f t="shared" si="56"/>
        <v/>
      </c>
      <c r="I1460" t="str">
        <f>IF(FT!B1460&lt;&gt;"",FT!E1460,"")</f>
        <v/>
      </c>
      <c r="J1460" t="str">
        <f>IF(FT!B1460&lt;&gt;"",FT!C1460,"")</f>
        <v/>
      </c>
    </row>
    <row r="1461" spans="5:10">
      <c r="E1461">
        <f t="shared" si="57"/>
        <v>1459</v>
      </c>
      <c r="F1461" s="61" t="str">
        <f>IF(FT!A1461&lt;&gt;"",FT!A1461*10,"")</f>
        <v/>
      </c>
      <c r="G1461" s="61" t="str">
        <f>IF(FT!B1461&lt;&gt;"",FT!B1461*100,"")</f>
        <v/>
      </c>
      <c r="H1461" s="61" t="str">
        <f t="shared" si="56"/>
        <v/>
      </c>
      <c r="I1461" t="str">
        <f>IF(FT!B1461&lt;&gt;"",FT!E1461,"")</f>
        <v/>
      </c>
      <c r="J1461" t="str">
        <f>IF(FT!B1461&lt;&gt;"",FT!C1461,"")</f>
        <v/>
      </c>
    </row>
    <row r="1462" spans="5:10">
      <c r="E1462">
        <f t="shared" si="57"/>
        <v>1460</v>
      </c>
      <c r="F1462" s="61" t="str">
        <f>IF(FT!A1462&lt;&gt;"",FT!A1462*10,"")</f>
        <v/>
      </c>
      <c r="G1462" s="61" t="str">
        <f>IF(FT!B1462&lt;&gt;"",FT!B1462*100,"")</f>
        <v/>
      </c>
      <c r="H1462" s="61" t="str">
        <f t="shared" si="56"/>
        <v/>
      </c>
      <c r="I1462" t="str">
        <f>IF(FT!B1462&lt;&gt;"",FT!E1462,"")</f>
        <v/>
      </c>
      <c r="J1462" t="str">
        <f>IF(FT!B1462&lt;&gt;"",FT!C1462,"")</f>
        <v/>
      </c>
    </row>
    <row r="1463" spans="5:10">
      <c r="E1463">
        <f t="shared" si="57"/>
        <v>1461</v>
      </c>
      <c r="F1463" s="61" t="str">
        <f>IF(FT!A1463&lt;&gt;"",FT!A1463*10,"")</f>
        <v/>
      </c>
      <c r="G1463" s="61" t="str">
        <f>IF(FT!B1463&lt;&gt;"",FT!B1463*100,"")</f>
        <v/>
      </c>
      <c r="H1463" s="61" t="str">
        <f t="shared" si="56"/>
        <v/>
      </c>
      <c r="I1463" t="str">
        <f>IF(FT!B1463&lt;&gt;"",FT!E1463,"")</f>
        <v/>
      </c>
      <c r="J1463" t="str">
        <f>IF(FT!B1463&lt;&gt;"",FT!C1463,"")</f>
        <v/>
      </c>
    </row>
    <row r="1464" spans="5:10">
      <c r="E1464">
        <f t="shared" si="57"/>
        <v>1462</v>
      </c>
      <c r="F1464" s="61" t="str">
        <f>IF(FT!A1464&lt;&gt;"",FT!A1464*10,"")</f>
        <v/>
      </c>
      <c r="G1464" s="61" t="str">
        <f>IF(FT!B1464&lt;&gt;"",FT!B1464*100,"")</f>
        <v/>
      </c>
      <c r="H1464" s="61" t="str">
        <f t="shared" si="56"/>
        <v/>
      </c>
      <c r="I1464" t="str">
        <f>IF(FT!B1464&lt;&gt;"",FT!E1464,"")</f>
        <v/>
      </c>
      <c r="J1464" t="str">
        <f>IF(FT!B1464&lt;&gt;"",FT!C1464,"")</f>
        <v/>
      </c>
    </row>
    <row r="1465" spans="5:10">
      <c r="E1465">
        <f t="shared" si="57"/>
        <v>1463</v>
      </c>
      <c r="F1465" s="61" t="str">
        <f>IF(FT!A1465&lt;&gt;"",FT!A1465*10,"")</f>
        <v/>
      </c>
      <c r="G1465" s="61" t="str">
        <f>IF(FT!B1465&lt;&gt;"",FT!B1465*100,"")</f>
        <v/>
      </c>
      <c r="H1465" s="61" t="str">
        <f t="shared" si="56"/>
        <v/>
      </c>
      <c r="I1465" t="str">
        <f>IF(FT!B1465&lt;&gt;"",FT!E1465,"")</f>
        <v/>
      </c>
      <c r="J1465" t="str">
        <f>IF(FT!B1465&lt;&gt;"",FT!C1465,"")</f>
        <v/>
      </c>
    </row>
    <row r="1466" spans="5:10">
      <c r="E1466">
        <f t="shared" si="57"/>
        <v>1464</v>
      </c>
      <c r="F1466" s="61" t="str">
        <f>IF(FT!A1466&lt;&gt;"",FT!A1466*10,"")</f>
        <v/>
      </c>
      <c r="G1466" s="61" t="str">
        <f>IF(FT!B1466&lt;&gt;"",FT!B1466*100,"")</f>
        <v/>
      </c>
      <c r="H1466" s="61" t="str">
        <f t="shared" si="56"/>
        <v/>
      </c>
      <c r="I1466" t="str">
        <f>IF(FT!B1466&lt;&gt;"",FT!E1466,"")</f>
        <v/>
      </c>
      <c r="J1466" t="str">
        <f>IF(FT!B1466&lt;&gt;"",FT!C1466,"")</f>
        <v/>
      </c>
    </row>
    <row r="1467" spans="5:10">
      <c r="E1467">
        <f t="shared" si="57"/>
        <v>1465</v>
      </c>
      <c r="F1467" s="61" t="str">
        <f>IF(FT!A1467&lt;&gt;"",FT!A1467*10,"")</f>
        <v/>
      </c>
      <c r="G1467" s="61" t="str">
        <f>IF(FT!B1467&lt;&gt;"",FT!B1467*100,"")</f>
        <v/>
      </c>
      <c r="H1467" s="61" t="str">
        <f t="shared" si="56"/>
        <v/>
      </c>
      <c r="I1467" t="str">
        <f>IF(FT!B1467&lt;&gt;"",FT!E1467,"")</f>
        <v/>
      </c>
      <c r="J1467" t="str">
        <f>IF(FT!B1467&lt;&gt;"",FT!C1467,"")</f>
        <v/>
      </c>
    </row>
    <row r="1468" spans="5:10">
      <c r="E1468">
        <f t="shared" si="57"/>
        <v>1466</v>
      </c>
      <c r="F1468" s="61" t="str">
        <f>IF(FT!A1468&lt;&gt;"",FT!A1468*10,"")</f>
        <v/>
      </c>
      <c r="G1468" s="61" t="str">
        <f>IF(FT!B1468&lt;&gt;"",FT!B1468*100,"")</f>
        <v/>
      </c>
      <c r="H1468" s="61" t="str">
        <f t="shared" si="56"/>
        <v/>
      </c>
      <c r="I1468" t="str">
        <f>IF(FT!B1468&lt;&gt;"",FT!E1468,"")</f>
        <v/>
      </c>
      <c r="J1468" t="str">
        <f>IF(FT!B1468&lt;&gt;"",FT!C1468,"")</f>
        <v/>
      </c>
    </row>
    <row r="1469" spans="5:10">
      <c r="E1469">
        <f t="shared" si="57"/>
        <v>1467</v>
      </c>
      <c r="F1469" s="61" t="str">
        <f>IF(FT!A1469&lt;&gt;"",FT!A1469*10,"")</f>
        <v/>
      </c>
      <c r="G1469" s="61" t="str">
        <f>IF(FT!B1469&lt;&gt;"",FT!B1469*100,"")</f>
        <v/>
      </c>
      <c r="H1469" s="61" t="str">
        <f t="shared" si="56"/>
        <v/>
      </c>
      <c r="I1469" t="str">
        <f>IF(FT!B1469&lt;&gt;"",FT!E1469,"")</f>
        <v/>
      </c>
      <c r="J1469" t="str">
        <f>IF(FT!B1469&lt;&gt;"",FT!C1469,"")</f>
        <v/>
      </c>
    </row>
    <row r="1470" spans="5:10">
      <c r="E1470">
        <f t="shared" si="57"/>
        <v>1468</v>
      </c>
      <c r="F1470" s="61" t="str">
        <f>IF(FT!A1470&lt;&gt;"",FT!A1470*10,"")</f>
        <v/>
      </c>
      <c r="G1470" s="61" t="str">
        <f>IF(FT!B1470&lt;&gt;"",FT!B1470*100,"")</f>
        <v/>
      </c>
      <c r="H1470" s="61" t="str">
        <f t="shared" si="56"/>
        <v/>
      </c>
      <c r="I1470" t="str">
        <f>IF(FT!B1470&lt;&gt;"",FT!E1470,"")</f>
        <v/>
      </c>
      <c r="J1470" t="str">
        <f>IF(FT!B1470&lt;&gt;"",FT!C1470,"")</f>
        <v/>
      </c>
    </row>
    <row r="1471" spans="5:10">
      <c r="E1471">
        <f t="shared" si="57"/>
        <v>1469</v>
      </c>
      <c r="F1471" s="61" t="str">
        <f>IF(FT!A1471&lt;&gt;"",FT!A1471*10,"")</f>
        <v/>
      </c>
      <c r="G1471" s="61" t="str">
        <f>IF(FT!B1471&lt;&gt;"",FT!B1471*100,"")</f>
        <v/>
      </c>
      <c r="H1471" s="61" t="str">
        <f t="shared" si="56"/>
        <v/>
      </c>
      <c r="I1471" t="str">
        <f>IF(FT!B1471&lt;&gt;"",FT!E1471,"")</f>
        <v/>
      </c>
      <c r="J1471" t="str">
        <f>IF(FT!B1471&lt;&gt;"",FT!C1471,"")</f>
        <v/>
      </c>
    </row>
    <row r="1472" spans="5:10">
      <c r="E1472">
        <f t="shared" si="57"/>
        <v>1470</v>
      </c>
      <c r="F1472" s="61" t="str">
        <f>IF(FT!A1472&lt;&gt;"",FT!A1472*10,"")</f>
        <v/>
      </c>
      <c r="G1472" s="61" t="str">
        <f>IF(FT!B1472&lt;&gt;"",FT!B1472*100,"")</f>
        <v/>
      </c>
      <c r="H1472" s="61" t="str">
        <f t="shared" si="56"/>
        <v/>
      </c>
      <c r="I1472" t="str">
        <f>IF(FT!B1472&lt;&gt;"",FT!E1472,"")</f>
        <v/>
      </c>
      <c r="J1472" t="str">
        <f>IF(FT!B1472&lt;&gt;"",FT!C1472,"")</f>
        <v/>
      </c>
    </row>
    <row r="1473" spans="5:10">
      <c r="E1473">
        <f t="shared" si="57"/>
        <v>1471</v>
      </c>
      <c r="F1473" s="61" t="str">
        <f>IF(FT!A1473&lt;&gt;"",FT!A1473*10,"")</f>
        <v/>
      </c>
      <c r="G1473" s="61" t="str">
        <f>IF(FT!B1473&lt;&gt;"",FT!B1473*100,"")</f>
        <v/>
      </c>
      <c r="H1473" s="61" t="str">
        <f t="shared" si="56"/>
        <v/>
      </c>
      <c r="I1473" t="str">
        <f>IF(FT!B1473&lt;&gt;"",FT!E1473,"")</f>
        <v/>
      </c>
      <c r="J1473" t="str">
        <f>IF(FT!B1473&lt;&gt;"",FT!C1473,"")</f>
        <v/>
      </c>
    </row>
    <row r="1474" spans="5:10">
      <c r="E1474">
        <f t="shared" si="57"/>
        <v>1472</v>
      </c>
      <c r="F1474" s="61" t="str">
        <f>IF(FT!A1474&lt;&gt;"",FT!A1474*10,"")</f>
        <v/>
      </c>
      <c r="G1474" s="61" t="str">
        <f>IF(FT!B1474&lt;&gt;"",FT!B1474*100,"")</f>
        <v/>
      </c>
      <c r="H1474" s="61" t="str">
        <f t="shared" si="56"/>
        <v/>
      </c>
      <c r="I1474" t="str">
        <f>IF(FT!B1474&lt;&gt;"",FT!E1474,"")</f>
        <v/>
      </c>
      <c r="J1474" t="str">
        <f>IF(FT!B1474&lt;&gt;"",FT!C1474,"")</f>
        <v/>
      </c>
    </row>
    <row r="1475" spans="5:10">
      <c r="E1475">
        <f t="shared" si="57"/>
        <v>1473</v>
      </c>
      <c r="F1475" s="61" t="str">
        <f>IF(FT!A1475&lt;&gt;"",FT!A1475*10,"")</f>
        <v/>
      </c>
      <c r="G1475" s="61" t="str">
        <f>IF(FT!B1475&lt;&gt;"",FT!B1475*100,"")</f>
        <v/>
      </c>
      <c r="H1475" s="61" t="str">
        <f t="shared" ref="H1475:H1538" si="58">(IF(F1475&lt;&gt;"",1,""))</f>
        <v/>
      </c>
      <c r="I1475" t="str">
        <f>IF(FT!B1475&lt;&gt;"",FT!E1475,"")</f>
        <v/>
      </c>
      <c r="J1475" t="str">
        <f>IF(FT!B1475&lt;&gt;"",FT!C1475,"")</f>
        <v/>
      </c>
    </row>
    <row r="1476" spans="5:10">
      <c r="E1476">
        <f t="shared" ref="E1476:E1539" si="59">E1475+1</f>
        <v>1474</v>
      </c>
      <c r="F1476" s="61" t="str">
        <f>IF(FT!A1476&lt;&gt;"",FT!A1476*10,"")</f>
        <v/>
      </c>
      <c r="G1476" s="61" t="str">
        <f>IF(FT!B1476&lt;&gt;"",FT!B1476*100,"")</f>
        <v/>
      </c>
      <c r="H1476" s="61" t="str">
        <f t="shared" si="58"/>
        <v/>
      </c>
      <c r="I1476" t="str">
        <f>IF(FT!B1476&lt;&gt;"",FT!E1476,"")</f>
        <v/>
      </c>
      <c r="J1476" t="str">
        <f>IF(FT!B1476&lt;&gt;"",FT!C1476,"")</f>
        <v/>
      </c>
    </row>
    <row r="1477" spans="5:10">
      <c r="E1477">
        <f t="shared" si="59"/>
        <v>1475</v>
      </c>
      <c r="F1477" s="61" t="str">
        <f>IF(FT!A1477&lt;&gt;"",FT!A1477*10,"")</f>
        <v/>
      </c>
      <c r="G1477" s="61" t="str">
        <f>IF(FT!B1477&lt;&gt;"",FT!B1477*100,"")</f>
        <v/>
      </c>
      <c r="H1477" s="61" t="str">
        <f t="shared" si="58"/>
        <v/>
      </c>
      <c r="I1477" t="str">
        <f>IF(FT!B1477&lt;&gt;"",FT!E1477,"")</f>
        <v/>
      </c>
      <c r="J1477" t="str">
        <f>IF(FT!B1477&lt;&gt;"",FT!C1477,"")</f>
        <v/>
      </c>
    </row>
    <row r="1478" spans="5:10">
      <c r="E1478">
        <f t="shared" si="59"/>
        <v>1476</v>
      </c>
      <c r="F1478" s="61" t="str">
        <f>IF(FT!A1478&lt;&gt;"",FT!A1478*10,"")</f>
        <v/>
      </c>
      <c r="G1478" s="61" t="str">
        <f>IF(FT!B1478&lt;&gt;"",FT!B1478*100,"")</f>
        <v/>
      </c>
      <c r="H1478" s="61" t="str">
        <f t="shared" si="58"/>
        <v/>
      </c>
      <c r="I1478" t="str">
        <f>IF(FT!B1478&lt;&gt;"",FT!E1478,"")</f>
        <v/>
      </c>
      <c r="J1478" t="str">
        <f>IF(FT!B1478&lt;&gt;"",FT!C1478,"")</f>
        <v/>
      </c>
    </row>
    <row r="1479" spans="5:10">
      <c r="E1479">
        <f t="shared" si="59"/>
        <v>1477</v>
      </c>
      <c r="F1479" s="61" t="str">
        <f>IF(FT!A1479&lt;&gt;"",FT!A1479*10,"")</f>
        <v/>
      </c>
      <c r="G1479" s="61" t="str">
        <f>IF(FT!B1479&lt;&gt;"",FT!B1479*100,"")</f>
        <v/>
      </c>
      <c r="H1479" s="61" t="str">
        <f t="shared" si="58"/>
        <v/>
      </c>
      <c r="I1479" t="str">
        <f>IF(FT!B1479&lt;&gt;"",FT!E1479,"")</f>
        <v/>
      </c>
      <c r="J1479" t="str">
        <f>IF(FT!B1479&lt;&gt;"",FT!C1479,"")</f>
        <v/>
      </c>
    </row>
    <row r="1480" spans="5:10">
      <c r="E1480">
        <f t="shared" si="59"/>
        <v>1478</v>
      </c>
      <c r="F1480" s="61" t="str">
        <f>IF(FT!A1480&lt;&gt;"",FT!A1480*10,"")</f>
        <v/>
      </c>
      <c r="G1480" s="61" t="str">
        <f>IF(FT!B1480&lt;&gt;"",FT!B1480*100,"")</f>
        <v/>
      </c>
      <c r="H1480" s="61" t="str">
        <f t="shared" si="58"/>
        <v/>
      </c>
      <c r="I1480" t="str">
        <f>IF(FT!B1480&lt;&gt;"",FT!E1480,"")</f>
        <v/>
      </c>
      <c r="J1480" t="str">
        <f>IF(FT!B1480&lt;&gt;"",FT!C1480,"")</f>
        <v/>
      </c>
    </row>
    <row r="1481" spans="5:10">
      <c r="E1481">
        <f t="shared" si="59"/>
        <v>1479</v>
      </c>
      <c r="F1481" s="61" t="str">
        <f>IF(FT!A1481&lt;&gt;"",FT!A1481*10,"")</f>
        <v/>
      </c>
      <c r="G1481" s="61" t="str">
        <f>IF(FT!B1481&lt;&gt;"",FT!B1481*100,"")</f>
        <v/>
      </c>
      <c r="H1481" s="61" t="str">
        <f t="shared" si="58"/>
        <v/>
      </c>
      <c r="I1481" t="str">
        <f>IF(FT!B1481&lt;&gt;"",FT!E1481,"")</f>
        <v/>
      </c>
      <c r="J1481" t="str">
        <f>IF(FT!B1481&lt;&gt;"",FT!C1481,"")</f>
        <v/>
      </c>
    </row>
    <row r="1482" spans="5:10">
      <c r="E1482">
        <f t="shared" si="59"/>
        <v>1480</v>
      </c>
      <c r="F1482" s="61" t="str">
        <f>IF(FT!A1482&lt;&gt;"",FT!A1482*10,"")</f>
        <v/>
      </c>
      <c r="G1482" s="61" t="str">
        <f>IF(FT!B1482&lt;&gt;"",FT!B1482*100,"")</f>
        <v/>
      </c>
      <c r="H1482" s="61" t="str">
        <f t="shared" si="58"/>
        <v/>
      </c>
      <c r="I1482" t="str">
        <f>IF(FT!B1482&lt;&gt;"",FT!E1482,"")</f>
        <v/>
      </c>
      <c r="J1482" t="str">
        <f>IF(FT!B1482&lt;&gt;"",FT!C1482,"")</f>
        <v/>
      </c>
    </row>
    <row r="1483" spans="5:10">
      <c r="E1483">
        <f t="shared" si="59"/>
        <v>1481</v>
      </c>
      <c r="F1483" s="61" t="str">
        <f>IF(FT!A1483&lt;&gt;"",FT!A1483*10,"")</f>
        <v/>
      </c>
      <c r="G1483" s="61" t="str">
        <f>IF(FT!B1483&lt;&gt;"",FT!B1483*100,"")</f>
        <v/>
      </c>
      <c r="H1483" s="61" t="str">
        <f t="shared" si="58"/>
        <v/>
      </c>
      <c r="I1483" t="str">
        <f>IF(FT!B1483&lt;&gt;"",FT!E1483,"")</f>
        <v/>
      </c>
      <c r="J1483" t="str">
        <f>IF(FT!B1483&lt;&gt;"",FT!C1483,"")</f>
        <v/>
      </c>
    </row>
    <row r="1484" spans="5:10">
      <c r="E1484">
        <f t="shared" si="59"/>
        <v>1482</v>
      </c>
      <c r="F1484" s="61" t="str">
        <f>IF(FT!A1484&lt;&gt;"",FT!A1484*10,"")</f>
        <v/>
      </c>
      <c r="G1484" s="61" t="str">
        <f>IF(FT!B1484&lt;&gt;"",FT!B1484*100,"")</f>
        <v/>
      </c>
      <c r="H1484" s="61" t="str">
        <f t="shared" si="58"/>
        <v/>
      </c>
      <c r="I1484" t="str">
        <f>IF(FT!B1484&lt;&gt;"",FT!E1484,"")</f>
        <v/>
      </c>
      <c r="J1484" t="str">
        <f>IF(FT!B1484&lt;&gt;"",FT!C1484,"")</f>
        <v/>
      </c>
    </row>
    <row r="1485" spans="5:10">
      <c r="E1485">
        <f t="shared" si="59"/>
        <v>1483</v>
      </c>
      <c r="F1485" s="61" t="str">
        <f>IF(FT!A1485&lt;&gt;"",FT!A1485*10,"")</f>
        <v/>
      </c>
      <c r="G1485" s="61" t="str">
        <f>IF(FT!B1485&lt;&gt;"",FT!B1485*100,"")</f>
        <v/>
      </c>
      <c r="H1485" s="61" t="str">
        <f t="shared" si="58"/>
        <v/>
      </c>
      <c r="I1485" t="str">
        <f>IF(FT!B1485&lt;&gt;"",FT!E1485,"")</f>
        <v/>
      </c>
      <c r="J1485" t="str">
        <f>IF(FT!B1485&lt;&gt;"",FT!C1485,"")</f>
        <v/>
      </c>
    </row>
    <row r="1486" spans="5:10">
      <c r="E1486">
        <f t="shared" si="59"/>
        <v>1484</v>
      </c>
      <c r="F1486" s="61" t="str">
        <f>IF(FT!A1486&lt;&gt;"",FT!A1486*10,"")</f>
        <v/>
      </c>
      <c r="G1486" s="61" t="str">
        <f>IF(FT!B1486&lt;&gt;"",FT!B1486*100,"")</f>
        <v/>
      </c>
      <c r="H1486" s="61" t="str">
        <f t="shared" si="58"/>
        <v/>
      </c>
      <c r="I1486" t="str">
        <f>IF(FT!B1486&lt;&gt;"",FT!E1486,"")</f>
        <v/>
      </c>
      <c r="J1486" t="str">
        <f>IF(FT!B1486&lt;&gt;"",FT!C1486,"")</f>
        <v/>
      </c>
    </row>
    <row r="1487" spans="5:10">
      <c r="E1487">
        <f t="shared" si="59"/>
        <v>1485</v>
      </c>
      <c r="F1487" s="61" t="str">
        <f>IF(FT!A1487&lt;&gt;"",FT!A1487*10,"")</f>
        <v/>
      </c>
      <c r="G1487" s="61" t="str">
        <f>IF(FT!B1487&lt;&gt;"",FT!B1487*100,"")</f>
        <v/>
      </c>
      <c r="H1487" s="61" t="str">
        <f t="shared" si="58"/>
        <v/>
      </c>
      <c r="I1487" t="str">
        <f>IF(FT!B1487&lt;&gt;"",FT!E1487,"")</f>
        <v/>
      </c>
      <c r="J1487" t="str">
        <f>IF(FT!B1487&lt;&gt;"",FT!C1487,"")</f>
        <v/>
      </c>
    </row>
    <row r="1488" spans="5:10">
      <c r="E1488">
        <f t="shared" si="59"/>
        <v>1486</v>
      </c>
      <c r="F1488" s="61" t="str">
        <f>IF(FT!A1488&lt;&gt;"",FT!A1488*10,"")</f>
        <v/>
      </c>
      <c r="G1488" s="61" t="str">
        <f>IF(FT!B1488&lt;&gt;"",FT!B1488*100,"")</f>
        <v/>
      </c>
      <c r="H1488" s="61" t="str">
        <f t="shared" si="58"/>
        <v/>
      </c>
      <c r="I1488" t="str">
        <f>IF(FT!B1488&lt;&gt;"",FT!E1488,"")</f>
        <v/>
      </c>
      <c r="J1488" t="str">
        <f>IF(FT!B1488&lt;&gt;"",FT!C1488,"")</f>
        <v/>
      </c>
    </row>
    <row r="1489" spans="5:10">
      <c r="E1489">
        <f t="shared" si="59"/>
        <v>1487</v>
      </c>
      <c r="F1489" s="61" t="str">
        <f>IF(FT!A1489&lt;&gt;"",FT!A1489*10,"")</f>
        <v/>
      </c>
      <c r="G1489" s="61" t="str">
        <f>IF(FT!B1489&lt;&gt;"",FT!B1489*100,"")</f>
        <v/>
      </c>
      <c r="H1489" s="61" t="str">
        <f t="shared" si="58"/>
        <v/>
      </c>
      <c r="I1489" t="str">
        <f>IF(FT!B1489&lt;&gt;"",FT!E1489,"")</f>
        <v/>
      </c>
      <c r="J1489" t="str">
        <f>IF(FT!B1489&lt;&gt;"",FT!C1489,"")</f>
        <v/>
      </c>
    </row>
    <row r="1490" spans="5:10">
      <c r="E1490">
        <f t="shared" si="59"/>
        <v>1488</v>
      </c>
      <c r="F1490" s="61" t="str">
        <f>IF(FT!A1490&lt;&gt;"",FT!A1490*10,"")</f>
        <v/>
      </c>
      <c r="G1490" s="61" t="str">
        <f>IF(FT!B1490&lt;&gt;"",FT!B1490*100,"")</f>
        <v/>
      </c>
      <c r="H1490" s="61" t="str">
        <f t="shared" si="58"/>
        <v/>
      </c>
      <c r="I1490" t="str">
        <f>IF(FT!B1490&lt;&gt;"",FT!E1490,"")</f>
        <v/>
      </c>
      <c r="J1490" t="str">
        <f>IF(FT!B1490&lt;&gt;"",FT!C1490,"")</f>
        <v/>
      </c>
    </row>
    <row r="1491" spans="5:10">
      <c r="E1491">
        <f t="shared" si="59"/>
        <v>1489</v>
      </c>
      <c r="F1491" s="61" t="str">
        <f>IF(FT!A1491&lt;&gt;"",FT!A1491*10,"")</f>
        <v/>
      </c>
      <c r="G1491" s="61" t="str">
        <f>IF(FT!B1491&lt;&gt;"",FT!B1491*100,"")</f>
        <v/>
      </c>
      <c r="H1491" s="61" t="str">
        <f t="shared" si="58"/>
        <v/>
      </c>
      <c r="I1491" t="str">
        <f>IF(FT!B1491&lt;&gt;"",FT!E1491,"")</f>
        <v/>
      </c>
      <c r="J1491" t="str">
        <f>IF(FT!B1491&lt;&gt;"",FT!C1491,"")</f>
        <v/>
      </c>
    </row>
    <row r="1492" spans="5:10">
      <c r="E1492">
        <f t="shared" si="59"/>
        <v>1490</v>
      </c>
      <c r="F1492" s="61" t="str">
        <f>IF(FT!A1492&lt;&gt;"",FT!A1492*10,"")</f>
        <v/>
      </c>
      <c r="G1492" s="61" t="str">
        <f>IF(FT!B1492&lt;&gt;"",FT!B1492*100,"")</f>
        <v/>
      </c>
      <c r="H1492" s="61" t="str">
        <f t="shared" si="58"/>
        <v/>
      </c>
      <c r="I1492" t="str">
        <f>IF(FT!B1492&lt;&gt;"",FT!E1492,"")</f>
        <v/>
      </c>
      <c r="J1492" t="str">
        <f>IF(FT!B1492&lt;&gt;"",FT!C1492,"")</f>
        <v/>
      </c>
    </row>
    <row r="1493" spans="5:10">
      <c r="E1493">
        <f t="shared" si="59"/>
        <v>1491</v>
      </c>
      <c r="F1493" s="61" t="str">
        <f>IF(FT!A1493&lt;&gt;"",FT!A1493*10,"")</f>
        <v/>
      </c>
      <c r="G1493" s="61" t="str">
        <f>IF(FT!B1493&lt;&gt;"",FT!B1493*100,"")</f>
        <v/>
      </c>
      <c r="H1493" s="61" t="str">
        <f t="shared" si="58"/>
        <v/>
      </c>
      <c r="I1493" t="str">
        <f>IF(FT!B1493&lt;&gt;"",FT!E1493,"")</f>
        <v/>
      </c>
      <c r="J1493" t="str">
        <f>IF(FT!B1493&lt;&gt;"",FT!C1493,"")</f>
        <v/>
      </c>
    </row>
    <row r="1494" spans="5:10">
      <c r="E1494">
        <f t="shared" si="59"/>
        <v>1492</v>
      </c>
      <c r="F1494" s="61" t="str">
        <f>IF(FT!A1494&lt;&gt;"",FT!A1494*10,"")</f>
        <v/>
      </c>
      <c r="G1494" s="61" t="str">
        <f>IF(FT!B1494&lt;&gt;"",FT!B1494*100,"")</f>
        <v/>
      </c>
      <c r="H1494" s="61" t="str">
        <f t="shared" si="58"/>
        <v/>
      </c>
      <c r="I1494" t="str">
        <f>IF(FT!B1494&lt;&gt;"",FT!E1494,"")</f>
        <v/>
      </c>
      <c r="J1494" t="str">
        <f>IF(FT!B1494&lt;&gt;"",FT!C1494,"")</f>
        <v/>
      </c>
    </row>
    <row r="1495" spans="5:10">
      <c r="E1495">
        <f t="shared" si="59"/>
        <v>1493</v>
      </c>
      <c r="F1495" s="61" t="str">
        <f>IF(FT!A1495&lt;&gt;"",FT!A1495*10,"")</f>
        <v/>
      </c>
      <c r="G1495" s="61" t="str">
        <f>IF(FT!B1495&lt;&gt;"",FT!B1495*100,"")</f>
        <v/>
      </c>
      <c r="H1495" s="61" t="str">
        <f t="shared" si="58"/>
        <v/>
      </c>
      <c r="I1495" t="str">
        <f>IF(FT!B1495&lt;&gt;"",FT!E1495,"")</f>
        <v/>
      </c>
      <c r="J1495" t="str">
        <f>IF(FT!B1495&lt;&gt;"",FT!C1495,"")</f>
        <v/>
      </c>
    </row>
    <row r="1496" spans="5:10">
      <c r="E1496">
        <f t="shared" si="59"/>
        <v>1494</v>
      </c>
      <c r="F1496" s="61" t="str">
        <f>IF(FT!A1496&lt;&gt;"",FT!A1496*10,"")</f>
        <v/>
      </c>
      <c r="G1496" s="61" t="str">
        <f>IF(FT!B1496&lt;&gt;"",FT!B1496*100,"")</f>
        <v/>
      </c>
      <c r="H1496" s="61" t="str">
        <f t="shared" si="58"/>
        <v/>
      </c>
      <c r="I1496" t="str">
        <f>IF(FT!B1496&lt;&gt;"",FT!E1496,"")</f>
        <v/>
      </c>
      <c r="J1496" t="str">
        <f>IF(FT!B1496&lt;&gt;"",FT!C1496,"")</f>
        <v/>
      </c>
    </row>
    <row r="1497" spans="5:10">
      <c r="E1497">
        <f t="shared" si="59"/>
        <v>1495</v>
      </c>
      <c r="F1497" s="61" t="str">
        <f>IF(FT!A1497&lt;&gt;"",FT!A1497*10,"")</f>
        <v/>
      </c>
      <c r="G1497" s="61" t="str">
        <f>IF(FT!B1497&lt;&gt;"",FT!B1497*100,"")</f>
        <v/>
      </c>
      <c r="H1497" s="61" t="str">
        <f t="shared" si="58"/>
        <v/>
      </c>
      <c r="I1497" t="str">
        <f>IF(FT!B1497&lt;&gt;"",FT!E1497,"")</f>
        <v/>
      </c>
      <c r="J1497" t="str">
        <f>IF(FT!B1497&lt;&gt;"",FT!C1497,"")</f>
        <v/>
      </c>
    </row>
    <row r="1498" spans="5:10">
      <c r="E1498">
        <f t="shared" si="59"/>
        <v>1496</v>
      </c>
      <c r="F1498" s="61" t="str">
        <f>IF(FT!A1498&lt;&gt;"",FT!A1498*10,"")</f>
        <v/>
      </c>
      <c r="G1498" s="61" t="str">
        <f>IF(FT!B1498&lt;&gt;"",FT!B1498*100,"")</f>
        <v/>
      </c>
      <c r="H1498" s="61" t="str">
        <f t="shared" si="58"/>
        <v/>
      </c>
      <c r="I1498" t="str">
        <f>IF(FT!B1498&lt;&gt;"",FT!E1498,"")</f>
        <v/>
      </c>
      <c r="J1498" t="str">
        <f>IF(FT!B1498&lt;&gt;"",FT!C1498,"")</f>
        <v/>
      </c>
    </row>
    <row r="1499" spans="5:10">
      <c r="E1499">
        <f t="shared" si="59"/>
        <v>1497</v>
      </c>
      <c r="F1499" s="61" t="str">
        <f>IF(FT!A1499&lt;&gt;"",FT!A1499*10,"")</f>
        <v/>
      </c>
      <c r="G1499" s="61" t="str">
        <f>IF(FT!B1499&lt;&gt;"",FT!B1499*100,"")</f>
        <v/>
      </c>
      <c r="H1499" s="61" t="str">
        <f t="shared" si="58"/>
        <v/>
      </c>
      <c r="I1499" t="str">
        <f>IF(FT!B1499&lt;&gt;"",FT!E1499,"")</f>
        <v/>
      </c>
      <c r="J1499" t="str">
        <f>IF(FT!B1499&lt;&gt;"",FT!C1499,"")</f>
        <v/>
      </c>
    </row>
    <row r="1500" spans="5:10">
      <c r="E1500">
        <f t="shared" si="59"/>
        <v>1498</v>
      </c>
      <c r="F1500" s="61" t="str">
        <f>IF(FT!A1500&lt;&gt;"",FT!A1500*10,"")</f>
        <v/>
      </c>
      <c r="G1500" s="61" t="str">
        <f>IF(FT!B1500&lt;&gt;"",FT!B1500*100,"")</f>
        <v/>
      </c>
      <c r="H1500" s="61" t="str">
        <f t="shared" si="58"/>
        <v/>
      </c>
      <c r="I1500" t="str">
        <f>IF(FT!B1500&lt;&gt;"",FT!E1500,"")</f>
        <v/>
      </c>
      <c r="J1500" t="str">
        <f>IF(FT!B1500&lt;&gt;"",FT!C1500,"")</f>
        <v/>
      </c>
    </row>
    <row r="1501" spans="5:10">
      <c r="E1501">
        <f t="shared" si="59"/>
        <v>1499</v>
      </c>
      <c r="F1501" s="61" t="str">
        <f>IF(FT!A1501&lt;&gt;"",FT!A1501*10,"")</f>
        <v/>
      </c>
      <c r="G1501" s="61" t="str">
        <f>IF(FT!B1501&lt;&gt;"",FT!B1501*100,"")</f>
        <v/>
      </c>
      <c r="H1501" s="61" t="str">
        <f t="shared" si="58"/>
        <v/>
      </c>
      <c r="I1501" t="str">
        <f>IF(FT!B1501&lt;&gt;"",FT!E1501,"")</f>
        <v/>
      </c>
      <c r="J1501" t="str">
        <f>IF(FT!B1501&lt;&gt;"",FT!C1501,"")</f>
        <v/>
      </c>
    </row>
    <row r="1502" spans="5:10">
      <c r="E1502">
        <f t="shared" si="59"/>
        <v>1500</v>
      </c>
      <c r="F1502" s="61" t="str">
        <f>IF(FT!A1502&lt;&gt;"",FT!A1502*10,"")</f>
        <v/>
      </c>
      <c r="G1502" s="61" t="str">
        <f>IF(FT!B1502&lt;&gt;"",FT!B1502*100,"")</f>
        <v/>
      </c>
      <c r="H1502" s="61" t="str">
        <f t="shared" si="58"/>
        <v/>
      </c>
      <c r="I1502" t="str">
        <f>IF(FT!B1502&lt;&gt;"",FT!E1502,"")</f>
        <v/>
      </c>
      <c r="J1502" t="str">
        <f>IF(FT!B1502&lt;&gt;"",FT!C1502,"")</f>
        <v/>
      </c>
    </row>
    <row r="1503" spans="5:10">
      <c r="E1503">
        <f t="shared" si="59"/>
        <v>1501</v>
      </c>
      <c r="F1503" s="61" t="str">
        <f>IF(FT!A1503&lt;&gt;"",FT!A1503*10,"")</f>
        <v/>
      </c>
      <c r="G1503" s="61" t="str">
        <f>IF(FT!B1503&lt;&gt;"",FT!B1503*100,"")</f>
        <v/>
      </c>
      <c r="H1503" s="61" t="str">
        <f t="shared" si="58"/>
        <v/>
      </c>
      <c r="I1503" t="str">
        <f>IF(FT!B1503&lt;&gt;"",FT!E1503,"")</f>
        <v/>
      </c>
      <c r="J1503" t="str">
        <f>IF(FT!B1503&lt;&gt;"",FT!C1503,"")</f>
        <v/>
      </c>
    </row>
    <row r="1504" spans="5:10">
      <c r="E1504">
        <f t="shared" si="59"/>
        <v>1502</v>
      </c>
      <c r="F1504" s="61" t="str">
        <f>IF(FT!A1504&lt;&gt;"",FT!A1504*10,"")</f>
        <v/>
      </c>
      <c r="G1504" s="61" t="str">
        <f>IF(FT!B1504&lt;&gt;"",FT!B1504*100,"")</f>
        <v/>
      </c>
      <c r="H1504" s="61" t="str">
        <f t="shared" si="58"/>
        <v/>
      </c>
      <c r="I1504" t="str">
        <f>IF(FT!B1504&lt;&gt;"",FT!E1504,"")</f>
        <v/>
      </c>
      <c r="J1504" t="str">
        <f>IF(FT!B1504&lt;&gt;"",FT!C1504,"")</f>
        <v/>
      </c>
    </row>
    <row r="1505" spans="5:10">
      <c r="E1505">
        <f t="shared" si="59"/>
        <v>1503</v>
      </c>
      <c r="F1505" s="61" t="str">
        <f>IF(FT!A1505&lt;&gt;"",FT!A1505*10,"")</f>
        <v/>
      </c>
      <c r="G1505" s="61" t="str">
        <f>IF(FT!B1505&lt;&gt;"",FT!B1505*100,"")</f>
        <v/>
      </c>
      <c r="H1505" s="61" t="str">
        <f t="shared" si="58"/>
        <v/>
      </c>
      <c r="I1505" t="str">
        <f>IF(FT!B1505&lt;&gt;"",FT!E1505,"")</f>
        <v/>
      </c>
      <c r="J1505" t="str">
        <f>IF(FT!B1505&lt;&gt;"",FT!C1505,"")</f>
        <v/>
      </c>
    </row>
    <row r="1506" spans="5:10">
      <c r="E1506">
        <f t="shared" si="59"/>
        <v>1504</v>
      </c>
      <c r="F1506" s="61" t="str">
        <f>IF(FT!A1506&lt;&gt;"",FT!A1506*10,"")</f>
        <v/>
      </c>
      <c r="G1506" s="61" t="str">
        <f>IF(FT!B1506&lt;&gt;"",FT!B1506*100,"")</f>
        <v/>
      </c>
      <c r="H1506" s="61" t="str">
        <f t="shared" si="58"/>
        <v/>
      </c>
      <c r="I1506" t="str">
        <f>IF(FT!B1506&lt;&gt;"",FT!E1506,"")</f>
        <v/>
      </c>
      <c r="J1506" t="str">
        <f>IF(FT!B1506&lt;&gt;"",FT!C1506,"")</f>
        <v/>
      </c>
    </row>
    <row r="1507" spans="5:10">
      <c r="E1507">
        <f t="shared" si="59"/>
        <v>1505</v>
      </c>
      <c r="F1507" s="61" t="str">
        <f>IF(FT!A1507&lt;&gt;"",FT!A1507*10,"")</f>
        <v/>
      </c>
      <c r="G1507" s="61" t="str">
        <f>IF(FT!B1507&lt;&gt;"",FT!B1507*100,"")</f>
        <v/>
      </c>
      <c r="H1507" s="61" t="str">
        <f t="shared" si="58"/>
        <v/>
      </c>
      <c r="I1507" t="str">
        <f>IF(FT!B1507&lt;&gt;"",FT!E1507,"")</f>
        <v/>
      </c>
      <c r="J1507" t="str">
        <f>IF(FT!B1507&lt;&gt;"",FT!C1507,"")</f>
        <v/>
      </c>
    </row>
    <row r="1508" spans="5:10">
      <c r="E1508">
        <f t="shared" si="59"/>
        <v>1506</v>
      </c>
      <c r="F1508" s="61" t="str">
        <f>IF(FT!A1508&lt;&gt;"",FT!A1508*10,"")</f>
        <v/>
      </c>
      <c r="G1508" s="61" t="str">
        <f>IF(FT!B1508&lt;&gt;"",FT!B1508*100,"")</f>
        <v/>
      </c>
      <c r="H1508" s="61" t="str">
        <f t="shared" si="58"/>
        <v/>
      </c>
      <c r="I1508" t="str">
        <f>IF(FT!B1508&lt;&gt;"",FT!E1508,"")</f>
        <v/>
      </c>
      <c r="J1508" t="str">
        <f>IF(FT!B1508&lt;&gt;"",FT!C1508,"")</f>
        <v/>
      </c>
    </row>
    <row r="1509" spans="5:10">
      <c r="E1509">
        <f t="shared" si="59"/>
        <v>1507</v>
      </c>
      <c r="F1509" s="61" t="str">
        <f>IF(FT!A1509&lt;&gt;"",FT!A1509*10,"")</f>
        <v/>
      </c>
      <c r="G1509" s="61" t="str">
        <f>IF(FT!B1509&lt;&gt;"",FT!B1509*100,"")</f>
        <v/>
      </c>
      <c r="H1509" s="61" t="str">
        <f t="shared" si="58"/>
        <v/>
      </c>
      <c r="I1509" t="str">
        <f>IF(FT!B1509&lt;&gt;"",FT!E1509,"")</f>
        <v/>
      </c>
      <c r="J1509" t="str">
        <f>IF(FT!B1509&lt;&gt;"",FT!C1509,"")</f>
        <v/>
      </c>
    </row>
    <row r="1510" spans="5:10">
      <c r="E1510">
        <f t="shared" si="59"/>
        <v>1508</v>
      </c>
      <c r="F1510" s="61" t="str">
        <f>IF(FT!A1510&lt;&gt;"",FT!A1510*10,"")</f>
        <v/>
      </c>
      <c r="G1510" s="61" t="str">
        <f>IF(FT!B1510&lt;&gt;"",FT!B1510*100,"")</f>
        <v/>
      </c>
      <c r="H1510" s="61" t="str">
        <f t="shared" si="58"/>
        <v/>
      </c>
      <c r="I1510" t="str">
        <f>IF(FT!B1510&lt;&gt;"",FT!E1510,"")</f>
        <v/>
      </c>
      <c r="J1510" t="str">
        <f>IF(FT!B1510&lt;&gt;"",FT!C1510,"")</f>
        <v/>
      </c>
    </row>
    <row r="1511" spans="5:10">
      <c r="E1511">
        <f t="shared" si="59"/>
        <v>1509</v>
      </c>
      <c r="F1511" s="61" t="str">
        <f>IF(FT!A1511&lt;&gt;"",FT!A1511*10,"")</f>
        <v/>
      </c>
      <c r="G1511" s="61" t="str">
        <f>IF(FT!B1511&lt;&gt;"",FT!B1511*100,"")</f>
        <v/>
      </c>
      <c r="H1511" s="61" t="str">
        <f t="shared" si="58"/>
        <v/>
      </c>
      <c r="I1511" t="str">
        <f>IF(FT!B1511&lt;&gt;"",FT!E1511,"")</f>
        <v/>
      </c>
      <c r="J1511" t="str">
        <f>IF(FT!B1511&lt;&gt;"",FT!C1511,"")</f>
        <v/>
      </c>
    </row>
    <row r="1512" spans="5:10">
      <c r="E1512">
        <f t="shared" si="59"/>
        <v>1510</v>
      </c>
      <c r="F1512" s="61" t="str">
        <f>IF(FT!A1512&lt;&gt;"",FT!A1512*10,"")</f>
        <v/>
      </c>
      <c r="G1512" s="61" t="str">
        <f>IF(FT!B1512&lt;&gt;"",FT!B1512*100,"")</f>
        <v/>
      </c>
      <c r="H1512" s="61" t="str">
        <f t="shared" si="58"/>
        <v/>
      </c>
      <c r="I1512" t="str">
        <f>IF(FT!B1512&lt;&gt;"",FT!E1512,"")</f>
        <v/>
      </c>
      <c r="J1512" t="str">
        <f>IF(FT!B1512&lt;&gt;"",FT!C1512,"")</f>
        <v/>
      </c>
    </row>
    <row r="1513" spans="5:10">
      <c r="E1513">
        <f t="shared" si="59"/>
        <v>1511</v>
      </c>
      <c r="F1513" s="61" t="str">
        <f>IF(FT!A1513&lt;&gt;"",FT!A1513*10,"")</f>
        <v/>
      </c>
      <c r="G1513" s="61" t="str">
        <f>IF(FT!B1513&lt;&gt;"",FT!B1513*100,"")</f>
        <v/>
      </c>
      <c r="H1513" s="61" t="str">
        <f t="shared" si="58"/>
        <v/>
      </c>
      <c r="I1513" t="str">
        <f>IF(FT!B1513&lt;&gt;"",FT!E1513,"")</f>
        <v/>
      </c>
      <c r="J1513" t="str">
        <f>IF(FT!B1513&lt;&gt;"",FT!C1513,"")</f>
        <v/>
      </c>
    </row>
    <row r="1514" spans="5:10">
      <c r="E1514">
        <f t="shared" si="59"/>
        <v>1512</v>
      </c>
      <c r="F1514" s="61" t="str">
        <f>IF(FT!A1514&lt;&gt;"",FT!A1514*10,"")</f>
        <v/>
      </c>
      <c r="G1514" s="61" t="str">
        <f>IF(FT!B1514&lt;&gt;"",FT!B1514*100,"")</f>
        <v/>
      </c>
      <c r="H1514" s="61" t="str">
        <f t="shared" si="58"/>
        <v/>
      </c>
      <c r="I1514" t="str">
        <f>IF(FT!B1514&lt;&gt;"",FT!E1514,"")</f>
        <v/>
      </c>
      <c r="J1514" t="str">
        <f>IF(FT!B1514&lt;&gt;"",FT!C1514,"")</f>
        <v/>
      </c>
    </row>
    <row r="1515" spans="5:10">
      <c r="E1515">
        <f t="shared" si="59"/>
        <v>1513</v>
      </c>
      <c r="F1515" s="61" t="str">
        <f>IF(FT!A1515&lt;&gt;"",FT!A1515*10,"")</f>
        <v/>
      </c>
      <c r="G1515" s="61" t="str">
        <f>IF(FT!B1515&lt;&gt;"",FT!B1515*100,"")</f>
        <v/>
      </c>
      <c r="H1515" s="61" t="str">
        <f t="shared" si="58"/>
        <v/>
      </c>
      <c r="I1515" t="str">
        <f>IF(FT!B1515&lt;&gt;"",FT!E1515,"")</f>
        <v/>
      </c>
      <c r="J1515" t="str">
        <f>IF(FT!B1515&lt;&gt;"",FT!C1515,"")</f>
        <v/>
      </c>
    </row>
    <row r="1516" spans="5:10">
      <c r="E1516">
        <f t="shared" si="59"/>
        <v>1514</v>
      </c>
      <c r="F1516" s="61" t="str">
        <f>IF(FT!A1516&lt;&gt;"",FT!A1516*10,"")</f>
        <v/>
      </c>
      <c r="G1516" s="61" t="str">
        <f>IF(FT!B1516&lt;&gt;"",FT!B1516*100,"")</f>
        <v/>
      </c>
      <c r="H1516" s="61" t="str">
        <f t="shared" si="58"/>
        <v/>
      </c>
      <c r="I1516" t="str">
        <f>IF(FT!B1516&lt;&gt;"",FT!E1516,"")</f>
        <v/>
      </c>
      <c r="J1516" t="str">
        <f>IF(FT!B1516&lt;&gt;"",FT!C1516,"")</f>
        <v/>
      </c>
    </row>
    <row r="1517" spans="5:10">
      <c r="E1517">
        <f t="shared" si="59"/>
        <v>1515</v>
      </c>
      <c r="F1517" s="61" t="str">
        <f>IF(FT!A1517&lt;&gt;"",FT!A1517*10,"")</f>
        <v/>
      </c>
      <c r="G1517" s="61" t="str">
        <f>IF(FT!B1517&lt;&gt;"",FT!B1517*100,"")</f>
        <v/>
      </c>
      <c r="H1517" s="61" t="str">
        <f t="shared" si="58"/>
        <v/>
      </c>
      <c r="I1517" t="str">
        <f>IF(FT!B1517&lt;&gt;"",FT!E1517,"")</f>
        <v/>
      </c>
      <c r="J1517" t="str">
        <f>IF(FT!B1517&lt;&gt;"",FT!C1517,"")</f>
        <v/>
      </c>
    </row>
    <row r="1518" spans="5:10">
      <c r="E1518">
        <f t="shared" si="59"/>
        <v>1516</v>
      </c>
      <c r="F1518" s="61" t="str">
        <f>IF(FT!A1518&lt;&gt;"",FT!A1518*10,"")</f>
        <v/>
      </c>
      <c r="G1518" s="61" t="str">
        <f>IF(FT!B1518&lt;&gt;"",FT!B1518*100,"")</f>
        <v/>
      </c>
      <c r="H1518" s="61" t="str">
        <f t="shared" si="58"/>
        <v/>
      </c>
      <c r="I1518" t="str">
        <f>IF(FT!B1518&lt;&gt;"",FT!E1518,"")</f>
        <v/>
      </c>
      <c r="J1518" t="str">
        <f>IF(FT!B1518&lt;&gt;"",FT!C1518,"")</f>
        <v/>
      </c>
    </row>
    <row r="1519" spans="5:10">
      <c r="E1519">
        <f t="shared" si="59"/>
        <v>1517</v>
      </c>
      <c r="F1519" s="61" t="str">
        <f>IF(FT!A1519&lt;&gt;"",FT!A1519*10,"")</f>
        <v/>
      </c>
      <c r="G1519" s="61" t="str">
        <f>IF(FT!B1519&lt;&gt;"",FT!B1519*100,"")</f>
        <v/>
      </c>
      <c r="H1519" s="61" t="str">
        <f t="shared" si="58"/>
        <v/>
      </c>
      <c r="I1519" t="str">
        <f>IF(FT!B1519&lt;&gt;"",FT!E1519,"")</f>
        <v/>
      </c>
      <c r="J1519" t="str">
        <f>IF(FT!B1519&lt;&gt;"",FT!C1519,"")</f>
        <v/>
      </c>
    </row>
    <row r="1520" spans="5:10">
      <c r="E1520">
        <f t="shared" si="59"/>
        <v>1518</v>
      </c>
      <c r="F1520" s="61" t="str">
        <f>IF(FT!A1520&lt;&gt;"",FT!A1520*10,"")</f>
        <v/>
      </c>
      <c r="G1520" s="61" t="str">
        <f>IF(FT!B1520&lt;&gt;"",FT!B1520*100,"")</f>
        <v/>
      </c>
      <c r="H1520" s="61" t="str">
        <f t="shared" si="58"/>
        <v/>
      </c>
      <c r="I1520" t="str">
        <f>IF(FT!B1520&lt;&gt;"",FT!E1520,"")</f>
        <v/>
      </c>
      <c r="J1520" t="str">
        <f>IF(FT!B1520&lt;&gt;"",FT!C1520,"")</f>
        <v/>
      </c>
    </row>
    <row r="1521" spans="5:10">
      <c r="E1521">
        <f t="shared" si="59"/>
        <v>1519</v>
      </c>
      <c r="F1521" s="61" t="str">
        <f>IF(FT!A1521&lt;&gt;"",FT!A1521*10,"")</f>
        <v/>
      </c>
      <c r="G1521" s="61" t="str">
        <f>IF(FT!B1521&lt;&gt;"",FT!B1521*100,"")</f>
        <v/>
      </c>
      <c r="H1521" s="61" t="str">
        <f t="shared" si="58"/>
        <v/>
      </c>
      <c r="I1521" t="str">
        <f>IF(FT!B1521&lt;&gt;"",FT!E1521,"")</f>
        <v/>
      </c>
      <c r="J1521" t="str">
        <f>IF(FT!B1521&lt;&gt;"",FT!C1521,"")</f>
        <v/>
      </c>
    </row>
    <row r="1522" spans="5:10">
      <c r="E1522">
        <f t="shared" si="59"/>
        <v>1520</v>
      </c>
      <c r="F1522" s="61" t="str">
        <f>IF(FT!A1522&lt;&gt;"",FT!A1522*10,"")</f>
        <v/>
      </c>
      <c r="G1522" s="61" t="str">
        <f>IF(FT!B1522&lt;&gt;"",FT!B1522*100,"")</f>
        <v/>
      </c>
      <c r="H1522" s="61" t="str">
        <f t="shared" si="58"/>
        <v/>
      </c>
      <c r="I1522" t="str">
        <f>IF(FT!B1522&lt;&gt;"",FT!E1522,"")</f>
        <v/>
      </c>
      <c r="J1522" t="str">
        <f>IF(FT!B1522&lt;&gt;"",FT!C1522,"")</f>
        <v/>
      </c>
    </row>
    <row r="1523" spans="5:10">
      <c r="E1523">
        <f t="shared" si="59"/>
        <v>1521</v>
      </c>
      <c r="F1523" s="61" t="str">
        <f>IF(FT!A1523&lt;&gt;"",FT!A1523*10,"")</f>
        <v/>
      </c>
      <c r="G1523" s="61" t="str">
        <f>IF(FT!B1523&lt;&gt;"",FT!B1523*100,"")</f>
        <v/>
      </c>
      <c r="H1523" s="61" t="str">
        <f t="shared" si="58"/>
        <v/>
      </c>
      <c r="I1523" t="str">
        <f>IF(FT!B1523&lt;&gt;"",FT!E1523,"")</f>
        <v/>
      </c>
      <c r="J1523" t="str">
        <f>IF(FT!B1523&lt;&gt;"",FT!C1523,"")</f>
        <v/>
      </c>
    </row>
    <row r="1524" spans="5:10">
      <c r="E1524">
        <f t="shared" si="59"/>
        <v>1522</v>
      </c>
      <c r="F1524" s="61" t="str">
        <f>IF(FT!A1524&lt;&gt;"",FT!A1524*10,"")</f>
        <v/>
      </c>
      <c r="G1524" s="61" t="str">
        <f>IF(FT!B1524&lt;&gt;"",FT!B1524*100,"")</f>
        <v/>
      </c>
      <c r="H1524" s="61" t="str">
        <f t="shared" si="58"/>
        <v/>
      </c>
      <c r="I1524" t="str">
        <f>IF(FT!B1524&lt;&gt;"",FT!E1524,"")</f>
        <v/>
      </c>
      <c r="J1524" t="str">
        <f>IF(FT!B1524&lt;&gt;"",FT!C1524,"")</f>
        <v/>
      </c>
    </row>
    <row r="1525" spans="5:10">
      <c r="E1525">
        <f t="shared" si="59"/>
        <v>1523</v>
      </c>
      <c r="F1525" s="61" t="str">
        <f>IF(FT!A1525&lt;&gt;"",FT!A1525*10,"")</f>
        <v/>
      </c>
      <c r="G1525" s="61" t="str">
        <f>IF(FT!B1525&lt;&gt;"",FT!B1525*100,"")</f>
        <v/>
      </c>
      <c r="H1525" s="61" t="str">
        <f t="shared" si="58"/>
        <v/>
      </c>
      <c r="I1525" t="str">
        <f>IF(FT!B1525&lt;&gt;"",FT!E1525,"")</f>
        <v/>
      </c>
      <c r="J1525" t="str">
        <f>IF(FT!B1525&lt;&gt;"",FT!C1525,"")</f>
        <v/>
      </c>
    </row>
    <row r="1526" spans="5:10">
      <c r="E1526">
        <f t="shared" si="59"/>
        <v>1524</v>
      </c>
      <c r="F1526" s="61" t="str">
        <f>IF(FT!A1526&lt;&gt;"",FT!A1526*10,"")</f>
        <v/>
      </c>
      <c r="G1526" s="61" t="str">
        <f>IF(FT!B1526&lt;&gt;"",FT!B1526*100,"")</f>
        <v/>
      </c>
      <c r="H1526" s="61" t="str">
        <f t="shared" si="58"/>
        <v/>
      </c>
      <c r="I1526" t="str">
        <f>IF(FT!B1526&lt;&gt;"",FT!E1526,"")</f>
        <v/>
      </c>
      <c r="J1526" t="str">
        <f>IF(FT!B1526&lt;&gt;"",FT!C1526,"")</f>
        <v/>
      </c>
    </row>
    <row r="1527" spans="5:10">
      <c r="E1527">
        <f t="shared" si="59"/>
        <v>1525</v>
      </c>
      <c r="F1527" s="61" t="str">
        <f>IF(FT!A1527&lt;&gt;"",FT!A1527*10,"")</f>
        <v/>
      </c>
      <c r="G1527" s="61" t="str">
        <f>IF(FT!B1527&lt;&gt;"",FT!B1527*100,"")</f>
        <v/>
      </c>
      <c r="H1527" s="61" t="str">
        <f t="shared" si="58"/>
        <v/>
      </c>
      <c r="I1527" t="str">
        <f>IF(FT!B1527&lt;&gt;"",FT!E1527,"")</f>
        <v/>
      </c>
      <c r="J1527" t="str">
        <f>IF(FT!B1527&lt;&gt;"",FT!C1527,"")</f>
        <v/>
      </c>
    </row>
    <row r="1528" spans="5:10">
      <c r="E1528">
        <f t="shared" si="59"/>
        <v>1526</v>
      </c>
      <c r="F1528" s="61" t="str">
        <f>IF(FT!A1528&lt;&gt;"",FT!A1528*10,"")</f>
        <v/>
      </c>
      <c r="G1528" s="61" t="str">
        <f>IF(FT!B1528&lt;&gt;"",FT!B1528*100,"")</f>
        <v/>
      </c>
      <c r="H1528" s="61" t="str">
        <f t="shared" si="58"/>
        <v/>
      </c>
      <c r="I1528" t="str">
        <f>IF(FT!B1528&lt;&gt;"",FT!E1528,"")</f>
        <v/>
      </c>
      <c r="J1528" t="str">
        <f>IF(FT!B1528&lt;&gt;"",FT!C1528,"")</f>
        <v/>
      </c>
    </row>
    <row r="1529" spans="5:10">
      <c r="E1529">
        <f t="shared" si="59"/>
        <v>1527</v>
      </c>
      <c r="F1529" s="61" t="str">
        <f>IF(FT!A1529&lt;&gt;"",FT!A1529*10,"")</f>
        <v/>
      </c>
      <c r="G1529" s="61" t="str">
        <f>IF(FT!B1529&lt;&gt;"",FT!B1529*100,"")</f>
        <v/>
      </c>
      <c r="H1529" s="61" t="str">
        <f t="shared" si="58"/>
        <v/>
      </c>
      <c r="I1529" t="str">
        <f>IF(FT!B1529&lt;&gt;"",FT!E1529,"")</f>
        <v/>
      </c>
      <c r="J1529" t="str">
        <f>IF(FT!B1529&lt;&gt;"",FT!C1529,"")</f>
        <v/>
      </c>
    </row>
    <row r="1530" spans="5:10">
      <c r="E1530">
        <f t="shared" si="59"/>
        <v>1528</v>
      </c>
      <c r="F1530" s="61" t="str">
        <f>IF(FT!A1530&lt;&gt;"",FT!A1530*10,"")</f>
        <v/>
      </c>
      <c r="G1530" s="61" t="str">
        <f>IF(FT!B1530&lt;&gt;"",FT!B1530*100,"")</f>
        <v/>
      </c>
      <c r="H1530" s="61" t="str">
        <f t="shared" si="58"/>
        <v/>
      </c>
      <c r="I1530" t="str">
        <f>IF(FT!B1530&lt;&gt;"",FT!E1530,"")</f>
        <v/>
      </c>
      <c r="J1530" t="str">
        <f>IF(FT!B1530&lt;&gt;"",FT!C1530,"")</f>
        <v/>
      </c>
    </row>
    <row r="1531" spans="5:10">
      <c r="E1531">
        <f t="shared" si="59"/>
        <v>1529</v>
      </c>
      <c r="F1531" s="61" t="str">
        <f>IF(FT!A1531&lt;&gt;"",FT!A1531*10,"")</f>
        <v/>
      </c>
      <c r="G1531" s="61" t="str">
        <f>IF(FT!B1531&lt;&gt;"",FT!B1531*100,"")</f>
        <v/>
      </c>
      <c r="H1531" s="61" t="str">
        <f t="shared" si="58"/>
        <v/>
      </c>
      <c r="I1531" t="str">
        <f>IF(FT!B1531&lt;&gt;"",FT!E1531,"")</f>
        <v/>
      </c>
      <c r="J1531" t="str">
        <f>IF(FT!B1531&lt;&gt;"",FT!C1531,"")</f>
        <v/>
      </c>
    </row>
    <row r="1532" spans="5:10">
      <c r="E1532">
        <f t="shared" si="59"/>
        <v>1530</v>
      </c>
      <c r="F1532" s="61" t="str">
        <f>IF(FT!A1532&lt;&gt;"",FT!A1532*10,"")</f>
        <v/>
      </c>
      <c r="G1532" s="61" t="str">
        <f>IF(FT!B1532&lt;&gt;"",FT!B1532*100,"")</f>
        <v/>
      </c>
      <c r="H1532" s="61" t="str">
        <f t="shared" si="58"/>
        <v/>
      </c>
      <c r="I1532" t="str">
        <f>IF(FT!B1532&lt;&gt;"",FT!E1532,"")</f>
        <v/>
      </c>
      <c r="J1532" t="str">
        <f>IF(FT!B1532&lt;&gt;"",FT!C1532,"")</f>
        <v/>
      </c>
    </row>
    <row r="1533" spans="5:10">
      <c r="E1533">
        <f t="shared" si="59"/>
        <v>1531</v>
      </c>
      <c r="F1533" s="61" t="str">
        <f>IF(FT!A1533&lt;&gt;"",FT!A1533*10,"")</f>
        <v/>
      </c>
      <c r="G1533" s="61" t="str">
        <f>IF(FT!B1533&lt;&gt;"",FT!B1533*100,"")</f>
        <v/>
      </c>
      <c r="H1533" s="61" t="str">
        <f t="shared" si="58"/>
        <v/>
      </c>
      <c r="I1533" t="str">
        <f>IF(FT!B1533&lt;&gt;"",FT!E1533,"")</f>
        <v/>
      </c>
      <c r="J1533" t="str">
        <f>IF(FT!B1533&lt;&gt;"",FT!C1533,"")</f>
        <v/>
      </c>
    </row>
    <row r="1534" spans="5:10">
      <c r="E1534">
        <f t="shared" si="59"/>
        <v>1532</v>
      </c>
      <c r="F1534" s="61" t="str">
        <f>IF(FT!A1534&lt;&gt;"",FT!A1534*10,"")</f>
        <v/>
      </c>
      <c r="G1534" s="61" t="str">
        <f>IF(FT!B1534&lt;&gt;"",FT!B1534*100,"")</f>
        <v/>
      </c>
      <c r="H1534" s="61" t="str">
        <f t="shared" si="58"/>
        <v/>
      </c>
      <c r="I1534" t="str">
        <f>IF(FT!B1534&lt;&gt;"",FT!E1534,"")</f>
        <v/>
      </c>
      <c r="J1534" t="str">
        <f>IF(FT!B1534&lt;&gt;"",FT!C1534,"")</f>
        <v/>
      </c>
    </row>
    <row r="1535" spans="5:10">
      <c r="E1535">
        <f t="shared" si="59"/>
        <v>1533</v>
      </c>
      <c r="F1535" s="61" t="str">
        <f>IF(FT!A1535&lt;&gt;"",FT!A1535*10,"")</f>
        <v/>
      </c>
      <c r="G1535" s="61" t="str">
        <f>IF(FT!B1535&lt;&gt;"",FT!B1535*100,"")</f>
        <v/>
      </c>
      <c r="H1535" s="61" t="str">
        <f t="shared" si="58"/>
        <v/>
      </c>
      <c r="I1535" t="str">
        <f>IF(FT!B1535&lt;&gt;"",FT!E1535,"")</f>
        <v/>
      </c>
      <c r="J1535" t="str">
        <f>IF(FT!B1535&lt;&gt;"",FT!C1535,"")</f>
        <v/>
      </c>
    </row>
    <row r="1536" spans="5:10">
      <c r="E1536">
        <f t="shared" si="59"/>
        <v>1534</v>
      </c>
      <c r="F1536" s="61" t="str">
        <f>IF(FT!A1536&lt;&gt;"",FT!A1536*10,"")</f>
        <v/>
      </c>
      <c r="G1536" s="61" t="str">
        <f>IF(FT!B1536&lt;&gt;"",FT!B1536*100,"")</f>
        <v/>
      </c>
      <c r="H1536" s="61" t="str">
        <f t="shared" si="58"/>
        <v/>
      </c>
      <c r="I1536" t="str">
        <f>IF(FT!B1536&lt;&gt;"",FT!E1536,"")</f>
        <v/>
      </c>
      <c r="J1536" t="str">
        <f>IF(FT!B1536&lt;&gt;"",FT!C1536,"")</f>
        <v/>
      </c>
    </row>
    <row r="1537" spans="5:10">
      <c r="E1537">
        <f t="shared" si="59"/>
        <v>1535</v>
      </c>
      <c r="F1537" s="61" t="str">
        <f>IF(FT!A1537&lt;&gt;"",FT!A1537*10,"")</f>
        <v/>
      </c>
      <c r="G1537" s="61" t="str">
        <f>IF(FT!B1537&lt;&gt;"",FT!B1537*100,"")</f>
        <v/>
      </c>
      <c r="H1537" s="61" t="str">
        <f t="shared" si="58"/>
        <v/>
      </c>
      <c r="I1537" t="str">
        <f>IF(FT!B1537&lt;&gt;"",FT!E1537,"")</f>
        <v/>
      </c>
      <c r="J1537" t="str">
        <f>IF(FT!B1537&lt;&gt;"",FT!C1537,"")</f>
        <v/>
      </c>
    </row>
    <row r="1538" spans="5:10">
      <c r="E1538">
        <f t="shared" si="59"/>
        <v>1536</v>
      </c>
      <c r="F1538" s="61" t="str">
        <f>IF(FT!A1538&lt;&gt;"",FT!A1538*10,"")</f>
        <v/>
      </c>
      <c r="G1538" s="61" t="str">
        <f>IF(FT!B1538&lt;&gt;"",FT!B1538*100,"")</f>
        <v/>
      </c>
      <c r="H1538" s="61" t="str">
        <f t="shared" si="58"/>
        <v/>
      </c>
      <c r="I1538" t="str">
        <f>IF(FT!B1538&lt;&gt;"",FT!E1538,"")</f>
        <v/>
      </c>
      <c r="J1538" t="str">
        <f>IF(FT!B1538&lt;&gt;"",FT!C1538,"")</f>
        <v/>
      </c>
    </row>
    <row r="1539" spans="5:10">
      <c r="E1539">
        <f t="shared" si="59"/>
        <v>1537</v>
      </c>
      <c r="F1539" s="61" t="str">
        <f>IF(FT!A1539&lt;&gt;"",FT!A1539*10,"")</f>
        <v/>
      </c>
      <c r="G1539" s="61" t="str">
        <f>IF(FT!B1539&lt;&gt;"",FT!B1539*100,"")</f>
        <v/>
      </c>
      <c r="H1539" s="61" t="str">
        <f t="shared" ref="H1539:H1602" si="60">(IF(F1539&lt;&gt;"",1,""))</f>
        <v/>
      </c>
      <c r="I1539" t="str">
        <f>IF(FT!B1539&lt;&gt;"",FT!E1539,"")</f>
        <v/>
      </c>
      <c r="J1539" t="str">
        <f>IF(FT!B1539&lt;&gt;"",FT!C1539,"")</f>
        <v/>
      </c>
    </row>
    <row r="1540" spans="5:10">
      <c r="E1540">
        <f t="shared" ref="E1540:E1603" si="61">E1539+1</f>
        <v>1538</v>
      </c>
      <c r="F1540" s="61" t="str">
        <f>IF(FT!A1540&lt;&gt;"",FT!A1540*10,"")</f>
        <v/>
      </c>
      <c r="G1540" s="61" t="str">
        <f>IF(FT!B1540&lt;&gt;"",FT!B1540*100,"")</f>
        <v/>
      </c>
      <c r="H1540" s="61" t="str">
        <f t="shared" si="60"/>
        <v/>
      </c>
      <c r="I1540" t="str">
        <f>IF(FT!B1540&lt;&gt;"",FT!E1540,"")</f>
        <v/>
      </c>
      <c r="J1540" t="str">
        <f>IF(FT!B1540&lt;&gt;"",FT!C1540,"")</f>
        <v/>
      </c>
    </row>
    <row r="1541" spans="5:10">
      <c r="E1541">
        <f t="shared" si="61"/>
        <v>1539</v>
      </c>
      <c r="F1541" s="61" t="str">
        <f>IF(FT!A1541&lt;&gt;"",FT!A1541*10,"")</f>
        <v/>
      </c>
      <c r="G1541" s="61" t="str">
        <f>IF(FT!B1541&lt;&gt;"",FT!B1541*100,"")</f>
        <v/>
      </c>
      <c r="H1541" s="61" t="str">
        <f t="shared" si="60"/>
        <v/>
      </c>
      <c r="I1541" t="str">
        <f>IF(FT!B1541&lt;&gt;"",FT!E1541,"")</f>
        <v/>
      </c>
      <c r="J1541" t="str">
        <f>IF(FT!B1541&lt;&gt;"",FT!C1541,"")</f>
        <v/>
      </c>
    </row>
    <row r="1542" spans="5:10">
      <c r="E1542">
        <f t="shared" si="61"/>
        <v>1540</v>
      </c>
      <c r="F1542" s="61" t="str">
        <f>IF(FT!A1542&lt;&gt;"",FT!A1542*10,"")</f>
        <v/>
      </c>
      <c r="G1542" s="61" t="str">
        <f>IF(FT!B1542&lt;&gt;"",FT!B1542*100,"")</f>
        <v/>
      </c>
      <c r="H1542" s="61" t="str">
        <f t="shared" si="60"/>
        <v/>
      </c>
      <c r="I1542" t="str">
        <f>IF(FT!B1542&lt;&gt;"",FT!E1542,"")</f>
        <v/>
      </c>
      <c r="J1542" t="str">
        <f>IF(FT!B1542&lt;&gt;"",FT!C1542,"")</f>
        <v/>
      </c>
    </row>
    <row r="1543" spans="5:10">
      <c r="E1543">
        <f t="shared" si="61"/>
        <v>1541</v>
      </c>
      <c r="F1543" s="61" t="str">
        <f>IF(FT!A1543&lt;&gt;"",FT!A1543*10,"")</f>
        <v/>
      </c>
      <c r="G1543" s="61" t="str">
        <f>IF(FT!B1543&lt;&gt;"",FT!B1543*100,"")</f>
        <v/>
      </c>
      <c r="H1543" s="61" t="str">
        <f t="shared" si="60"/>
        <v/>
      </c>
      <c r="I1543" t="str">
        <f>IF(FT!B1543&lt;&gt;"",FT!E1543,"")</f>
        <v/>
      </c>
      <c r="J1543" t="str">
        <f>IF(FT!B1543&lt;&gt;"",FT!C1543,"")</f>
        <v/>
      </c>
    </row>
    <row r="1544" spans="5:10">
      <c r="E1544">
        <f t="shared" si="61"/>
        <v>1542</v>
      </c>
      <c r="F1544" s="61" t="str">
        <f>IF(FT!A1544&lt;&gt;"",FT!A1544*10,"")</f>
        <v/>
      </c>
      <c r="G1544" s="61" t="str">
        <f>IF(FT!B1544&lt;&gt;"",FT!B1544*100,"")</f>
        <v/>
      </c>
      <c r="H1544" s="61" t="str">
        <f t="shared" si="60"/>
        <v/>
      </c>
      <c r="I1544" t="str">
        <f>IF(FT!B1544&lt;&gt;"",FT!E1544,"")</f>
        <v/>
      </c>
      <c r="J1544" t="str">
        <f>IF(FT!B1544&lt;&gt;"",FT!C1544,"")</f>
        <v/>
      </c>
    </row>
    <row r="1545" spans="5:10">
      <c r="E1545">
        <f t="shared" si="61"/>
        <v>1543</v>
      </c>
      <c r="F1545" s="61" t="str">
        <f>IF(FT!A1545&lt;&gt;"",FT!A1545*10,"")</f>
        <v/>
      </c>
      <c r="G1545" s="61" t="str">
        <f>IF(FT!B1545&lt;&gt;"",FT!B1545*100,"")</f>
        <v/>
      </c>
      <c r="H1545" s="61" t="str">
        <f t="shared" si="60"/>
        <v/>
      </c>
      <c r="I1545" t="str">
        <f>IF(FT!B1545&lt;&gt;"",FT!E1545,"")</f>
        <v/>
      </c>
      <c r="J1545" t="str">
        <f>IF(FT!B1545&lt;&gt;"",FT!C1545,"")</f>
        <v/>
      </c>
    </row>
    <row r="1546" spans="5:10">
      <c r="E1546">
        <f t="shared" si="61"/>
        <v>1544</v>
      </c>
      <c r="F1546" s="61" t="str">
        <f>IF(FT!A1546&lt;&gt;"",FT!A1546*10,"")</f>
        <v/>
      </c>
      <c r="G1546" s="61" t="str">
        <f>IF(FT!B1546&lt;&gt;"",FT!B1546*100,"")</f>
        <v/>
      </c>
      <c r="H1546" s="61" t="str">
        <f t="shared" si="60"/>
        <v/>
      </c>
      <c r="I1546" t="str">
        <f>IF(FT!B1546&lt;&gt;"",FT!E1546,"")</f>
        <v/>
      </c>
      <c r="J1546" t="str">
        <f>IF(FT!B1546&lt;&gt;"",FT!C1546,"")</f>
        <v/>
      </c>
    </row>
    <row r="1547" spans="5:10">
      <c r="E1547">
        <f t="shared" si="61"/>
        <v>1545</v>
      </c>
      <c r="F1547" s="61" t="str">
        <f>IF(FT!A1547&lt;&gt;"",FT!A1547*10,"")</f>
        <v/>
      </c>
      <c r="G1547" s="61" t="str">
        <f>IF(FT!B1547&lt;&gt;"",FT!B1547*100,"")</f>
        <v/>
      </c>
      <c r="H1547" s="61" t="str">
        <f t="shared" si="60"/>
        <v/>
      </c>
      <c r="I1547" t="str">
        <f>IF(FT!B1547&lt;&gt;"",FT!E1547,"")</f>
        <v/>
      </c>
      <c r="J1547" t="str">
        <f>IF(FT!B1547&lt;&gt;"",FT!C1547,"")</f>
        <v/>
      </c>
    </row>
    <row r="1548" spans="5:10">
      <c r="E1548">
        <f t="shared" si="61"/>
        <v>1546</v>
      </c>
      <c r="F1548" s="61" t="str">
        <f>IF(FT!A1548&lt;&gt;"",FT!A1548*10,"")</f>
        <v/>
      </c>
      <c r="G1548" s="61" t="str">
        <f>IF(FT!B1548&lt;&gt;"",FT!B1548*100,"")</f>
        <v/>
      </c>
      <c r="H1548" s="61" t="str">
        <f t="shared" si="60"/>
        <v/>
      </c>
      <c r="I1548" t="str">
        <f>IF(FT!B1548&lt;&gt;"",FT!E1548,"")</f>
        <v/>
      </c>
      <c r="J1548" t="str">
        <f>IF(FT!B1548&lt;&gt;"",FT!C1548,"")</f>
        <v/>
      </c>
    </row>
    <row r="1549" spans="5:10">
      <c r="E1549">
        <f t="shared" si="61"/>
        <v>1547</v>
      </c>
      <c r="F1549" s="61" t="str">
        <f>IF(FT!A1549&lt;&gt;"",FT!A1549*10,"")</f>
        <v/>
      </c>
      <c r="G1549" s="61" t="str">
        <f>IF(FT!B1549&lt;&gt;"",FT!B1549*100,"")</f>
        <v/>
      </c>
      <c r="H1549" s="61" t="str">
        <f t="shared" si="60"/>
        <v/>
      </c>
      <c r="I1549" t="str">
        <f>IF(FT!B1549&lt;&gt;"",FT!E1549,"")</f>
        <v/>
      </c>
      <c r="J1549" t="str">
        <f>IF(FT!B1549&lt;&gt;"",FT!C1549,"")</f>
        <v/>
      </c>
    </row>
    <row r="1550" spans="5:10">
      <c r="E1550">
        <f t="shared" si="61"/>
        <v>1548</v>
      </c>
      <c r="F1550" s="61" t="str">
        <f>IF(FT!A1550&lt;&gt;"",FT!A1550*10,"")</f>
        <v/>
      </c>
      <c r="G1550" s="61" t="str">
        <f>IF(FT!B1550&lt;&gt;"",FT!B1550*100,"")</f>
        <v/>
      </c>
      <c r="H1550" s="61" t="str">
        <f t="shared" si="60"/>
        <v/>
      </c>
      <c r="I1550" t="str">
        <f>IF(FT!B1550&lt;&gt;"",FT!E1550,"")</f>
        <v/>
      </c>
      <c r="J1550" t="str">
        <f>IF(FT!B1550&lt;&gt;"",FT!C1550,"")</f>
        <v/>
      </c>
    </row>
    <row r="1551" spans="5:10">
      <c r="E1551">
        <f t="shared" si="61"/>
        <v>1549</v>
      </c>
      <c r="F1551" s="61" t="str">
        <f>IF(FT!A1551&lt;&gt;"",FT!A1551*10,"")</f>
        <v/>
      </c>
      <c r="G1551" s="61" t="str">
        <f>IF(FT!B1551&lt;&gt;"",FT!B1551*100,"")</f>
        <v/>
      </c>
      <c r="H1551" s="61" t="str">
        <f t="shared" si="60"/>
        <v/>
      </c>
      <c r="I1551" t="str">
        <f>IF(FT!B1551&lt;&gt;"",FT!E1551,"")</f>
        <v/>
      </c>
      <c r="J1551" t="str">
        <f>IF(FT!B1551&lt;&gt;"",FT!C1551,"")</f>
        <v/>
      </c>
    </row>
    <row r="1552" spans="5:10">
      <c r="E1552">
        <f t="shared" si="61"/>
        <v>1550</v>
      </c>
      <c r="F1552" s="61" t="str">
        <f>IF(FT!A1552&lt;&gt;"",FT!A1552*10,"")</f>
        <v/>
      </c>
      <c r="G1552" s="61" t="str">
        <f>IF(FT!B1552&lt;&gt;"",FT!B1552*100,"")</f>
        <v/>
      </c>
      <c r="H1552" s="61" t="str">
        <f t="shared" si="60"/>
        <v/>
      </c>
      <c r="I1552" t="str">
        <f>IF(FT!B1552&lt;&gt;"",FT!E1552,"")</f>
        <v/>
      </c>
      <c r="J1552" t="str">
        <f>IF(FT!B1552&lt;&gt;"",FT!C1552,"")</f>
        <v/>
      </c>
    </row>
    <row r="1553" spans="5:10">
      <c r="E1553">
        <f t="shared" si="61"/>
        <v>1551</v>
      </c>
      <c r="F1553" s="61" t="str">
        <f>IF(FT!A1553&lt;&gt;"",FT!A1553*10,"")</f>
        <v/>
      </c>
      <c r="G1553" s="61" t="str">
        <f>IF(FT!B1553&lt;&gt;"",FT!B1553*100,"")</f>
        <v/>
      </c>
      <c r="H1553" s="61" t="str">
        <f t="shared" si="60"/>
        <v/>
      </c>
      <c r="I1553" t="str">
        <f>IF(FT!B1553&lt;&gt;"",FT!E1553,"")</f>
        <v/>
      </c>
      <c r="J1553" t="str">
        <f>IF(FT!B1553&lt;&gt;"",FT!C1553,"")</f>
        <v/>
      </c>
    </row>
    <row r="1554" spans="5:10">
      <c r="E1554">
        <f t="shared" si="61"/>
        <v>1552</v>
      </c>
      <c r="F1554" s="61" t="str">
        <f>IF(FT!A1554&lt;&gt;"",FT!A1554*10,"")</f>
        <v/>
      </c>
      <c r="G1554" s="61" t="str">
        <f>IF(FT!B1554&lt;&gt;"",FT!B1554*100,"")</f>
        <v/>
      </c>
      <c r="H1554" s="61" t="str">
        <f t="shared" si="60"/>
        <v/>
      </c>
      <c r="I1554" t="str">
        <f>IF(FT!B1554&lt;&gt;"",FT!E1554,"")</f>
        <v/>
      </c>
      <c r="J1554" t="str">
        <f>IF(FT!B1554&lt;&gt;"",FT!C1554,"")</f>
        <v/>
      </c>
    </row>
    <row r="1555" spans="5:10">
      <c r="E1555">
        <f t="shared" si="61"/>
        <v>1553</v>
      </c>
      <c r="F1555" s="61" t="str">
        <f>IF(FT!A1555&lt;&gt;"",FT!A1555*10,"")</f>
        <v/>
      </c>
      <c r="G1555" s="61" t="str">
        <f>IF(FT!B1555&lt;&gt;"",FT!B1555*100,"")</f>
        <v/>
      </c>
      <c r="H1555" s="61" t="str">
        <f t="shared" si="60"/>
        <v/>
      </c>
      <c r="I1555" t="str">
        <f>IF(FT!B1555&lt;&gt;"",FT!E1555,"")</f>
        <v/>
      </c>
      <c r="J1555" t="str">
        <f>IF(FT!B1555&lt;&gt;"",FT!C1555,"")</f>
        <v/>
      </c>
    </row>
    <row r="1556" spans="5:10">
      <c r="E1556">
        <f t="shared" si="61"/>
        <v>1554</v>
      </c>
      <c r="F1556" s="61" t="str">
        <f>IF(FT!A1556&lt;&gt;"",FT!A1556*10,"")</f>
        <v/>
      </c>
      <c r="G1556" s="61" t="str">
        <f>IF(FT!B1556&lt;&gt;"",FT!B1556*100,"")</f>
        <v/>
      </c>
      <c r="H1556" s="61" t="str">
        <f t="shared" si="60"/>
        <v/>
      </c>
      <c r="I1556" t="str">
        <f>IF(FT!B1556&lt;&gt;"",FT!E1556,"")</f>
        <v/>
      </c>
      <c r="J1556" t="str">
        <f>IF(FT!B1556&lt;&gt;"",FT!C1556,"")</f>
        <v/>
      </c>
    </row>
    <row r="1557" spans="5:10">
      <c r="E1557">
        <f t="shared" si="61"/>
        <v>1555</v>
      </c>
      <c r="F1557" s="61" t="str">
        <f>IF(FT!A1557&lt;&gt;"",FT!A1557*10,"")</f>
        <v/>
      </c>
      <c r="G1557" s="61" t="str">
        <f>IF(FT!B1557&lt;&gt;"",FT!B1557*100,"")</f>
        <v/>
      </c>
      <c r="H1557" s="61" t="str">
        <f t="shared" si="60"/>
        <v/>
      </c>
      <c r="I1557" t="str">
        <f>IF(FT!B1557&lt;&gt;"",FT!E1557,"")</f>
        <v/>
      </c>
      <c r="J1557" t="str">
        <f>IF(FT!B1557&lt;&gt;"",FT!C1557,"")</f>
        <v/>
      </c>
    </row>
    <row r="1558" spans="5:10">
      <c r="E1558">
        <f t="shared" si="61"/>
        <v>1556</v>
      </c>
      <c r="F1558" s="61" t="str">
        <f>IF(FT!A1558&lt;&gt;"",FT!A1558*10,"")</f>
        <v/>
      </c>
      <c r="G1558" s="61" t="str">
        <f>IF(FT!B1558&lt;&gt;"",FT!B1558*100,"")</f>
        <v/>
      </c>
      <c r="H1558" s="61" t="str">
        <f t="shared" si="60"/>
        <v/>
      </c>
      <c r="I1558" t="str">
        <f>IF(FT!B1558&lt;&gt;"",FT!E1558,"")</f>
        <v/>
      </c>
      <c r="J1558" t="str">
        <f>IF(FT!B1558&lt;&gt;"",FT!C1558,"")</f>
        <v/>
      </c>
    </row>
    <row r="1559" spans="5:10">
      <c r="E1559">
        <f t="shared" si="61"/>
        <v>1557</v>
      </c>
      <c r="F1559" s="61" t="str">
        <f>IF(FT!A1559&lt;&gt;"",FT!A1559*10,"")</f>
        <v/>
      </c>
      <c r="G1559" s="61" t="str">
        <f>IF(FT!B1559&lt;&gt;"",FT!B1559*100,"")</f>
        <v/>
      </c>
      <c r="H1559" s="61" t="str">
        <f t="shared" si="60"/>
        <v/>
      </c>
      <c r="I1559" t="str">
        <f>IF(FT!B1559&lt;&gt;"",FT!E1559,"")</f>
        <v/>
      </c>
      <c r="J1559" t="str">
        <f>IF(FT!B1559&lt;&gt;"",FT!C1559,"")</f>
        <v/>
      </c>
    </row>
    <row r="1560" spans="5:10">
      <c r="E1560">
        <f t="shared" si="61"/>
        <v>1558</v>
      </c>
      <c r="F1560" s="61" t="str">
        <f>IF(FT!A1560&lt;&gt;"",FT!A1560*10,"")</f>
        <v/>
      </c>
      <c r="G1560" s="61" t="str">
        <f>IF(FT!B1560&lt;&gt;"",FT!B1560*100,"")</f>
        <v/>
      </c>
      <c r="H1560" s="61" t="str">
        <f t="shared" si="60"/>
        <v/>
      </c>
      <c r="I1560" t="str">
        <f>IF(FT!B1560&lt;&gt;"",FT!E1560,"")</f>
        <v/>
      </c>
      <c r="J1560" t="str">
        <f>IF(FT!B1560&lt;&gt;"",FT!C1560,"")</f>
        <v/>
      </c>
    </row>
    <row r="1561" spans="5:10">
      <c r="E1561">
        <f t="shared" si="61"/>
        <v>1559</v>
      </c>
      <c r="F1561" s="61" t="str">
        <f>IF(FT!A1561&lt;&gt;"",FT!A1561*10,"")</f>
        <v/>
      </c>
      <c r="G1561" s="61" t="str">
        <f>IF(FT!B1561&lt;&gt;"",FT!B1561*100,"")</f>
        <v/>
      </c>
      <c r="H1561" s="61" t="str">
        <f t="shared" si="60"/>
        <v/>
      </c>
      <c r="I1561" t="str">
        <f>IF(FT!B1561&lt;&gt;"",FT!E1561,"")</f>
        <v/>
      </c>
      <c r="J1561" t="str">
        <f>IF(FT!B1561&lt;&gt;"",FT!C1561,"")</f>
        <v/>
      </c>
    </row>
    <row r="1562" spans="5:10">
      <c r="E1562">
        <f t="shared" si="61"/>
        <v>1560</v>
      </c>
      <c r="F1562" s="61" t="str">
        <f>IF(FT!A1562&lt;&gt;"",FT!A1562*10,"")</f>
        <v/>
      </c>
      <c r="G1562" s="61" t="str">
        <f>IF(FT!B1562&lt;&gt;"",FT!B1562*100,"")</f>
        <v/>
      </c>
      <c r="H1562" s="61" t="str">
        <f t="shared" si="60"/>
        <v/>
      </c>
      <c r="I1562" t="str">
        <f>IF(FT!B1562&lt;&gt;"",FT!E1562,"")</f>
        <v/>
      </c>
      <c r="J1562" t="str">
        <f>IF(FT!B1562&lt;&gt;"",FT!C1562,"")</f>
        <v/>
      </c>
    </row>
    <row r="1563" spans="5:10">
      <c r="E1563">
        <f t="shared" si="61"/>
        <v>1561</v>
      </c>
      <c r="F1563" s="61" t="str">
        <f>IF(FT!A1563&lt;&gt;"",FT!A1563*10,"")</f>
        <v/>
      </c>
      <c r="G1563" s="61" t="str">
        <f>IF(FT!B1563&lt;&gt;"",FT!B1563*100,"")</f>
        <v/>
      </c>
      <c r="H1563" s="61" t="str">
        <f t="shared" si="60"/>
        <v/>
      </c>
      <c r="I1563" t="str">
        <f>IF(FT!B1563&lt;&gt;"",FT!E1563,"")</f>
        <v/>
      </c>
      <c r="J1563" t="str">
        <f>IF(FT!B1563&lt;&gt;"",FT!C1563,"")</f>
        <v/>
      </c>
    </row>
    <row r="1564" spans="5:10">
      <c r="E1564">
        <f t="shared" si="61"/>
        <v>1562</v>
      </c>
      <c r="F1564" s="61" t="str">
        <f>IF(FT!A1564&lt;&gt;"",FT!A1564*10,"")</f>
        <v/>
      </c>
      <c r="G1564" s="61" t="str">
        <f>IF(FT!B1564&lt;&gt;"",FT!B1564*100,"")</f>
        <v/>
      </c>
      <c r="H1564" s="61" t="str">
        <f t="shared" si="60"/>
        <v/>
      </c>
      <c r="I1564" t="str">
        <f>IF(FT!B1564&lt;&gt;"",FT!E1564,"")</f>
        <v/>
      </c>
      <c r="J1564" t="str">
        <f>IF(FT!B1564&lt;&gt;"",FT!C1564,"")</f>
        <v/>
      </c>
    </row>
    <row r="1565" spans="5:10">
      <c r="E1565">
        <f t="shared" si="61"/>
        <v>1563</v>
      </c>
      <c r="F1565" s="61" t="str">
        <f>IF(FT!A1565&lt;&gt;"",FT!A1565*10,"")</f>
        <v/>
      </c>
      <c r="G1565" s="61" t="str">
        <f>IF(FT!B1565&lt;&gt;"",FT!B1565*100,"")</f>
        <v/>
      </c>
      <c r="H1565" s="61" t="str">
        <f t="shared" si="60"/>
        <v/>
      </c>
      <c r="I1565" t="str">
        <f>IF(FT!B1565&lt;&gt;"",FT!E1565,"")</f>
        <v/>
      </c>
      <c r="J1565" t="str">
        <f>IF(FT!B1565&lt;&gt;"",FT!C1565,"")</f>
        <v/>
      </c>
    </row>
    <row r="1566" spans="5:10">
      <c r="E1566">
        <f t="shared" si="61"/>
        <v>1564</v>
      </c>
      <c r="F1566" s="61" t="str">
        <f>IF(FT!A1566&lt;&gt;"",FT!A1566*10,"")</f>
        <v/>
      </c>
      <c r="G1566" s="61" t="str">
        <f>IF(FT!B1566&lt;&gt;"",FT!B1566*100,"")</f>
        <v/>
      </c>
      <c r="H1566" s="61" t="str">
        <f t="shared" si="60"/>
        <v/>
      </c>
      <c r="I1566" t="str">
        <f>IF(FT!B1566&lt;&gt;"",FT!E1566,"")</f>
        <v/>
      </c>
      <c r="J1566" t="str">
        <f>IF(FT!B1566&lt;&gt;"",FT!C1566,"")</f>
        <v/>
      </c>
    </row>
    <row r="1567" spans="5:10">
      <c r="E1567">
        <f t="shared" si="61"/>
        <v>1565</v>
      </c>
      <c r="F1567" s="61" t="str">
        <f>IF(FT!A1567&lt;&gt;"",FT!A1567*10,"")</f>
        <v/>
      </c>
      <c r="G1567" s="61" t="str">
        <f>IF(FT!B1567&lt;&gt;"",FT!B1567*100,"")</f>
        <v/>
      </c>
      <c r="H1567" s="61" t="str">
        <f t="shared" si="60"/>
        <v/>
      </c>
      <c r="I1567" t="str">
        <f>IF(FT!B1567&lt;&gt;"",FT!E1567,"")</f>
        <v/>
      </c>
      <c r="J1567" t="str">
        <f>IF(FT!B1567&lt;&gt;"",FT!C1567,"")</f>
        <v/>
      </c>
    </row>
    <row r="1568" spans="5:10">
      <c r="E1568">
        <f t="shared" si="61"/>
        <v>1566</v>
      </c>
      <c r="F1568" s="61" t="str">
        <f>IF(FT!A1568&lt;&gt;"",FT!A1568*10,"")</f>
        <v/>
      </c>
      <c r="G1568" s="61" t="str">
        <f>IF(FT!B1568&lt;&gt;"",FT!B1568*100,"")</f>
        <v/>
      </c>
      <c r="H1568" s="61" t="str">
        <f t="shared" si="60"/>
        <v/>
      </c>
      <c r="I1568" t="str">
        <f>IF(FT!B1568&lt;&gt;"",FT!E1568,"")</f>
        <v/>
      </c>
      <c r="J1568" t="str">
        <f>IF(FT!B1568&lt;&gt;"",FT!C1568,"")</f>
        <v/>
      </c>
    </row>
    <row r="1569" spans="5:10">
      <c r="E1569">
        <f t="shared" si="61"/>
        <v>1567</v>
      </c>
      <c r="F1569" s="61" t="str">
        <f>IF(FT!A1569&lt;&gt;"",FT!A1569*10,"")</f>
        <v/>
      </c>
      <c r="G1569" s="61" t="str">
        <f>IF(FT!B1569&lt;&gt;"",FT!B1569*100,"")</f>
        <v/>
      </c>
      <c r="H1569" s="61" t="str">
        <f t="shared" si="60"/>
        <v/>
      </c>
      <c r="I1569" t="str">
        <f>IF(FT!B1569&lt;&gt;"",FT!E1569,"")</f>
        <v/>
      </c>
      <c r="J1569" t="str">
        <f>IF(FT!B1569&lt;&gt;"",FT!C1569,"")</f>
        <v/>
      </c>
    </row>
    <row r="1570" spans="5:10">
      <c r="E1570">
        <f t="shared" si="61"/>
        <v>1568</v>
      </c>
      <c r="F1570" s="61" t="str">
        <f>IF(FT!A1570&lt;&gt;"",FT!A1570*10,"")</f>
        <v/>
      </c>
      <c r="G1570" s="61" t="str">
        <f>IF(FT!B1570&lt;&gt;"",FT!B1570*100,"")</f>
        <v/>
      </c>
      <c r="H1570" s="61" t="str">
        <f t="shared" si="60"/>
        <v/>
      </c>
      <c r="I1570" t="str">
        <f>IF(FT!B1570&lt;&gt;"",FT!E1570,"")</f>
        <v/>
      </c>
      <c r="J1570" t="str">
        <f>IF(FT!B1570&lt;&gt;"",FT!C1570,"")</f>
        <v/>
      </c>
    </row>
    <row r="1571" spans="5:10">
      <c r="E1571">
        <f t="shared" si="61"/>
        <v>1569</v>
      </c>
      <c r="F1571" s="61" t="str">
        <f>IF(FT!A1571&lt;&gt;"",FT!A1571*10,"")</f>
        <v/>
      </c>
      <c r="G1571" s="61" t="str">
        <f>IF(FT!B1571&lt;&gt;"",FT!B1571*100,"")</f>
        <v/>
      </c>
      <c r="H1571" s="61" t="str">
        <f t="shared" si="60"/>
        <v/>
      </c>
      <c r="I1571" t="str">
        <f>IF(FT!B1571&lt;&gt;"",FT!E1571,"")</f>
        <v/>
      </c>
      <c r="J1571" t="str">
        <f>IF(FT!B1571&lt;&gt;"",FT!C1571,"")</f>
        <v/>
      </c>
    </row>
    <row r="1572" spans="5:10">
      <c r="E1572">
        <f t="shared" si="61"/>
        <v>1570</v>
      </c>
      <c r="F1572" s="61" t="str">
        <f>IF(FT!A1572&lt;&gt;"",FT!A1572*10,"")</f>
        <v/>
      </c>
      <c r="G1572" s="61" t="str">
        <f>IF(FT!B1572&lt;&gt;"",FT!B1572*100,"")</f>
        <v/>
      </c>
      <c r="H1572" s="61" t="str">
        <f t="shared" si="60"/>
        <v/>
      </c>
      <c r="I1572" t="str">
        <f>IF(FT!B1572&lt;&gt;"",FT!E1572,"")</f>
        <v/>
      </c>
      <c r="J1572" t="str">
        <f>IF(FT!B1572&lt;&gt;"",FT!C1572,"")</f>
        <v/>
      </c>
    </row>
    <row r="1573" spans="5:10">
      <c r="E1573">
        <f t="shared" si="61"/>
        <v>1571</v>
      </c>
      <c r="F1573" s="61" t="str">
        <f>IF(FT!A1573&lt;&gt;"",FT!A1573*10,"")</f>
        <v/>
      </c>
      <c r="G1573" s="61" t="str">
        <f>IF(FT!B1573&lt;&gt;"",FT!B1573*100,"")</f>
        <v/>
      </c>
      <c r="H1573" s="61" t="str">
        <f t="shared" si="60"/>
        <v/>
      </c>
      <c r="I1573" t="str">
        <f>IF(FT!B1573&lt;&gt;"",FT!E1573,"")</f>
        <v/>
      </c>
      <c r="J1573" t="str">
        <f>IF(FT!B1573&lt;&gt;"",FT!C1573,"")</f>
        <v/>
      </c>
    </row>
    <row r="1574" spans="5:10">
      <c r="E1574">
        <f t="shared" si="61"/>
        <v>1572</v>
      </c>
      <c r="F1574" s="61" t="str">
        <f>IF(FT!A1574&lt;&gt;"",FT!A1574*10,"")</f>
        <v/>
      </c>
      <c r="G1574" s="61" t="str">
        <f>IF(FT!B1574&lt;&gt;"",FT!B1574*100,"")</f>
        <v/>
      </c>
      <c r="H1574" s="61" t="str">
        <f t="shared" si="60"/>
        <v/>
      </c>
      <c r="I1574" t="str">
        <f>IF(FT!B1574&lt;&gt;"",FT!E1574,"")</f>
        <v/>
      </c>
      <c r="J1574" t="str">
        <f>IF(FT!B1574&lt;&gt;"",FT!C1574,"")</f>
        <v/>
      </c>
    </row>
    <row r="1575" spans="5:10">
      <c r="E1575">
        <f t="shared" si="61"/>
        <v>1573</v>
      </c>
      <c r="F1575" s="61" t="str">
        <f>IF(FT!A1575&lt;&gt;"",FT!A1575*10,"")</f>
        <v/>
      </c>
      <c r="G1575" s="61" t="str">
        <f>IF(FT!B1575&lt;&gt;"",FT!B1575*100,"")</f>
        <v/>
      </c>
      <c r="H1575" s="61" t="str">
        <f t="shared" si="60"/>
        <v/>
      </c>
      <c r="I1575" t="str">
        <f>IF(FT!B1575&lt;&gt;"",FT!E1575,"")</f>
        <v/>
      </c>
      <c r="J1575" t="str">
        <f>IF(FT!B1575&lt;&gt;"",FT!C1575,"")</f>
        <v/>
      </c>
    </row>
    <row r="1576" spans="5:10">
      <c r="E1576">
        <f t="shared" si="61"/>
        <v>1574</v>
      </c>
      <c r="F1576" s="61" t="str">
        <f>IF(FT!A1576&lt;&gt;"",FT!A1576*10,"")</f>
        <v/>
      </c>
      <c r="G1576" s="61" t="str">
        <f>IF(FT!B1576&lt;&gt;"",FT!B1576*100,"")</f>
        <v/>
      </c>
      <c r="H1576" s="61" t="str">
        <f t="shared" si="60"/>
        <v/>
      </c>
      <c r="I1576" t="str">
        <f>IF(FT!B1576&lt;&gt;"",FT!E1576,"")</f>
        <v/>
      </c>
      <c r="J1576" t="str">
        <f>IF(FT!B1576&lt;&gt;"",FT!C1576,"")</f>
        <v/>
      </c>
    </row>
    <row r="1577" spans="5:10">
      <c r="E1577">
        <f t="shared" si="61"/>
        <v>1575</v>
      </c>
      <c r="F1577" s="61" t="str">
        <f>IF(FT!A1577&lt;&gt;"",FT!A1577*10,"")</f>
        <v/>
      </c>
      <c r="G1577" s="61" t="str">
        <f>IF(FT!B1577&lt;&gt;"",FT!B1577*100,"")</f>
        <v/>
      </c>
      <c r="H1577" s="61" t="str">
        <f t="shared" si="60"/>
        <v/>
      </c>
      <c r="I1577" t="str">
        <f>IF(FT!B1577&lt;&gt;"",FT!E1577,"")</f>
        <v/>
      </c>
      <c r="J1577" t="str">
        <f>IF(FT!B1577&lt;&gt;"",FT!C1577,"")</f>
        <v/>
      </c>
    </row>
    <row r="1578" spans="5:10">
      <c r="E1578">
        <f t="shared" si="61"/>
        <v>1576</v>
      </c>
      <c r="F1578" s="61" t="str">
        <f>IF(FT!A1578&lt;&gt;"",FT!A1578*10,"")</f>
        <v/>
      </c>
      <c r="G1578" s="61" t="str">
        <f>IF(FT!B1578&lt;&gt;"",FT!B1578*100,"")</f>
        <v/>
      </c>
      <c r="H1578" s="61" t="str">
        <f t="shared" si="60"/>
        <v/>
      </c>
      <c r="I1578" t="str">
        <f>IF(FT!B1578&lt;&gt;"",FT!E1578,"")</f>
        <v/>
      </c>
      <c r="J1578" t="str">
        <f>IF(FT!B1578&lt;&gt;"",FT!C1578,"")</f>
        <v/>
      </c>
    </row>
    <row r="1579" spans="5:10">
      <c r="E1579">
        <f t="shared" si="61"/>
        <v>1577</v>
      </c>
      <c r="F1579" s="61" t="str">
        <f>IF(FT!A1579&lt;&gt;"",FT!A1579*10,"")</f>
        <v/>
      </c>
      <c r="G1579" s="61" t="str">
        <f>IF(FT!B1579&lt;&gt;"",FT!B1579*100,"")</f>
        <v/>
      </c>
      <c r="H1579" s="61" t="str">
        <f t="shared" si="60"/>
        <v/>
      </c>
      <c r="I1579" t="str">
        <f>IF(FT!B1579&lt;&gt;"",FT!E1579,"")</f>
        <v/>
      </c>
      <c r="J1579" t="str">
        <f>IF(FT!B1579&lt;&gt;"",FT!C1579,"")</f>
        <v/>
      </c>
    </row>
    <row r="1580" spans="5:10">
      <c r="E1580">
        <f t="shared" si="61"/>
        <v>1578</v>
      </c>
      <c r="F1580" s="61" t="str">
        <f>IF(FT!A1580&lt;&gt;"",FT!A1580*10,"")</f>
        <v/>
      </c>
      <c r="G1580" s="61" t="str">
        <f>IF(FT!B1580&lt;&gt;"",FT!B1580*100,"")</f>
        <v/>
      </c>
      <c r="H1580" s="61" t="str">
        <f t="shared" si="60"/>
        <v/>
      </c>
      <c r="I1580" t="str">
        <f>IF(FT!B1580&lt;&gt;"",FT!E1580,"")</f>
        <v/>
      </c>
      <c r="J1580" t="str">
        <f>IF(FT!B1580&lt;&gt;"",FT!C1580,"")</f>
        <v/>
      </c>
    </row>
    <row r="1581" spans="5:10">
      <c r="E1581">
        <f t="shared" si="61"/>
        <v>1579</v>
      </c>
      <c r="F1581" s="61" t="str">
        <f>IF(FT!A1581&lt;&gt;"",FT!A1581*10,"")</f>
        <v/>
      </c>
      <c r="G1581" s="61" t="str">
        <f>IF(FT!B1581&lt;&gt;"",FT!B1581*100,"")</f>
        <v/>
      </c>
      <c r="H1581" s="61" t="str">
        <f t="shared" si="60"/>
        <v/>
      </c>
      <c r="I1581" t="str">
        <f>IF(FT!B1581&lt;&gt;"",FT!E1581,"")</f>
        <v/>
      </c>
      <c r="J1581" t="str">
        <f>IF(FT!B1581&lt;&gt;"",FT!C1581,"")</f>
        <v/>
      </c>
    </row>
    <row r="1582" spans="5:10">
      <c r="E1582">
        <f t="shared" si="61"/>
        <v>1580</v>
      </c>
      <c r="F1582" s="61" t="str">
        <f>IF(FT!A1582&lt;&gt;"",FT!A1582*10,"")</f>
        <v/>
      </c>
      <c r="G1582" s="61" t="str">
        <f>IF(FT!B1582&lt;&gt;"",FT!B1582*100,"")</f>
        <v/>
      </c>
      <c r="H1582" s="61" t="str">
        <f t="shared" si="60"/>
        <v/>
      </c>
      <c r="I1582" t="str">
        <f>IF(FT!B1582&lt;&gt;"",FT!E1582,"")</f>
        <v/>
      </c>
      <c r="J1582" t="str">
        <f>IF(FT!B1582&lt;&gt;"",FT!C1582,"")</f>
        <v/>
      </c>
    </row>
    <row r="1583" spans="5:10">
      <c r="E1583">
        <f t="shared" si="61"/>
        <v>1581</v>
      </c>
      <c r="F1583" s="61" t="str">
        <f>IF(FT!A1583&lt;&gt;"",FT!A1583*10,"")</f>
        <v/>
      </c>
      <c r="G1583" s="61" t="str">
        <f>IF(FT!B1583&lt;&gt;"",FT!B1583*100,"")</f>
        <v/>
      </c>
      <c r="H1583" s="61" t="str">
        <f t="shared" si="60"/>
        <v/>
      </c>
      <c r="I1583" t="str">
        <f>IF(FT!B1583&lt;&gt;"",FT!E1583,"")</f>
        <v/>
      </c>
      <c r="J1583" t="str">
        <f>IF(FT!B1583&lt;&gt;"",FT!C1583,"")</f>
        <v/>
      </c>
    </row>
    <row r="1584" spans="5:10">
      <c r="E1584">
        <f t="shared" si="61"/>
        <v>1582</v>
      </c>
      <c r="F1584" s="61" t="str">
        <f>IF(FT!A1584&lt;&gt;"",FT!A1584*10,"")</f>
        <v/>
      </c>
      <c r="G1584" s="61" t="str">
        <f>IF(FT!B1584&lt;&gt;"",FT!B1584*100,"")</f>
        <v/>
      </c>
      <c r="H1584" s="61" t="str">
        <f t="shared" si="60"/>
        <v/>
      </c>
      <c r="I1584" t="str">
        <f>IF(FT!B1584&lt;&gt;"",FT!E1584,"")</f>
        <v/>
      </c>
      <c r="J1584" t="str">
        <f>IF(FT!B1584&lt;&gt;"",FT!C1584,"")</f>
        <v/>
      </c>
    </row>
    <row r="1585" spans="5:10">
      <c r="E1585">
        <f t="shared" si="61"/>
        <v>1583</v>
      </c>
      <c r="F1585" s="61" t="str">
        <f>IF(FT!A1585&lt;&gt;"",FT!A1585*10,"")</f>
        <v/>
      </c>
      <c r="G1585" s="61" t="str">
        <f>IF(FT!B1585&lt;&gt;"",FT!B1585*100,"")</f>
        <v/>
      </c>
      <c r="H1585" s="61" t="str">
        <f t="shared" si="60"/>
        <v/>
      </c>
      <c r="I1585" t="str">
        <f>IF(FT!B1585&lt;&gt;"",FT!E1585,"")</f>
        <v/>
      </c>
      <c r="J1585" t="str">
        <f>IF(FT!B1585&lt;&gt;"",FT!C1585,"")</f>
        <v/>
      </c>
    </row>
    <row r="1586" spans="5:10">
      <c r="E1586">
        <f t="shared" si="61"/>
        <v>1584</v>
      </c>
      <c r="F1586" s="61" t="str">
        <f>IF(FT!A1586&lt;&gt;"",FT!A1586*10,"")</f>
        <v/>
      </c>
      <c r="G1586" s="61" t="str">
        <f>IF(FT!B1586&lt;&gt;"",FT!B1586*100,"")</f>
        <v/>
      </c>
      <c r="H1586" s="61" t="str">
        <f t="shared" si="60"/>
        <v/>
      </c>
      <c r="I1586" t="str">
        <f>IF(FT!B1586&lt;&gt;"",FT!E1586,"")</f>
        <v/>
      </c>
      <c r="J1586" t="str">
        <f>IF(FT!B1586&lt;&gt;"",FT!C1586,"")</f>
        <v/>
      </c>
    </row>
    <row r="1587" spans="5:10">
      <c r="E1587">
        <f t="shared" si="61"/>
        <v>1585</v>
      </c>
      <c r="F1587" s="61" t="str">
        <f>IF(FT!A1587&lt;&gt;"",FT!A1587*10,"")</f>
        <v/>
      </c>
      <c r="G1587" s="61" t="str">
        <f>IF(FT!B1587&lt;&gt;"",FT!B1587*100,"")</f>
        <v/>
      </c>
      <c r="H1587" s="61" t="str">
        <f t="shared" si="60"/>
        <v/>
      </c>
      <c r="I1587" t="str">
        <f>IF(FT!B1587&lt;&gt;"",FT!E1587,"")</f>
        <v/>
      </c>
      <c r="J1587" t="str">
        <f>IF(FT!B1587&lt;&gt;"",FT!C1587,"")</f>
        <v/>
      </c>
    </row>
    <row r="1588" spans="5:10">
      <c r="E1588">
        <f t="shared" si="61"/>
        <v>1586</v>
      </c>
      <c r="F1588" s="61" t="str">
        <f>IF(FT!A1588&lt;&gt;"",FT!A1588*10,"")</f>
        <v/>
      </c>
      <c r="G1588" s="61" t="str">
        <f>IF(FT!B1588&lt;&gt;"",FT!B1588*100,"")</f>
        <v/>
      </c>
      <c r="H1588" s="61" t="str">
        <f t="shared" si="60"/>
        <v/>
      </c>
      <c r="I1588" t="str">
        <f>IF(FT!B1588&lt;&gt;"",FT!E1588,"")</f>
        <v/>
      </c>
      <c r="J1588" t="str">
        <f>IF(FT!B1588&lt;&gt;"",FT!C1588,"")</f>
        <v/>
      </c>
    </row>
    <row r="1589" spans="5:10">
      <c r="E1589">
        <f t="shared" si="61"/>
        <v>1587</v>
      </c>
      <c r="F1589" s="61" t="str">
        <f>IF(FT!A1589&lt;&gt;"",FT!A1589*10,"")</f>
        <v/>
      </c>
      <c r="G1589" s="61" t="str">
        <f>IF(FT!B1589&lt;&gt;"",FT!B1589*100,"")</f>
        <v/>
      </c>
      <c r="H1589" s="61" t="str">
        <f t="shared" si="60"/>
        <v/>
      </c>
      <c r="I1589" t="str">
        <f>IF(FT!B1589&lt;&gt;"",FT!E1589,"")</f>
        <v/>
      </c>
      <c r="J1589" t="str">
        <f>IF(FT!B1589&lt;&gt;"",FT!C1589,"")</f>
        <v/>
      </c>
    </row>
    <row r="1590" spans="5:10">
      <c r="E1590">
        <f t="shared" si="61"/>
        <v>1588</v>
      </c>
      <c r="F1590" s="61" t="str">
        <f>IF(FT!A1590&lt;&gt;"",FT!A1590*10,"")</f>
        <v/>
      </c>
      <c r="G1590" s="61" t="str">
        <f>IF(FT!B1590&lt;&gt;"",FT!B1590*100,"")</f>
        <v/>
      </c>
      <c r="H1590" s="61" t="str">
        <f t="shared" si="60"/>
        <v/>
      </c>
      <c r="I1590" t="str">
        <f>IF(FT!B1590&lt;&gt;"",FT!E1590,"")</f>
        <v/>
      </c>
      <c r="J1590" t="str">
        <f>IF(FT!B1590&lt;&gt;"",FT!C1590,"")</f>
        <v/>
      </c>
    </row>
    <row r="1591" spans="5:10">
      <c r="E1591">
        <f t="shared" si="61"/>
        <v>1589</v>
      </c>
      <c r="F1591" s="61" t="str">
        <f>IF(FT!A1591&lt;&gt;"",FT!A1591*10,"")</f>
        <v/>
      </c>
      <c r="G1591" s="61" t="str">
        <f>IF(FT!B1591&lt;&gt;"",FT!B1591*100,"")</f>
        <v/>
      </c>
      <c r="H1591" s="61" t="str">
        <f t="shared" si="60"/>
        <v/>
      </c>
      <c r="I1591" t="str">
        <f>IF(FT!B1591&lt;&gt;"",FT!E1591,"")</f>
        <v/>
      </c>
      <c r="J1591" t="str">
        <f>IF(FT!B1591&lt;&gt;"",FT!C1591,"")</f>
        <v/>
      </c>
    </row>
    <row r="1592" spans="5:10">
      <c r="E1592">
        <f t="shared" si="61"/>
        <v>1590</v>
      </c>
      <c r="F1592" s="61" t="str">
        <f>IF(FT!A1592&lt;&gt;"",FT!A1592*10,"")</f>
        <v/>
      </c>
      <c r="G1592" s="61" t="str">
        <f>IF(FT!B1592&lt;&gt;"",FT!B1592*100,"")</f>
        <v/>
      </c>
      <c r="H1592" s="61" t="str">
        <f t="shared" si="60"/>
        <v/>
      </c>
      <c r="I1592" t="str">
        <f>IF(FT!B1592&lt;&gt;"",FT!E1592,"")</f>
        <v/>
      </c>
      <c r="J1592" t="str">
        <f>IF(FT!B1592&lt;&gt;"",FT!C1592,"")</f>
        <v/>
      </c>
    </row>
    <row r="1593" spans="5:10">
      <c r="E1593">
        <f t="shared" si="61"/>
        <v>1591</v>
      </c>
      <c r="F1593" s="61" t="str">
        <f>IF(FT!A1593&lt;&gt;"",FT!A1593*10,"")</f>
        <v/>
      </c>
      <c r="G1593" s="61" t="str">
        <f>IF(FT!B1593&lt;&gt;"",FT!B1593*100,"")</f>
        <v/>
      </c>
      <c r="H1593" s="61" t="str">
        <f t="shared" si="60"/>
        <v/>
      </c>
      <c r="I1593" t="str">
        <f>IF(FT!B1593&lt;&gt;"",FT!E1593,"")</f>
        <v/>
      </c>
      <c r="J1593" t="str">
        <f>IF(FT!B1593&lt;&gt;"",FT!C1593,"")</f>
        <v/>
      </c>
    </row>
    <row r="1594" spans="5:10">
      <c r="E1594">
        <f t="shared" si="61"/>
        <v>1592</v>
      </c>
      <c r="F1594" s="61" t="str">
        <f>IF(FT!A1594&lt;&gt;"",FT!A1594*10,"")</f>
        <v/>
      </c>
      <c r="G1594" s="61" t="str">
        <f>IF(FT!B1594&lt;&gt;"",FT!B1594*100,"")</f>
        <v/>
      </c>
      <c r="H1594" s="61" t="str">
        <f t="shared" si="60"/>
        <v/>
      </c>
      <c r="I1594" t="str">
        <f>IF(FT!B1594&lt;&gt;"",FT!E1594,"")</f>
        <v/>
      </c>
      <c r="J1594" t="str">
        <f>IF(FT!B1594&lt;&gt;"",FT!C1594,"")</f>
        <v/>
      </c>
    </row>
    <row r="1595" spans="5:10">
      <c r="E1595">
        <f t="shared" si="61"/>
        <v>1593</v>
      </c>
      <c r="F1595" s="61" t="str">
        <f>IF(FT!A1595&lt;&gt;"",FT!A1595*10,"")</f>
        <v/>
      </c>
      <c r="G1595" s="61" t="str">
        <f>IF(FT!B1595&lt;&gt;"",FT!B1595*100,"")</f>
        <v/>
      </c>
      <c r="H1595" s="61" t="str">
        <f t="shared" si="60"/>
        <v/>
      </c>
      <c r="I1595" t="str">
        <f>IF(FT!B1595&lt;&gt;"",FT!E1595,"")</f>
        <v/>
      </c>
      <c r="J1595" t="str">
        <f>IF(FT!B1595&lt;&gt;"",FT!C1595,"")</f>
        <v/>
      </c>
    </row>
    <row r="1596" spans="5:10">
      <c r="E1596">
        <f t="shared" si="61"/>
        <v>1594</v>
      </c>
      <c r="F1596" s="61" t="str">
        <f>IF(FT!A1596&lt;&gt;"",FT!A1596*10,"")</f>
        <v/>
      </c>
      <c r="G1596" s="61" t="str">
        <f>IF(FT!B1596&lt;&gt;"",FT!B1596*100,"")</f>
        <v/>
      </c>
      <c r="H1596" s="61" t="str">
        <f t="shared" si="60"/>
        <v/>
      </c>
      <c r="I1596" t="str">
        <f>IF(FT!B1596&lt;&gt;"",FT!E1596,"")</f>
        <v/>
      </c>
      <c r="J1596" t="str">
        <f>IF(FT!B1596&lt;&gt;"",FT!C1596,"")</f>
        <v/>
      </c>
    </row>
    <row r="1597" spans="5:10">
      <c r="E1597">
        <f t="shared" si="61"/>
        <v>1595</v>
      </c>
      <c r="F1597" s="61" t="str">
        <f>IF(FT!A1597&lt;&gt;"",FT!A1597*10,"")</f>
        <v/>
      </c>
      <c r="G1597" s="61" t="str">
        <f>IF(FT!B1597&lt;&gt;"",FT!B1597*100,"")</f>
        <v/>
      </c>
      <c r="H1597" s="61" t="str">
        <f t="shared" si="60"/>
        <v/>
      </c>
      <c r="I1597" t="str">
        <f>IF(FT!B1597&lt;&gt;"",FT!E1597,"")</f>
        <v/>
      </c>
      <c r="J1597" t="str">
        <f>IF(FT!B1597&lt;&gt;"",FT!C1597,"")</f>
        <v/>
      </c>
    </row>
    <row r="1598" spans="5:10">
      <c r="E1598">
        <f t="shared" si="61"/>
        <v>1596</v>
      </c>
      <c r="F1598" s="61" t="str">
        <f>IF(FT!A1598&lt;&gt;"",FT!A1598*10,"")</f>
        <v/>
      </c>
      <c r="G1598" s="61" t="str">
        <f>IF(FT!B1598&lt;&gt;"",FT!B1598*100,"")</f>
        <v/>
      </c>
      <c r="H1598" s="61" t="str">
        <f t="shared" si="60"/>
        <v/>
      </c>
      <c r="I1598" t="str">
        <f>IF(FT!B1598&lt;&gt;"",FT!E1598,"")</f>
        <v/>
      </c>
      <c r="J1598" t="str">
        <f>IF(FT!B1598&lt;&gt;"",FT!C1598,"")</f>
        <v/>
      </c>
    </row>
    <row r="1599" spans="5:10">
      <c r="E1599">
        <f t="shared" si="61"/>
        <v>1597</v>
      </c>
      <c r="F1599" s="61" t="str">
        <f>IF(FT!A1599&lt;&gt;"",FT!A1599*10,"")</f>
        <v/>
      </c>
      <c r="G1599" s="61" t="str">
        <f>IF(FT!B1599&lt;&gt;"",FT!B1599*100,"")</f>
        <v/>
      </c>
      <c r="H1599" s="61" t="str">
        <f t="shared" si="60"/>
        <v/>
      </c>
      <c r="I1599" t="str">
        <f>IF(FT!B1599&lt;&gt;"",FT!E1599,"")</f>
        <v/>
      </c>
      <c r="J1599" t="str">
        <f>IF(FT!B1599&lt;&gt;"",FT!C1599,"")</f>
        <v/>
      </c>
    </row>
    <row r="1600" spans="5:10">
      <c r="E1600">
        <f t="shared" si="61"/>
        <v>1598</v>
      </c>
      <c r="F1600" s="61" t="str">
        <f>IF(FT!A1600&lt;&gt;"",FT!A1600*10,"")</f>
        <v/>
      </c>
      <c r="G1600" s="61" t="str">
        <f>IF(FT!B1600&lt;&gt;"",FT!B1600*100,"")</f>
        <v/>
      </c>
      <c r="H1600" s="61" t="str">
        <f t="shared" si="60"/>
        <v/>
      </c>
      <c r="I1600" t="str">
        <f>IF(FT!B1600&lt;&gt;"",FT!E1600,"")</f>
        <v/>
      </c>
      <c r="J1600" t="str">
        <f>IF(FT!B1600&lt;&gt;"",FT!C1600,"")</f>
        <v/>
      </c>
    </row>
    <row r="1601" spans="5:10">
      <c r="E1601">
        <f t="shared" si="61"/>
        <v>1599</v>
      </c>
      <c r="F1601" s="61" t="str">
        <f>IF(FT!A1601&lt;&gt;"",FT!A1601*10,"")</f>
        <v/>
      </c>
      <c r="G1601" s="61" t="str">
        <f>IF(FT!B1601&lt;&gt;"",FT!B1601*100,"")</f>
        <v/>
      </c>
      <c r="H1601" s="61" t="str">
        <f t="shared" si="60"/>
        <v/>
      </c>
      <c r="I1601" t="str">
        <f>IF(FT!B1601&lt;&gt;"",FT!E1601,"")</f>
        <v/>
      </c>
      <c r="J1601" t="str">
        <f>IF(FT!B1601&lt;&gt;"",FT!C1601,"")</f>
        <v/>
      </c>
    </row>
    <row r="1602" spans="5:10">
      <c r="E1602">
        <f t="shared" si="61"/>
        <v>1600</v>
      </c>
      <c r="F1602" s="61" t="str">
        <f>IF(FT!A1602&lt;&gt;"",FT!A1602*10,"")</f>
        <v/>
      </c>
      <c r="G1602" s="61" t="str">
        <f>IF(FT!B1602&lt;&gt;"",FT!B1602*100,"")</f>
        <v/>
      </c>
      <c r="H1602" s="61" t="str">
        <f t="shared" si="60"/>
        <v/>
      </c>
      <c r="I1602" t="str">
        <f>IF(FT!B1602&lt;&gt;"",FT!E1602,"")</f>
        <v/>
      </c>
      <c r="J1602" t="str">
        <f>IF(FT!B1602&lt;&gt;"",FT!C1602,"")</f>
        <v/>
      </c>
    </row>
    <row r="1603" spans="5:10">
      <c r="E1603">
        <f t="shared" si="61"/>
        <v>1601</v>
      </c>
      <c r="F1603" s="61" t="str">
        <f>IF(FT!A1603&lt;&gt;"",FT!A1603*10,"")</f>
        <v/>
      </c>
      <c r="G1603" s="61" t="str">
        <f>IF(FT!B1603&lt;&gt;"",FT!B1603*100,"")</f>
        <v/>
      </c>
      <c r="H1603" s="61" t="str">
        <f t="shared" ref="H1603:H1666" si="62">(IF(F1603&lt;&gt;"",1,""))</f>
        <v/>
      </c>
      <c r="I1603" t="str">
        <f>IF(FT!B1603&lt;&gt;"",FT!E1603,"")</f>
        <v/>
      </c>
      <c r="J1603" t="str">
        <f>IF(FT!B1603&lt;&gt;"",FT!C1603,"")</f>
        <v/>
      </c>
    </row>
    <row r="1604" spans="5:10">
      <c r="E1604">
        <f t="shared" ref="E1604:E1667" si="63">E1603+1</f>
        <v>1602</v>
      </c>
      <c r="F1604" s="61" t="str">
        <f>IF(FT!A1604&lt;&gt;"",FT!A1604*10,"")</f>
        <v/>
      </c>
      <c r="G1604" s="61" t="str">
        <f>IF(FT!B1604&lt;&gt;"",FT!B1604*100,"")</f>
        <v/>
      </c>
      <c r="H1604" s="61" t="str">
        <f t="shared" si="62"/>
        <v/>
      </c>
      <c r="I1604" t="str">
        <f>IF(FT!B1604&lt;&gt;"",FT!E1604,"")</f>
        <v/>
      </c>
      <c r="J1604" t="str">
        <f>IF(FT!B1604&lt;&gt;"",FT!C1604,"")</f>
        <v/>
      </c>
    </row>
    <row r="1605" spans="5:10">
      <c r="E1605">
        <f t="shared" si="63"/>
        <v>1603</v>
      </c>
      <c r="F1605" s="61" t="str">
        <f>IF(FT!A1605&lt;&gt;"",FT!A1605*10,"")</f>
        <v/>
      </c>
      <c r="G1605" s="61" t="str">
        <f>IF(FT!B1605&lt;&gt;"",FT!B1605*100,"")</f>
        <v/>
      </c>
      <c r="H1605" s="61" t="str">
        <f t="shared" si="62"/>
        <v/>
      </c>
      <c r="I1605" t="str">
        <f>IF(FT!B1605&lt;&gt;"",FT!E1605,"")</f>
        <v/>
      </c>
      <c r="J1605" t="str">
        <f>IF(FT!B1605&lt;&gt;"",FT!C1605,"")</f>
        <v/>
      </c>
    </row>
    <row r="1606" spans="5:10">
      <c r="E1606">
        <f t="shared" si="63"/>
        <v>1604</v>
      </c>
      <c r="F1606" s="61" t="str">
        <f>IF(FT!A1606&lt;&gt;"",FT!A1606*10,"")</f>
        <v/>
      </c>
      <c r="G1606" s="61" t="str">
        <f>IF(FT!B1606&lt;&gt;"",FT!B1606*100,"")</f>
        <v/>
      </c>
      <c r="H1606" s="61" t="str">
        <f t="shared" si="62"/>
        <v/>
      </c>
      <c r="I1606" t="str">
        <f>IF(FT!B1606&lt;&gt;"",FT!E1606,"")</f>
        <v/>
      </c>
      <c r="J1606" t="str">
        <f>IF(FT!B1606&lt;&gt;"",FT!C1606,"")</f>
        <v/>
      </c>
    </row>
    <row r="1607" spans="5:10">
      <c r="E1607">
        <f t="shared" si="63"/>
        <v>1605</v>
      </c>
      <c r="F1607" s="61" t="str">
        <f>IF(FT!A1607&lt;&gt;"",FT!A1607*10,"")</f>
        <v/>
      </c>
      <c r="G1607" s="61" t="str">
        <f>IF(FT!B1607&lt;&gt;"",FT!B1607*100,"")</f>
        <v/>
      </c>
      <c r="H1607" s="61" t="str">
        <f t="shared" si="62"/>
        <v/>
      </c>
      <c r="I1607" t="str">
        <f>IF(FT!B1607&lt;&gt;"",FT!E1607,"")</f>
        <v/>
      </c>
      <c r="J1607" t="str">
        <f>IF(FT!B1607&lt;&gt;"",FT!C1607,"")</f>
        <v/>
      </c>
    </row>
    <row r="1608" spans="5:10">
      <c r="E1608">
        <f t="shared" si="63"/>
        <v>1606</v>
      </c>
      <c r="F1608" s="61" t="str">
        <f>IF(FT!A1608&lt;&gt;"",FT!A1608*10,"")</f>
        <v/>
      </c>
      <c r="G1608" s="61" t="str">
        <f>IF(FT!B1608&lt;&gt;"",FT!B1608*100,"")</f>
        <v/>
      </c>
      <c r="H1608" s="61" t="str">
        <f t="shared" si="62"/>
        <v/>
      </c>
      <c r="I1608" t="str">
        <f>IF(FT!B1608&lt;&gt;"",FT!E1608,"")</f>
        <v/>
      </c>
      <c r="J1608" t="str">
        <f>IF(FT!B1608&lt;&gt;"",FT!C1608,"")</f>
        <v/>
      </c>
    </row>
    <row r="1609" spans="5:10">
      <c r="E1609">
        <f t="shared" si="63"/>
        <v>1607</v>
      </c>
      <c r="F1609" s="61" t="str">
        <f>IF(FT!A1609&lt;&gt;"",FT!A1609*10,"")</f>
        <v/>
      </c>
      <c r="G1609" s="61" t="str">
        <f>IF(FT!B1609&lt;&gt;"",FT!B1609*100,"")</f>
        <v/>
      </c>
      <c r="H1609" s="61" t="str">
        <f t="shared" si="62"/>
        <v/>
      </c>
      <c r="I1609" t="str">
        <f>IF(FT!B1609&lt;&gt;"",FT!E1609,"")</f>
        <v/>
      </c>
      <c r="J1609" t="str">
        <f>IF(FT!B1609&lt;&gt;"",FT!C1609,"")</f>
        <v/>
      </c>
    </row>
    <row r="1610" spans="5:10">
      <c r="E1610">
        <f t="shared" si="63"/>
        <v>1608</v>
      </c>
      <c r="F1610" s="61" t="str">
        <f>IF(FT!A1610&lt;&gt;"",FT!A1610*10,"")</f>
        <v/>
      </c>
      <c r="G1610" s="61" t="str">
        <f>IF(FT!B1610&lt;&gt;"",FT!B1610*100,"")</f>
        <v/>
      </c>
      <c r="H1610" s="61" t="str">
        <f t="shared" si="62"/>
        <v/>
      </c>
      <c r="I1610" t="str">
        <f>IF(FT!B1610&lt;&gt;"",FT!E1610,"")</f>
        <v/>
      </c>
      <c r="J1610" t="str">
        <f>IF(FT!B1610&lt;&gt;"",FT!C1610,"")</f>
        <v/>
      </c>
    </row>
    <row r="1611" spans="5:10">
      <c r="E1611">
        <f t="shared" si="63"/>
        <v>1609</v>
      </c>
      <c r="F1611" s="61" t="str">
        <f>IF(FT!A1611&lt;&gt;"",FT!A1611*10,"")</f>
        <v/>
      </c>
      <c r="G1611" s="61" t="str">
        <f>IF(FT!B1611&lt;&gt;"",FT!B1611*100,"")</f>
        <v/>
      </c>
      <c r="H1611" s="61" t="str">
        <f t="shared" si="62"/>
        <v/>
      </c>
      <c r="I1611" t="str">
        <f>IF(FT!B1611&lt;&gt;"",FT!E1611,"")</f>
        <v/>
      </c>
      <c r="J1611" t="str">
        <f>IF(FT!B1611&lt;&gt;"",FT!C1611,"")</f>
        <v/>
      </c>
    </row>
    <row r="1612" spans="5:10">
      <c r="E1612">
        <f t="shared" si="63"/>
        <v>1610</v>
      </c>
      <c r="F1612" s="61" t="str">
        <f>IF(FT!A1612&lt;&gt;"",FT!A1612*10,"")</f>
        <v/>
      </c>
      <c r="G1612" s="61" t="str">
        <f>IF(FT!B1612&lt;&gt;"",FT!B1612*100,"")</f>
        <v/>
      </c>
      <c r="H1612" s="61" t="str">
        <f t="shared" si="62"/>
        <v/>
      </c>
      <c r="I1612" t="str">
        <f>IF(FT!B1612&lt;&gt;"",FT!E1612,"")</f>
        <v/>
      </c>
      <c r="J1612" t="str">
        <f>IF(FT!B1612&lt;&gt;"",FT!C1612,"")</f>
        <v/>
      </c>
    </row>
    <row r="1613" spans="5:10">
      <c r="E1613">
        <f t="shared" si="63"/>
        <v>1611</v>
      </c>
      <c r="F1613" s="61" t="str">
        <f>IF(FT!A1613&lt;&gt;"",FT!A1613*10,"")</f>
        <v/>
      </c>
      <c r="G1613" s="61" t="str">
        <f>IF(FT!B1613&lt;&gt;"",FT!B1613*100,"")</f>
        <v/>
      </c>
      <c r="H1613" s="61" t="str">
        <f t="shared" si="62"/>
        <v/>
      </c>
      <c r="I1613" t="str">
        <f>IF(FT!B1613&lt;&gt;"",FT!E1613,"")</f>
        <v/>
      </c>
      <c r="J1613" t="str">
        <f>IF(FT!B1613&lt;&gt;"",FT!C1613,"")</f>
        <v/>
      </c>
    </row>
    <row r="1614" spans="5:10">
      <c r="E1614">
        <f t="shared" si="63"/>
        <v>1612</v>
      </c>
      <c r="F1614" s="61" t="str">
        <f>IF(FT!A1614&lt;&gt;"",FT!A1614*10,"")</f>
        <v/>
      </c>
      <c r="G1614" s="61" t="str">
        <f>IF(FT!B1614&lt;&gt;"",FT!B1614*100,"")</f>
        <v/>
      </c>
      <c r="H1614" s="61" t="str">
        <f t="shared" si="62"/>
        <v/>
      </c>
      <c r="I1614" t="str">
        <f>IF(FT!B1614&lt;&gt;"",FT!E1614,"")</f>
        <v/>
      </c>
      <c r="J1614" t="str">
        <f>IF(FT!B1614&lt;&gt;"",FT!C1614,"")</f>
        <v/>
      </c>
    </row>
    <row r="1615" spans="5:10">
      <c r="E1615">
        <f t="shared" si="63"/>
        <v>1613</v>
      </c>
      <c r="F1615" s="61" t="str">
        <f>IF(FT!A1615&lt;&gt;"",FT!A1615*10,"")</f>
        <v/>
      </c>
      <c r="G1615" s="61" t="str">
        <f>IF(FT!B1615&lt;&gt;"",FT!B1615*100,"")</f>
        <v/>
      </c>
      <c r="H1615" s="61" t="str">
        <f t="shared" si="62"/>
        <v/>
      </c>
      <c r="I1615" t="str">
        <f>IF(FT!B1615&lt;&gt;"",FT!E1615,"")</f>
        <v/>
      </c>
      <c r="J1615" t="str">
        <f>IF(FT!B1615&lt;&gt;"",FT!C1615,"")</f>
        <v/>
      </c>
    </row>
    <row r="1616" spans="5:10">
      <c r="E1616">
        <f t="shared" si="63"/>
        <v>1614</v>
      </c>
      <c r="F1616" s="61" t="str">
        <f>IF(FT!A1616&lt;&gt;"",FT!A1616*10,"")</f>
        <v/>
      </c>
      <c r="G1616" s="61" t="str">
        <f>IF(FT!B1616&lt;&gt;"",FT!B1616*100,"")</f>
        <v/>
      </c>
      <c r="H1616" s="61" t="str">
        <f t="shared" si="62"/>
        <v/>
      </c>
      <c r="I1616" t="str">
        <f>IF(FT!B1616&lt;&gt;"",FT!E1616,"")</f>
        <v/>
      </c>
      <c r="J1616" t="str">
        <f>IF(FT!B1616&lt;&gt;"",FT!C1616,"")</f>
        <v/>
      </c>
    </row>
    <row r="1617" spans="5:10">
      <c r="E1617">
        <f t="shared" si="63"/>
        <v>1615</v>
      </c>
      <c r="F1617" s="61" t="str">
        <f>IF(FT!A1617&lt;&gt;"",FT!A1617*10,"")</f>
        <v/>
      </c>
      <c r="G1617" s="61" t="str">
        <f>IF(FT!B1617&lt;&gt;"",FT!B1617*100,"")</f>
        <v/>
      </c>
      <c r="H1617" s="61" t="str">
        <f t="shared" si="62"/>
        <v/>
      </c>
      <c r="I1617" t="str">
        <f>IF(FT!B1617&lt;&gt;"",FT!E1617,"")</f>
        <v/>
      </c>
      <c r="J1617" t="str">
        <f>IF(FT!B1617&lt;&gt;"",FT!C1617,"")</f>
        <v/>
      </c>
    </row>
    <row r="1618" spans="5:10">
      <c r="E1618">
        <f t="shared" si="63"/>
        <v>1616</v>
      </c>
      <c r="F1618" s="61" t="str">
        <f>IF(FT!A1618&lt;&gt;"",FT!A1618*10,"")</f>
        <v/>
      </c>
      <c r="G1618" s="61" t="str">
        <f>IF(FT!B1618&lt;&gt;"",FT!B1618*100,"")</f>
        <v/>
      </c>
      <c r="H1618" s="61" t="str">
        <f t="shared" si="62"/>
        <v/>
      </c>
      <c r="I1618" t="str">
        <f>IF(FT!B1618&lt;&gt;"",FT!E1618,"")</f>
        <v/>
      </c>
      <c r="J1618" t="str">
        <f>IF(FT!B1618&lt;&gt;"",FT!C1618,"")</f>
        <v/>
      </c>
    </row>
    <row r="1619" spans="5:10">
      <c r="E1619">
        <f t="shared" si="63"/>
        <v>1617</v>
      </c>
      <c r="F1619" s="61" t="str">
        <f>IF(FT!A1619&lt;&gt;"",FT!A1619*10,"")</f>
        <v/>
      </c>
      <c r="G1619" s="61" t="str">
        <f>IF(FT!B1619&lt;&gt;"",FT!B1619*100,"")</f>
        <v/>
      </c>
      <c r="H1619" s="61" t="str">
        <f t="shared" si="62"/>
        <v/>
      </c>
      <c r="I1619" t="str">
        <f>IF(FT!B1619&lt;&gt;"",FT!E1619,"")</f>
        <v/>
      </c>
      <c r="J1619" t="str">
        <f>IF(FT!B1619&lt;&gt;"",FT!C1619,"")</f>
        <v/>
      </c>
    </row>
    <row r="1620" spans="5:10">
      <c r="E1620">
        <f t="shared" si="63"/>
        <v>1618</v>
      </c>
      <c r="F1620" s="61" t="str">
        <f>IF(FT!A1620&lt;&gt;"",FT!A1620*10,"")</f>
        <v/>
      </c>
      <c r="G1620" s="61" t="str">
        <f>IF(FT!B1620&lt;&gt;"",FT!B1620*100,"")</f>
        <v/>
      </c>
      <c r="H1620" s="61" t="str">
        <f t="shared" si="62"/>
        <v/>
      </c>
      <c r="I1620" t="str">
        <f>IF(FT!B1620&lt;&gt;"",FT!E1620,"")</f>
        <v/>
      </c>
      <c r="J1620" t="str">
        <f>IF(FT!B1620&lt;&gt;"",FT!C1620,"")</f>
        <v/>
      </c>
    </row>
    <row r="1621" spans="5:10">
      <c r="E1621">
        <f t="shared" si="63"/>
        <v>1619</v>
      </c>
      <c r="F1621" s="61" t="str">
        <f>IF(FT!A1621&lt;&gt;"",FT!A1621*10,"")</f>
        <v/>
      </c>
      <c r="G1621" s="61" t="str">
        <f>IF(FT!B1621&lt;&gt;"",FT!B1621*100,"")</f>
        <v/>
      </c>
      <c r="H1621" s="61" t="str">
        <f t="shared" si="62"/>
        <v/>
      </c>
      <c r="I1621" t="str">
        <f>IF(FT!B1621&lt;&gt;"",FT!E1621,"")</f>
        <v/>
      </c>
      <c r="J1621" t="str">
        <f>IF(FT!B1621&lt;&gt;"",FT!C1621,"")</f>
        <v/>
      </c>
    </row>
    <row r="1622" spans="5:10">
      <c r="E1622">
        <f t="shared" si="63"/>
        <v>1620</v>
      </c>
      <c r="F1622" s="61" t="str">
        <f>IF(FT!A1622&lt;&gt;"",FT!A1622*10,"")</f>
        <v/>
      </c>
      <c r="G1622" s="61" t="str">
        <f>IF(FT!B1622&lt;&gt;"",FT!B1622*100,"")</f>
        <v/>
      </c>
      <c r="H1622" s="61" t="str">
        <f t="shared" si="62"/>
        <v/>
      </c>
      <c r="I1622" t="str">
        <f>IF(FT!B1622&lt;&gt;"",FT!E1622,"")</f>
        <v/>
      </c>
      <c r="J1622" t="str">
        <f>IF(FT!B1622&lt;&gt;"",FT!C1622,"")</f>
        <v/>
      </c>
    </row>
    <row r="1623" spans="5:10">
      <c r="E1623">
        <f t="shared" si="63"/>
        <v>1621</v>
      </c>
      <c r="F1623" s="61" t="str">
        <f>IF(FT!A1623&lt;&gt;"",FT!A1623*10,"")</f>
        <v/>
      </c>
      <c r="G1623" s="61" t="str">
        <f>IF(FT!B1623&lt;&gt;"",FT!B1623*100,"")</f>
        <v/>
      </c>
      <c r="H1623" s="61" t="str">
        <f t="shared" si="62"/>
        <v/>
      </c>
      <c r="I1623" t="str">
        <f>IF(FT!B1623&lt;&gt;"",FT!E1623,"")</f>
        <v/>
      </c>
      <c r="J1623" t="str">
        <f>IF(FT!B1623&lt;&gt;"",FT!C1623,"")</f>
        <v/>
      </c>
    </row>
    <row r="1624" spans="5:10">
      <c r="E1624">
        <f t="shared" si="63"/>
        <v>1622</v>
      </c>
      <c r="F1624" s="61" t="str">
        <f>IF(FT!A1624&lt;&gt;"",FT!A1624*10,"")</f>
        <v/>
      </c>
      <c r="G1624" s="61" t="str">
        <f>IF(FT!B1624&lt;&gt;"",FT!B1624*100,"")</f>
        <v/>
      </c>
      <c r="H1624" s="61" t="str">
        <f t="shared" si="62"/>
        <v/>
      </c>
      <c r="I1624" t="str">
        <f>IF(FT!B1624&lt;&gt;"",FT!E1624,"")</f>
        <v/>
      </c>
      <c r="J1624" t="str">
        <f>IF(FT!B1624&lt;&gt;"",FT!C1624,"")</f>
        <v/>
      </c>
    </row>
    <row r="1625" spans="5:10">
      <c r="E1625">
        <f t="shared" si="63"/>
        <v>1623</v>
      </c>
      <c r="F1625" s="61" t="str">
        <f>IF(FT!A1625&lt;&gt;"",FT!A1625*10,"")</f>
        <v/>
      </c>
      <c r="G1625" s="61" t="str">
        <f>IF(FT!B1625&lt;&gt;"",FT!B1625*100,"")</f>
        <v/>
      </c>
      <c r="H1625" s="61" t="str">
        <f t="shared" si="62"/>
        <v/>
      </c>
      <c r="I1625" t="str">
        <f>IF(FT!B1625&lt;&gt;"",FT!E1625,"")</f>
        <v/>
      </c>
      <c r="J1625" t="str">
        <f>IF(FT!B1625&lt;&gt;"",FT!C1625,"")</f>
        <v/>
      </c>
    </row>
    <row r="1626" spans="5:10">
      <c r="E1626">
        <f t="shared" si="63"/>
        <v>1624</v>
      </c>
      <c r="F1626" s="61" t="str">
        <f>IF(FT!A1626&lt;&gt;"",FT!A1626*10,"")</f>
        <v/>
      </c>
      <c r="G1626" s="61" t="str">
        <f>IF(FT!B1626&lt;&gt;"",FT!B1626*100,"")</f>
        <v/>
      </c>
      <c r="H1626" s="61" t="str">
        <f t="shared" si="62"/>
        <v/>
      </c>
      <c r="I1626" t="str">
        <f>IF(FT!B1626&lt;&gt;"",FT!E1626,"")</f>
        <v/>
      </c>
      <c r="J1626" t="str">
        <f>IF(FT!B1626&lt;&gt;"",FT!C1626,"")</f>
        <v/>
      </c>
    </row>
    <row r="1627" spans="5:10">
      <c r="E1627">
        <f t="shared" si="63"/>
        <v>1625</v>
      </c>
      <c r="F1627" s="61" t="str">
        <f>IF(FT!A1627&lt;&gt;"",FT!A1627*10,"")</f>
        <v/>
      </c>
      <c r="G1627" s="61" t="str">
        <f>IF(FT!B1627&lt;&gt;"",FT!B1627*100,"")</f>
        <v/>
      </c>
      <c r="H1627" s="61" t="str">
        <f t="shared" si="62"/>
        <v/>
      </c>
      <c r="I1627" t="str">
        <f>IF(FT!B1627&lt;&gt;"",FT!E1627,"")</f>
        <v/>
      </c>
      <c r="J1627" t="str">
        <f>IF(FT!B1627&lt;&gt;"",FT!C1627,"")</f>
        <v/>
      </c>
    </row>
    <row r="1628" spans="5:10">
      <c r="E1628">
        <f t="shared" si="63"/>
        <v>1626</v>
      </c>
      <c r="F1628" s="61" t="str">
        <f>IF(FT!A1628&lt;&gt;"",FT!A1628*10,"")</f>
        <v/>
      </c>
      <c r="G1628" s="61" t="str">
        <f>IF(FT!B1628&lt;&gt;"",FT!B1628*100,"")</f>
        <v/>
      </c>
      <c r="H1628" s="61" t="str">
        <f t="shared" si="62"/>
        <v/>
      </c>
      <c r="I1628" t="str">
        <f>IF(FT!B1628&lt;&gt;"",FT!E1628,"")</f>
        <v/>
      </c>
      <c r="J1628" t="str">
        <f>IF(FT!B1628&lt;&gt;"",FT!C1628,"")</f>
        <v/>
      </c>
    </row>
    <row r="1629" spans="5:10">
      <c r="E1629">
        <f t="shared" si="63"/>
        <v>1627</v>
      </c>
      <c r="F1629" s="61" t="str">
        <f>IF(FT!A1629&lt;&gt;"",FT!A1629*10,"")</f>
        <v/>
      </c>
      <c r="G1629" s="61" t="str">
        <f>IF(FT!B1629&lt;&gt;"",FT!B1629*100,"")</f>
        <v/>
      </c>
      <c r="H1629" s="61" t="str">
        <f t="shared" si="62"/>
        <v/>
      </c>
      <c r="I1629" t="str">
        <f>IF(FT!B1629&lt;&gt;"",FT!E1629,"")</f>
        <v/>
      </c>
      <c r="J1629" t="str">
        <f>IF(FT!B1629&lt;&gt;"",FT!C1629,"")</f>
        <v/>
      </c>
    </row>
    <row r="1630" spans="5:10">
      <c r="E1630">
        <f t="shared" si="63"/>
        <v>1628</v>
      </c>
      <c r="F1630" s="61" t="str">
        <f>IF(FT!A1630&lt;&gt;"",FT!A1630*10,"")</f>
        <v/>
      </c>
      <c r="G1630" s="61" t="str">
        <f>IF(FT!B1630&lt;&gt;"",FT!B1630*100,"")</f>
        <v/>
      </c>
      <c r="H1630" s="61" t="str">
        <f t="shared" si="62"/>
        <v/>
      </c>
      <c r="I1630" t="str">
        <f>IF(FT!B1630&lt;&gt;"",FT!E1630,"")</f>
        <v/>
      </c>
      <c r="J1630" t="str">
        <f>IF(FT!B1630&lt;&gt;"",FT!C1630,"")</f>
        <v/>
      </c>
    </row>
    <row r="1631" spans="5:10">
      <c r="E1631">
        <f t="shared" si="63"/>
        <v>1629</v>
      </c>
      <c r="F1631" s="61" t="str">
        <f>IF(FT!A1631&lt;&gt;"",FT!A1631*10,"")</f>
        <v/>
      </c>
      <c r="G1631" s="61" t="str">
        <f>IF(FT!B1631&lt;&gt;"",FT!B1631*100,"")</f>
        <v/>
      </c>
      <c r="H1631" s="61" t="str">
        <f t="shared" si="62"/>
        <v/>
      </c>
      <c r="I1631" t="str">
        <f>IF(FT!B1631&lt;&gt;"",FT!E1631,"")</f>
        <v/>
      </c>
      <c r="J1631" t="str">
        <f>IF(FT!B1631&lt;&gt;"",FT!C1631,"")</f>
        <v/>
      </c>
    </row>
    <row r="1632" spans="5:10">
      <c r="E1632">
        <f t="shared" si="63"/>
        <v>1630</v>
      </c>
      <c r="F1632" s="61" t="str">
        <f>IF(FT!A1632&lt;&gt;"",FT!A1632*10,"")</f>
        <v/>
      </c>
      <c r="G1632" s="61" t="str">
        <f>IF(FT!B1632&lt;&gt;"",FT!B1632*100,"")</f>
        <v/>
      </c>
      <c r="H1632" s="61" t="str">
        <f t="shared" si="62"/>
        <v/>
      </c>
      <c r="I1632" t="str">
        <f>IF(FT!B1632&lt;&gt;"",FT!E1632,"")</f>
        <v/>
      </c>
      <c r="J1632" t="str">
        <f>IF(FT!B1632&lt;&gt;"",FT!C1632,"")</f>
        <v/>
      </c>
    </row>
    <row r="1633" spans="5:10">
      <c r="E1633">
        <f t="shared" si="63"/>
        <v>1631</v>
      </c>
      <c r="F1633" s="61" t="str">
        <f>IF(FT!A1633&lt;&gt;"",FT!A1633*10,"")</f>
        <v/>
      </c>
      <c r="G1633" s="61" t="str">
        <f>IF(FT!B1633&lt;&gt;"",FT!B1633*100,"")</f>
        <v/>
      </c>
      <c r="H1633" s="61" t="str">
        <f t="shared" si="62"/>
        <v/>
      </c>
      <c r="I1633" t="str">
        <f>IF(FT!B1633&lt;&gt;"",FT!E1633,"")</f>
        <v/>
      </c>
      <c r="J1633" t="str">
        <f>IF(FT!B1633&lt;&gt;"",FT!C1633,"")</f>
        <v/>
      </c>
    </row>
    <row r="1634" spans="5:10">
      <c r="E1634">
        <f t="shared" si="63"/>
        <v>1632</v>
      </c>
      <c r="F1634" s="61" t="str">
        <f>IF(FT!A1634&lt;&gt;"",FT!A1634*10,"")</f>
        <v/>
      </c>
      <c r="G1634" s="61" t="str">
        <f>IF(FT!B1634&lt;&gt;"",FT!B1634*100,"")</f>
        <v/>
      </c>
      <c r="H1634" s="61" t="str">
        <f t="shared" si="62"/>
        <v/>
      </c>
      <c r="I1634" t="str">
        <f>IF(FT!B1634&lt;&gt;"",FT!E1634,"")</f>
        <v/>
      </c>
      <c r="J1634" t="str">
        <f>IF(FT!B1634&lt;&gt;"",FT!C1634,"")</f>
        <v/>
      </c>
    </row>
    <row r="1635" spans="5:10">
      <c r="E1635">
        <f t="shared" si="63"/>
        <v>1633</v>
      </c>
      <c r="F1635" s="61" t="str">
        <f>IF(FT!A1635&lt;&gt;"",FT!A1635*10,"")</f>
        <v/>
      </c>
      <c r="G1635" s="61" t="str">
        <f>IF(FT!B1635&lt;&gt;"",FT!B1635*100,"")</f>
        <v/>
      </c>
      <c r="H1635" s="61" t="str">
        <f t="shared" si="62"/>
        <v/>
      </c>
      <c r="I1635" t="str">
        <f>IF(FT!B1635&lt;&gt;"",FT!E1635,"")</f>
        <v/>
      </c>
      <c r="J1635" t="str">
        <f>IF(FT!B1635&lt;&gt;"",FT!C1635,"")</f>
        <v/>
      </c>
    </row>
    <row r="1636" spans="5:10">
      <c r="E1636">
        <f t="shared" si="63"/>
        <v>1634</v>
      </c>
      <c r="F1636" s="61" t="str">
        <f>IF(FT!A1636&lt;&gt;"",FT!A1636*10,"")</f>
        <v/>
      </c>
      <c r="G1636" s="61" t="str">
        <f>IF(FT!B1636&lt;&gt;"",FT!B1636*100,"")</f>
        <v/>
      </c>
      <c r="H1636" s="61" t="str">
        <f t="shared" si="62"/>
        <v/>
      </c>
      <c r="I1636" t="str">
        <f>IF(FT!B1636&lt;&gt;"",FT!E1636,"")</f>
        <v/>
      </c>
      <c r="J1636" t="str">
        <f>IF(FT!B1636&lt;&gt;"",FT!C1636,"")</f>
        <v/>
      </c>
    </row>
    <row r="1637" spans="5:10">
      <c r="E1637">
        <f t="shared" si="63"/>
        <v>1635</v>
      </c>
      <c r="F1637" s="61" t="str">
        <f>IF(FT!A1637&lt;&gt;"",FT!A1637*10,"")</f>
        <v/>
      </c>
      <c r="G1637" s="61" t="str">
        <f>IF(FT!B1637&lt;&gt;"",FT!B1637*100,"")</f>
        <v/>
      </c>
      <c r="H1637" s="61" t="str">
        <f t="shared" si="62"/>
        <v/>
      </c>
      <c r="I1637" t="str">
        <f>IF(FT!B1637&lt;&gt;"",FT!E1637,"")</f>
        <v/>
      </c>
      <c r="J1637" t="str">
        <f>IF(FT!B1637&lt;&gt;"",FT!C1637,"")</f>
        <v/>
      </c>
    </row>
    <row r="1638" spans="5:10">
      <c r="E1638">
        <f t="shared" si="63"/>
        <v>1636</v>
      </c>
      <c r="F1638" s="61" t="str">
        <f>IF(FT!A1638&lt;&gt;"",FT!A1638*10,"")</f>
        <v/>
      </c>
      <c r="G1638" s="61" t="str">
        <f>IF(FT!B1638&lt;&gt;"",FT!B1638*100,"")</f>
        <v/>
      </c>
      <c r="H1638" s="61" t="str">
        <f t="shared" si="62"/>
        <v/>
      </c>
      <c r="I1638" t="str">
        <f>IF(FT!B1638&lt;&gt;"",FT!E1638,"")</f>
        <v/>
      </c>
      <c r="J1638" t="str">
        <f>IF(FT!B1638&lt;&gt;"",FT!C1638,"")</f>
        <v/>
      </c>
    </row>
    <row r="1639" spans="5:10">
      <c r="E1639">
        <f t="shared" si="63"/>
        <v>1637</v>
      </c>
      <c r="F1639" s="61" t="str">
        <f>IF(FT!A1639&lt;&gt;"",FT!A1639*10,"")</f>
        <v/>
      </c>
      <c r="G1639" s="61" t="str">
        <f>IF(FT!B1639&lt;&gt;"",FT!B1639*100,"")</f>
        <v/>
      </c>
      <c r="H1639" s="61" t="str">
        <f t="shared" si="62"/>
        <v/>
      </c>
      <c r="I1639" t="str">
        <f>IF(FT!B1639&lt;&gt;"",FT!E1639,"")</f>
        <v/>
      </c>
      <c r="J1639" t="str">
        <f>IF(FT!B1639&lt;&gt;"",FT!C1639,"")</f>
        <v/>
      </c>
    </row>
    <row r="1640" spans="5:10">
      <c r="E1640">
        <f t="shared" si="63"/>
        <v>1638</v>
      </c>
      <c r="F1640" s="61" t="str">
        <f>IF(FT!A1640&lt;&gt;"",FT!A1640*10,"")</f>
        <v/>
      </c>
      <c r="G1640" s="61" t="str">
        <f>IF(FT!B1640&lt;&gt;"",FT!B1640*100,"")</f>
        <v/>
      </c>
      <c r="H1640" s="61" t="str">
        <f t="shared" si="62"/>
        <v/>
      </c>
      <c r="I1640" t="str">
        <f>IF(FT!B1640&lt;&gt;"",FT!E1640,"")</f>
        <v/>
      </c>
      <c r="J1640" t="str">
        <f>IF(FT!B1640&lt;&gt;"",FT!C1640,"")</f>
        <v/>
      </c>
    </row>
    <row r="1641" spans="5:10">
      <c r="E1641">
        <f t="shared" si="63"/>
        <v>1639</v>
      </c>
      <c r="F1641" s="61" t="str">
        <f>IF(FT!A1641&lt;&gt;"",FT!A1641*10,"")</f>
        <v/>
      </c>
      <c r="G1641" s="61" t="str">
        <f>IF(FT!B1641&lt;&gt;"",FT!B1641*100,"")</f>
        <v/>
      </c>
      <c r="H1641" s="61" t="str">
        <f t="shared" si="62"/>
        <v/>
      </c>
      <c r="I1641" t="str">
        <f>IF(FT!B1641&lt;&gt;"",FT!E1641,"")</f>
        <v/>
      </c>
      <c r="J1641" t="str">
        <f>IF(FT!B1641&lt;&gt;"",FT!C1641,"")</f>
        <v/>
      </c>
    </row>
    <row r="1642" spans="5:10">
      <c r="E1642">
        <f t="shared" si="63"/>
        <v>1640</v>
      </c>
      <c r="F1642" s="61" t="str">
        <f>IF(FT!A1642&lt;&gt;"",FT!A1642*10,"")</f>
        <v/>
      </c>
      <c r="G1642" s="61" t="str">
        <f>IF(FT!B1642&lt;&gt;"",FT!B1642*100,"")</f>
        <v/>
      </c>
      <c r="H1642" s="61" t="str">
        <f t="shared" si="62"/>
        <v/>
      </c>
      <c r="I1642" t="str">
        <f>IF(FT!B1642&lt;&gt;"",FT!E1642,"")</f>
        <v/>
      </c>
      <c r="J1642" t="str">
        <f>IF(FT!B1642&lt;&gt;"",FT!C1642,"")</f>
        <v/>
      </c>
    </row>
    <row r="1643" spans="5:10">
      <c r="E1643">
        <f t="shared" si="63"/>
        <v>1641</v>
      </c>
      <c r="F1643" s="61" t="str">
        <f>IF(FT!A1643&lt;&gt;"",FT!A1643*10,"")</f>
        <v/>
      </c>
      <c r="G1643" s="61" t="str">
        <f>IF(FT!B1643&lt;&gt;"",FT!B1643*100,"")</f>
        <v/>
      </c>
      <c r="H1643" s="61" t="str">
        <f t="shared" si="62"/>
        <v/>
      </c>
      <c r="I1643" t="str">
        <f>IF(FT!B1643&lt;&gt;"",FT!E1643,"")</f>
        <v/>
      </c>
      <c r="J1643" t="str">
        <f>IF(FT!B1643&lt;&gt;"",FT!C1643,"")</f>
        <v/>
      </c>
    </row>
    <row r="1644" spans="5:10">
      <c r="E1644">
        <f t="shared" si="63"/>
        <v>1642</v>
      </c>
      <c r="F1644" s="61" t="str">
        <f>IF(FT!A1644&lt;&gt;"",FT!A1644*10,"")</f>
        <v/>
      </c>
      <c r="G1644" s="61" t="str">
        <f>IF(FT!B1644&lt;&gt;"",FT!B1644*100,"")</f>
        <v/>
      </c>
      <c r="H1644" s="61" t="str">
        <f t="shared" si="62"/>
        <v/>
      </c>
      <c r="I1644" t="str">
        <f>IF(FT!B1644&lt;&gt;"",FT!E1644,"")</f>
        <v/>
      </c>
      <c r="J1644" t="str">
        <f>IF(FT!B1644&lt;&gt;"",FT!C1644,"")</f>
        <v/>
      </c>
    </row>
    <row r="1645" spans="5:10">
      <c r="E1645">
        <f t="shared" si="63"/>
        <v>1643</v>
      </c>
      <c r="F1645" s="61" t="str">
        <f>IF(FT!A1645&lt;&gt;"",FT!A1645*10,"")</f>
        <v/>
      </c>
      <c r="G1645" s="61" t="str">
        <f>IF(FT!B1645&lt;&gt;"",FT!B1645*100,"")</f>
        <v/>
      </c>
      <c r="H1645" s="61" t="str">
        <f t="shared" si="62"/>
        <v/>
      </c>
      <c r="I1645" t="str">
        <f>IF(FT!B1645&lt;&gt;"",FT!E1645,"")</f>
        <v/>
      </c>
      <c r="J1645" t="str">
        <f>IF(FT!B1645&lt;&gt;"",FT!C1645,"")</f>
        <v/>
      </c>
    </row>
    <row r="1646" spans="5:10">
      <c r="E1646">
        <f t="shared" si="63"/>
        <v>1644</v>
      </c>
      <c r="F1646" s="61" t="str">
        <f>IF(FT!A1646&lt;&gt;"",FT!A1646*10,"")</f>
        <v/>
      </c>
      <c r="G1646" s="61" t="str">
        <f>IF(FT!B1646&lt;&gt;"",FT!B1646*100,"")</f>
        <v/>
      </c>
      <c r="H1646" s="61" t="str">
        <f t="shared" si="62"/>
        <v/>
      </c>
      <c r="I1646" t="str">
        <f>IF(FT!B1646&lt;&gt;"",FT!E1646,"")</f>
        <v/>
      </c>
      <c r="J1646" t="str">
        <f>IF(FT!B1646&lt;&gt;"",FT!C1646,"")</f>
        <v/>
      </c>
    </row>
    <row r="1647" spans="5:10">
      <c r="E1647">
        <f t="shared" si="63"/>
        <v>1645</v>
      </c>
      <c r="F1647" s="61" t="str">
        <f>IF(FT!A1647&lt;&gt;"",FT!A1647*10,"")</f>
        <v/>
      </c>
      <c r="G1647" s="61" t="str">
        <f>IF(FT!B1647&lt;&gt;"",FT!B1647*100,"")</f>
        <v/>
      </c>
      <c r="H1647" s="61" t="str">
        <f t="shared" si="62"/>
        <v/>
      </c>
      <c r="I1647" t="str">
        <f>IF(FT!B1647&lt;&gt;"",FT!E1647,"")</f>
        <v/>
      </c>
      <c r="J1647" t="str">
        <f>IF(FT!B1647&lt;&gt;"",FT!C1647,"")</f>
        <v/>
      </c>
    </row>
    <row r="1648" spans="5:10">
      <c r="E1648">
        <f t="shared" si="63"/>
        <v>1646</v>
      </c>
      <c r="F1648" s="61" t="str">
        <f>IF(FT!A1648&lt;&gt;"",FT!A1648*10,"")</f>
        <v/>
      </c>
      <c r="G1648" s="61" t="str">
        <f>IF(FT!B1648&lt;&gt;"",FT!B1648*100,"")</f>
        <v/>
      </c>
      <c r="H1648" s="61" t="str">
        <f t="shared" si="62"/>
        <v/>
      </c>
      <c r="I1648" t="str">
        <f>IF(FT!B1648&lt;&gt;"",FT!E1648,"")</f>
        <v/>
      </c>
      <c r="J1648" t="str">
        <f>IF(FT!B1648&lt;&gt;"",FT!C1648,"")</f>
        <v/>
      </c>
    </row>
    <row r="1649" spans="5:10">
      <c r="E1649">
        <f t="shared" si="63"/>
        <v>1647</v>
      </c>
      <c r="F1649" s="61" t="str">
        <f>IF(FT!A1649&lt;&gt;"",FT!A1649*10,"")</f>
        <v/>
      </c>
      <c r="G1649" s="61" t="str">
        <f>IF(FT!B1649&lt;&gt;"",FT!B1649*100,"")</f>
        <v/>
      </c>
      <c r="H1649" s="61" t="str">
        <f t="shared" si="62"/>
        <v/>
      </c>
      <c r="I1649" t="str">
        <f>IF(FT!B1649&lt;&gt;"",FT!E1649,"")</f>
        <v/>
      </c>
      <c r="J1649" t="str">
        <f>IF(FT!B1649&lt;&gt;"",FT!C1649,"")</f>
        <v/>
      </c>
    </row>
    <row r="1650" spans="5:10">
      <c r="E1650">
        <f t="shared" si="63"/>
        <v>1648</v>
      </c>
      <c r="F1650" s="61" t="str">
        <f>IF(FT!A1650&lt;&gt;"",FT!A1650*10,"")</f>
        <v/>
      </c>
      <c r="G1650" s="61" t="str">
        <f>IF(FT!B1650&lt;&gt;"",FT!B1650*100,"")</f>
        <v/>
      </c>
      <c r="H1650" s="61" t="str">
        <f t="shared" si="62"/>
        <v/>
      </c>
      <c r="I1650" t="str">
        <f>IF(FT!B1650&lt;&gt;"",FT!E1650,"")</f>
        <v/>
      </c>
      <c r="J1650" t="str">
        <f>IF(FT!B1650&lt;&gt;"",FT!C1650,"")</f>
        <v/>
      </c>
    </row>
    <row r="1651" spans="5:10">
      <c r="E1651">
        <f t="shared" si="63"/>
        <v>1649</v>
      </c>
      <c r="F1651" s="61" t="str">
        <f>IF(FT!A1651&lt;&gt;"",FT!A1651*10,"")</f>
        <v/>
      </c>
      <c r="G1651" s="61" t="str">
        <f>IF(FT!B1651&lt;&gt;"",FT!B1651*100,"")</f>
        <v/>
      </c>
      <c r="H1651" s="61" t="str">
        <f t="shared" si="62"/>
        <v/>
      </c>
      <c r="I1651" t="str">
        <f>IF(FT!B1651&lt;&gt;"",FT!E1651,"")</f>
        <v/>
      </c>
      <c r="J1651" t="str">
        <f>IF(FT!B1651&lt;&gt;"",FT!C1651,"")</f>
        <v/>
      </c>
    </row>
    <row r="1652" spans="5:10">
      <c r="E1652">
        <f t="shared" si="63"/>
        <v>1650</v>
      </c>
      <c r="F1652" s="61" t="str">
        <f>IF(FT!A1652&lt;&gt;"",FT!A1652*10,"")</f>
        <v/>
      </c>
      <c r="G1652" s="61" t="str">
        <f>IF(FT!B1652&lt;&gt;"",FT!B1652*100,"")</f>
        <v/>
      </c>
      <c r="H1652" s="61" t="str">
        <f t="shared" si="62"/>
        <v/>
      </c>
      <c r="I1652" t="str">
        <f>IF(FT!B1652&lt;&gt;"",FT!E1652,"")</f>
        <v/>
      </c>
      <c r="J1652" t="str">
        <f>IF(FT!B1652&lt;&gt;"",FT!C1652,"")</f>
        <v/>
      </c>
    </row>
    <row r="1653" spans="5:10">
      <c r="E1653">
        <f t="shared" si="63"/>
        <v>1651</v>
      </c>
      <c r="F1653" s="61" t="str">
        <f>IF(FT!A1653&lt;&gt;"",FT!A1653*10,"")</f>
        <v/>
      </c>
      <c r="G1653" s="61" t="str">
        <f>IF(FT!B1653&lt;&gt;"",FT!B1653*100,"")</f>
        <v/>
      </c>
      <c r="H1653" s="61" t="str">
        <f t="shared" si="62"/>
        <v/>
      </c>
      <c r="I1653" t="str">
        <f>IF(FT!B1653&lt;&gt;"",FT!E1653,"")</f>
        <v/>
      </c>
      <c r="J1653" t="str">
        <f>IF(FT!B1653&lt;&gt;"",FT!C1653,"")</f>
        <v/>
      </c>
    </row>
    <row r="1654" spans="5:10">
      <c r="E1654">
        <f t="shared" si="63"/>
        <v>1652</v>
      </c>
      <c r="F1654" s="61" t="str">
        <f>IF(FT!A1654&lt;&gt;"",FT!A1654*10,"")</f>
        <v/>
      </c>
      <c r="G1654" s="61" t="str">
        <f>IF(FT!B1654&lt;&gt;"",FT!B1654*100,"")</f>
        <v/>
      </c>
      <c r="H1654" s="61" t="str">
        <f t="shared" si="62"/>
        <v/>
      </c>
      <c r="I1654" t="str">
        <f>IF(FT!B1654&lt;&gt;"",FT!E1654,"")</f>
        <v/>
      </c>
      <c r="J1654" t="str">
        <f>IF(FT!B1654&lt;&gt;"",FT!C1654,"")</f>
        <v/>
      </c>
    </row>
    <row r="1655" spans="5:10">
      <c r="E1655">
        <f t="shared" si="63"/>
        <v>1653</v>
      </c>
      <c r="F1655" s="61" t="str">
        <f>IF(FT!A1655&lt;&gt;"",FT!A1655*10,"")</f>
        <v/>
      </c>
      <c r="G1655" s="61" t="str">
        <f>IF(FT!B1655&lt;&gt;"",FT!B1655*100,"")</f>
        <v/>
      </c>
      <c r="H1655" s="61" t="str">
        <f t="shared" si="62"/>
        <v/>
      </c>
      <c r="I1655" t="str">
        <f>IF(FT!B1655&lt;&gt;"",FT!E1655,"")</f>
        <v/>
      </c>
      <c r="J1655" t="str">
        <f>IF(FT!B1655&lt;&gt;"",FT!C1655,"")</f>
        <v/>
      </c>
    </row>
    <row r="1656" spans="5:10">
      <c r="E1656">
        <f t="shared" si="63"/>
        <v>1654</v>
      </c>
      <c r="F1656" s="61" t="str">
        <f>IF(FT!A1656&lt;&gt;"",FT!A1656*10,"")</f>
        <v/>
      </c>
      <c r="G1656" s="61" t="str">
        <f>IF(FT!B1656&lt;&gt;"",FT!B1656*100,"")</f>
        <v/>
      </c>
      <c r="H1656" s="61" t="str">
        <f t="shared" si="62"/>
        <v/>
      </c>
      <c r="I1656" t="str">
        <f>IF(FT!B1656&lt;&gt;"",FT!E1656,"")</f>
        <v/>
      </c>
      <c r="J1656" t="str">
        <f>IF(FT!B1656&lt;&gt;"",FT!C1656,"")</f>
        <v/>
      </c>
    </row>
    <row r="1657" spans="5:10">
      <c r="E1657">
        <f t="shared" si="63"/>
        <v>1655</v>
      </c>
      <c r="F1657" s="61" t="str">
        <f>IF(FT!A1657&lt;&gt;"",FT!A1657*10,"")</f>
        <v/>
      </c>
      <c r="G1657" s="61" t="str">
        <f>IF(FT!B1657&lt;&gt;"",FT!B1657*100,"")</f>
        <v/>
      </c>
      <c r="H1657" s="61" t="str">
        <f t="shared" si="62"/>
        <v/>
      </c>
      <c r="I1657" t="str">
        <f>IF(FT!B1657&lt;&gt;"",FT!E1657,"")</f>
        <v/>
      </c>
      <c r="J1657" t="str">
        <f>IF(FT!B1657&lt;&gt;"",FT!C1657,"")</f>
        <v/>
      </c>
    </row>
    <row r="1658" spans="5:10">
      <c r="E1658">
        <f t="shared" si="63"/>
        <v>1656</v>
      </c>
      <c r="F1658" s="61" t="str">
        <f>IF(FT!A1658&lt;&gt;"",FT!A1658*10,"")</f>
        <v/>
      </c>
      <c r="G1658" s="61" t="str">
        <f>IF(FT!B1658&lt;&gt;"",FT!B1658*100,"")</f>
        <v/>
      </c>
      <c r="H1658" s="61" t="str">
        <f t="shared" si="62"/>
        <v/>
      </c>
      <c r="I1658" t="str">
        <f>IF(FT!B1658&lt;&gt;"",FT!E1658,"")</f>
        <v/>
      </c>
      <c r="J1658" t="str">
        <f>IF(FT!B1658&lt;&gt;"",FT!C1658,"")</f>
        <v/>
      </c>
    </row>
    <row r="1659" spans="5:10">
      <c r="E1659">
        <f t="shared" si="63"/>
        <v>1657</v>
      </c>
      <c r="F1659" s="61" t="str">
        <f>IF(FT!A1659&lt;&gt;"",FT!A1659*10,"")</f>
        <v/>
      </c>
      <c r="G1659" s="61" t="str">
        <f>IF(FT!B1659&lt;&gt;"",FT!B1659*100,"")</f>
        <v/>
      </c>
      <c r="H1659" s="61" t="str">
        <f t="shared" si="62"/>
        <v/>
      </c>
      <c r="I1659" t="str">
        <f>IF(FT!B1659&lt;&gt;"",FT!E1659,"")</f>
        <v/>
      </c>
      <c r="J1659" t="str">
        <f>IF(FT!B1659&lt;&gt;"",FT!C1659,"")</f>
        <v/>
      </c>
    </row>
    <row r="1660" spans="5:10">
      <c r="E1660">
        <f t="shared" si="63"/>
        <v>1658</v>
      </c>
      <c r="F1660" s="61" t="str">
        <f>IF(FT!A1660&lt;&gt;"",FT!A1660*10,"")</f>
        <v/>
      </c>
      <c r="G1660" s="61" t="str">
        <f>IF(FT!B1660&lt;&gt;"",FT!B1660*100,"")</f>
        <v/>
      </c>
      <c r="H1660" s="61" t="str">
        <f t="shared" si="62"/>
        <v/>
      </c>
      <c r="I1660" t="str">
        <f>IF(FT!B1660&lt;&gt;"",FT!E1660,"")</f>
        <v/>
      </c>
      <c r="J1660" t="str">
        <f>IF(FT!B1660&lt;&gt;"",FT!C1660,"")</f>
        <v/>
      </c>
    </row>
    <row r="1661" spans="5:10">
      <c r="E1661">
        <f t="shared" si="63"/>
        <v>1659</v>
      </c>
      <c r="F1661" s="61" t="str">
        <f>IF(FT!A1661&lt;&gt;"",FT!A1661*10,"")</f>
        <v/>
      </c>
      <c r="G1661" s="61" t="str">
        <f>IF(FT!B1661&lt;&gt;"",FT!B1661*100,"")</f>
        <v/>
      </c>
      <c r="H1661" s="61" t="str">
        <f t="shared" si="62"/>
        <v/>
      </c>
      <c r="I1661" t="str">
        <f>IF(FT!B1661&lt;&gt;"",FT!E1661,"")</f>
        <v/>
      </c>
      <c r="J1661" t="str">
        <f>IF(FT!B1661&lt;&gt;"",FT!C1661,"")</f>
        <v/>
      </c>
    </row>
    <row r="1662" spans="5:10">
      <c r="E1662">
        <f t="shared" si="63"/>
        <v>1660</v>
      </c>
      <c r="F1662" s="61" t="str">
        <f>IF(FT!A1662&lt;&gt;"",FT!A1662*10,"")</f>
        <v/>
      </c>
      <c r="G1662" s="61" t="str">
        <f>IF(FT!B1662&lt;&gt;"",FT!B1662*100,"")</f>
        <v/>
      </c>
      <c r="H1662" s="61" t="str">
        <f t="shared" si="62"/>
        <v/>
      </c>
      <c r="I1662" t="str">
        <f>IF(FT!B1662&lt;&gt;"",FT!E1662,"")</f>
        <v/>
      </c>
      <c r="J1662" t="str">
        <f>IF(FT!B1662&lt;&gt;"",FT!C1662,"")</f>
        <v/>
      </c>
    </row>
    <row r="1663" spans="5:10">
      <c r="E1663">
        <f t="shared" si="63"/>
        <v>1661</v>
      </c>
      <c r="F1663" s="61" t="str">
        <f>IF(FT!A1663&lt;&gt;"",FT!A1663*10,"")</f>
        <v/>
      </c>
      <c r="G1663" s="61" t="str">
        <f>IF(FT!B1663&lt;&gt;"",FT!B1663*100,"")</f>
        <v/>
      </c>
      <c r="H1663" s="61" t="str">
        <f t="shared" si="62"/>
        <v/>
      </c>
      <c r="I1663" t="str">
        <f>IF(FT!B1663&lt;&gt;"",FT!E1663,"")</f>
        <v/>
      </c>
      <c r="J1663" t="str">
        <f>IF(FT!B1663&lt;&gt;"",FT!C1663,"")</f>
        <v/>
      </c>
    </row>
    <row r="1664" spans="5:10">
      <c r="E1664">
        <f t="shared" si="63"/>
        <v>1662</v>
      </c>
      <c r="F1664" s="61" t="str">
        <f>IF(FT!A1664&lt;&gt;"",FT!A1664*10,"")</f>
        <v/>
      </c>
      <c r="G1664" s="61" t="str">
        <f>IF(FT!B1664&lt;&gt;"",FT!B1664*100,"")</f>
        <v/>
      </c>
      <c r="H1664" s="61" t="str">
        <f t="shared" si="62"/>
        <v/>
      </c>
      <c r="I1664" t="str">
        <f>IF(FT!B1664&lt;&gt;"",FT!E1664,"")</f>
        <v/>
      </c>
      <c r="J1664" t="str">
        <f>IF(FT!B1664&lt;&gt;"",FT!C1664,"")</f>
        <v/>
      </c>
    </row>
    <row r="1665" spans="5:10">
      <c r="E1665">
        <f t="shared" si="63"/>
        <v>1663</v>
      </c>
      <c r="F1665" s="61" t="str">
        <f>IF(FT!A1665&lt;&gt;"",FT!A1665*10,"")</f>
        <v/>
      </c>
      <c r="G1665" s="61" t="str">
        <f>IF(FT!B1665&lt;&gt;"",FT!B1665*100,"")</f>
        <v/>
      </c>
      <c r="H1665" s="61" t="str">
        <f t="shared" si="62"/>
        <v/>
      </c>
      <c r="I1665" t="str">
        <f>IF(FT!B1665&lt;&gt;"",FT!E1665,"")</f>
        <v/>
      </c>
      <c r="J1665" t="str">
        <f>IF(FT!B1665&lt;&gt;"",FT!C1665,"")</f>
        <v/>
      </c>
    </row>
    <row r="1666" spans="5:10">
      <c r="E1666">
        <f t="shared" si="63"/>
        <v>1664</v>
      </c>
      <c r="F1666" s="61" t="str">
        <f>IF(FT!A1666&lt;&gt;"",FT!A1666*10,"")</f>
        <v/>
      </c>
      <c r="G1666" s="61" t="str">
        <f>IF(FT!B1666&lt;&gt;"",FT!B1666*100,"")</f>
        <v/>
      </c>
      <c r="H1666" s="61" t="str">
        <f t="shared" si="62"/>
        <v/>
      </c>
      <c r="I1666" t="str">
        <f>IF(FT!B1666&lt;&gt;"",FT!E1666,"")</f>
        <v/>
      </c>
      <c r="J1666" t="str">
        <f>IF(FT!B1666&lt;&gt;"",FT!C1666,"")</f>
        <v/>
      </c>
    </row>
    <row r="1667" spans="5:10">
      <c r="E1667">
        <f t="shared" si="63"/>
        <v>1665</v>
      </c>
      <c r="F1667" s="61" t="str">
        <f>IF(FT!A1667&lt;&gt;"",FT!A1667*10,"")</f>
        <v/>
      </c>
      <c r="G1667" s="61" t="str">
        <f>IF(FT!B1667&lt;&gt;"",FT!B1667*100,"")</f>
        <v/>
      </c>
      <c r="H1667" s="61" t="str">
        <f t="shared" ref="H1667:H1730" si="64">(IF(F1667&lt;&gt;"",1,""))</f>
        <v/>
      </c>
      <c r="I1667" t="str">
        <f>IF(FT!B1667&lt;&gt;"",FT!E1667,"")</f>
        <v/>
      </c>
      <c r="J1667" t="str">
        <f>IF(FT!B1667&lt;&gt;"",FT!C1667,"")</f>
        <v/>
      </c>
    </row>
    <row r="1668" spans="5:10">
      <c r="E1668">
        <f t="shared" ref="E1668:E1731" si="65">E1667+1</f>
        <v>1666</v>
      </c>
      <c r="F1668" s="61" t="str">
        <f>IF(FT!A1668&lt;&gt;"",FT!A1668*10,"")</f>
        <v/>
      </c>
      <c r="G1668" s="61" t="str">
        <f>IF(FT!B1668&lt;&gt;"",FT!B1668*100,"")</f>
        <v/>
      </c>
      <c r="H1668" s="61" t="str">
        <f t="shared" si="64"/>
        <v/>
      </c>
      <c r="I1668" t="str">
        <f>IF(FT!B1668&lt;&gt;"",FT!E1668,"")</f>
        <v/>
      </c>
      <c r="J1668" t="str">
        <f>IF(FT!B1668&lt;&gt;"",FT!C1668,"")</f>
        <v/>
      </c>
    </row>
    <row r="1669" spans="5:10">
      <c r="E1669">
        <f t="shared" si="65"/>
        <v>1667</v>
      </c>
      <c r="F1669" s="61" t="str">
        <f>IF(FT!A1669&lt;&gt;"",FT!A1669*10,"")</f>
        <v/>
      </c>
      <c r="G1669" s="61" t="str">
        <f>IF(FT!B1669&lt;&gt;"",FT!B1669*100,"")</f>
        <v/>
      </c>
      <c r="H1669" s="61" t="str">
        <f t="shared" si="64"/>
        <v/>
      </c>
      <c r="I1669" t="str">
        <f>IF(FT!B1669&lt;&gt;"",FT!E1669,"")</f>
        <v/>
      </c>
      <c r="J1669" t="str">
        <f>IF(FT!B1669&lt;&gt;"",FT!C1669,"")</f>
        <v/>
      </c>
    </row>
    <row r="1670" spans="5:10">
      <c r="E1670">
        <f t="shared" si="65"/>
        <v>1668</v>
      </c>
      <c r="F1670" s="61" t="str">
        <f>IF(FT!A1670&lt;&gt;"",FT!A1670*10,"")</f>
        <v/>
      </c>
      <c r="G1670" s="61" t="str">
        <f>IF(FT!B1670&lt;&gt;"",FT!B1670*100,"")</f>
        <v/>
      </c>
      <c r="H1670" s="61" t="str">
        <f t="shared" si="64"/>
        <v/>
      </c>
      <c r="I1670" t="str">
        <f>IF(FT!B1670&lt;&gt;"",FT!E1670,"")</f>
        <v/>
      </c>
      <c r="J1670" t="str">
        <f>IF(FT!B1670&lt;&gt;"",FT!C1670,"")</f>
        <v/>
      </c>
    </row>
    <row r="1671" spans="5:10">
      <c r="E1671">
        <f t="shared" si="65"/>
        <v>1669</v>
      </c>
      <c r="F1671" s="61" t="str">
        <f>IF(FT!A1671&lt;&gt;"",FT!A1671*10,"")</f>
        <v/>
      </c>
      <c r="G1671" s="61" t="str">
        <f>IF(FT!B1671&lt;&gt;"",FT!B1671*100,"")</f>
        <v/>
      </c>
      <c r="H1671" s="61" t="str">
        <f t="shared" si="64"/>
        <v/>
      </c>
      <c r="I1671" t="str">
        <f>IF(FT!B1671&lt;&gt;"",FT!E1671,"")</f>
        <v/>
      </c>
      <c r="J1671" t="str">
        <f>IF(FT!B1671&lt;&gt;"",FT!C1671,"")</f>
        <v/>
      </c>
    </row>
    <row r="1672" spans="5:10">
      <c r="E1672">
        <f t="shared" si="65"/>
        <v>1670</v>
      </c>
      <c r="F1672" s="61" t="str">
        <f>IF(FT!A1672&lt;&gt;"",FT!A1672*10,"")</f>
        <v/>
      </c>
      <c r="G1672" s="61" t="str">
        <f>IF(FT!B1672&lt;&gt;"",FT!B1672*100,"")</f>
        <v/>
      </c>
      <c r="H1672" s="61" t="str">
        <f t="shared" si="64"/>
        <v/>
      </c>
      <c r="I1672" t="str">
        <f>IF(FT!B1672&lt;&gt;"",FT!E1672,"")</f>
        <v/>
      </c>
      <c r="J1672" t="str">
        <f>IF(FT!B1672&lt;&gt;"",FT!C1672,"")</f>
        <v/>
      </c>
    </row>
    <row r="1673" spans="5:10">
      <c r="E1673">
        <f t="shared" si="65"/>
        <v>1671</v>
      </c>
      <c r="F1673" s="61" t="str">
        <f>IF(FT!A1673&lt;&gt;"",FT!A1673*10,"")</f>
        <v/>
      </c>
      <c r="G1673" s="61" t="str">
        <f>IF(FT!B1673&lt;&gt;"",FT!B1673*100,"")</f>
        <v/>
      </c>
      <c r="H1673" s="61" t="str">
        <f t="shared" si="64"/>
        <v/>
      </c>
      <c r="I1673" t="str">
        <f>IF(FT!B1673&lt;&gt;"",FT!E1673,"")</f>
        <v/>
      </c>
      <c r="J1673" t="str">
        <f>IF(FT!B1673&lt;&gt;"",FT!C1673,"")</f>
        <v/>
      </c>
    </row>
    <row r="1674" spans="5:10">
      <c r="E1674">
        <f t="shared" si="65"/>
        <v>1672</v>
      </c>
      <c r="F1674" s="61" t="str">
        <f>IF(FT!A1674&lt;&gt;"",FT!A1674*10,"")</f>
        <v/>
      </c>
      <c r="G1674" s="61" t="str">
        <f>IF(FT!B1674&lt;&gt;"",FT!B1674*100,"")</f>
        <v/>
      </c>
      <c r="H1674" s="61" t="str">
        <f t="shared" si="64"/>
        <v/>
      </c>
      <c r="I1674" t="str">
        <f>IF(FT!B1674&lt;&gt;"",FT!E1674,"")</f>
        <v/>
      </c>
      <c r="J1674" t="str">
        <f>IF(FT!B1674&lt;&gt;"",FT!C1674,"")</f>
        <v/>
      </c>
    </row>
    <row r="1675" spans="5:10">
      <c r="E1675">
        <f t="shared" si="65"/>
        <v>1673</v>
      </c>
      <c r="F1675" s="61" t="str">
        <f>IF(FT!A1675&lt;&gt;"",FT!A1675*10,"")</f>
        <v/>
      </c>
      <c r="G1675" s="61" t="str">
        <f>IF(FT!B1675&lt;&gt;"",FT!B1675*100,"")</f>
        <v/>
      </c>
      <c r="H1675" s="61" t="str">
        <f t="shared" si="64"/>
        <v/>
      </c>
      <c r="I1675" t="str">
        <f>IF(FT!B1675&lt;&gt;"",FT!E1675,"")</f>
        <v/>
      </c>
      <c r="J1675" t="str">
        <f>IF(FT!B1675&lt;&gt;"",FT!C1675,"")</f>
        <v/>
      </c>
    </row>
    <row r="1676" spans="5:10">
      <c r="E1676">
        <f t="shared" si="65"/>
        <v>1674</v>
      </c>
      <c r="F1676" s="61" t="str">
        <f>IF(FT!A1676&lt;&gt;"",FT!A1676*10,"")</f>
        <v/>
      </c>
      <c r="G1676" s="61" t="str">
        <f>IF(FT!B1676&lt;&gt;"",FT!B1676*100,"")</f>
        <v/>
      </c>
      <c r="H1676" s="61" t="str">
        <f t="shared" si="64"/>
        <v/>
      </c>
      <c r="I1676" t="str">
        <f>IF(FT!B1676&lt;&gt;"",FT!E1676,"")</f>
        <v/>
      </c>
      <c r="J1676" t="str">
        <f>IF(FT!B1676&lt;&gt;"",FT!C1676,"")</f>
        <v/>
      </c>
    </row>
    <row r="1677" spans="5:10">
      <c r="E1677">
        <f t="shared" si="65"/>
        <v>1675</v>
      </c>
      <c r="F1677" s="61" t="str">
        <f>IF(FT!A1677&lt;&gt;"",FT!A1677*10,"")</f>
        <v/>
      </c>
      <c r="G1677" s="61" t="str">
        <f>IF(FT!B1677&lt;&gt;"",FT!B1677*100,"")</f>
        <v/>
      </c>
      <c r="H1677" s="61" t="str">
        <f t="shared" si="64"/>
        <v/>
      </c>
      <c r="I1677" t="str">
        <f>IF(FT!B1677&lt;&gt;"",FT!E1677,"")</f>
        <v/>
      </c>
      <c r="J1677" t="str">
        <f>IF(FT!B1677&lt;&gt;"",FT!C1677,"")</f>
        <v/>
      </c>
    </row>
    <row r="1678" spans="5:10">
      <c r="E1678">
        <f t="shared" si="65"/>
        <v>1676</v>
      </c>
      <c r="F1678" s="61" t="str">
        <f>IF(FT!A1678&lt;&gt;"",FT!A1678*10,"")</f>
        <v/>
      </c>
      <c r="G1678" s="61" t="str">
        <f>IF(FT!B1678&lt;&gt;"",FT!B1678*100,"")</f>
        <v/>
      </c>
      <c r="H1678" s="61" t="str">
        <f t="shared" si="64"/>
        <v/>
      </c>
      <c r="I1678" t="str">
        <f>IF(FT!B1678&lt;&gt;"",FT!E1678,"")</f>
        <v/>
      </c>
      <c r="J1678" t="str">
        <f>IF(FT!B1678&lt;&gt;"",FT!C1678,"")</f>
        <v/>
      </c>
    </row>
    <row r="1679" spans="5:10">
      <c r="E1679">
        <f t="shared" si="65"/>
        <v>1677</v>
      </c>
      <c r="F1679" s="61" t="str">
        <f>IF(FT!A1679&lt;&gt;"",FT!A1679*10,"")</f>
        <v/>
      </c>
      <c r="G1679" s="61" t="str">
        <f>IF(FT!B1679&lt;&gt;"",FT!B1679*100,"")</f>
        <v/>
      </c>
      <c r="H1679" s="61" t="str">
        <f t="shared" si="64"/>
        <v/>
      </c>
      <c r="I1679" t="str">
        <f>IF(FT!B1679&lt;&gt;"",FT!E1679,"")</f>
        <v/>
      </c>
      <c r="J1679" t="str">
        <f>IF(FT!B1679&lt;&gt;"",FT!C1679,"")</f>
        <v/>
      </c>
    </row>
    <row r="1680" spans="5:10">
      <c r="E1680">
        <f t="shared" si="65"/>
        <v>1678</v>
      </c>
      <c r="F1680" s="61" t="str">
        <f>IF(FT!A1680&lt;&gt;"",FT!A1680*10,"")</f>
        <v/>
      </c>
      <c r="G1680" s="61" t="str">
        <f>IF(FT!B1680&lt;&gt;"",FT!B1680*100,"")</f>
        <v/>
      </c>
      <c r="H1680" s="61" t="str">
        <f t="shared" si="64"/>
        <v/>
      </c>
      <c r="I1680" t="str">
        <f>IF(FT!B1680&lt;&gt;"",FT!E1680,"")</f>
        <v/>
      </c>
      <c r="J1680" t="str">
        <f>IF(FT!B1680&lt;&gt;"",FT!C1680,"")</f>
        <v/>
      </c>
    </row>
    <row r="1681" spans="5:10">
      <c r="E1681">
        <f t="shared" si="65"/>
        <v>1679</v>
      </c>
      <c r="F1681" s="61" t="str">
        <f>IF(FT!A1681&lt;&gt;"",FT!A1681*10,"")</f>
        <v/>
      </c>
      <c r="G1681" s="61" t="str">
        <f>IF(FT!B1681&lt;&gt;"",FT!B1681*100,"")</f>
        <v/>
      </c>
      <c r="H1681" s="61" t="str">
        <f t="shared" si="64"/>
        <v/>
      </c>
      <c r="I1681" t="str">
        <f>IF(FT!B1681&lt;&gt;"",FT!E1681,"")</f>
        <v/>
      </c>
      <c r="J1681" t="str">
        <f>IF(FT!B1681&lt;&gt;"",FT!C1681,"")</f>
        <v/>
      </c>
    </row>
    <row r="1682" spans="5:10">
      <c r="E1682">
        <f t="shared" si="65"/>
        <v>1680</v>
      </c>
      <c r="F1682" s="61" t="str">
        <f>IF(FT!A1682&lt;&gt;"",FT!A1682*10,"")</f>
        <v/>
      </c>
      <c r="G1682" s="61" t="str">
        <f>IF(FT!B1682&lt;&gt;"",FT!B1682*100,"")</f>
        <v/>
      </c>
      <c r="H1682" s="61" t="str">
        <f t="shared" si="64"/>
        <v/>
      </c>
      <c r="I1682" t="str">
        <f>IF(FT!B1682&lt;&gt;"",FT!E1682,"")</f>
        <v/>
      </c>
      <c r="J1682" t="str">
        <f>IF(FT!B1682&lt;&gt;"",FT!C1682,"")</f>
        <v/>
      </c>
    </row>
    <row r="1683" spans="5:10">
      <c r="E1683">
        <f t="shared" si="65"/>
        <v>1681</v>
      </c>
      <c r="F1683" s="61" t="str">
        <f>IF(FT!A1683&lt;&gt;"",FT!A1683*10,"")</f>
        <v/>
      </c>
      <c r="G1683" s="61" t="str">
        <f>IF(FT!B1683&lt;&gt;"",FT!B1683*100,"")</f>
        <v/>
      </c>
      <c r="H1683" s="61" t="str">
        <f t="shared" si="64"/>
        <v/>
      </c>
      <c r="I1683" t="str">
        <f>IF(FT!B1683&lt;&gt;"",FT!E1683,"")</f>
        <v/>
      </c>
      <c r="J1683" t="str">
        <f>IF(FT!B1683&lt;&gt;"",FT!C1683,"")</f>
        <v/>
      </c>
    </row>
    <row r="1684" spans="5:10">
      <c r="E1684">
        <f t="shared" si="65"/>
        <v>1682</v>
      </c>
      <c r="F1684" s="61" t="str">
        <f>IF(FT!A1684&lt;&gt;"",FT!A1684*10,"")</f>
        <v/>
      </c>
      <c r="G1684" s="61" t="str">
        <f>IF(FT!B1684&lt;&gt;"",FT!B1684*100,"")</f>
        <v/>
      </c>
      <c r="H1684" s="61" t="str">
        <f t="shared" si="64"/>
        <v/>
      </c>
      <c r="I1684" t="str">
        <f>IF(FT!B1684&lt;&gt;"",FT!E1684,"")</f>
        <v/>
      </c>
      <c r="J1684" t="str">
        <f>IF(FT!B1684&lt;&gt;"",FT!C1684,"")</f>
        <v/>
      </c>
    </row>
    <row r="1685" spans="5:10">
      <c r="E1685">
        <f t="shared" si="65"/>
        <v>1683</v>
      </c>
      <c r="F1685" s="61" t="str">
        <f>IF(FT!A1685&lt;&gt;"",FT!A1685*10,"")</f>
        <v/>
      </c>
      <c r="G1685" s="61" t="str">
        <f>IF(FT!B1685&lt;&gt;"",FT!B1685*100,"")</f>
        <v/>
      </c>
      <c r="H1685" s="61" t="str">
        <f t="shared" si="64"/>
        <v/>
      </c>
      <c r="I1685" t="str">
        <f>IF(FT!B1685&lt;&gt;"",FT!E1685,"")</f>
        <v/>
      </c>
      <c r="J1685" t="str">
        <f>IF(FT!B1685&lt;&gt;"",FT!C1685,"")</f>
        <v/>
      </c>
    </row>
    <row r="1686" spans="5:10">
      <c r="E1686">
        <f t="shared" si="65"/>
        <v>1684</v>
      </c>
      <c r="F1686" s="61" t="str">
        <f>IF(FT!A1686&lt;&gt;"",FT!A1686*10,"")</f>
        <v/>
      </c>
      <c r="G1686" s="61" t="str">
        <f>IF(FT!B1686&lt;&gt;"",FT!B1686*100,"")</f>
        <v/>
      </c>
      <c r="H1686" s="61" t="str">
        <f t="shared" si="64"/>
        <v/>
      </c>
      <c r="I1686" t="str">
        <f>IF(FT!B1686&lt;&gt;"",FT!E1686,"")</f>
        <v/>
      </c>
      <c r="J1686" t="str">
        <f>IF(FT!B1686&lt;&gt;"",FT!C1686,"")</f>
        <v/>
      </c>
    </row>
    <row r="1687" spans="5:10">
      <c r="E1687">
        <f t="shared" si="65"/>
        <v>1685</v>
      </c>
      <c r="F1687" s="61" t="str">
        <f>IF(FT!A1687&lt;&gt;"",FT!A1687*10,"")</f>
        <v/>
      </c>
      <c r="G1687" s="61" t="str">
        <f>IF(FT!B1687&lt;&gt;"",FT!B1687*100,"")</f>
        <v/>
      </c>
      <c r="H1687" s="61" t="str">
        <f t="shared" si="64"/>
        <v/>
      </c>
      <c r="I1687" t="str">
        <f>IF(FT!B1687&lt;&gt;"",FT!E1687,"")</f>
        <v/>
      </c>
      <c r="J1687" t="str">
        <f>IF(FT!B1687&lt;&gt;"",FT!C1687,"")</f>
        <v/>
      </c>
    </row>
    <row r="1688" spans="5:10">
      <c r="E1688">
        <f t="shared" si="65"/>
        <v>1686</v>
      </c>
      <c r="F1688" s="61" t="str">
        <f>IF(FT!A1688&lt;&gt;"",FT!A1688*10,"")</f>
        <v/>
      </c>
      <c r="G1688" s="61" t="str">
        <f>IF(FT!B1688&lt;&gt;"",FT!B1688*100,"")</f>
        <v/>
      </c>
      <c r="H1688" s="61" t="str">
        <f t="shared" si="64"/>
        <v/>
      </c>
      <c r="I1688" t="str">
        <f>IF(FT!B1688&lt;&gt;"",FT!E1688,"")</f>
        <v/>
      </c>
      <c r="J1688" t="str">
        <f>IF(FT!B1688&lt;&gt;"",FT!C1688,"")</f>
        <v/>
      </c>
    </row>
    <row r="1689" spans="5:10">
      <c r="E1689">
        <f t="shared" si="65"/>
        <v>1687</v>
      </c>
      <c r="F1689" s="61" t="str">
        <f>IF(FT!A1689&lt;&gt;"",FT!A1689*10,"")</f>
        <v/>
      </c>
      <c r="G1689" s="61" t="str">
        <f>IF(FT!B1689&lt;&gt;"",FT!B1689*100,"")</f>
        <v/>
      </c>
      <c r="H1689" s="61" t="str">
        <f t="shared" si="64"/>
        <v/>
      </c>
      <c r="I1689" t="str">
        <f>IF(FT!B1689&lt;&gt;"",FT!E1689,"")</f>
        <v/>
      </c>
      <c r="J1689" t="str">
        <f>IF(FT!B1689&lt;&gt;"",FT!C1689,"")</f>
        <v/>
      </c>
    </row>
    <row r="1690" spans="5:10">
      <c r="E1690">
        <f t="shared" si="65"/>
        <v>1688</v>
      </c>
      <c r="F1690" s="61" t="str">
        <f>IF(FT!A1690&lt;&gt;"",FT!A1690*10,"")</f>
        <v/>
      </c>
      <c r="G1690" s="61" t="str">
        <f>IF(FT!B1690&lt;&gt;"",FT!B1690*100,"")</f>
        <v/>
      </c>
      <c r="H1690" s="61" t="str">
        <f t="shared" si="64"/>
        <v/>
      </c>
      <c r="I1690" t="str">
        <f>IF(FT!B1690&lt;&gt;"",FT!E1690,"")</f>
        <v/>
      </c>
      <c r="J1690" t="str">
        <f>IF(FT!B1690&lt;&gt;"",FT!C1690,"")</f>
        <v/>
      </c>
    </row>
    <row r="1691" spans="5:10">
      <c r="E1691">
        <f t="shared" si="65"/>
        <v>1689</v>
      </c>
      <c r="F1691" s="61" t="str">
        <f>IF(FT!A1691&lt;&gt;"",FT!A1691*10,"")</f>
        <v/>
      </c>
      <c r="G1691" s="61" t="str">
        <f>IF(FT!B1691&lt;&gt;"",FT!B1691*100,"")</f>
        <v/>
      </c>
      <c r="H1691" s="61" t="str">
        <f t="shared" si="64"/>
        <v/>
      </c>
      <c r="I1691" t="str">
        <f>IF(FT!B1691&lt;&gt;"",FT!E1691,"")</f>
        <v/>
      </c>
      <c r="J1691" t="str">
        <f>IF(FT!B1691&lt;&gt;"",FT!C1691,"")</f>
        <v/>
      </c>
    </row>
    <row r="1692" spans="5:10">
      <c r="E1692">
        <f t="shared" si="65"/>
        <v>1690</v>
      </c>
      <c r="F1692" s="61" t="str">
        <f>IF(FT!A1692&lt;&gt;"",FT!A1692*10,"")</f>
        <v/>
      </c>
      <c r="G1692" s="61" t="str">
        <f>IF(FT!B1692&lt;&gt;"",FT!B1692*100,"")</f>
        <v/>
      </c>
      <c r="H1692" s="61" t="str">
        <f t="shared" si="64"/>
        <v/>
      </c>
      <c r="I1692" t="str">
        <f>IF(FT!B1692&lt;&gt;"",FT!E1692,"")</f>
        <v/>
      </c>
      <c r="J1692" t="str">
        <f>IF(FT!B1692&lt;&gt;"",FT!C1692,"")</f>
        <v/>
      </c>
    </row>
    <row r="1693" spans="5:10">
      <c r="E1693">
        <f t="shared" si="65"/>
        <v>1691</v>
      </c>
      <c r="F1693" s="61" t="str">
        <f>IF(FT!A1693&lt;&gt;"",FT!A1693*10,"")</f>
        <v/>
      </c>
      <c r="G1693" s="61" t="str">
        <f>IF(FT!B1693&lt;&gt;"",FT!B1693*100,"")</f>
        <v/>
      </c>
      <c r="H1693" s="61" t="str">
        <f t="shared" si="64"/>
        <v/>
      </c>
      <c r="I1693" t="str">
        <f>IF(FT!B1693&lt;&gt;"",FT!E1693,"")</f>
        <v/>
      </c>
      <c r="J1693" t="str">
        <f>IF(FT!B1693&lt;&gt;"",FT!C1693,"")</f>
        <v/>
      </c>
    </row>
    <row r="1694" spans="5:10">
      <c r="E1694">
        <f t="shared" si="65"/>
        <v>1692</v>
      </c>
      <c r="F1694" s="61" t="str">
        <f>IF(FT!A1694&lt;&gt;"",FT!A1694*10,"")</f>
        <v/>
      </c>
      <c r="G1694" s="61" t="str">
        <f>IF(FT!B1694&lt;&gt;"",FT!B1694*100,"")</f>
        <v/>
      </c>
      <c r="H1694" s="61" t="str">
        <f t="shared" si="64"/>
        <v/>
      </c>
      <c r="I1694" t="str">
        <f>IF(FT!B1694&lt;&gt;"",FT!E1694,"")</f>
        <v/>
      </c>
      <c r="J1694" t="str">
        <f>IF(FT!B1694&lt;&gt;"",FT!C1694,"")</f>
        <v/>
      </c>
    </row>
    <row r="1695" spans="5:10">
      <c r="E1695">
        <f t="shared" si="65"/>
        <v>1693</v>
      </c>
      <c r="F1695" s="61" t="str">
        <f>IF(FT!A1695&lt;&gt;"",FT!A1695*10,"")</f>
        <v/>
      </c>
      <c r="G1695" s="61" t="str">
        <f>IF(FT!B1695&lt;&gt;"",FT!B1695*100,"")</f>
        <v/>
      </c>
      <c r="H1695" s="61" t="str">
        <f t="shared" si="64"/>
        <v/>
      </c>
      <c r="I1695" t="str">
        <f>IF(FT!B1695&lt;&gt;"",FT!E1695,"")</f>
        <v/>
      </c>
      <c r="J1695" t="str">
        <f>IF(FT!B1695&lt;&gt;"",FT!C1695,"")</f>
        <v/>
      </c>
    </row>
    <row r="1696" spans="5:10">
      <c r="E1696">
        <f t="shared" si="65"/>
        <v>1694</v>
      </c>
      <c r="F1696" s="61" t="str">
        <f>IF(FT!A1696&lt;&gt;"",FT!A1696*10,"")</f>
        <v/>
      </c>
      <c r="G1696" s="61" t="str">
        <f>IF(FT!B1696&lt;&gt;"",FT!B1696*100,"")</f>
        <v/>
      </c>
      <c r="H1696" s="61" t="str">
        <f t="shared" si="64"/>
        <v/>
      </c>
      <c r="I1696" t="str">
        <f>IF(FT!B1696&lt;&gt;"",FT!E1696,"")</f>
        <v/>
      </c>
      <c r="J1696" t="str">
        <f>IF(FT!B1696&lt;&gt;"",FT!C1696,"")</f>
        <v/>
      </c>
    </row>
    <row r="1697" spans="5:10">
      <c r="E1697">
        <f t="shared" si="65"/>
        <v>1695</v>
      </c>
      <c r="F1697" s="61" t="str">
        <f>IF(FT!A1697&lt;&gt;"",FT!A1697*10,"")</f>
        <v/>
      </c>
      <c r="G1697" s="61" t="str">
        <f>IF(FT!B1697&lt;&gt;"",FT!B1697*100,"")</f>
        <v/>
      </c>
      <c r="H1697" s="61" t="str">
        <f t="shared" si="64"/>
        <v/>
      </c>
      <c r="I1697" t="str">
        <f>IF(FT!B1697&lt;&gt;"",FT!E1697,"")</f>
        <v/>
      </c>
      <c r="J1697" t="str">
        <f>IF(FT!B1697&lt;&gt;"",FT!C1697,"")</f>
        <v/>
      </c>
    </row>
    <row r="1698" spans="5:10">
      <c r="E1698">
        <f t="shared" si="65"/>
        <v>1696</v>
      </c>
      <c r="F1698" s="61" t="str">
        <f>IF(FT!A1698&lt;&gt;"",FT!A1698*10,"")</f>
        <v/>
      </c>
      <c r="G1698" s="61" t="str">
        <f>IF(FT!B1698&lt;&gt;"",FT!B1698*100,"")</f>
        <v/>
      </c>
      <c r="H1698" s="61" t="str">
        <f t="shared" si="64"/>
        <v/>
      </c>
      <c r="I1698" t="str">
        <f>IF(FT!B1698&lt;&gt;"",FT!E1698,"")</f>
        <v/>
      </c>
      <c r="J1698" t="str">
        <f>IF(FT!B1698&lt;&gt;"",FT!C1698,"")</f>
        <v/>
      </c>
    </row>
    <row r="1699" spans="5:10">
      <c r="E1699">
        <f t="shared" si="65"/>
        <v>1697</v>
      </c>
      <c r="F1699" s="61" t="str">
        <f>IF(FT!A1699&lt;&gt;"",FT!A1699*10,"")</f>
        <v/>
      </c>
      <c r="G1699" s="61" t="str">
        <f>IF(FT!B1699&lt;&gt;"",FT!B1699*100,"")</f>
        <v/>
      </c>
      <c r="H1699" s="61" t="str">
        <f t="shared" si="64"/>
        <v/>
      </c>
      <c r="I1699" t="str">
        <f>IF(FT!B1699&lt;&gt;"",FT!E1699,"")</f>
        <v/>
      </c>
      <c r="J1699" t="str">
        <f>IF(FT!B1699&lt;&gt;"",FT!C1699,"")</f>
        <v/>
      </c>
    </row>
    <row r="1700" spans="5:10">
      <c r="E1700">
        <f t="shared" si="65"/>
        <v>1698</v>
      </c>
      <c r="F1700" s="61" t="str">
        <f>IF(FT!A1700&lt;&gt;"",FT!A1700*10,"")</f>
        <v/>
      </c>
      <c r="G1700" s="61" t="str">
        <f>IF(FT!B1700&lt;&gt;"",FT!B1700*100,"")</f>
        <v/>
      </c>
      <c r="H1700" s="61" t="str">
        <f t="shared" si="64"/>
        <v/>
      </c>
      <c r="I1700" t="str">
        <f>IF(FT!B1700&lt;&gt;"",FT!E1700,"")</f>
        <v/>
      </c>
      <c r="J1700" t="str">
        <f>IF(FT!B1700&lt;&gt;"",FT!C1700,"")</f>
        <v/>
      </c>
    </row>
    <row r="1701" spans="5:10">
      <c r="E1701">
        <f t="shared" si="65"/>
        <v>1699</v>
      </c>
      <c r="F1701" s="61" t="str">
        <f>IF(FT!A1701&lt;&gt;"",FT!A1701*10,"")</f>
        <v/>
      </c>
      <c r="G1701" s="61" t="str">
        <f>IF(FT!B1701&lt;&gt;"",FT!B1701*100,"")</f>
        <v/>
      </c>
      <c r="H1701" s="61" t="str">
        <f t="shared" si="64"/>
        <v/>
      </c>
      <c r="I1701" t="str">
        <f>IF(FT!B1701&lt;&gt;"",FT!E1701,"")</f>
        <v/>
      </c>
      <c r="J1701" t="str">
        <f>IF(FT!B1701&lt;&gt;"",FT!C1701,"")</f>
        <v/>
      </c>
    </row>
    <row r="1702" spans="5:10">
      <c r="E1702">
        <f t="shared" si="65"/>
        <v>1700</v>
      </c>
      <c r="F1702" s="61" t="str">
        <f>IF(FT!A1702&lt;&gt;"",FT!A1702*10,"")</f>
        <v/>
      </c>
      <c r="G1702" s="61" t="str">
        <f>IF(FT!B1702&lt;&gt;"",FT!B1702*100,"")</f>
        <v/>
      </c>
      <c r="H1702" s="61" t="str">
        <f t="shared" si="64"/>
        <v/>
      </c>
      <c r="I1702" t="str">
        <f>IF(FT!B1702&lt;&gt;"",FT!E1702,"")</f>
        <v/>
      </c>
      <c r="J1702" t="str">
        <f>IF(FT!B1702&lt;&gt;"",FT!C1702,"")</f>
        <v/>
      </c>
    </row>
    <row r="1703" spans="5:10">
      <c r="E1703">
        <f t="shared" si="65"/>
        <v>1701</v>
      </c>
      <c r="F1703" s="61" t="str">
        <f>IF(FT!A1703&lt;&gt;"",FT!A1703*10,"")</f>
        <v/>
      </c>
      <c r="G1703" s="61" t="str">
        <f>IF(FT!B1703&lt;&gt;"",FT!B1703*100,"")</f>
        <v/>
      </c>
      <c r="H1703" s="61" t="str">
        <f t="shared" si="64"/>
        <v/>
      </c>
      <c r="I1703" t="str">
        <f>IF(FT!B1703&lt;&gt;"",FT!E1703,"")</f>
        <v/>
      </c>
      <c r="J1703" t="str">
        <f>IF(FT!B1703&lt;&gt;"",FT!C1703,"")</f>
        <v/>
      </c>
    </row>
    <row r="1704" spans="5:10">
      <c r="E1704">
        <f t="shared" si="65"/>
        <v>1702</v>
      </c>
      <c r="F1704" s="61" t="str">
        <f>IF(FT!A1704&lt;&gt;"",FT!A1704*10,"")</f>
        <v/>
      </c>
      <c r="G1704" s="61" t="str">
        <f>IF(FT!B1704&lt;&gt;"",FT!B1704*100,"")</f>
        <v/>
      </c>
      <c r="H1704" s="61" t="str">
        <f t="shared" si="64"/>
        <v/>
      </c>
      <c r="I1704" t="str">
        <f>IF(FT!B1704&lt;&gt;"",FT!E1704,"")</f>
        <v/>
      </c>
      <c r="J1704" t="str">
        <f>IF(FT!B1704&lt;&gt;"",FT!C1704,"")</f>
        <v/>
      </c>
    </row>
    <row r="1705" spans="5:10">
      <c r="E1705">
        <f t="shared" si="65"/>
        <v>1703</v>
      </c>
      <c r="F1705" s="61" t="str">
        <f>IF(FT!A1705&lt;&gt;"",FT!A1705*10,"")</f>
        <v/>
      </c>
      <c r="G1705" s="61" t="str">
        <f>IF(FT!B1705&lt;&gt;"",FT!B1705*100,"")</f>
        <v/>
      </c>
      <c r="H1705" s="61" t="str">
        <f t="shared" si="64"/>
        <v/>
      </c>
      <c r="I1705" t="str">
        <f>IF(FT!B1705&lt;&gt;"",FT!E1705,"")</f>
        <v/>
      </c>
      <c r="J1705" t="str">
        <f>IF(FT!B1705&lt;&gt;"",FT!C1705,"")</f>
        <v/>
      </c>
    </row>
    <row r="1706" spans="5:10">
      <c r="E1706">
        <f t="shared" si="65"/>
        <v>1704</v>
      </c>
      <c r="F1706" s="61" t="str">
        <f>IF(FT!A1706&lt;&gt;"",FT!A1706*10,"")</f>
        <v/>
      </c>
      <c r="G1706" s="61" t="str">
        <f>IF(FT!B1706&lt;&gt;"",FT!B1706*100,"")</f>
        <v/>
      </c>
      <c r="H1706" s="61" t="str">
        <f t="shared" si="64"/>
        <v/>
      </c>
      <c r="I1706" t="str">
        <f>IF(FT!B1706&lt;&gt;"",FT!E1706,"")</f>
        <v/>
      </c>
      <c r="J1706" t="str">
        <f>IF(FT!B1706&lt;&gt;"",FT!C1706,"")</f>
        <v/>
      </c>
    </row>
    <row r="1707" spans="5:10">
      <c r="E1707">
        <f t="shared" si="65"/>
        <v>1705</v>
      </c>
      <c r="F1707" s="61" t="str">
        <f>IF(FT!A1707&lt;&gt;"",FT!A1707*10,"")</f>
        <v/>
      </c>
      <c r="G1707" s="61" t="str">
        <f>IF(FT!B1707&lt;&gt;"",FT!B1707*100,"")</f>
        <v/>
      </c>
      <c r="H1707" s="61" t="str">
        <f t="shared" si="64"/>
        <v/>
      </c>
      <c r="I1707" t="str">
        <f>IF(FT!B1707&lt;&gt;"",FT!E1707,"")</f>
        <v/>
      </c>
      <c r="J1707" t="str">
        <f>IF(FT!B1707&lt;&gt;"",FT!C1707,"")</f>
        <v/>
      </c>
    </row>
    <row r="1708" spans="5:10">
      <c r="E1708">
        <f t="shared" si="65"/>
        <v>1706</v>
      </c>
      <c r="F1708" s="61" t="str">
        <f>IF(FT!A1708&lt;&gt;"",FT!A1708*10,"")</f>
        <v/>
      </c>
      <c r="G1708" s="61" t="str">
        <f>IF(FT!B1708&lt;&gt;"",FT!B1708*100,"")</f>
        <v/>
      </c>
      <c r="H1708" s="61" t="str">
        <f t="shared" si="64"/>
        <v/>
      </c>
      <c r="I1708" t="str">
        <f>IF(FT!B1708&lt;&gt;"",FT!E1708,"")</f>
        <v/>
      </c>
      <c r="J1708" t="str">
        <f>IF(FT!B1708&lt;&gt;"",FT!C1708,"")</f>
        <v/>
      </c>
    </row>
    <row r="1709" spans="5:10">
      <c r="E1709">
        <f t="shared" si="65"/>
        <v>1707</v>
      </c>
      <c r="F1709" s="61" t="str">
        <f>IF(FT!A1709&lt;&gt;"",FT!A1709*10,"")</f>
        <v/>
      </c>
      <c r="G1709" s="61" t="str">
        <f>IF(FT!B1709&lt;&gt;"",FT!B1709*100,"")</f>
        <v/>
      </c>
      <c r="H1709" s="61" t="str">
        <f t="shared" si="64"/>
        <v/>
      </c>
      <c r="I1709" t="str">
        <f>IF(FT!B1709&lt;&gt;"",FT!E1709,"")</f>
        <v/>
      </c>
      <c r="J1709" t="str">
        <f>IF(FT!B1709&lt;&gt;"",FT!C1709,"")</f>
        <v/>
      </c>
    </row>
    <row r="1710" spans="5:10">
      <c r="E1710">
        <f t="shared" si="65"/>
        <v>1708</v>
      </c>
      <c r="F1710" s="61" t="str">
        <f>IF(FT!A1710&lt;&gt;"",FT!A1710*10,"")</f>
        <v/>
      </c>
      <c r="G1710" s="61" t="str">
        <f>IF(FT!B1710&lt;&gt;"",FT!B1710*100,"")</f>
        <v/>
      </c>
      <c r="H1710" s="61" t="str">
        <f t="shared" si="64"/>
        <v/>
      </c>
      <c r="I1710" t="str">
        <f>IF(FT!B1710&lt;&gt;"",FT!E1710,"")</f>
        <v/>
      </c>
      <c r="J1710" t="str">
        <f>IF(FT!B1710&lt;&gt;"",FT!C1710,"")</f>
        <v/>
      </c>
    </row>
    <row r="1711" spans="5:10">
      <c r="E1711">
        <f t="shared" si="65"/>
        <v>1709</v>
      </c>
      <c r="F1711" s="61" t="str">
        <f>IF(FT!A1711&lt;&gt;"",FT!A1711*10,"")</f>
        <v/>
      </c>
      <c r="G1711" s="61" t="str">
        <f>IF(FT!B1711&lt;&gt;"",FT!B1711*100,"")</f>
        <v/>
      </c>
      <c r="H1711" s="61" t="str">
        <f t="shared" si="64"/>
        <v/>
      </c>
      <c r="I1711" t="str">
        <f>IF(FT!B1711&lt;&gt;"",FT!E1711,"")</f>
        <v/>
      </c>
      <c r="J1711" t="str">
        <f>IF(FT!B1711&lt;&gt;"",FT!C1711,"")</f>
        <v/>
      </c>
    </row>
    <row r="1712" spans="5:10">
      <c r="E1712">
        <f t="shared" si="65"/>
        <v>1710</v>
      </c>
      <c r="F1712" s="61" t="str">
        <f>IF(FT!A1712&lt;&gt;"",FT!A1712*10,"")</f>
        <v/>
      </c>
      <c r="G1712" s="61" t="str">
        <f>IF(FT!B1712&lt;&gt;"",FT!B1712*100,"")</f>
        <v/>
      </c>
      <c r="H1712" s="61" t="str">
        <f t="shared" si="64"/>
        <v/>
      </c>
      <c r="I1712" t="str">
        <f>IF(FT!B1712&lt;&gt;"",FT!E1712,"")</f>
        <v/>
      </c>
      <c r="J1712" t="str">
        <f>IF(FT!B1712&lt;&gt;"",FT!C1712,"")</f>
        <v/>
      </c>
    </row>
    <row r="1713" spans="5:10">
      <c r="E1713">
        <f t="shared" si="65"/>
        <v>1711</v>
      </c>
      <c r="F1713" s="61" t="str">
        <f>IF(FT!A1713&lt;&gt;"",FT!A1713*10,"")</f>
        <v/>
      </c>
      <c r="G1713" s="61" t="str">
        <f>IF(FT!B1713&lt;&gt;"",FT!B1713*100,"")</f>
        <v/>
      </c>
      <c r="H1713" s="61" t="str">
        <f t="shared" si="64"/>
        <v/>
      </c>
      <c r="I1713" t="str">
        <f>IF(FT!B1713&lt;&gt;"",FT!E1713,"")</f>
        <v/>
      </c>
      <c r="J1713" t="str">
        <f>IF(FT!B1713&lt;&gt;"",FT!C1713,"")</f>
        <v/>
      </c>
    </row>
    <row r="1714" spans="5:10">
      <c r="E1714">
        <f t="shared" si="65"/>
        <v>1712</v>
      </c>
      <c r="F1714" s="61" t="str">
        <f>IF(FT!A1714&lt;&gt;"",FT!A1714*10,"")</f>
        <v/>
      </c>
      <c r="G1714" s="61" t="str">
        <f>IF(FT!B1714&lt;&gt;"",FT!B1714*100,"")</f>
        <v/>
      </c>
      <c r="H1714" s="61" t="str">
        <f t="shared" si="64"/>
        <v/>
      </c>
      <c r="I1714" t="str">
        <f>IF(FT!B1714&lt;&gt;"",FT!E1714,"")</f>
        <v/>
      </c>
      <c r="J1714" t="str">
        <f>IF(FT!B1714&lt;&gt;"",FT!C1714,"")</f>
        <v/>
      </c>
    </row>
    <row r="1715" spans="5:10">
      <c r="E1715">
        <f t="shared" si="65"/>
        <v>1713</v>
      </c>
      <c r="F1715" s="61" t="str">
        <f>IF(FT!A1715&lt;&gt;"",FT!A1715*10,"")</f>
        <v/>
      </c>
      <c r="G1715" s="61" t="str">
        <f>IF(FT!B1715&lt;&gt;"",FT!B1715*100,"")</f>
        <v/>
      </c>
      <c r="H1715" s="61" t="str">
        <f t="shared" si="64"/>
        <v/>
      </c>
      <c r="I1715" t="str">
        <f>IF(FT!B1715&lt;&gt;"",FT!E1715,"")</f>
        <v/>
      </c>
      <c r="J1715" t="str">
        <f>IF(FT!B1715&lt;&gt;"",FT!C1715,"")</f>
        <v/>
      </c>
    </row>
    <row r="1716" spans="5:10">
      <c r="E1716">
        <f t="shared" si="65"/>
        <v>1714</v>
      </c>
      <c r="F1716" s="61" t="str">
        <f>IF(FT!A1716&lt;&gt;"",FT!A1716*10,"")</f>
        <v/>
      </c>
      <c r="G1716" s="61" t="str">
        <f>IF(FT!B1716&lt;&gt;"",FT!B1716*100,"")</f>
        <v/>
      </c>
      <c r="H1716" s="61" t="str">
        <f t="shared" si="64"/>
        <v/>
      </c>
      <c r="I1716" t="str">
        <f>IF(FT!B1716&lt;&gt;"",FT!E1716,"")</f>
        <v/>
      </c>
      <c r="J1716" t="str">
        <f>IF(FT!B1716&lt;&gt;"",FT!C1716,"")</f>
        <v/>
      </c>
    </row>
    <row r="1717" spans="5:10">
      <c r="E1717">
        <f t="shared" si="65"/>
        <v>1715</v>
      </c>
      <c r="F1717" s="61" t="str">
        <f>IF(FT!A1717&lt;&gt;"",FT!A1717*10,"")</f>
        <v/>
      </c>
      <c r="G1717" s="61" t="str">
        <f>IF(FT!B1717&lt;&gt;"",FT!B1717*100,"")</f>
        <v/>
      </c>
      <c r="H1717" s="61" t="str">
        <f t="shared" si="64"/>
        <v/>
      </c>
      <c r="I1717" t="str">
        <f>IF(FT!B1717&lt;&gt;"",FT!E1717,"")</f>
        <v/>
      </c>
      <c r="J1717" t="str">
        <f>IF(FT!B1717&lt;&gt;"",FT!C1717,"")</f>
        <v/>
      </c>
    </row>
    <row r="1718" spans="5:10">
      <c r="E1718">
        <f t="shared" si="65"/>
        <v>1716</v>
      </c>
      <c r="F1718" s="61" t="str">
        <f>IF(FT!A1718&lt;&gt;"",FT!A1718*10,"")</f>
        <v/>
      </c>
      <c r="G1718" s="61" t="str">
        <f>IF(FT!B1718&lt;&gt;"",FT!B1718*100,"")</f>
        <v/>
      </c>
      <c r="H1718" s="61" t="str">
        <f t="shared" si="64"/>
        <v/>
      </c>
      <c r="I1718" t="str">
        <f>IF(FT!B1718&lt;&gt;"",FT!E1718,"")</f>
        <v/>
      </c>
      <c r="J1718" t="str">
        <f>IF(FT!B1718&lt;&gt;"",FT!C1718,"")</f>
        <v/>
      </c>
    </row>
    <row r="1719" spans="5:10">
      <c r="E1719">
        <f t="shared" si="65"/>
        <v>1717</v>
      </c>
      <c r="F1719" s="61" t="str">
        <f>IF(FT!A1719&lt;&gt;"",FT!A1719*10,"")</f>
        <v/>
      </c>
      <c r="G1719" s="61" t="str">
        <f>IF(FT!B1719&lt;&gt;"",FT!B1719*100,"")</f>
        <v/>
      </c>
      <c r="H1719" s="61" t="str">
        <f t="shared" si="64"/>
        <v/>
      </c>
      <c r="I1719" t="str">
        <f>IF(FT!B1719&lt;&gt;"",FT!E1719,"")</f>
        <v/>
      </c>
      <c r="J1719" t="str">
        <f>IF(FT!B1719&lt;&gt;"",FT!C1719,"")</f>
        <v/>
      </c>
    </row>
    <row r="1720" spans="5:10">
      <c r="E1720">
        <f t="shared" si="65"/>
        <v>1718</v>
      </c>
      <c r="F1720" s="61" t="str">
        <f>IF(FT!A1720&lt;&gt;"",FT!A1720*10,"")</f>
        <v/>
      </c>
      <c r="G1720" s="61" t="str">
        <f>IF(FT!B1720&lt;&gt;"",FT!B1720*100,"")</f>
        <v/>
      </c>
      <c r="H1720" s="61" t="str">
        <f t="shared" si="64"/>
        <v/>
      </c>
      <c r="I1720" t="str">
        <f>IF(FT!B1720&lt;&gt;"",FT!E1720,"")</f>
        <v/>
      </c>
      <c r="J1720" t="str">
        <f>IF(FT!B1720&lt;&gt;"",FT!C1720,"")</f>
        <v/>
      </c>
    </row>
    <row r="1721" spans="5:10">
      <c r="E1721">
        <f t="shared" si="65"/>
        <v>1719</v>
      </c>
      <c r="F1721" s="61" t="str">
        <f>IF(FT!A1721&lt;&gt;"",FT!A1721*10,"")</f>
        <v/>
      </c>
      <c r="G1721" s="61" t="str">
        <f>IF(FT!B1721&lt;&gt;"",FT!B1721*100,"")</f>
        <v/>
      </c>
      <c r="H1721" s="61" t="str">
        <f t="shared" si="64"/>
        <v/>
      </c>
      <c r="I1721" t="str">
        <f>IF(FT!B1721&lt;&gt;"",FT!E1721,"")</f>
        <v/>
      </c>
      <c r="J1721" t="str">
        <f>IF(FT!B1721&lt;&gt;"",FT!C1721,"")</f>
        <v/>
      </c>
    </row>
    <row r="1722" spans="5:10">
      <c r="E1722">
        <f t="shared" si="65"/>
        <v>1720</v>
      </c>
      <c r="F1722" s="61" t="str">
        <f>IF(FT!A1722&lt;&gt;"",FT!A1722*10,"")</f>
        <v/>
      </c>
      <c r="G1722" s="61" t="str">
        <f>IF(FT!B1722&lt;&gt;"",FT!B1722*100,"")</f>
        <v/>
      </c>
      <c r="H1722" s="61" t="str">
        <f t="shared" si="64"/>
        <v/>
      </c>
      <c r="I1722" t="str">
        <f>IF(FT!B1722&lt;&gt;"",FT!E1722,"")</f>
        <v/>
      </c>
      <c r="J1722" t="str">
        <f>IF(FT!B1722&lt;&gt;"",FT!C1722,"")</f>
        <v/>
      </c>
    </row>
    <row r="1723" spans="5:10">
      <c r="E1723">
        <f t="shared" si="65"/>
        <v>1721</v>
      </c>
      <c r="F1723" s="61" t="str">
        <f>IF(FT!A1723&lt;&gt;"",FT!A1723*10,"")</f>
        <v/>
      </c>
      <c r="G1723" s="61" t="str">
        <f>IF(FT!B1723&lt;&gt;"",FT!B1723*100,"")</f>
        <v/>
      </c>
      <c r="H1723" s="61" t="str">
        <f t="shared" si="64"/>
        <v/>
      </c>
      <c r="I1723" t="str">
        <f>IF(FT!B1723&lt;&gt;"",FT!E1723,"")</f>
        <v/>
      </c>
      <c r="J1723" t="str">
        <f>IF(FT!B1723&lt;&gt;"",FT!C1723,"")</f>
        <v/>
      </c>
    </row>
    <row r="1724" spans="5:10">
      <c r="E1724">
        <f t="shared" si="65"/>
        <v>1722</v>
      </c>
      <c r="F1724" s="61" t="str">
        <f>IF(FT!A1724&lt;&gt;"",FT!A1724*10,"")</f>
        <v/>
      </c>
      <c r="G1724" s="61" t="str">
        <f>IF(FT!B1724&lt;&gt;"",FT!B1724*100,"")</f>
        <v/>
      </c>
      <c r="H1724" s="61" t="str">
        <f t="shared" si="64"/>
        <v/>
      </c>
      <c r="I1724" t="str">
        <f>IF(FT!B1724&lt;&gt;"",FT!E1724,"")</f>
        <v/>
      </c>
      <c r="J1724" t="str">
        <f>IF(FT!B1724&lt;&gt;"",FT!C1724,"")</f>
        <v/>
      </c>
    </row>
    <row r="1725" spans="5:10">
      <c r="E1725">
        <f t="shared" si="65"/>
        <v>1723</v>
      </c>
      <c r="F1725" s="61" t="str">
        <f>IF(FT!A1725&lt;&gt;"",FT!A1725*10,"")</f>
        <v/>
      </c>
      <c r="G1725" s="61" t="str">
        <f>IF(FT!B1725&lt;&gt;"",FT!B1725*100,"")</f>
        <v/>
      </c>
      <c r="H1725" s="61" t="str">
        <f t="shared" si="64"/>
        <v/>
      </c>
      <c r="I1725" t="str">
        <f>IF(FT!B1725&lt;&gt;"",FT!E1725,"")</f>
        <v/>
      </c>
      <c r="J1725" t="str">
        <f>IF(FT!B1725&lt;&gt;"",FT!C1725,"")</f>
        <v/>
      </c>
    </row>
    <row r="1726" spans="5:10">
      <c r="E1726">
        <f t="shared" si="65"/>
        <v>1724</v>
      </c>
      <c r="F1726" s="61" t="str">
        <f>IF(FT!A1726&lt;&gt;"",FT!A1726*10,"")</f>
        <v/>
      </c>
      <c r="G1726" s="61" t="str">
        <f>IF(FT!B1726&lt;&gt;"",FT!B1726*100,"")</f>
        <v/>
      </c>
      <c r="H1726" s="61" t="str">
        <f t="shared" si="64"/>
        <v/>
      </c>
      <c r="I1726" t="str">
        <f>IF(FT!B1726&lt;&gt;"",FT!E1726,"")</f>
        <v/>
      </c>
      <c r="J1726" t="str">
        <f>IF(FT!B1726&lt;&gt;"",FT!C1726,"")</f>
        <v/>
      </c>
    </row>
    <row r="1727" spans="5:10">
      <c r="E1727">
        <f t="shared" si="65"/>
        <v>1725</v>
      </c>
      <c r="F1727" s="61" t="str">
        <f>IF(FT!A1727&lt;&gt;"",FT!A1727*10,"")</f>
        <v/>
      </c>
      <c r="G1727" s="61" t="str">
        <f>IF(FT!B1727&lt;&gt;"",FT!B1727*100,"")</f>
        <v/>
      </c>
      <c r="H1727" s="61" t="str">
        <f t="shared" si="64"/>
        <v/>
      </c>
      <c r="I1727" t="str">
        <f>IF(FT!B1727&lt;&gt;"",FT!E1727,"")</f>
        <v/>
      </c>
      <c r="J1727" t="str">
        <f>IF(FT!B1727&lt;&gt;"",FT!C1727,"")</f>
        <v/>
      </c>
    </row>
    <row r="1728" spans="5:10">
      <c r="E1728">
        <f t="shared" si="65"/>
        <v>1726</v>
      </c>
      <c r="F1728" s="61" t="str">
        <f>IF(FT!A1728&lt;&gt;"",FT!A1728*10,"")</f>
        <v/>
      </c>
      <c r="G1728" s="61" t="str">
        <f>IF(FT!B1728&lt;&gt;"",FT!B1728*100,"")</f>
        <v/>
      </c>
      <c r="H1728" s="61" t="str">
        <f t="shared" si="64"/>
        <v/>
      </c>
      <c r="I1728" t="str">
        <f>IF(FT!B1728&lt;&gt;"",FT!E1728,"")</f>
        <v/>
      </c>
      <c r="J1728" t="str">
        <f>IF(FT!B1728&lt;&gt;"",FT!C1728,"")</f>
        <v/>
      </c>
    </row>
    <row r="1729" spans="5:10">
      <c r="E1729">
        <f t="shared" si="65"/>
        <v>1727</v>
      </c>
      <c r="F1729" s="61" t="str">
        <f>IF(FT!A1729&lt;&gt;"",FT!A1729*10,"")</f>
        <v/>
      </c>
      <c r="G1729" s="61" t="str">
        <f>IF(FT!B1729&lt;&gt;"",FT!B1729*100,"")</f>
        <v/>
      </c>
      <c r="H1729" s="61" t="str">
        <f t="shared" si="64"/>
        <v/>
      </c>
      <c r="I1729" t="str">
        <f>IF(FT!B1729&lt;&gt;"",FT!E1729,"")</f>
        <v/>
      </c>
      <c r="J1729" t="str">
        <f>IF(FT!B1729&lt;&gt;"",FT!C1729,"")</f>
        <v/>
      </c>
    </row>
    <row r="1730" spans="5:10">
      <c r="E1730">
        <f t="shared" si="65"/>
        <v>1728</v>
      </c>
      <c r="F1730" s="61" t="str">
        <f>IF(FT!A1730&lt;&gt;"",FT!A1730*10,"")</f>
        <v/>
      </c>
      <c r="G1730" s="61" t="str">
        <f>IF(FT!B1730&lt;&gt;"",FT!B1730*100,"")</f>
        <v/>
      </c>
      <c r="H1730" s="61" t="str">
        <f t="shared" si="64"/>
        <v/>
      </c>
      <c r="I1730" t="str">
        <f>IF(FT!B1730&lt;&gt;"",FT!E1730,"")</f>
        <v/>
      </c>
      <c r="J1730" t="str">
        <f>IF(FT!B1730&lt;&gt;"",FT!C1730,"")</f>
        <v/>
      </c>
    </row>
    <row r="1731" spans="5:10">
      <c r="E1731">
        <f t="shared" si="65"/>
        <v>1729</v>
      </c>
      <c r="F1731" s="61" t="str">
        <f>IF(FT!A1731&lt;&gt;"",FT!A1731*10,"")</f>
        <v/>
      </c>
      <c r="G1731" s="61" t="str">
        <f>IF(FT!B1731&lt;&gt;"",FT!B1731*100,"")</f>
        <v/>
      </c>
      <c r="H1731" s="61" t="str">
        <f t="shared" ref="H1731:H1794" si="66">(IF(F1731&lt;&gt;"",1,""))</f>
        <v/>
      </c>
      <c r="I1731" t="str">
        <f>IF(FT!B1731&lt;&gt;"",FT!E1731,"")</f>
        <v/>
      </c>
      <c r="J1731" t="str">
        <f>IF(FT!B1731&lt;&gt;"",FT!C1731,"")</f>
        <v/>
      </c>
    </row>
    <row r="1732" spans="5:10">
      <c r="E1732">
        <f t="shared" ref="E1732:E1795" si="67">E1731+1</f>
        <v>1730</v>
      </c>
      <c r="F1732" s="61" t="str">
        <f>IF(FT!A1732&lt;&gt;"",FT!A1732*10,"")</f>
        <v/>
      </c>
      <c r="G1732" s="61" t="str">
        <f>IF(FT!B1732&lt;&gt;"",FT!B1732*100,"")</f>
        <v/>
      </c>
      <c r="H1732" s="61" t="str">
        <f t="shared" si="66"/>
        <v/>
      </c>
      <c r="I1732" t="str">
        <f>IF(FT!B1732&lt;&gt;"",FT!E1732,"")</f>
        <v/>
      </c>
      <c r="J1732" t="str">
        <f>IF(FT!B1732&lt;&gt;"",FT!C1732,"")</f>
        <v/>
      </c>
    </row>
    <row r="1733" spans="5:10">
      <c r="E1733">
        <f t="shared" si="67"/>
        <v>1731</v>
      </c>
      <c r="F1733" s="61" t="str">
        <f>IF(FT!A1733&lt;&gt;"",FT!A1733*10,"")</f>
        <v/>
      </c>
      <c r="G1733" s="61" t="str">
        <f>IF(FT!B1733&lt;&gt;"",FT!B1733*100,"")</f>
        <v/>
      </c>
      <c r="H1733" s="61" t="str">
        <f t="shared" si="66"/>
        <v/>
      </c>
      <c r="I1733" t="str">
        <f>IF(FT!B1733&lt;&gt;"",FT!E1733,"")</f>
        <v/>
      </c>
      <c r="J1733" t="str">
        <f>IF(FT!B1733&lt;&gt;"",FT!C1733,"")</f>
        <v/>
      </c>
    </row>
    <row r="1734" spans="5:10">
      <c r="E1734">
        <f t="shared" si="67"/>
        <v>1732</v>
      </c>
      <c r="F1734" s="61" t="str">
        <f>IF(FT!A1734&lt;&gt;"",FT!A1734*10,"")</f>
        <v/>
      </c>
      <c r="G1734" s="61" t="str">
        <f>IF(FT!B1734&lt;&gt;"",FT!B1734*100,"")</f>
        <v/>
      </c>
      <c r="H1734" s="61" t="str">
        <f t="shared" si="66"/>
        <v/>
      </c>
      <c r="I1734" t="str">
        <f>IF(FT!B1734&lt;&gt;"",FT!E1734,"")</f>
        <v/>
      </c>
      <c r="J1734" t="str">
        <f>IF(FT!B1734&lt;&gt;"",FT!C1734,"")</f>
        <v/>
      </c>
    </row>
    <row r="1735" spans="5:10">
      <c r="E1735">
        <f t="shared" si="67"/>
        <v>1733</v>
      </c>
      <c r="F1735" s="61" t="str">
        <f>IF(FT!A1735&lt;&gt;"",FT!A1735*10,"")</f>
        <v/>
      </c>
      <c r="G1735" s="61" t="str">
        <f>IF(FT!B1735&lt;&gt;"",FT!B1735*100,"")</f>
        <v/>
      </c>
      <c r="H1735" s="61" t="str">
        <f t="shared" si="66"/>
        <v/>
      </c>
      <c r="I1735" t="str">
        <f>IF(FT!B1735&lt;&gt;"",FT!E1735,"")</f>
        <v/>
      </c>
      <c r="J1735" t="str">
        <f>IF(FT!B1735&lt;&gt;"",FT!C1735,"")</f>
        <v/>
      </c>
    </row>
    <row r="1736" spans="5:10">
      <c r="E1736">
        <f t="shared" si="67"/>
        <v>1734</v>
      </c>
      <c r="F1736" s="61" t="str">
        <f>IF(FT!A1736&lt;&gt;"",FT!A1736*10,"")</f>
        <v/>
      </c>
      <c r="G1736" s="61" t="str">
        <f>IF(FT!B1736&lt;&gt;"",FT!B1736*100,"")</f>
        <v/>
      </c>
      <c r="H1736" s="61" t="str">
        <f t="shared" si="66"/>
        <v/>
      </c>
      <c r="I1736" t="str">
        <f>IF(FT!B1736&lt;&gt;"",FT!E1736,"")</f>
        <v/>
      </c>
      <c r="J1736" t="str">
        <f>IF(FT!B1736&lt;&gt;"",FT!C1736,"")</f>
        <v/>
      </c>
    </row>
    <row r="1737" spans="5:10">
      <c r="E1737">
        <f t="shared" si="67"/>
        <v>1735</v>
      </c>
      <c r="F1737" s="61" t="str">
        <f>IF(FT!A1737&lt;&gt;"",FT!A1737*10,"")</f>
        <v/>
      </c>
      <c r="G1737" s="61" t="str">
        <f>IF(FT!B1737&lt;&gt;"",FT!B1737*100,"")</f>
        <v/>
      </c>
      <c r="H1737" s="61" t="str">
        <f t="shared" si="66"/>
        <v/>
      </c>
      <c r="I1737" t="str">
        <f>IF(FT!B1737&lt;&gt;"",FT!E1737,"")</f>
        <v/>
      </c>
      <c r="J1737" t="str">
        <f>IF(FT!B1737&lt;&gt;"",FT!C1737,"")</f>
        <v/>
      </c>
    </row>
    <row r="1738" spans="5:10">
      <c r="E1738">
        <f t="shared" si="67"/>
        <v>1736</v>
      </c>
      <c r="F1738" s="61" t="str">
        <f>IF(FT!A1738&lt;&gt;"",FT!A1738*10,"")</f>
        <v/>
      </c>
      <c r="G1738" s="61" t="str">
        <f>IF(FT!B1738&lt;&gt;"",FT!B1738*100,"")</f>
        <v/>
      </c>
      <c r="H1738" s="61" t="str">
        <f t="shared" si="66"/>
        <v/>
      </c>
      <c r="I1738" t="str">
        <f>IF(FT!B1738&lt;&gt;"",FT!E1738,"")</f>
        <v/>
      </c>
      <c r="J1738" t="str">
        <f>IF(FT!B1738&lt;&gt;"",FT!C1738,"")</f>
        <v/>
      </c>
    </row>
    <row r="1739" spans="5:10">
      <c r="E1739">
        <f t="shared" si="67"/>
        <v>1737</v>
      </c>
      <c r="F1739" s="61" t="str">
        <f>IF(FT!A1739&lt;&gt;"",FT!A1739*10,"")</f>
        <v/>
      </c>
      <c r="G1739" s="61" t="str">
        <f>IF(FT!B1739&lt;&gt;"",FT!B1739*100,"")</f>
        <v/>
      </c>
      <c r="H1739" s="61" t="str">
        <f t="shared" si="66"/>
        <v/>
      </c>
      <c r="I1739" t="str">
        <f>IF(FT!B1739&lt;&gt;"",FT!E1739,"")</f>
        <v/>
      </c>
      <c r="J1739" t="str">
        <f>IF(FT!B1739&lt;&gt;"",FT!C1739,"")</f>
        <v/>
      </c>
    </row>
    <row r="1740" spans="5:10">
      <c r="E1740">
        <f t="shared" si="67"/>
        <v>1738</v>
      </c>
      <c r="F1740" s="61" t="str">
        <f>IF(FT!A1740&lt;&gt;"",FT!A1740*10,"")</f>
        <v/>
      </c>
      <c r="G1740" s="61" t="str">
        <f>IF(FT!B1740&lt;&gt;"",FT!B1740*100,"")</f>
        <v/>
      </c>
      <c r="H1740" s="61" t="str">
        <f t="shared" si="66"/>
        <v/>
      </c>
      <c r="I1740" t="str">
        <f>IF(FT!B1740&lt;&gt;"",FT!E1740,"")</f>
        <v/>
      </c>
      <c r="J1740" t="str">
        <f>IF(FT!B1740&lt;&gt;"",FT!C1740,"")</f>
        <v/>
      </c>
    </row>
    <row r="1741" spans="5:10">
      <c r="E1741">
        <f t="shared" si="67"/>
        <v>1739</v>
      </c>
      <c r="F1741" s="61" t="str">
        <f>IF(FT!A1741&lt;&gt;"",FT!A1741*10,"")</f>
        <v/>
      </c>
      <c r="G1741" s="61" t="str">
        <f>IF(FT!B1741&lt;&gt;"",FT!B1741*100,"")</f>
        <v/>
      </c>
      <c r="H1741" s="61" t="str">
        <f t="shared" si="66"/>
        <v/>
      </c>
      <c r="I1741" t="str">
        <f>IF(FT!B1741&lt;&gt;"",FT!E1741,"")</f>
        <v/>
      </c>
      <c r="J1741" t="str">
        <f>IF(FT!B1741&lt;&gt;"",FT!C1741,"")</f>
        <v/>
      </c>
    </row>
    <row r="1742" spans="5:10">
      <c r="E1742">
        <f t="shared" si="67"/>
        <v>1740</v>
      </c>
      <c r="F1742" s="61" t="str">
        <f>IF(FT!A1742&lt;&gt;"",FT!A1742*10,"")</f>
        <v/>
      </c>
      <c r="G1742" s="61" t="str">
        <f>IF(FT!B1742&lt;&gt;"",FT!B1742*100,"")</f>
        <v/>
      </c>
      <c r="H1742" s="61" t="str">
        <f t="shared" si="66"/>
        <v/>
      </c>
      <c r="I1742" t="str">
        <f>IF(FT!B1742&lt;&gt;"",FT!E1742,"")</f>
        <v/>
      </c>
      <c r="J1742" t="str">
        <f>IF(FT!B1742&lt;&gt;"",FT!C1742,"")</f>
        <v/>
      </c>
    </row>
    <row r="1743" spans="5:10">
      <c r="E1743">
        <f t="shared" si="67"/>
        <v>1741</v>
      </c>
      <c r="F1743" s="61" t="str">
        <f>IF(FT!A1743&lt;&gt;"",FT!A1743*10,"")</f>
        <v/>
      </c>
      <c r="G1743" s="61" t="str">
        <f>IF(FT!B1743&lt;&gt;"",FT!B1743*100,"")</f>
        <v/>
      </c>
      <c r="H1743" s="61" t="str">
        <f t="shared" si="66"/>
        <v/>
      </c>
      <c r="I1743" t="str">
        <f>IF(FT!B1743&lt;&gt;"",FT!E1743,"")</f>
        <v/>
      </c>
      <c r="J1743" t="str">
        <f>IF(FT!B1743&lt;&gt;"",FT!C1743,"")</f>
        <v/>
      </c>
    </row>
    <row r="1744" spans="5:10">
      <c r="E1744">
        <f t="shared" si="67"/>
        <v>1742</v>
      </c>
      <c r="F1744" s="61" t="str">
        <f>IF(FT!A1744&lt;&gt;"",FT!A1744*10,"")</f>
        <v/>
      </c>
      <c r="G1744" s="61" t="str">
        <f>IF(FT!B1744&lt;&gt;"",FT!B1744*100,"")</f>
        <v/>
      </c>
      <c r="H1744" s="61" t="str">
        <f t="shared" si="66"/>
        <v/>
      </c>
      <c r="I1744" t="str">
        <f>IF(FT!B1744&lt;&gt;"",FT!E1744,"")</f>
        <v/>
      </c>
      <c r="J1744" t="str">
        <f>IF(FT!B1744&lt;&gt;"",FT!C1744,"")</f>
        <v/>
      </c>
    </row>
    <row r="1745" spans="5:10">
      <c r="E1745">
        <f t="shared" si="67"/>
        <v>1743</v>
      </c>
      <c r="F1745" s="61" t="str">
        <f>IF(FT!A1745&lt;&gt;"",FT!A1745*10,"")</f>
        <v/>
      </c>
      <c r="G1745" s="61" t="str">
        <f>IF(FT!B1745&lt;&gt;"",FT!B1745*100,"")</f>
        <v/>
      </c>
      <c r="H1745" s="61" t="str">
        <f t="shared" si="66"/>
        <v/>
      </c>
      <c r="I1745" t="str">
        <f>IF(FT!B1745&lt;&gt;"",FT!E1745,"")</f>
        <v/>
      </c>
      <c r="J1745" t="str">
        <f>IF(FT!B1745&lt;&gt;"",FT!C1745,"")</f>
        <v/>
      </c>
    </row>
    <row r="1746" spans="5:10">
      <c r="E1746">
        <f t="shared" si="67"/>
        <v>1744</v>
      </c>
      <c r="F1746" s="61" t="str">
        <f>IF(FT!A1746&lt;&gt;"",FT!A1746*10,"")</f>
        <v/>
      </c>
      <c r="G1746" s="61" t="str">
        <f>IF(FT!B1746&lt;&gt;"",FT!B1746*100,"")</f>
        <v/>
      </c>
      <c r="H1746" s="61" t="str">
        <f t="shared" si="66"/>
        <v/>
      </c>
      <c r="I1746" t="str">
        <f>IF(FT!B1746&lt;&gt;"",FT!E1746,"")</f>
        <v/>
      </c>
      <c r="J1746" t="str">
        <f>IF(FT!B1746&lt;&gt;"",FT!C1746,"")</f>
        <v/>
      </c>
    </row>
    <row r="1747" spans="5:10">
      <c r="E1747">
        <f t="shared" si="67"/>
        <v>1745</v>
      </c>
      <c r="F1747" s="61" t="str">
        <f>IF(FT!A1747&lt;&gt;"",FT!A1747*10,"")</f>
        <v/>
      </c>
      <c r="G1747" s="61" t="str">
        <f>IF(FT!B1747&lt;&gt;"",FT!B1747*100,"")</f>
        <v/>
      </c>
      <c r="H1747" s="61" t="str">
        <f t="shared" si="66"/>
        <v/>
      </c>
      <c r="I1747" t="str">
        <f>IF(FT!B1747&lt;&gt;"",FT!E1747,"")</f>
        <v/>
      </c>
      <c r="J1747" t="str">
        <f>IF(FT!B1747&lt;&gt;"",FT!C1747,"")</f>
        <v/>
      </c>
    </row>
    <row r="1748" spans="5:10">
      <c r="E1748">
        <f t="shared" si="67"/>
        <v>1746</v>
      </c>
      <c r="F1748" s="61" t="str">
        <f>IF(FT!A1748&lt;&gt;"",FT!A1748*10,"")</f>
        <v/>
      </c>
      <c r="G1748" s="61" t="str">
        <f>IF(FT!B1748&lt;&gt;"",FT!B1748*100,"")</f>
        <v/>
      </c>
      <c r="H1748" s="61" t="str">
        <f t="shared" si="66"/>
        <v/>
      </c>
      <c r="I1748" t="str">
        <f>IF(FT!B1748&lt;&gt;"",FT!E1748,"")</f>
        <v/>
      </c>
      <c r="J1748" t="str">
        <f>IF(FT!B1748&lt;&gt;"",FT!C1748,"")</f>
        <v/>
      </c>
    </row>
    <row r="1749" spans="5:10">
      <c r="E1749">
        <f t="shared" si="67"/>
        <v>1747</v>
      </c>
      <c r="F1749" s="61" t="str">
        <f>IF(FT!A1749&lt;&gt;"",FT!A1749*10,"")</f>
        <v/>
      </c>
      <c r="G1749" s="61" t="str">
        <f>IF(FT!B1749&lt;&gt;"",FT!B1749*100,"")</f>
        <v/>
      </c>
      <c r="H1749" s="61" t="str">
        <f t="shared" si="66"/>
        <v/>
      </c>
      <c r="I1749" t="str">
        <f>IF(FT!B1749&lt;&gt;"",FT!E1749,"")</f>
        <v/>
      </c>
      <c r="J1749" t="str">
        <f>IF(FT!B1749&lt;&gt;"",FT!C1749,"")</f>
        <v/>
      </c>
    </row>
    <row r="1750" spans="5:10">
      <c r="E1750">
        <f t="shared" si="67"/>
        <v>1748</v>
      </c>
      <c r="F1750" s="61" t="str">
        <f>IF(FT!A1750&lt;&gt;"",FT!A1750*10,"")</f>
        <v/>
      </c>
      <c r="G1750" s="61" t="str">
        <f>IF(FT!B1750&lt;&gt;"",FT!B1750*100,"")</f>
        <v/>
      </c>
      <c r="H1750" s="61" t="str">
        <f t="shared" si="66"/>
        <v/>
      </c>
      <c r="I1750" t="str">
        <f>IF(FT!B1750&lt;&gt;"",FT!E1750,"")</f>
        <v/>
      </c>
      <c r="J1750" t="str">
        <f>IF(FT!B1750&lt;&gt;"",FT!C1750,"")</f>
        <v/>
      </c>
    </row>
    <row r="1751" spans="5:10">
      <c r="E1751">
        <f t="shared" si="67"/>
        <v>1749</v>
      </c>
      <c r="F1751" s="61" t="str">
        <f>IF(FT!A1751&lt;&gt;"",FT!A1751*10,"")</f>
        <v/>
      </c>
      <c r="G1751" s="61" t="str">
        <f>IF(FT!B1751&lt;&gt;"",FT!B1751*100,"")</f>
        <v/>
      </c>
      <c r="H1751" s="61" t="str">
        <f t="shared" si="66"/>
        <v/>
      </c>
      <c r="I1751" t="str">
        <f>IF(FT!B1751&lt;&gt;"",FT!E1751,"")</f>
        <v/>
      </c>
      <c r="J1751" t="str">
        <f>IF(FT!B1751&lt;&gt;"",FT!C1751,"")</f>
        <v/>
      </c>
    </row>
    <row r="1752" spans="5:10">
      <c r="E1752">
        <f t="shared" si="67"/>
        <v>1750</v>
      </c>
      <c r="F1752" s="61" t="str">
        <f>IF(FT!A1752&lt;&gt;"",FT!A1752*10,"")</f>
        <v/>
      </c>
      <c r="G1752" s="61" t="str">
        <f>IF(FT!B1752&lt;&gt;"",FT!B1752*100,"")</f>
        <v/>
      </c>
      <c r="H1752" s="61" t="str">
        <f t="shared" si="66"/>
        <v/>
      </c>
      <c r="I1752" t="str">
        <f>IF(FT!B1752&lt;&gt;"",FT!E1752,"")</f>
        <v/>
      </c>
      <c r="J1752" t="str">
        <f>IF(FT!B1752&lt;&gt;"",FT!C1752,"")</f>
        <v/>
      </c>
    </row>
    <row r="1753" spans="5:10">
      <c r="E1753">
        <f t="shared" si="67"/>
        <v>1751</v>
      </c>
      <c r="F1753" s="61" t="str">
        <f>IF(FT!A1753&lt;&gt;"",FT!A1753*10,"")</f>
        <v/>
      </c>
      <c r="G1753" s="61" t="str">
        <f>IF(FT!B1753&lt;&gt;"",FT!B1753*100,"")</f>
        <v/>
      </c>
      <c r="H1753" s="61" t="str">
        <f t="shared" si="66"/>
        <v/>
      </c>
      <c r="I1753" t="str">
        <f>IF(FT!B1753&lt;&gt;"",FT!E1753,"")</f>
        <v/>
      </c>
      <c r="J1753" t="str">
        <f>IF(FT!B1753&lt;&gt;"",FT!C1753,"")</f>
        <v/>
      </c>
    </row>
    <row r="1754" spans="5:10">
      <c r="E1754">
        <f t="shared" si="67"/>
        <v>1752</v>
      </c>
      <c r="F1754" s="61" t="str">
        <f>IF(FT!A1754&lt;&gt;"",FT!A1754*10,"")</f>
        <v/>
      </c>
      <c r="G1754" s="61" t="str">
        <f>IF(FT!B1754&lt;&gt;"",FT!B1754*100,"")</f>
        <v/>
      </c>
      <c r="H1754" s="61" t="str">
        <f t="shared" si="66"/>
        <v/>
      </c>
      <c r="I1754" t="str">
        <f>IF(FT!B1754&lt;&gt;"",FT!E1754,"")</f>
        <v/>
      </c>
      <c r="J1754" t="str">
        <f>IF(FT!B1754&lt;&gt;"",FT!C1754,"")</f>
        <v/>
      </c>
    </row>
    <row r="1755" spans="5:10">
      <c r="E1755">
        <f t="shared" si="67"/>
        <v>1753</v>
      </c>
      <c r="F1755" s="61" t="str">
        <f>IF(FT!A1755&lt;&gt;"",FT!A1755*10,"")</f>
        <v/>
      </c>
      <c r="G1755" s="61" t="str">
        <f>IF(FT!B1755&lt;&gt;"",FT!B1755*100,"")</f>
        <v/>
      </c>
      <c r="H1755" s="61" t="str">
        <f t="shared" si="66"/>
        <v/>
      </c>
      <c r="I1755" t="str">
        <f>IF(FT!B1755&lt;&gt;"",FT!E1755,"")</f>
        <v/>
      </c>
      <c r="J1755" t="str">
        <f>IF(FT!B1755&lt;&gt;"",FT!C1755,"")</f>
        <v/>
      </c>
    </row>
    <row r="1756" spans="5:10">
      <c r="E1756">
        <f t="shared" si="67"/>
        <v>1754</v>
      </c>
      <c r="F1756" s="61" t="str">
        <f>IF(FT!A1756&lt;&gt;"",FT!A1756*10,"")</f>
        <v/>
      </c>
      <c r="G1756" s="61" t="str">
        <f>IF(FT!B1756&lt;&gt;"",FT!B1756*100,"")</f>
        <v/>
      </c>
      <c r="H1756" s="61" t="str">
        <f t="shared" si="66"/>
        <v/>
      </c>
      <c r="I1756" t="str">
        <f>IF(FT!B1756&lt;&gt;"",FT!E1756,"")</f>
        <v/>
      </c>
      <c r="J1756" t="str">
        <f>IF(FT!B1756&lt;&gt;"",FT!C1756,"")</f>
        <v/>
      </c>
    </row>
    <row r="1757" spans="5:10">
      <c r="E1757">
        <f t="shared" si="67"/>
        <v>1755</v>
      </c>
      <c r="F1757" s="61" t="str">
        <f>IF(FT!A1757&lt;&gt;"",FT!A1757*10,"")</f>
        <v/>
      </c>
      <c r="G1757" s="61" t="str">
        <f>IF(FT!B1757&lt;&gt;"",FT!B1757*100,"")</f>
        <v/>
      </c>
      <c r="H1757" s="61" t="str">
        <f t="shared" si="66"/>
        <v/>
      </c>
      <c r="I1757" t="str">
        <f>IF(FT!B1757&lt;&gt;"",FT!E1757,"")</f>
        <v/>
      </c>
      <c r="J1757" t="str">
        <f>IF(FT!B1757&lt;&gt;"",FT!C1757,"")</f>
        <v/>
      </c>
    </row>
    <row r="1758" spans="5:10">
      <c r="E1758">
        <f t="shared" si="67"/>
        <v>1756</v>
      </c>
      <c r="F1758" s="61" t="str">
        <f>IF(FT!A1758&lt;&gt;"",FT!A1758*10,"")</f>
        <v/>
      </c>
      <c r="G1758" s="61" t="str">
        <f>IF(FT!B1758&lt;&gt;"",FT!B1758*100,"")</f>
        <v/>
      </c>
      <c r="H1758" s="61" t="str">
        <f t="shared" si="66"/>
        <v/>
      </c>
      <c r="I1758" t="str">
        <f>IF(FT!B1758&lt;&gt;"",FT!E1758,"")</f>
        <v/>
      </c>
      <c r="J1758" t="str">
        <f>IF(FT!B1758&lt;&gt;"",FT!C1758,"")</f>
        <v/>
      </c>
    </row>
    <row r="1759" spans="5:10">
      <c r="E1759">
        <f t="shared" si="67"/>
        <v>1757</v>
      </c>
      <c r="F1759" s="61" t="str">
        <f>IF(FT!A1759&lt;&gt;"",FT!A1759*10,"")</f>
        <v/>
      </c>
      <c r="G1759" s="61" t="str">
        <f>IF(FT!B1759&lt;&gt;"",FT!B1759*100,"")</f>
        <v/>
      </c>
      <c r="H1759" s="61" t="str">
        <f t="shared" si="66"/>
        <v/>
      </c>
      <c r="I1759" t="str">
        <f>IF(FT!B1759&lt;&gt;"",FT!E1759,"")</f>
        <v/>
      </c>
      <c r="J1759" t="str">
        <f>IF(FT!B1759&lt;&gt;"",FT!C1759,"")</f>
        <v/>
      </c>
    </row>
    <row r="1760" spans="5:10">
      <c r="E1760">
        <f t="shared" si="67"/>
        <v>1758</v>
      </c>
      <c r="F1760" s="61" t="str">
        <f>IF(FT!A1760&lt;&gt;"",FT!A1760*10,"")</f>
        <v/>
      </c>
      <c r="G1760" s="61" t="str">
        <f>IF(FT!B1760&lt;&gt;"",FT!B1760*100,"")</f>
        <v/>
      </c>
      <c r="H1760" s="61" t="str">
        <f t="shared" si="66"/>
        <v/>
      </c>
      <c r="I1760" t="str">
        <f>IF(FT!B1760&lt;&gt;"",FT!E1760,"")</f>
        <v/>
      </c>
      <c r="J1760" t="str">
        <f>IF(FT!B1760&lt;&gt;"",FT!C1760,"")</f>
        <v/>
      </c>
    </row>
    <row r="1761" spans="5:10">
      <c r="E1761">
        <f t="shared" si="67"/>
        <v>1759</v>
      </c>
      <c r="F1761" s="61" t="str">
        <f>IF(FT!A1761&lt;&gt;"",FT!A1761*10,"")</f>
        <v/>
      </c>
      <c r="G1761" s="61" t="str">
        <f>IF(FT!B1761&lt;&gt;"",FT!B1761*100,"")</f>
        <v/>
      </c>
      <c r="H1761" s="61" t="str">
        <f t="shared" si="66"/>
        <v/>
      </c>
      <c r="I1761" t="str">
        <f>IF(FT!B1761&lt;&gt;"",FT!E1761,"")</f>
        <v/>
      </c>
      <c r="J1761" t="str">
        <f>IF(FT!B1761&lt;&gt;"",FT!C1761,"")</f>
        <v/>
      </c>
    </row>
    <row r="1762" spans="5:10">
      <c r="E1762">
        <f t="shared" si="67"/>
        <v>1760</v>
      </c>
      <c r="F1762" s="61" t="str">
        <f>IF(FT!A1762&lt;&gt;"",FT!A1762*10,"")</f>
        <v/>
      </c>
      <c r="G1762" s="61" t="str">
        <f>IF(FT!B1762&lt;&gt;"",FT!B1762*100,"")</f>
        <v/>
      </c>
      <c r="H1762" s="61" t="str">
        <f t="shared" si="66"/>
        <v/>
      </c>
      <c r="I1762" t="str">
        <f>IF(FT!B1762&lt;&gt;"",FT!E1762,"")</f>
        <v/>
      </c>
      <c r="J1762" t="str">
        <f>IF(FT!B1762&lt;&gt;"",FT!C1762,"")</f>
        <v/>
      </c>
    </row>
    <row r="1763" spans="5:10">
      <c r="E1763">
        <f t="shared" si="67"/>
        <v>1761</v>
      </c>
      <c r="F1763" s="61" t="str">
        <f>IF(FT!A1763&lt;&gt;"",FT!A1763*10,"")</f>
        <v/>
      </c>
      <c r="G1763" s="61" t="str">
        <f>IF(FT!B1763&lt;&gt;"",FT!B1763*100,"")</f>
        <v/>
      </c>
      <c r="H1763" s="61" t="str">
        <f t="shared" si="66"/>
        <v/>
      </c>
      <c r="I1763" t="str">
        <f>IF(FT!B1763&lt;&gt;"",FT!E1763,"")</f>
        <v/>
      </c>
      <c r="J1763" t="str">
        <f>IF(FT!B1763&lt;&gt;"",FT!C1763,"")</f>
        <v/>
      </c>
    </row>
    <row r="1764" spans="5:10">
      <c r="E1764">
        <f t="shared" si="67"/>
        <v>1762</v>
      </c>
      <c r="F1764" s="61" t="str">
        <f>IF(FT!A1764&lt;&gt;"",FT!A1764*10,"")</f>
        <v/>
      </c>
      <c r="G1764" s="61" t="str">
        <f>IF(FT!B1764&lt;&gt;"",FT!B1764*100,"")</f>
        <v/>
      </c>
      <c r="H1764" s="61" t="str">
        <f t="shared" si="66"/>
        <v/>
      </c>
      <c r="I1764" t="str">
        <f>IF(FT!B1764&lt;&gt;"",FT!E1764,"")</f>
        <v/>
      </c>
      <c r="J1764" t="str">
        <f>IF(FT!B1764&lt;&gt;"",FT!C1764,"")</f>
        <v/>
      </c>
    </row>
    <row r="1765" spans="5:10">
      <c r="E1765">
        <f t="shared" si="67"/>
        <v>1763</v>
      </c>
      <c r="F1765" s="61" t="str">
        <f>IF(FT!A1765&lt;&gt;"",FT!A1765*10,"")</f>
        <v/>
      </c>
      <c r="G1765" s="61" t="str">
        <f>IF(FT!B1765&lt;&gt;"",FT!B1765*100,"")</f>
        <v/>
      </c>
      <c r="H1765" s="61" t="str">
        <f t="shared" si="66"/>
        <v/>
      </c>
      <c r="I1765" t="str">
        <f>IF(FT!B1765&lt;&gt;"",FT!E1765,"")</f>
        <v/>
      </c>
      <c r="J1765" t="str">
        <f>IF(FT!B1765&lt;&gt;"",FT!C1765,"")</f>
        <v/>
      </c>
    </row>
    <row r="1766" spans="5:10">
      <c r="E1766">
        <f t="shared" si="67"/>
        <v>1764</v>
      </c>
      <c r="F1766" s="61" t="str">
        <f>IF(FT!A1766&lt;&gt;"",FT!A1766*10,"")</f>
        <v/>
      </c>
      <c r="G1766" s="61" t="str">
        <f>IF(FT!B1766&lt;&gt;"",FT!B1766*100,"")</f>
        <v/>
      </c>
      <c r="H1766" s="61" t="str">
        <f t="shared" si="66"/>
        <v/>
      </c>
      <c r="I1766" t="str">
        <f>IF(FT!B1766&lt;&gt;"",FT!E1766,"")</f>
        <v/>
      </c>
      <c r="J1766" t="str">
        <f>IF(FT!B1766&lt;&gt;"",FT!C1766,"")</f>
        <v/>
      </c>
    </row>
    <row r="1767" spans="5:10">
      <c r="E1767">
        <f t="shared" si="67"/>
        <v>1765</v>
      </c>
      <c r="F1767" s="61" t="str">
        <f>IF(FT!A1767&lt;&gt;"",FT!A1767*10,"")</f>
        <v/>
      </c>
      <c r="G1767" s="61" t="str">
        <f>IF(FT!B1767&lt;&gt;"",FT!B1767*100,"")</f>
        <v/>
      </c>
      <c r="H1767" s="61" t="str">
        <f t="shared" si="66"/>
        <v/>
      </c>
      <c r="I1767" t="str">
        <f>IF(FT!B1767&lt;&gt;"",FT!E1767,"")</f>
        <v/>
      </c>
      <c r="J1767" t="str">
        <f>IF(FT!B1767&lt;&gt;"",FT!C1767,"")</f>
        <v/>
      </c>
    </row>
    <row r="1768" spans="5:10">
      <c r="E1768">
        <f t="shared" si="67"/>
        <v>1766</v>
      </c>
      <c r="F1768" s="61" t="str">
        <f>IF(FT!A1768&lt;&gt;"",FT!A1768*10,"")</f>
        <v/>
      </c>
      <c r="G1768" s="61" t="str">
        <f>IF(FT!B1768&lt;&gt;"",FT!B1768*100,"")</f>
        <v/>
      </c>
      <c r="H1768" s="61" t="str">
        <f t="shared" si="66"/>
        <v/>
      </c>
      <c r="I1768" t="str">
        <f>IF(FT!B1768&lt;&gt;"",FT!E1768,"")</f>
        <v/>
      </c>
      <c r="J1768" t="str">
        <f>IF(FT!B1768&lt;&gt;"",FT!C1768,"")</f>
        <v/>
      </c>
    </row>
    <row r="1769" spans="5:10">
      <c r="E1769">
        <f t="shared" si="67"/>
        <v>1767</v>
      </c>
      <c r="F1769" s="61" t="str">
        <f>IF(FT!A1769&lt;&gt;"",FT!A1769*10,"")</f>
        <v/>
      </c>
      <c r="G1769" s="61" t="str">
        <f>IF(FT!B1769&lt;&gt;"",FT!B1769*100,"")</f>
        <v/>
      </c>
      <c r="H1769" s="61" t="str">
        <f t="shared" si="66"/>
        <v/>
      </c>
      <c r="I1769" t="str">
        <f>IF(FT!B1769&lt;&gt;"",FT!E1769,"")</f>
        <v/>
      </c>
      <c r="J1769" t="str">
        <f>IF(FT!B1769&lt;&gt;"",FT!C1769,"")</f>
        <v/>
      </c>
    </row>
    <row r="1770" spans="5:10">
      <c r="E1770">
        <f t="shared" si="67"/>
        <v>1768</v>
      </c>
      <c r="F1770" s="61" t="str">
        <f>IF(FT!A1770&lt;&gt;"",FT!A1770*10,"")</f>
        <v/>
      </c>
      <c r="G1770" s="61" t="str">
        <f>IF(FT!B1770&lt;&gt;"",FT!B1770*100,"")</f>
        <v/>
      </c>
      <c r="H1770" s="61" t="str">
        <f t="shared" si="66"/>
        <v/>
      </c>
      <c r="I1770" t="str">
        <f>IF(FT!B1770&lt;&gt;"",FT!E1770,"")</f>
        <v/>
      </c>
      <c r="J1770" t="str">
        <f>IF(FT!B1770&lt;&gt;"",FT!C1770,"")</f>
        <v/>
      </c>
    </row>
    <row r="1771" spans="5:10">
      <c r="E1771">
        <f t="shared" si="67"/>
        <v>1769</v>
      </c>
      <c r="F1771" s="61" t="str">
        <f>IF(FT!A1771&lt;&gt;"",FT!A1771*10,"")</f>
        <v/>
      </c>
      <c r="G1771" s="61" t="str">
        <f>IF(FT!B1771&lt;&gt;"",FT!B1771*100,"")</f>
        <v/>
      </c>
      <c r="H1771" s="61" t="str">
        <f t="shared" si="66"/>
        <v/>
      </c>
      <c r="I1771" t="str">
        <f>IF(FT!B1771&lt;&gt;"",FT!E1771,"")</f>
        <v/>
      </c>
      <c r="J1771" t="str">
        <f>IF(FT!B1771&lt;&gt;"",FT!C1771,"")</f>
        <v/>
      </c>
    </row>
    <row r="1772" spans="5:10">
      <c r="E1772">
        <f t="shared" si="67"/>
        <v>1770</v>
      </c>
      <c r="F1772" s="61" t="str">
        <f>IF(FT!A1772&lt;&gt;"",FT!A1772*10,"")</f>
        <v/>
      </c>
      <c r="G1772" s="61" t="str">
        <f>IF(FT!B1772&lt;&gt;"",FT!B1772*100,"")</f>
        <v/>
      </c>
      <c r="H1772" s="61" t="str">
        <f t="shared" si="66"/>
        <v/>
      </c>
      <c r="I1772" t="str">
        <f>IF(FT!B1772&lt;&gt;"",FT!E1772,"")</f>
        <v/>
      </c>
      <c r="J1772" t="str">
        <f>IF(FT!B1772&lt;&gt;"",FT!C1772,"")</f>
        <v/>
      </c>
    </row>
    <row r="1773" spans="5:10">
      <c r="E1773">
        <f t="shared" si="67"/>
        <v>1771</v>
      </c>
      <c r="F1773" s="61" t="str">
        <f>IF(FT!A1773&lt;&gt;"",FT!A1773*10,"")</f>
        <v/>
      </c>
      <c r="G1773" s="61" t="str">
        <f>IF(FT!B1773&lt;&gt;"",FT!B1773*100,"")</f>
        <v/>
      </c>
      <c r="H1773" s="61" t="str">
        <f t="shared" si="66"/>
        <v/>
      </c>
      <c r="I1773" t="str">
        <f>IF(FT!B1773&lt;&gt;"",FT!E1773,"")</f>
        <v/>
      </c>
      <c r="J1773" t="str">
        <f>IF(FT!B1773&lt;&gt;"",FT!C1773,"")</f>
        <v/>
      </c>
    </row>
    <row r="1774" spans="5:10">
      <c r="E1774">
        <f t="shared" si="67"/>
        <v>1772</v>
      </c>
      <c r="F1774" s="61" t="str">
        <f>IF(FT!A1774&lt;&gt;"",FT!A1774*10,"")</f>
        <v/>
      </c>
      <c r="G1774" s="61" t="str">
        <f>IF(FT!B1774&lt;&gt;"",FT!B1774*100,"")</f>
        <v/>
      </c>
      <c r="H1774" s="61" t="str">
        <f t="shared" si="66"/>
        <v/>
      </c>
      <c r="I1774" t="str">
        <f>IF(FT!B1774&lt;&gt;"",FT!E1774,"")</f>
        <v/>
      </c>
      <c r="J1774" t="str">
        <f>IF(FT!B1774&lt;&gt;"",FT!C1774,"")</f>
        <v/>
      </c>
    </row>
    <row r="1775" spans="5:10">
      <c r="E1775">
        <f t="shared" si="67"/>
        <v>1773</v>
      </c>
      <c r="F1775" s="61" t="str">
        <f>IF(FT!A1775&lt;&gt;"",FT!A1775*10,"")</f>
        <v/>
      </c>
      <c r="G1775" s="61" t="str">
        <f>IF(FT!B1775&lt;&gt;"",FT!B1775*100,"")</f>
        <v/>
      </c>
      <c r="H1775" s="61" t="str">
        <f t="shared" si="66"/>
        <v/>
      </c>
      <c r="I1775" t="str">
        <f>IF(FT!B1775&lt;&gt;"",FT!E1775,"")</f>
        <v/>
      </c>
      <c r="J1775" t="str">
        <f>IF(FT!B1775&lt;&gt;"",FT!C1775,"")</f>
        <v/>
      </c>
    </row>
    <row r="1776" spans="5:10">
      <c r="E1776">
        <f t="shared" si="67"/>
        <v>1774</v>
      </c>
      <c r="F1776" s="61" t="str">
        <f>IF(FT!A1776&lt;&gt;"",FT!A1776*10,"")</f>
        <v/>
      </c>
      <c r="G1776" s="61" t="str">
        <f>IF(FT!B1776&lt;&gt;"",FT!B1776*100,"")</f>
        <v/>
      </c>
      <c r="H1776" s="61" t="str">
        <f t="shared" si="66"/>
        <v/>
      </c>
      <c r="I1776" t="str">
        <f>IF(FT!B1776&lt;&gt;"",FT!E1776,"")</f>
        <v/>
      </c>
      <c r="J1776" t="str">
        <f>IF(FT!B1776&lt;&gt;"",FT!C1776,"")</f>
        <v/>
      </c>
    </row>
    <row r="1777" spans="5:10">
      <c r="E1777">
        <f t="shared" si="67"/>
        <v>1775</v>
      </c>
      <c r="F1777" s="61" t="str">
        <f>IF(FT!A1777&lt;&gt;"",FT!A1777*10,"")</f>
        <v/>
      </c>
      <c r="G1777" s="61" t="str">
        <f>IF(FT!B1777&lt;&gt;"",FT!B1777*100,"")</f>
        <v/>
      </c>
      <c r="H1777" s="61" t="str">
        <f t="shared" si="66"/>
        <v/>
      </c>
      <c r="I1777" t="str">
        <f>IF(FT!B1777&lt;&gt;"",FT!E1777,"")</f>
        <v/>
      </c>
      <c r="J1777" t="str">
        <f>IF(FT!B1777&lt;&gt;"",FT!C1777,"")</f>
        <v/>
      </c>
    </row>
    <row r="1778" spans="5:10">
      <c r="E1778">
        <f t="shared" si="67"/>
        <v>1776</v>
      </c>
      <c r="F1778" s="61" t="str">
        <f>IF(FT!A1778&lt;&gt;"",FT!A1778*10,"")</f>
        <v/>
      </c>
      <c r="G1778" s="61" t="str">
        <f>IF(FT!B1778&lt;&gt;"",FT!B1778*100,"")</f>
        <v/>
      </c>
      <c r="H1778" s="61" t="str">
        <f t="shared" si="66"/>
        <v/>
      </c>
      <c r="I1778" t="str">
        <f>IF(FT!B1778&lt;&gt;"",FT!E1778,"")</f>
        <v/>
      </c>
      <c r="J1778" t="str">
        <f>IF(FT!B1778&lt;&gt;"",FT!C1778,"")</f>
        <v/>
      </c>
    </row>
    <row r="1779" spans="5:10">
      <c r="E1779">
        <f t="shared" si="67"/>
        <v>1777</v>
      </c>
      <c r="F1779" s="61" t="str">
        <f>IF(FT!A1779&lt;&gt;"",FT!A1779*10,"")</f>
        <v/>
      </c>
      <c r="G1779" s="61" t="str">
        <f>IF(FT!B1779&lt;&gt;"",FT!B1779*100,"")</f>
        <v/>
      </c>
      <c r="H1779" s="61" t="str">
        <f t="shared" si="66"/>
        <v/>
      </c>
      <c r="I1779" t="str">
        <f>IF(FT!B1779&lt;&gt;"",FT!E1779,"")</f>
        <v/>
      </c>
      <c r="J1779" t="str">
        <f>IF(FT!B1779&lt;&gt;"",FT!C1779,"")</f>
        <v/>
      </c>
    </row>
    <row r="1780" spans="5:10">
      <c r="E1780">
        <f t="shared" si="67"/>
        <v>1778</v>
      </c>
      <c r="F1780" s="61" t="str">
        <f>IF(FT!A1780&lt;&gt;"",FT!A1780*10,"")</f>
        <v/>
      </c>
      <c r="G1780" s="61" t="str">
        <f>IF(FT!B1780&lt;&gt;"",FT!B1780*100,"")</f>
        <v/>
      </c>
      <c r="H1780" s="61" t="str">
        <f t="shared" si="66"/>
        <v/>
      </c>
      <c r="I1780" t="str">
        <f>IF(FT!B1780&lt;&gt;"",FT!E1780,"")</f>
        <v/>
      </c>
      <c r="J1780" t="str">
        <f>IF(FT!B1780&lt;&gt;"",FT!C1780,"")</f>
        <v/>
      </c>
    </row>
    <row r="1781" spans="5:10">
      <c r="E1781">
        <f t="shared" si="67"/>
        <v>1779</v>
      </c>
      <c r="F1781" s="61" t="str">
        <f>IF(FT!A1781&lt;&gt;"",FT!A1781*10,"")</f>
        <v/>
      </c>
      <c r="G1781" s="61" t="str">
        <f>IF(FT!B1781&lt;&gt;"",FT!B1781*100,"")</f>
        <v/>
      </c>
      <c r="H1781" s="61" t="str">
        <f t="shared" si="66"/>
        <v/>
      </c>
      <c r="I1781" t="str">
        <f>IF(FT!B1781&lt;&gt;"",FT!E1781,"")</f>
        <v/>
      </c>
      <c r="J1781" t="str">
        <f>IF(FT!B1781&lt;&gt;"",FT!C1781,"")</f>
        <v/>
      </c>
    </row>
    <row r="1782" spans="5:10">
      <c r="E1782">
        <f t="shared" si="67"/>
        <v>1780</v>
      </c>
      <c r="F1782" s="61" t="str">
        <f>IF(FT!A1782&lt;&gt;"",FT!A1782*10,"")</f>
        <v/>
      </c>
      <c r="G1782" s="61" t="str">
        <f>IF(FT!B1782&lt;&gt;"",FT!B1782*100,"")</f>
        <v/>
      </c>
      <c r="H1782" s="61" t="str">
        <f t="shared" si="66"/>
        <v/>
      </c>
      <c r="I1782" t="str">
        <f>IF(FT!B1782&lt;&gt;"",FT!E1782,"")</f>
        <v/>
      </c>
      <c r="J1782" t="str">
        <f>IF(FT!B1782&lt;&gt;"",FT!C1782,"")</f>
        <v/>
      </c>
    </row>
    <row r="1783" spans="5:10">
      <c r="E1783">
        <f t="shared" si="67"/>
        <v>1781</v>
      </c>
      <c r="F1783" s="61" t="str">
        <f>IF(FT!A1783&lt;&gt;"",FT!A1783*10,"")</f>
        <v/>
      </c>
      <c r="G1783" s="61" t="str">
        <f>IF(FT!B1783&lt;&gt;"",FT!B1783*100,"")</f>
        <v/>
      </c>
      <c r="H1783" s="61" t="str">
        <f t="shared" si="66"/>
        <v/>
      </c>
      <c r="I1783" t="str">
        <f>IF(FT!B1783&lt;&gt;"",FT!E1783,"")</f>
        <v/>
      </c>
      <c r="J1783" t="str">
        <f>IF(FT!B1783&lt;&gt;"",FT!C1783,"")</f>
        <v/>
      </c>
    </row>
    <row r="1784" spans="5:10">
      <c r="E1784">
        <f t="shared" si="67"/>
        <v>1782</v>
      </c>
      <c r="F1784" s="61" t="str">
        <f>IF(FT!A1784&lt;&gt;"",FT!A1784*10,"")</f>
        <v/>
      </c>
      <c r="G1784" s="61" t="str">
        <f>IF(FT!B1784&lt;&gt;"",FT!B1784*100,"")</f>
        <v/>
      </c>
      <c r="H1784" s="61" t="str">
        <f t="shared" si="66"/>
        <v/>
      </c>
      <c r="I1784" t="str">
        <f>IF(FT!B1784&lt;&gt;"",FT!E1784,"")</f>
        <v/>
      </c>
      <c r="J1784" t="str">
        <f>IF(FT!B1784&lt;&gt;"",FT!C1784,"")</f>
        <v/>
      </c>
    </row>
    <row r="1785" spans="5:10">
      <c r="E1785">
        <f t="shared" si="67"/>
        <v>1783</v>
      </c>
      <c r="F1785" s="61" t="str">
        <f>IF(FT!A1785&lt;&gt;"",FT!A1785*10,"")</f>
        <v/>
      </c>
      <c r="G1785" s="61" t="str">
        <f>IF(FT!B1785&lt;&gt;"",FT!B1785*100,"")</f>
        <v/>
      </c>
      <c r="H1785" s="61" t="str">
        <f t="shared" si="66"/>
        <v/>
      </c>
      <c r="I1785" t="str">
        <f>IF(FT!B1785&lt;&gt;"",FT!E1785,"")</f>
        <v/>
      </c>
      <c r="J1785" t="str">
        <f>IF(FT!B1785&lt;&gt;"",FT!C1785,"")</f>
        <v/>
      </c>
    </row>
    <row r="1786" spans="5:10">
      <c r="E1786">
        <f t="shared" si="67"/>
        <v>1784</v>
      </c>
      <c r="F1786" s="61" t="str">
        <f>IF(FT!A1786&lt;&gt;"",FT!A1786*10,"")</f>
        <v/>
      </c>
      <c r="G1786" s="61" t="str">
        <f>IF(FT!B1786&lt;&gt;"",FT!B1786*100,"")</f>
        <v/>
      </c>
      <c r="H1786" s="61" t="str">
        <f t="shared" si="66"/>
        <v/>
      </c>
      <c r="I1786" t="str">
        <f>IF(FT!B1786&lt;&gt;"",FT!E1786,"")</f>
        <v/>
      </c>
      <c r="J1786" t="str">
        <f>IF(FT!B1786&lt;&gt;"",FT!C1786,"")</f>
        <v/>
      </c>
    </row>
    <row r="1787" spans="5:10">
      <c r="E1787">
        <f t="shared" si="67"/>
        <v>1785</v>
      </c>
      <c r="F1787" s="61" t="str">
        <f>IF(FT!A1787&lt;&gt;"",FT!A1787*10,"")</f>
        <v/>
      </c>
      <c r="G1787" s="61" t="str">
        <f>IF(FT!B1787&lt;&gt;"",FT!B1787*100,"")</f>
        <v/>
      </c>
      <c r="H1787" s="61" t="str">
        <f t="shared" si="66"/>
        <v/>
      </c>
      <c r="I1787" t="str">
        <f>IF(FT!B1787&lt;&gt;"",FT!E1787,"")</f>
        <v/>
      </c>
      <c r="J1787" t="str">
        <f>IF(FT!B1787&lt;&gt;"",FT!C1787,"")</f>
        <v/>
      </c>
    </row>
    <row r="1788" spans="5:10">
      <c r="E1788">
        <f t="shared" si="67"/>
        <v>1786</v>
      </c>
      <c r="F1788" s="61" t="str">
        <f>IF(FT!A1788&lt;&gt;"",FT!A1788*10,"")</f>
        <v/>
      </c>
      <c r="G1788" s="61" t="str">
        <f>IF(FT!B1788&lt;&gt;"",FT!B1788*100,"")</f>
        <v/>
      </c>
      <c r="H1788" s="61" t="str">
        <f t="shared" si="66"/>
        <v/>
      </c>
      <c r="I1788" t="str">
        <f>IF(FT!B1788&lt;&gt;"",FT!E1788,"")</f>
        <v/>
      </c>
      <c r="J1788" t="str">
        <f>IF(FT!B1788&lt;&gt;"",FT!C1788,"")</f>
        <v/>
      </c>
    </row>
    <row r="1789" spans="5:10">
      <c r="E1789">
        <f t="shared" si="67"/>
        <v>1787</v>
      </c>
      <c r="F1789" s="61" t="str">
        <f>IF(FT!A1789&lt;&gt;"",FT!A1789*10,"")</f>
        <v/>
      </c>
      <c r="G1789" s="61" t="str">
        <f>IF(FT!B1789&lt;&gt;"",FT!B1789*100,"")</f>
        <v/>
      </c>
      <c r="H1789" s="61" t="str">
        <f t="shared" si="66"/>
        <v/>
      </c>
      <c r="I1789" t="str">
        <f>IF(FT!B1789&lt;&gt;"",FT!E1789,"")</f>
        <v/>
      </c>
      <c r="J1789" t="str">
        <f>IF(FT!B1789&lt;&gt;"",FT!C1789,"")</f>
        <v/>
      </c>
    </row>
    <row r="1790" spans="5:10">
      <c r="E1790">
        <f t="shared" si="67"/>
        <v>1788</v>
      </c>
      <c r="F1790" s="61" t="str">
        <f>IF(FT!A1790&lt;&gt;"",FT!A1790*10,"")</f>
        <v/>
      </c>
      <c r="G1790" s="61" t="str">
        <f>IF(FT!B1790&lt;&gt;"",FT!B1790*100,"")</f>
        <v/>
      </c>
      <c r="H1790" s="61" t="str">
        <f t="shared" si="66"/>
        <v/>
      </c>
      <c r="I1790" t="str">
        <f>IF(FT!B1790&lt;&gt;"",FT!E1790,"")</f>
        <v/>
      </c>
      <c r="J1790" t="str">
        <f>IF(FT!B1790&lt;&gt;"",FT!C1790,"")</f>
        <v/>
      </c>
    </row>
    <row r="1791" spans="5:10">
      <c r="E1791">
        <f t="shared" si="67"/>
        <v>1789</v>
      </c>
      <c r="F1791" s="61" t="str">
        <f>IF(FT!A1791&lt;&gt;"",FT!A1791*10,"")</f>
        <v/>
      </c>
      <c r="G1791" s="61" t="str">
        <f>IF(FT!B1791&lt;&gt;"",FT!B1791*100,"")</f>
        <v/>
      </c>
      <c r="H1791" s="61" t="str">
        <f t="shared" si="66"/>
        <v/>
      </c>
      <c r="I1791" t="str">
        <f>IF(FT!B1791&lt;&gt;"",FT!E1791,"")</f>
        <v/>
      </c>
      <c r="J1791" t="str">
        <f>IF(FT!B1791&lt;&gt;"",FT!C1791,"")</f>
        <v/>
      </c>
    </row>
    <row r="1792" spans="5:10">
      <c r="E1792">
        <f t="shared" si="67"/>
        <v>1790</v>
      </c>
      <c r="F1792" s="61" t="str">
        <f>IF(FT!A1792&lt;&gt;"",FT!A1792*10,"")</f>
        <v/>
      </c>
      <c r="G1792" s="61" t="str">
        <f>IF(FT!B1792&lt;&gt;"",FT!B1792*100,"")</f>
        <v/>
      </c>
      <c r="H1792" s="61" t="str">
        <f t="shared" si="66"/>
        <v/>
      </c>
      <c r="I1792" t="str">
        <f>IF(FT!B1792&lt;&gt;"",FT!E1792,"")</f>
        <v/>
      </c>
      <c r="J1792" t="str">
        <f>IF(FT!B1792&lt;&gt;"",FT!C1792,"")</f>
        <v/>
      </c>
    </row>
    <row r="1793" spans="5:10">
      <c r="E1793">
        <f t="shared" si="67"/>
        <v>1791</v>
      </c>
      <c r="F1793" s="61" t="str">
        <f>IF(FT!A1793&lt;&gt;"",FT!A1793*10,"")</f>
        <v/>
      </c>
      <c r="G1793" s="61" t="str">
        <f>IF(FT!B1793&lt;&gt;"",FT!B1793*100,"")</f>
        <v/>
      </c>
      <c r="H1793" s="61" t="str">
        <f t="shared" si="66"/>
        <v/>
      </c>
      <c r="I1793" t="str">
        <f>IF(FT!B1793&lt;&gt;"",FT!E1793,"")</f>
        <v/>
      </c>
      <c r="J1793" t="str">
        <f>IF(FT!B1793&lt;&gt;"",FT!C1793,"")</f>
        <v/>
      </c>
    </row>
    <row r="1794" spans="5:10">
      <c r="E1794">
        <f t="shared" si="67"/>
        <v>1792</v>
      </c>
      <c r="F1794" s="61" t="str">
        <f>IF(FT!A1794&lt;&gt;"",FT!A1794*10,"")</f>
        <v/>
      </c>
      <c r="G1794" s="61" t="str">
        <f>IF(FT!B1794&lt;&gt;"",FT!B1794*100,"")</f>
        <v/>
      </c>
      <c r="H1794" s="61" t="str">
        <f t="shared" si="66"/>
        <v/>
      </c>
      <c r="I1794" t="str">
        <f>IF(FT!B1794&lt;&gt;"",FT!E1794,"")</f>
        <v/>
      </c>
      <c r="J1794" t="str">
        <f>IF(FT!B1794&lt;&gt;"",FT!C1794,"")</f>
        <v/>
      </c>
    </row>
    <row r="1795" spans="5:10">
      <c r="E1795">
        <f t="shared" si="67"/>
        <v>1793</v>
      </c>
      <c r="F1795" s="61" t="str">
        <f>IF(FT!A1795&lt;&gt;"",FT!A1795*10,"")</f>
        <v/>
      </c>
      <c r="G1795" s="61" t="str">
        <f>IF(FT!B1795&lt;&gt;"",FT!B1795*100,"")</f>
        <v/>
      </c>
      <c r="H1795" s="61" t="str">
        <f t="shared" ref="H1795:H1858" si="68">(IF(F1795&lt;&gt;"",1,""))</f>
        <v/>
      </c>
      <c r="I1795" t="str">
        <f>IF(FT!B1795&lt;&gt;"",FT!E1795,"")</f>
        <v/>
      </c>
      <c r="J1795" t="str">
        <f>IF(FT!B1795&lt;&gt;"",FT!C1795,"")</f>
        <v/>
      </c>
    </row>
    <row r="1796" spans="5:10">
      <c r="E1796">
        <f t="shared" ref="E1796:E1859" si="69">E1795+1</f>
        <v>1794</v>
      </c>
      <c r="F1796" s="61" t="str">
        <f>IF(FT!A1796&lt;&gt;"",FT!A1796*10,"")</f>
        <v/>
      </c>
      <c r="G1796" s="61" t="str">
        <f>IF(FT!B1796&lt;&gt;"",FT!B1796*100,"")</f>
        <v/>
      </c>
      <c r="H1796" s="61" t="str">
        <f t="shared" si="68"/>
        <v/>
      </c>
      <c r="I1796" t="str">
        <f>IF(FT!B1796&lt;&gt;"",FT!E1796,"")</f>
        <v/>
      </c>
      <c r="J1796" t="str">
        <f>IF(FT!B1796&lt;&gt;"",FT!C1796,"")</f>
        <v/>
      </c>
    </row>
    <row r="1797" spans="5:10">
      <c r="E1797">
        <f t="shared" si="69"/>
        <v>1795</v>
      </c>
      <c r="F1797" s="61" t="str">
        <f>IF(FT!A1797&lt;&gt;"",FT!A1797*10,"")</f>
        <v/>
      </c>
      <c r="G1797" s="61" t="str">
        <f>IF(FT!B1797&lt;&gt;"",FT!B1797*100,"")</f>
        <v/>
      </c>
      <c r="H1797" s="61" t="str">
        <f t="shared" si="68"/>
        <v/>
      </c>
      <c r="I1797" t="str">
        <f>IF(FT!B1797&lt;&gt;"",FT!E1797,"")</f>
        <v/>
      </c>
      <c r="J1797" t="str">
        <f>IF(FT!B1797&lt;&gt;"",FT!C1797,"")</f>
        <v/>
      </c>
    </row>
    <row r="1798" spans="5:10">
      <c r="E1798">
        <f t="shared" si="69"/>
        <v>1796</v>
      </c>
      <c r="F1798" s="61" t="str">
        <f>IF(FT!A1798&lt;&gt;"",FT!A1798*10,"")</f>
        <v/>
      </c>
      <c r="G1798" s="61" t="str">
        <f>IF(FT!B1798&lt;&gt;"",FT!B1798*100,"")</f>
        <v/>
      </c>
      <c r="H1798" s="61" t="str">
        <f t="shared" si="68"/>
        <v/>
      </c>
      <c r="I1798" t="str">
        <f>IF(FT!B1798&lt;&gt;"",FT!E1798,"")</f>
        <v/>
      </c>
      <c r="J1798" t="str">
        <f>IF(FT!B1798&lt;&gt;"",FT!C1798,"")</f>
        <v/>
      </c>
    </row>
    <row r="1799" spans="5:10">
      <c r="E1799">
        <f t="shared" si="69"/>
        <v>1797</v>
      </c>
      <c r="F1799" s="61" t="str">
        <f>IF(FT!A1799&lt;&gt;"",FT!A1799*10,"")</f>
        <v/>
      </c>
      <c r="G1799" s="61" t="str">
        <f>IF(FT!B1799&lt;&gt;"",FT!B1799*100,"")</f>
        <v/>
      </c>
      <c r="H1799" s="61" t="str">
        <f t="shared" si="68"/>
        <v/>
      </c>
      <c r="I1799" t="str">
        <f>IF(FT!B1799&lt;&gt;"",FT!E1799,"")</f>
        <v/>
      </c>
      <c r="J1799" t="str">
        <f>IF(FT!B1799&lt;&gt;"",FT!C1799,"")</f>
        <v/>
      </c>
    </row>
    <row r="1800" spans="5:10">
      <c r="E1800">
        <f t="shared" si="69"/>
        <v>1798</v>
      </c>
      <c r="F1800" s="61" t="str">
        <f>IF(FT!A1800&lt;&gt;"",FT!A1800*10,"")</f>
        <v/>
      </c>
      <c r="G1800" s="61" t="str">
        <f>IF(FT!B1800&lt;&gt;"",FT!B1800*100,"")</f>
        <v/>
      </c>
      <c r="H1800" s="61" t="str">
        <f t="shared" si="68"/>
        <v/>
      </c>
      <c r="I1800" t="str">
        <f>IF(FT!B1800&lt;&gt;"",FT!E1800,"")</f>
        <v/>
      </c>
      <c r="J1800" t="str">
        <f>IF(FT!B1800&lt;&gt;"",FT!C1800,"")</f>
        <v/>
      </c>
    </row>
    <row r="1801" spans="5:10">
      <c r="E1801">
        <f t="shared" si="69"/>
        <v>1799</v>
      </c>
      <c r="F1801" s="61" t="str">
        <f>IF(FT!A1801&lt;&gt;"",FT!A1801*10,"")</f>
        <v/>
      </c>
      <c r="G1801" s="61" t="str">
        <f>IF(FT!B1801&lt;&gt;"",FT!B1801*100,"")</f>
        <v/>
      </c>
      <c r="H1801" s="61" t="str">
        <f t="shared" si="68"/>
        <v/>
      </c>
      <c r="I1801" t="str">
        <f>IF(FT!B1801&lt;&gt;"",FT!E1801,"")</f>
        <v/>
      </c>
      <c r="J1801" t="str">
        <f>IF(FT!B1801&lt;&gt;"",FT!C1801,"")</f>
        <v/>
      </c>
    </row>
    <row r="1802" spans="5:10">
      <c r="E1802">
        <f t="shared" si="69"/>
        <v>1800</v>
      </c>
      <c r="F1802" s="61" t="str">
        <f>IF(FT!A1802&lt;&gt;"",FT!A1802*10,"")</f>
        <v/>
      </c>
      <c r="G1802" s="61" t="str">
        <f>IF(FT!B1802&lt;&gt;"",FT!B1802*100,"")</f>
        <v/>
      </c>
      <c r="H1802" s="61" t="str">
        <f t="shared" si="68"/>
        <v/>
      </c>
      <c r="I1802" t="str">
        <f>IF(FT!B1802&lt;&gt;"",FT!E1802,"")</f>
        <v/>
      </c>
      <c r="J1802" t="str">
        <f>IF(FT!B1802&lt;&gt;"",FT!C1802,"")</f>
        <v/>
      </c>
    </row>
    <row r="1803" spans="5:10">
      <c r="E1803">
        <f t="shared" si="69"/>
        <v>1801</v>
      </c>
      <c r="F1803" s="61" t="str">
        <f>IF(FT!A1803&lt;&gt;"",FT!A1803*10,"")</f>
        <v/>
      </c>
      <c r="G1803" s="61" t="str">
        <f>IF(FT!B1803&lt;&gt;"",FT!B1803*100,"")</f>
        <v/>
      </c>
      <c r="H1803" s="61" t="str">
        <f t="shared" si="68"/>
        <v/>
      </c>
      <c r="I1803" t="str">
        <f>IF(FT!B1803&lt;&gt;"",FT!E1803,"")</f>
        <v/>
      </c>
      <c r="J1803" t="str">
        <f>IF(FT!B1803&lt;&gt;"",FT!C1803,"")</f>
        <v/>
      </c>
    </row>
    <row r="1804" spans="5:10">
      <c r="E1804">
        <f t="shared" si="69"/>
        <v>1802</v>
      </c>
      <c r="F1804" s="61" t="str">
        <f>IF(FT!A1804&lt;&gt;"",FT!A1804*10,"")</f>
        <v/>
      </c>
      <c r="G1804" s="61" t="str">
        <f>IF(FT!B1804&lt;&gt;"",FT!B1804*100,"")</f>
        <v/>
      </c>
      <c r="H1804" s="61" t="str">
        <f t="shared" si="68"/>
        <v/>
      </c>
      <c r="I1804" t="str">
        <f>IF(FT!B1804&lt;&gt;"",FT!E1804,"")</f>
        <v/>
      </c>
      <c r="J1804" t="str">
        <f>IF(FT!B1804&lt;&gt;"",FT!C1804,"")</f>
        <v/>
      </c>
    </row>
    <row r="1805" spans="5:10">
      <c r="E1805">
        <f t="shared" si="69"/>
        <v>1803</v>
      </c>
      <c r="F1805" s="61" t="str">
        <f>IF(FT!A1805&lt;&gt;"",FT!A1805*10,"")</f>
        <v/>
      </c>
      <c r="G1805" s="61" t="str">
        <f>IF(FT!B1805&lt;&gt;"",FT!B1805*100,"")</f>
        <v/>
      </c>
      <c r="H1805" s="61" t="str">
        <f t="shared" si="68"/>
        <v/>
      </c>
      <c r="I1805" t="str">
        <f>IF(FT!B1805&lt;&gt;"",FT!E1805,"")</f>
        <v/>
      </c>
      <c r="J1805" t="str">
        <f>IF(FT!B1805&lt;&gt;"",FT!C1805,"")</f>
        <v/>
      </c>
    </row>
    <row r="1806" spans="5:10">
      <c r="E1806">
        <f t="shared" si="69"/>
        <v>1804</v>
      </c>
      <c r="F1806" s="61" t="str">
        <f>IF(FT!A1806&lt;&gt;"",FT!A1806*10,"")</f>
        <v/>
      </c>
      <c r="G1806" s="61" t="str">
        <f>IF(FT!B1806&lt;&gt;"",FT!B1806*100,"")</f>
        <v/>
      </c>
      <c r="H1806" s="61" t="str">
        <f t="shared" si="68"/>
        <v/>
      </c>
      <c r="I1806" t="str">
        <f>IF(FT!B1806&lt;&gt;"",FT!E1806,"")</f>
        <v/>
      </c>
      <c r="J1806" t="str">
        <f>IF(FT!B1806&lt;&gt;"",FT!C1806,"")</f>
        <v/>
      </c>
    </row>
    <row r="1807" spans="5:10">
      <c r="E1807">
        <f t="shared" si="69"/>
        <v>1805</v>
      </c>
      <c r="F1807" s="61" t="str">
        <f>IF(FT!A1807&lt;&gt;"",FT!A1807*10,"")</f>
        <v/>
      </c>
      <c r="G1807" s="61" t="str">
        <f>IF(FT!B1807&lt;&gt;"",FT!B1807*100,"")</f>
        <v/>
      </c>
      <c r="H1807" s="61" t="str">
        <f t="shared" si="68"/>
        <v/>
      </c>
      <c r="I1807" t="str">
        <f>IF(FT!B1807&lt;&gt;"",FT!E1807,"")</f>
        <v/>
      </c>
      <c r="J1807" t="str">
        <f>IF(FT!B1807&lt;&gt;"",FT!C1807,"")</f>
        <v/>
      </c>
    </row>
    <row r="1808" spans="5:10">
      <c r="E1808">
        <f t="shared" si="69"/>
        <v>1806</v>
      </c>
      <c r="F1808" s="61" t="str">
        <f>IF(FT!A1808&lt;&gt;"",FT!A1808*10,"")</f>
        <v/>
      </c>
      <c r="G1808" s="61" t="str">
        <f>IF(FT!B1808&lt;&gt;"",FT!B1808*100,"")</f>
        <v/>
      </c>
      <c r="H1808" s="61" t="str">
        <f t="shared" si="68"/>
        <v/>
      </c>
      <c r="I1808" t="str">
        <f>IF(FT!B1808&lt;&gt;"",FT!E1808,"")</f>
        <v/>
      </c>
      <c r="J1808" t="str">
        <f>IF(FT!B1808&lt;&gt;"",FT!C1808,"")</f>
        <v/>
      </c>
    </row>
    <row r="1809" spans="5:10">
      <c r="E1809">
        <f t="shared" si="69"/>
        <v>1807</v>
      </c>
      <c r="F1809" s="61" t="str">
        <f>IF(FT!A1809&lt;&gt;"",FT!A1809*10,"")</f>
        <v/>
      </c>
      <c r="G1809" s="61" t="str">
        <f>IF(FT!B1809&lt;&gt;"",FT!B1809*100,"")</f>
        <v/>
      </c>
      <c r="H1809" s="61" t="str">
        <f t="shared" si="68"/>
        <v/>
      </c>
      <c r="I1809" t="str">
        <f>IF(FT!B1809&lt;&gt;"",FT!E1809,"")</f>
        <v/>
      </c>
      <c r="J1809" t="str">
        <f>IF(FT!B1809&lt;&gt;"",FT!C1809,"")</f>
        <v/>
      </c>
    </row>
    <row r="1810" spans="5:10">
      <c r="E1810">
        <f t="shared" si="69"/>
        <v>1808</v>
      </c>
      <c r="F1810" s="61" t="str">
        <f>IF(FT!A1810&lt;&gt;"",FT!A1810*10,"")</f>
        <v/>
      </c>
      <c r="G1810" s="61" t="str">
        <f>IF(FT!B1810&lt;&gt;"",FT!B1810*100,"")</f>
        <v/>
      </c>
      <c r="H1810" s="61" t="str">
        <f t="shared" si="68"/>
        <v/>
      </c>
      <c r="I1810" t="str">
        <f>IF(FT!B1810&lt;&gt;"",FT!E1810,"")</f>
        <v/>
      </c>
      <c r="J1810" t="str">
        <f>IF(FT!B1810&lt;&gt;"",FT!C1810,"")</f>
        <v/>
      </c>
    </row>
    <row r="1811" spans="5:10">
      <c r="E1811">
        <f t="shared" si="69"/>
        <v>1809</v>
      </c>
      <c r="F1811" s="61" t="str">
        <f>IF(FT!A1811&lt;&gt;"",FT!A1811*10,"")</f>
        <v/>
      </c>
      <c r="G1811" s="61" t="str">
        <f>IF(FT!B1811&lt;&gt;"",FT!B1811*100,"")</f>
        <v/>
      </c>
      <c r="H1811" s="61" t="str">
        <f t="shared" si="68"/>
        <v/>
      </c>
      <c r="I1811" t="str">
        <f>IF(FT!B1811&lt;&gt;"",FT!E1811,"")</f>
        <v/>
      </c>
      <c r="J1811" t="str">
        <f>IF(FT!B1811&lt;&gt;"",FT!C1811,"")</f>
        <v/>
      </c>
    </row>
    <row r="1812" spans="5:10">
      <c r="E1812">
        <f t="shared" si="69"/>
        <v>1810</v>
      </c>
      <c r="F1812" s="61" t="str">
        <f>IF(FT!A1812&lt;&gt;"",FT!A1812*10,"")</f>
        <v/>
      </c>
      <c r="G1812" s="61" t="str">
        <f>IF(FT!B1812&lt;&gt;"",FT!B1812*100,"")</f>
        <v/>
      </c>
      <c r="H1812" s="61" t="str">
        <f t="shared" si="68"/>
        <v/>
      </c>
      <c r="I1812" t="str">
        <f>IF(FT!B1812&lt;&gt;"",FT!E1812,"")</f>
        <v/>
      </c>
      <c r="J1812" t="str">
        <f>IF(FT!B1812&lt;&gt;"",FT!C1812,"")</f>
        <v/>
      </c>
    </row>
    <row r="1813" spans="5:10">
      <c r="E1813">
        <f t="shared" si="69"/>
        <v>1811</v>
      </c>
      <c r="F1813" s="61" t="str">
        <f>IF(FT!A1813&lt;&gt;"",FT!A1813*10,"")</f>
        <v/>
      </c>
      <c r="G1813" s="61" t="str">
        <f>IF(FT!B1813&lt;&gt;"",FT!B1813*100,"")</f>
        <v/>
      </c>
      <c r="H1813" s="61" t="str">
        <f t="shared" si="68"/>
        <v/>
      </c>
      <c r="I1813" t="str">
        <f>IF(FT!B1813&lt;&gt;"",FT!E1813,"")</f>
        <v/>
      </c>
      <c r="J1813" t="str">
        <f>IF(FT!B1813&lt;&gt;"",FT!C1813,"")</f>
        <v/>
      </c>
    </row>
    <row r="1814" spans="5:10">
      <c r="E1814">
        <f t="shared" si="69"/>
        <v>1812</v>
      </c>
      <c r="F1814" s="61" t="str">
        <f>IF(FT!A1814&lt;&gt;"",FT!A1814*10,"")</f>
        <v/>
      </c>
      <c r="G1814" s="61" t="str">
        <f>IF(FT!B1814&lt;&gt;"",FT!B1814*100,"")</f>
        <v/>
      </c>
      <c r="H1814" s="61" t="str">
        <f t="shared" si="68"/>
        <v/>
      </c>
      <c r="I1814" t="str">
        <f>IF(FT!B1814&lt;&gt;"",FT!E1814,"")</f>
        <v/>
      </c>
      <c r="J1814" t="str">
        <f>IF(FT!B1814&lt;&gt;"",FT!C1814,"")</f>
        <v/>
      </c>
    </row>
    <row r="1815" spans="5:10">
      <c r="E1815">
        <f t="shared" si="69"/>
        <v>1813</v>
      </c>
      <c r="F1815" s="61" t="str">
        <f>IF(FT!A1815&lt;&gt;"",FT!A1815*10,"")</f>
        <v/>
      </c>
      <c r="G1815" s="61" t="str">
        <f>IF(FT!B1815&lt;&gt;"",FT!B1815*100,"")</f>
        <v/>
      </c>
      <c r="H1815" s="61" t="str">
        <f t="shared" si="68"/>
        <v/>
      </c>
      <c r="I1815" t="str">
        <f>IF(FT!B1815&lt;&gt;"",FT!E1815,"")</f>
        <v/>
      </c>
      <c r="J1815" t="str">
        <f>IF(FT!B1815&lt;&gt;"",FT!C1815,"")</f>
        <v/>
      </c>
    </row>
    <row r="1816" spans="5:10">
      <c r="E1816">
        <f t="shared" si="69"/>
        <v>1814</v>
      </c>
      <c r="F1816" s="61" t="str">
        <f>IF(FT!A1816&lt;&gt;"",FT!A1816*10,"")</f>
        <v/>
      </c>
      <c r="G1816" s="61" t="str">
        <f>IF(FT!B1816&lt;&gt;"",FT!B1816*100,"")</f>
        <v/>
      </c>
      <c r="H1816" s="61" t="str">
        <f t="shared" si="68"/>
        <v/>
      </c>
      <c r="I1816" t="str">
        <f>IF(FT!B1816&lt;&gt;"",FT!E1816,"")</f>
        <v/>
      </c>
      <c r="J1816" t="str">
        <f>IF(FT!B1816&lt;&gt;"",FT!C1816,"")</f>
        <v/>
      </c>
    </row>
    <row r="1817" spans="5:10">
      <c r="E1817">
        <f t="shared" si="69"/>
        <v>1815</v>
      </c>
      <c r="F1817" s="61" t="str">
        <f>IF(FT!A1817&lt;&gt;"",FT!A1817*10,"")</f>
        <v/>
      </c>
      <c r="G1817" s="61" t="str">
        <f>IF(FT!B1817&lt;&gt;"",FT!B1817*100,"")</f>
        <v/>
      </c>
      <c r="H1817" s="61" t="str">
        <f t="shared" si="68"/>
        <v/>
      </c>
      <c r="I1817" t="str">
        <f>IF(FT!B1817&lt;&gt;"",FT!E1817,"")</f>
        <v/>
      </c>
      <c r="J1817" t="str">
        <f>IF(FT!B1817&lt;&gt;"",FT!C1817,"")</f>
        <v/>
      </c>
    </row>
    <row r="1818" spans="5:10">
      <c r="E1818">
        <f t="shared" si="69"/>
        <v>1816</v>
      </c>
      <c r="F1818" s="61" t="str">
        <f>IF(FT!A1818&lt;&gt;"",FT!A1818*10,"")</f>
        <v/>
      </c>
      <c r="G1818" s="61" t="str">
        <f>IF(FT!B1818&lt;&gt;"",FT!B1818*100,"")</f>
        <v/>
      </c>
      <c r="H1818" s="61" t="str">
        <f t="shared" si="68"/>
        <v/>
      </c>
      <c r="I1818" t="str">
        <f>IF(FT!B1818&lt;&gt;"",FT!E1818,"")</f>
        <v/>
      </c>
      <c r="J1818" t="str">
        <f>IF(FT!B1818&lt;&gt;"",FT!C1818,"")</f>
        <v/>
      </c>
    </row>
    <row r="1819" spans="5:10">
      <c r="E1819">
        <f t="shared" si="69"/>
        <v>1817</v>
      </c>
      <c r="F1819" s="61" t="str">
        <f>IF(FT!A1819&lt;&gt;"",FT!A1819*10,"")</f>
        <v/>
      </c>
      <c r="G1819" s="61" t="str">
        <f>IF(FT!B1819&lt;&gt;"",FT!B1819*100,"")</f>
        <v/>
      </c>
      <c r="H1819" s="61" t="str">
        <f t="shared" si="68"/>
        <v/>
      </c>
      <c r="I1819" t="str">
        <f>IF(FT!B1819&lt;&gt;"",FT!E1819,"")</f>
        <v/>
      </c>
      <c r="J1819" t="str">
        <f>IF(FT!B1819&lt;&gt;"",FT!C1819,"")</f>
        <v/>
      </c>
    </row>
    <row r="1820" spans="5:10">
      <c r="E1820">
        <f t="shared" si="69"/>
        <v>1818</v>
      </c>
      <c r="F1820" s="61" t="str">
        <f>IF(FT!A1820&lt;&gt;"",FT!A1820*10,"")</f>
        <v/>
      </c>
      <c r="G1820" s="61" t="str">
        <f>IF(FT!B1820&lt;&gt;"",FT!B1820*100,"")</f>
        <v/>
      </c>
      <c r="H1820" s="61" t="str">
        <f t="shared" si="68"/>
        <v/>
      </c>
      <c r="I1820" t="str">
        <f>IF(FT!B1820&lt;&gt;"",FT!E1820,"")</f>
        <v/>
      </c>
      <c r="J1820" t="str">
        <f>IF(FT!B1820&lt;&gt;"",FT!C1820,"")</f>
        <v/>
      </c>
    </row>
    <row r="1821" spans="5:10">
      <c r="E1821">
        <f t="shared" si="69"/>
        <v>1819</v>
      </c>
      <c r="F1821" s="61" t="str">
        <f>IF(FT!A1821&lt;&gt;"",FT!A1821*10,"")</f>
        <v/>
      </c>
      <c r="G1821" s="61" t="str">
        <f>IF(FT!B1821&lt;&gt;"",FT!B1821*100,"")</f>
        <v/>
      </c>
      <c r="H1821" s="61" t="str">
        <f t="shared" si="68"/>
        <v/>
      </c>
      <c r="I1821" t="str">
        <f>IF(FT!B1821&lt;&gt;"",FT!E1821,"")</f>
        <v/>
      </c>
      <c r="J1821" t="str">
        <f>IF(FT!B1821&lt;&gt;"",FT!C1821,"")</f>
        <v/>
      </c>
    </row>
    <row r="1822" spans="5:10">
      <c r="E1822">
        <f t="shared" si="69"/>
        <v>1820</v>
      </c>
      <c r="F1822" s="61" t="str">
        <f>IF(FT!A1822&lt;&gt;"",FT!A1822*10,"")</f>
        <v/>
      </c>
      <c r="G1822" s="61" t="str">
        <f>IF(FT!B1822&lt;&gt;"",FT!B1822*100,"")</f>
        <v/>
      </c>
      <c r="H1822" s="61" t="str">
        <f t="shared" si="68"/>
        <v/>
      </c>
      <c r="I1822" t="str">
        <f>IF(FT!B1822&lt;&gt;"",FT!E1822,"")</f>
        <v/>
      </c>
      <c r="J1822" t="str">
        <f>IF(FT!B1822&lt;&gt;"",FT!C1822,"")</f>
        <v/>
      </c>
    </row>
    <row r="1823" spans="5:10">
      <c r="E1823">
        <f t="shared" si="69"/>
        <v>1821</v>
      </c>
      <c r="F1823" s="61" t="str">
        <f>IF(FT!A1823&lt;&gt;"",FT!A1823*10,"")</f>
        <v/>
      </c>
      <c r="G1823" s="61" t="str">
        <f>IF(FT!B1823&lt;&gt;"",FT!B1823*100,"")</f>
        <v/>
      </c>
      <c r="H1823" s="61" t="str">
        <f t="shared" si="68"/>
        <v/>
      </c>
      <c r="I1823" t="str">
        <f>IF(FT!B1823&lt;&gt;"",FT!E1823,"")</f>
        <v/>
      </c>
      <c r="J1823" t="str">
        <f>IF(FT!B1823&lt;&gt;"",FT!C1823,"")</f>
        <v/>
      </c>
    </row>
    <row r="1824" spans="5:10">
      <c r="E1824">
        <f t="shared" si="69"/>
        <v>1822</v>
      </c>
      <c r="F1824" s="61" t="str">
        <f>IF(FT!A1824&lt;&gt;"",FT!A1824*10,"")</f>
        <v/>
      </c>
      <c r="G1824" s="61" t="str">
        <f>IF(FT!B1824&lt;&gt;"",FT!B1824*100,"")</f>
        <v/>
      </c>
      <c r="H1824" s="61" t="str">
        <f t="shared" si="68"/>
        <v/>
      </c>
      <c r="I1824" t="str">
        <f>IF(FT!B1824&lt;&gt;"",FT!E1824,"")</f>
        <v/>
      </c>
      <c r="J1824" t="str">
        <f>IF(FT!B1824&lt;&gt;"",FT!C1824,"")</f>
        <v/>
      </c>
    </row>
    <row r="1825" spans="5:10">
      <c r="E1825">
        <f t="shared" si="69"/>
        <v>1823</v>
      </c>
      <c r="F1825" s="61" t="str">
        <f>IF(FT!A1825&lt;&gt;"",FT!A1825*10,"")</f>
        <v/>
      </c>
      <c r="G1825" s="61" t="str">
        <f>IF(FT!B1825&lt;&gt;"",FT!B1825*100,"")</f>
        <v/>
      </c>
      <c r="H1825" s="61" t="str">
        <f t="shared" si="68"/>
        <v/>
      </c>
      <c r="I1825" t="str">
        <f>IF(FT!B1825&lt;&gt;"",FT!E1825,"")</f>
        <v/>
      </c>
      <c r="J1825" t="str">
        <f>IF(FT!B1825&lt;&gt;"",FT!C1825,"")</f>
        <v/>
      </c>
    </row>
    <row r="1826" spans="5:10">
      <c r="E1826">
        <f t="shared" si="69"/>
        <v>1824</v>
      </c>
      <c r="F1826" s="61" t="str">
        <f>IF(FT!A1826&lt;&gt;"",FT!A1826*10,"")</f>
        <v/>
      </c>
      <c r="G1826" s="61" t="str">
        <f>IF(FT!B1826&lt;&gt;"",FT!B1826*100,"")</f>
        <v/>
      </c>
      <c r="H1826" s="61" t="str">
        <f t="shared" si="68"/>
        <v/>
      </c>
      <c r="I1826" t="str">
        <f>IF(FT!B1826&lt;&gt;"",FT!E1826,"")</f>
        <v/>
      </c>
      <c r="J1826" t="str">
        <f>IF(FT!B1826&lt;&gt;"",FT!C1826,"")</f>
        <v/>
      </c>
    </row>
    <row r="1827" spans="5:10">
      <c r="E1827">
        <f t="shared" si="69"/>
        <v>1825</v>
      </c>
      <c r="F1827" s="61" t="str">
        <f>IF(FT!A1827&lt;&gt;"",FT!A1827*10,"")</f>
        <v/>
      </c>
      <c r="G1827" s="61" t="str">
        <f>IF(FT!B1827&lt;&gt;"",FT!B1827*100,"")</f>
        <v/>
      </c>
      <c r="H1827" s="61" t="str">
        <f t="shared" si="68"/>
        <v/>
      </c>
      <c r="I1827" t="str">
        <f>IF(FT!B1827&lt;&gt;"",FT!E1827,"")</f>
        <v/>
      </c>
      <c r="J1827" t="str">
        <f>IF(FT!B1827&lt;&gt;"",FT!C1827,"")</f>
        <v/>
      </c>
    </row>
    <row r="1828" spans="5:10">
      <c r="E1828">
        <f t="shared" si="69"/>
        <v>1826</v>
      </c>
      <c r="F1828" s="61" t="str">
        <f>IF(FT!A1828&lt;&gt;"",FT!A1828*10,"")</f>
        <v/>
      </c>
      <c r="G1828" s="61" t="str">
        <f>IF(FT!B1828&lt;&gt;"",FT!B1828*100,"")</f>
        <v/>
      </c>
      <c r="H1828" s="61" t="str">
        <f t="shared" si="68"/>
        <v/>
      </c>
      <c r="I1828" t="str">
        <f>IF(FT!B1828&lt;&gt;"",FT!E1828,"")</f>
        <v/>
      </c>
      <c r="J1828" t="str">
        <f>IF(FT!B1828&lt;&gt;"",FT!C1828,"")</f>
        <v/>
      </c>
    </row>
    <row r="1829" spans="5:10">
      <c r="E1829">
        <f t="shared" si="69"/>
        <v>1827</v>
      </c>
      <c r="F1829" s="61" t="str">
        <f>IF(FT!A1829&lt;&gt;"",FT!A1829*10,"")</f>
        <v/>
      </c>
      <c r="G1829" s="61" t="str">
        <f>IF(FT!B1829&lt;&gt;"",FT!B1829*100,"")</f>
        <v/>
      </c>
      <c r="H1829" s="61" t="str">
        <f t="shared" si="68"/>
        <v/>
      </c>
      <c r="I1829" t="str">
        <f>IF(FT!B1829&lt;&gt;"",FT!E1829,"")</f>
        <v/>
      </c>
      <c r="J1829" t="str">
        <f>IF(FT!B1829&lt;&gt;"",FT!C1829,"")</f>
        <v/>
      </c>
    </row>
    <row r="1830" spans="5:10">
      <c r="E1830">
        <f t="shared" si="69"/>
        <v>1828</v>
      </c>
      <c r="F1830" s="61" t="str">
        <f>IF(FT!A1830&lt;&gt;"",FT!A1830*10,"")</f>
        <v/>
      </c>
      <c r="G1830" s="61" t="str">
        <f>IF(FT!B1830&lt;&gt;"",FT!B1830*100,"")</f>
        <v/>
      </c>
      <c r="H1830" s="61" t="str">
        <f t="shared" si="68"/>
        <v/>
      </c>
      <c r="I1830" t="str">
        <f>IF(FT!B1830&lt;&gt;"",FT!E1830,"")</f>
        <v/>
      </c>
      <c r="J1830" t="str">
        <f>IF(FT!B1830&lt;&gt;"",FT!C1830,"")</f>
        <v/>
      </c>
    </row>
    <row r="1831" spans="5:10">
      <c r="E1831">
        <f t="shared" si="69"/>
        <v>1829</v>
      </c>
      <c r="F1831" s="61" t="str">
        <f>IF(FT!A1831&lt;&gt;"",FT!A1831*10,"")</f>
        <v/>
      </c>
      <c r="G1831" s="61" t="str">
        <f>IF(FT!B1831&lt;&gt;"",FT!B1831*100,"")</f>
        <v/>
      </c>
      <c r="H1831" s="61" t="str">
        <f t="shared" si="68"/>
        <v/>
      </c>
      <c r="I1831" t="str">
        <f>IF(FT!B1831&lt;&gt;"",FT!E1831,"")</f>
        <v/>
      </c>
      <c r="J1831" t="str">
        <f>IF(FT!B1831&lt;&gt;"",FT!C1831,"")</f>
        <v/>
      </c>
    </row>
    <row r="1832" spans="5:10">
      <c r="E1832">
        <f t="shared" si="69"/>
        <v>1830</v>
      </c>
      <c r="F1832" s="61" t="str">
        <f>IF(FT!A1832&lt;&gt;"",FT!A1832*10,"")</f>
        <v/>
      </c>
      <c r="G1832" s="61" t="str">
        <f>IF(FT!B1832&lt;&gt;"",FT!B1832*100,"")</f>
        <v/>
      </c>
      <c r="H1832" s="61" t="str">
        <f t="shared" si="68"/>
        <v/>
      </c>
      <c r="I1832" t="str">
        <f>IF(FT!B1832&lt;&gt;"",FT!E1832,"")</f>
        <v/>
      </c>
      <c r="J1832" t="str">
        <f>IF(FT!B1832&lt;&gt;"",FT!C1832,"")</f>
        <v/>
      </c>
    </row>
    <row r="1833" spans="5:10">
      <c r="E1833">
        <f t="shared" si="69"/>
        <v>1831</v>
      </c>
      <c r="F1833" s="61" t="str">
        <f>IF(FT!A1833&lt;&gt;"",FT!A1833*10,"")</f>
        <v/>
      </c>
      <c r="G1833" s="61" t="str">
        <f>IF(FT!B1833&lt;&gt;"",FT!B1833*100,"")</f>
        <v/>
      </c>
      <c r="H1833" s="61" t="str">
        <f t="shared" si="68"/>
        <v/>
      </c>
      <c r="I1833" t="str">
        <f>IF(FT!B1833&lt;&gt;"",FT!E1833,"")</f>
        <v/>
      </c>
      <c r="J1833" t="str">
        <f>IF(FT!B1833&lt;&gt;"",FT!C1833,"")</f>
        <v/>
      </c>
    </row>
    <row r="1834" spans="5:10">
      <c r="E1834">
        <f t="shared" si="69"/>
        <v>1832</v>
      </c>
      <c r="F1834" s="61" t="str">
        <f>IF(FT!A1834&lt;&gt;"",FT!A1834*10,"")</f>
        <v/>
      </c>
      <c r="G1834" s="61" t="str">
        <f>IF(FT!B1834&lt;&gt;"",FT!B1834*100,"")</f>
        <v/>
      </c>
      <c r="H1834" s="61" t="str">
        <f t="shared" si="68"/>
        <v/>
      </c>
      <c r="I1834" t="str">
        <f>IF(FT!B1834&lt;&gt;"",FT!E1834,"")</f>
        <v/>
      </c>
      <c r="J1834" t="str">
        <f>IF(FT!B1834&lt;&gt;"",FT!C1834,"")</f>
        <v/>
      </c>
    </row>
    <row r="1835" spans="5:10">
      <c r="E1835">
        <f t="shared" si="69"/>
        <v>1833</v>
      </c>
      <c r="F1835" s="61" t="str">
        <f>IF(FT!A1835&lt;&gt;"",FT!A1835*10,"")</f>
        <v/>
      </c>
      <c r="G1835" s="61" t="str">
        <f>IF(FT!B1835&lt;&gt;"",FT!B1835*100,"")</f>
        <v/>
      </c>
      <c r="H1835" s="61" t="str">
        <f t="shared" si="68"/>
        <v/>
      </c>
      <c r="I1835" t="str">
        <f>IF(FT!B1835&lt;&gt;"",FT!E1835,"")</f>
        <v/>
      </c>
      <c r="J1835" t="str">
        <f>IF(FT!B1835&lt;&gt;"",FT!C1835,"")</f>
        <v/>
      </c>
    </row>
    <row r="1836" spans="5:10">
      <c r="E1836">
        <f t="shared" si="69"/>
        <v>1834</v>
      </c>
      <c r="F1836" s="61" t="str">
        <f>IF(FT!A1836&lt;&gt;"",FT!A1836*10,"")</f>
        <v/>
      </c>
      <c r="G1836" s="61" t="str">
        <f>IF(FT!B1836&lt;&gt;"",FT!B1836*100,"")</f>
        <v/>
      </c>
      <c r="H1836" s="61" t="str">
        <f t="shared" si="68"/>
        <v/>
      </c>
      <c r="I1836" t="str">
        <f>IF(FT!B1836&lt;&gt;"",FT!E1836,"")</f>
        <v/>
      </c>
      <c r="J1836" t="str">
        <f>IF(FT!B1836&lt;&gt;"",FT!C1836,"")</f>
        <v/>
      </c>
    </row>
    <row r="1837" spans="5:10">
      <c r="E1837">
        <f t="shared" si="69"/>
        <v>1835</v>
      </c>
      <c r="F1837" s="61" t="str">
        <f>IF(FT!A1837&lt;&gt;"",FT!A1837*10,"")</f>
        <v/>
      </c>
      <c r="G1837" s="61" t="str">
        <f>IF(FT!B1837&lt;&gt;"",FT!B1837*100,"")</f>
        <v/>
      </c>
      <c r="H1837" s="61" t="str">
        <f t="shared" si="68"/>
        <v/>
      </c>
      <c r="I1837" t="str">
        <f>IF(FT!B1837&lt;&gt;"",FT!E1837,"")</f>
        <v/>
      </c>
      <c r="J1837" t="str">
        <f>IF(FT!B1837&lt;&gt;"",FT!C1837,"")</f>
        <v/>
      </c>
    </row>
    <row r="1838" spans="5:10">
      <c r="E1838">
        <f t="shared" si="69"/>
        <v>1836</v>
      </c>
      <c r="F1838" s="61" t="str">
        <f>IF(FT!A1838&lt;&gt;"",FT!A1838*10,"")</f>
        <v/>
      </c>
      <c r="G1838" s="61" t="str">
        <f>IF(FT!B1838&lt;&gt;"",FT!B1838*100,"")</f>
        <v/>
      </c>
      <c r="H1838" s="61" t="str">
        <f t="shared" si="68"/>
        <v/>
      </c>
      <c r="I1838" t="str">
        <f>IF(FT!B1838&lt;&gt;"",FT!E1838,"")</f>
        <v/>
      </c>
      <c r="J1838" t="str">
        <f>IF(FT!B1838&lt;&gt;"",FT!C1838,"")</f>
        <v/>
      </c>
    </row>
    <row r="1839" spans="5:10">
      <c r="E1839">
        <f t="shared" si="69"/>
        <v>1837</v>
      </c>
      <c r="F1839" s="61" t="str">
        <f>IF(FT!A1839&lt;&gt;"",FT!A1839*10,"")</f>
        <v/>
      </c>
      <c r="G1839" s="61" t="str">
        <f>IF(FT!B1839&lt;&gt;"",FT!B1839*100,"")</f>
        <v/>
      </c>
      <c r="H1839" s="61" t="str">
        <f t="shared" si="68"/>
        <v/>
      </c>
      <c r="I1839" t="str">
        <f>IF(FT!B1839&lt;&gt;"",FT!E1839,"")</f>
        <v/>
      </c>
      <c r="J1839" t="str">
        <f>IF(FT!B1839&lt;&gt;"",FT!C1839,"")</f>
        <v/>
      </c>
    </row>
    <row r="1840" spans="5:10">
      <c r="E1840">
        <f t="shared" si="69"/>
        <v>1838</v>
      </c>
      <c r="F1840" s="61" t="str">
        <f>IF(FT!A1840&lt;&gt;"",FT!A1840*10,"")</f>
        <v/>
      </c>
      <c r="G1840" s="61" t="str">
        <f>IF(FT!B1840&lt;&gt;"",FT!B1840*100,"")</f>
        <v/>
      </c>
      <c r="H1840" s="61" t="str">
        <f t="shared" si="68"/>
        <v/>
      </c>
      <c r="I1840" t="str">
        <f>IF(FT!B1840&lt;&gt;"",FT!E1840,"")</f>
        <v/>
      </c>
      <c r="J1840" t="str">
        <f>IF(FT!B1840&lt;&gt;"",FT!C1840,"")</f>
        <v/>
      </c>
    </row>
    <row r="1841" spans="5:10">
      <c r="E1841">
        <f t="shared" si="69"/>
        <v>1839</v>
      </c>
      <c r="F1841" s="61" t="str">
        <f>IF(FT!A1841&lt;&gt;"",FT!A1841*10,"")</f>
        <v/>
      </c>
      <c r="G1841" s="61" t="str">
        <f>IF(FT!B1841&lt;&gt;"",FT!B1841*100,"")</f>
        <v/>
      </c>
      <c r="H1841" s="61" t="str">
        <f t="shared" si="68"/>
        <v/>
      </c>
      <c r="I1841" t="str">
        <f>IF(FT!B1841&lt;&gt;"",FT!E1841,"")</f>
        <v/>
      </c>
      <c r="J1841" t="str">
        <f>IF(FT!B1841&lt;&gt;"",FT!C1841,"")</f>
        <v/>
      </c>
    </row>
    <row r="1842" spans="5:10">
      <c r="E1842">
        <f t="shared" si="69"/>
        <v>1840</v>
      </c>
      <c r="F1842" s="61" t="str">
        <f>IF(FT!A1842&lt;&gt;"",FT!A1842*10,"")</f>
        <v/>
      </c>
      <c r="G1842" s="61" t="str">
        <f>IF(FT!B1842&lt;&gt;"",FT!B1842*100,"")</f>
        <v/>
      </c>
      <c r="H1842" s="61" t="str">
        <f t="shared" si="68"/>
        <v/>
      </c>
      <c r="I1842" t="str">
        <f>IF(FT!B1842&lt;&gt;"",FT!E1842,"")</f>
        <v/>
      </c>
      <c r="J1842" t="str">
        <f>IF(FT!B1842&lt;&gt;"",FT!C1842,"")</f>
        <v/>
      </c>
    </row>
    <row r="1843" spans="5:10">
      <c r="E1843">
        <f t="shared" si="69"/>
        <v>1841</v>
      </c>
      <c r="F1843" s="61" t="str">
        <f>IF(FT!A1843&lt;&gt;"",FT!A1843*10,"")</f>
        <v/>
      </c>
      <c r="G1843" s="61" t="str">
        <f>IF(FT!B1843&lt;&gt;"",FT!B1843*100,"")</f>
        <v/>
      </c>
      <c r="H1843" s="61" t="str">
        <f t="shared" si="68"/>
        <v/>
      </c>
      <c r="I1843" t="str">
        <f>IF(FT!B1843&lt;&gt;"",FT!E1843,"")</f>
        <v/>
      </c>
      <c r="J1843" t="str">
        <f>IF(FT!B1843&lt;&gt;"",FT!C1843,"")</f>
        <v/>
      </c>
    </row>
    <row r="1844" spans="5:10">
      <c r="E1844">
        <f t="shared" si="69"/>
        <v>1842</v>
      </c>
      <c r="F1844" s="61" t="str">
        <f>IF(FT!A1844&lt;&gt;"",FT!A1844*10,"")</f>
        <v/>
      </c>
      <c r="G1844" s="61" t="str">
        <f>IF(FT!B1844&lt;&gt;"",FT!B1844*100,"")</f>
        <v/>
      </c>
      <c r="H1844" s="61" t="str">
        <f t="shared" si="68"/>
        <v/>
      </c>
      <c r="I1844" t="str">
        <f>IF(FT!B1844&lt;&gt;"",FT!E1844,"")</f>
        <v/>
      </c>
      <c r="J1844" t="str">
        <f>IF(FT!B1844&lt;&gt;"",FT!C1844,"")</f>
        <v/>
      </c>
    </row>
    <row r="1845" spans="5:10">
      <c r="E1845">
        <f t="shared" si="69"/>
        <v>1843</v>
      </c>
      <c r="F1845" s="61" t="str">
        <f>IF(FT!A1845&lt;&gt;"",FT!A1845*10,"")</f>
        <v/>
      </c>
      <c r="G1845" s="61" t="str">
        <f>IF(FT!B1845&lt;&gt;"",FT!B1845*100,"")</f>
        <v/>
      </c>
      <c r="H1845" s="61" t="str">
        <f t="shared" si="68"/>
        <v/>
      </c>
      <c r="I1845" t="str">
        <f>IF(FT!B1845&lt;&gt;"",FT!E1845,"")</f>
        <v/>
      </c>
      <c r="J1845" t="str">
        <f>IF(FT!B1845&lt;&gt;"",FT!C1845,"")</f>
        <v/>
      </c>
    </row>
    <row r="1846" spans="5:10">
      <c r="E1846">
        <f t="shared" si="69"/>
        <v>1844</v>
      </c>
      <c r="F1846" s="61" t="str">
        <f>IF(FT!A1846&lt;&gt;"",FT!A1846*10,"")</f>
        <v/>
      </c>
      <c r="G1846" s="61" t="str">
        <f>IF(FT!B1846&lt;&gt;"",FT!B1846*100,"")</f>
        <v/>
      </c>
      <c r="H1846" s="61" t="str">
        <f t="shared" si="68"/>
        <v/>
      </c>
      <c r="I1846" t="str">
        <f>IF(FT!B1846&lt;&gt;"",FT!E1846,"")</f>
        <v/>
      </c>
      <c r="J1846" t="str">
        <f>IF(FT!B1846&lt;&gt;"",FT!C1846,"")</f>
        <v/>
      </c>
    </row>
    <row r="1847" spans="5:10">
      <c r="E1847">
        <f t="shared" si="69"/>
        <v>1845</v>
      </c>
      <c r="F1847" s="61" t="str">
        <f>IF(FT!A1847&lt;&gt;"",FT!A1847*10,"")</f>
        <v/>
      </c>
      <c r="G1847" s="61" t="str">
        <f>IF(FT!B1847&lt;&gt;"",FT!B1847*100,"")</f>
        <v/>
      </c>
      <c r="H1847" s="61" t="str">
        <f t="shared" si="68"/>
        <v/>
      </c>
      <c r="I1847" t="str">
        <f>IF(FT!B1847&lt;&gt;"",FT!E1847,"")</f>
        <v/>
      </c>
      <c r="J1847" t="str">
        <f>IF(FT!B1847&lt;&gt;"",FT!C1847,"")</f>
        <v/>
      </c>
    </row>
    <row r="1848" spans="5:10">
      <c r="E1848">
        <f t="shared" si="69"/>
        <v>1846</v>
      </c>
      <c r="F1848" s="61" t="str">
        <f>IF(FT!A1848&lt;&gt;"",FT!A1848*10,"")</f>
        <v/>
      </c>
      <c r="G1848" s="61" t="str">
        <f>IF(FT!B1848&lt;&gt;"",FT!B1848*100,"")</f>
        <v/>
      </c>
      <c r="H1848" s="61" t="str">
        <f t="shared" si="68"/>
        <v/>
      </c>
      <c r="I1848" t="str">
        <f>IF(FT!B1848&lt;&gt;"",FT!E1848,"")</f>
        <v/>
      </c>
      <c r="J1848" t="str">
        <f>IF(FT!B1848&lt;&gt;"",FT!C1848,"")</f>
        <v/>
      </c>
    </row>
    <row r="1849" spans="5:10">
      <c r="E1849">
        <f t="shared" si="69"/>
        <v>1847</v>
      </c>
      <c r="F1849" s="61" t="str">
        <f>IF(FT!A1849&lt;&gt;"",FT!A1849*10,"")</f>
        <v/>
      </c>
      <c r="G1849" s="61" t="str">
        <f>IF(FT!B1849&lt;&gt;"",FT!B1849*100,"")</f>
        <v/>
      </c>
      <c r="H1849" s="61" t="str">
        <f t="shared" si="68"/>
        <v/>
      </c>
      <c r="I1849" t="str">
        <f>IF(FT!B1849&lt;&gt;"",FT!E1849,"")</f>
        <v/>
      </c>
      <c r="J1849" t="str">
        <f>IF(FT!B1849&lt;&gt;"",FT!C1849,"")</f>
        <v/>
      </c>
    </row>
    <row r="1850" spans="5:10">
      <c r="E1850">
        <f t="shared" si="69"/>
        <v>1848</v>
      </c>
      <c r="F1850" s="61" t="str">
        <f>IF(FT!A1850&lt;&gt;"",FT!A1850*10,"")</f>
        <v/>
      </c>
      <c r="G1850" s="61" t="str">
        <f>IF(FT!B1850&lt;&gt;"",FT!B1850*100,"")</f>
        <v/>
      </c>
      <c r="H1850" s="61" t="str">
        <f t="shared" si="68"/>
        <v/>
      </c>
      <c r="I1850" t="str">
        <f>IF(FT!B1850&lt;&gt;"",FT!E1850,"")</f>
        <v/>
      </c>
      <c r="J1850" t="str">
        <f>IF(FT!B1850&lt;&gt;"",FT!C1850,"")</f>
        <v/>
      </c>
    </row>
    <row r="1851" spans="5:10">
      <c r="E1851">
        <f t="shared" si="69"/>
        <v>1849</v>
      </c>
      <c r="F1851" s="61" t="str">
        <f>IF(FT!A1851&lt;&gt;"",FT!A1851*10,"")</f>
        <v/>
      </c>
      <c r="G1851" s="61" t="str">
        <f>IF(FT!B1851&lt;&gt;"",FT!B1851*100,"")</f>
        <v/>
      </c>
      <c r="H1851" s="61" t="str">
        <f t="shared" si="68"/>
        <v/>
      </c>
      <c r="I1851" t="str">
        <f>IF(FT!B1851&lt;&gt;"",FT!E1851,"")</f>
        <v/>
      </c>
      <c r="J1851" t="str">
        <f>IF(FT!B1851&lt;&gt;"",FT!C1851,"")</f>
        <v/>
      </c>
    </row>
    <row r="1852" spans="5:10">
      <c r="E1852">
        <f t="shared" si="69"/>
        <v>1850</v>
      </c>
      <c r="F1852" s="61" t="str">
        <f>IF(FT!A1852&lt;&gt;"",FT!A1852*10,"")</f>
        <v/>
      </c>
      <c r="G1852" s="61" t="str">
        <f>IF(FT!B1852&lt;&gt;"",FT!B1852*100,"")</f>
        <v/>
      </c>
      <c r="H1852" s="61" t="str">
        <f t="shared" si="68"/>
        <v/>
      </c>
      <c r="I1852" t="str">
        <f>IF(FT!B1852&lt;&gt;"",FT!E1852,"")</f>
        <v/>
      </c>
      <c r="J1852" t="str">
        <f>IF(FT!B1852&lt;&gt;"",FT!C1852,"")</f>
        <v/>
      </c>
    </row>
    <row r="1853" spans="5:10">
      <c r="E1853">
        <f t="shared" si="69"/>
        <v>1851</v>
      </c>
      <c r="F1853" s="61" t="str">
        <f>IF(FT!A1853&lt;&gt;"",FT!A1853*10,"")</f>
        <v/>
      </c>
      <c r="G1853" s="61" t="str">
        <f>IF(FT!B1853&lt;&gt;"",FT!B1853*100,"")</f>
        <v/>
      </c>
      <c r="H1853" s="61" t="str">
        <f t="shared" si="68"/>
        <v/>
      </c>
      <c r="I1853" t="str">
        <f>IF(FT!B1853&lt;&gt;"",FT!E1853,"")</f>
        <v/>
      </c>
      <c r="J1853" t="str">
        <f>IF(FT!B1853&lt;&gt;"",FT!C1853,"")</f>
        <v/>
      </c>
    </row>
    <row r="1854" spans="5:10">
      <c r="E1854">
        <f t="shared" si="69"/>
        <v>1852</v>
      </c>
      <c r="F1854" s="61" t="str">
        <f>IF(FT!A1854&lt;&gt;"",FT!A1854*10,"")</f>
        <v/>
      </c>
      <c r="G1854" s="61" t="str">
        <f>IF(FT!B1854&lt;&gt;"",FT!B1854*100,"")</f>
        <v/>
      </c>
      <c r="H1854" s="61" t="str">
        <f t="shared" si="68"/>
        <v/>
      </c>
      <c r="I1854" t="str">
        <f>IF(FT!B1854&lt;&gt;"",FT!E1854,"")</f>
        <v/>
      </c>
      <c r="J1854" t="str">
        <f>IF(FT!B1854&lt;&gt;"",FT!C1854,"")</f>
        <v/>
      </c>
    </row>
    <row r="1855" spans="5:10">
      <c r="E1855">
        <f t="shared" si="69"/>
        <v>1853</v>
      </c>
      <c r="F1855" s="61" t="str">
        <f>IF(FT!A1855&lt;&gt;"",FT!A1855*10,"")</f>
        <v/>
      </c>
      <c r="G1855" s="61" t="str">
        <f>IF(FT!B1855&lt;&gt;"",FT!B1855*100,"")</f>
        <v/>
      </c>
      <c r="H1855" s="61" t="str">
        <f t="shared" si="68"/>
        <v/>
      </c>
      <c r="I1855" t="str">
        <f>IF(FT!B1855&lt;&gt;"",FT!E1855,"")</f>
        <v/>
      </c>
      <c r="J1855" t="str">
        <f>IF(FT!B1855&lt;&gt;"",FT!C1855,"")</f>
        <v/>
      </c>
    </row>
    <row r="1856" spans="5:10">
      <c r="E1856">
        <f t="shared" si="69"/>
        <v>1854</v>
      </c>
      <c r="F1856" s="61" t="str">
        <f>IF(FT!A1856&lt;&gt;"",FT!A1856*10,"")</f>
        <v/>
      </c>
      <c r="G1856" s="61" t="str">
        <f>IF(FT!B1856&lt;&gt;"",FT!B1856*100,"")</f>
        <v/>
      </c>
      <c r="H1856" s="61" t="str">
        <f t="shared" si="68"/>
        <v/>
      </c>
      <c r="I1856" t="str">
        <f>IF(FT!B1856&lt;&gt;"",FT!E1856,"")</f>
        <v/>
      </c>
      <c r="J1856" t="str">
        <f>IF(FT!B1856&lt;&gt;"",FT!C1856,"")</f>
        <v/>
      </c>
    </row>
    <row r="1857" spans="5:10">
      <c r="E1857">
        <f t="shared" si="69"/>
        <v>1855</v>
      </c>
      <c r="F1857" s="61" t="str">
        <f>IF(FT!A1857&lt;&gt;"",FT!A1857*10,"")</f>
        <v/>
      </c>
      <c r="G1857" s="61" t="str">
        <f>IF(FT!B1857&lt;&gt;"",FT!B1857*100,"")</f>
        <v/>
      </c>
      <c r="H1857" s="61" t="str">
        <f t="shared" si="68"/>
        <v/>
      </c>
      <c r="I1857" t="str">
        <f>IF(FT!B1857&lt;&gt;"",FT!E1857,"")</f>
        <v/>
      </c>
      <c r="J1857" t="str">
        <f>IF(FT!B1857&lt;&gt;"",FT!C1857,"")</f>
        <v/>
      </c>
    </row>
    <row r="1858" spans="5:10">
      <c r="E1858">
        <f t="shared" si="69"/>
        <v>1856</v>
      </c>
      <c r="F1858" s="61" t="str">
        <f>IF(FT!A1858&lt;&gt;"",FT!A1858*10,"")</f>
        <v/>
      </c>
      <c r="G1858" s="61" t="str">
        <f>IF(FT!B1858&lt;&gt;"",FT!B1858*100,"")</f>
        <v/>
      </c>
      <c r="H1858" s="61" t="str">
        <f t="shared" si="68"/>
        <v/>
      </c>
      <c r="I1858" t="str">
        <f>IF(FT!B1858&lt;&gt;"",FT!E1858,"")</f>
        <v/>
      </c>
      <c r="J1858" t="str">
        <f>IF(FT!B1858&lt;&gt;"",FT!C1858,"")</f>
        <v/>
      </c>
    </row>
    <row r="1859" spans="5:10">
      <c r="E1859">
        <f t="shared" si="69"/>
        <v>1857</v>
      </c>
      <c r="F1859" s="61" t="str">
        <f>IF(FT!A1859&lt;&gt;"",FT!A1859*10,"")</f>
        <v/>
      </c>
      <c r="G1859" s="61" t="str">
        <f>IF(FT!B1859&lt;&gt;"",FT!B1859*100,"")</f>
        <v/>
      </c>
      <c r="H1859" s="61" t="str">
        <f t="shared" ref="H1859:H1922" si="70">(IF(F1859&lt;&gt;"",1,""))</f>
        <v/>
      </c>
      <c r="I1859" t="str">
        <f>IF(FT!B1859&lt;&gt;"",FT!E1859,"")</f>
        <v/>
      </c>
      <c r="J1859" t="str">
        <f>IF(FT!B1859&lt;&gt;"",FT!C1859,"")</f>
        <v/>
      </c>
    </row>
    <row r="1860" spans="5:10">
      <c r="E1860">
        <f t="shared" ref="E1860:E1923" si="71">E1859+1</f>
        <v>1858</v>
      </c>
      <c r="F1860" s="61" t="str">
        <f>IF(FT!A1860&lt;&gt;"",FT!A1860*10,"")</f>
        <v/>
      </c>
      <c r="G1860" s="61" t="str">
        <f>IF(FT!B1860&lt;&gt;"",FT!B1860*100,"")</f>
        <v/>
      </c>
      <c r="H1860" s="61" t="str">
        <f t="shared" si="70"/>
        <v/>
      </c>
      <c r="I1860" t="str">
        <f>IF(FT!B1860&lt;&gt;"",FT!E1860,"")</f>
        <v/>
      </c>
      <c r="J1860" t="str">
        <f>IF(FT!B1860&lt;&gt;"",FT!C1860,"")</f>
        <v/>
      </c>
    </row>
    <row r="1861" spans="5:10">
      <c r="E1861">
        <f t="shared" si="71"/>
        <v>1859</v>
      </c>
      <c r="F1861" s="61" t="str">
        <f>IF(FT!A1861&lt;&gt;"",FT!A1861*10,"")</f>
        <v/>
      </c>
      <c r="G1861" s="61" t="str">
        <f>IF(FT!B1861&lt;&gt;"",FT!B1861*100,"")</f>
        <v/>
      </c>
      <c r="H1861" s="61" t="str">
        <f t="shared" si="70"/>
        <v/>
      </c>
      <c r="I1861" t="str">
        <f>IF(FT!B1861&lt;&gt;"",FT!E1861,"")</f>
        <v/>
      </c>
      <c r="J1861" t="str">
        <f>IF(FT!B1861&lt;&gt;"",FT!C1861,"")</f>
        <v/>
      </c>
    </row>
    <row r="1862" spans="5:10">
      <c r="E1862">
        <f t="shared" si="71"/>
        <v>1860</v>
      </c>
      <c r="F1862" s="61" t="str">
        <f>IF(FT!A1862&lt;&gt;"",FT!A1862*10,"")</f>
        <v/>
      </c>
      <c r="G1862" s="61" t="str">
        <f>IF(FT!B1862&lt;&gt;"",FT!B1862*100,"")</f>
        <v/>
      </c>
      <c r="H1862" s="61" t="str">
        <f t="shared" si="70"/>
        <v/>
      </c>
      <c r="I1862" t="str">
        <f>IF(FT!B1862&lt;&gt;"",FT!E1862,"")</f>
        <v/>
      </c>
      <c r="J1862" t="str">
        <f>IF(FT!B1862&lt;&gt;"",FT!C1862,"")</f>
        <v/>
      </c>
    </row>
    <row r="1863" spans="5:10">
      <c r="E1863">
        <f t="shared" si="71"/>
        <v>1861</v>
      </c>
      <c r="F1863" s="61" t="str">
        <f>IF(FT!A1863&lt;&gt;"",FT!A1863*10,"")</f>
        <v/>
      </c>
      <c r="G1863" s="61" t="str">
        <f>IF(FT!B1863&lt;&gt;"",FT!B1863*100,"")</f>
        <v/>
      </c>
      <c r="H1863" s="61" t="str">
        <f t="shared" si="70"/>
        <v/>
      </c>
      <c r="I1863" t="str">
        <f>IF(FT!B1863&lt;&gt;"",FT!E1863,"")</f>
        <v/>
      </c>
      <c r="J1863" t="str">
        <f>IF(FT!B1863&lt;&gt;"",FT!C1863,"")</f>
        <v/>
      </c>
    </row>
    <row r="1864" spans="5:10">
      <c r="E1864">
        <f t="shared" si="71"/>
        <v>1862</v>
      </c>
      <c r="F1864" s="61" t="str">
        <f>IF(FT!A1864&lt;&gt;"",FT!A1864*10,"")</f>
        <v/>
      </c>
      <c r="G1864" s="61" t="str">
        <f>IF(FT!B1864&lt;&gt;"",FT!B1864*100,"")</f>
        <v/>
      </c>
      <c r="H1864" s="61" t="str">
        <f t="shared" si="70"/>
        <v/>
      </c>
      <c r="I1864" t="str">
        <f>IF(FT!B1864&lt;&gt;"",FT!E1864,"")</f>
        <v/>
      </c>
      <c r="J1864" t="str">
        <f>IF(FT!B1864&lt;&gt;"",FT!C1864,"")</f>
        <v/>
      </c>
    </row>
    <row r="1865" spans="5:10">
      <c r="E1865">
        <f t="shared" si="71"/>
        <v>1863</v>
      </c>
      <c r="F1865" s="61" t="str">
        <f>IF(FT!A1865&lt;&gt;"",FT!A1865*10,"")</f>
        <v/>
      </c>
      <c r="G1865" s="61" t="str">
        <f>IF(FT!B1865&lt;&gt;"",FT!B1865*100,"")</f>
        <v/>
      </c>
      <c r="H1865" s="61" t="str">
        <f t="shared" si="70"/>
        <v/>
      </c>
      <c r="I1865" t="str">
        <f>IF(FT!B1865&lt;&gt;"",FT!E1865,"")</f>
        <v/>
      </c>
      <c r="J1865" t="str">
        <f>IF(FT!B1865&lt;&gt;"",FT!C1865,"")</f>
        <v/>
      </c>
    </row>
    <row r="1866" spans="5:10">
      <c r="E1866">
        <f t="shared" si="71"/>
        <v>1864</v>
      </c>
      <c r="F1866" s="61" t="str">
        <f>IF(FT!A1866&lt;&gt;"",FT!A1866*10,"")</f>
        <v/>
      </c>
      <c r="G1866" s="61" t="str">
        <f>IF(FT!B1866&lt;&gt;"",FT!B1866*100,"")</f>
        <v/>
      </c>
      <c r="H1866" s="61" t="str">
        <f t="shared" si="70"/>
        <v/>
      </c>
      <c r="I1866" t="str">
        <f>IF(FT!B1866&lt;&gt;"",FT!E1866,"")</f>
        <v/>
      </c>
      <c r="J1866" t="str">
        <f>IF(FT!B1866&lt;&gt;"",FT!C1866,"")</f>
        <v/>
      </c>
    </row>
    <row r="1867" spans="5:10">
      <c r="E1867">
        <f t="shared" si="71"/>
        <v>1865</v>
      </c>
      <c r="F1867" s="61" t="str">
        <f>IF(FT!A1867&lt;&gt;"",FT!A1867*10,"")</f>
        <v/>
      </c>
      <c r="G1867" s="61" t="str">
        <f>IF(FT!B1867&lt;&gt;"",FT!B1867*100,"")</f>
        <v/>
      </c>
      <c r="H1867" s="61" t="str">
        <f t="shared" si="70"/>
        <v/>
      </c>
      <c r="I1867" t="str">
        <f>IF(FT!B1867&lt;&gt;"",FT!E1867,"")</f>
        <v/>
      </c>
      <c r="J1867" t="str">
        <f>IF(FT!B1867&lt;&gt;"",FT!C1867,"")</f>
        <v/>
      </c>
    </row>
    <row r="1868" spans="5:10">
      <c r="E1868">
        <f t="shared" si="71"/>
        <v>1866</v>
      </c>
      <c r="F1868" s="61" t="str">
        <f>IF(FT!A1868&lt;&gt;"",FT!A1868*10,"")</f>
        <v/>
      </c>
      <c r="G1868" s="61" t="str">
        <f>IF(FT!B1868&lt;&gt;"",FT!B1868*100,"")</f>
        <v/>
      </c>
      <c r="H1868" s="61" t="str">
        <f t="shared" si="70"/>
        <v/>
      </c>
      <c r="I1868" t="str">
        <f>IF(FT!B1868&lt;&gt;"",FT!E1868,"")</f>
        <v/>
      </c>
      <c r="J1868" t="str">
        <f>IF(FT!B1868&lt;&gt;"",FT!C1868,"")</f>
        <v/>
      </c>
    </row>
    <row r="1869" spans="5:10">
      <c r="E1869">
        <f t="shared" si="71"/>
        <v>1867</v>
      </c>
      <c r="F1869" s="61" t="str">
        <f>IF(FT!A1869&lt;&gt;"",FT!A1869*10,"")</f>
        <v/>
      </c>
      <c r="G1869" s="61" t="str">
        <f>IF(FT!B1869&lt;&gt;"",FT!B1869*100,"")</f>
        <v/>
      </c>
      <c r="H1869" s="61" t="str">
        <f t="shared" si="70"/>
        <v/>
      </c>
      <c r="I1869" t="str">
        <f>IF(FT!B1869&lt;&gt;"",FT!E1869,"")</f>
        <v/>
      </c>
      <c r="J1869" t="str">
        <f>IF(FT!B1869&lt;&gt;"",FT!C1869,"")</f>
        <v/>
      </c>
    </row>
    <row r="1870" spans="5:10">
      <c r="E1870">
        <f t="shared" si="71"/>
        <v>1868</v>
      </c>
      <c r="F1870" s="61" t="str">
        <f>IF(FT!A1870&lt;&gt;"",FT!A1870*10,"")</f>
        <v/>
      </c>
      <c r="G1870" s="61" t="str">
        <f>IF(FT!B1870&lt;&gt;"",FT!B1870*100,"")</f>
        <v/>
      </c>
      <c r="H1870" s="61" t="str">
        <f t="shared" si="70"/>
        <v/>
      </c>
      <c r="I1870" t="str">
        <f>IF(FT!B1870&lt;&gt;"",FT!E1870,"")</f>
        <v/>
      </c>
      <c r="J1870" t="str">
        <f>IF(FT!B1870&lt;&gt;"",FT!C1870,"")</f>
        <v/>
      </c>
    </row>
    <row r="1871" spans="5:10">
      <c r="E1871">
        <f t="shared" si="71"/>
        <v>1869</v>
      </c>
      <c r="F1871" s="61" t="str">
        <f>IF(FT!A1871&lt;&gt;"",FT!A1871*10,"")</f>
        <v/>
      </c>
      <c r="G1871" s="61" t="str">
        <f>IF(FT!B1871&lt;&gt;"",FT!B1871*100,"")</f>
        <v/>
      </c>
      <c r="H1871" s="61" t="str">
        <f t="shared" si="70"/>
        <v/>
      </c>
      <c r="I1871" t="str">
        <f>IF(FT!B1871&lt;&gt;"",FT!E1871,"")</f>
        <v/>
      </c>
      <c r="J1871" t="str">
        <f>IF(FT!B1871&lt;&gt;"",FT!C1871,"")</f>
        <v/>
      </c>
    </row>
    <row r="1872" spans="5:10">
      <c r="E1872">
        <f t="shared" si="71"/>
        <v>1870</v>
      </c>
      <c r="F1872" s="61" t="str">
        <f>IF(FT!A1872&lt;&gt;"",FT!A1872*10,"")</f>
        <v/>
      </c>
      <c r="G1872" s="61" t="str">
        <f>IF(FT!B1872&lt;&gt;"",FT!B1872*100,"")</f>
        <v/>
      </c>
      <c r="H1872" s="61" t="str">
        <f t="shared" si="70"/>
        <v/>
      </c>
      <c r="I1872" t="str">
        <f>IF(FT!B1872&lt;&gt;"",FT!E1872,"")</f>
        <v/>
      </c>
      <c r="J1872" t="str">
        <f>IF(FT!B1872&lt;&gt;"",FT!C1872,"")</f>
        <v/>
      </c>
    </row>
    <row r="1873" spans="5:10">
      <c r="E1873">
        <f t="shared" si="71"/>
        <v>1871</v>
      </c>
      <c r="F1873" s="61" t="str">
        <f>IF(FT!A1873&lt;&gt;"",FT!A1873*10,"")</f>
        <v/>
      </c>
      <c r="G1873" s="61" t="str">
        <f>IF(FT!B1873&lt;&gt;"",FT!B1873*100,"")</f>
        <v/>
      </c>
      <c r="H1873" s="61" t="str">
        <f t="shared" si="70"/>
        <v/>
      </c>
      <c r="I1873" t="str">
        <f>IF(FT!B1873&lt;&gt;"",FT!E1873,"")</f>
        <v/>
      </c>
      <c r="J1873" t="str">
        <f>IF(FT!B1873&lt;&gt;"",FT!C1873,"")</f>
        <v/>
      </c>
    </row>
    <row r="1874" spans="5:10">
      <c r="E1874">
        <f t="shared" si="71"/>
        <v>1872</v>
      </c>
      <c r="F1874" s="61" t="str">
        <f>IF(FT!A1874&lt;&gt;"",FT!A1874*10,"")</f>
        <v/>
      </c>
      <c r="G1874" s="61" t="str">
        <f>IF(FT!B1874&lt;&gt;"",FT!B1874*100,"")</f>
        <v/>
      </c>
      <c r="H1874" s="61" t="str">
        <f t="shared" si="70"/>
        <v/>
      </c>
      <c r="I1874" t="str">
        <f>IF(FT!B1874&lt;&gt;"",FT!E1874,"")</f>
        <v/>
      </c>
      <c r="J1874" t="str">
        <f>IF(FT!B1874&lt;&gt;"",FT!C1874,"")</f>
        <v/>
      </c>
    </row>
    <row r="1875" spans="5:10">
      <c r="E1875">
        <f t="shared" si="71"/>
        <v>1873</v>
      </c>
      <c r="F1875" s="61" t="str">
        <f>IF(FT!A1875&lt;&gt;"",FT!A1875*10,"")</f>
        <v/>
      </c>
      <c r="G1875" s="61" t="str">
        <f>IF(FT!B1875&lt;&gt;"",FT!B1875*100,"")</f>
        <v/>
      </c>
      <c r="H1875" s="61" t="str">
        <f t="shared" si="70"/>
        <v/>
      </c>
      <c r="I1875" t="str">
        <f>IF(FT!B1875&lt;&gt;"",FT!E1875,"")</f>
        <v/>
      </c>
      <c r="J1875" t="str">
        <f>IF(FT!B1875&lt;&gt;"",FT!C1875,"")</f>
        <v/>
      </c>
    </row>
    <row r="1876" spans="5:10">
      <c r="E1876">
        <f t="shared" si="71"/>
        <v>1874</v>
      </c>
      <c r="F1876" s="61" t="str">
        <f>IF(FT!A1876&lt;&gt;"",FT!A1876*10,"")</f>
        <v/>
      </c>
      <c r="G1876" s="61" t="str">
        <f>IF(FT!B1876&lt;&gt;"",FT!B1876*100,"")</f>
        <v/>
      </c>
      <c r="H1876" s="61" t="str">
        <f t="shared" si="70"/>
        <v/>
      </c>
      <c r="I1876" t="str">
        <f>IF(FT!B1876&lt;&gt;"",FT!E1876,"")</f>
        <v/>
      </c>
      <c r="J1876" t="str">
        <f>IF(FT!B1876&lt;&gt;"",FT!C1876,"")</f>
        <v/>
      </c>
    </row>
    <row r="1877" spans="5:10">
      <c r="E1877">
        <f t="shared" si="71"/>
        <v>1875</v>
      </c>
      <c r="F1877" s="61" t="str">
        <f>IF(FT!A1877&lt;&gt;"",FT!A1877*10,"")</f>
        <v/>
      </c>
      <c r="G1877" s="61" t="str">
        <f>IF(FT!B1877&lt;&gt;"",FT!B1877*100,"")</f>
        <v/>
      </c>
      <c r="H1877" s="61" t="str">
        <f t="shared" si="70"/>
        <v/>
      </c>
      <c r="I1877" t="str">
        <f>IF(FT!B1877&lt;&gt;"",FT!E1877,"")</f>
        <v/>
      </c>
      <c r="J1877" t="str">
        <f>IF(FT!B1877&lt;&gt;"",FT!C1877,"")</f>
        <v/>
      </c>
    </row>
    <row r="1878" spans="5:10">
      <c r="E1878">
        <f t="shared" si="71"/>
        <v>1876</v>
      </c>
      <c r="F1878" s="61" t="str">
        <f>IF(FT!A1878&lt;&gt;"",FT!A1878*10,"")</f>
        <v/>
      </c>
      <c r="G1878" s="61" t="str">
        <f>IF(FT!B1878&lt;&gt;"",FT!B1878*100,"")</f>
        <v/>
      </c>
      <c r="H1878" s="61" t="str">
        <f t="shared" si="70"/>
        <v/>
      </c>
      <c r="I1878" t="str">
        <f>IF(FT!B1878&lt;&gt;"",FT!E1878,"")</f>
        <v/>
      </c>
      <c r="J1878" t="str">
        <f>IF(FT!B1878&lt;&gt;"",FT!C1878,"")</f>
        <v/>
      </c>
    </row>
    <row r="1879" spans="5:10">
      <c r="E1879">
        <f t="shared" si="71"/>
        <v>1877</v>
      </c>
      <c r="F1879" s="61" t="str">
        <f>IF(FT!A1879&lt;&gt;"",FT!A1879*10,"")</f>
        <v/>
      </c>
      <c r="G1879" s="61" t="str">
        <f>IF(FT!B1879&lt;&gt;"",FT!B1879*100,"")</f>
        <v/>
      </c>
      <c r="H1879" s="61" t="str">
        <f t="shared" si="70"/>
        <v/>
      </c>
      <c r="I1879" t="str">
        <f>IF(FT!B1879&lt;&gt;"",FT!E1879,"")</f>
        <v/>
      </c>
      <c r="J1879" t="str">
        <f>IF(FT!B1879&lt;&gt;"",FT!C1879,"")</f>
        <v/>
      </c>
    </row>
    <row r="1880" spans="5:10">
      <c r="E1880">
        <f t="shared" si="71"/>
        <v>1878</v>
      </c>
      <c r="F1880" s="61" t="str">
        <f>IF(FT!A1880&lt;&gt;"",FT!A1880*10,"")</f>
        <v/>
      </c>
      <c r="G1880" s="61" t="str">
        <f>IF(FT!B1880&lt;&gt;"",FT!B1880*100,"")</f>
        <v/>
      </c>
      <c r="H1880" s="61" t="str">
        <f t="shared" si="70"/>
        <v/>
      </c>
      <c r="I1880" t="str">
        <f>IF(FT!B1880&lt;&gt;"",FT!E1880,"")</f>
        <v/>
      </c>
      <c r="J1880" t="str">
        <f>IF(FT!B1880&lt;&gt;"",FT!C1880,"")</f>
        <v/>
      </c>
    </row>
    <row r="1881" spans="5:10">
      <c r="E1881">
        <f t="shared" si="71"/>
        <v>1879</v>
      </c>
      <c r="F1881" s="61" t="str">
        <f>IF(FT!A1881&lt;&gt;"",FT!A1881*10,"")</f>
        <v/>
      </c>
      <c r="G1881" s="61" t="str">
        <f>IF(FT!B1881&lt;&gt;"",FT!B1881*100,"")</f>
        <v/>
      </c>
      <c r="H1881" s="61" t="str">
        <f t="shared" si="70"/>
        <v/>
      </c>
      <c r="I1881" t="str">
        <f>IF(FT!B1881&lt;&gt;"",FT!E1881,"")</f>
        <v/>
      </c>
      <c r="J1881" t="str">
        <f>IF(FT!B1881&lt;&gt;"",FT!C1881,"")</f>
        <v/>
      </c>
    </row>
    <row r="1882" spans="5:10">
      <c r="E1882">
        <f t="shared" si="71"/>
        <v>1880</v>
      </c>
      <c r="F1882" s="61" t="str">
        <f>IF(FT!A1882&lt;&gt;"",FT!A1882*10,"")</f>
        <v/>
      </c>
      <c r="G1882" s="61" t="str">
        <f>IF(FT!B1882&lt;&gt;"",FT!B1882*100,"")</f>
        <v/>
      </c>
      <c r="H1882" s="61" t="str">
        <f t="shared" si="70"/>
        <v/>
      </c>
      <c r="I1882" t="str">
        <f>IF(FT!B1882&lt;&gt;"",FT!E1882,"")</f>
        <v/>
      </c>
      <c r="J1882" t="str">
        <f>IF(FT!B1882&lt;&gt;"",FT!C1882,"")</f>
        <v/>
      </c>
    </row>
    <row r="1883" spans="5:10">
      <c r="E1883">
        <f t="shared" si="71"/>
        <v>1881</v>
      </c>
      <c r="F1883" s="61" t="str">
        <f>IF(FT!A1883&lt;&gt;"",FT!A1883*10,"")</f>
        <v/>
      </c>
      <c r="G1883" s="61" t="str">
        <f>IF(FT!B1883&lt;&gt;"",FT!B1883*100,"")</f>
        <v/>
      </c>
      <c r="H1883" s="61" t="str">
        <f t="shared" si="70"/>
        <v/>
      </c>
      <c r="I1883" t="str">
        <f>IF(FT!B1883&lt;&gt;"",FT!E1883,"")</f>
        <v/>
      </c>
      <c r="J1883" t="str">
        <f>IF(FT!B1883&lt;&gt;"",FT!C1883,"")</f>
        <v/>
      </c>
    </row>
    <row r="1884" spans="5:10">
      <c r="E1884">
        <f t="shared" si="71"/>
        <v>1882</v>
      </c>
      <c r="F1884" s="61" t="str">
        <f>IF(FT!A1884&lt;&gt;"",FT!A1884*10,"")</f>
        <v/>
      </c>
      <c r="G1884" s="61" t="str">
        <f>IF(FT!B1884&lt;&gt;"",FT!B1884*100,"")</f>
        <v/>
      </c>
      <c r="H1884" s="61" t="str">
        <f t="shared" si="70"/>
        <v/>
      </c>
      <c r="I1884" t="str">
        <f>IF(FT!B1884&lt;&gt;"",FT!E1884,"")</f>
        <v/>
      </c>
      <c r="J1884" t="str">
        <f>IF(FT!B1884&lt;&gt;"",FT!C1884,"")</f>
        <v/>
      </c>
    </row>
    <row r="1885" spans="5:10">
      <c r="E1885">
        <f t="shared" si="71"/>
        <v>1883</v>
      </c>
      <c r="F1885" s="61" t="str">
        <f>IF(FT!A1885&lt;&gt;"",FT!A1885*10,"")</f>
        <v/>
      </c>
      <c r="G1885" s="61" t="str">
        <f>IF(FT!B1885&lt;&gt;"",FT!B1885*100,"")</f>
        <v/>
      </c>
      <c r="H1885" s="61" t="str">
        <f t="shared" si="70"/>
        <v/>
      </c>
      <c r="I1885" t="str">
        <f>IF(FT!B1885&lt;&gt;"",FT!E1885,"")</f>
        <v/>
      </c>
      <c r="J1885" t="str">
        <f>IF(FT!B1885&lt;&gt;"",FT!C1885,"")</f>
        <v/>
      </c>
    </row>
    <row r="1886" spans="5:10">
      <c r="E1886">
        <f t="shared" si="71"/>
        <v>1884</v>
      </c>
      <c r="F1886" s="61" t="str">
        <f>IF(FT!A1886&lt;&gt;"",FT!A1886*10,"")</f>
        <v/>
      </c>
      <c r="G1886" s="61" t="str">
        <f>IF(FT!B1886&lt;&gt;"",FT!B1886*100,"")</f>
        <v/>
      </c>
      <c r="H1886" s="61" t="str">
        <f t="shared" si="70"/>
        <v/>
      </c>
      <c r="I1886" t="str">
        <f>IF(FT!B1886&lt;&gt;"",FT!E1886,"")</f>
        <v/>
      </c>
      <c r="J1886" t="str">
        <f>IF(FT!B1886&lt;&gt;"",FT!C1886,"")</f>
        <v/>
      </c>
    </row>
    <row r="1887" spans="5:10">
      <c r="E1887">
        <f t="shared" si="71"/>
        <v>1885</v>
      </c>
      <c r="F1887" s="61" t="str">
        <f>IF(FT!A1887&lt;&gt;"",FT!A1887*10,"")</f>
        <v/>
      </c>
      <c r="G1887" s="61" t="str">
        <f>IF(FT!B1887&lt;&gt;"",FT!B1887*100,"")</f>
        <v/>
      </c>
      <c r="H1887" s="61" t="str">
        <f t="shared" si="70"/>
        <v/>
      </c>
      <c r="I1887" t="str">
        <f>IF(FT!B1887&lt;&gt;"",FT!E1887,"")</f>
        <v/>
      </c>
      <c r="J1887" t="str">
        <f>IF(FT!B1887&lt;&gt;"",FT!C1887,"")</f>
        <v/>
      </c>
    </row>
    <row r="1888" spans="5:10">
      <c r="E1888">
        <f t="shared" si="71"/>
        <v>1886</v>
      </c>
      <c r="F1888" s="61" t="str">
        <f>IF(FT!A1888&lt;&gt;"",FT!A1888*10,"")</f>
        <v/>
      </c>
      <c r="G1888" s="61" t="str">
        <f>IF(FT!B1888&lt;&gt;"",FT!B1888*100,"")</f>
        <v/>
      </c>
      <c r="H1888" s="61" t="str">
        <f t="shared" si="70"/>
        <v/>
      </c>
      <c r="I1888" t="str">
        <f>IF(FT!B1888&lt;&gt;"",FT!E1888,"")</f>
        <v/>
      </c>
      <c r="J1888" t="str">
        <f>IF(FT!B1888&lt;&gt;"",FT!C1888,"")</f>
        <v/>
      </c>
    </row>
    <row r="1889" spans="5:10">
      <c r="E1889">
        <f t="shared" si="71"/>
        <v>1887</v>
      </c>
      <c r="F1889" s="61" t="str">
        <f>IF(FT!A1889&lt;&gt;"",FT!A1889*10,"")</f>
        <v/>
      </c>
      <c r="G1889" s="61" t="str">
        <f>IF(FT!B1889&lt;&gt;"",FT!B1889*100,"")</f>
        <v/>
      </c>
      <c r="H1889" s="61" t="str">
        <f t="shared" si="70"/>
        <v/>
      </c>
      <c r="I1889" t="str">
        <f>IF(FT!B1889&lt;&gt;"",FT!E1889,"")</f>
        <v/>
      </c>
      <c r="J1889" t="str">
        <f>IF(FT!B1889&lt;&gt;"",FT!C1889,"")</f>
        <v/>
      </c>
    </row>
    <row r="1890" spans="5:10">
      <c r="E1890">
        <f t="shared" si="71"/>
        <v>1888</v>
      </c>
      <c r="F1890" s="61" t="str">
        <f>IF(FT!A1890&lt;&gt;"",FT!A1890*10,"")</f>
        <v/>
      </c>
      <c r="G1890" s="61" t="str">
        <f>IF(FT!B1890&lt;&gt;"",FT!B1890*100,"")</f>
        <v/>
      </c>
      <c r="H1890" s="61" t="str">
        <f t="shared" si="70"/>
        <v/>
      </c>
      <c r="I1890" t="str">
        <f>IF(FT!B1890&lt;&gt;"",FT!E1890,"")</f>
        <v/>
      </c>
      <c r="J1890" t="str">
        <f>IF(FT!B1890&lt;&gt;"",FT!C1890,"")</f>
        <v/>
      </c>
    </row>
    <row r="1891" spans="5:10">
      <c r="E1891">
        <f t="shared" si="71"/>
        <v>1889</v>
      </c>
      <c r="F1891" s="61" t="str">
        <f>IF(FT!A1891&lt;&gt;"",FT!A1891*10,"")</f>
        <v/>
      </c>
      <c r="G1891" s="61" t="str">
        <f>IF(FT!B1891&lt;&gt;"",FT!B1891*100,"")</f>
        <v/>
      </c>
      <c r="H1891" s="61" t="str">
        <f t="shared" si="70"/>
        <v/>
      </c>
      <c r="I1891" t="str">
        <f>IF(FT!B1891&lt;&gt;"",FT!E1891,"")</f>
        <v/>
      </c>
      <c r="J1891" t="str">
        <f>IF(FT!B1891&lt;&gt;"",FT!C1891,"")</f>
        <v/>
      </c>
    </row>
    <row r="1892" spans="5:10">
      <c r="E1892">
        <f t="shared" si="71"/>
        <v>1890</v>
      </c>
      <c r="F1892" s="61" t="str">
        <f>IF(FT!A1892&lt;&gt;"",FT!A1892*10,"")</f>
        <v/>
      </c>
      <c r="G1892" s="61" t="str">
        <f>IF(FT!B1892&lt;&gt;"",FT!B1892*100,"")</f>
        <v/>
      </c>
      <c r="H1892" s="61" t="str">
        <f t="shared" si="70"/>
        <v/>
      </c>
      <c r="I1892" t="str">
        <f>IF(FT!B1892&lt;&gt;"",FT!E1892,"")</f>
        <v/>
      </c>
      <c r="J1892" t="str">
        <f>IF(FT!B1892&lt;&gt;"",FT!C1892,"")</f>
        <v/>
      </c>
    </row>
    <row r="1893" spans="5:10">
      <c r="E1893">
        <f t="shared" si="71"/>
        <v>1891</v>
      </c>
      <c r="F1893" s="61" t="str">
        <f>IF(FT!A1893&lt;&gt;"",FT!A1893*10,"")</f>
        <v/>
      </c>
      <c r="G1893" s="61" t="str">
        <f>IF(FT!B1893&lt;&gt;"",FT!B1893*100,"")</f>
        <v/>
      </c>
      <c r="H1893" s="61" t="str">
        <f t="shared" si="70"/>
        <v/>
      </c>
      <c r="I1893" t="str">
        <f>IF(FT!B1893&lt;&gt;"",FT!E1893,"")</f>
        <v/>
      </c>
      <c r="J1893" t="str">
        <f>IF(FT!B1893&lt;&gt;"",FT!C1893,"")</f>
        <v/>
      </c>
    </row>
    <row r="1894" spans="5:10">
      <c r="E1894">
        <f t="shared" si="71"/>
        <v>1892</v>
      </c>
      <c r="F1894" s="61" t="str">
        <f>IF(FT!A1894&lt;&gt;"",FT!A1894*10,"")</f>
        <v/>
      </c>
      <c r="G1894" s="61" t="str">
        <f>IF(FT!B1894&lt;&gt;"",FT!B1894*100,"")</f>
        <v/>
      </c>
      <c r="H1894" s="61" t="str">
        <f t="shared" si="70"/>
        <v/>
      </c>
      <c r="I1894" t="str">
        <f>IF(FT!B1894&lt;&gt;"",FT!E1894,"")</f>
        <v/>
      </c>
      <c r="J1894" t="str">
        <f>IF(FT!B1894&lt;&gt;"",FT!C1894,"")</f>
        <v/>
      </c>
    </row>
    <row r="1895" spans="5:10">
      <c r="E1895">
        <f t="shared" si="71"/>
        <v>1893</v>
      </c>
      <c r="F1895" s="61" t="str">
        <f>IF(FT!A1895&lt;&gt;"",FT!A1895*10,"")</f>
        <v/>
      </c>
      <c r="G1895" s="61" t="str">
        <f>IF(FT!B1895&lt;&gt;"",FT!B1895*100,"")</f>
        <v/>
      </c>
      <c r="H1895" s="61" t="str">
        <f t="shared" si="70"/>
        <v/>
      </c>
      <c r="I1895" t="str">
        <f>IF(FT!B1895&lt;&gt;"",FT!E1895,"")</f>
        <v/>
      </c>
      <c r="J1895" t="str">
        <f>IF(FT!B1895&lt;&gt;"",FT!C1895,"")</f>
        <v/>
      </c>
    </row>
    <row r="1896" spans="5:10">
      <c r="E1896">
        <f t="shared" si="71"/>
        <v>1894</v>
      </c>
      <c r="F1896" s="61" t="str">
        <f>IF(FT!A1896&lt;&gt;"",FT!A1896*10,"")</f>
        <v/>
      </c>
      <c r="G1896" s="61" t="str">
        <f>IF(FT!B1896&lt;&gt;"",FT!B1896*100,"")</f>
        <v/>
      </c>
      <c r="H1896" s="61" t="str">
        <f t="shared" si="70"/>
        <v/>
      </c>
      <c r="I1896" t="str">
        <f>IF(FT!B1896&lt;&gt;"",FT!E1896,"")</f>
        <v/>
      </c>
      <c r="J1896" t="str">
        <f>IF(FT!B1896&lt;&gt;"",FT!C1896,"")</f>
        <v/>
      </c>
    </row>
    <row r="1897" spans="5:10">
      <c r="E1897">
        <f t="shared" si="71"/>
        <v>1895</v>
      </c>
      <c r="F1897" s="61" t="str">
        <f>IF(FT!A1897&lt;&gt;"",FT!A1897*10,"")</f>
        <v/>
      </c>
      <c r="G1897" s="61" t="str">
        <f>IF(FT!B1897&lt;&gt;"",FT!B1897*100,"")</f>
        <v/>
      </c>
      <c r="H1897" s="61" t="str">
        <f t="shared" si="70"/>
        <v/>
      </c>
      <c r="I1897" t="str">
        <f>IF(FT!B1897&lt;&gt;"",FT!E1897,"")</f>
        <v/>
      </c>
      <c r="J1897" t="str">
        <f>IF(FT!B1897&lt;&gt;"",FT!C1897,"")</f>
        <v/>
      </c>
    </row>
    <row r="1898" spans="5:10">
      <c r="E1898">
        <f t="shared" si="71"/>
        <v>1896</v>
      </c>
      <c r="F1898" s="61" t="str">
        <f>IF(FT!A1898&lt;&gt;"",FT!A1898*10,"")</f>
        <v/>
      </c>
      <c r="G1898" s="61" t="str">
        <f>IF(FT!B1898&lt;&gt;"",FT!B1898*100,"")</f>
        <v/>
      </c>
      <c r="H1898" s="61" t="str">
        <f t="shared" si="70"/>
        <v/>
      </c>
      <c r="I1898" t="str">
        <f>IF(FT!B1898&lt;&gt;"",FT!E1898,"")</f>
        <v/>
      </c>
      <c r="J1898" t="str">
        <f>IF(FT!B1898&lt;&gt;"",FT!C1898,"")</f>
        <v/>
      </c>
    </row>
    <row r="1899" spans="5:10">
      <c r="E1899">
        <f t="shared" si="71"/>
        <v>1897</v>
      </c>
      <c r="F1899" s="61" t="str">
        <f>IF(FT!A1899&lt;&gt;"",FT!A1899*10,"")</f>
        <v/>
      </c>
      <c r="G1899" s="61" t="str">
        <f>IF(FT!B1899&lt;&gt;"",FT!B1899*100,"")</f>
        <v/>
      </c>
      <c r="H1899" s="61" t="str">
        <f t="shared" si="70"/>
        <v/>
      </c>
      <c r="I1899" t="str">
        <f>IF(FT!B1899&lt;&gt;"",FT!E1899,"")</f>
        <v/>
      </c>
      <c r="J1899" t="str">
        <f>IF(FT!B1899&lt;&gt;"",FT!C1899,"")</f>
        <v/>
      </c>
    </row>
    <row r="1900" spans="5:10">
      <c r="E1900">
        <f t="shared" si="71"/>
        <v>1898</v>
      </c>
      <c r="F1900" s="61" t="str">
        <f>IF(FT!A1900&lt;&gt;"",FT!A1900*10,"")</f>
        <v/>
      </c>
      <c r="G1900" s="61" t="str">
        <f>IF(FT!B1900&lt;&gt;"",FT!B1900*100,"")</f>
        <v/>
      </c>
      <c r="H1900" s="61" t="str">
        <f t="shared" si="70"/>
        <v/>
      </c>
      <c r="I1900" t="str">
        <f>IF(FT!B1900&lt;&gt;"",FT!E1900,"")</f>
        <v/>
      </c>
      <c r="J1900" t="str">
        <f>IF(FT!B1900&lt;&gt;"",FT!C1900,"")</f>
        <v/>
      </c>
    </row>
    <row r="1901" spans="5:10">
      <c r="E1901">
        <f t="shared" si="71"/>
        <v>1899</v>
      </c>
      <c r="F1901" s="61" t="str">
        <f>IF(FT!A1901&lt;&gt;"",FT!A1901*10,"")</f>
        <v/>
      </c>
      <c r="G1901" s="61" t="str">
        <f>IF(FT!B1901&lt;&gt;"",FT!B1901*100,"")</f>
        <v/>
      </c>
      <c r="H1901" s="61" t="str">
        <f t="shared" si="70"/>
        <v/>
      </c>
      <c r="I1901" t="str">
        <f>IF(FT!B1901&lt;&gt;"",FT!E1901,"")</f>
        <v/>
      </c>
      <c r="J1901" t="str">
        <f>IF(FT!B1901&lt;&gt;"",FT!C1901,"")</f>
        <v/>
      </c>
    </row>
    <row r="1902" spans="5:10">
      <c r="E1902">
        <f t="shared" si="71"/>
        <v>1900</v>
      </c>
      <c r="F1902" s="61" t="str">
        <f>IF(FT!A1902&lt;&gt;"",FT!A1902*10,"")</f>
        <v/>
      </c>
      <c r="G1902" s="61" t="str">
        <f>IF(FT!B1902&lt;&gt;"",FT!B1902*100,"")</f>
        <v/>
      </c>
      <c r="H1902" s="61" t="str">
        <f t="shared" si="70"/>
        <v/>
      </c>
      <c r="I1902" t="str">
        <f>IF(FT!B1902&lt;&gt;"",FT!E1902,"")</f>
        <v/>
      </c>
      <c r="J1902" t="str">
        <f>IF(FT!B1902&lt;&gt;"",FT!C1902,"")</f>
        <v/>
      </c>
    </row>
    <row r="1903" spans="5:10">
      <c r="E1903">
        <f t="shared" si="71"/>
        <v>1901</v>
      </c>
      <c r="F1903" s="61" t="str">
        <f>IF(FT!A1903&lt;&gt;"",FT!A1903*10,"")</f>
        <v/>
      </c>
      <c r="G1903" s="61" t="str">
        <f>IF(FT!B1903&lt;&gt;"",FT!B1903*100,"")</f>
        <v/>
      </c>
      <c r="H1903" s="61" t="str">
        <f t="shared" si="70"/>
        <v/>
      </c>
      <c r="I1903" t="str">
        <f>IF(FT!B1903&lt;&gt;"",FT!E1903,"")</f>
        <v/>
      </c>
      <c r="J1903" t="str">
        <f>IF(FT!B1903&lt;&gt;"",FT!C1903,"")</f>
        <v/>
      </c>
    </row>
    <row r="1904" spans="5:10">
      <c r="E1904">
        <f t="shared" si="71"/>
        <v>1902</v>
      </c>
      <c r="F1904" s="61" t="str">
        <f>IF(FT!A1904&lt;&gt;"",FT!A1904*10,"")</f>
        <v/>
      </c>
      <c r="G1904" s="61" t="str">
        <f>IF(FT!B1904&lt;&gt;"",FT!B1904*100,"")</f>
        <v/>
      </c>
      <c r="H1904" s="61" t="str">
        <f t="shared" si="70"/>
        <v/>
      </c>
      <c r="I1904" t="str">
        <f>IF(FT!B1904&lt;&gt;"",FT!E1904,"")</f>
        <v/>
      </c>
      <c r="J1904" t="str">
        <f>IF(FT!B1904&lt;&gt;"",FT!C1904,"")</f>
        <v/>
      </c>
    </row>
    <row r="1905" spans="5:10">
      <c r="E1905">
        <f t="shared" si="71"/>
        <v>1903</v>
      </c>
      <c r="F1905" s="61" t="str">
        <f>IF(FT!A1905&lt;&gt;"",FT!A1905*10,"")</f>
        <v/>
      </c>
      <c r="G1905" s="61" t="str">
        <f>IF(FT!B1905&lt;&gt;"",FT!B1905*100,"")</f>
        <v/>
      </c>
      <c r="H1905" s="61" t="str">
        <f t="shared" si="70"/>
        <v/>
      </c>
      <c r="I1905" t="str">
        <f>IF(FT!B1905&lt;&gt;"",FT!E1905,"")</f>
        <v/>
      </c>
      <c r="J1905" t="str">
        <f>IF(FT!B1905&lt;&gt;"",FT!C1905,"")</f>
        <v/>
      </c>
    </row>
    <row r="1906" spans="5:10">
      <c r="E1906">
        <f t="shared" si="71"/>
        <v>1904</v>
      </c>
      <c r="F1906" s="61" t="str">
        <f>IF(FT!A1906&lt;&gt;"",FT!A1906*10,"")</f>
        <v/>
      </c>
      <c r="G1906" s="61" t="str">
        <f>IF(FT!B1906&lt;&gt;"",FT!B1906*100,"")</f>
        <v/>
      </c>
      <c r="H1906" s="61" t="str">
        <f t="shared" si="70"/>
        <v/>
      </c>
      <c r="I1906" t="str">
        <f>IF(FT!B1906&lt;&gt;"",FT!E1906,"")</f>
        <v/>
      </c>
      <c r="J1906" t="str">
        <f>IF(FT!B1906&lt;&gt;"",FT!C1906,"")</f>
        <v/>
      </c>
    </row>
    <row r="1907" spans="5:10">
      <c r="E1907">
        <f t="shared" si="71"/>
        <v>1905</v>
      </c>
      <c r="F1907" s="61" t="str">
        <f>IF(FT!A1907&lt;&gt;"",FT!A1907*10,"")</f>
        <v/>
      </c>
      <c r="G1907" s="61" t="str">
        <f>IF(FT!B1907&lt;&gt;"",FT!B1907*100,"")</f>
        <v/>
      </c>
      <c r="H1907" s="61" t="str">
        <f t="shared" si="70"/>
        <v/>
      </c>
      <c r="I1907" t="str">
        <f>IF(FT!B1907&lt;&gt;"",FT!E1907,"")</f>
        <v/>
      </c>
      <c r="J1907" t="str">
        <f>IF(FT!B1907&lt;&gt;"",FT!C1907,"")</f>
        <v/>
      </c>
    </row>
    <row r="1908" spans="5:10">
      <c r="E1908">
        <f t="shared" si="71"/>
        <v>1906</v>
      </c>
      <c r="F1908" s="61" t="str">
        <f>IF(FT!A1908&lt;&gt;"",FT!A1908*10,"")</f>
        <v/>
      </c>
      <c r="G1908" s="61" t="str">
        <f>IF(FT!B1908&lt;&gt;"",FT!B1908*100,"")</f>
        <v/>
      </c>
      <c r="H1908" s="61" t="str">
        <f t="shared" si="70"/>
        <v/>
      </c>
      <c r="I1908" t="str">
        <f>IF(FT!B1908&lt;&gt;"",FT!E1908,"")</f>
        <v/>
      </c>
      <c r="J1908" t="str">
        <f>IF(FT!B1908&lt;&gt;"",FT!C1908,"")</f>
        <v/>
      </c>
    </row>
    <row r="1909" spans="5:10">
      <c r="E1909">
        <f t="shared" si="71"/>
        <v>1907</v>
      </c>
      <c r="F1909" s="61" t="str">
        <f>IF(FT!A1909&lt;&gt;"",FT!A1909*10,"")</f>
        <v/>
      </c>
      <c r="G1909" s="61" t="str">
        <f>IF(FT!B1909&lt;&gt;"",FT!B1909*100,"")</f>
        <v/>
      </c>
      <c r="H1909" s="61" t="str">
        <f t="shared" si="70"/>
        <v/>
      </c>
      <c r="I1909" t="str">
        <f>IF(FT!B1909&lt;&gt;"",FT!E1909,"")</f>
        <v/>
      </c>
      <c r="J1909" t="str">
        <f>IF(FT!B1909&lt;&gt;"",FT!C1909,"")</f>
        <v/>
      </c>
    </row>
    <row r="1910" spans="5:10">
      <c r="E1910">
        <f t="shared" si="71"/>
        <v>1908</v>
      </c>
      <c r="F1910" s="61" t="str">
        <f>IF(FT!A1910&lt;&gt;"",FT!A1910*10,"")</f>
        <v/>
      </c>
      <c r="G1910" s="61" t="str">
        <f>IF(FT!B1910&lt;&gt;"",FT!B1910*100,"")</f>
        <v/>
      </c>
      <c r="H1910" s="61" t="str">
        <f t="shared" si="70"/>
        <v/>
      </c>
      <c r="I1910" t="str">
        <f>IF(FT!B1910&lt;&gt;"",FT!E1910,"")</f>
        <v/>
      </c>
      <c r="J1910" t="str">
        <f>IF(FT!B1910&lt;&gt;"",FT!C1910,"")</f>
        <v/>
      </c>
    </row>
    <row r="1911" spans="5:10">
      <c r="E1911">
        <f t="shared" si="71"/>
        <v>1909</v>
      </c>
      <c r="F1911" s="61" t="str">
        <f>IF(FT!A1911&lt;&gt;"",FT!A1911*10,"")</f>
        <v/>
      </c>
      <c r="G1911" s="61" t="str">
        <f>IF(FT!B1911&lt;&gt;"",FT!B1911*100,"")</f>
        <v/>
      </c>
      <c r="H1911" s="61" t="str">
        <f t="shared" si="70"/>
        <v/>
      </c>
      <c r="I1911" t="str">
        <f>IF(FT!B1911&lt;&gt;"",FT!E1911,"")</f>
        <v/>
      </c>
      <c r="J1911" t="str">
        <f>IF(FT!B1911&lt;&gt;"",FT!C1911,"")</f>
        <v/>
      </c>
    </row>
    <row r="1912" spans="5:10">
      <c r="E1912">
        <f t="shared" si="71"/>
        <v>1910</v>
      </c>
      <c r="F1912" s="61" t="str">
        <f>IF(FT!A1912&lt;&gt;"",FT!A1912*10,"")</f>
        <v/>
      </c>
      <c r="G1912" s="61" t="str">
        <f>IF(FT!B1912&lt;&gt;"",FT!B1912*100,"")</f>
        <v/>
      </c>
      <c r="H1912" s="61" t="str">
        <f t="shared" si="70"/>
        <v/>
      </c>
      <c r="I1912" t="str">
        <f>IF(FT!B1912&lt;&gt;"",FT!E1912,"")</f>
        <v/>
      </c>
      <c r="J1912" t="str">
        <f>IF(FT!B1912&lt;&gt;"",FT!C1912,"")</f>
        <v/>
      </c>
    </row>
    <row r="1913" spans="5:10">
      <c r="E1913">
        <f t="shared" si="71"/>
        <v>1911</v>
      </c>
      <c r="F1913" s="61" t="str">
        <f>IF(FT!A1913&lt;&gt;"",FT!A1913*10,"")</f>
        <v/>
      </c>
      <c r="G1913" s="61" t="str">
        <f>IF(FT!B1913&lt;&gt;"",FT!B1913*100,"")</f>
        <v/>
      </c>
      <c r="H1913" s="61" t="str">
        <f t="shared" si="70"/>
        <v/>
      </c>
      <c r="I1913" t="str">
        <f>IF(FT!B1913&lt;&gt;"",FT!E1913,"")</f>
        <v/>
      </c>
      <c r="J1913" t="str">
        <f>IF(FT!B1913&lt;&gt;"",FT!C1913,"")</f>
        <v/>
      </c>
    </row>
    <row r="1914" spans="5:10">
      <c r="E1914">
        <f t="shared" si="71"/>
        <v>1912</v>
      </c>
      <c r="F1914" s="61" t="str">
        <f>IF(FT!A1914&lt;&gt;"",FT!A1914*10,"")</f>
        <v/>
      </c>
      <c r="G1914" s="61" t="str">
        <f>IF(FT!B1914&lt;&gt;"",FT!B1914*100,"")</f>
        <v/>
      </c>
      <c r="H1914" s="61" t="str">
        <f t="shared" si="70"/>
        <v/>
      </c>
      <c r="I1914" t="str">
        <f>IF(FT!B1914&lt;&gt;"",FT!E1914,"")</f>
        <v/>
      </c>
      <c r="J1914" t="str">
        <f>IF(FT!B1914&lt;&gt;"",FT!C1914,"")</f>
        <v/>
      </c>
    </row>
    <row r="1915" spans="5:10">
      <c r="E1915">
        <f t="shared" si="71"/>
        <v>1913</v>
      </c>
      <c r="F1915" s="61" t="str">
        <f>IF(FT!A1915&lt;&gt;"",FT!A1915*10,"")</f>
        <v/>
      </c>
      <c r="G1915" s="61" t="str">
        <f>IF(FT!B1915&lt;&gt;"",FT!B1915*100,"")</f>
        <v/>
      </c>
      <c r="H1915" s="61" t="str">
        <f t="shared" si="70"/>
        <v/>
      </c>
      <c r="I1915" t="str">
        <f>IF(FT!B1915&lt;&gt;"",FT!E1915,"")</f>
        <v/>
      </c>
      <c r="J1915" t="str">
        <f>IF(FT!B1915&lt;&gt;"",FT!C1915,"")</f>
        <v/>
      </c>
    </row>
    <row r="1916" spans="5:10">
      <c r="E1916">
        <f t="shared" si="71"/>
        <v>1914</v>
      </c>
      <c r="F1916" s="61" t="str">
        <f>IF(FT!A1916&lt;&gt;"",FT!A1916*10,"")</f>
        <v/>
      </c>
      <c r="G1916" s="61" t="str">
        <f>IF(FT!B1916&lt;&gt;"",FT!B1916*100,"")</f>
        <v/>
      </c>
      <c r="H1916" s="61" t="str">
        <f t="shared" si="70"/>
        <v/>
      </c>
      <c r="I1916" t="str">
        <f>IF(FT!B1916&lt;&gt;"",FT!E1916,"")</f>
        <v/>
      </c>
      <c r="J1916" t="str">
        <f>IF(FT!B1916&lt;&gt;"",FT!C1916,"")</f>
        <v/>
      </c>
    </row>
    <row r="1917" spans="5:10">
      <c r="E1917">
        <f t="shared" si="71"/>
        <v>1915</v>
      </c>
      <c r="F1917" s="61" t="str">
        <f>IF(FT!A1917&lt;&gt;"",FT!A1917*10,"")</f>
        <v/>
      </c>
      <c r="G1917" s="61" t="str">
        <f>IF(FT!B1917&lt;&gt;"",FT!B1917*100,"")</f>
        <v/>
      </c>
      <c r="H1917" s="61" t="str">
        <f t="shared" si="70"/>
        <v/>
      </c>
      <c r="I1917" t="str">
        <f>IF(FT!B1917&lt;&gt;"",FT!E1917,"")</f>
        <v/>
      </c>
      <c r="J1917" t="str">
        <f>IF(FT!B1917&lt;&gt;"",FT!C1917,"")</f>
        <v/>
      </c>
    </row>
    <row r="1918" spans="5:10">
      <c r="E1918">
        <f t="shared" si="71"/>
        <v>1916</v>
      </c>
      <c r="F1918" s="61" t="str">
        <f>IF(FT!A1918&lt;&gt;"",FT!A1918*10,"")</f>
        <v/>
      </c>
      <c r="G1918" s="61" t="str">
        <f>IF(FT!B1918&lt;&gt;"",FT!B1918*100,"")</f>
        <v/>
      </c>
      <c r="H1918" s="61" t="str">
        <f t="shared" si="70"/>
        <v/>
      </c>
      <c r="I1918" t="str">
        <f>IF(FT!B1918&lt;&gt;"",FT!E1918,"")</f>
        <v/>
      </c>
      <c r="J1918" t="str">
        <f>IF(FT!B1918&lt;&gt;"",FT!C1918,"")</f>
        <v/>
      </c>
    </row>
    <row r="1919" spans="5:10">
      <c r="E1919">
        <f t="shared" si="71"/>
        <v>1917</v>
      </c>
      <c r="F1919" s="61" t="str">
        <f>IF(FT!A1919&lt;&gt;"",FT!A1919*10,"")</f>
        <v/>
      </c>
      <c r="G1919" s="61" t="str">
        <f>IF(FT!B1919&lt;&gt;"",FT!B1919*100,"")</f>
        <v/>
      </c>
      <c r="H1919" s="61" t="str">
        <f t="shared" si="70"/>
        <v/>
      </c>
      <c r="I1919" t="str">
        <f>IF(FT!B1919&lt;&gt;"",FT!E1919,"")</f>
        <v/>
      </c>
      <c r="J1919" t="str">
        <f>IF(FT!B1919&lt;&gt;"",FT!C1919,"")</f>
        <v/>
      </c>
    </row>
    <row r="1920" spans="5:10">
      <c r="E1920">
        <f t="shared" si="71"/>
        <v>1918</v>
      </c>
      <c r="F1920" s="61" t="str">
        <f>IF(FT!A1920&lt;&gt;"",FT!A1920*10,"")</f>
        <v/>
      </c>
      <c r="G1920" s="61" t="str">
        <f>IF(FT!B1920&lt;&gt;"",FT!B1920*100,"")</f>
        <v/>
      </c>
      <c r="H1920" s="61" t="str">
        <f t="shared" si="70"/>
        <v/>
      </c>
      <c r="I1920" t="str">
        <f>IF(FT!B1920&lt;&gt;"",FT!E1920,"")</f>
        <v/>
      </c>
      <c r="J1920" t="str">
        <f>IF(FT!B1920&lt;&gt;"",FT!C1920,"")</f>
        <v/>
      </c>
    </row>
    <row r="1921" spans="5:10">
      <c r="E1921">
        <f t="shared" si="71"/>
        <v>1919</v>
      </c>
      <c r="F1921" s="61" t="str">
        <f>IF(FT!A1921&lt;&gt;"",FT!A1921*10,"")</f>
        <v/>
      </c>
      <c r="G1921" s="61" t="str">
        <f>IF(FT!B1921&lt;&gt;"",FT!B1921*100,"")</f>
        <v/>
      </c>
      <c r="H1921" s="61" t="str">
        <f t="shared" si="70"/>
        <v/>
      </c>
      <c r="I1921" t="str">
        <f>IF(FT!B1921&lt;&gt;"",FT!E1921,"")</f>
        <v/>
      </c>
      <c r="J1921" t="str">
        <f>IF(FT!B1921&lt;&gt;"",FT!C1921,"")</f>
        <v/>
      </c>
    </row>
    <row r="1922" spans="5:10">
      <c r="E1922">
        <f t="shared" si="71"/>
        <v>1920</v>
      </c>
      <c r="F1922" s="61" t="str">
        <f>IF(FT!A1922&lt;&gt;"",FT!A1922*10,"")</f>
        <v/>
      </c>
      <c r="G1922" s="61" t="str">
        <f>IF(FT!B1922&lt;&gt;"",FT!B1922*100,"")</f>
        <v/>
      </c>
      <c r="H1922" s="61" t="str">
        <f t="shared" si="70"/>
        <v/>
      </c>
      <c r="I1922" t="str">
        <f>IF(FT!B1922&lt;&gt;"",FT!E1922,"")</f>
        <v/>
      </c>
      <c r="J1922" t="str">
        <f>IF(FT!B1922&lt;&gt;"",FT!C1922,"")</f>
        <v/>
      </c>
    </row>
    <row r="1923" spans="5:10">
      <c r="E1923">
        <f t="shared" si="71"/>
        <v>1921</v>
      </c>
      <c r="F1923" s="61" t="str">
        <f>IF(FT!A1923&lt;&gt;"",FT!A1923*10,"")</f>
        <v/>
      </c>
      <c r="G1923" s="61" t="str">
        <f>IF(FT!B1923&lt;&gt;"",FT!B1923*100,"")</f>
        <v/>
      </c>
      <c r="H1923" s="61" t="str">
        <f t="shared" ref="H1923:H1986" si="72">(IF(F1923&lt;&gt;"",1,""))</f>
        <v/>
      </c>
      <c r="I1923" t="str">
        <f>IF(FT!B1923&lt;&gt;"",FT!E1923,"")</f>
        <v/>
      </c>
      <c r="J1923" t="str">
        <f>IF(FT!B1923&lt;&gt;"",FT!C1923,"")</f>
        <v/>
      </c>
    </row>
    <row r="1924" spans="5:10">
      <c r="E1924">
        <f t="shared" ref="E1924:E1987" si="73">E1923+1</f>
        <v>1922</v>
      </c>
      <c r="F1924" s="61" t="str">
        <f>IF(FT!A1924&lt;&gt;"",FT!A1924*10,"")</f>
        <v/>
      </c>
      <c r="G1924" s="61" t="str">
        <f>IF(FT!B1924&lt;&gt;"",FT!B1924*100,"")</f>
        <v/>
      </c>
      <c r="H1924" s="61" t="str">
        <f t="shared" si="72"/>
        <v/>
      </c>
      <c r="I1924" t="str">
        <f>IF(FT!B1924&lt;&gt;"",FT!E1924,"")</f>
        <v/>
      </c>
      <c r="J1924" t="str">
        <f>IF(FT!B1924&lt;&gt;"",FT!C1924,"")</f>
        <v/>
      </c>
    </row>
    <row r="1925" spans="5:10">
      <c r="E1925">
        <f t="shared" si="73"/>
        <v>1923</v>
      </c>
      <c r="F1925" s="61" t="str">
        <f>IF(FT!A1925&lt;&gt;"",FT!A1925*10,"")</f>
        <v/>
      </c>
      <c r="G1925" s="61" t="str">
        <f>IF(FT!B1925&lt;&gt;"",FT!B1925*100,"")</f>
        <v/>
      </c>
      <c r="H1925" s="61" t="str">
        <f t="shared" si="72"/>
        <v/>
      </c>
      <c r="I1925" t="str">
        <f>IF(FT!B1925&lt;&gt;"",FT!E1925,"")</f>
        <v/>
      </c>
      <c r="J1925" t="str">
        <f>IF(FT!B1925&lt;&gt;"",FT!C1925,"")</f>
        <v/>
      </c>
    </row>
    <row r="1926" spans="5:10">
      <c r="E1926">
        <f t="shared" si="73"/>
        <v>1924</v>
      </c>
      <c r="F1926" s="61" t="str">
        <f>IF(FT!A1926&lt;&gt;"",FT!A1926*10,"")</f>
        <v/>
      </c>
      <c r="G1926" s="61" t="str">
        <f>IF(FT!B1926&lt;&gt;"",FT!B1926*100,"")</f>
        <v/>
      </c>
      <c r="H1926" s="61" t="str">
        <f t="shared" si="72"/>
        <v/>
      </c>
      <c r="I1926" t="str">
        <f>IF(FT!B1926&lt;&gt;"",FT!E1926,"")</f>
        <v/>
      </c>
      <c r="J1926" t="str">
        <f>IF(FT!B1926&lt;&gt;"",FT!C1926,"")</f>
        <v/>
      </c>
    </row>
    <row r="1927" spans="5:10">
      <c r="E1927">
        <f t="shared" si="73"/>
        <v>1925</v>
      </c>
      <c r="F1927" s="61" t="str">
        <f>IF(FT!A1927&lt;&gt;"",FT!A1927*10,"")</f>
        <v/>
      </c>
      <c r="G1927" s="61" t="str">
        <f>IF(FT!B1927&lt;&gt;"",FT!B1927*100,"")</f>
        <v/>
      </c>
      <c r="H1927" s="61" t="str">
        <f t="shared" si="72"/>
        <v/>
      </c>
      <c r="I1927" t="str">
        <f>IF(FT!B1927&lt;&gt;"",FT!E1927,"")</f>
        <v/>
      </c>
      <c r="J1927" t="str">
        <f>IF(FT!B1927&lt;&gt;"",FT!C1927,"")</f>
        <v/>
      </c>
    </row>
    <row r="1928" spans="5:10">
      <c r="E1928">
        <f t="shared" si="73"/>
        <v>1926</v>
      </c>
      <c r="F1928" s="61" t="str">
        <f>IF(FT!A1928&lt;&gt;"",FT!A1928*10,"")</f>
        <v/>
      </c>
      <c r="G1928" s="61" t="str">
        <f>IF(FT!B1928&lt;&gt;"",FT!B1928*100,"")</f>
        <v/>
      </c>
      <c r="H1928" s="61" t="str">
        <f t="shared" si="72"/>
        <v/>
      </c>
      <c r="I1928" t="str">
        <f>IF(FT!B1928&lt;&gt;"",FT!E1928,"")</f>
        <v/>
      </c>
      <c r="J1928" t="str">
        <f>IF(FT!B1928&lt;&gt;"",FT!C1928,"")</f>
        <v/>
      </c>
    </row>
    <row r="1929" spans="5:10">
      <c r="E1929">
        <f t="shared" si="73"/>
        <v>1927</v>
      </c>
      <c r="F1929" s="61" t="str">
        <f>IF(FT!A1929&lt;&gt;"",FT!A1929*10,"")</f>
        <v/>
      </c>
      <c r="G1929" s="61" t="str">
        <f>IF(FT!B1929&lt;&gt;"",FT!B1929*100,"")</f>
        <v/>
      </c>
      <c r="H1929" s="61" t="str">
        <f t="shared" si="72"/>
        <v/>
      </c>
      <c r="I1929" t="str">
        <f>IF(FT!B1929&lt;&gt;"",FT!E1929,"")</f>
        <v/>
      </c>
      <c r="J1929" t="str">
        <f>IF(FT!B1929&lt;&gt;"",FT!C1929,"")</f>
        <v/>
      </c>
    </row>
    <row r="1930" spans="5:10">
      <c r="E1930">
        <f t="shared" si="73"/>
        <v>1928</v>
      </c>
      <c r="F1930" s="61" t="str">
        <f>IF(FT!A1930&lt;&gt;"",FT!A1930*10,"")</f>
        <v/>
      </c>
      <c r="G1930" s="61" t="str">
        <f>IF(FT!B1930&lt;&gt;"",FT!B1930*100,"")</f>
        <v/>
      </c>
      <c r="H1930" s="61" t="str">
        <f t="shared" si="72"/>
        <v/>
      </c>
      <c r="I1930" t="str">
        <f>IF(FT!B1930&lt;&gt;"",FT!E1930,"")</f>
        <v/>
      </c>
      <c r="J1930" t="str">
        <f>IF(FT!B1930&lt;&gt;"",FT!C1930,"")</f>
        <v/>
      </c>
    </row>
    <row r="1931" spans="5:10">
      <c r="E1931">
        <f t="shared" si="73"/>
        <v>1929</v>
      </c>
      <c r="F1931" s="61" t="str">
        <f>IF(FT!A1931&lt;&gt;"",FT!A1931*10,"")</f>
        <v/>
      </c>
      <c r="G1931" s="61" t="str">
        <f>IF(FT!B1931&lt;&gt;"",FT!B1931*100,"")</f>
        <v/>
      </c>
      <c r="H1931" s="61" t="str">
        <f t="shared" si="72"/>
        <v/>
      </c>
      <c r="I1931" t="str">
        <f>IF(FT!B1931&lt;&gt;"",FT!E1931,"")</f>
        <v/>
      </c>
      <c r="J1931" t="str">
        <f>IF(FT!B1931&lt;&gt;"",FT!C1931,"")</f>
        <v/>
      </c>
    </row>
    <row r="1932" spans="5:10">
      <c r="E1932">
        <f t="shared" si="73"/>
        <v>1930</v>
      </c>
      <c r="F1932" s="61" t="str">
        <f>IF(FT!A1932&lt;&gt;"",FT!A1932*10,"")</f>
        <v/>
      </c>
      <c r="G1932" s="61" t="str">
        <f>IF(FT!B1932&lt;&gt;"",FT!B1932*100,"")</f>
        <v/>
      </c>
      <c r="H1932" s="61" t="str">
        <f t="shared" si="72"/>
        <v/>
      </c>
      <c r="I1932" t="str">
        <f>IF(FT!B1932&lt;&gt;"",FT!E1932,"")</f>
        <v/>
      </c>
      <c r="J1932" t="str">
        <f>IF(FT!B1932&lt;&gt;"",FT!C1932,"")</f>
        <v/>
      </c>
    </row>
    <row r="1933" spans="5:10">
      <c r="E1933">
        <f t="shared" si="73"/>
        <v>1931</v>
      </c>
      <c r="F1933" s="61" t="str">
        <f>IF(FT!A1933&lt;&gt;"",FT!A1933*10,"")</f>
        <v/>
      </c>
      <c r="G1933" s="61" t="str">
        <f>IF(FT!B1933&lt;&gt;"",FT!B1933*100,"")</f>
        <v/>
      </c>
      <c r="H1933" s="61" t="str">
        <f t="shared" si="72"/>
        <v/>
      </c>
      <c r="I1933" t="str">
        <f>IF(FT!B1933&lt;&gt;"",FT!E1933,"")</f>
        <v/>
      </c>
      <c r="J1933" t="str">
        <f>IF(FT!B1933&lt;&gt;"",FT!C1933,"")</f>
        <v/>
      </c>
    </row>
    <row r="1934" spans="5:10">
      <c r="E1934">
        <f t="shared" si="73"/>
        <v>1932</v>
      </c>
      <c r="F1934" s="61" t="str">
        <f>IF(FT!A1934&lt;&gt;"",FT!A1934*10,"")</f>
        <v/>
      </c>
      <c r="G1934" s="61" t="str">
        <f>IF(FT!B1934&lt;&gt;"",FT!B1934*100,"")</f>
        <v/>
      </c>
      <c r="H1934" s="61" t="str">
        <f t="shared" si="72"/>
        <v/>
      </c>
      <c r="I1934" t="str">
        <f>IF(FT!B1934&lt;&gt;"",FT!E1934,"")</f>
        <v/>
      </c>
      <c r="J1934" t="str">
        <f>IF(FT!B1934&lt;&gt;"",FT!C1934,"")</f>
        <v/>
      </c>
    </row>
    <row r="1935" spans="5:10">
      <c r="E1935">
        <f t="shared" si="73"/>
        <v>1933</v>
      </c>
      <c r="F1935" s="61" t="str">
        <f>IF(FT!A1935&lt;&gt;"",FT!A1935*10,"")</f>
        <v/>
      </c>
      <c r="G1935" s="61" t="str">
        <f>IF(FT!B1935&lt;&gt;"",FT!B1935*100,"")</f>
        <v/>
      </c>
      <c r="H1935" s="61" t="str">
        <f t="shared" si="72"/>
        <v/>
      </c>
      <c r="I1935" t="str">
        <f>IF(FT!B1935&lt;&gt;"",FT!E1935,"")</f>
        <v/>
      </c>
      <c r="J1935" t="str">
        <f>IF(FT!B1935&lt;&gt;"",FT!C1935,"")</f>
        <v/>
      </c>
    </row>
    <row r="1936" spans="5:10">
      <c r="E1936">
        <f t="shared" si="73"/>
        <v>1934</v>
      </c>
      <c r="F1936" s="61" t="str">
        <f>IF(FT!A1936&lt;&gt;"",FT!A1936*10,"")</f>
        <v/>
      </c>
      <c r="G1936" s="61" t="str">
        <f>IF(FT!B1936&lt;&gt;"",FT!B1936*100,"")</f>
        <v/>
      </c>
      <c r="H1936" s="61" t="str">
        <f t="shared" si="72"/>
        <v/>
      </c>
      <c r="I1936" t="str">
        <f>IF(FT!B1936&lt;&gt;"",FT!E1936,"")</f>
        <v/>
      </c>
      <c r="J1936" t="str">
        <f>IF(FT!B1936&lt;&gt;"",FT!C1936,"")</f>
        <v/>
      </c>
    </row>
    <row r="1937" spans="5:10">
      <c r="E1937">
        <f t="shared" si="73"/>
        <v>1935</v>
      </c>
      <c r="F1937" s="61" t="str">
        <f>IF(FT!A1937&lt;&gt;"",FT!A1937*10,"")</f>
        <v/>
      </c>
      <c r="G1937" s="61" t="str">
        <f>IF(FT!B1937&lt;&gt;"",FT!B1937*100,"")</f>
        <v/>
      </c>
      <c r="H1937" s="61" t="str">
        <f t="shared" si="72"/>
        <v/>
      </c>
      <c r="I1937" t="str">
        <f>IF(FT!B1937&lt;&gt;"",FT!E1937,"")</f>
        <v/>
      </c>
      <c r="J1937" t="str">
        <f>IF(FT!B1937&lt;&gt;"",FT!C1937,"")</f>
        <v/>
      </c>
    </row>
    <row r="1938" spans="5:10">
      <c r="E1938">
        <f t="shared" si="73"/>
        <v>1936</v>
      </c>
      <c r="F1938" s="61" t="str">
        <f>IF(FT!A1938&lt;&gt;"",FT!A1938*10,"")</f>
        <v/>
      </c>
      <c r="G1938" s="61" t="str">
        <f>IF(FT!B1938&lt;&gt;"",FT!B1938*100,"")</f>
        <v/>
      </c>
      <c r="H1938" s="61" t="str">
        <f t="shared" si="72"/>
        <v/>
      </c>
      <c r="I1938" t="str">
        <f>IF(FT!B1938&lt;&gt;"",FT!E1938,"")</f>
        <v/>
      </c>
      <c r="J1938" t="str">
        <f>IF(FT!B1938&lt;&gt;"",FT!C1938,"")</f>
        <v/>
      </c>
    </row>
    <row r="1939" spans="5:10">
      <c r="E1939">
        <f t="shared" si="73"/>
        <v>1937</v>
      </c>
      <c r="F1939" s="61" t="str">
        <f>IF(FT!A1939&lt;&gt;"",FT!A1939*10,"")</f>
        <v/>
      </c>
      <c r="G1939" s="61" t="str">
        <f>IF(FT!B1939&lt;&gt;"",FT!B1939*100,"")</f>
        <v/>
      </c>
      <c r="H1939" s="61" t="str">
        <f t="shared" si="72"/>
        <v/>
      </c>
      <c r="I1939" t="str">
        <f>IF(FT!B1939&lt;&gt;"",FT!E1939,"")</f>
        <v/>
      </c>
      <c r="J1939" t="str">
        <f>IF(FT!B1939&lt;&gt;"",FT!C1939,"")</f>
        <v/>
      </c>
    </row>
    <row r="1940" spans="5:10">
      <c r="E1940">
        <f t="shared" si="73"/>
        <v>1938</v>
      </c>
      <c r="F1940" s="61" t="str">
        <f>IF(FT!A1940&lt;&gt;"",FT!A1940*10,"")</f>
        <v/>
      </c>
      <c r="G1940" s="61" t="str">
        <f>IF(FT!B1940&lt;&gt;"",FT!B1940*100,"")</f>
        <v/>
      </c>
      <c r="H1940" s="61" t="str">
        <f t="shared" si="72"/>
        <v/>
      </c>
      <c r="I1940" t="str">
        <f>IF(FT!B1940&lt;&gt;"",FT!E1940,"")</f>
        <v/>
      </c>
      <c r="J1940" t="str">
        <f>IF(FT!B1940&lt;&gt;"",FT!C1940,"")</f>
        <v/>
      </c>
    </row>
    <row r="1941" spans="5:10">
      <c r="E1941">
        <f t="shared" si="73"/>
        <v>1939</v>
      </c>
      <c r="F1941" s="61" t="str">
        <f>IF(FT!A1941&lt;&gt;"",FT!A1941*10,"")</f>
        <v/>
      </c>
      <c r="G1941" s="61" t="str">
        <f>IF(FT!B1941&lt;&gt;"",FT!B1941*100,"")</f>
        <v/>
      </c>
      <c r="H1941" s="61" t="str">
        <f t="shared" si="72"/>
        <v/>
      </c>
      <c r="I1941" t="str">
        <f>IF(FT!B1941&lt;&gt;"",FT!E1941,"")</f>
        <v/>
      </c>
      <c r="J1941" t="str">
        <f>IF(FT!B1941&lt;&gt;"",FT!C1941,"")</f>
        <v/>
      </c>
    </row>
    <row r="1942" spans="5:10">
      <c r="E1942">
        <f t="shared" si="73"/>
        <v>1940</v>
      </c>
      <c r="F1942" s="61" t="str">
        <f>IF(FT!A1942&lt;&gt;"",FT!A1942*10,"")</f>
        <v/>
      </c>
      <c r="G1942" s="61" t="str">
        <f>IF(FT!B1942&lt;&gt;"",FT!B1942*100,"")</f>
        <v/>
      </c>
      <c r="H1942" s="61" t="str">
        <f t="shared" si="72"/>
        <v/>
      </c>
      <c r="I1942" t="str">
        <f>IF(FT!B1942&lt;&gt;"",FT!E1942,"")</f>
        <v/>
      </c>
      <c r="J1942" t="str">
        <f>IF(FT!B1942&lt;&gt;"",FT!C1942,"")</f>
        <v/>
      </c>
    </row>
    <row r="1943" spans="5:10">
      <c r="E1943">
        <f t="shared" si="73"/>
        <v>1941</v>
      </c>
      <c r="F1943" s="61" t="str">
        <f>IF(FT!A1943&lt;&gt;"",FT!A1943*10,"")</f>
        <v/>
      </c>
      <c r="G1943" s="61" t="str">
        <f>IF(FT!B1943&lt;&gt;"",FT!B1943*100,"")</f>
        <v/>
      </c>
      <c r="H1943" s="61" t="str">
        <f t="shared" si="72"/>
        <v/>
      </c>
      <c r="I1943" t="str">
        <f>IF(FT!B1943&lt;&gt;"",FT!E1943,"")</f>
        <v/>
      </c>
      <c r="J1943" t="str">
        <f>IF(FT!B1943&lt;&gt;"",FT!C1943,"")</f>
        <v/>
      </c>
    </row>
    <row r="1944" spans="5:10">
      <c r="E1944">
        <f t="shared" si="73"/>
        <v>1942</v>
      </c>
      <c r="F1944" s="61" t="str">
        <f>IF(FT!A1944&lt;&gt;"",FT!A1944*10,"")</f>
        <v/>
      </c>
      <c r="G1944" s="61" t="str">
        <f>IF(FT!B1944&lt;&gt;"",FT!B1944*100,"")</f>
        <v/>
      </c>
      <c r="H1944" s="61" t="str">
        <f t="shared" si="72"/>
        <v/>
      </c>
      <c r="I1944" t="str">
        <f>IF(FT!B1944&lt;&gt;"",FT!E1944,"")</f>
        <v/>
      </c>
      <c r="J1944" t="str">
        <f>IF(FT!B1944&lt;&gt;"",FT!C1944,"")</f>
        <v/>
      </c>
    </row>
    <row r="1945" spans="5:10">
      <c r="E1945">
        <f t="shared" si="73"/>
        <v>1943</v>
      </c>
      <c r="F1945" s="61" t="str">
        <f>IF(FT!A1945&lt;&gt;"",FT!A1945*10,"")</f>
        <v/>
      </c>
      <c r="G1945" s="61" t="str">
        <f>IF(FT!B1945&lt;&gt;"",FT!B1945*100,"")</f>
        <v/>
      </c>
      <c r="H1945" s="61" t="str">
        <f t="shared" si="72"/>
        <v/>
      </c>
      <c r="I1945" t="str">
        <f>IF(FT!B1945&lt;&gt;"",FT!E1945,"")</f>
        <v/>
      </c>
      <c r="J1945" t="str">
        <f>IF(FT!B1945&lt;&gt;"",FT!C1945,"")</f>
        <v/>
      </c>
    </row>
    <row r="1946" spans="5:10">
      <c r="E1946">
        <f t="shared" si="73"/>
        <v>1944</v>
      </c>
      <c r="F1946" s="61" t="str">
        <f>IF(FT!A1946&lt;&gt;"",FT!A1946*10,"")</f>
        <v/>
      </c>
      <c r="G1946" s="61" t="str">
        <f>IF(FT!B1946&lt;&gt;"",FT!B1946*100,"")</f>
        <v/>
      </c>
      <c r="H1946" s="61" t="str">
        <f t="shared" si="72"/>
        <v/>
      </c>
      <c r="I1946" t="str">
        <f>IF(FT!B1946&lt;&gt;"",FT!E1946,"")</f>
        <v/>
      </c>
      <c r="J1946" t="str">
        <f>IF(FT!B1946&lt;&gt;"",FT!C1946,"")</f>
        <v/>
      </c>
    </row>
    <row r="1947" spans="5:10">
      <c r="E1947">
        <f t="shared" si="73"/>
        <v>1945</v>
      </c>
      <c r="F1947" s="61" t="str">
        <f>IF(FT!A1947&lt;&gt;"",FT!A1947*10,"")</f>
        <v/>
      </c>
      <c r="G1947" s="61" t="str">
        <f>IF(FT!B1947&lt;&gt;"",FT!B1947*100,"")</f>
        <v/>
      </c>
      <c r="H1947" s="61" t="str">
        <f t="shared" si="72"/>
        <v/>
      </c>
      <c r="I1947" t="str">
        <f>IF(FT!B1947&lt;&gt;"",FT!E1947,"")</f>
        <v/>
      </c>
      <c r="J1947" t="str">
        <f>IF(FT!B1947&lt;&gt;"",FT!C1947,"")</f>
        <v/>
      </c>
    </row>
    <row r="1948" spans="5:10">
      <c r="E1948">
        <f t="shared" si="73"/>
        <v>1946</v>
      </c>
      <c r="F1948" s="61" t="str">
        <f>IF(FT!A1948&lt;&gt;"",FT!A1948*10,"")</f>
        <v/>
      </c>
      <c r="G1948" s="61" t="str">
        <f>IF(FT!B1948&lt;&gt;"",FT!B1948*100,"")</f>
        <v/>
      </c>
      <c r="H1948" s="61" t="str">
        <f t="shared" si="72"/>
        <v/>
      </c>
      <c r="I1948" t="str">
        <f>IF(FT!B1948&lt;&gt;"",FT!E1948,"")</f>
        <v/>
      </c>
      <c r="J1948" t="str">
        <f>IF(FT!B1948&lt;&gt;"",FT!C1948,"")</f>
        <v/>
      </c>
    </row>
    <row r="1949" spans="5:10">
      <c r="E1949">
        <f t="shared" si="73"/>
        <v>1947</v>
      </c>
      <c r="F1949" s="61" t="str">
        <f>IF(FT!A1949&lt;&gt;"",FT!A1949*10,"")</f>
        <v/>
      </c>
      <c r="G1949" s="61" t="str">
        <f>IF(FT!B1949&lt;&gt;"",FT!B1949*100,"")</f>
        <v/>
      </c>
      <c r="H1949" s="61" t="str">
        <f t="shared" si="72"/>
        <v/>
      </c>
      <c r="I1949" t="str">
        <f>IF(FT!B1949&lt;&gt;"",FT!E1949,"")</f>
        <v/>
      </c>
      <c r="J1949" t="str">
        <f>IF(FT!B1949&lt;&gt;"",FT!C1949,"")</f>
        <v/>
      </c>
    </row>
    <row r="1950" spans="5:10">
      <c r="E1950">
        <f t="shared" si="73"/>
        <v>1948</v>
      </c>
      <c r="F1950" s="61" t="str">
        <f>IF(FT!A1950&lt;&gt;"",FT!A1950*10,"")</f>
        <v/>
      </c>
      <c r="G1950" s="61" t="str">
        <f>IF(FT!B1950&lt;&gt;"",FT!B1950*100,"")</f>
        <v/>
      </c>
      <c r="H1950" s="61" t="str">
        <f t="shared" si="72"/>
        <v/>
      </c>
      <c r="I1950" t="str">
        <f>IF(FT!B1950&lt;&gt;"",FT!E1950,"")</f>
        <v/>
      </c>
      <c r="J1950" t="str">
        <f>IF(FT!B1950&lt;&gt;"",FT!C1950,"")</f>
        <v/>
      </c>
    </row>
    <row r="1951" spans="5:10">
      <c r="E1951">
        <f t="shared" si="73"/>
        <v>1949</v>
      </c>
      <c r="F1951" s="61" t="str">
        <f>IF(FT!A1951&lt;&gt;"",FT!A1951*10,"")</f>
        <v/>
      </c>
      <c r="G1951" s="61" t="str">
        <f>IF(FT!B1951&lt;&gt;"",FT!B1951*100,"")</f>
        <v/>
      </c>
      <c r="H1951" s="61" t="str">
        <f t="shared" si="72"/>
        <v/>
      </c>
      <c r="I1951" t="str">
        <f>IF(FT!B1951&lt;&gt;"",FT!E1951,"")</f>
        <v/>
      </c>
      <c r="J1951" t="str">
        <f>IF(FT!B1951&lt;&gt;"",FT!C1951,"")</f>
        <v/>
      </c>
    </row>
    <row r="1952" spans="5:10">
      <c r="E1952">
        <f t="shared" si="73"/>
        <v>1950</v>
      </c>
      <c r="F1952" s="61" t="str">
        <f>IF(FT!A1952&lt;&gt;"",FT!A1952*10,"")</f>
        <v/>
      </c>
      <c r="G1952" s="61" t="str">
        <f>IF(FT!B1952&lt;&gt;"",FT!B1952*100,"")</f>
        <v/>
      </c>
      <c r="H1952" s="61" t="str">
        <f t="shared" si="72"/>
        <v/>
      </c>
      <c r="I1952" t="str">
        <f>IF(FT!B1952&lt;&gt;"",FT!E1952,"")</f>
        <v/>
      </c>
      <c r="J1952" t="str">
        <f>IF(FT!B1952&lt;&gt;"",FT!C1952,"")</f>
        <v/>
      </c>
    </row>
    <row r="1953" spans="5:10">
      <c r="E1953">
        <f t="shared" si="73"/>
        <v>1951</v>
      </c>
      <c r="F1953" s="61" t="str">
        <f>IF(FT!A1953&lt;&gt;"",FT!A1953*10,"")</f>
        <v/>
      </c>
      <c r="G1953" s="61" t="str">
        <f>IF(FT!B1953&lt;&gt;"",FT!B1953*100,"")</f>
        <v/>
      </c>
      <c r="H1953" s="61" t="str">
        <f t="shared" si="72"/>
        <v/>
      </c>
      <c r="I1953" t="str">
        <f>IF(FT!B1953&lt;&gt;"",FT!E1953,"")</f>
        <v/>
      </c>
      <c r="J1953" t="str">
        <f>IF(FT!B1953&lt;&gt;"",FT!C1953,"")</f>
        <v/>
      </c>
    </row>
    <row r="1954" spans="5:10">
      <c r="E1954">
        <f t="shared" si="73"/>
        <v>1952</v>
      </c>
      <c r="F1954" s="61" t="str">
        <f>IF(FT!A1954&lt;&gt;"",FT!A1954*10,"")</f>
        <v/>
      </c>
      <c r="G1954" s="61" t="str">
        <f>IF(FT!B1954&lt;&gt;"",FT!B1954*100,"")</f>
        <v/>
      </c>
      <c r="H1954" s="61" t="str">
        <f t="shared" si="72"/>
        <v/>
      </c>
      <c r="I1954" t="str">
        <f>IF(FT!B1954&lt;&gt;"",FT!E1954,"")</f>
        <v/>
      </c>
      <c r="J1954" t="str">
        <f>IF(FT!B1954&lt;&gt;"",FT!C1954,"")</f>
        <v/>
      </c>
    </row>
    <row r="1955" spans="5:10">
      <c r="E1955">
        <f t="shared" si="73"/>
        <v>1953</v>
      </c>
      <c r="F1955" s="61" t="str">
        <f>IF(FT!A1955&lt;&gt;"",FT!A1955*10,"")</f>
        <v/>
      </c>
      <c r="G1955" s="61" t="str">
        <f>IF(FT!B1955&lt;&gt;"",FT!B1955*100,"")</f>
        <v/>
      </c>
      <c r="H1955" s="61" t="str">
        <f t="shared" si="72"/>
        <v/>
      </c>
      <c r="I1955" t="str">
        <f>IF(FT!B1955&lt;&gt;"",FT!E1955,"")</f>
        <v/>
      </c>
      <c r="J1955" t="str">
        <f>IF(FT!B1955&lt;&gt;"",FT!C1955,"")</f>
        <v/>
      </c>
    </row>
    <row r="1956" spans="5:10">
      <c r="E1956">
        <f t="shared" si="73"/>
        <v>1954</v>
      </c>
      <c r="F1956" s="61" t="str">
        <f>IF(FT!A1956&lt;&gt;"",FT!A1956*10,"")</f>
        <v/>
      </c>
      <c r="G1956" s="61" t="str">
        <f>IF(FT!B1956&lt;&gt;"",FT!B1956*100,"")</f>
        <v/>
      </c>
      <c r="H1956" s="61" t="str">
        <f t="shared" si="72"/>
        <v/>
      </c>
      <c r="I1956" t="str">
        <f>IF(FT!B1956&lt;&gt;"",FT!E1956,"")</f>
        <v/>
      </c>
      <c r="J1956" t="str">
        <f>IF(FT!B1956&lt;&gt;"",FT!C1956,"")</f>
        <v/>
      </c>
    </row>
    <row r="1957" spans="5:10">
      <c r="E1957">
        <f t="shared" si="73"/>
        <v>1955</v>
      </c>
      <c r="F1957" s="61" t="str">
        <f>IF(FT!A1957&lt;&gt;"",FT!A1957*10,"")</f>
        <v/>
      </c>
      <c r="G1957" s="61" t="str">
        <f>IF(FT!B1957&lt;&gt;"",FT!B1957*100,"")</f>
        <v/>
      </c>
      <c r="H1957" s="61" t="str">
        <f t="shared" si="72"/>
        <v/>
      </c>
      <c r="I1957" t="str">
        <f>IF(FT!B1957&lt;&gt;"",FT!E1957,"")</f>
        <v/>
      </c>
      <c r="J1957" t="str">
        <f>IF(FT!B1957&lt;&gt;"",FT!C1957,"")</f>
        <v/>
      </c>
    </row>
    <row r="1958" spans="5:10">
      <c r="E1958">
        <f t="shared" si="73"/>
        <v>1956</v>
      </c>
      <c r="F1958" s="61" t="str">
        <f>IF(FT!A1958&lt;&gt;"",FT!A1958*10,"")</f>
        <v/>
      </c>
      <c r="G1958" s="61" t="str">
        <f>IF(FT!B1958&lt;&gt;"",FT!B1958*100,"")</f>
        <v/>
      </c>
      <c r="H1958" s="61" t="str">
        <f t="shared" si="72"/>
        <v/>
      </c>
      <c r="I1958" t="str">
        <f>IF(FT!B1958&lt;&gt;"",FT!E1958,"")</f>
        <v/>
      </c>
      <c r="J1958" t="str">
        <f>IF(FT!B1958&lt;&gt;"",FT!C1958,"")</f>
        <v/>
      </c>
    </row>
    <row r="1959" spans="5:10">
      <c r="E1959">
        <f t="shared" si="73"/>
        <v>1957</v>
      </c>
      <c r="F1959" s="61" t="str">
        <f>IF(FT!A1959&lt;&gt;"",FT!A1959*10,"")</f>
        <v/>
      </c>
      <c r="G1959" s="61" t="str">
        <f>IF(FT!B1959&lt;&gt;"",FT!B1959*100,"")</f>
        <v/>
      </c>
      <c r="H1959" s="61" t="str">
        <f t="shared" si="72"/>
        <v/>
      </c>
      <c r="I1959" t="str">
        <f>IF(FT!B1959&lt;&gt;"",FT!E1959,"")</f>
        <v/>
      </c>
      <c r="J1959" t="str">
        <f>IF(FT!B1959&lt;&gt;"",FT!C1959,"")</f>
        <v/>
      </c>
    </row>
    <row r="1960" spans="5:10">
      <c r="E1960">
        <f t="shared" si="73"/>
        <v>1958</v>
      </c>
      <c r="F1960" s="61" t="str">
        <f>IF(FT!A1960&lt;&gt;"",FT!A1960*10,"")</f>
        <v/>
      </c>
      <c r="G1960" s="61" t="str">
        <f>IF(FT!B1960&lt;&gt;"",FT!B1960*100,"")</f>
        <v/>
      </c>
      <c r="H1960" s="61" t="str">
        <f t="shared" si="72"/>
        <v/>
      </c>
      <c r="I1960" t="str">
        <f>IF(FT!B1960&lt;&gt;"",FT!E1960,"")</f>
        <v/>
      </c>
      <c r="J1960" t="str">
        <f>IF(FT!B1960&lt;&gt;"",FT!C1960,"")</f>
        <v/>
      </c>
    </row>
    <row r="1961" spans="5:10">
      <c r="E1961">
        <f t="shared" si="73"/>
        <v>1959</v>
      </c>
      <c r="F1961" s="61" t="str">
        <f>IF(FT!A1961&lt;&gt;"",FT!A1961*10,"")</f>
        <v/>
      </c>
      <c r="G1961" s="61" t="str">
        <f>IF(FT!B1961&lt;&gt;"",FT!B1961*100,"")</f>
        <v/>
      </c>
      <c r="H1961" s="61" t="str">
        <f t="shared" si="72"/>
        <v/>
      </c>
      <c r="I1961" t="str">
        <f>IF(FT!B1961&lt;&gt;"",FT!E1961,"")</f>
        <v/>
      </c>
      <c r="J1961" t="str">
        <f>IF(FT!B1961&lt;&gt;"",FT!C1961,"")</f>
        <v/>
      </c>
    </row>
    <row r="1962" spans="5:10">
      <c r="E1962">
        <f t="shared" si="73"/>
        <v>1960</v>
      </c>
      <c r="F1962" s="61" t="str">
        <f>IF(FT!A1962&lt;&gt;"",FT!A1962*10,"")</f>
        <v/>
      </c>
      <c r="G1962" s="61" t="str">
        <f>IF(FT!B1962&lt;&gt;"",FT!B1962*100,"")</f>
        <v/>
      </c>
      <c r="H1962" s="61" t="str">
        <f t="shared" si="72"/>
        <v/>
      </c>
      <c r="I1962" t="str">
        <f>IF(FT!B1962&lt;&gt;"",FT!E1962,"")</f>
        <v/>
      </c>
      <c r="J1962" t="str">
        <f>IF(FT!B1962&lt;&gt;"",FT!C1962,"")</f>
        <v/>
      </c>
    </row>
    <row r="1963" spans="5:10">
      <c r="E1963">
        <f t="shared" si="73"/>
        <v>1961</v>
      </c>
      <c r="F1963" s="61" t="str">
        <f>IF(FT!A1963&lt;&gt;"",FT!A1963*10,"")</f>
        <v/>
      </c>
      <c r="G1963" s="61" t="str">
        <f>IF(FT!B1963&lt;&gt;"",FT!B1963*100,"")</f>
        <v/>
      </c>
      <c r="H1963" s="61" t="str">
        <f t="shared" si="72"/>
        <v/>
      </c>
      <c r="I1963" t="str">
        <f>IF(FT!B1963&lt;&gt;"",FT!E1963,"")</f>
        <v/>
      </c>
      <c r="J1963" t="str">
        <f>IF(FT!B1963&lt;&gt;"",FT!C1963,"")</f>
        <v/>
      </c>
    </row>
    <row r="1964" spans="5:10">
      <c r="E1964">
        <f t="shared" si="73"/>
        <v>1962</v>
      </c>
      <c r="F1964" s="61" t="str">
        <f>IF(FT!A1964&lt;&gt;"",FT!A1964*10,"")</f>
        <v/>
      </c>
      <c r="G1964" s="61" t="str">
        <f>IF(FT!B1964&lt;&gt;"",FT!B1964*100,"")</f>
        <v/>
      </c>
      <c r="H1964" s="61" t="str">
        <f t="shared" si="72"/>
        <v/>
      </c>
      <c r="I1964" t="str">
        <f>IF(FT!B1964&lt;&gt;"",FT!E1964,"")</f>
        <v/>
      </c>
      <c r="J1964" t="str">
        <f>IF(FT!B1964&lt;&gt;"",FT!C1964,"")</f>
        <v/>
      </c>
    </row>
    <row r="1965" spans="5:10">
      <c r="E1965">
        <f t="shared" si="73"/>
        <v>1963</v>
      </c>
      <c r="F1965" s="61" t="str">
        <f>IF(FT!A1965&lt;&gt;"",FT!A1965*10,"")</f>
        <v/>
      </c>
      <c r="G1965" s="61" t="str">
        <f>IF(FT!B1965&lt;&gt;"",FT!B1965*100,"")</f>
        <v/>
      </c>
      <c r="H1965" s="61" t="str">
        <f t="shared" si="72"/>
        <v/>
      </c>
      <c r="I1965" t="str">
        <f>IF(FT!B1965&lt;&gt;"",FT!E1965,"")</f>
        <v/>
      </c>
      <c r="J1965" t="str">
        <f>IF(FT!B1965&lt;&gt;"",FT!C1965,"")</f>
        <v/>
      </c>
    </row>
    <row r="1966" spans="5:10">
      <c r="E1966">
        <f t="shared" si="73"/>
        <v>1964</v>
      </c>
      <c r="F1966" s="61" t="str">
        <f>IF(FT!A1966&lt;&gt;"",FT!A1966*10,"")</f>
        <v/>
      </c>
      <c r="G1966" s="61" t="str">
        <f>IF(FT!B1966&lt;&gt;"",FT!B1966*100,"")</f>
        <v/>
      </c>
      <c r="H1966" s="61" t="str">
        <f t="shared" si="72"/>
        <v/>
      </c>
      <c r="I1966" t="str">
        <f>IF(FT!B1966&lt;&gt;"",FT!E1966,"")</f>
        <v/>
      </c>
      <c r="J1966" t="str">
        <f>IF(FT!B1966&lt;&gt;"",FT!C1966,"")</f>
        <v/>
      </c>
    </row>
    <row r="1967" spans="5:10">
      <c r="E1967">
        <f t="shared" si="73"/>
        <v>1965</v>
      </c>
      <c r="F1967" s="61" t="str">
        <f>IF(FT!A1967&lt;&gt;"",FT!A1967*10,"")</f>
        <v/>
      </c>
      <c r="G1967" s="61" t="str">
        <f>IF(FT!B1967&lt;&gt;"",FT!B1967*100,"")</f>
        <v/>
      </c>
      <c r="H1967" s="61" t="str">
        <f t="shared" si="72"/>
        <v/>
      </c>
      <c r="I1967" t="str">
        <f>IF(FT!B1967&lt;&gt;"",FT!E1967,"")</f>
        <v/>
      </c>
      <c r="J1967" t="str">
        <f>IF(FT!B1967&lt;&gt;"",FT!C1967,"")</f>
        <v/>
      </c>
    </row>
    <row r="1968" spans="5:10">
      <c r="E1968">
        <f t="shared" si="73"/>
        <v>1966</v>
      </c>
      <c r="F1968" s="61" t="str">
        <f>IF(FT!A1968&lt;&gt;"",FT!A1968*10,"")</f>
        <v/>
      </c>
      <c r="G1968" s="61" t="str">
        <f>IF(FT!B1968&lt;&gt;"",FT!B1968*100,"")</f>
        <v/>
      </c>
      <c r="H1968" s="61" t="str">
        <f t="shared" si="72"/>
        <v/>
      </c>
      <c r="I1968" t="str">
        <f>IF(FT!B1968&lt;&gt;"",FT!E1968,"")</f>
        <v/>
      </c>
      <c r="J1968" t="str">
        <f>IF(FT!B1968&lt;&gt;"",FT!C1968,"")</f>
        <v/>
      </c>
    </row>
    <row r="1969" spans="5:10">
      <c r="E1969">
        <f t="shared" si="73"/>
        <v>1967</v>
      </c>
      <c r="F1969" s="61" t="str">
        <f>IF(FT!A1969&lt;&gt;"",FT!A1969*10,"")</f>
        <v/>
      </c>
      <c r="G1969" s="61" t="str">
        <f>IF(FT!B1969&lt;&gt;"",FT!B1969*100,"")</f>
        <v/>
      </c>
      <c r="H1969" s="61" t="str">
        <f t="shared" si="72"/>
        <v/>
      </c>
      <c r="I1969" t="str">
        <f>IF(FT!B1969&lt;&gt;"",FT!E1969,"")</f>
        <v/>
      </c>
      <c r="J1969" t="str">
        <f>IF(FT!B1969&lt;&gt;"",FT!C1969,"")</f>
        <v/>
      </c>
    </row>
    <row r="1970" spans="5:10">
      <c r="E1970">
        <f t="shared" si="73"/>
        <v>1968</v>
      </c>
      <c r="F1970" s="61" t="str">
        <f>IF(FT!A1970&lt;&gt;"",FT!A1970*10,"")</f>
        <v/>
      </c>
      <c r="G1970" s="61" t="str">
        <f>IF(FT!B1970&lt;&gt;"",FT!B1970*100,"")</f>
        <v/>
      </c>
      <c r="H1970" s="61" t="str">
        <f t="shared" si="72"/>
        <v/>
      </c>
      <c r="I1970" t="str">
        <f>IF(FT!B1970&lt;&gt;"",FT!E1970,"")</f>
        <v/>
      </c>
      <c r="J1970" t="str">
        <f>IF(FT!B1970&lt;&gt;"",FT!C1970,"")</f>
        <v/>
      </c>
    </row>
    <row r="1971" spans="5:10">
      <c r="E1971">
        <f t="shared" si="73"/>
        <v>1969</v>
      </c>
      <c r="F1971" s="61" t="str">
        <f>IF(FT!A1971&lt;&gt;"",FT!A1971*10,"")</f>
        <v/>
      </c>
      <c r="G1971" s="61" t="str">
        <f>IF(FT!B1971&lt;&gt;"",FT!B1971*100,"")</f>
        <v/>
      </c>
      <c r="H1971" s="61" t="str">
        <f t="shared" si="72"/>
        <v/>
      </c>
      <c r="I1971" t="str">
        <f>IF(FT!B1971&lt;&gt;"",FT!E1971,"")</f>
        <v/>
      </c>
      <c r="J1971" t="str">
        <f>IF(FT!B1971&lt;&gt;"",FT!C1971,"")</f>
        <v/>
      </c>
    </row>
    <row r="1972" spans="5:10">
      <c r="E1972">
        <f t="shared" si="73"/>
        <v>1970</v>
      </c>
      <c r="F1972" s="61" t="str">
        <f>IF(FT!A1972&lt;&gt;"",FT!A1972*10,"")</f>
        <v/>
      </c>
      <c r="G1972" s="61" t="str">
        <f>IF(FT!B1972&lt;&gt;"",FT!B1972*100,"")</f>
        <v/>
      </c>
      <c r="H1972" s="61" t="str">
        <f t="shared" si="72"/>
        <v/>
      </c>
      <c r="I1972" t="str">
        <f>IF(FT!B1972&lt;&gt;"",FT!E1972,"")</f>
        <v/>
      </c>
      <c r="J1972" t="str">
        <f>IF(FT!B1972&lt;&gt;"",FT!C1972,"")</f>
        <v/>
      </c>
    </row>
    <row r="1973" spans="5:10">
      <c r="E1973">
        <f t="shared" si="73"/>
        <v>1971</v>
      </c>
      <c r="F1973" s="61" t="str">
        <f>IF(FT!A1973&lt;&gt;"",FT!A1973*10,"")</f>
        <v/>
      </c>
      <c r="G1973" s="61" t="str">
        <f>IF(FT!B1973&lt;&gt;"",FT!B1973*100,"")</f>
        <v/>
      </c>
      <c r="H1973" s="61" t="str">
        <f t="shared" si="72"/>
        <v/>
      </c>
      <c r="I1973" t="str">
        <f>IF(FT!B1973&lt;&gt;"",FT!E1973,"")</f>
        <v/>
      </c>
      <c r="J1973" t="str">
        <f>IF(FT!B1973&lt;&gt;"",FT!C1973,"")</f>
        <v/>
      </c>
    </row>
    <row r="1974" spans="5:10">
      <c r="E1974">
        <f t="shared" si="73"/>
        <v>1972</v>
      </c>
      <c r="F1974" s="61" t="str">
        <f>IF(FT!A1974&lt;&gt;"",FT!A1974*10,"")</f>
        <v/>
      </c>
      <c r="G1974" s="61" t="str">
        <f>IF(FT!B1974&lt;&gt;"",FT!B1974*100,"")</f>
        <v/>
      </c>
      <c r="H1974" s="61" t="str">
        <f t="shared" si="72"/>
        <v/>
      </c>
      <c r="I1974" t="str">
        <f>IF(FT!B1974&lt;&gt;"",FT!E1974,"")</f>
        <v/>
      </c>
      <c r="J1974" t="str">
        <f>IF(FT!B1974&lt;&gt;"",FT!C1974,"")</f>
        <v/>
      </c>
    </row>
    <row r="1975" spans="5:10">
      <c r="E1975">
        <f t="shared" si="73"/>
        <v>1973</v>
      </c>
      <c r="F1975" s="61" t="str">
        <f>IF(FT!A1975&lt;&gt;"",FT!A1975*10,"")</f>
        <v/>
      </c>
      <c r="G1975" s="61" t="str">
        <f>IF(FT!B1975&lt;&gt;"",FT!B1975*100,"")</f>
        <v/>
      </c>
      <c r="H1975" s="61" t="str">
        <f t="shared" si="72"/>
        <v/>
      </c>
      <c r="I1975" t="str">
        <f>IF(FT!B1975&lt;&gt;"",FT!E1975,"")</f>
        <v/>
      </c>
      <c r="J1975" t="str">
        <f>IF(FT!B1975&lt;&gt;"",FT!C1975,"")</f>
        <v/>
      </c>
    </row>
    <row r="1976" spans="5:10">
      <c r="E1976">
        <f t="shared" si="73"/>
        <v>1974</v>
      </c>
      <c r="F1976" s="61" t="str">
        <f>IF(FT!A1976&lt;&gt;"",FT!A1976*10,"")</f>
        <v/>
      </c>
      <c r="G1976" s="61" t="str">
        <f>IF(FT!B1976&lt;&gt;"",FT!B1976*100,"")</f>
        <v/>
      </c>
      <c r="H1976" s="61" t="str">
        <f t="shared" si="72"/>
        <v/>
      </c>
      <c r="I1976" t="str">
        <f>IF(FT!B1976&lt;&gt;"",FT!E1976,"")</f>
        <v/>
      </c>
      <c r="J1976" t="str">
        <f>IF(FT!B1976&lt;&gt;"",FT!C1976,"")</f>
        <v/>
      </c>
    </row>
    <row r="1977" spans="5:10">
      <c r="E1977">
        <f t="shared" si="73"/>
        <v>1975</v>
      </c>
      <c r="F1977" s="61" t="str">
        <f>IF(FT!A1977&lt;&gt;"",FT!A1977*10,"")</f>
        <v/>
      </c>
      <c r="G1977" s="61" t="str">
        <f>IF(FT!B1977&lt;&gt;"",FT!B1977*100,"")</f>
        <v/>
      </c>
      <c r="H1977" s="61" t="str">
        <f t="shared" si="72"/>
        <v/>
      </c>
      <c r="I1977" t="str">
        <f>IF(FT!B1977&lt;&gt;"",FT!E1977,"")</f>
        <v/>
      </c>
      <c r="J1977" t="str">
        <f>IF(FT!B1977&lt;&gt;"",FT!C1977,"")</f>
        <v/>
      </c>
    </row>
    <row r="1978" spans="5:10">
      <c r="E1978">
        <f t="shared" si="73"/>
        <v>1976</v>
      </c>
      <c r="F1978" s="61" t="str">
        <f>IF(FT!A1978&lt;&gt;"",FT!A1978*10,"")</f>
        <v/>
      </c>
      <c r="G1978" s="61" t="str">
        <f>IF(FT!B1978&lt;&gt;"",FT!B1978*100,"")</f>
        <v/>
      </c>
      <c r="H1978" s="61" t="str">
        <f t="shared" si="72"/>
        <v/>
      </c>
      <c r="I1978" t="str">
        <f>IF(FT!B1978&lt;&gt;"",FT!E1978,"")</f>
        <v/>
      </c>
      <c r="J1978" t="str">
        <f>IF(FT!B1978&lt;&gt;"",FT!C1978,"")</f>
        <v/>
      </c>
    </row>
    <row r="1979" spans="5:10">
      <c r="E1979">
        <f t="shared" si="73"/>
        <v>1977</v>
      </c>
      <c r="F1979" s="61" t="str">
        <f>IF(FT!A1979&lt;&gt;"",FT!A1979*10,"")</f>
        <v/>
      </c>
      <c r="G1979" s="61" t="str">
        <f>IF(FT!B1979&lt;&gt;"",FT!B1979*100,"")</f>
        <v/>
      </c>
      <c r="H1979" s="61" t="str">
        <f t="shared" si="72"/>
        <v/>
      </c>
      <c r="I1979" t="str">
        <f>IF(FT!B1979&lt;&gt;"",FT!E1979,"")</f>
        <v/>
      </c>
      <c r="J1979" t="str">
        <f>IF(FT!B1979&lt;&gt;"",FT!C1979,"")</f>
        <v/>
      </c>
    </row>
    <row r="1980" spans="5:10">
      <c r="E1980">
        <f t="shared" si="73"/>
        <v>1978</v>
      </c>
      <c r="F1980" s="61" t="str">
        <f>IF(FT!A1980&lt;&gt;"",FT!A1980*10,"")</f>
        <v/>
      </c>
      <c r="G1980" s="61" t="str">
        <f>IF(FT!B1980&lt;&gt;"",FT!B1980*100,"")</f>
        <v/>
      </c>
      <c r="H1980" s="61" t="str">
        <f t="shared" si="72"/>
        <v/>
      </c>
      <c r="I1980" t="str">
        <f>IF(FT!B1980&lt;&gt;"",FT!E1980,"")</f>
        <v/>
      </c>
      <c r="J1980" t="str">
        <f>IF(FT!B1980&lt;&gt;"",FT!C1980,"")</f>
        <v/>
      </c>
    </row>
    <row r="1981" spans="5:10">
      <c r="E1981">
        <f t="shared" si="73"/>
        <v>1979</v>
      </c>
      <c r="F1981" s="61" t="str">
        <f>IF(FT!A1981&lt;&gt;"",FT!A1981*10,"")</f>
        <v/>
      </c>
      <c r="G1981" s="61" t="str">
        <f>IF(FT!B1981&lt;&gt;"",FT!B1981*100,"")</f>
        <v/>
      </c>
      <c r="H1981" s="61" t="str">
        <f t="shared" si="72"/>
        <v/>
      </c>
      <c r="I1981" t="str">
        <f>IF(FT!B1981&lt;&gt;"",FT!E1981,"")</f>
        <v/>
      </c>
      <c r="J1981" t="str">
        <f>IF(FT!B1981&lt;&gt;"",FT!C1981,"")</f>
        <v/>
      </c>
    </row>
    <row r="1982" spans="5:10">
      <c r="E1982">
        <f t="shared" si="73"/>
        <v>1980</v>
      </c>
      <c r="F1982" s="61" t="str">
        <f>IF(FT!A1982&lt;&gt;"",FT!A1982*10,"")</f>
        <v/>
      </c>
      <c r="G1982" s="61" t="str">
        <f>IF(FT!B1982&lt;&gt;"",FT!B1982*100,"")</f>
        <v/>
      </c>
      <c r="H1982" s="61" t="str">
        <f t="shared" si="72"/>
        <v/>
      </c>
      <c r="I1982" t="str">
        <f>IF(FT!B1982&lt;&gt;"",FT!E1982,"")</f>
        <v/>
      </c>
      <c r="J1982" t="str">
        <f>IF(FT!B1982&lt;&gt;"",FT!C1982,"")</f>
        <v/>
      </c>
    </row>
    <row r="1983" spans="5:10">
      <c r="E1983">
        <f t="shared" si="73"/>
        <v>1981</v>
      </c>
      <c r="F1983" s="61" t="str">
        <f>IF(FT!A1983&lt;&gt;"",FT!A1983*10,"")</f>
        <v/>
      </c>
      <c r="G1983" s="61" t="str">
        <f>IF(FT!B1983&lt;&gt;"",FT!B1983*100,"")</f>
        <v/>
      </c>
      <c r="H1983" s="61" t="str">
        <f t="shared" si="72"/>
        <v/>
      </c>
      <c r="I1983" t="str">
        <f>IF(FT!B1983&lt;&gt;"",FT!E1983,"")</f>
        <v/>
      </c>
      <c r="J1983" t="str">
        <f>IF(FT!B1983&lt;&gt;"",FT!C1983,"")</f>
        <v/>
      </c>
    </row>
    <row r="1984" spans="5:10">
      <c r="E1984">
        <f t="shared" si="73"/>
        <v>1982</v>
      </c>
      <c r="F1984" s="61" t="str">
        <f>IF(FT!A1984&lt;&gt;"",FT!A1984*10,"")</f>
        <v/>
      </c>
      <c r="G1984" s="61" t="str">
        <f>IF(FT!B1984&lt;&gt;"",FT!B1984*100,"")</f>
        <v/>
      </c>
      <c r="H1984" s="61" t="str">
        <f t="shared" si="72"/>
        <v/>
      </c>
      <c r="I1984" t="str">
        <f>IF(FT!B1984&lt;&gt;"",FT!E1984,"")</f>
        <v/>
      </c>
      <c r="J1984" t="str">
        <f>IF(FT!B1984&lt;&gt;"",FT!C1984,"")</f>
        <v/>
      </c>
    </row>
    <row r="1985" spans="5:10">
      <c r="E1985">
        <f t="shared" si="73"/>
        <v>1983</v>
      </c>
      <c r="F1985" s="61" t="str">
        <f>IF(FT!A1985&lt;&gt;"",FT!A1985*10,"")</f>
        <v/>
      </c>
      <c r="G1985" s="61" t="str">
        <f>IF(FT!B1985&lt;&gt;"",FT!B1985*100,"")</f>
        <v/>
      </c>
      <c r="H1985" s="61" t="str">
        <f t="shared" si="72"/>
        <v/>
      </c>
      <c r="I1985" t="str">
        <f>IF(FT!B1985&lt;&gt;"",FT!E1985,"")</f>
        <v/>
      </c>
      <c r="J1985" t="str">
        <f>IF(FT!B1985&lt;&gt;"",FT!C1985,"")</f>
        <v/>
      </c>
    </row>
    <row r="1986" spans="5:10">
      <c r="E1986">
        <f t="shared" si="73"/>
        <v>1984</v>
      </c>
      <c r="F1986" s="61" t="str">
        <f>IF(FT!A1986&lt;&gt;"",FT!A1986*10,"")</f>
        <v/>
      </c>
      <c r="G1986" s="61" t="str">
        <f>IF(FT!B1986&lt;&gt;"",FT!B1986*100,"")</f>
        <v/>
      </c>
      <c r="H1986" s="61" t="str">
        <f t="shared" si="72"/>
        <v/>
      </c>
      <c r="I1986" t="str">
        <f>IF(FT!B1986&lt;&gt;"",FT!E1986,"")</f>
        <v/>
      </c>
      <c r="J1986" t="str">
        <f>IF(FT!B1986&lt;&gt;"",FT!C1986,"")</f>
        <v/>
      </c>
    </row>
    <row r="1987" spans="5:10">
      <c r="E1987">
        <f t="shared" si="73"/>
        <v>1985</v>
      </c>
      <c r="F1987" s="61" t="str">
        <f>IF(FT!A1987&lt;&gt;"",FT!A1987*10,"")</f>
        <v/>
      </c>
      <c r="G1987" s="61" t="str">
        <f>IF(FT!B1987&lt;&gt;"",FT!B1987*100,"")</f>
        <v/>
      </c>
      <c r="H1987" s="61" t="str">
        <f t="shared" ref="H1987:H2003" si="74">(IF(F1987&lt;&gt;"",1,""))</f>
        <v/>
      </c>
      <c r="I1987" t="str">
        <f>IF(FT!B1987&lt;&gt;"",FT!E1987,"")</f>
        <v/>
      </c>
      <c r="J1987" t="str">
        <f>IF(FT!B1987&lt;&gt;"",FT!C1987,"")</f>
        <v/>
      </c>
    </row>
    <row r="1988" spans="5:10">
      <c r="E1988">
        <f t="shared" ref="E1988:E2000" si="75">E1987+1</f>
        <v>1986</v>
      </c>
      <c r="F1988" s="61" t="str">
        <f>IF(FT!A1988&lt;&gt;"",FT!A1988*10,"")</f>
        <v/>
      </c>
      <c r="G1988" s="61" t="str">
        <f>IF(FT!B1988&lt;&gt;"",FT!B1988*100,"")</f>
        <v/>
      </c>
      <c r="H1988" s="61" t="str">
        <f t="shared" si="74"/>
        <v/>
      </c>
      <c r="I1988" t="str">
        <f>IF(FT!B1988&lt;&gt;"",FT!E1988,"")</f>
        <v/>
      </c>
      <c r="J1988" t="str">
        <f>IF(FT!B1988&lt;&gt;"",FT!C1988,"")</f>
        <v/>
      </c>
    </row>
    <row r="1989" spans="5:10">
      <c r="E1989">
        <f t="shared" si="75"/>
        <v>1987</v>
      </c>
      <c r="F1989" s="61" t="str">
        <f>IF(FT!A1989&lt;&gt;"",FT!A1989*10,"")</f>
        <v/>
      </c>
      <c r="G1989" s="61" t="str">
        <f>IF(FT!B1989&lt;&gt;"",FT!B1989*100,"")</f>
        <v/>
      </c>
      <c r="H1989" s="61" t="str">
        <f t="shared" si="74"/>
        <v/>
      </c>
      <c r="I1989" t="str">
        <f>IF(FT!B1989&lt;&gt;"",FT!E1989,"")</f>
        <v/>
      </c>
      <c r="J1989" t="str">
        <f>IF(FT!B1989&lt;&gt;"",FT!C1989,"")</f>
        <v/>
      </c>
    </row>
    <row r="1990" spans="5:10">
      <c r="E1990">
        <f t="shared" si="75"/>
        <v>1988</v>
      </c>
      <c r="F1990" s="61" t="str">
        <f>IF(FT!A1990&lt;&gt;"",FT!A1990*10,"")</f>
        <v/>
      </c>
      <c r="G1990" s="61" t="str">
        <f>IF(FT!B1990&lt;&gt;"",FT!B1990*100,"")</f>
        <v/>
      </c>
      <c r="H1990" s="61" t="str">
        <f t="shared" si="74"/>
        <v/>
      </c>
      <c r="I1990" t="str">
        <f>IF(FT!B1990&lt;&gt;"",FT!E1990,"")</f>
        <v/>
      </c>
      <c r="J1990" t="str">
        <f>IF(FT!B1990&lt;&gt;"",FT!C1990,"")</f>
        <v/>
      </c>
    </row>
    <row r="1991" spans="5:10">
      <c r="E1991">
        <f t="shared" si="75"/>
        <v>1989</v>
      </c>
      <c r="F1991" s="61" t="str">
        <f>IF(FT!A1991&lt;&gt;"",FT!A1991*10,"")</f>
        <v/>
      </c>
      <c r="G1991" s="61" t="str">
        <f>IF(FT!B1991&lt;&gt;"",FT!B1991*100,"")</f>
        <v/>
      </c>
      <c r="H1991" s="61" t="str">
        <f t="shared" si="74"/>
        <v/>
      </c>
      <c r="I1991" t="str">
        <f>IF(FT!B1991&lt;&gt;"",FT!E1991,"")</f>
        <v/>
      </c>
      <c r="J1991" t="str">
        <f>IF(FT!B1991&lt;&gt;"",FT!C1991,"")</f>
        <v/>
      </c>
    </row>
    <row r="1992" spans="5:10">
      <c r="E1992">
        <f t="shared" si="75"/>
        <v>1990</v>
      </c>
      <c r="F1992" s="61" t="str">
        <f>IF(FT!A1992&lt;&gt;"",FT!A1992*10,"")</f>
        <v/>
      </c>
      <c r="G1992" s="61" t="str">
        <f>IF(FT!B1992&lt;&gt;"",FT!B1992*100,"")</f>
        <v/>
      </c>
      <c r="H1992" s="61" t="str">
        <f t="shared" si="74"/>
        <v/>
      </c>
      <c r="I1992" t="str">
        <f>IF(FT!B1992&lt;&gt;"",FT!E1992,"")</f>
        <v/>
      </c>
      <c r="J1992" t="str">
        <f>IF(FT!B1992&lt;&gt;"",FT!C1992,"")</f>
        <v/>
      </c>
    </row>
    <row r="1993" spans="5:10">
      <c r="E1993">
        <f t="shared" si="75"/>
        <v>1991</v>
      </c>
      <c r="F1993" s="61" t="str">
        <f>IF(FT!A1993&lt;&gt;"",FT!A1993*10,"")</f>
        <v/>
      </c>
      <c r="G1993" s="61" t="str">
        <f>IF(FT!B1993&lt;&gt;"",FT!B1993*100,"")</f>
        <v/>
      </c>
      <c r="H1993" s="61" t="str">
        <f t="shared" si="74"/>
        <v/>
      </c>
      <c r="I1993" t="str">
        <f>IF(FT!B1993&lt;&gt;"",FT!E1993,"")</f>
        <v/>
      </c>
      <c r="J1993" t="str">
        <f>IF(FT!B1993&lt;&gt;"",FT!C1993,"")</f>
        <v/>
      </c>
    </row>
    <row r="1994" spans="5:10">
      <c r="E1994">
        <f t="shared" si="75"/>
        <v>1992</v>
      </c>
      <c r="F1994" s="61" t="str">
        <f>IF(FT!A1994&lt;&gt;"",FT!A1994*10,"")</f>
        <v/>
      </c>
      <c r="G1994" s="61" t="str">
        <f>IF(FT!B1994&lt;&gt;"",FT!B1994*100,"")</f>
        <v/>
      </c>
      <c r="H1994" s="61" t="str">
        <f t="shared" si="74"/>
        <v/>
      </c>
      <c r="I1994" t="str">
        <f>IF(FT!B1994&lt;&gt;"",FT!E1994,"")</f>
        <v/>
      </c>
      <c r="J1994" t="str">
        <f>IF(FT!B1994&lt;&gt;"",FT!C1994,"")</f>
        <v/>
      </c>
    </row>
    <row r="1995" spans="5:10">
      <c r="E1995">
        <f t="shared" si="75"/>
        <v>1993</v>
      </c>
      <c r="F1995" s="61" t="str">
        <f>IF(FT!A1995&lt;&gt;"",FT!A1995*10,"")</f>
        <v/>
      </c>
      <c r="G1995" s="61" t="str">
        <f>IF(FT!B1995&lt;&gt;"",FT!B1995*100,"")</f>
        <v/>
      </c>
      <c r="H1995" s="61" t="str">
        <f t="shared" si="74"/>
        <v/>
      </c>
      <c r="I1995" t="str">
        <f>IF(FT!B1995&lt;&gt;"",FT!E1995,"")</f>
        <v/>
      </c>
      <c r="J1995" t="str">
        <f>IF(FT!B1995&lt;&gt;"",FT!C1995,"")</f>
        <v/>
      </c>
    </row>
    <row r="1996" spans="5:10">
      <c r="E1996">
        <f t="shared" si="75"/>
        <v>1994</v>
      </c>
      <c r="F1996" s="61" t="str">
        <f>IF(FT!A1996&lt;&gt;"",FT!A1996*10,"")</f>
        <v/>
      </c>
      <c r="G1996" s="61" t="str">
        <f>IF(FT!B1996&lt;&gt;"",FT!B1996*100,"")</f>
        <v/>
      </c>
      <c r="H1996" s="61" t="str">
        <f t="shared" si="74"/>
        <v/>
      </c>
      <c r="I1996" t="str">
        <f>IF(FT!B1996&lt;&gt;"",FT!E1996,"")</f>
        <v/>
      </c>
      <c r="J1996" t="str">
        <f>IF(FT!B1996&lt;&gt;"",FT!C1996,"")</f>
        <v/>
      </c>
    </row>
    <row r="1997" spans="5:10">
      <c r="E1997">
        <f t="shared" si="75"/>
        <v>1995</v>
      </c>
      <c r="F1997" s="61" t="str">
        <f>IF(FT!A1997&lt;&gt;"",FT!A1997*10,"")</f>
        <v/>
      </c>
      <c r="G1997" s="61" t="str">
        <f>IF(FT!B1997&lt;&gt;"",FT!B1997*100,"")</f>
        <v/>
      </c>
      <c r="H1997" s="61" t="str">
        <f t="shared" si="74"/>
        <v/>
      </c>
      <c r="I1997" t="str">
        <f>IF(FT!B1997&lt;&gt;"",FT!E1997,"")</f>
        <v/>
      </c>
      <c r="J1997" t="str">
        <f>IF(FT!B1997&lt;&gt;"",FT!C1997,"")</f>
        <v/>
      </c>
    </row>
    <row r="1998" spans="5:10">
      <c r="E1998">
        <f t="shared" si="75"/>
        <v>1996</v>
      </c>
      <c r="F1998" s="61" t="str">
        <f>IF(FT!A1998&lt;&gt;"",FT!A1998*10,"")</f>
        <v/>
      </c>
      <c r="G1998" s="61" t="str">
        <f>IF(FT!B1998&lt;&gt;"",FT!B1998*100,"")</f>
        <v/>
      </c>
      <c r="H1998" s="61" t="str">
        <f t="shared" si="74"/>
        <v/>
      </c>
      <c r="I1998" t="str">
        <f>IF(FT!B1998&lt;&gt;"",FT!E1998,"")</f>
        <v/>
      </c>
      <c r="J1998" t="str">
        <f>IF(FT!B1998&lt;&gt;"",FT!C1998,"")</f>
        <v/>
      </c>
    </row>
    <row r="1999" spans="5:10">
      <c r="E1999">
        <f t="shared" si="75"/>
        <v>1997</v>
      </c>
      <c r="F1999" s="61" t="str">
        <f>IF(FT!A1999&lt;&gt;"",FT!A1999*10,"")</f>
        <v/>
      </c>
      <c r="G1999" s="61" t="str">
        <f>IF(FT!B1999&lt;&gt;"",FT!B1999*100,"")</f>
        <v/>
      </c>
      <c r="H1999" s="61" t="str">
        <f t="shared" si="74"/>
        <v/>
      </c>
      <c r="I1999" t="str">
        <f>IF(FT!B1999&lt;&gt;"",FT!E1999,"")</f>
        <v/>
      </c>
      <c r="J1999" t="str">
        <f>IF(FT!B1999&lt;&gt;"",FT!C1999,"")</f>
        <v/>
      </c>
    </row>
    <row r="2000" spans="5:10">
      <c r="E2000">
        <f t="shared" si="75"/>
        <v>1998</v>
      </c>
      <c r="F2000" s="61" t="str">
        <f>IF(FT!A2000&lt;&gt;"",FT!A2000*10,"")</f>
        <v/>
      </c>
      <c r="G2000" s="61" t="str">
        <f>IF(FT!B2000&lt;&gt;"",FT!B2000*100,"")</f>
        <v/>
      </c>
      <c r="H2000" s="61" t="str">
        <f t="shared" si="74"/>
        <v/>
      </c>
      <c r="I2000" t="str">
        <f>IF(FT!B2000&lt;&gt;"",FT!E2000,"")</f>
        <v/>
      </c>
      <c r="J2000" t="str">
        <f>IF(FT!B2000&lt;&gt;"",FT!C2000,"")</f>
        <v/>
      </c>
    </row>
    <row r="2001" spans="6:8">
      <c r="F2001" s="61" t="str">
        <f>IF(FT!A2001&lt;&gt;"",FT!A2001*10,"")</f>
        <v/>
      </c>
      <c r="G2001" s="61" t="str">
        <f>IF(FT!B2001&lt;&gt;"",FT!B2001*100,"")</f>
        <v/>
      </c>
      <c r="H2001" s="61" t="str">
        <f t="shared" si="74"/>
        <v/>
      </c>
    </row>
    <row r="2002" spans="6:8">
      <c r="F2002" s="61" t="str">
        <f>IF(FT!A2002&lt;&gt;"",FT!A2002*10,"")</f>
        <v/>
      </c>
      <c r="G2002" s="61" t="str">
        <f>IF(FT!B2002&lt;&gt;"",FT!B2002*100,"")</f>
        <v/>
      </c>
      <c r="H2002" s="61" t="str">
        <f t="shared" si="74"/>
        <v/>
      </c>
    </row>
    <row r="2003" spans="6:8">
      <c r="F2003" s="61" t="str">
        <f>IF(FT!A2003&lt;&gt;"",FT!A2003*10,"")</f>
        <v/>
      </c>
      <c r="G2003" s="61" t="str">
        <f>IF(FT!B2003&lt;&gt;"",FT!B2003*100,"")</f>
        <v/>
      </c>
      <c r="H2003" s="61" t="str">
        <f t="shared" si="74"/>
        <v/>
      </c>
    </row>
  </sheetData>
  <phoneticPr fontId="29" type="noConversion"/>
  <pageMargins left="0.7" right="0.7" top="0.75" bottom="0.75" header="0.3" footer="0.3"/>
  <pageSetup paperSize="9" orientation="portrait" horizontalDpi="30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58" t="s">
        <v>291</v>
      </c>
      <c r="B1" s="58" t="s">
        <v>293</v>
      </c>
      <c r="C1" s="58" t="s">
        <v>294</v>
      </c>
      <c r="D1" s="58" t="s">
        <v>295</v>
      </c>
      <c r="E1" s="58" t="s">
        <v>296</v>
      </c>
      <c r="F1" s="58" t="s">
        <v>297</v>
      </c>
      <c r="G1" s="58" t="s">
        <v>298</v>
      </c>
      <c r="H1" s="58" t="s">
        <v>299</v>
      </c>
    </row>
    <row r="2" spans="1:8">
      <c r="A2" s="58" t="s">
        <v>292</v>
      </c>
      <c r="B2" s="60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58" t="s">
        <v>300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58" t="s">
        <v>301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58" t="s">
        <v>302</v>
      </c>
      <c r="B5" s="66">
        <v>36.770499999999998</v>
      </c>
      <c r="C5" s="66">
        <v>7.88788</v>
      </c>
      <c r="D5" s="66">
        <v>21.451699999999999</v>
      </c>
      <c r="E5" s="66">
        <v>20</v>
      </c>
      <c r="F5" s="66">
        <v>11.4427</v>
      </c>
      <c r="G5" s="66">
        <v>50</v>
      </c>
      <c r="H5" s="66">
        <v>48.744</v>
      </c>
    </row>
    <row r="6" spans="1:8">
      <c r="A6" s="58" t="s">
        <v>303</v>
      </c>
      <c r="B6" s="66">
        <v>37.580199999999998</v>
      </c>
      <c r="C6" s="66">
        <v>5.2844300000000004</v>
      </c>
      <c r="D6" s="66">
        <v>14.0617</v>
      </c>
      <c r="E6" s="66">
        <v>20</v>
      </c>
      <c r="F6" s="66">
        <v>30.4451</v>
      </c>
      <c r="G6" s="66">
        <v>40</v>
      </c>
      <c r="H6" s="66">
        <v>46.612099999999998</v>
      </c>
    </row>
    <row r="7" spans="1:8">
      <c r="A7" s="58" t="s">
        <v>304</v>
      </c>
      <c r="B7" s="66">
        <v>23.836300000000001</v>
      </c>
      <c r="C7" s="66">
        <v>5.1993400000000003</v>
      </c>
      <c r="D7" s="66">
        <v>21.8127</v>
      </c>
      <c r="E7" s="66">
        <v>15</v>
      </c>
      <c r="F7" s="66">
        <v>11.834300000000001</v>
      </c>
      <c r="G7" s="66">
        <v>40</v>
      </c>
      <c r="H7" s="66">
        <v>47.221200000000003</v>
      </c>
    </row>
    <row r="8" spans="1:8">
      <c r="A8" s="58" t="s">
        <v>305</v>
      </c>
      <c r="B8" s="66">
        <v>32.2104</v>
      </c>
      <c r="C8" s="66">
        <v>3.9826100000000002</v>
      </c>
      <c r="D8" s="66">
        <v>12.3643</v>
      </c>
      <c r="E8" s="66">
        <v>20</v>
      </c>
      <c r="F8" s="66">
        <v>19.6416</v>
      </c>
      <c r="G8" s="66">
        <v>50</v>
      </c>
      <c r="H8" s="66">
        <v>38.759900000000002</v>
      </c>
    </row>
    <row r="9" spans="1:8">
      <c r="A9" s="58" t="s">
        <v>306</v>
      </c>
      <c r="B9" s="66">
        <v>70.609099999999998</v>
      </c>
      <c r="C9" s="66">
        <v>3.6392799999999998</v>
      </c>
      <c r="D9" s="66">
        <v>5.1541199999999998</v>
      </c>
      <c r="E9" s="66">
        <v>50</v>
      </c>
      <c r="F9" s="66">
        <v>63.981200000000001</v>
      </c>
      <c r="G9" s="66">
        <v>100</v>
      </c>
      <c r="H9" s="66">
        <v>84.292699999999996</v>
      </c>
    </row>
    <row r="10" spans="1:8">
      <c r="A10" s="58" t="s">
        <v>307</v>
      </c>
      <c r="B10" s="66">
        <v>77.253900000000002</v>
      </c>
      <c r="C10" s="66">
        <v>3.0661700000000001</v>
      </c>
      <c r="D10" s="66">
        <v>3.9689399999999999</v>
      </c>
      <c r="E10" s="66">
        <v>40</v>
      </c>
      <c r="F10" s="66">
        <v>72.952200000000005</v>
      </c>
      <c r="G10" s="66">
        <v>100</v>
      </c>
      <c r="H10" s="66">
        <v>84.4345</v>
      </c>
    </row>
    <row r="11" spans="1:8">
      <c r="A11" s="58" t="s">
        <v>308</v>
      </c>
      <c r="B11" s="66">
        <v>17.846299999999999</v>
      </c>
      <c r="C11" s="66">
        <v>4.7136100000000001</v>
      </c>
      <c r="D11" s="66">
        <v>26.412199999999999</v>
      </c>
      <c r="E11" s="66">
        <v>10</v>
      </c>
      <c r="F11" s="66">
        <v>6.8026099999999996</v>
      </c>
      <c r="G11" s="66">
        <v>50</v>
      </c>
      <c r="H11" s="66">
        <v>26.268000000000001</v>
      </c>
    </row>
    <row r="12" spans="1:8">
      <c r="A12" s="58" t="s">
        <v>309</v>
      </c>
      <c r="B12" s="66">
        <v>74.366699999999994</v>
      </c>
      <c r="C12" s="66">
        <v>2.8028</v>
      </c>
      <c r="D12" s="66">
        <v>3.7688899999999999</v>
      </c>
      <c r="E12" s="66">
        <v>50</v>
      </c>
      <c r="F12" s="66">
        <v>68.931299999999993</v>
      </c>
      <c r="G12" s="66">
        <v>100</v>
      </c>
      <c r="H12" s="66">
        <v>83.770399999999995</v>
      </c>
    </row>
    <row r="13" spans="1:8">
      <c r="A13" s="58" t="s">
        <v>310</v>
      </c>
      <c r="B13" s="66">
        <v>17.9222</v>
      </c>
      <c r="C13" s="66">
        <v>3.0012699999999999</v>
      </c>
      <c r="D13" s="66">
        <v>16.746099999999998</v>
      </c>
      <c r="E13" s="66">
        <v>10</v>
      </c>
      <c r="F13" s="66">
        <v>13.641999999999999</v>
      </c>
      <c r="G13" s="66">
        <v>25</v>
      </c>
      <c r="H13" s="66">
        <v>30.540600000000001</v>
      </c>
    </row>
    <row r="14" spans="1:8">
      <c r="A14" s="58" t="s">
        <v>311</v>
      </c>
      <c r="B14" s="66">
        <v>30.012699999999999</v>
      </c>
      <c r="C14" s="66">
        <v>10.6958</v>
      </c>
      <c r="D14" s="66">
        <v>35.637700000000002</v>
      </c>
      <c r="E14" s="66">
        <v>10</v>
      </c>
      <c r="F14" s="66">
        <v>1.7813300000000001</v>
      </c>
      <c r="G14" s="66">
        <v>50</v>
      </c>
      <c r="H14" s="66">
        <v>45.893999999999998</v>
      </c>
    </row>
    <row r="15" spans="1:8">
      <c r="A15" s="58" t="s">
        <v>312</v>
      </c>
      <c r="B15" s="66">
        <v>6.4401E-2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58" t="s">
        <v>313</v>
      </c>
      <c r="B16" s="66">
        <v>3.7273599999999997E-2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58" t="s">
        <v>314</v>
      </c>
      <c r="B17" s="66">
        <v>16.137799999999999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58" t="s">
        <v>315</v>
      </c>
      <c r="B18" s="66">
        <v>0.49857400000000002</v>
      </c>
      <c r="C18" s="66">
        <v>2.7273499999999999E-2</v>
      </c>
      <c r="D18" s="66">
        <v>5.4703000000000002E-2</v>
      </c>
      <c r="E18" s="66">
        <v>0</v>
      </c>
      <c r="F18" s="66">
        <v>0.4713</v>
      </c>
      <c r="G18" s="66">
        <v>0</v>
      </c>
      <c r="H18" s="66">
        <v>0.52584699999999995</v>
      </c>
    </row>
    <row r="19" spans="1:8">
      <c r="A19" s="58" t="s">
        <v>316</v>
      </c>
      <c r="B19" s="66">
        <v>0.75535600000000003</v>
      </c>
      <c r="C19" s="66">
        <v>0.10248699999999999</v>
      </c>
      <c r="D19" s="66">
        <v>0.13568</v>
      </c>
      <c r="E19" s="66">
        <v>0</v>
      </c>
      <c r="F19" s="66">
        <v>0.65286900000000003</v>
      </c>
      <c r="G19" s="66">
        <v>0</v>
      </c>
      <c r="H19" s="66">
        <v>0.85784300000000002</v>
      </c>
    </row>
    <row r="20" spans="1:8">
      <c r="A20" s="58" t="s">
        <v>317</v>
      </c>
      <c r="B20" s="66">
        <v>1.13945E-3</v>
      </c>
      <c r="C20" s="66">
        <v>7.1483199999999997E-3</v>
      </c>
      <c r="D20" s="66">
        <v>6.2734899999999998</v>
      </c>
      <c r="E20" s="66">
        <v>0</v>
      </c>
      <c r="F20" s="66">
        <v>2.2460500000000001E-4</v>
      </c>
      <c r="G20" s="66">
        <v>0</v>
      </c>
      <c r="H20" s="66">
        <v>0.13220899999999999</v>
      </c>
    </row>
    <row r="21" spans="1:8">
      <c r="A21" s="58" t="s">
        <v>318</v>
      </c>
      <c r="B21" s="66">
        <v>7.9840900000000006E-2</v>
      </c>
      <c r="C21" s="66">
        <v>0.171015</v>
      </c>
      <c r="D21" s="66">
        <v>2.14195</v>
      </c>
      <c r="E21" s="66">
        <v>0</v>
      </c>
      <c r="F21" s="66">
        <v>9.7286099999999999E-4</v>
      </c>
      <c r="G21" s="66">
        <v>0</v>
      </c>
      <c r="H21" s="66">
        <v>1.0466</v>
      </c>
    </row>
    <row r="22" spans="1:8">
      <c r="A22" s="58" t="s">
        <v>319</v>
      </c>
      <c r="B22" s="66">
        <v>27.822099999999999</v>
      </c>
      <c r="C22" s="66">
        <v>4.6172300000000002</v>
      </c>
      <c r="D22" s="66">
        <v>0.16595599999999999</v>
      </c>
      <c r="E22" s="66">
        <v>0</v>
      </c>
      <c r="F22" s="66">
        <v>18.8123</v>
      </c>
      <c r="G22" s="66">
        <v>0</v>
      </c>
      <c r="H22" s="66">
        <v>40.175600000000003</v>
      </c>
    </row>
    <row r="23" spans="1:8">
      <c r="A23" s="58" t="s">
        <v>320</v>
      </c>
      <c r="B23" s="66">
        <v>10.5487</v>
      </c>
      <c r="C23" s="66">
        <v>1.65351</v>
      </c>
      <c r="D23" s="66">
        <v>0.15675</v>
      </c>
      <c r="E23" s="66">
        <v>0</v>
      </c>
      <c r="F23" s="66">
        <v>6.5172400000000001</v>
      </c>
      <c r="G23" s="66">
        <v>0</v>
      </c>
      <c r="H23" s="66">
        <v>13.594099999999999</v>
      </c>
    </row>
    <row r="24" spans="1:8">
      <c r="A24" s="58" t="s">
        <v>321</v>
      </c>
      <c r="B24" s="66">
        <v>1.4566399999999999E-3</v>
      </c>
      <c r="C24" s="66">
        <v>4.4864700000000002E-3</v>
      </c>
      <c r="D24" s="66">
        <v>3.0800200000000002</v>
      </c>
      <c r="E24" s="66">
        <v>0</v>
      </c>
      <c r="F24" s="66">
        <v>4.61755E-4</v>
      </c>
      <c r="G24" s="66">
        <v>0</v>
      </c>
      <c r="H24" s="66">
        <v>4.72138E-2</v>
      </c>
    </row>
    <row r="25" spans="1:8">
      <c r="A25" s="58" t="s">
        <v>322</v>
      </c>
      <c r="B25" s="66">
        <v>0.139818</v>
      </c>
      <c r="C25" s="66">
        <v>6.5125699999999995E-2</v>
      </c>
      <c r="D25" s="66">
        <v>0.46578999999999998</v>
      </c>
      <c r="E25" s="66">
        <v>0</v>
      </c>
      <c r="F25" s="66">
        <v>3.0666300000000001E-2</v>
      </c>
      <c r="G25" s="66">
        <v>0</v>
      </c>
      <c r="H25" s="66">
        <v>0.30724400000000002</v>
      </c>
    </row>
    <row r="26" spans="1:8">
      <c r="A26" s="58" t="s">
        <v>323</v>
      </c>
      <c r="B26" s="66">
        <v>3.0199600000000001E-4</v>
      </c>
      <c r="C26" s="66">
        <v>1.03163E-3</v>
      </c>
      <c r="D26" s="66">
        <v>3.4160300000000001</v>
      </c>
      <c r="E26" s="66">
        <v>0</v>
      </c>
      <c r="F26" s="196">
        <v>4.2673299999999997E-5</v>
      </c>
      <c r="G26" s="66">
        <v>0</v>
      </c>
      <c r="H26" s="66">
        <v>2.1530299999999999E-2</v>
      </c>
    </row>
    <row r="27" spans="1:8">
      <c r="A27" s="58" t="s">
        <v>324</v>
      </c>
      <c r="B27" s="66">
        <v>0</v>
      </c>
      <c r="C27" s="66">
        <v>6.9444899999999998E-4</v>
      </c>
      <c r="D27" s="66">
        <v>0</v>
      </c>
      <c r="E27" s="66">
        <v>0</v>
      </c>
      <c r="F27" s="66">
        <v>-1.60386E-2</v>
      </c>
      <c r="G27" s="66">
        <v>0</v>
      </c>
      <c r="H27" s="66">
        <v>8.8859000000000004E-3</v>
      </c>
    </row>
    <row r="28" spans="1:8">
      <c r="A28" s="58" t="s">
        <v>325</v>
      </c>
      <c r="B28" s="66">
        <v>1.35449E-2</v>
      </c>
      <c r="C28" s="66">
        <v>1.9418299999999999E-2</v>
      </c>
      <c r="D28" s="66">
        <v>1.4336199999999999</v>
      </c>
      <c r="E28" s="66">
        <v>0</v>
      </c>
      <c r="F28" s="66">
        <v>2.1158900000000001E-4</v>
      </c>
      <c r="G28" s="66">
        <v>0</v>
      </c>
      <c r="H28" s="66">
        <v>0.108792</v>
      </c>
    </row>
    <row r="29" spans="1:8">
      <c r="A29" s="58" t="s">
        <v>326</v>
      </c>
      <c r="B29" s="66">
        <v>61.974600000000002</v>
      </c>
      <c r="C29" s="66">
        <v>6.0971500000000001</v>
      </c>
      <c r="D29" s="66">
        <v>9.8381499999999997E-2</v>
      </c>
      <c r="E29" s="66">
        <v>0</v>
      </c>
      <c r="F29" s="66">
        <v>43.176900000000003</v>
      </c>
      <c r="G29" s="66">
        <v>0</v>
      </c>
      <c r="H29" s="66">
        <v>75.314800000000005</v>
      </c>
    </row>
    <row r="30" spans="1:8">
      <c r="A30" s="58" t="s">
        <v>327</v>
      </c>
      <c r="B30" s="66">
        <v>18.159099999999999</v>
      </c>
      <c r="C30" s="66">
        <v>2.96286</v>
      </c>
      <c r="D30" s="66">
        <v>0.163161</v>
      </c>
      <c r="E30" s="66">
        <v>0</v>
      </c>
      <c r="F30" s="66">
        <v>9.4242000000000008</v>
      </c>
      <c r="G30" s="66">
        <v>0</v>
      </c>
      <c r="H30" s="66">
        <v>22.514299999999999</v>
      </c>
    </row>
    <row r="31" spans="1:8">
      <c r="A31" s="58" t="s">
        <v>328</v>
      </c>
      <c r="B31" s="66">
        <v>68.215900000000005</v>
      </c>
      <c r="C31" s="66">
        <v>14.3271</v>
      </c>
      <c r="D31" s="66">
        <v>0.21002499999999999</v>
      </c>
      <c r="E31" s="66">
        <v>0</v>
      </c>
      <c r="F31" s="66">
        <v>25.033300000000001</v>
      </c>
      <c r="G31" s="66">
        <v>0</v>
      </c>
      <c r="H31" s="66">
        <v>83.123900000000006</v>
      </c>
    </row>
    <row r="32" spans="1:8">
      <c r="A32" s="58" t="s">
        <v>329</v>
      </c>
      <c r="B32" s="66">
        <v>0.23836299999999999</v>
      </c>
      <c r="C32" s="66">
        <v>5.1993400000000002E-2</v>
      </c>
      <c r="D32" s="66">
        <v>0.21812699999999999</v>
      </c>
      <c r="E32" s="66">
        <v>0.15</v>
      </c>
      <c r="F32" s="66">
        <v>0.118343</v>
      </c>
      <c r="G32" s="66">
        <v>0.4</v>
      </c>
      <c r="H32" s="66">
        <v>0.47221200000000002</v>
      </c>
    </row>
    <row r="33" spans="1:8">
      <c r="A33" s="58" t="s">
        <v>330</v>
      </c>
      <c r="B33" s="66">
        <v>0.44703300000000001</v>
      </c>
      <c r="C33" s="66">
        <v>6.6106899999999996E-2</v>
      </c>
      <c r="D33" s="66">
        <v>0.14787900000000001</v>
      </c>
      <c r="E33" s="66">
        <v>0</v>
      </c>
      <c r="F33" s="66">
        <v>0.191638</v>
      </c>
      <c r="G33" s="66">
        <v>0</v>
      </c>
      <c r="H33" s="66">
        <v>0.486487</v>
      </c>
    </row>
    <row r="34" spans="1:8">
      <c r="A34" s="58" t="s">
        <v>331</v>
      </c>
      <c r="B34" s="66">
        <v>0.17922199999999999</v>
      </c>
      <c r="C34" s="66">
        <v>3.00127E-2</v>
      </c>
      <c r="D34" s="66">
        <v>0.167461</v>
      </c>
      <c r="E34" s="66">
        <v>0.1</v>
      </c>
      <c r="F34" s="66">
        <v>0.13642000000000001</v>
      </c>
      <c r="G34" s="66">
        <v>0.25</v>
      </c>
      <c r="H34" s="66">
        <v>0.30540600000000001</v>
      </c>
    </row>
    <row r="35" spans="1:8">
      <c r="A35" s="58" t="s">
        <v>332</v>
      </c>
      <c r="B35" s="66">
        <v>7.4221200000000001E-2</v>
      </c>
      <c r="C35" s="66">
        <v>2.1900099999999999E-2</v>
      </c>
      <c r="D35" s="66">
        <v>0.29506399999999999</v>
      </c>
      <c r="E35" s="66">
        <v>0</v>
      </c>
      <c r="F35" s="66">
        <v>2.5783299999999999E-2</v>
      </c>
      <c r="G35" s="66">
        <v>0</v>
      </c>
      <c r="H35" s="66">
        <v>0.131302</v>
      </c>
    </row>
    <row r="36" spans="1:8">
      <c r="A36" s="58" t="s">
        <v>333</v>
      </c>
      <c r="B36" s="66">
        <v>0.17081499999999999</v>
      </c>
      <c r="C36" s="66">
        <v>8.8602100000000003E-2</v>
      </c>
      <c r="D36" s="66">
        <v>0.518702</v>
      </c>
      <c r="E36" s="66">
        <v>0</v>
      </c>
      <c r="F36" s="66">
        <v>3.5324000000000001E-2</v>
      </c>
      <c r="G36" s="66">
        <v>0</v>
      </c>
      <c r="H36" s="66">
        <v>0.510795</v>
      </c>
    </row>
    <row r="37" spans="1:8">
      <c r="A37" s="58" t="s">
        <v>334</v>
      </c>
      <c r="B37" s="66">
        <v>0.30012699999999998</v>
      </c>
      <c r="C37" s="66">
        <v>0.106958</v>
      </c>
      <c r="D37" s="66">
        <v>0.356377</v>
      </c>
      <c r="E37" s="66">
        <v>0.1</v>
      </c>
      <c r="F37" s="66">
        <v>1.7813300000000001E-2</v>
      </c>
      <c r="G37" s="66">
        <v>0.5</v>
      </c>
      <c r="H37" s="66">
        <v>0.45894000000000001</v>
      </c>
    </row>
    <row r="38" spans="1:8">
      <c r="A38" s="58" t="s">
        <v>335</v>
      </c>
      <c r="B38" s="66">
        <v>-15.2377</v>
      </c>
      <c r="C38" s="66">
        <v>28.045500000000001</v>
      </c>
      <c r="D38" s="66">
        <v>-1.84053</v>
      </c>
      <c r="E38" s="66">
        <v>0</v>
      </c>
      <c r="F38" s="66">
        <v>-60.715499999999999</v>
      </c>
      <c r="G38" s="66">
        <v>0</v>
      </c>
      <c r="H38" s="66">
        <v>125.825</v>
      </c>
    </row>
    <row r="39" spans="1:8">
      <c r="A39" s="58" t="s">
        <v>336</v>
      </c>
      <c r="B39" s="66">
        <v>-7.1931000000000003</v>
      </c>
      <c r="C39" s="66">
        <v>3.2387199999999998</v>
      </c>
      <c r="D39" s="66">
        <v>-0.45025399999999999</v>
      </c>
      <c r="E39" s="66">
        <v>0</v>
      </c>
      <c r="F39" s="66">
        <v>-15.876799999999999</v>
      </c>
      <c r="G39" s="66">
        <v>0</v>
      </c>
      <c r="H39" s="66">
        <v>0.840785</v>
      </c>
    </row>
    <row r="40" spans="1:8">
      <c r="A40" s="58" t="s">
        <v>337</v>
      </c>
      <c r="B40" s="66">
        <v>-3.9631400000000001</v>
      </c>
      <c r="C40" s="66">
        <v>0.60572700000000002</v>
      </c>
      <c r="D40" s="66">
        <v>-0.15284</v>
      </c>
      <c r="E40" s="66">
        <v>0</v>
      </c>
      <c r="F40" s="66">
        <v>-4.8575400000000002</v>
      </c>
      <c r="G40" s="66">
        <v>0</v>
      </c>
      <c r="H40" s="66">
        <v>-1.54417</v>
      </c>
    </row>
    <row r="41" spans="1:8">
      <c r="A41" s="58" t="s">
        <v>338</v>
      </c>
      <c r="B41" s="66">
        <v>-0.202597</v>
      </c>
      <c r="C41" s="66">
        <v>0.27347900000000003</v>
      </c>
      <c r="D41" s="66">
        <v>-1.3498600000000001</v>
      </c>
      <c r="E41" s="66">
        <v>0</v>
      </c>
      <c r="F41" s="66">
        <v>-1</v>
      </c>
      <c r="G41" s="66">
        <v>0</v>
      </c>
      <c r="H41" s="66">
        <v>1</v>
      </c>
    </row>
    <row r="42" spans="1:8">
      <c r="A42" s="58" t="s">
        <v>339</v>
      </c>
      <c r="B42" s="66">
        <v>-0.24351600000000001</v>
      </c>
      <c r="C42" s="66">
        <v>7.4267299999999994E-2</v>
      </c>
      <c r="D42" s="66">
        <v>-0.30497999999999997</v>
      </c>
      <c r="E42" s="66">
        <v>0</v>
      </c>
      <c r="F42" s="66">
        <v>-0.39077499999999998</v>
      </c>
      <c r="G42" s="66">
        <v>0</v>
      </c>
      <c r="H42" s="66">
        <v>-1.7308500000000001E-2</v>
      </c>
    </row>
    <row r="43" spans="1:8">
      <c r="A43" s="58" t="s">
        <v>340</v>
      </c>
      <c r="B43" s="66">
        <v>-0.23533699999999999</v>
      </c>
      <c r="C43" s="66">
        <v>2.4522599999999999E-2</v>
      </c>
      <c r="D43" s="66">
        <v>-0.104202</v>
      </c>
      <c r="E43" s="66">
        <v>0</v>
      </c>
      <c r="F43" s="66">
        <v>-0.30624099999999999</v>
      </c>
      <c r="G43" s="66">
        <v>0</v>
      </c>
      <c r="H43" s="66">
        <v>-0.16081899999999999</v>
      </c>
    </row>
    <row r="44" spans="1:8">
      <c r="A44" s="58" t="s">
        <v>341</v>
      </c>
      <c r="B44" s="66">
        <v>-10.283799999999999</v>
      </c>
      <c r="C44" s="66">
        <v>5.9961200000000003</v>
      </c>
      <c r="D44" s="66">
        <v>-0.58306199999999997</v>
      </c>
      <c r="E44" s="66">
        <v>0</v>
      </c>
      <c r="F44" s="66">
        <v>-26.274999999999999</v>
      </c>
      <c r="G44" s="66">
        <v>0</v>
      </c>
      <c r="H44" s="66">
        <v>0.66928900000000002</v>
      </c>
    </row>
    <row r="45" spans="1:8">
      <c r="A45" s="58" t="s">
        <v>342</v>
      </c>
      <c r="B45" s="66">
        <v>47.755200000000002</v>
      </c>
      <c r="C45" s="66">
        <v>6.7505899999999999</v>
      </c>
      <c r="D45" s="66">
        <v>0.14135800000000001</v>
      </c>
      <c r="E45" s="66">
        <v>0</v>
      </c>
      <c r="F45" s="66">
        <v>31.426200000000001</v>
      </c>
      <c r="G45" s="66">
        <v>0</v>
      </c>
      <c r="H45" s="66">
        <v>69.647999999999996</v>
      </c>
    </row>
    <row r="46" spans="1:8">
      <c r="A46" s="58" t="s">
        <v>343</v>
      </c>
      <c r="B46" s="66">
        <v>29.066099999999999</v>
      </c>
      <c r="C46" s="66">
        <v>6.1866399999999997</v>
      </c>
      <c r="D46" s="66">
        <v>0.21284700000000001</v>
      </c>
      <c r="E46" s="66">
        <v>0</v>
      </c>
      <c r="F46" s="66">
        <v>8.6459100000000007</v>
      </c>
      <c r="G46" s="66">
        <v>0</v>
      </c>
      <c r="H46" s="66">
        <v>34.782699999999998</v>
      </c>
    </row>
    <row r="47" spans="1:8">
      <c r="A47" s="58" t="s">
        <v>344</v>
      </c>
      <c r="B47" s="66">
        <v>0.94987900000000003</v>
      </c>
      <c r="C47" s="66">
        <v>0.31711</v>
      </c>
      <c r="D47" s="66">
        <v>0.33384200000000003</v>
      </c>
      <c r="E47" s="66">
        <v>0</v>
      </c>
      <c r="F47" s="66">
        <v>0.36189399999999999</v>
      </c>
      <c r="G47" s="66">
        <v>0</v>
      </c>
      <c r="H47" s="66">
        <v>2.0195799999999999</v>
      </c>
    </row>
    <row r="48" spans="1:8">
      <c r="A48" s="58" t="s">
        <v>345</v>
      </c>
      <c r="B48" s="66">
        <v>0.83275200000000005</v>
      </c>
      <c r="C48" s="66">
        <v>0.15165899999999999</v>
      </c>
      <c r="D48" s="66">
        <v>0.182117</v>
      </c>
      <c r="E48" s="66">
        <v>0</v>
      </c>
      <c r="F48" s="66">
        <v>0.59245700000000001</v>
      </c>
      <c r="G48" s="66">
        <v>0</v>
      </c>
      <c r="H48" s="66">
        <v>1.1554599999999999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H48"/>
  <sheetViews>
    <sheetView workbookViewId="0">
      <selection activeCell="B2" sqref="B2"/>
    </sheetView>
  </sheetViews>
  <sheetFormatPr defaultRowHeight="13.5"/>
  <cols>
    <col min="1" max="1" width="20.875" customWidth="1"/>
  </cols>
  <sheetData>
    <row r="1" spans="1:8">
      <c r="A1" s="66" t="s">
        <v>57</v>
      </c>
      <c r="B1" s="66" t="s">
        <v>8</v>
      </c>
      <c r="C1" s="66" t="s">
        <v>9</v>
      </c>
      <c r="D1" s="66" t="s">
        <v>21</v>
      </c>
      <c r="E1" s="66" t="s">
        <v>58</v>
      </c>
      <c r="F1" s="66" t="s">
        <v>59</v>
      </c>
      <c r="G1" s="66" t="s">
        <v>60</v>
      </c>
      <c r="H1" s="66" t="s">
        <v>61</v>
      </c>
    </row>
    <row r="2" spans="1:8">
      <c r="A2" s="66" t="s">
        <v>240</v>
      </c>
      <c r="B2" s="66">
        <f>'M2'!B2-'M1'!B2</f>
        <v>0</v>
      </c>
      <c r="C2" s="66">
        <f>'M2'!C2-'M1'!C2</f>
        <v>0</v>
      </c>
      <c r="D2" s="66">
        <f>'M2'!D2-'M1'!D2</f>
        <v>0</v>
      </c>
      <c r="E2" s="66">
        <f>'M2'!E2-'M1'!E2</f>
        <v>0</v>
      </c>
      <c r="F2" s="66">
        <f>'M2'!F2-'M1'!F2</f>
        <v>0</v>
      </c>
      <c r="G2" s="66">
        <f>'M2'!G2-'M1'!G2</f>
        <v>0</v>
      </c>
      <c r="H2" s="66">
        <f>'M2'!H2-'M1'!H2</f>
        <v>0</v>
      </c>
    </row>
    <row r="3" spans="1:8">
      <c r="A3" s="66" t="s">
        <v>241</v>
      </c>
      <c r="B3" s="66">
        <f>'M2'!B3-'M1'!B3</f>
        <v>0</v>
      </c>
      <c r="C3" s="66">
        <f>'M2'!C3-'M1'!C3</f>
        <v>0</v>
      </c>
      <c r="D3" s="66">
        <f>'M2'!D3-'M1'!D3</f>
        <v>0</v>
      </c>
      <c r="E3" s="66">
        <f>'M2'!E3-'M1'!E3</f>
        <v>0</v>
      </c>
      <c r="F3" s="66">
        <f>'M2'!F3-'M1'!F3</f>
        <v>0</v>
      </c>
      <c r="G3" s="66">
        <f>'M2'!G3-'M1'!G3</f>
        <v>0</v>
      </c>
      <c r="H3" s="66">
        <f>'M2'!H3-'M1'!H3</f>
        <v>0</v>
      </c>
    </row>
    <row r="4" spans="1:8">
      <c r="A4" s="66" t="s">
        <v>242</v>
      </c>
      <c r="B4" s="66">
        <f>'M2'!B4-'M1'!B4</f>
        <v>0</v>
      </c>
      <c r="C4" s="66">
        <f>'M2'!C4-'M1'!C4</f>
        <v>0</v>
      </c>
      <c r="D4" s="66">
        <f>'M2'!D4-'M1'!D4</f>
        <v>0</v>
      </c>
      <c r="E4" s="66">
        <f>'M2'!E4-'M1'!E4</f>
        <v>0</v>
      </c>
      <c r="F4" s="66">
        <f>'M2'!F4-'M1'!F4</f>
        <v>0</v>
      </c>
      <c r="G4" s="66">
        <f>'M2'!G4-'M1'!G4</f>
        <v>0</v>
      </c>
      <c r="H4" s="66">
        <f>'M2'!H4-'M1'!H4</f>
        <v>0</v>
      </c>
    </row>
    <row r="5" spans="1:8">
      <c r="A5" s="66" t="s">
        <v>243</v>
      </c>
      <c r="B5" s="66">
        <f>'M2'!B5-'M1'!B5</f>
        <v>2.1156999999999968</v>
      </c>
      <c r="C5" s="66">
        <f>'M2'!C5-'M1'!C5</f>
        <v>-3.9507200000000005</v>
      </c>
      <c r="D5" s="66">
        <f>'M2'!D5-'M1'!D5</f>
        <v>-11.8454</v>
      </c>
      <c r="E5" s="66">
        <f>'M2'!E5-'M1'!E5</f>
        <v>0</v>
      </c>
      <c r="F5" s="66">
        <f>'M2'!F5-'M1'!F5</f>
        <v>17.055199999999999</v>
      </c>
      <c r="G5" s="66">
        <f>'M2'!G5-'M1'!G5</f>
        <v>0</v>
      </c>
      <c r="H5" s="66">
        <f>'M2'!H5-'M1'!H5</f>
        <v>-1.9575000000000031</v>
      </c>
    </row>
    <row r="6" spans="1:8">
      <c r="A6" s="66" t="s">
        <v>244</v>
      </c>
      <c r="B6" s="66">
        <f>'M2'!B6-'M1'!B6</f>
        <v>-9.7084000000000046</v>
      </c>
      <c r="C6" s="66">
        <f>'M2'!C6-'M1'!C6</f>
        <v>-1.5481100000000003</v>
      </c>
      <c r="D6" s="66">
        <f>'M2'!D6-'M1'!D6</f>
        <v>-2.1111800000000009</v>
      </c>
      <c r="E6" s="66">
        <f>'M2'!E6-'M1'!E6</f>
        <v>0</v>
      </c>
      <c r="F6" s="66">
        <f>'M2'!F6-'M1'!F6</f>
        <v>0.73730000000000118</v>
      </c>
      <c r="G6" s="66">
        <f>'M2'!G6-'M1'!G6</f>
        <v>0</v>
      </c>
      <c r="H6" s="66">
        <f>'M2'!H6-'M1'!H6</f>
        <v>-6.5396999999999963</v>
      </c>
    </row>
    <row r="7" spans="1:8">
      <c r="A7" s="66" t="s">
        <v>245</v>
      </c>
      <c r="B7" s="66">
        <f>'M2'!B7-'M1'!B7</f>
        <v>-2.8465999999999987</v>
      </c>
      <c r="C7" s="66">
        <f>'M2'!C7-'M1'!C7</f>
        <v>-0.42403000000000013</v>
      </c>
      <c r="D7" s="66">
        <f>'M2'!D7-'M1'!D7</f>
        <v>0.75690000000000168</v>
      </c>
      <c r="E7" s="66">
        <f>'M2'!E7-'M1'!E7</f>
        <v>0</v>
      </c>
      <c r="F7" s="66">
        <f>'M2'!F7-'M1'!F7</f>
        <v>-0.47769999999999868</v>
      </c>
      <c r="G7" s="66">
        <f>'M2'!G7-'M1'!G7</f>
        <v>0</v>
      </c>
      <c r="H7" s="66">
        <f>'M2'!H7-'M1'!H7</f>
        <v>-12.317500000000003</v>
      </c>
    </row>
    <row r="8" spans="1:8">
      <c r="A8" s="66" t="s">
        <v>246</v>
      </c>
      <c r="B8" s="66">
        <f>'M2'!B8-'M1'!B8</f>
        <v>-2.7242999999999995</v>
      </c>
      <c r="C8" s="66">
        <f>'M2'!C8-'M1'!C8</f>
        <v>-1.9453300000000002</v>
      </c>
      <c r="D8" s="66">
        <f>'M2'!D8-'M1'!D8</f>
        <v>-4.9429499999999997</v>
      </c>
      <c r="E8" s="66">
        <f>'M2'!E8-'M1'!E8</f>
        <v>0</v>
      </c>
      <c r="F8" s="66">
        <f>'M2'!F8-'M1'!F8</f>
        <v>6.2208000000000006</v>
      </c>
      <c r="G8" s="66">
        <f>'M2'!G8-'M1'!G8</f>
        <v>0</v>
      </c>
      <c r="H8" s="66">
        <f>'M2'!H8-'M1'!H8</f>
        <v>-2.0465000000000018</v>
      </c>
    </row>
    <row r="9" spans="1:8">
      <c r="A9" s="66" t="s">
        <v>247</v>
      </c>
      <c r="B9" s="66">
        <f>'M2'!B9-'M1'!B9</f>
        <v>1.4043999999999954</v>
      </c>
      <c r="C9" s="66">
        <f>'M2'!C9-'M1'!C9</f>
        <v>-0.96001999999999965</v>
      </c>
      <c r="D9" s="66">
        <f>'M2'!D9-'M1'!D9</f>
        <v>-1.4572399999999996</v>
      </c>
      <c r="E9" s="66">
        <f>'M2'!E9-'M1'!E9</f>
        <v>0</v>
      </c>
      <c r="F9" s="66">
        <f>'M2'!F9-'M1'!F9</f>
        <v>1.3349999999999937</v>
      </c>
      <c r="G9" s="66">
        <f>'M2'!G9-'M1'!G9</f>
        <v>0</v>
      </c>
      <c r="H9" s="66">
        <f>'M2'!H9-'M1'!H9</f>
        <v>-3.3378999999999905</v>
      </c>
    </row>
    <row r="10" spans="1:8">
      <c r="A10" s="66" t="s">
        <v>248</v>
      </c>
      <c r="B10" s="66">
        <f>'M2'!B10-'M1'!B10</f>
        <v>4.5683999999999969</v>
      </c>
      <c r="C10" s="66">
        <f>'M2'!C10-'M1'!C10</f>
        <v>-1.18614</v>
      </c>
      <c r="D10" s="66">
        <f>'M2'!D10-'M1'!D10</f>
        <v>-1.76444</v>
      </c>
      <c r="E10" s="66">
        <f>'M2'!E10-'M1'!E10</f>
        <v>0</v>
      </c>
      <c r="F10" s="66">
        <f>'M2'!F10-'M1'!F10</f>
        <v>0.83619999999999095</v>
      </c>
      <c r="G10" s="66">
        <f>'M2'!G10-'M1'!G10</f>
        <v>0</v>
      </c>
      <c r="H10" s="66">
        <f>'M2'!H10-'M1'!H10</f>
        <v>-3.2027999999999963</v>
      </c>
    </row>
    <row r="11" spans="1:8">
      <c r="A11" s="66" t="s">
        <v>249</v>
      </c>
      <c r="B11" s="66">
        <f>'M2'!B11-'M1'!B11</f>
        <v>5.6598999999999986</v>
      </c>
      <c r="C11" s="66">
        <f>'M2'!C11-'M1'!C11</f>
        <v>-0.31667000000000023</v>
      </c>
      <c r="D11" s="66">
        <f>'M2'!D11-'M1'!D11</f>
        <v>-7.876199999999999</v>
      </c>
      <c r="E11" s="66">
        <f>'M2'!E11-'M1'!E11</f>
        <v>0</v>
      </c>
      <c r="F11" s="66">
        <f>'M2'!F11-'M1'!F11</f>
        <v>8.7637900000000002</v>
      </c>
      <c r="G11" s="66">
        <f>'M2'!G11-'M1'!G11</f>
        <v>0</v>
      </c>
      <c r="H11" s="66">
        <f>'M2'!H11-'M1'!H11</f>
        <v>5.7545000000000002</v>
      </c>
    </row>
    <row r="12" spans="1:8">
      <c r="A12" s="66" t="s">
        <v>250</v>
      </c>
      <c r="B12" s="66">
        <f>'M2'!B12-'M1'!B12</f>
        <v>2.6760000000000019</v>
      </c>
      <c r="C12" s="66">
        <f>'M2'!C12-'M1'!C12</f>
        <v>-1.9257500000000003</v>
      </c>
      <c r="D12" s="66">
        <f>'M2'!D12-'M1'!D12</f>
        <v>-2.7330499999999995</v>
      </c>
      <c r="E12" s="66">
        <f>'M2'!E12-'M1'!E12</f>
        <v>0</v>
      </c>
      <c r="F12" s="66">
        <f>'M2'!F12-'M1'!F12</f>
        <v>2.1492000000000075</v>
      </c>
      <c r="G12" s="66">
        <f>'M2'!G12-'M1'!G12</f>
        <v>0</v>
      </c>
      <c r="H12" s="66">
        <f>'M2'!H12-'M1'!H12</f>
        <v>-4.8044999999999902</v>
      </c>
    </row>
    <row r="13" spans="1:8">
      <c r="A13" s="66" t="s">
        <v>251</v>
      </c>
      <c r="B13" s="66">
        <f>'M2'!B13-'M1'!B13</f>
        <v>0.1402000000000001</v>
      </c>
      <c r="C13" s="66">
        <f>'M2'!C13-'M1'!C13</f>
        <v>0.93010999999999999</v>
      </c>
      <c r="D13" s="66">
        <f>'M2'!D13-'M1'!D13</f>
        <v>5.0541</v>
      </c>
      <c r="E13" s="66">
        <f>'M2'!E13-'M1'!E13</f>
        <v>0</v>
      </c>
      <c r="F13" s="66">
        <f>'M2'!F13-'M1'!F13</f>
        <v>0.7085000000000008</v>
      </c>
      <c r="G13" s="66">
        <f>'M2'!G13-'M1'!G13</f>
        <v>0</v>
      </c>
      <c r="H13" s="66">
        <f>'M2'!H13-'M1'!H13</f>
        <v>6.3487000000000009</v>
      </c>
    </row>
    <row r="14" spans="1:8">
      <c r="A14" s="66" t="s">
        <v>252</v>
      </c>
      <c r="B14" s="66">
        <f>'M2'!B14-'M1'!B14</f>
        <v>9.3011000000000017</v>
      </c>
      <c r="C14" s="66">
        <f>'M2'!C14-'M1'!C14</f>
        <v>0.53059999999999974</v>
      </c>
      <c r="D14" s="66">
        <f>'M2'!D14-'M1'!D14</f>
        <v>-9.9339999999999975</v>
      </c>
      <c r="E14" s="66">
        <f>'M2'!E14-'M1'!E14</f>
        <v>0</v>
      </c>
      <c r="F14" s="66">
        <f>'M2'!F14-'M1'!F14</f>
        <v>0.95104999999999995</v>
      </c>
      <c r="G14" s="66">
        <f>'M2'!G14-'M1'!G14</f>
        <v>0</v>
      </c>
      <c r="H14" s="66">
        <f>'M2'!H14-'M1'!H14</f>
        <v>13.150599999999997</v>
      </c>
    </row>
    <row r="15" spans="1:8">
      <c r="A15" s="66" t="s">
        <v>253</v>
      </c>
      <c r="B15" s="66">
        <f>'M2'!B15-'M1'!B15</f>
        <v>0</v>
      </c>
      <c r="C15" s="66">
        <f>'M2'!C15-'M1'!C15</f>
        <v>0</v>
      </c>
      <c r="D15" s="66">
        <f>'M2'!D15-'M1'!D15</f>
        <v>0</v>
      </c>
      <c r="E15" s="66">
        <f>'M2'!E15-'M1'!E15</f>
        <v>0</v>
      </c>
      <c r="F15" s="66">
        <f>'M2'!F15-'M1'!F15</f>
        <v>0</v>
      </c>
      <c r="G15" s="66">
        <f>'M2'!G15-'M1'!G15</f>
        <v>0</v>
      </c>
      <c r="H15" s="66">
        <f>'M2'!H15-'M1'!H15</f>
        <v>0</v>
      </c>
    </row>
    <row r="16" spans="1:8">
      <c r="A16" s="66" t="s">
        <v>254</v>
      </c>
      <c r="B16" s="66">
        <f>'M2'!B16-'M1'!B16</f>
        <v>0</v>
      </c>
      <c r="C16" s="66">
        <f>'M2'!C16-'M1'!C16</f>
        <v>0</v>
      </c>
      <c r="D16" s="66">
        <f>'M2'!D16-'M1'!D16</f>
        <v>0</v>
      </c>
      <c r="E16" s="66">
        <f>'M2'!E16-'M1'!E16</f>
        <v>0</v>
      </c>
      <c r="F16" s="66">
        <f>'M2'!F16-'M1'!F16</f>
        <v>0</v>
      </c>
      <c r="G16" s="66">
        <f>'M2'!G16-'M1'!G16</f>
        <v>0</v>
      </c>
      <c r="H16" s="66">
        <f>'M2'!H16-'M1'!H16</f>
        <v>0</v>
      </c>
    </row>
    <row r="17" spans="1:8">
      <c r="A17" s="66" t="s">
        <v>62</v>
      </c>
      <c r="B17" s="66">
        <f>'M2'!B17-'M1'!B17</f>
        <v>0</v>
      </c>
      <c r="C17" s="66">
        <f>'M2'!C17-'M1'!C17</f>
        <v>0</v>
      </c>
      <c r="D17" s="66">
        <f>'M2'!D17-'M1'!D17</f>
        <v>0</v>
      </c>
      <c r="E17" s="66">
        <f>'M2'!E17-'M1'!E17</f>
        <v>0</v>
      </c>
      <c r="F17" s="66">
        <f>'M2'!F17-'M1'!F17</f>
        <v>0</v>
      </c>
      <c r="G17" s="66">
        <f>'M2'!G17-'M1'!G17</f>
        <v>0</v>
      </c>
      <c r="H17" s="66">
        <f>'M2'!H17-'M1'!H17</f>
        <v>0</v>
      </c>
    </row>
    <row r="18" spans="1:8">
      <c r="A18" s="66" t="s">
        <v>255</v>
      </c>
      <c r="B18" s="66">
        <f>'M2'!B18-'M1'!B18</f>
        <v>-9.1174000000000033E-2</v>
      </c>
      <c r="C18" s="66">
        <f>'M2'!C18-'M1'!C18</f>
        <v>2.7273499999999999E-2</v>
      </c>
      <c r="D18" s="66">
        <f>'M2'!D18-'M1'!D18</f>
        <v>5.4703000000000002E-2</v>
      </c>
      <c r="E18" s="66">
        <f>'M2'!E18-'M1'!E18</f>
        <v>0</v>
      </c>
      <c r="F18" s="66">
        <f>'M2'!F18-'M1'!F18</f>
        <v>0.4713</v>
      </c>
      <c r="G18" s="66">
        <f>'M2'!G18-'M1'!G18</f>
        <v>0</v>
      </c>
      <c r="H18" s="66">
        <f>'M2'!H18-'M1'!H18</f>
        <v>0.52584699999999995</v>
      </c>
    </row>
    <row r="19" spans="1:8">
      <c r="A19" s="66" t="s">
        <v>256</v>
      </c>
      <c r="B19" s="66">
        <f>'M2'!B19-'M1'!B19</f>
        <v>0.143513</v>
      </c>
      <c r="C19" s="66">
        <f>'M2'!C19-'M1'!C19</f>
        <v>0.10248699999999999</v>
      </c>
      <c r="D19" s="66">
        <f>'M2'!D19-'M1'!D19</f>
        <v>0.13568</v>
      </c>
      <c r="E19" s="66">
        <f>'M2'!E19-'M1'!E19</f>
        <v>0</v>
      </c>
      <c r="F19" s="66">
        <f>'M2'!F19-'M1'!F19</f>
        <v>0.65286900000000003</v>
      </c>
      <c r="G19" s="66">
        <f>'M2'!G19-'M1'!G19</f>
        <v>0</v>
      </c>
      <c r="H19" s="66">
        <f>'M2'!H19-'M1'!H19</f>
        <v>0.85784300000000002</v>
      </c>
    </row>
    <row r="20" spans="1:8">
      <c r="A20" s="66" t="s">
        <v>63</v>
      </c>
      <c r="B20" s="66">
        <f>'M2'!B20-'M1'!B20</f>
        <v>-1.4999000000000002E-4</v>
      </c>
      <c r="C20" s="66">
        <f>'M2'!C20-'M1'!C20</f>
        <v>-6.3977100000000009E-3</v>
      </c>
      <c r="D20" s="66">
        <f>'M2'!D20-'M1'!D20</f>
        <v>-4.8609</v>
      </c>
      <c r="E20" s="66">
        <f>'M2'!E20-'M1'!E20</f>
        <v>0</v>
      </c>
      <c r="F20" s="66">
        <f>'M2'!F20-'M1'!F20</f>
        <v>7.5169999999999892E-6</v>
      </c>
      <c r="G20" s="66">
        <f>'M2'!G20-'M1'!G20</f>
        <v>0</v>
      </c>
      <c r="H20" s="66">
        <f>'M2'!H20-'M1'!H20</f>
        <v>-7.2411799999999998E-2</v>
      </c>
    </row>
    <row r="21" spans="1:8">
      <c r="A21" s="66" t="s">
        <v>64</v>
      </c>
      <c r="B21" s="66">
        <f>'M2'!B21-'M1'!B21</f>
        <v>9.8559999999998926E-4</v>
      </c>
      <c r="C21" s="66">
        <f>'M2'!C21-'M1'!C21</f>
        <v>1.3725000000000015E-2</v>
      </c>
      <c r="D21" s="66">
        <f>'M2'!D21-'M1'!D21</f>
        <v>0.14515000000000011</v>
      </c>
      <c r="E21" s="66">
        <f>'M2'!E21-'M1'!E21</f>
        <v>0</v>
      </c>
      <c r="F21" s="66">
        <f>'M2'!F21-'M1'!F21</f>
        <v>-1.364789999999999E-4</v>
      </c>
      <c r="G21" s="66">
        <f>'M2'!G21-'M1'!G21</f>
        <v>0</v>
      </c>
      <c r="H21" s="66">
        <f>'M2'!H21-'M1'!H21</f>
        <v>-0.16499399999999997</v>
      </c>
    </row>
    <row r="22" spans="1:8">
      <c r="A22" s="66" t="s">
        <v>65</v>
      </c>
      <c r="B22" s="66">
        <f>'M2'!B22-'M1'!B22</f>
        <v>-0.37900000000000134</v>
      </c>
      <c r="C22" s="66">
        <f>'M2'!C22-'M1'!C22</f>
        <v>0.41183000000000014</v>
      </c>
      <c r="D22" s="66">
        <f>'M2'!D22-'M1'!D22</f>
        <v>1.7089999999999994E-2</v>
      </c>
      <c r="E22" s="66">
        <f>'M2'!E22-'M1'!E22</f>
        <v>0</v>
      </c>
      <c r="F22" s="66">
        <f>'M2'!F22-'M1'!F22</f>
        <v>-0.40449999999999875</v>
      </c>
      <c r="G22" s="66">
        <f>'M2'!G22-'M1'!G22</f>
        <v>0</v>
      </c>
      <c r="H22" s="66">
        <f>'M2'!H22-'M1'!H22</f>
        <v>-0.58970000000000056</v>
      </c>
    </row>
    <row r="23" spans="1:8">
      <c r="A23" s="66" t="s">
        <v>66</v>
      </c>
      <c r="B23" s="66">
        <f>'M2'!B23-'M1'!B23</f>
        <v>1.3071999999999999</v>
      </c>
      <c r="C23" s="66">
        <f>'M2'!C23-'M1'!C23</f>
        <v>-0.23406800000000005</v>
      </c>
      <c r="D23" s="66">
        <f>'M2'!D23-'M1'!D23</f>
        <v>-3.3871100000000001E-2</v>
      </c>
      <c r="E23" s="66">
        <f>'M2'!E23-'M1'!E23</f>
        <v>0</v>
      </c>
      <c r="F23" s="66">
        <f>'M2'!F23-'M1'!F23</f>
        <v>3.7985599999999993</v>
      </c>
      <c r="G23" s="66">
        <f>'M2'!G23-'M1'!G23</f>
        <v>0</v>
      </c>
      <c r="H23" s="66">
        <f>'M2'!H23-'M1'!H23</f>
        <v>2.3415999999999997</v>
      </c>
    </row>
    <row r="24" spans="1:8">
      <c r="A24" s="66" t="s">
        <v>67</v>
      </c>
      <c r="B24" s="66">
        <f>'M2'!B24-'M1'!B24</f>
        <v>-4.7560000000000094E-5</v>
      </c>
      <c r="C24" s="66">
        <f>'M2'!C24-'M1'!C24</f>
        <v>-3.9245700000000005E-3</v>
      </c>
      <c r="D24" s="66">
        <f>'M2'!D24-'M1'!D24</f>
        <v>-2.5965300000000004</v>
      </c>
      <c r="E24" s="66">
        <f>'M2'!E24-'M1'!E24</f>
        <v>0</v>
      </c>
      <c r="F24" s="66">
        <f>'M2'!F24-'M1'!F24</f>
        <v>-1.3690900000000005E-4</v>
      </c>
      <c r="G24" s="66">
        <f>'M2'!G24-'M1'!G24</f>
        <v>0</v>
      </c>
      <c r="H24" s="66">
        <f>'M2'!H24-'M1'!H24</f>
        <v>-3.1043999999999999E-2</v>
      </c>
    </row>
    <row r="25" spans="1:8">
      <c r="A25" s="66" t="s">
        <v>68</v>
      </c>
      <c r="B25" s="66">
        <f>'M2'!B25-'M1'!B25</f>
        <v>1.5165999999999985E-2</v>
      </c>
      <c r="C25" s="66">
        <f>'M2'!C25-'M1'!C25</f>
        <v>-1.1139999999999761E-4</v>
      </c>
      <c r="D25" s="66">
        <f>'M2'!D25-'M1'!D25</f>
        <v>-5.0232999999999972E-2</v>
      </c>
      <c r="E25" s="66">
        <f>'M2'!E25-'M1'!E25</f>
        <v>0</v>
      </c>
      <c r="F25" s="66">
        <f>'M2'!F25-'M1'!F25</f>
        <v>-8.528899999999999E-3</v>
      </c>
      <c r="G25" s="66">
        <f>'M2'!G25-'M1'!G25</f>
        <v>0</v>
      </c>
      <c r="H25" s="66">
        <f>'M2'!H25-'M1'!H25</f>
        <v>2.2744000000000042E-2</v>
      </c>
    </row>
    <row r="26" spans="1:8">
      <c r="A26" s="66" t="s">
        <v>69</v>
      </c>
      <c r="B26" s="66">
        <f>'M2'!B26-'M1'!B26</f>
        <v>-3.7750000000000023E-5</v>
      </c>
      <c r="C26" s="66">
        <f>'M2'!C26-'M1'!C26</f>
        <v>-7.7730400000000004E-4</v>
      </c>
      <c r="D26" s="66">
        <f>'M2'!D26-'M1'!D26</f>
        <v>-2.2031500000000004</v>
      </c>
      <c r="E26" s="66">
        <f>'M2'!E26-'M1'!E26</f>
        <v>0</v>
      </c>
      <c r="F26" s="66">
        <f>'M2'!F26-'M1'!F26</f>
        <v>-3.2826000000000014E-6</v>
      </c>
      <c r="G26" s="66">
        <f>'M2'!G26-'M1'!G26</f>
        <v>0</v>
      </c>
      <c r="H26" s="66">
        <f>'M2'!H26-'M1'!H26</f>
        <v>-1.5552749999999999E-2</v>
      </c>
    </row>
    <row r="27" spans="1:8">
      <c r="A27" s="66" t="s">
        <v>70</v>
      </c>
      <c r="B27" s="66">
        <f>'M2'!B27-'M1'!B27</f>
        <v>1.3130259999999999E-5</v>
      </c>
      <c r="C27" s="66">
        <f>'M2'!C27-'M1'!C27</f>
        <v>-6.0658400000000007E-4</v>
      </c>
      <c r="D27" s="66">
        <f>'M2'!D27-'M1'!D27</f>
        <v>190.4196</v>
      </c>
      <c r="E27" s="66">
        <f>'M2'!E27-'M1'!E27</f>
        <v>0</v>
      </c>
      <c r="F27" s="66">
        <f>'M2'!F27-'M1'!F27</f>
        <v>1.294643E-2</v>
      </c>
      <c r="G27" s="66">
        <f>'M2'!G27-'M1'!G27</f>
        <v>0</v>
      </c>
      <c r="H27" s="66">
        <f>'M2'!H27-'M1'!H27</f>
        <v>-5.8495300000000004E-3</v>
      </c>
    </row>
    <row r="28" spans="1:8">
      <c r="A28" s="66" t="s">
        <v>71</v>
      </c>
      <c r="B28" s="66">
        <f>'M2'!B28-'M1'!B28</f>
        <v>4.2319999999999858E-4</v>
      </c>
      <c r="C28" s="66">
        <f>'M2'!C28-'M1'!C28</f>
        <v>1.9021999999999997E-3</v>
      </c>
      <c r="D28" s="66">
        <f>'M2'!D28-'M1'!D28</f>
        <v>9.5499999999999918E-2</v>
      </c>
      <c r="E28" s="66">
        <f>'M2'!E28-'M1'!E28</f>
        <v>0</v>
      </c>
      <c r="F28" s="66">
        <f>'M2'!F28-'M1'!F28</f>
        <v>-6.8359000000000014E-5</v>
      </c>
      <c r="G28" s="66">
        <f>'M2'!G28-'M1'!G28</f>
        <v>0</v>
      </c>
      <c r="H28" s="66">
        <f>'M2'!H28-'M1'!H28</f>
        <v>-1.4482099999999998E-2</v>
      </c>
    </row>
    <row r="29" spans="1:8">
      <c r="A29" s="66" t="s">
        <v>72</v>
      </c>
      <c r="B29" s="66">
        <f>'M2'!B29-'M1'!B29</f>
        <v>-2.0808999999999997</v>
      </c>
      <c r="C29" s="66">
        <f>'M2'!C29-'M1'!C29</f>
        <v>2.0754000000000001</v>
      </c>
      <c r="D29" s="66">
        <f>'M2'!D29-'M1'!D29</f>
        <v>3.6703100000000002E-2</v>
      </c>
      <c r="E29" s="66">
        <f>'M2'!E29-'M1'!E29</f>
        <v>0</v>
      </c>
      <c r="F29" s="66">
        <f>'M2'!F29-'M1'!F29</f>
        <v>-8.6481999999999957</v>
      </c>
      <c r="G29" s="66">
        <f>'M2'!G29-'M1'!G29</f>
        <v>0</v>
      </c>
      <c r="H29" s="66">
        <f>'M2'!H29-'M1'!H29</f>
        <v>2.0011000000000081</v>
      </c>
    </row>
    <row r="30" spans="1:8">
      <c r="A30" s="66" t="s">
        <v>73</v>
      </c>
      <c r="B30" s="66">
        <f>'M2'!B30-'M1'!B30</f>
        <v>2.1263000000000005</v>
      </c>
      <c r="C30" s="66">
        <f>'M2'!C30-'M1'!C30</f>
        <v>-1.1966499999999998</v>
      </c>
      <c r="D30" s="66">
        <f>'M2'!D30-'M1'!D30</f>
        <v>-7.6624200000000003E-2</v>
      </c>
      <c r="E30" s="66">
        <f>'M2'!E30-'M1'!E30</f>
        <v>0</v>
      </c>
      <c r="F30" s="66">
        <f>'M2'!F30-'M1'!F30</f>
        <v>8.4430999999999994</v>
      </c>
      <c r="G30" s="66">
        <f>'M2'!G30-'M1'!G30</f>
        <v>0</v>
      </c>
      <c r="H30" s="66">
        <f>'M2'!H30-'M1'!H30</f>
        <v>3.7491999999999983</v>
      </c>
    </row>
    <row r="31" spans="1:8">
      <c r="A31" s="66" t="s">
        <v>74</v>
      </c>
      <c r="B31" s="66">
        <f>'M2'!B31-'M1'!B31</f>
        <v>13.455300000000001</v>
      </c>
      <c r="C31" s="66">
        <f>'M2'!C31-'M1'!C31</f>
        <v>-7.8725300000000002</v>
      </c>
      <c r="D31" s="66">
        <f>'M2'!D31-'M1'!D31</f>
        <v>-0.1486111</v>
      </c>
      <c r="E31" s="66">
        <f>'M2'!E31-'M1'!E31</f>
        <v>0</v>
      </c>
      <c r="F31" s="66">
        <f>'M2'!F31-'M1'!F31</f>
        <v>32.818299999999994</v>
      </c>
      <c r="G31" s="66">
        <f>'M2'!G31-'M1'!G31</f>
        <v>0</v>
      </c>
      <c r="H31" s="66">
        <f>'M2'!H31-'M1'!H31</f>
        <v>4.4461000000000013</v>
      </c>
    </row>
    <row r="32" spans="1:8">
      <c r="A32" s="66" t="s">
        <v>75</v>
      </c>
      <c r="B32" s="66">
        <f>'M2'!B32-'M1'!B32</f>
        <v>-2.8466000000000019E-2</v>
      </c>
      <c r="C32" s="66">
        <f>'M2'!C32-'M1'!C32</f>
        <v>-4.2403000000000024E-3</v>
      </c>
      <c r="D32" s="66">
        <f>'M2'!D32-'M1'!D32</f>
        <v>7.5689999999999924E-3</v>
      </c>
      <c r="E32" s="66">
        <f>'M2'!E32-'M1'!E32</f>
        <v>0</v>
      </c>
      <c r="F32" s="66">
        <f>'M2'!F32-'M1'!F32</f>
        <v>-4.7769999999999896E-3</v>
      </c>
      <c r="G32" s="66">
        <f>'M2'!G32-'M1'!G32</f>
        <v>0</v>
      </c>
      <c r="H32" s="66">
        <f>'M2'!H32-'M1'!H32</f>
        <v>-0.12317500000000003</v>
      </c>
    </row>
    <row r="33" spans="1:8">
      <c r="A33" s="66" t="s">
        <v>76</v>
      </c>
      <c r="B33" s="66">
        <f>'M2'!B33-'M1'!B33</f>
        <v>9.0621000000000007E-2</v>
      </c>
      <c r="C33" s="66">
        <f>'M2'!C33-'M1'!C33</f>
        <v>-5.5979099999999997E-2</v>
      </c>
      <c r="D33" s="66">
        <f>'M2'!D33-'M1'!D33</f>
        <v>-0.15881000000000001</v>
      </c>
      <c r="E33" s="66">
        <f>'M2'!E33-'M1'!E33</f>
        <v>0</v>
      </c>
      <c r="F33" s="66">
        <f>'M2'!F33-'M1'!F33</f>
        <v>0.22675799999999999</v>
      </c>
      <c r="G33" s="66">
        <f>'M2'!G33-'M1'!G33</f>
        <v>0</v>
      </c>
      <c r="H33" s="66">
        <f>'M2'!H33-'M1'!H33</f>
        <v>2.291399999999999E-2</v>
      </c>
    </row>
    <row r="34" spans="1:8">
      <c r="A34" s="66" t="s">
        <v>77</v>
      </c>
      <c r="B34" s="66">
        <f>'M2'!B34-'M1'!B34</f>
        <v>1.4020000000000143E-3</v>
      </c>
      <c r="C34" s="66">
        <f>'M2'!C34-'M1'!C34</f>
        <v>9.3010999999999996E-3</v>
      </c>
      <c r="D34" s="66">
        <f>'M2'!D34-'M1'!D34</f>
        <v>5.0541000000000003E-2</v>
      </c>
      <c r="E34" s="66">
        <f>'M2'!E34-'M1'!E34</f>
        <v>0</v>
      </c>
      <c r="F34" s="66">
        <f>'M2'!F34-'M1'!F34</f>
        <v>7.0849999999999802E-3</v>
      </c>
      <c r="G34" s="66">
        <f>'M2'!G34-'M1'!G34</f>
        <v>0</v>
      </c>
      <c r="H34" s="66">
        <f>'M2'!H34-'M1'!H34</f>
        <v>6.3487000000000016E-2</v>
      </c>
    </row>
    <row r="35" spans="1:8">
      <c r="A35" s="66" t="s">
        <v>78</v>
      </c>
      <c r="B35" s="66">
        <f>'M2'!B35-'M1'!B35</f>
        <v>8.4141999999999967E-3</v>
      </c>
      <c r="C35" s="66">
        <f>'M2'!C35-'M1'!C35</f>
        <v>-5.8677E-3</v>
      </c>
      <c r="D35" s="66">
        <f>'M2'!D35-'M1'!D35</f>
        <v>-0.11270000000000002</v>
      </c>
      <c r="E35" s="66">
        <f>'M2'!E35-'M1'!E35</f>
        <v>0</v>
      </c>
      <c r="F35" s="66">
        <f>'M2'!F35-'M1'!F35</f>
        <v>6.6357000000000048E-3</v>
      </c>
      <c r="G35" s="66">
        <f>'M2'!G35-'M1'!G35</f>
        <v>0</v>
      </c>
      <c r="H35" s="66">
        <f>'M2'!H35-'M1'!H35</f>
        <v>3.6480000000000123E-3</v>
      </c>
    </row>
    <row r="36" spans="1:8">
      <c r="A36" s="66" t="s">
        <v>79</v>
      </c>
      <c r="B36" s="66">
        <f>'M2'!B36-'M1'!B36</f>
        <v>4.0719999999999923E-3</v>
      </c>
      <c r="C36" s="66">
        <f>'M2'!C36-'M1'!C36</f>
        <v>1.0710899999999995E-2</v>
      </c>
      <c r="D36" s="66">
        <f>'M2'!D36-'M1'!D36</f>
        <v>5.0546999999999953E-2</v>
      </c>
      <c r="E36" s="66">
        <f>'M2'!E36-'M1'!E36</f>
        <v>0</v>
      </c>
      <c r="F36" s="66">
        <f>'M2'!F36-'M1'!F36</f>
        <v>-1.2402299999999998E-2</v>
      </c>
      <c r="G36" s="66">
        <f>'M2'!G36-'M1'!G36</f>
        <v>0</v>
      </c>
      <c r="H36" s="66">
        <f>'M2'!H36-'M1'!H36</f>
        <v>-3.5084000000000004E-2</v>
      </c>
    </row>
    <row r="37" spans="1:8">
      <c r="A37" s="66" t="s">
        <v>80</v>
      </c>
      <c r="B37" s="66">
        <f>'M2'!B37-'M1'!B37</f>
        <v>9.3010999999999983E-2</v>
      </c>
      <c r="C37" s="66">
        <f>'M2'!C37-'M1'!C37</f>
        <v>5.3060000000000052E-3</v>
      </c>
      <c r="D37" s="66">
        <f>'M2'!D37-'M1'!D37</f>
        <v>-9.9339999999999984E-2</v>
      </c>
      <c r="E37" s="66">
        <f>'M2'!E37-'M1'!E37</f>
        <v>0</v>
      </c>
      <c r="F37" s="66">
        <f>'M2'!F37-'M1'!F37</f>
        <v>9.5104999999999981E-3</v>
      </c>
      <c r="G37" s="66">
        <f>'M2'!G37-'M1'!G37</f>
        <v>0</v>
      </c>
      <c r="H37" s="66">
        <f>'M2'!H37-'M1'!H37</f>
        <v>0.13150600000000001</v>
      </c>
    </row>
    <row r="38" spans="1:8">
      <c r="A38" s="66" t="s">
        <v>81</v>
      </c>
      <c r="B38" s="66">
        <f>'M2'!B38-'M1'!B38</f>
        <v>-7.4837000000000007</v>
      </c>
      <c r="C38" s="66">
        <f>'M2'!C38-'M1'!C38</f>
        <v>-4.0206999999999979</v>
      </c>
      <c r="D38" s="66">
        <f>'M2'!D38-'M1'!D38</f>
        <v>1.1572499999999999</v>
      </c>
      <c r="E38" s="66">
        <f>'M2'!E38-'M1'!E38</f>
        <v>0</v>
      </c>
      <c r="F38" s="66">
        <f>'M2'!F38-'M1'!F38</f>
        <v>3.9527999999999963</v>
      </c>
      <c r="G38" s="66">
        <f>'M2'!G38-'M1'!G38</f>
        <v>0</v>
      </c>
      <c r="H38" s="66">
        <f>'M2'!H38-'M1'!H38</f>
        <v>5.3320000000000078</v>
      </c>
    </row>
    <row r="39" spans="1:8">
      <c r="A39" s="66" t="s">
        <v>82</v>
      </c>
      <c r="B39" s="66">
        <f>'M2'!B39-'M1'!B39</f>
        <v>-0.36026999999999987</v>
      </c>
      <c r="C39" s="66">
        <f>'M2'!C39-'M1'!C39</f>
        <v>-0.82090000000000041</v>
      </c>
      <c r="D39" s="66">
        <f>'M2'!D39-'M1'!D39</f>
        <v>0.13688600000000001</v>
      </c>
      <c r="E39" s="66">
        <f>'M2'!E39-'M1'!E39</f>
        <v>0</v>
      </c>
      <c r="F39" s="66">
        <f>'M2'!F39-'M1'!F39</f>
        <v>-1.4771000000000001</v>
      </c>
      <c r="G39" s="66">
        <f>'M2'!G39-'M1'!G39</f>
        <v>0</v>
      </c>
      <c r="H39" s="66">
        <f>'M2'!H39-'M1'!H39</f>
        <v>0.33166499999999999</v>
      </c>
    </row>
    <row r="40" spans="1:8">
      <c r="A40" s="66" t="s">
        <v>83</v>
      </c>
      <c r="B40" s="66">
        <f>'M2'!B40-'M1'!B40</f>
        <v>-0.28349000000000002</v>
      </c>
      <c r="C40" s="66">
        <f>'M2'!C40-'M1'!C40</f>
        <v>-0.33578400000000003</v>
      </c>
      <c r="D40" s="66">
        <f>'M2'!D40-'M1'!D40</f>
        <v>9.6084699999999995E-2</v>
      </c>
      <c r="E40" s="66">
        <f>'M2'!E40-'M1'!E40</f>
        <v>0</v>
      </c>
      <c r="F40" s="66">
        <f>'M2'!F40-'M1'!F40</f>
        <v>-0.31515000000000004</v>
      </c>
      <c r="G40" s="66">
        <f>'M2'!G40-'M1'!G40</f>
        <v>0</v>
      </c>
      <c r="H40" s="66">
        <f>'M2'!H40-'M1'!H40</f>
        <v>-1.6895499999999999</v>
      </c>
    </row>
    <row r="41" spans="1:8">
      <c r="A41" s="66" t="s">
        <v>84</v>
      </c>
      <c r="B41" s="66">
        <f>'M2'!B41-'M1'!B41</f>
        <v>-8.3151000000000003E-2</v>
      </c>
      <c r="C41" s="66">
        <f>'M2'!C41-'M1'!C41</f>
        <v>2.9674999999999951E-2</v>
      </c>
      <c r="D41" s="66">
        <f>'M2'!D41-'M1'!D41</f>
        <v>0.48560000000000003</v>
      </c>
      <c r="E41" s="66">
        <f>'M2'!E41-'M1'!E41</f>
        <v>0</v>
      </c>
      <c r="F41" s="66">
        <f>'M2'!F41-'M1'!F41</f>
        <v>0.13793100000000003</v>
      </c>
      <c r="G41" s="66">
        <f>'M2'!G41-'M1'!G41</f>
        <v>0</v>
      </c>
      <c r="H41" s="66">
        <f>'M2'!H41-'M1'!H41</f>
        <v>0.22222200000000003</v>
      </c>
    </row>
    <row r="42" spans="1:8">
      <c r="A42" s="66" t="s">
        <v>85</v>
      </c>
      <c r="B42" s="66">
        <f>'M2'!B42-'M1'!B42</f>
        <v>-5.3359999999999796E-3</v>
      </c>
      <c r="C42" s="66">
        <f>'M2'!C42-'M1'!C42</f>
        <v>-2.9086600000000004E-2</v>
      </c>
      <c r="D42" s="66">
        <f>'M2'!D42-'M1'!D42</f>
        <v>0.12634500000000001</v>
      </c>
      <c r="E42" s="66">
        <f>'M2'!E42-'M1'!E42</f>
        <v>0</v>
      </c>
      <c r="F42" s="66">
        <f>'M2'!F42-'M1'!F42</f>
        <v>3.7479999999999736E-3</v>
      </c>
      <c r="G42" s="66">
        <f>'M2'!G42-'M1'!G42</f>
        <v>0</v>
      </c>
      <c r="H42" s="66">
        <f>'M2'!H42-'M1'!H42</f>
        <v>-1.1548299999999997E-2</v>
      </c>
    </row>
    <row r="43" spans="1:8">
      <c r="A43" s="66" t="s">
        <v>86</v>
      </c>
      <c r="B43" s="66">
        <f>'M2'!B43-'M1'!B43</f>
        <v>-7.4049999999999949E-3</v>
      </c>
      <c r="C43" s="66">
        <f>'M2'!C43-'M1'!C43</f>
        <v>-7.5147000000000026E-3</v>
      </c>
      <c r="D43" s="66">
        <f>'M2'!D43-'M1'!D43</f>
        <v>3.4954499999999999E-2</v>
      </c>
      <c r="E43" s="66">
        <f>'M2'!E43-'M1'!E43</f>
        <v>0</v>
      </c>
      <c r="F43" s="66">
        <f>'M2'!F43-'M1'!F43</f>
        <v>-2.4217999999999962E-2</v>
      </c>
      <c r="G43" s="66">
        <f>'M2'!G43-'M1'!G43</f>
        <v>0</v>
      </c>
      <c r="H43" s="66">
        <f>'M2'!H43-'M1'!H43</f>
        <v>-4.3293999999999999E-2</v>
      </c>
    </row>
    <row r="44" spans="1:8">
      <c r="A44" s="66" t="s">
        <v>87</v>
      </c>
      <c r="B44" s="66">
        <f>'M2'!B44-'M1'!B44</f>
        <v>0.5564100000000014</v>
      </c>
      <c r="C44" s="66">
        <f>'M2'!C44-'M1'!C44</f>
        <v>-3.2300300000000002</v>
      </c>
      <c r="D44" s="66">
        <f>'M2'!D44-'M1'!D44</f>
        <v>0.28688900000000006</v>
      </c>
      <c r="E44" s="66">
        <f>'M2'!E44-'M1'!E44</f>
        <v>0</v>
      </c>
      <c r="F44" s="66">
        <f>'M2'!F44-'M1'!F44</f>
        <v>8.8793999999999969</v>
      </c>
      <c r="G44" s="66">
        <f>'M2'!G44-'M1'!G44</f>
        <v>0</v>
      </c>
      <c r="H44" s="66">
        <f>'M2'!H44-'M1'!H44</f>
        <v>1.7080690000000001</v>
      </c>
    </row>
    <row r="45" spans="1:8">
      <c r="A45" s="66" t="s">
        <v>88</v>
      </c>
      <c r="B45" s="66">
        <f>'M2'!B45-'M1'!B45</f>
        <v>-4.7543999999999969</v>
      </c>
      <c r="C45" s="66">
        <f>'M2'!C45-'M1'!C45</f>
        <v>1.3333300000000001</v>
      </c>
      <c r="D45" s="66">
        <f>'M2'!D45-'M1'!D45</f>
        <v>4.0923000000000001E-2</v>
      </c>
      <c r="E45" s="66">
        <f>'M2'!E45-'M1'!E45</f>
        <v>0</v>
      </c>
      <c r="F45" s="66">
        <f>'M2'!F45-'M1'!F45</f>
        <v>-7.9555999999999969</v>
      </c>
      <c r="G45" s="66">
        <f>'M2'!G45-'M1'!G45</f>
        <v>0</v>
      </c>
      <c r="H45" s="66">
        <f>'M2'!H45-'M1'!H45</f>
        <v>-5.539999999999992</v>
      </c>
    </row>
    <row r="46" spans="1:8">
      <c r="A46" s="66" t="s">
        <v>89</v>
      </c>
      <c r="B46" s="66">
        <f>'M2'!B46-'M1'!B46</f>
        <v>-9.8699999999997345E-2</v>
      </c>
      <c r="C46" s="66">
        <f>'M2'!C46-'M1'!C46</f>
        <v>-4.3755000000000006</v>
      </c>
      <c r="D46" s="66">
        <f>'M2'!D46-'M1'!D46</f>
        <v>-0.14999899999999999</v>
      </c>
      <c r="E46" s="66">
        <f>'M2'!E46-'M1'!E46</f>
        <v>0</v>
      </c>
      <c r="F46" s="66">
        <f>'M2'!F46-'M1'!F46</f>
        <v>14.32489</v>
      </c>
      <c r="G46" s="66">
        <f>'M2'!G46-'M1'!G46</f>
        <v>0</v>
      </c>
      <c r="H46" s="66">
        <f>'M2'!H46-'M1'!H46</f>
        <v>-1.3172999999999959</v>
      </c>
    </row>
    <row r="47" spans="1:8">
      <c r="A47" s="66" t="s">
        <v>90</v>
      </c>
      <c r="B47" s="66">
        <f>'M2'!B47-'M1'!B47</f>
        <v>3.814799999999996E-2</v>
      </c>
      <c r="C47" s="66">
        <f>'M2'!C47-'M1'!C47</f>
        <v>6.0529999999999973E-2</v>
      </c>
      <c r="D47" s="66">
        <f>'M2'!D47-'M1'!D47</f>
        <v>5.0752999999999993E-2</v>
      </c>
      <c r="E47" s="66">
        <f>'M2'!E47-'M1'!E47</f>
        <v>0</v>
      </c>
      <c r="F47" s="66">
        <f>'M2'!F47-'M1'!F47</f>
        <v>-0.11211599999999999</v>
      </c>
      <c r="G47" s="66">
        <f>'M2'!G47-'M1'!G47</f>
        <v>0</v>
      </c>
      <c r="H47" s="66">
        <f>'M2'!H47-'M1'!H47</f>
        <v>3.8100000000000023E-2</v>
      </c>
    </row>
    <row r="48" spans="1:8">
      <c r="A48" s="66" t="s">
        <v>91</v>
      </c>
      <c r="B48" s="66">
        <f>'M2'!B48-'M1'!B48</f>
        <v>0.16578899999999996</v>
      </c>
      <c r="C48" s="66">
        <f>'M2'!C48-'M1'!C48</f>
        <v>1.8086999999999992E-2</v>
      </c>
      <c r="D48" s="66">
        <f>'M2'!D48-'M1'!D48</f>
        <v>-5.2410000000000234E-3</v>
      </c>
      <c r="E48" s="66">
        <f>'M2'!E48-'M1'!E48</f>
        <v>0</v>
      </c>
      <c r="F48" s="66">
        <f>'M2'!F48-'M1'!F48</f>
        <v>0.127135</v>
      </c>
      <c r="G48" s="66">
        <f>'M2'!G48-'M1'!G48</f>
        <v>0</v>
      </c>
      <c r="H48" s="66">
        <f>'M2'!H48-'M1'!H48</f>
        <v>0.12559999999999993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66" t="s">
        <v>291</v>
      </c>
      <c r="B1" s="66" t="s">
        <v>293</v>
      </c>
      <c r="C1" s="66" t="s">
        <v>294</v>
      </c>
      <c r="D1" s="66" t="s">
        <v>295</v>
      </c>
      <c r="E1" s="66" t="s">
        <v>296</v>
      </c>
      <c r="F1" s="66" t="s">
        <v>297</v>
      </c>
      <c r="G1" s="66" t="s">
        <v>298</v>
      </c>
      <c r="H1" s="66" t="s">
        <v>299</v>
      </c>
    </row>
    <row r="2" spans="1:8">
      <c r="A2" s="66" t="s">
        <v>292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66" t="s">
        <v>300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66" t="s">
        <v>301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66" t="s">
        <v>302</v>
      </c>
      <c r="B5" s="66">
        <v>35.8598</v>
      </c>
      <c r="C5" s="66">
        <v>9.2819500000000001</v>
      </c>
      <c r="D5" s="66">
        <v>25.884</v>
      </c>
      <c r="E5" s="66">
        <v>20</v>
      </c>
      <c r="F5" s="66">
        <v>11.4427</v>
      </c>
      <c r="G5" s="66">
        <v>50</v>
      </c>
      <c r="H5" s="66">
        <v>48.744</v>
      </c>
    </row>
    <row r="6" spans="1:8">
      <c r="A6" s="66" t="s">
        <v>303</v>
      </c>
      <c r="B6" s="66">
        <v>43.032800000000002</v>
      </c>
      <c r="C6" s="66">
        <v>3.7435900000000002</v>
      </c>
      <c r="D6" s="66">
        <v>8.6994000000000007</v>
      </c>
      <c r="E6" s="66">
        <v>20</v>
      </c>
      <c r="F6" s="66">
        <v>30.4451</v>
      </c>
      <c r="G6" s="66">
        <v>40</v>
      </c>
      <c r="H6" s="66">
        <v>46.612099999999998</v>
      </c>
    </row>
    <row r="7" spans="1:8">
      <c r="A7" s="66" t="s">
        <v>304</v>
      </c>
      <c r="B7" s="66">
        <v>24.7453</v>
      </c>
      <c r="C7" s="66">
        <v>5.1268000000000002</v>
      </c>
      <c r="D7" s="66">
        <v>20.7182</v>
      </c>
      <c r="E7" s="66">
        <v>15</v>
      </c>
      <c r="F7" s="66">
        <v>12.311999999999999</v>
      </c>
      <c r="G7" s="66">
        <v>40</v>
      </c>
      <c r="H7" s="66">
        <v>47.221200000000003</v>
      </c>
    </row>
    <row r="8" spans="1:8">
      <c r="A8" s="66" t="s">
        <v>305</v>
      </c>
      <c r="B8" s="66">
        <v>34.526699999999998</v>
      </c>
      <c r="C8" s="66">
        <v>4.7317400000000003</v>
      </c>
      <c r="D8" s="66">
        <v>13.704599999999999</v>
      </c>
      <c r="E8" s="66">
        <v>20</v>
      </c>
      <c r="F8" s="66">
        <v>19.6416</v>
      </c>
      <c r="G8" s="66">
        <v>50</v>
      </c>
      <c r="H8" s="66">
        <v>38.759900000000002</v>
      </c>
    </row>
    <row r="9" spans="1:8">
      <c r="A9" s="66" t="s">
        <v>306</v>
      </c>
      <c r="B9" s="66">
        <v>70.0244</v>
      </c>
      <c r="C9" s="66">
        <v>4.0323799999999999</v>
      </c>
      <c r="D9" s="66">
        <v>5.75854</v>
      </c>
      <c r="E9" s="66">
        <v>50</v>
      </c>
      <c r="F9" s="66">
        <v>63.981200000000001</v>
      </c>
      <c r="G9" s="66">
        <v>100</v>
      </c>
      <c r="H9" s="66">
        <v>84.292699999999996</v>
      </c>
    </row>
    <row r="10" spans="1:8">
      <c r="A10" s="66" t="s">
        <v>307</v>
      </c>
      <c r="B10" s="66">
        <v>74.634900000000002</v>
      </c>
      <c r="C10" s="66">
        <v>3.4530400000000001</v>
      </c>
      <c r="D10" s="66">
        <v>4.6265700000000001</v>
      </c>
      <c r="E10" s="66">
        <v>40</v>
      </c>
      <c r="F10" s="66">
        <v>72.952200000000005</v>
      </c>
      <c r="G10" s="66">
        <v>100</v>
      </c>
      <c r="H10" s="66">
        <v>84.4345</v>
      </c>
    </row>
    <row r="11" spans="1:8">
      <c r="A11" s="66" t="s">
        <v>308</v>
      </c>
      <c r="B11" s="66">
        <v>15.0695</v>
      </c>
      <c r="C11" s="66">
        <v>3.5039600000000002</v>
      </c>
      <c r="D11" s="66">
        <v>23.251899999999999</v>
      </c>
      <c r="E11" s="66">
        <v>10</v>
      </c>
      <c r="F11" s="66">
        <v>6.8026099999999996</v>
      </c>
      <c r="G11" s="66">
        <v>50</v>
      </c>
      <c r="H11" s="66">
        <v>20.513500000000001</v>
      </c>
    </row>
    <row r="12" spans="1:8">
      <c r="A12" s="66" t="s">
        <v>309</v>
      </c>
      <c r="B12" s="66">
        <v>72.482100000000003</v>
      </c>
      <c r="C12" s="66">
        <v>3.4767100000000002</v>
      </c>
      <c r="D12" s="66">
        <v>4.7966499999999996</v>
      </c>
      <c r="E12" s="66">
        <v>50</v>
      </c>
      <c r="F12" s="66">
        <v>68.931299999999993</v>
      </c>
      <c r="G12" s="66">
        <v>100</v>
      </c>
      <c r="H12" s="66">
        <v>83.770399999999995</v>
      </c>
    </row>
    <row r="13" spans="1:8">
      <c r="A13" s="66" t="s">
        <v>310</v>
      </c>
      <c r="B13" s="66">
        <v>17.883199999999999</v>
      </c>
      <c r="C13" s="66">
        <v>2.4476599999999999</v>
      </c>
      <c r="D13" s="66">
        <v>13.6869</v>
      </c>
      <c r="E13" s="66">
        <v>10</v>
      </c>
      <c r="F13" s="66">
        <v>13.641999999999999</v>
      </c>
      <c r="G13" s="66">
        <v>25</v>
      </c>
      <c r="H13" s="66">
        <v>24.1919</v>
      </c>
    </row>
    <row r="14" spans="1:8">
      <c r="A14" s="66" t="s">
        <v>311</v>
      </c>
      <c r="B14" s="66">
        <v>24.476600000000001</v>
      </c>
      <c r="C14" s="66">
        <v>10.2264</v>
      </c>
      <c r="D14" s="66">
        <v>41.780299999999997</v>
      </c>
      <c r="E14" s="66">
        <v>10</v>
      </c>
      <c r="F14" s="66">
        <v>1.7813300000000001</v>
      </c>
      <c r="G14" s="66">
        <v>50</v>
      </c>
      <c r="H14" s="66">
        <v>32.743400000000001</v>
      </c>
    </row>
    <row r="15" spans="1:8">
      <c r="A15" s="66" t="s">
        <v>312</v>
      </c>
      <c r="B15" s="66">
        <v>0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66" t="s">
        <v>313</v>
      </c>
      <c r="B16" s="66">
        <v>0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66" t="s">
        <v>314</v>
      </c>
      <c r="B17" s="66">
        <v>0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66" t="s">
        <v>315</v>
      </c>
      <c r="B18" s="66">
        <v>0.58974800000000005</v>
      </c>
      <c r="C18" s="66">
        <v>0</v>
      </c>
      <c r="D18" s="66">
        <v>0</v>
      </c>
      <c r="E18" s="66">
        <v>0</v>
      </c>
      <c r="F18" s="66">
        <v>0</v>
      </c>
      <c r="G18" s="66">
        <v>0</v>
      </c>
      <c r="H18" s="66">
        <v>0</v>
      </c>
    </row>
    <row r="19" spans="1:8">
      <c r="A19" s="66" t="s">
        <v>316</v>
      </c>
      <c r="B19" s="66">
        <v>0.61184300000000003</v>
      </c>
      <c r="C19" s="66">
        <v>0</v>
      </c>
      <c r="D19" s="66">
        <v>0</v>
      </c>
      <c r="E19" s="66">
        <v>0</v>
      </c>
      <c r="F19" s="66">
        <v>0</v>
      </c>
      <c r="G19" s="66">
        <v>0</v>
      </c>
      <c r="H19" s="66">
        <v>0</v>
      </c>
    </row>
    <row r="20" spans="1:8">
      <c r="A20" s="66" t="s">
        <v>317</v>
      </c>
      <c r="B20" s="66">
        <v>1.22528E-3</v>
      </c>
      <c r="C20" s="66">
        <v>9.5646700000000008E-3</v>
      </c>
      <c r="D20" s="66">
        <v>7.8061199999999999</v>
      </c>
      <c r="E20" s="66">
        <v>0</v>
      </c>
      <c r="F20" s="66">
        <v>2.2460500000000001E-4</v>
      </c>
      <c r="G20" s="66">
        <v>0</v>
      </c>
      <c r="H20" s="66">
        <v>0.13220899999999999</v>
      </c>
    </row>
    <row r="21" spans="1:8">
      <c r="A21" s="66" t="s">
        <v>346</v>
      </c>
      <c r="B21" s="66">
        <v>7.9588500000000006E-2</v>
      </c>
      <c r="C21" s="66">
        <v>0.16387599999999999</v>
      </c>
      <c r="D21" s="66">
        <v>2.05904</v>
      </c>
      <c r="E21" s="66">
        <v>0</v>
      </c>
      <c r="F21" s="66">
        <v>1.1093399999999999E-3</v>
      </c>
      <c r="G21" s="66">
        <v>0</v>
      </c>
      <c r="H21" s="66">
        <v>1.0466</v>
      </c>
    </row>
    <row r="22" spans="1:8">
      <c r="A22" s="66" t="s">
        <v>319</v>
      </c>
      <c r="B22" s="66">
        <v>27.9693</v>
      </c>
      <c r="C22" s="66">
        <v>4.4058299999999999</v>
      </c>
      <c r="D22" s="66">
        <v>0.157524</v>
      </c>
      <c r="E22" s="66">
        <v>0</v>
      </c>
      <c r="F22" s="66">
        <v>19.216799999999999</v>
      </c>
      <c r="G22" s="66">
        <v>0</v>
      </c>
      <c r="H22" s="66">
        <v>40.175600000000003</v>
      </c>
    </row>
    <row r="23" spans="1:8">
      <c r="A23" s="66" t="s">
        <v>320</v>
      </c>
      <c r="B23" s="66">
        <v>10.237299999999999</v>
      </c>
      <c r="C23" s="66">
        <v>1.2292700000000001</v>
      </c>
      <c r="D23" s="66">
        <v>0.120077</v>
      </c>
      <c r="E23" s="66">
        <v>0</v>
      </c>
      <c r="F23" s="66">
        <v>6.5172400000000001</v>
      </c>
      <c r="G23" s="66">
        <v>0</v>
      </c>
      <c r="H23" s="66">
        <v>11.2525</v>
      </c>
    </row>
    <row r="24" spans="1:8">
      <c r="A24" s="66" t="s">
        <v>321</v>
      </c>
      <c r="B24" s="66">
        <v>1.4856800000000001E-3</v>
      </c>
      <c r="C24" s="66">
        <v>5.9488500000000003E-3</v>
      </c>
      <c r="D24" s="66">
        <v>4.0041200000000003</v>
      </c>
      <c r="E24" s="66">
        <v>0</v>
      </c>
      <c r="F24" s="66">
        <v>5.9866400000000005E-4</v>
      </c>
      <c r="G24" s="66">
        <v>0</v>
      </c>
      <c r="H24" s="66">
        <v>4.72138E-2</v>
      </c>
    </row>
    <row r="25" spans="1:8">
      <c r="A25" s="66" t="s">
        <v>322</v>
      </c>
      <c r="B25" s="66">
        <v>0.133661</v>
      </c>
      <c r="C25" s="66">
        <v>6.4902199999999993E-2</v>
      </c>
      <c r="D25" s="66">
        <v>0.48557499999999998</v>
      </c>
      <c r="E25" s="66">
        <v>0</v>
      </c>
      <c r="F25" s="66">
        <v>3.9195199999999999E-2</v>
      </c>
      <c r="G25" s="66">
        <v>0</v>
      </c>
      <c r="H25" s="66">
        <v>0.28449999999999998</v>
      </c>
    </row>
    <row r="26" spans="1:8">
      <c r="A26" s="66" t="s">
        <v>323</v>
      </c>
      <c r="B26" s="66">
        <v>3.1840900000000002E-4</v>
      </c>
      <c r="C26" s="66">
        <v>1.34088E-3</v>
      </c>
      <c r="D26" s="66">
        <v>4.2111900000000002</v>
      </c>
      <c r="E26" s="66">
        <v>0</v>
      </c>
      <c r="F26" s="196">
        <v>4.5955899999999998E-5</v>
      </c>
      <c r="G26" s="66">
        <v>0</v>
      </c>
      <c r="H26" s="66">
        <v>2.1530299999999999E-2</v>
      </c>
    </row>
    <row r="27" spans="1:8">
      <c r="A27" s="66" t="s">
        <v>324</v>
      </c>
      <c r="B27" s="196">
        <v>-6.5651299999999996E-6</v>
      </c>
      <c r="C27" s="66">
        <v>9.28358E-4</v>
      </c>
      <c r="D27" s="66">
        <v>-141.40700000000001</v>
      </c>
      <c r="E27" s="66">
        <v>0</v>
      </c>
      <c r="F27" s="66">
        <v>-1.60386E-2</v>
      </c>
      <c r="G27" s="66">
        <v>0</v>
      </c>
      <c r="H27" s="66">
        <v>8.8859000000000004E-3</v>
      </c>
    </row>
    <row r="28" spans="1:8">
      <c r="A28" s="66" t="s">
        <v>325</v>
      </c>
      <c r="B28" s="66">
        <v>1.3401700000000001E-2</v>
      </c>
      <c r="C28" s="66">
        <v>1.8429600000000001E-2</v>
      </c>
      <c r="D28" s="66">
        <v>1.37517</v>
      </c>
      <c r="E28" s="66">
        <v>0</v>
      </c>
      <c r="F28" s="66">
        <v>2.7994800000000002E-4</v>
      </c>
      <c r="G28" s="66">
        <v>0</v>
      </c>
      <c r="H28" s="66">
        <v>0.108792</v>
      </c>
    </row>
    <row r="29" spans="1:8">
      <c r="A29" s="66" t="s">
        <v>326</v>
      </c>
      <c r="B29" s="66">
        <v>63.062199999999997</v>
      </c>
      <c r="C29" s="66">
        <v>4.9337900000000001</v>
      </c>
      <c r="D29" s="66">
        <v>7.8236899999999998E-2</v>
      </c>
      <c r="E29" s="66">
        <v>0</v>
      </c>
      <c r="F29" s="66">
        <v>51.825099999999999</v>
      </c>
      <c r="G29" s="66">
        <v>0</v>
      </c>
      <c r="H29" s="66">
        <v>73.313699999999997</v>
      </c>
    </row>
    <row r="30" spans="1:8">
      <c r="A30" s="66" t="s">
        <v>327</v>
      </c>
      <c r="B30" s="66">
        <v>17.6203</v>
      </c>
      <c r="C30" s="66">
        <v>2.6221899999999998</v>
      </c>
      <c r="D30" s="66">
        <v>0.148816</v>
      </c>
      <c r="E30" s="66">
        <v>0</v>
      </c>
      <c r="F30" s="66">
        <v>9.4242000000000008</v>
      </c>
      <c r="G30" s="66">
        <v>0</v>
      </c>
      <c r="H30" s="66">
        <v>18.7651</v>
      </c>
    </row>
    <row r="31" spans="1:8">
      <c r="A31" s="66" t="s">
        <v>328</v>
      </c>
      <c r="B31" s="66">
        <v>61.175800000000002</v>
      </c>
      <c r="C31" s="66">
        <v>14.6332</v>
      </c>
      <c r="D31" s="66">
        <v>0.23919899999999999</v>
      </c>
      <c r="E31" s="66">
        <v>0</v>
      </c>
      <c r="F31" s="66">
        <v>25.033300000000001</v>
      </c>
      <c r="G31" s="66">
        <v>0</v>
      </c>
      <c r="H31" s="66">
        <v>78.677800000000005</v>
      </c>
    </row>
    <row r="32" spans="1:8">
      <c r="A32" s="66" t="s">
        <v>329</v>
      </c>
      <c r="B32" s="66">
        <v>0.24745300000000001</v>
      </c>
      <c r="C32" s="66">
        <v>5.1268000000000001E-2</v>
      </c>
      <c r="D32" s="66">
        <v>0.20718200000000001</v>
      </c>
      <c r="E32" s="66">
        <v>0.15</v>
      </c>
      <c r="F32" s="66">
        <v>0.12311999999999999</v>
      </c>
      <c r="G32" s="66">
        <v>0.4</v>
      </c>
      <c r="H32" s="66">
        <v>0.47221200000000002</v>
      </c>
    </row>
    <row r="33" spans="1:8">
      <c r="A33" s="66" t="s">
        <v>330</v>
      </c>
      <c r="B33" s="66">
        <v>0.36865999999999999</v>
      </c>
      <c r="C33" s="66">
        <v>6.8992399999999995E-2</v>
      </c>
      <c r="D33" s="66">
        <v>0.187144</v>
      </c>
      <c r="E33" s="66">
        <v>0</v>
      </c>
      <c r="F33" s="66">
        <v>0.191638</v>
      </c>
      <c r="G33" s="66">
        <v>0</v>
      </c>
      <c r="H33" s="66">
        <v>0.46357300000000001</v>
      </c>
    </row>
    <row r="34" spans="1:8">
      <c r="A34" s="66" t="s">
        <v>331</v>
      </c>
      <c r="B34" s="66">
        <v>0.17883199999999999</v>
      </c>
      <c r="C34" s="66">
        <v>2.4476600000000001E-2</v>
      </c>
      <c r="D34" s="66">
        <v>0.13686899999999999</v>
      </c>
      <c r="E34" s="66">
        <v>0.1</v>
      </c>
      <c r="F34" s="66">
        <v>0.13642000000000001</v>
      </c>
      <c r="G34" s="66">
        <v>0.25</v>
      </c>
      <c r="H34" s="66">
        <v>0.241919</v>
      </c>
    </row>
    <row r="35" spans="1:8">
      <c r="A35" s="66" t="s">
        <v>332</v>
      </c>
      <c r="B35" s="66">
        <v>6.9774299999999997E-2</v>
      </c>
      <c r="C35" s="66">
        <v>2.4414499999999999E-2</v>
      </c>
      <c r="D35" s="66">
        <v>0.34990700000000002</v>
      </c>
      <c r="E35" s="66">
        <v>0</v>
      </c>
      <c r="F35" s="66">
        <v>2.5783299999999999E-2</v>
      </c>
      <c r="G35" s="66">
        <v>0</v>
      </c>
      <c r="H35" s="66">
        <v>0.12765399999999999</v>
      </c>
    </row>
    <row r="36" spans="1:8">
      <c r="A36" s="66" t="s">
        <v>333</v>
      </c>
      <c r="B36" s="66">
        <v>0.168049</v>
      </c>
      <c r="C36" s="66">
        <v>8.2980999999999999E-2</v>
      </c>
      <c r="D36" s="66">
        <v>0.49379000000000001</v>
      </c>
      <c r="E36" s="66">
        <v>0</v>
      </c>
      <c r="F36" s="66">
        <v>4.7726299999999999E-2</v>
      </c>
      <c r="G36" s="66">
        <v>0</v>
      </c>
      <c r="H36" s="66">
        <v>0.510795</v>
      </c>
    </row>
    <row r="37" spans="1:8">
      <c r="A37" s="66" t="s">
        <v>334</v>
      </c>
      <c r="B37" s="66">
        <v>0.24476600000000001</v>
      </c>
      <c r="C37" s="66">
        <v>0.10226399999999999</v>
      </c>
      <c r="D37" s="66">
        <v>0.41780299999999998</v>
      </c>
      <c r="E37" s="66">
        <v>0.1</v>
      </c>
      <c r="F37" s="66">
        <v>1.7813300000000001E-2</v>
      </c>
      <c r="G37" s="66">
        <v>0.5</v>
      </c>
      <c r="H37" s="66">
        <v>0.327434</v>
      </c>
    </row>
    <row r="38" spans="1:8">
      <c r="A38" s="66" t="s">
        <v>335</v>
      </c>
      <c r="B38" s="66">
        <v>-12.038600000000001</v>
      </c>
      <c r="C38" s="66">
        <v>29.875299999999999</v>
      </c>
      <c r="D38" s="66">
        <v>-2.4816199999999999</v>
      </c>
      <c r="E38" s="66">
        <v>0</v>
      </c>
      <c r="F38" s="66">
        <v>-60.715499999999999</v>
      </c>
      <c r="G38" s="66">
        <v>0</v>
      </c>
      <c r="H38" s="66">
        <v>120.49299999999999</v>
      </c>
    </row>
    <row r="39" spans="1:8">
      <c r="A39" s="66" t="s">
        <v>336</v>
      </c>
      <c r="B39" s="66">
        <v>-6.9954999999999998</v>
      </c>
      <c r="C39" s="66">
        <v>3.6118100000000002</v>
      </c>
      <c r="D39" s="66">
        <v>-0.51630399999999999</v>
      </c>
      <c r="E39" s="66">
        <v>0</v>
      </c>
      <c r="F39" s="66">
        <v>-14.399699999999999</v>
      </c>
      <c r="G39" s="66">
        <v>0</v>
      </c>
      <c r="H39" s="66">
        <v>0.50912000000000002</v>
      </c>
    </row>
    <row r="40" spans="1:8">
      <c r="A40" s="66" t="s">
        <v>337</v>
      </c>
      <c r="B40" s="66">
        <v>-3.76953</v>
      </c>
      <c r="C40" s="66">
        <v>0.71338500000000005</v>
      </c>
      <c r="D40" s="66">
        <v>-0.18925</v>
      </c>
      <c r="E40" s="66">
        <v>0</v>
      </c>
      <c r="F40" s="66">
        <v>-4.5423900000000001</v>
      </c>
      <c r="G40" s="66">
        <v>0</v>
      </c>
      <c r="H40" s="66">
        <v>-1.54417</v>
      </c>
    </row>
    <row r="41" spans="1:8">
      <c r="A41" s="66" t="s">
        <v>338</v>
      </c>
      <c r="B41" s="66">
        <v>-0.15007100000000001</v>
      </c>
      <c r="C41" s="66">
        <v>0.25796200000000002</v>
      </c>
      <c r="D41" s="66">
        <v>-1.71892</v>
      </c>
      <c r="E41" s="66">
        <v>0</v>
      </c>
      <c r="F41" s="66">
        <v>-1</v>
      </c>
      <c r="G41" s="66">
        <v>0</v>
      </c>
      <c r="H41" s="66">
        <v>0.77777799999999997</v>
      </c>
    </row>
    <row r="42" spans="1:8">
      <c r="A42" s="66" t="s">
        <v>339</v>
      </c>
      <c r="B42" s="66">
        <v>-0.24018400000000001</v>
      </c>
      <c r="C42" s="66">
        <v>8.7024900000000002E-2</v>
      </c>
      <c r="D42" s="66">
        <v>-0.36232700000000001</v>
      </c>
      <c r="E42" s="66">
        <v>0</v>
      </c>
      <c r="F42" s="66">
        <v>-0.39077499999999998</v>
      </c>
      <c r="G42" s="66">
        <v>0</v>
      </c>
      <c r="H42" s="66">
        <v>-1.7308500000000001E-2</v>
      </c>
    </row>
    <row r="43" spans="1:8">
      <c r="A43" s="66" t="s">
        <v>340</v>
      </c>
      <c r="B43" s="66">
        <v>-0.23210600000000001</v>
      </c>
      <c r="C43" s="66">
        <v>2.6866600000000001E-2</v>
      </c>
      <c r="D43" s="66">
        <v>-0.11575199999999999</v>
      </c>
      <c r="E43" s="66">
        <v>0</v>
      </c>
      <c r="F43" s="66">
        <v>-0.28202300000000002</v>
      </c>
      <c r="G43" s="66">
        <v>0</v>
      </c>
      <c r="H43" s="66">
        <v>-0.16081899999999999</v>
      </c>
    </row>
    <row r="44" spans="1:8">
      <c r="A44" s="66" t="s">
        <v>341</v>
      </c>
      <c r="B44" s="66">
        <v>-10.463800000000001</v>
      </c>
      <c r="C44" s="66">
        <v>7.2908200000000001</v>
      </c>
      <c r="D44" s="66">
        <v>-0.69676400000000005</v>
      </c>
      <c r="E44" s="66">
        <v>0</v>
      </c>
      <c r="F44" s="66">
        <v>-26.274999999999999</v>
      </c>
      <c r="G44" s="66">
        <v>0</v>
      </c>
      <c r="H44" s="66">
        <v>-1.03878</v>
      </c>
    </row>
    <row r="45" spans="1:8">
      <c r="A45" s="66" t="s">
        <v>342</v>
      </c>
      <c r="B45" s="66">
        <v>50.550699999999999</v>
      </c>
      <c r="C45" s="66">
        <v>5.7496900000000002</v>
      </c>
      <c r="D45" s="66">
        <v>0.11374099999999999</v>
      </c>
      <c r="E45" s="66">
        <v>0</v>
      </c>
      <c r="F45" s="66">
        <v>39.381799999999998</v>
      </c>
      <c r="G45" s="66">
        <v>0</v>
      </c>
      <c r="H45" s="66">
        <v>69.647999999999996</v>
      </c>
    </row>
    <row r="46" spans="1:8">
      <c r="A46" s="66" t="s">
        <v>343</v>
      </c>
      <c r="B46" s="66">
        <v>29.090399999999999</v>
      </c>
      <c r="C46" s="66">
        <v>7.8927100000000001</v>
      </c>
      <c r="D46" s="66">
        <v>0.27131699999999997</v>
      </c>
      <c r="E46" s="66">
        <v>0</v>
      </c>
      <c r="F46" s="66">
        <v>8.6459100000000007</v>
      </c>
      <c r="G46" s="66">
        <v>0</v>
      </c>
      <c r="H46" s="66">
        <v>34.782699999999998</v>
      </c>
    </row>
    <row r="47" spans="1:8">
      <c r="A47" s="66" t="s">
        <v>344</v>
      </c>
      <c r="B47" s="66">
        <v>0.92427700000000002</v>
      </c>
      <c r="C47" s="66">
        <v>0.283086</v>
      </c>
      <c r="D47" s="66">
        <v>0.30627799999999999</v>
      </c>
      <c r="E47" s="66">
        <v>0</v>
      </c>
      <c r="F47" s="66">
        <v>0.47400999999999999</v>
      </c>
      <c r="G47" s="66">
        <v>0</v>
      </c>
      <c r="H47" s="66">
        <v>1.9814799999999999</v>
      </c>
    </row>
    <row r="48" spans="1:8">
      <c r="A48" s="66" t="s">
        <v>345</v>
      </c>
      <c r="B48" s="66">
        <v>0.74587400000000004</v>
      </c>
      <c r="C48" s="66">
        <v>0.102868</v>
      </c>
      <c r="D48" s="66">
        <v>0.13791600000000001</v>
      </c>
      <c r="E48" s="66">
        <v>0</v>
      </c>
      <c r="F48" s="66">
        <v>0.59245700000000001</v>
      </c>
      <c r="G48" s="66">
        <v>0</v>
      </c>
      <c r="H48" s="66">
        <v>1.02986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66" t="s">
        <v>291</v>
      </c>
      <c r="B1" s="66" t="s">
        <v>293</v>
      </c>
      <c r="C1" s="66" t="s">
        <v>294</v>
      </c>
      <c r="D1" s="66" t="s">
        <v>295</v>
      </c>
      <c r="E1" s="66" t="s">
        <v>296</v>
      </c>
      <c r="F1" s="66" t="s">
        <v>297</v>
      </c>
      <c r="G1" s="66" t="s">
        <v>298</v>
      </c>
      <c r="H1" s="66" t="s">
        <v>299</v>
      </c>
    </row>
    <row r="2" spans="1:8">
      <c r="A2" s="66" t="s">
        <v>292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66" t="s">
        <v>300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66" t="s">
        <v>301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66" t="s">
        <v>302</v>
      </c>
      <c r="B5" s="66">
        <v>37.975499999999997</v>
      </c>
      <c r="C5" s="66">
        <v>5.3312299999999997</v>
      </c>
      <c r="D5" s="66">
        <v>14.038600000000001</v>
      </c>
      <c r="E5" s="66">
        <v>20</v>
      </c>
      <c r="F5" s="66">
        <v>28.497900000000001</v>
      </c>
      <c r="G5" s="66">
        <v>50</v>
      </c>
      <c r="H5" s="66">
        <v>46.786499999999997</v>
      </c>
    </row>
    <row r="6" spans="1:8">
      <c r="A6" s="66" t="s">
        <v>303</v>
      </c>
      <c r="B6" s="66">
        <v>33.324399999999997</v>
      </c>
      <c r="C6" s="66">
        <v>2.1954799999999999</v>
      </c>
      <c r="D6" s="66">
        <v>6.5882199999999997</v>
      </c>
      <c r="E6" s="66">
        <v>20</v>
      </c>
      <c r="F6" s="66">
        <v>31.182400000000001</v>
      </c>
      <c r="G6" s="66">
        <v>40</v>
      </c>
      <c r="H6" s="66">
        <v>40.072400000000002</v>
      </c>
    </row>
    <row r="7" spans="1:8">
      <c r="A7" s="66" t="s">
        <v>304</v>
      </c>
      <c r="B7" s="66">
        <v>21.898700000000002</v>
      </c>
      <c r="C7" s="66">
        <v>4.7027700000000001</v>
      </c>
      <c r="D7" s="66">
        <v>21.475100000000001</v>
      </c>
      <c r="E7" s="66">
        <v>15</v>
      </c>
      <c r="F7" s="66">
        <v>11.834300000000001</v>
      </c>
      <c r="G7" s="66">
        <v>40</v>
      </c>
      <c r="H7" s="66">
        <v>34.903700000000001</v>
      </c>
    </row>
    <row r="8" spans="1:8">
      <c r="A8" s="66" t="s">
        <v>305</v>
      </c>
      <c r="B8" s="66">
        <v>31.802399999999999</v>
      </c>
      <c r="C8" s="66">
        <v>2.7864100000000001</v>
      </c>
      <c r="D8" s="66">
        <v>8.7616499999999995</v>
      </c>
      <c r="E8" s="66">
        <v>20</v>
      </c>
      <c r="F8" s="66">
        <v>25.862400000000001</v>
      </c>
      <c r="G8" s="66">
        <v>50</v>
      </c>
      <c r="H8" s="66">
        <v>36.7134</v>
      </c>
    </row>
    <row r="9" spans="1:8">
      <c r="A9" s="66" t="s">
        <v>306</v>
      </c>
      <c r="B9" s="66">
        <v>71.428799999999995</v>
      </c>
      <c r="C9" s="66">
        <v>3.0723600000000002</v>
      </c>
      <c r="D9" s="66">
        <v>4.3013000000000003</v>
      </c>
      <c r="E9" s="66">
        <v>50</v>
      </c>
      <c r="F9" s="66">
        <v>65.316199999999995</v>
      </c>
      <c r="G9" s="66">
        <v>100</v>
      </c>
      <c r="H9" s="66">
        <v>80.954800000000006</v>
      </c>
    </row>
    <row r="10" spans="1:8">
      <c r="A10" s="66" t="s">
        <v>307</v>
      </c>
      <c r="B10" s="66">
        <v>79.203299999999999</v>
      </c>
      <c r="C10" s="66">
        <v>2.2669000000000001</v>
      </c>
      <c r="D10" s="66">
        <v>2.8621300000000001</v>
      </c>
      <c r="E10" s="66">
        <v>40</v>
      </c>
      <c r="F10" s="66">
        <v>73.788399999999996</v>
      </c>
      <c r="G10" s="66">
        <v>100</v>
      </c>
      <c r="H10" s="66">
        <v>81.231700000000004</v>
      </c>
    </row>
    <row r="11" spans="1:8">
      <c r="A11" s="66" t="s">
        <v>308</v>
      </c>
      <c r="B11" s="66">
        <v>20.729399999999998</v>
      </c>
      <c r="C11" s="66">
        <v>3.18729</v>
      </c>
      <c r="D11" s="66">
        <v>15.3757</v>
      </c>
      <c r="E11" s="66">
        <v>10</v>
      </c>
      <c r="F11" s="66">
        <v>15.5664</v>
      </c>
      <c r="G11" s="66">
        <v>50</v>
      </c>
      <c r="H11" s="66">
        <v>26.268000000000001</v>
      </c>
    </row>
    <row r="12" spans="1:8">
      <c r="A12" s="66" t="s">
        <v>309</v>
      </c>
      <c r="B12" s="66">
        <v>75.158100000000005</v>
      </c>
      <c r="C12" s="66">
        <v>1.5509599999999999</v>
      </c>
      <c r="D12" s="66">
        <v>2.0636000000000001</v>
      </c>
      <c r="E12" s="66">
        <v>50</v>
      </c>
      <c r="F12" s="66">
        <v>71.080500000000001</v>
      </c>
      <c r="G12" s="66">
        <v>100</v>
      </c>
      <c r="H12" s="66">
        <v>78.965900000000005</v>
      </c>
    </row>
    <row r="13" spans="1:8">
      <c r="A13" s="66" t="s">
        <v>310</v>
      </c>
      <c r="B13" s="66">
        <v>18.023399999999999</v>
      </c>
      <c r="C13" s="66">
        <v>3.3777699999999999</v>
      </c>
      <c r="D13" s="66">
        <v>18.741</v>
      </c>
      <c r="E13" s="66">
        <v>10</v>
      </c>
      <c r="F13" s="66">
        <v>14.3505</v>
      </c>
      <c r="G13" s="66">
        <v>25</v>
      </c>
      <c r="H13" s="66">
        <v>30.540600000000001</v>
      </c>
    </row>
    <row r="14" spans="1:8">
      <c r="A14" s="66" t="s">
        <v>311</v>
      </c>
      <c r="B14" s="66">
        <v>33.777700000000003</v>
      </c>
      <c r="C14" s="66">
        <v>10.757</v>
      </c>
      <c r="D14" s="66">
        <v>31.846299999999999</v>
      </c>
      <c r="E14" s="66">
        <v>10</v>
      </c>
      <c r="F14" s="66">
        <v>2.73238</v>
      </c>
      <c r="G14" s="66">
        <v>50</v>
      </c>
      <c r="H14" s="66">
        <v>45.893999999999998</v>
      </c>
    </row>
    <row r="15" spans="1:8">
      <c r="A15" s="66" t="s">
        <v>312</v>
      </c>
      <c r="B15" s="66">
        <v>0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66" t="s">
        <v>313</v>
      </c>
      <c r="B16" s="66">
        <v>0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66" t="s">
        <v>314</v>
      </c>
      <c r="B17" s="66">
        <v>0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66" t="s">
        <v>315</v>
      </c>
      <c r="B18" s="66">
        <v>0.49857400000000002</v>
      </c>
      <c r="C18" s="66">
        <v>2.7273499999999999E-2</v>
      </c>
      <c r="D18" s="66">
        <v>5.4703000000000002E-2</v>
      </c>
      <c r="E18" s="66">
        <v>0</v>
      </c>
      <c r="F18" s="66">
        <v>0.4713</v>
      </c>
      <c r="G18" s="66">
        <v>0</v>
      </c>
      <c r="H18" s="66">
        <v>0.52584699999999995</v>
      </c>
    </row>
    <row r="19" spans="1:8">
      <c r="A19" s="66" t="s">
        <v>316</v>
      </c>
      <c r="B19" s="66">
        <v>0.75535600000000003</v>
      </c>
      <c r="C19" s="66">
        <v>0.10248699999999999</v>
      </c>
      <c r="D19" s="66">
        <v>0.13568</v>
      </c>
      <c r="E19" s="66">
        <v>0</v>
      </c>
      <c r="F19" s="66">
        <v>0.65286900000000003</v>
      </c>
      <c r="G19" s="66">
        <v>0</v>
      </c>
      <c r="H19" s="66">
        <v>0.85784300000000002</v>
      </c>
    </row>
    <row r="20" spans="1:8">
      <c r="A20" s="66" t="s">
        <v>317</v>
      </c>
      <c r="B20" s="66">
        <v>1.07529E-3</v>
      </c>
      <c r="C20" s="66">
        <v>3.1669599999999999E-3</v>
      </c>
      <c r="D20" s="66">
        <v>2.9452199999999999</v>
      </c>
      <c r="E20" s="66">
        <v>0</v>
      </c>
      <c r="F20" s="66">
        <v>2.32122E-4</v>
      </c>
      <c r="G20" s="66">
        <v>0</v>
      </c>
      <c r="H20" s="66">
        <v>5.9797200000000002E-2</v>
      </c>
    </row>
    <row r="21" spans="1:8">
      <c r="A21" s="66" t="s">
        <v>346</v>
      </c>
      <c r="B21" s="66">
        <v>8.0574099999999996E-2</v>
      </c>
      <c r="C21" s="66">
        <v>0.17760100000000001</v>
      </c>
      <c r="D21" s="66">
        <v>2.2041900000000001</v>
      </c>
      <c r="E21" s="66">
        <v>0</v>
      </c>
      <c r="F21" s="66">
        <v>9.7286099999999999E-4</v>
      </c>
      <c r="G21" s="66">
        <v>0</v>
      </c>
      <c r="H21" s="66">
        <v>0.881606</v>
      </c>
    </row>
    <row r="22" spans="1:8">
      <c r="A22" s="66" t="s">
        <v>319</v>
      </c>
      <c r="B22" s="66">
        <v>27.590299999999999</v>
      </c>
      <c r="C22" s="66">
        <v>4.8176600000000001</v>
      </c>
      <c r="D22" s="66">
        <v>0.17461399999999999</v>
      </c>
      <c r="E22" s="66">
        <v>0</v>
      </c>
      <c r="F22" s="66">
        <v>18.8123</v>
      </c>
      <c r="G22" s="66">
        <v>0</v>
      </c>
      <c r="H22" s="66">
        <v>39.585900000000002</v>
      </c>
    </row>
    <row r="23" spans="1:8">
      <c r="A23" s="66" t="s">
        <v>320</v>
      </c>
      <c r="B23" s="66">
        <v>11.544499999999999</v>
      </c>
      <c r="C23" s="66">
        <v>0.99520200000000003</v>
      </c>
      <c r="D23" s="66">
        <v>8.6205900000000002E-2</v>
      </c>
      <c r="E23" s="66">
        <v>0</v>
      </c>
      <c r="F23" s="66">
        <v>10.315799999999999</v>
      </c>
      <c r="G23" s="66">
        <v>0</v>
      </c>
      <c r="H23" s="66">
        <v>13.594099999999999</v>
      </c>
    </row>
    <row r="24" spans="1:8">
      <c r="A24" s="66" t="s">
        <v>347</v>
      </c>
      <c r="B24" s="66">
        <v>1.43812E-3</v>
      </c>
      <c r="C24" s="66">
        <v>2.0242799999999998E-3</v>
      </c>
      <c r="D24" s="66">
        <v>1.4075899999999999</v>
      </c>
      <c r="E24" s="66">
        <v>0</v>
      </c>
      <c r="F24" s="66">
        <v>4.61755E-4</v>
      </c>
      <c r="G24" s="66">
        <v>0</v>
      </c>
      <c r="H24" s="66">
        <v>1.6169800000000002E-2</v>
      </c>
    </row>
    <row r="25" spans="1:8">
      <c r="A25" s="66" t="s">
        <v>322</v>
      </c>
      <c r="B25" s="66">
        <v>0.14882699999999999</v>
      </c>
      <c r="C25" s="66">
        <v>6.4790799999999996E-2</v>
      </c>
      <c r="D25" s="66">
        <v>0.43534200000000001</v>
      </c>
      <c r="E25" s="66">
        <v>0</v>
      </c>
      <c r="F25" s="66">
        <v>3.0666300000000001E-2</v>
      </c>
      <c r="G25" s="66">
        <v>0</v>
      </c>
      <c r="H25" s="66">
        <v>0.30724400000000002</v>
      </c>
    </row>
    <row r="26" spans="1:8">
      <c r="A26" s="66" t="s">
        <v>323</v>
      </c>
      <c r="B26" s="66">
        <v>2.80659E-4</v>
      </c>
      <c r="C26" s="66">
        <v>5.6357599999999999E-4</v>
      </c>
      <c r="D26" s="66">
        <v>2.0080399999999998</v>
      </c>
      <c r="E26" s="66">
        <v>0</v>
      </c>
      <c r="F26" s="196">
        <v>4.2673299999999997E-5</v>
      </c>
      <c r="G26" s="66">
        <v>0</v>
      </c>
      <c r="H26" s="66">
        <v>5.9775499999999999E-3</v>
      </c>
    </row>
    <row r="27" spans="1:8">
      <c r="A27" s="66" t="s">
        <v>324</v>
      </c>
      <c r="B27" s="196">
        <v>6.5651299999999996E-6</v>
      </c>
      <c r="C27" s="66">
        <v>3.2177399999999999E-4</v>
      </c>
      <c r="D27" s="66">
        <v>49.012599999999999</v>
      </c>
      <c r="E27" s="66">
        <v>0</v>
      </c>
      <c r="F27" s="66">
        <v>-3.09217E-3</v>
      </c>
      <c r="G27" s="66">
        <v>0</v>
      </c>
      <c r="H27" s="66">
        <v>3.03637E-3</v>
      </c>
    </row>
    <row r="28" spans="1:8">
      <c r="A28" s="66" t="s">
        <v>325</v>
      </c>
      <c r="B28" s="66">
        <v>1.3824899999999999E-2</v>
      </c>
      <c r="C28" s="66">
        <v>2.0331800000000001E-2</v>
      </c>
      <c r="D28" s="66">
        <v>1.4706699999999999</v>
      </c>
      <c r="E28" s="66">
        <v>0</v>
      </c>
      <c r="F28" s="66">
        <v>2.1158900000000001E-4</v>
      </c>
      <c r="G28" s="66">
        <v>0</v>
      </c>
      <c r="H28" s="66">
        <v>9.4309900000000002E-2</v>
      </c>
    </row>
    <row r="29" spans="1:8">
      <c r="A29" s="66" t="s">
        <v>326</v>
      </c>
      <c r="B29" s="66">
        <v>60.981299999999997</v>
      </c>
      <c r="C29" s="66">
        <v>7.0091900000000003</v>
      </c>
      <c r="D29" s="66">
        <v>0.11494</v>
      </c>
      <c r="E29" s="66">
        <v>0</v>
      </c>
      <c r="F29" s="66">
        <v>43.176900000000003</v>
      </c>
      <c r="G29" s="66">
        <v>0</v>
      </c>
      <c r="H29" s="66">
        <v>75.314800000000005</v>
      </c>
    </row>
    <row r="30" spans="1:8">
      <c r="A30" s="66" t="s">
        <v>327</v>
      </c>
      <c r="B30" s="66">
        <v>19.746600000000001</v>
      </c>
      <c r="C30" s="66">
        <v>1.42554</v>
      </c>
      <c r="D30" s="66">
        <v>7.21918E-2</v>
      </c>
      <c r="E30" s="66">
        <v>0</v>
      </c>
      <c r="F30" s="66">
        <v>17.8673</v>
      </c>
      <c r="G30" s="66">
        <v>0</v>
      </c>
      <c r="H30" s="66">
        <v>22.514299999999999</v>
      </c>
    </row>
    <row r="31" spans="1:8">
      <c r="A31" s="66" t="s">
        <v>328</v>
      </c>
      <c r="B31" s="66">
        <v>74.631100000000004</v>
      </c>
      <c r="C31" s="66">
        <v>6.7606700000000002</v>
      </c>
      <c r="D31" s="66">
        <v>9.0587899999999999E-2</v>
      </c>
      <c r="E31" s="66">
        <v>0</v>
      </c>
      <c r="F31" s="66">
        <v>57.851599999999998</v>
      </c>
      <c r="G31" s="66">
        <v>0</v>
      </c>
      <c r="H31" s="66">
        <v>83.123900000000006</v>
      </c>
    </row>
    <row r="32" spans="1:8">
      <c r="A32" s="66" t="s">
        <v>329</v>
      </c>
      <c r="B32" s="66">
        <v>0.21898699999999999</v>
      </c>
      <c r="C32" s="66">
        <v>4.7027699999999999E-2</v>
      </c>
      <c r="D32" s="66">
        <v>0.214751</v>
      </c>
      <c r="E32" s="66">
        <v>0.15</v>
      </c>
      <c r="F32" s="66">
        <v>0.118343</v>
      </c>
      <c r="G32" s="66">
        <v>0.4</v>
      </c>
      <c r="H32" s="66">
        <v>0.34903699999999999</v>
      </c>
    </row>
    <row r="33" spans="1:8">
      <c r="A33" s="66" t="s">
        <v>330</v>
      </c>
      <c r="B33" s="66">
        <v>0.45928099999999999</v>
      </c>
      <c r="C33" s="66">
        <v>1.30133E-2</v>
      </c>
      <c r="D33" s="66">
        <v>2.8334000000000002E-2</v>
      </c>
      <c r="E33" s="66">
        <v>0</v>
      </c>
      <c r="F33" s="66">
        <v>0.41839599999999999</v>
      </c>
      <c r="G33" s="66">
        <v>0</v>
      </c>
      <c r="H33" s="66">
        <v>0.486487</v>
      </c>
    </row>
    <row r="34" spans="1:8">
      <c r="A34" s="66" t="s">
        <v>331</v>
      </c>
      <c r="B34" s="66">
        <v>0.18023400000000001</v>
      </c>
      <c r="C34" s="66">
        <v>3.3777700000000001E-2</v>
      </c>
      <c r="D34" s="66">
        <v>0.18740999999999999</v>
      </c>
      <c r="E34" s="66">
        <v>0.1</v>
      </c>
      <c r="F34" s="66">
        <v>0.14350499999999999</v>
      </c>
      <c r="G34" s="66">
        <v>0.25</v>
      </c>
      <c r="H34" s="66">
        <v>0.30540600000000001</v>
      </c>
    </row>
    <row r="35" spans="1:8">
      <c r="A35" s="66" t="s">
        <v>332</v>
      </c>
      <c r="B35" s="66">
        <v>7.8188499999999994E-2</v>
      </c>
      <c r="C35" s="66">
        <v>1.8546799999999999E-2</v>
      </c>
      <c r="D35" s="66">
        <v>0.237207</v>
      </c>
      <c r="E35" s="66">
        <v>0</v>
      </c>
      <c r="F35" s="66">
        <v>3.2419000000000003E-2</v>
      </c>
      <c r="G35" s="66">
        <v>0</v>
      </c>
      <c r="H35" s="66">
        <v>0.131302</v>
      </c>
    </row>
    <row r="36" spans="1:8">
      <c r="A36" s="66" t="s">
        <v>333</v>
      </c>
      <c r="B36" s="66">
        <v>0.172121</v>
      </c>
      <c r="C36" s="66">
        <v>9.3691899999999995E-2</v>
      </c>
      <c r="D36" s="66">
        <v>0.54433699999999996</v>
      </c>
      <c r="E36" s="66">
        <v>0</v>
      </c>
      <c r="F36" s="66">
        <v>3.5324000000000001E-2</v>
      </c>
      <c r="G36" s="66">
        <v>0</v>
      </c>
      <c r="H36" s="66">
        <v>0.47571099999999999</v>
      </c>
    </row>
    <row r="37" spans="1:8">
      <c r="A37" s="66" t="s">
        <v>334</v>
      </c>
      <c r="B37" s="66">
        <v>0.33777699999999999</v>
      </c>
      <c r="C37" s="66">
        <v>0.10757</v>
      </c>
      <c r="D37" s="66">
        <v>0.318463</v>
      </c>
      <c r="E37" s="66">
        <v>0.1</v>
      </c>
      <c r="F37" s="66">
        <v>2.7323799999999999E-2</v>
      </c>
      <c r="G37" s="66">
        <v>0.5</v>
      </c>
      <c r="H37" s="66">
        <v>0.45894000000000001</v>
      </c>
    </row>
    <row r="38" spans="1:8">
      <c r="A38" s="66" t="s">
        <v>335</v>
      </c>
      <c r="B38" s="66">
        <v>-19.522300000000001</v>
      </c>
      <c r="C38" s="66">
        <v>25.854600000000001</v>
      </c>
      <c r="D38" s="66">
        <v>-1.32437</v>
      </c>
      <c r="E38" s="66">
        <v>0</v>
      </c>
      <c r="F38" s="66">
        <v>-56.762700000000002</v>
      </c>
      <c r="G38" s="66">
        <v>0</v>
      </c>
      <c r="H38" s="66">
        <v>125.825</v>
      </c>
    </row>
    <row r="39" spans="1:8">
      <c r="A39" s="66" t="s">
        <v>336</v>
      </c>
      <c r="B39" s="66">
        <v>-7.3557699999999997</v>
      </c>
      <c r="C39" s="66">
        <v>2.7909099999999998</v>
      </c>
      <c r="D39" s="66">
        <v>-0.37941799999999998</v>
      </c>
      <c r="E39" s="66">
        <v>0</v>
      </c>
      <c r="F39" s="66">
        <v>-15.876799999999999</v>
      </c>
      <c r="G39" s="66">
        <v>0</v>
      </c>
      <c r="H39" s="66">
        <v>0.840785</v>
      </c>
    </row>
    <row r="40" spans="1:8">
      <c r="A40" s="66" t="s">
        <v>337</v>
      </c>
      <c r="B40" s="66">
        <v>-4.0530200000000001</v>
      </c>
      <c r="C40" s="66">
        <v>0.37760100000000002</v>
      </c>
      <c r="D40" s="66">
        <v>-9.3165300000000006E-2</v>
      </c>
      <c r="E40" s="66">
        <v>0</v>
      </c>
      <c r="F40" s="66">
        <v>-4.8575400000000002</v>
      </c>
      <c r="G40" s="66">
        <v>0</v>
      </c>
      <c r="H40" s="66">
        <v>-3.2337199999999999</v>
      </c>
    </row>
    <row r="41" spans="1:8">
      <c r="A41" s="66" t="s">
        <v>338</v>
      </c>
      <c r="B41" s="66">
        <v>-0.23322200000000001</v>
      </c>
      <c r="C41" s="66">
        <v>0.28763699999999998</v>
      </c>
      <c r="D41" s="66">
        <v>-1.23332</v>
      </c>
      <c r="E41" s="66">
        <v>0</v>
      </c>
      <c r="F41" s="66">
        <v>-0.86206899999999997</v>
      </c>
      <c r="G41" s="66">
        <v>0</v>
      </c>
      <c r="H41" s="66">
        <v>1</v>
      </c>
    </row>
    <row r="42" spans="1:8">
      <c r="A42" s="66" t="s">
        <v>339</v>
      </c>
      <c r="B42" s="66">
        <v>-0.24551999999999999</v>
      </c>
      <c r="C42" s="66">
        <v>5.7938299999999998E-2</v>
      </c>
      <c r="D42" s="66">
        <v>-0.235982</v>
      </c>
      <c r="E42" s="66">
        <v>0</v>
      </c>
      <c r="F42" s="66">
        <v>-0.38702700000000001</v>
      </c>
      <c r="G42" s="66">
        <v>0</v>
      </c>
      <c r="H42" s="66">
        <v>-2.8856799999999998E-2</v>
      </c>
    </row>
    <row r="43" spans="1:8">
      <c r="A43" s="66" t="s">
        <v>340</v>
      </c>
      <c r="B43" s="66">
        <v>-0.239511</v>
      </c>
      <c r="C43" s="66">
        <v>1.9351899999999998E-2</v>
      </c>
      <c r="D43" s="66">
        <v>-8.0797499999999994E-2</v>
      </c>
      <c r="E43" s="66">
        <v>0</v>
      </c>
      <c r="F43" s="66">
        <v>-0.30624099999999999</v>
      </c>
      <c r="G43" s="66">
        <v>0</v>
      </c>
      <c r="H43" s="66">
        <v>-0.20411299999999999</v>
      </c>
    </row>
    <row r="44" spans="1:8">
      <c r="A44" s="66" t="s">
        <v>341</v>
      </c>
      <c r="B44" s="66">
        <v>-9.9073899999999995</v>
      </c>
      <c r="C44" s="66">
        <v>4.0607899999999999</v>
      </c>
      <c r="D44" s="66">
        <v>-0.40987499999999999</v>
      </c>
      <c r="E44" s="66">
        <v>0</v>
      </c>
      <c r="F44" s="66">
        <v>-17.395600000000002</v>
      </c>
      <c r="G44" s="66">
        <v>0</v>
      </c>
      <c r="H44" s="66">
        <v>0.66928900000000002</v>
      </c>
    </row>
    <row r="45" spans="1:8">
      <c r="A45" s="66" t="s">
        <v>342</v>
      </c>
      <c r="B45" s="66">
        <v>45.796300000000002</v>
      </c>
      <c r="C45" s="66">
        <v>7.0830200000000003</v>
      </c>
      <c r="D45" s="66">
        <v>0.154664</v>
      </c>
      <c r="E45" s="66">
        <v>0</v>
      </c>
      <c r="F45" s="66">
        <v>31.426200000000001</v>
      </c>
      <c r="G45" s="66">
        <v>0</v>
      </c>
      <c r="H45" s="66">
        <v>64.108000000000004</v>
      </c>
    </row>
    <row r="46" spans="1:8">
      <c r="A46" s="66" t="s">
        <v>343</v>
      </c>
      <c r="B46" s="66">
        <v>28.991700000000002</v>
      </c>
      <c r="C46" s="66">
        <v>3.5172099999999999</v>
      </c>
      <c r="D46" s="66">
        <v>0.121318</v>
      </c>
      <c r="E46" s="66">
        <v>0</v>
      </c>
      <c r="F46" s="66">
        <v>22.970800000000001</v>
      </c>
      <c r="G46" s="66">
        <v>0</v>
      </c>
      <c r="H46" s="66">
        <v>33.465400000000002</v>
      </c>
    </row>
    <row r="47" spans="1:8">
      <c r="A47" s="66" t="s">
        <v>344</v>
      </c>
      <c r="B47" s="66">
        <v>0.96242499999999997</v>
      </c>
      <c r="C47" s="66">
        <v>0.34361599999999998</v>
      </c>
      <c r="D47" s="66">
        <v>0.35703099999999999</v>
      </c>
      <c r="E47" s="66">
        <v>0</v>
      </c>
      <c r="F47" s="66">
        <v>0.36189399999999999</v>
      </c>
      <c r="G47" s="66">
        <v>0</v>
      </c>
      <c r="H47" s="66">
        <v>2.0195799999999999</v>
      </c>
    </row>
    <row r="48" spans="1:8">
      <c r="A48" s="66" t="s">
        <v>345</v>
      </c>
      <c r="B48" s="66">
        <v>0.911663</v>
      </c>
      <c r="C48" s="66">
        <v>0.12095499999999999</v>
      </c>
      <c r="D48" s="66">
        <v>0.13267499999999999</v>
      </c>
      <c r="E48" s="66">
        <v>0</v>
      </c>
      <c r="F48" s="66">
        <v>0.71959200000000001</v>
      </c>
      <c r="G48" s="66">
        <v>0</v>
      </c>
      <c r="H48" s="66">
        <v>1.1554599999999999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257"/>
  <sheetViews>
    <sheetView workbookViewId="0">
      <selection activeCell="G1" sqref="G1:L1048576"/>
    </sheetView>
  </sheetViews>
  <sheetFormatPr defaultRowHeight="13.5"/>
  <cols>
    <col min="14" max="14" width="10.25" bestFit="1" customWidth="1"/>
  </cols>
  <sheetData>
    <row r="1" spans="1:12">
      <c r="A1" s="60" t="s">
        <v>348</v>
      </c>
      <c r="B1" s="60" t="s">
        <v>349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74.978024139373431</v>
      </c>
    </row>
    <row r="2" spans="1:12">
      <c r="A2" s="60">
        <v>0</v>
      </c>
      <c r="B2" s="66">
        <v>0</v>
      </c>
      <c r="D2">
        <f>IFERROR( A2/MAX(A$2:A$257), 0 )</f>
        <v>0</v>
      </c>
      <c r="E2">
        <f>IFERROR( 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1.4476374659922844</v>
      </c>
    </row>
    <row r="3" spans="1:12">
      <c r="A3" s="66">
        <v>0</v>
      </c>
      <c r="B3" s="66">
        <v>0</v>
      </c>
      <c r="D3">
        <f t="shared" ref="D3:E66" si="0">IFERROR( A3/MAX(A$2:A$257), 0 )</f>
        <v>0</v>
      </c>
      <c r="E3">
        <f t="shared" si="0"/>
        <v>0</v>
      </c>
      <c r="G3">
        <f t="shared" ref="G3:G66" ca="1" si="1">CELL("row",D3)-2</f>
        <v>1</v>
      </c>
      <c r="H3">
        <f t="shared" ref="H3:H66" ca="1" si="2">D3*G3</f>
        <v>0</v>
      </c>
      <c r="I3">
        <f t="shared" ref="I3:I66" ca="1" si="3">D3*((G3-$L$1)^2)</f>
        <v>0</v>
      </c>
      <c r="K3" t="s">
        <v>277</v>
      </c>
      <c r="L3" s="61">
        <f ca="1">SQRT(SUM(I2:I257)/SUM(D2:D257))*info!L2/255</f>
        <v>0.61278173221550281</v>
      </c>
    </row>
    <row r="4" spans="1:12">
      <c r="A4" s="66">
        <v>0</v>
      </c>
      <c r="B4" s="66">
        <v>0</v>
      </c>
      <c r="D4">
        <f t="shared" si="0"/>
        <v>0</v>
      </c>
      <c r="E4">
        <f t="shared" si="0"/>
        <v>0</v>
      </c>
      <c r="G4">
        <f t="shared" ca="1" si="1"/>
        <v>2</v>
      </c>
      <c r="H4">
        <f t="shared" ca="1" si="2"/>
        <v>0</v>
      </c>
      <c r="I4">
        <f t="shared" ca="1" si="3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0"/>
        <v>0</v>
      </c>
      <c r="G5">
        <f t="shared" ca="1" si="1"/>
        <v>3</v>
      </c>
      <c r="H5">
        <f t="shared" ca="1" si="2"/>
        <v>0</v>
      </c>
      <c r="I5">
        <f t="shared" ca="1" si="3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0"/>
        <v>0</v>
      </c>
      <c r="G6">
        <f t="shared" ca="1" si="1"/>
        <v>4</v>
      </c>
      <c r="H6">
        <f t="shared" ca="1" si="2"/>
        <v>0</v>
      </c>
      <c r="I6">
        <f t="shared" ca="1" si="3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0"/>
        <v>0</v>
      </c>
      <c r="G7">
        <f t="shared" ca="1" si="1"/>
        <v>5</v>
      </c>
      <c r="H7">
        <f t="shared" ca="1" si="2"/>
        <v>0</v>
      </c>
      <c r="I7">
        <f t="shared" ca="1" si="3"/>
        <v>0</v>
      </c>
    </row>
    <row r="8" spans="1:12">
      <c r="A8" s="66">
        <v>766</v>
      </c>
      <c r="B8" s="66">
        <v>766</v>
      </c>
      <c r="D8">
        <f t="shared" si="0"/>
        <v>5.2528715926624375E-3</v>
      </c>
      <c r="E8">
        <f t="shared" si="0"/>
        <v>5.2528715926624375E-3</v>
      </c>
      <c r="G8">
        <f t="shared" ca="1" si="1"/>
        <v>6</v>
      </c>
      <c r="H8">
        <f t="shared" ca="1" si="2"/>
        <v>3.1517229555974621E-2</v>
      </c>
      <c r="I8">
        <f t="shared" ca="1" si="3"/>
        <v>24.992993969866205</v>
      </c>
    </row>
    <row r="9" spans="1:12">
      <c r="A9" s="66">
        <v>0</v>
      </c>
      <c r="B9" s="66">
        <v>0</v>
      </c>
      <c r="D9">
        <f t="shared" si="0"/>
        <v>0</v>
      </c>
      <c r="E9">
        <f t="shared" si="0"/>
        <v>0</v>
      </c>
      <c r="G9">
        <f t="shared" ca="1" si="1"/>
        <v>7</v>
      </c>
      <c r="H9">
        <f t="shared" ca="1" si="2"/>
        <v>0</v>
      </c>
      <c r="I9">
        <f t="shared" ca="1" si="3"/>
        <v>0</v>
      </c>
    </row>
    <row r="10" spans="1:12">
      <c r="A10" s="66">
        <v>1610</v>
      </c>
      <c r="B10" s="66">
        <v>1610</v>
      </c>
      <c r="D10">
        <f t="shared" si="0"/>
        <v>1.1040630893193897E-2</v>
      </c>
      <c r="E10">
        <f t="shared" si="0"/>
        <v>1.1040630893193897E-2</v>
      </c>
      <c r="G10">
        <f t="shared" ca="1" si="1"/>
        <v>8</v>
      </c>
      <c r="H10">
        <f t="shared" ca="1" si="2"/>
        <v>8.8325047145551172E-2</v>
      </c>
      <c r="I10">
        <f t="shared" ca="1" si="3"/>
        <v>49.528885344483655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0"/>
        <v>0</v>
      </c>
      <c r="G11">
        <f t="shared" ca="1" si="1"/>
        <v>9</v>
      </c>
      <c r="H11">
        <f t="shared" ca="1" si="2"/>
        <v>0</v>
      </c>
      <c r="I11">
        <f t="shared" ca="1" si="3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0"/>
        <v>0</v>
      </c>
      <c r="G12">
        <f t="shared" ca="1" si="1"/>
        <v>10</v>
      </c>
      <c r="H12">
        <f t="shared" ca="1" si="2"/>
        <v>0</v>
      </c>
      <c r="I12">
        <f t="shared" ca="1" si="3"/>
        <v>0</v>
      </c>
    </row>
    <row r="13" spans="1:12">
      <c r="A13" s="66">
        <v>3837</v>
      </c>
      <c r="B13" s="66">
        <v>3837</v>
      </c>
      <c r="D13">
        <f t="shared" si="0"/>
        <v>2.6312360706326077E-2</v>
      </c>
      <c r="E13">
        <f t="shared" si="0"/>
        <v>2.6312360706326077E-2</v>
      </c>
      <c r="G13">
        <f t="shared" ca="1" si="1"/>
        <v>11</v>
      </c>
      <c r="H13">
        <f t="shared" ca="1" si="2"/>
        <v>0.28943596776958685</v>
      </c>
      <c r="I13">
        <f t="shared" ca="1" si="3"/>
        <v>107.70142785359262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0"/>
        <v>0</v>
      </c>
      <c r="G14">
        <f t="shared" ca="1" si="1"/>
        <v>12</v>
      </c>
      <c r="H14">
        <f t="shared" ca="1" si="2"/>
        <v>0</v>
      </c>
      <c r="I14">
        <f t="shared" ca="1" si="3"/>
        <v>0</v>
      </c>
    </row>
    <row r="15" spans="1:12">
      <c r="A15" s="66">
        <v>8592</v>
      </c>
      <c r="B15" s="66">
        <v>8592</v>
      </c>
      <c r="D15">
        <f t="shared" si="0"/>
        <v>5.8919938282187556E-2</v>
      </c>
      <c r="E15">
        <f t="shared" si="0"/>
        <v>5.8919938282187556E-2</v>
      </c>
      <c r="G15">
        <f t="shared" ca="1" si="1"/>
        <v>13</v>
      </c>
      <c r="H15">
        <f t="shared" ca="1" si="2"/>
        <v>0.76595919766843823</v>
      </c>
      <c r="I15">
        <f t="shared" ca="1" si="3"/>
        <v>226.32771398380757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0"/>
        <v>0</v>
      </c>
      <c r="G16">
        <f t="shared" ca="1" si="1"/>
        <v>14</v>
      </c>
      <c r="H16">
        <f t="shared" ca="1" si="2"/>
        <v>0</v>
      </c>
      <c r="I16">
        <f t="shared" ca="1" si="3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0"/>
        <v>0</v>
      </c>
      <c r="G17">
        <f t="shared" ca="1" si="1"/>
        <v>15</v>
      </c>
      <c r="H17">
        <f t="shared" ca="1" si="2"/>
        <v>0</v>
      </c>
      <c r="I17">
        <f t="shared" ca="1" si="3"/>
        <v>0</v>
      </c>
    </row>
    <row r="18" spans="1:9">
      <c r="A18" s="66">
        <v>15663</v>
      </c>
      <c r="B18" s="66">
        <v>15663</v>
      </c>
      <c r="D18">
        <f t="shared" si="0"/>
        <v>0.10740956626092919</v>
      </c>
      <c r="E18">
        <f t="shared" si="0"/>
        <v>0.10740956626092919</v>
      </c>
      <c r="G18">
        <f t="shared" ca="1" si="1"/>
        <v>16</v>
      </c>
      <c r="H18">
        <f t="shared" ca="1" si="2"/>
        <v>1.7185530601748671</v>
      </c>
      <c r="I18">
        <f t="shared" ca="1" si="3"/>
        <v>373.61422274284695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0"/>
        <v>0</v>
      </c>
      <c r="G19">
        <f t="shared" ca="1" si="1"/>
        <v>17</v>
      </c>
      <c r="H19">
        <f t="shared" ca="1" si="2"/>
        <v>0</v>
      </c>
      <c r="I19">
        <f t="shared" ca="1" si="3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0"/>
        <v>0</v>
      </c>
      <c r="G20">
        <f t="shared" ca="1" si="1"/>
        <v>18</v>
      </c>
      <c r="H20">
        <f t="shared" ca="1" si="2"/>
        <v>0</v>
      </c>
      <c r="I20">
        <f t="shared" ca="1" si="3"/>
        <v>0</v>
      </c>
    </row>
    <row r="21" spans="1:9">
      <c r="A21" s="66">
        <v>33962</v>
      </c>
      <c r="B21" s="66">
        <v>33962</v>
      </c>
      <c r="D21">
        <f t="shared" si="0"/>
        <v>0.2328955940339448</v>
      </c>
      <c r="E21">
        <f t="shared" si="0"/>
        <v>0.2328955940339448</v>
      </c>
      <c r="G21">
        <f t="shared" ca="1" si="1"/>
        <v>19</v>
      </c>
      <c r="H21">
        <f t="shared" ca="1" si="2"/>
        <v>4.4250162866449516</v>
      </c>
      <c r="I21">
        <f t="shared" ca="1" si="3"/>
        <v>729.78747027980467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0"/>
        <v>0</v>
      </c>
      <c r="G22">
        <f t="shared" ca="1" si="1"/>
        <v>20</v>
      </c>
      <c r="H22">
        <f t="shared" ca="1" si="2"/>
        <v>0</v>
      </c>
      <c r="I22">
        <f t="shared" ca="1" si="3"/>
        <v>0</v>
      </c>
    </row>
    <row r="23" spans="1:9">
      <c r="A23" s="66">
        <v>52154</v>
      </c>
      <c r="B23" s="66">
        <v>52154</v>
      </c>
      <c r="D23">
        <f t="shared" si="0"/>
        <v>0.35764786559231954</v>
      </c>
      <c r="E23">
        <f t="shared" si="0"/>
        <v>0.35764786559231954</v>
      </c>
      <c r="G23">
        <f t="shared" ca="1" si="1"/>
        <v>21</v>
      </c>
      <c r="H23">
        <f t="shared" ca="1" si="2"/>
        <v>7.5106051774387099</v>
      </c>
      <c r="I23">
        <f t="shared" ca="1" si="3"/>
        <v>1042.052509867164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0"/>
        <v>0</v>
      </c>
      <c r="G24">
        <f t="shared" ca="1" si="1"/>
        <v>22</v>
      </c>
      <c r="H24">
        <f t="shared" ca="1" si="2"/>
        <v>0</v>
      </c>
      <c r="I24">
        <f t="shared" ca="1" si="3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0"/>
        <v>0</v>
      </c>
      <c r="G25">
        <f t="shared" ca="1" si="1"/>
        <v>23</v>
      </c>
      <c r="H25">
        <f t="shared" ca="1" si="2"/>
        <v>0</v>
      </c>
      <c r="I25">
        <f t="shared" ca="1" si="3"/>
        <v>0</v>
      </c>
    </row>
    <row r="26" spans="1:9">
      <c r="A26" s="66">
        <v>75485</v>
      </c>
      <c r="B26" s="66">
        <v>75485</v>
      </c>
      <c r="D26">
        <f t="shared" si="0"/>
        <v>0.51764100805760327</v>
      </c>
      <c r="E26">
        <f t="shared" si="0"/>
        <v>0.51764100805760327</v>
      </c>
      <c r="G26">
        <f t="shared" ca="1" si="1"/>
        <v>24</v>
      </c>
      <c r="H26">
        <f t="shared" ca="1" si="2"/>
        <v>12.423384193382478</v>
      </c>
      <c r="I26">
        <f t="shared" ca="1" si="3"/>
        <v>1345.2242000685101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0"/>
        <v>0</v>
      </c>
      <c r="G27">
        <f t="shared" ca="1" si="1"/>
        <v>25</v>
      </c>
      <c r="H27">
        <f t="shared" ca="1" si="2"/>
        <v>0</v>
      </c>
      <c r="I27">
        <f t="shared" ca="1" si="3"/>
        <v>0</v>
      </c>
    </row>
    <row r="28" spans="1:9">
      <c r="A28" s="66">
        <v>75172</v>
      </c>
      <c r="B28" s="66">
        <v>75172</v>
      </c>
      <c r="D28">
        <f t="shared" si="0"/>
        <v>0.51549459969141098</v>
      </c>
      <c r="E28">
        <f t="shared" si="0"/>
        <v>0.51549459969141098</v>
      </c>
      <c r="G28">
        <f t="shared" ca="1" si="1"/>
        <v>26</v>
      </c>
      <c r="H28">
        <f t="shared" ca="1" si="2"/>
        <v>13.402859591976686</v>
      </c>
      <c r="I28">
        <f t="shared" ca="1" si="3"/>
        <v>1236.5925959385372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0"/>
        <v>0</v>
      </c>
      <c r="G29">
        <f t="shared" ca="1" si="1"/>
        <v>27</v>
      </c>
      <c r="H29">
        <f t="shared" ca="1" si="2"/>
        <v>0</v>
      </c>
      <c r="I29">
        <f t="shared" ca="1" si="3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0"/>
        <v>0</v>
      </c>
      <c r="G30">
        <f t="shared" ca="1" si="1"/>
        <v>28</v>
      </c>
      <c r="H30">
        <f t="shared" ca="1" si="2"/>
        <v>0</v>
      </c>
      <c r="I30">
        <f t="shared" ca="1" si="3"/>
        <v>0</v>
      </c>
    </row>
    <row r="31" spans="1:9">
      <c r="A31" s="66">
        <v>85504</v>
      </c>
      <c r="B31" s="66">
        <v>85504</v>
      </c>
      <c r="D31">
        <f t="shared" si="0"/>
        <v>0.58634664837990746</v>
      </c>
      <c r="E31">
        <f t="shared" si="0"/>
        <v>0.58634664837990746</v>
      </c>
      <c r="G31">
        <f t="shared" ca="1" si="1"/>
        <v>29</v>
      </c>
      <c r="H31">
        <f t="shared" ca="1" si="2"/>
        <v>17.004052803017316</v>
      </c>
      <c r="I31">
        <f t="shared" ca="1" si="3"/>
        <v>1239.5243276966501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0"/>
        <v>0</v>
      </c>
      <c r="G32">
        <f t="shared" ca="1" si="1"/>
        <v>30</v>
      </c>
      <c r="H32">
        <f t="shared" ca="1" si="2"/>
        <v>0</v>
      </c>
      <c r="I32">
        <f t="shared" ca="1" si="3"/>
        <v>0</v>
      </c>
    </row>
    <row r="33" spans="1:9">
      <c r="A33" s="66">
        <v>90266</v>
      </c>
      <c r="B33" s="66">
        <v>90266</v>
      </c>
      <c r="D33">
        <f t="shared" si="0"/>
        <v>0.61900222869878274</v>
      </c>
      <c r="E33">
        <f t="shared" si="0"/>
        <v>0.61900222869878274</v>
      </c>
      <c r="G33">
        <f t="shared" ca="1" si="1"/>
        <v>31</v>
      </c>
      <c r="H33">
        <f t="shared" ca="1" si="2"/>
        <v>19.189069089662265</v>
      </c>
      <c r="I33">
        <f t="shared" ca="1" si="3"/>
        <v>1197.1915403107434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0"/>
        <v>0</v>
      </c>
      <c r="G34">
        <f t="shared" ca="1" si="1"/>
        <v>32</v>
      </c>
      <c r="H34">
        <f t="shared" ca="1" si="2"/>
        <v>0</v>
      </c>
      <c r="I34">
        <f t="shared" ca="1" si="3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0"/>
        <v>0</v>
      </c>
      <c r="G35">
        <f t="shared" ca="1" si="1"/>
        <v>33</v>
      </c>
      <c r="H35">
        <f t="shared" ca="1" si="2"/>
        <v>0</v>
      </c>
      <c r="I35">
        <f t="shared" ca="1" si="3"/>
        <v>0</v>
      </c>
    </row>
    <row r="36" spans="1:9">
      <c r="A36" s="66">
        <v>95674</v>
      </c>
      <c r="B36" s="66">
        <v>95674</v>
      </c>
      <c r="D36">
        <f t="shared" si="0"/>
        <v>0.65608777644436822</v>
      </c>
      <c r="E36">
        <f t="shared" si="0"/>
        <v>0.65608777644436822</v>
      </c>
      <c r="G36">
        <f t="shared" ca="1" si="1"/>
        <v>34</v>
      </c>
      <c r="H36">
        <f t="shared" ca="1" si="2"/>
        <v>22.306984399108519</v>
      </c>
      <c r="I36">
        <f t="shared" ca="1" si="3"/>
        <v>1101.7015853832143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0"/>
        <v>0</v>
      </c>
      <c r="G37">
        <f t="shared" ca="1" si="1"/>
        <v>35</v>
      </c>
      <c r="H37">
        <f t="shared" ca="1" si="2"/>
        <v>0</v>
      </c>
      <c r="I37">
        <f t="shared" ca="1" si="3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0"/>
        <v>0</v>
      </c>
      <c r="G38">
        <f t="shared" ca="1" si="1"/>
        <v>36</v>
      </c>
      <c r="H38">
        <f t="shared" ca="1" si="2"/>
        <v>0</v>
      </c>
      <c r="I38">
        <f t="shared" ca="1" si="3"/>
        <v>0</v>
      </c>
    </row>
    <row r="39" spans="1:9">
      <c r="A39" s="66">
        <v>97011</v>
      </c>
      <c r="B39" s="66">
        <v>97011</v>
      </c>
      <c r="D39">
        <f t="shared" si="0"/>
        <v>0.66525630036002059</v>
      </c>
      <c r="E39">
        <f t="shared" si="0"/>
        <v>0.66525630036002059</v>
      </c>
      <c r="G39">
        <f t="shared" ca="1" si="1"/>
        <v>37</v>
      </c>
      <c r="H39">
        <f t="shared" ca="1" si="2"/>
        <v>24.614483113320762</v>
      </c>
      <c r="I39">
        <f t="shared" ca="1" si="3"/>
        <v>959.51933093765444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0"/>
        <v>0</v>
      </c>
      <c r="G40">
        <f t="shared" ca="1" si="1"/>
        <v>38</v>
      </c>
      <c r="H40">
        <f t="shared" ca="1" si="2"/>
        <v>0</v>
      </c>
      <c r="I40">
        <f t="shared" ca="1" si="3"/>
        <v>0</v>
      </c>
    </row>
    <row r="41" spans="1:9">
      <c r="A41" s="66">
        <v>101881</v>
      </c>
      <c r="B41" s="66">
        <v>101881</v>
      </c>
      <c r="D41">
        <f t="shared" si="0"/>
        <v>0.69865249442825306</v>
      </c>
      <c r="E41">
        <f t="shared" si="0"/>
        <v>0.69865249442825306</v>
      </c>
      <c r="G41">
        <f t="shared" ca="1" si="1"/>
        <v>39</v>
      </c>
      <c r="H41">
        <f t="shared" ca="1" si="2"/>
        <v>27.24744728270187</v>
      </c>
      <c r="I41">
        <f t="shared" ca="1" si="3"/>
        <v>904.3485189164038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0"/>
        <v>0</v>
      </c>
      <c r="G42">
        <f t="shared" ca="1" si="1"/>
        <v>40</v>
      </c>
      <c r="H42">
        <f t="shared" ca="1" si="2"/>
        <v>0</v>
      </c>
      <c r="I42">
        <f t="shared" ca="1" si="3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0"/>
        <v>0</v>
      </c>
      <c r="G43">
        <f t="shared" ca="1" si="1"/>
        <v>41</v>
      </c>
      <c r="H43">
        <f t="shared" ca="1" si="2"/>
        <v>0</v>
      </c>
      <c r="I43">
        <f t="shared" ca="1" si="3"/>
        <v>0</v>
      </c>
    </row>
    <row r="44" spans="1:9">
      <c r="A44" s="66">
        <v>103076</v>
      </c>
      <c r="B44" s="66">
        <v>103076</v>
      </c>
      <c r="D44">
        <f t="shared" si="0"/>
        <v>0.70684724841419511</v>
      </c>
      <c r="E44">
        <f t="shared" si="0"/>
        <v>0.70684724841419511</v>
      </c>
      <c r="G44">
        <f t="shared" ca="1" si="1"/>
        <v>42</v>
      </c>
      <c r="H44">
        <f t="shared" ca="1" si="2"/>
        <v>29.687584433396193</v>
      </c>
      <c r="I44">
        <f t="shared" ca="1" si="3"/>
        <v>768.73177883015524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0"/>
        <v>0</v>
      </c>
      <c r="G45">
        <f t="shared" ca="1" si="1"/>
        <v>43</v>
      </c>
      <c r="H45">
        <f t="shared" ca="1" si="2"/>
        <v>0</v>
      </c>
      <c r="I45">
        <f t="shared" ca="1" si="3"/>
        <v>0</v>
      </c>
    </row>
    <row r="46" spans="1:9">
      <c r="A46" s="66">
        <v>105880</v>
      </c>
      <c r="B46" s="66">
        <v>105880</v>
      </c>
      <c r="D46">
        <f t="shared" si="0"/>
        <v>0.72607577575861482</v>
      </c>
      <c r="E46">
        <f t="shared" si="0"/>
        <v>0.72607577575861482</v>
      </c>
      <c r="G46">
        <f t="shared" ca="1" si="1"/>
        <v>44</v>
      </c>
      <c r="H46">
        <f t="shared" ca="1" si="2"/>
        <v>31.947334133379051</v>
      </c>
      <c r="I46">
        <f t="shared" ca="1" si="3"/>
        <v>696.76989047069003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0"/>
        <v>0</v>
      </c>
      <c r="G47">
        <f t="shared" ca="1" si="1"/>
        <v>45</v>
      </c>
      <c r="H47">
        <f t="shared" ca="1" si="2"/>
        <v>0</v>
      </c>
      <c r="I47">
        <f t="shared" ca="1" si="3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0"/>
        <v>0</v>
      </c>
      <c r="G48">
        <f t="shared" ca="1" si="1"/>
        <v>46</v>
      </c>
      <c r="H48">
        <f t="shared" ca="1" si="2"/>
        <v>0</v>
      </c>
      <c r="I48">
        <f t="shared" ca="1" si="3"/>
        <v>0</v>
      </c>
    </row>
    <row r="49" spans="1:9">
      <c r="A49" s="66">
        <v>116348</v>
      </c>
      <c r="B49" s="66">
        <v>116348</v>
      </c>
      <c r="D49">
        <f t="shared" si="0"/>
        <v>0.79786044916852394</v>
      </c>
      <c r="E49">
        <f t="shared" si="0"/>
        <v>0.79786044916852394</v>
      </c>
      <c r="G49">
        <f t="shared" ca="1" si="1"/>
        <v>47</v>
      </c>
      <c r="H49">
        <f t="shared" ca="1" si="2"/>
        <v>37.499441110920628</v>
      </c>
      <c r="I49">
        <f t="shared" ca="1" si="3"/>
        <v>624.54109194391049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0"/>
        <v>0</v>
      </c>
      <c r="G50">
        <f t="shared" ca="1" si="1"/>
        <v>48</v>
      </c>
      <c r="H50">
        <f t="shared" ca="1" si="2"/>
        <v>0</v>
      </c>
      <c r="I50">
        <f t="shared" ca="1" si="3"/>
        <v>0</v>
      </c>
    </row>
    <row r="51" spans="1:9">
      <c r="A51" s="66">
        <v>117554</v>
      </c>
      <c r="B51" s="66">
        <v>117554</v>
      </c>
      <c r="D51">
        <f t="shared" si="0"/>
        <v>0.80613063603634494</v>
      </c>
      <c r="E51">
        <f t="shared" si="0"/>
        <v>0.80613063603634494</v>
      </c>
      <c r="G51">
        <f t="shared" ca="1" si="1"/>
        <v>49</v>
      </c>
      <c r="H51">
        <f t="shared" ca="1" si="2"/>
        <v>39.5004011657809</v>
      </c>
      <c r="I51">
        <f t="shared" ca="1" si="3"/>
        <v>544.02349771782349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0"/>
        <v>0</v>
      </c>
      <c r="G52">
        <f t="shared" ca="1" si="1"/>
        <v>50</v>
      </c>
      <c r="H52">
        <f t="shared" ca="1" si="2"/>
        <v>0</v>
      </c>
      <c r="I52">
        <f t="shared" ca="1" si="3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0"/>
        <v>0</v>
      </c>
      <c r="G53">
        <f t="shared" ca="1" si="1"/>
        <v>51</v>
      </c>
      <c r="H53">
        <f t="shared" ca="1" si="2"/>
        <v>0</v>
      </c>
      <c r="I53">
        <f t="shared" ca="1" si="3"/>
        <v>0</v>
      </c>
    </row>
    <row r="54" spans="1:9">
      <c r="A54" s="66">
        <v>126123</v>
      </c>
      <c r="B54" s="66">
        <v>126123</v>
      </c>
      <c r="D54">
        <f t="shared" si="0"/>
        <v>0.86489285102005831</v>
      </c>
      <c r="E54">
        <f t="shared" si="0"/>
        <v>0.86489285102005831</v>
      </c>
      <c r="G54">
        <f t="shared" ca="1" si="1"/>
        <v>52</v>
      </c>
      <c r="H54">
        <f t="shared" ca="1" si="2"/>
        <v>44.97442825304303</v>
      </c>
      <c r="I54">
        <f t="shared" ca="1" si="3"/>
        <v>456.65442470108104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0"/>
        <v>0</v>
      </c>
      <c r="G55">
        <f t="shared" ca="1" si="1"/>
        <v>53</v>
      </c>
      <c r="H55">
        <f t="shared" ca="1" si="2"/>
        <v>0</v>
      </c>
      <c r="I55">
        <f t="shared" ca="1" si="3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0"/>
        <v>0</v>
      </c>
      <c r="G56">
        <f t="shared" ca="1" si="1"/>
        <v>54</v>
      </c>
      <c r="H56">
        <f t="shared" ca="1" si="2"/>
        <v>0</v>
      </c>
      <c r="I56">
        <f t="shared" ca="1" si="3"/>
        <v>0</v>
      </c>
    </row>
    <row r="57" spans="1:9">
      <c r="A57" s="66">
        <v>135504</v>
      </c>
      <c r="B57" s="66">
        <v>135504</v>
      </c>
      <c r="D57">
        <f t="shared" si="0"/>
        <v>0.92922338419338246</v>
      </c>
      <c r="E57">
        <f t="shared" si="0"/>
        <v>0.92922338419338246</v>
      </c>
      <c r="G57">
        <f t="shared" ca="1" si="1"/>
        <v>55</v>
      </c>
      <c r="H57">
        <f t="shared" ca="1" si="2"/>
        <v>51.107286130636034</v>
      </c>
      <c r="I57">
        <f t="shared" ca="1" si="3"/>
        <v>370.87298309177481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0"/>
        <v>0</v>
      </c>
      <c r="G58">
        <f t="shared" ca="1" si="1"/>
        <v>56</v>
      </c>
      <c r="H58">
        <f t="shared" ca="1" si="2"/>
        <v>0</v>
      </c>
      <c r="I58">
        <f t="shared" ca="1" si="3"/>
        <v>0</v>
      </c>
    </row>
    <row r="59" spans="1:9">
      <c r="A59" s="66">
        <v>130783</v>
      </c>
      <c r="B59" s="66">
        <v>130783</v>
      </c>
      <c r="D59">
        <f t="shared" si="0"/>
        <v>0.89684896279787418</v>
      </c>
      <c r="E59">
        <f t="shared" si="0"/>
        <v>0.89684896279787418</v>
      </c>
      <c r="G59">
        <f t="shared" ca="1" si="1"/>
        <v>57</v>
      </c>
      <c r="H59">
        <f t="shared" ca="1" si="2"/>
        <v>51.120390879478826</v>
      </c>
      <c r="I59">
        <f t="shared" ca="1" si="3"/>
        <v>289.86997206821644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0"/>
        <v>0</v>
      </c>
      <c r="G60">
        <f t="shared" ca="1" si="1"/>
        <v>58</v>
      </c>
      <c r="H60">
        <f t="shared" ca="1" si="2"/>
        <v>0</v>
      </c>
      <c r="I60">
        <f t="shared" ca="1" si="3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0"/>
        <v>0</v>
      </c>
      <c r="G61">
        <f t="shared" ca="1" si="1"/>
        <v>59</v>
      </c>
      <c r="H61">
        <f t="shared" ca="1" si="2"/>
        <v>0</v>
      </c>
      <c r="I61">
        <f t="shared" ca="1" si="3"/>
        <v>0</v>
      </c>
    </row>
    <row r="62" spans="1:9">
      <c r="A62" s="66">
        <v>136344</v>
      </c>
      <c r="B62" s="66">
        <v>136344</v>
      </c>
      <c r="D62">
        <f t="shared" si="0"/>
        <v>0.93498371335504882</v>
      </c>
      <c r="E62">
        <f t="shared" si="0"/>
        <v>0.93498371335504882</v>
      </c>
      <c r="G62">
        <f t="shared" ca="1" si="1"/>
        <v>60</v>
      </c>
      <c r="H62">
        <f t="shared" ca="1" si="2"/>
        <v>56.09902280130293</v>
      </c>
      <c r="I62">
        <f t="shared" ca="1" si="3"/>
        <v>209.75537489128749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0"/>
        <v>0</v>
      </c>
      <c r="G63">
        <f t="shared" ca="1" si="1"/>
        <v>61</v>
      </c>
      <c r="H63">
        <f t="shared" ca="1" si="2"/>
        <v>0</v>
      </c>
      <c r="I63">
        <f t="shared" ca="1" si="3"/>
        <v>0</v>
      </c>
    </row>
    <row r="64" spans="1:9">
      <c r="A64" s="66">
        <v>139375</v>
      </c>
      <c r="B64" s="66">
        <v>139375</v>
      </c>
      <c r="D64">
        <f t="shared" si="0"/>
        <v>0.95576890108006174</v>
      </c>
      <c r="E64">
        <f t="shared" si="0"/>
        <v>0.95576890108006174</v>
      </c>
      <c r="G64">
        <f t="shared" ca="1" si="1"/>
        <v>62</v>
      </c>
      <c r="H64">
        <f t="shared" ca="1" si="2"/>
        <v>59.257671866963825</v>
      </c>
      <c r="I64">
        <f t="shared" ca="1" si="3"/>
        <v>160.97930591188742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0"/>
        <v>0</v>
      </c>
      <c r="G65">
        <f t="shared" ca="1" si="1"/>
        <v>63</v>
      </c>
      <c r="H65">
        <f t="shared" ca="1" si="2"/>
        <v>0</v>
      </c>
      <c r="I65">
        <f t="shared" ca="1" si="3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0"/>
        <v>0</v>
      </c>
      <c r="G66">
        <f t="shared" ca="1" si="1"/>
        <v>64</v>
      </c>
      <c r="H66">
        <f t="shared" ca="1" si="2"/>
        <v>0</v>
      </c>
      <c r="I66">
        <f t="shared" ca="1" si="3"/>
        <v>0</v>
      </c>
    </row>
    <row r="67" spans="1:9">
      <c r="A67" s="66">
        <v>145501</v>
      </c>
      <c r="B67" s="66">
        <v>145501</v>
      </c>
      <c r="D67">
        <f t="shared" ref="D67:E130" si="4">IFERROR( A67/MAX(A$2:A$257), 0 )</f>
        <v>0.99777815875192866</v>
      </c>
      <c r="E67">
        <f t="shared" si="4"/>
        <v>0.99777815875192866</v>
      </c>
      <c r="G67">
        <f t="shared" ref="G67:G130" ca="1" si="5">CELL("row",D67)-2</f>
        <v>65</v>
      </c>
      <c r="H67">
        <f t="shared" ref="H67:H130" ca="1" si="6">D67*G67</f>
        <v>64.855580318875369</v>
      </c>
      <c r="I67">
        <f t="shared" ref="I67:I130" ca="1" si="7">D67*((G67-$L$1)^2)</f>
        <v>99.339757065571234</v>
      </c>
    </row>
    <row r="68" spans="1:9">
      <c r="A68" s="66">
        <v>0</v>
      </c>
      <c r="B68" s="66">
        <v>0</v>
      </c>
      <c r="D68">
        <f t="shared" si="4"/>
        <v>0</v>
      </c>
      <c r="E68">
        <f t="shared" si="4"/>
        <v>0</v>
      </c>
      <c r="G68">
        <f t="shared" ca="1" si="5"/>
        <v>66</v>
      </c>
      <c r="H68">
        <f t="shared" ca="1" si="6"/>
        <v>0</v>
      </c>
      <c r="I68">
        <f t="shared" ca="1" si="7"/>
        <v>0</v>
      </c>
    </row>
    <row r="69" spans="1:9">
      <c r="A69" s="66">
        <v>141075</v>
      </c>
      <c r="B69" s="66">
        <v>141075</v>
      </c>
      <c r="D69">
        <f t="shared" si="4"/>
        <v>0.96742671009771986</v>
      </c>
      <c r="E69">
        <f t="shared" si="4"/>
        <v>0.96742671009771986</v>
      </c>
      <c r="G69">
        <f t="shared" ca="1" si="5"/>
        <v>67</v>
      </c>
      <c r="H69">
        <f t="shared" ca="1" si="6"/>
        <v>64.817589576547235</v>
      </c>
      <c r="I69">
        <f t="shared" ca="1" si="7"/>
        <v>61.575616101049768</v>
      </c>
    </row>
    <row r="70" spans="1:9">
      <c r="A70" s="66">
        <v>0</v>
      </c>
      <c r="B70" s="66">
        <v>0</v>
      </c>
      <c r="D70">
        <f t="shared" si="4"/>
        <v>0</v>
      </c>
      <c r="E70">
        <f t="shared" si="4"/>
        <v>0</v>
      </c>
      <c r="G70">
        <f t="shared" ca="1" si="5"/>
        <v>68</v>
      </c>
      <c r="H70">
        <f t="shared" ca="1" si="6"/>
        <v>0</v>
      </c>
      <c r="I70">
        <f t="shared" ca="1" si="7"/>
        <v>0</v>
      </c>
    </row>
    <row r="71" spans="1:9">
      <c r="A71" s="66">
        <v>0</v>
      </c>
      <c r="B71" s="66">
        <v>0</v>
      </c>
      <c r="D71">
        <f t="shared" si="4"/>
        <v>0</v>
      </c>
      <c r="E71">
        <f t="shared" si="4"/>
        <v>0</v>
      </c>
      <c r="G71">
        <f t="shared" ca="1" si="5"/>
        <v>69</v>
      </c>
      <c r="H71">
        <f t="shared" ca="1" si="6"/>
        <v>0</v>
      </c>
      <c r="I71">
        <f t="shared" ca="1" si="7"/>
        <v>0</v>
      </c>
    </row>
    <row r="72" spans="1:9">
      <c r="A72" s="66">
        <v>145825</v>
      </c>
      <c r="B72" s="66">
        <v>145825</v>
      </c>
      <c r="D72">
        <f t="shared" si="4"/>
        <v>1</v>
      </c>
      <c r="E72">
        <f t="shared" si="4"/>
        <v>1</v>
      </c>
      <c r="G72">
        <f t="shared" ca="1" si="5"/>
        <v>70</v>
      </c>
      <c r="H72">
        <f t="shared" ca="1" si="6"/>
        <v>70</v>
      </c>
      <c r="I72">
        <f t="shared" ca="1" si="7"/>
        <v>24.780724332184594</v>
      </c>
    </row>
    <row r="73" spans="1:9">
      <c r="A73" s="66">
        <v>0</v>
      </c>
      <c r="B73" s="66">
        <v>0</v>
      </c>
      <c r="D73">
        <f t="shared" si="4"/>
        <v>0</v>
      </c>
      <c r="E73">
        <f t="shared" si="4"/>
        <v>0</v>
      </c>
      <c r="G73">
        <f t="shared" ca="1" si="5"/>
        <v>71</v>
      </c>
      <c r="H73">
        <f t="shared" ca="1" si="6"/>
        <v>0</v>
      </c>
      <c r="I73">
        <f t="shared" ca="1" si="7"/>
        <v>0</v>
      </c>
    </row>
    <row r="74" spans="1:9">
      <c r="A74" s="66">
        <v>0</v>
      </c>
      <c r="B74" s="66">
        <v>0</v>
      </c>
      <c r="D74">
        <f t="shared" si="4"/>
        <v>0</v>
      </c>
      <c r="E74">
        <f t="shared" si="4"/>
        <v>0</v>
      </c>
      <c r="G74">
        <f t="shared" ca="1" si="5"/>
        <v>72</v>
      </c>
      <c r="H74">
        <f t="shared" ca="1" si="6"/>
        <v>0</v>
      </c>
      <c r="I74">
        <f t="shared" ca="1" si="7"/>
        <v>0</v>
      </c>
    </row>
    <row r="75" spans="1:9">
      <c r="A75" s="66">
        <v>145525</v>
      </c>
      <c r="B75" s="66">
        <v>145525</v>
      </c>
      <c r="D75">
        <f t="shared" si="4"/>
        <v>0.99794273958511914</v>
      </c>
      <c r="E75">
        <f t="shared" si="4"/>
        <v>0.99794273958511914</v>
      </c>
      <c r="G75">
        <f t="shared" ca="1" si="5"/>
        <v>73</v>
      </c>
      <c r="H75">
        <f t="shared" ca="1" si="6"/>
        <v>72.849819989713694</v>
      </c>
      <c r="I75">
        <f t="shared" ca="1" si="7"/>
        <v>3.9045303010269241</v>
      </c>
    </row>
    <row r="76" spans="1:9">
      <c r="A76" s="66">
        <v>0</v>
      </c>
      <c r="B76" s="66">
        <v>0</v>
      </c>
      <c r="D76">
        <f t="shared" si="4"/>
        <v>0</v>
      </c>
      <c r="E76">
        <f t="shared" si="4"/>
        <v>0</v>
      </c>
      <c r="G76">
        <f t="shared" ca="1" si="5"/>
        <v>74</v>
      </c>
      <c r="H76">
        <f t="shared" ca="1" si="6"/>
        <v>0</v>
      </c>
      <c r="I76">
        <f t="shared" ca="1" si="7"/>
        <v>0</v>
      </c>
    </row>
    <row r="77" spans="1:9">
      <c r="A77" s="66">
        <v>131480</v>
      </c>
      <c r="B77" s="66">
        <v>131480</v>
      </c>
      <c r="D77">
        <f t="shared" si="4"/>
        <v>0.90162866449511403</v>
      </c>
      <c r="E77">
        <f t="shared" si="4"/>
        <v>0.90162866449511403</v>
      </c>
      <c r="G77">
        <f t="shared" ca="1" si="5"/>
        <v>75</v>
      </c>
      <c r="H77">
        <f t="shared" ca="1" si="6"/>
        <v>67.622149837133549</v>
      </c>
      <c r="I77">
        <f t="shared" ca="1" si="7"/>
        <v>4.3543114995782238E-4</v>
      </c>
    </row>
    <row r="78" spans="1:9">
      <c r="A78" s="66">
        <v>0</v>
      </c>
      <c r="B78" s="66">
        <v>0</v>
      </c>
      <c r="D78">
        <f t="shared" si="4"/>
        <v>0</v>
      </c>
      <c r="E78">
        <f t="shared" si="4"/>
        <v>0</v>
      </c>
      <c r="G78">
        <f t="shared" ca="1" si="5"/>
        <v>76</v>
      </c>
      <c r="H78">
        <f t="shared" ca="1" si="6"/>
        <v>0</v>
      </c>
      <c r="I78">
        <f t="shared" ca="1" si="7"/>
        <v>0</v>
      </c>
    </row>
    <row r="79" spans="1:9">
      <c r="A79" s="66">
        <v>0</v>
      </c>
      <c r="B79" s="66">
        <v>0</v>
      </c>
      <c r="D79">
        <f t="shared" si="4"/>
        <v>0</v>
      </c>
      <c r="E79">
        <f t="shared" si="4"/>
        <v>0</v>
      </c>
      <c r="G79">
        <f t="shared" ca="1" si="5"/>
        <v>77</v>
      </c>
      <c r="H79">
        <f t="shared" ca="1" si="6"/>
        <v>0</v>
      </c>
      <c r="I79">
        <f t="shared" ca="1" si="7"/>
        <v>0</v>
      </c>
    </row>
    <row r="80" spans="1:9">
      <c r="A80" s="66">
        <v>126455</v>
      </c>
      <c r="B80" s="66">
        <v>126455</v>
      </c>
      <c r="D80">
        <f t="shared" si="4"/>
        <v>0.86716955254585981</v>
      </c>
      <c r="E80">
        <f t="shared" si="4"/>
        <v>0.86716955254585981</v>
      </c>
      <c r="G80">
        <f t="shared" ca="1" si="5"/>
        <v>78</v>
      </c>
      <c r="H80">
        <f t="shared" ca="1" si="6"/>
        <v>67.639225098577072</v>
      </c>
      <c r="I80">
        <f t="shared" ca="1" si="7"/>
        <v>7.9192855457906841</v>
      </c>
    </row>
    <row r="81" spans="1:9">
      <c r="A81" s="66">
        <v>0</v>
      </c>
      <c r="B81" s="66">
        <v>0</v>
      </c>
      <c r="D81">
        <f t="shared" si="4"/>
        <v>0</v>
      </c>
      <c r="E81">
        <f t="shared" si="4"/>
        <v>0</v>
      </c>
      <c r="G81">
        <f t="shared" ca="1" si="5"/>
        <v>79</v>
      </c>
      <c r="H81">
        <f t="shared" ca="1" si="6"/>
        <v>0</v>
      </c>
      <c r="I81">
        <f t="shared" ca="1" si="7"/>
        <v>0</v>
      </c>
    </row>
    <row r="82" spans="1:9">
      <c r="A82" s="66">
        <v>123571</v>
      </c>
      <c r="B82" s="66">
        <v>123571</v>
      </c>
      <c r="D82">
        <f t="shared" si="4"/>
        <v>0.84739242242413848</v>
      </c>
      <c r="E82">
        <f t="shared" si="4"/>
        <v>0.84739242242413848</v>
      </c>
      <c r="G82">
        <f t="shared" ca="1" si="5"/>
        <v>80</v>
      </c>
      <c r="H82">
        <f t="shared" ca="1" si="6"/>
        <v>67.791393793931078</v>
      </c>
      <c r="I82">
        <f t="shared" ca="1" si="7"/>
        <v>21.371441576698757</v>
      </c>
    </row>
    <row r="83" spans="1:9">
      <c r="A83" s="66">
        <v>0</v>
      </c>
      <c r="B83" s="66">
        <v>0</v>
      </c>
      <c r="D83">
        <f t="shared" si="4"/>
        <v>0</v>
      </c>
      <c r="E83">
        <f t="shared" si="4"/>
        <v>0</v>
      </c>
      <c r="G83">
        <f t="shared" ca="1" si="5"/>
        <v>81</v>
      </c>
      <c r="H83">
        <f t="shared" ca="1" si="6"/>
        <v>0</v>
      </c>
      <c r="I83">
        <f t="shared" ca="1" si="7"/>
        <v>0</v>
      </c>
    </row>
    <row r="84" spans="1:9">
      <c r="A84" s="66">
        <v>0</v>
      </c>
      <c r="B84" s="66">
        <v>0</v>
      </c>
      <c r="D84">
        <f t="shared" si="4"/>
        <v>0</v>
      </c>
      <c r="E84">
        <f t="shared" si="4"/>
        <v>0</v>
      </c>
      <c r="G84">
        <f t="shared" ca="1" si="5"/>
        <v>82</v>
      </c>
      <c r="H84">
        <f t="shared" ca="1" si="6"/>
        <v>0</v>
      </c>
      <c r="I84">
        <f t="shared" ca="1" si="7"/>
        <v>0</v>
      </c>
    </row>
    <row r="85" spans="1:9">
      <c r="A85" s="66">
        <v>122480</v>
      </c>
      <c r="B85" s="66">
        <v>122480</v>
      </c>
      <c r="D85">
        <f t="shared" si="4"/>
        <v>0.83991085204868854</v>
      </c>
      <c r="E85">
        <f t="shared" si="4"/>
        <v>0.83991085204868854</v>
      </c>
      <c r="G85">
        <f t="shared" ca="1" si="5"/>
        <v>83</v>
      </c>
      <c r="H85">
        <f t="shared" ca="1" si="6"/>
        <v>69.712600720041152</v>
      </c>
      <c r="I85">
        <f t="shared" ca="1" si="7"/>
        <v>54.050024377535152</v>
      </c>
    </row>
    <row r="86" spans="1:9">
      <c r="A86" s="66">
        <v>0</v>
      </c>
      <c r="B86" s="66">
        <v>0</v>
      </c>
      <c r="D86">
        <f t="shared" si="4"/>
        <v>0</v>
      </c>
      <c r="E86">
        <f t="shared" si="4"/>
        <v>0</v>
      </c>
      <c r="G86">
        <f t="shared" ca="1" si="5"/>
        <v>84</v>
      </c>
      <c r="H86">
        <f t="shared" ca="1" si="6"/>
        <v>0</v>
      </c>
      <c r="I86">
        <f t="shared" ca="1" si="7"/>
        <v>0</v>
      </c>
    </row>
    <row r="87" spans="1:9">
      <c r="A87" s="66">
        <v>0</v>
      </c>
      <c r="B87" s="66">
        <v>0</v>
      </c>
      <c r="D87">
        <f t="shared" si="4"/>
        <v>0</v>
      </c>
      <c r="E87">
        <f t="shared" si="4"/>
        <v>0</v>
      </c>
      <c r="G87">
        <f t="shared" ca="1" si="5"/>
        <v>85</v>
      </c>
      <c r="H87">
        <f t="shared" ca="1" si="6"/>
        <v>0</v>
      </c>
      <c r="I87">
        <f t="shared" ca="1" si="7"/>
        <v>0</v>
      </c>
    </row>
    <row r="88" spans="1:9">
      <c r="A88" s="66">
        <v>114709</v>
      </c>
      <c r="B88" s="66">
        <v>114709</v>
      </c>
      <c r="D88">
        <f t="shared" si="4"/>
        <v>0.78662094976855823</v>
      </c>
      <c r="E88">
        <f t="shared" si="4"/>
        <v>0.78662094976855823</v>
      </c>
      <c r="G88">
        <f t="shared" ca="1" si="5"/>
        <v>86</v>
      </c>
      <c r="H88">
        <f t="shared" ca="1" si="6"/>
        <v>67.649401680096005</v>
      </c>
      <c r="I88">
        <f t="shared" ca="1" si="7"/>
        <v>95.561821603375137</v>
      </c>
    </row>
    <row r="89" spans="1:9">
      <c r="A89" s="66">
        <v>0</v>
      </c>
      <c r="B89" s="66">
        <v>0</v>
      </c>
      <c r="D89">
        <f t="shared" si="4"/>
        <v>0</v>
      </c>
      <c r="E89">
        <f t="shared" si="4"/>
        <v>0</v>
      </c>
      <c r="G89">
        <f t="shared" ca="1" si="5"/>
        <v>87</v>
      </c>
      <c r="H89">
        <f t="shared" ca="1" si="6"/>
        <v>0</v>
      </c>
      <c r="I89">
        <f t="shared" ca="1" si="7"/>
        <v>0</v>
      </c>
    </row>
    <row r="90" spans="1:9">
      <c r="A90" s="66">
        <v>116736</v>
      </c>
      <c r="B90" s="66">
        <v>116736</v>
      </c>
      <c r="D90">
        <f t="shared" si="4"/>
        <v>0.80052117263843647</v>
      </c>
      <c r="E90">
        <f t="shared" si="4"/>
        <v>0.80052117263843647</v>
      </c>
      <c r="G90">
        <f t="shared" ca="1" si="5"/>
        <v>88</v>
      </c>
      <c r="H90">
        <f t="shared" ca="1" si="6"/>
        <v>70.445863192182415</v>
      </c>
      <c r="I90">
        <f t="shared" ca="1" si="7"/>
        <v>135.74586046303182</v>
      </c>
    </row>
    <row r="91" spans="1:9">
      <c r="A91" s="66">
        <v>0</v>
      </c>
      <c r="B91" s="66">
        <v>0</v>
      </c>
      <c r="D91">
        <f t="shared" si="4"/>
        <v>0</v>
      </c>
      <c r="E91">
        <f t="shared" si="4"/>
        <v>0</v>
      </c>
      <c r="G91">
        <f t="shared" ca="1" si="5"/>
        <v>89</v>
      </c>
      <c r="H91">
        <f t="shared" ca="1" si="6"/>
        <v>0</v>
      </c>
      <c r="I91">
        <f t="shared" ca="1" si="7"/>
        <v>0</v>
      </c>
    </row>
    <row r="92" spans="1:9">
      <c r="A92" s="66">
        <v>0</v>
      </c>
      <c r="B92" s="66">
        <v>0</v>
      </c>
      <c r="D92">
        <f t="shared" si="4"/>
        <v>0</v>
      </c>
      <c r="E92">
        <f t="shared" si="4"/>
        <v>0</v>
      </c>
      <c r="G92">
        <f t="shared" ca="1" si="5"/>
        <v>90</v>
      </c>
      <c r="H92">
        <f t="shared" ca="1" si="6"/>
        <v>0</v>
      </c>
      <c r="I92">
        <f t="shared" ca="1" si="7"/>
        <v>0</v>
      </c>
    </row>
    <row r="93" spans="1:9">
      <c r="A93" s="66">
        <v>105277</v>
      </c>
      <c r="B93" s="66">
        <v>105277</v>
      </c>
      <c r="D93">
        <f t="shared" si="4"/>
        <v>0.72194068232470432</v>
      </c>
      <c r="E93">
        <f t="shared" si="4"/>
        <v>0.72194068232470432</v>
      </c>
      <c r="G93">
        <f t="shared" ca="1" si="5"/>
        <v>91</v>
      </c>
      <c r="H93">
        <f t="shared" ca="1" si="6"/>
        <v>65.696602091548087</v>
      </c>
      <c r="I93">
        <f t="shared" ca="1" si="7"/>
        <v>185.32485189813198</v>
      </c>
    </row>
    <row r="94" spans="1:9">
      <c r="A94" s="66">
        <v>0</v>
      </c>
      <c r="B94" s="66">
        <v>0</v>
      </c>
      <c r="D94">
        <f t="shared" si="4"/>
        <v>0</v>
      </c>
      <c r="E94">
        <f t="shared" si="4"/>
        <v>0</v>
      </c>
      <c r="G94">
        <f t="shared" ca="1" si="5"/>
        <v>92</v>
      </c>
      <c r="H94">
        <f t="shared" ca="1" si="6"/>
        <v>0</v>
      </c>
      <c r="I94">
        <f t="shared" ca="1" si="7"/>
        <v>0</v>
      </c>
    </row>
    <row r="95" spans="1:9">
      <c r="A95" s="66">
        <v>103902</v>
      </c>
      <c r="B95" s="66">
        <v>103902</v>
      </c>
      <c r="D95">
        <f t="shared" si="4"/>
        <v>0.71251157208983373</v>
      </c>
      <c r="E95">
        <f t="shared" si="4"/>
        <v>0.71251157208983373</v>
      </c>
      <c r="G95">
        <f t="shared" ca="1" si="5"/>
        <v>93</v>
      </c>
      <c r="H95">
        <f t="shared" ca="1" si="6"/>
        <v>66.263576204354536</v>
      </c>
      <c r="I95">
        <f t="shared" ca="1" si="7"/>
        <v>231.41778343645083</v>
      </c>
    </row>
    <row r="96" spans="1:9">
      <c r="A96" s="66">
        <v>0</v>
      </c>
      <c r="B96" s="66">
        <v>0</v>
      </c>
      <c r="D96">
        <f t="shared" si="4"/>
        <v>0</v>
      </c>
      <c r="E96">
        <f t="shared" si="4"/>
        <v>0</v>
      </c>
      <c r="G96">
        <f t="shared" ca="1" si="5"/>
        <v>94</v>
      </c>
      <c r="H96">
        <f t="shared" ca="1" si="6"/>
        <v>0</v>
      </c>
      <c r="I96">
        <f t="shared" ca="1" si="7"/>
        <v>0</v>
      </c>
    </row>
    <row r="97" spans="1:9">
      <c r="A97" s="66">
        <v>0</v>
      </c>
      <c r="B97" s="66">
        <v>0</v>
      </c>
      <c r="D97">
        <f t="shared" si="4"/>
        <v>0</v>
      </c>
      <c r="E97">
        <f t="shared" si="4"/>
        <v>0</v>
      </c>
      <c r="G97">
        <f t="shared" ca="1" si="5"/>
        <v>95</v>
      </c>
      <c r="H97">
        <f t="shared" ca="1" si="6"/>
        <v>0</v>
      </c>
      <c r="I97">
        <f t="shared" ca="1" si="7"/>
        <v>0</v>
      </c>
    </row>
    <row r="98" spans="1:9">
      <c r="A98" s="66">
        <v>102548</v>
      </c>
      <c r="B98" s="66">
        <v>102548</v>
      </c>
      <c r="D98">
        <f t="shared" si="4"/>
        <v>0.70322647008400485</v>
      </c>
      <c r="E98">
        <f t="shared" si="4"/>
        <v>0.70322647008400485</v>
      </c>
      <c r="G98">
        <f t="shared" ca="1" si="5"/>
        <v>96</v>
      </c>
      <c r="H98">
        <f t="shared" ca="1" si="6"/>
        <v>67.509741128064462</v>
      </c>
      <c r="I98">
        <f t="shared" ca="1" si="7"/>
        <v>310.77228121175796</v>
      </c>
    </row>
    <row r="99" spans="1:9">
      <c r="A99" s="66">
        <v>0</v>
      </c>
      <c r="B99" s="66">
        <v>0</v>
      </c>
      <c r="D99">
        <f t="shared" si="4"/>
        <v>0</v>
      </c>
      <c r="E99">
        <f t="shared" si="4"/>
        <v>0</v>
      </c>
      <c r="G99">
        <f t="shared" ca="1" si="5"/>
        <v>97</v>
      </c>
      <c r="H99">
        <f t="shared" ca="1" si="6"/>
        <v>0</v>
      </c>
      <c r="I99">
        <f t="shared" ca="1" si="7"/>
        <v>0</v>
      </c>
    </row>
    <row r="100" spans="1:9">
      <c r="A100" s="66">
        <v>102516</v>
      </c>
      <c r="B100" s="66">
        <v>102516</v>
      </c>
      <c r="D100">
        <f t="shared" si="4"/>
        <v>0.7030070289730842</v>
      </c>
      <c r="E100">
        <f t="shared" si="4"/>
        <v>0.7030070289730842</v>
      </c>
      <c r="G100">
        <f t="shared" ca="1" si="5"/>
        <v>98</v>
      </c>
      <c r="H100">
        <f t="shared" ca="1" si="6"/>
        <v>68.894688839362246</v>
      </c>
      <c r="I100">
        <f t="shared" ca="1" si="7"/>
        <v>372.60172032234436</v>
      </c>
    </row>
    <row r="101" spans="1:9">
      <c r="A101" s="66">
        <v>0</v>
      </c>
      <c r="B101" s="66">
        <v>0</v>
      </c>
      <c r="D101">
        <f t="shared" si="4"/>
        <v>0</v>
      </c>
      <c r="E101">
        <f t="shared" si="4"/>
        <v>0</v>
      </c>
      <c r="G101">
        <f t="shared" ca="1" si="5"/>
        <v>99</v>
      </c>
      <c r="H101">
        <f t="shared" ca="1" si="6"/>
        <v>0</v>
      </c>
      <c r="I101">
        <f t="shared" ca="1" si="7"/>
        <v>0</v>
      </c>
    </row>
    <row r="102" spans="1:9">
      <c r="A102" s="66">
        <v>0</v>
      </c>
      <c r="B102" s="66">
        <v>0</v>
      </c>
      <c r="D102">
        <f t="shared" si="4"/>
        <v>0</v>
      </c>
      <c r="E102">
        <f t="shared" si="4"/>
        <v>0</v>
      </c>
      <c r="G102">
        <f t="shared" ca="1" si="5"/>
        <v>100</v>
      </c>
      <c r="H102">
        <f t="shared" ca="1" si="6"/>
        <v>0</v>
      </c>
      <c r="I102">
        <f t="shared" ca="1" si="7"/>
        <v>0</v>
      </c>
    </row>
    <row r="103" spans="1:9">
      <c r="A103" s="66">
        <v>102689</v>
      </c>
      <c r="B103" s="66">
        <v>102689</v>
      </c>
      <c r="D103">
        <f t="shared" si="4"/>
        <v>0.70419338247899876</v>
      </c>
      <c r="E103">
        <f t="shared" si="4"/>
        <v>0.70419338247899876</v>
      </c>
      <c r="G103">
        <f t="shared" ca="1" si="5"/>
        <v>101</v>
      </c>
      <c r="H103">
        <f t="shared" ca="1" si="6"/>
        <v>71.123531630378878</v>
      </c>
      <c r="I103">
        <f t="shared" ca="1" si="7"/>
        <v>476.8397799304945</v>
      </c>
    </row>
    <row r="104" spans="1:9">
      <c r="A104" s="66">
        <v>0</v>
      </c>
      <c r="B104" s="66">
        <v>0</v>
      </c>
      <c r="D104">
        <f t="shared" si="4"/>
        <v>0</v>
      </c>
      <c r="E104">
        <f t="shared" si="4"/>
        <v>0</v>
      </c>
      <c r="G104">
        <f t="shared" ca="1" si="5"/>
        <v>102</v>
      </c>
      <c r="H104">
        <f t="shared" ca="1" si="6"/>
        <v>0</v>
      </c>
      <c r="I104">
        <f t="shared" ca="1" si="7"/>
        <v>0</v>
      </c>
    </row>
    <row r="105" spans="1:9">
      <c r="A105" s="66">
        <v>0</v>
      </c>
      <c r="B105" s="66">
        <v>0</v>
      </c>
      <c r="D105">
        <f t="shared" si="4"/>
        <v>0</v>
      </c>
      <c r="E105">
        <f t="shared" si="4"/>
        <v>0</v>
      </c>
      <c r="G105">
        <f t="shared" ca="1" si="5"/>
        <v>103</v>
      </c>
      <c r="H105">
        <f t="shared" ca="1" si="6"/>
        <v>0</v>
      </c>
      <c r="I105">
        <f t="shared" ca="1" si="7"/>
        <v>0</v>
      </c>
    </row>
    <row r="106" spans="1:9">
      <c r="A106" s="66">
        <v>97562</v>
      </c>
      <c r="B106" s="66">
        <v>97562</v>
      </c>
      <c r="D106">
        <f t="shared" si="4"/>
        <v>0.66903480198868504</v>
      </c>
      <c r="E106">
        <f t="shared" si="4"/>
        <v>0.66903480198868504</v>
      </c>
      <c r="G106">
        <f t="shared" ca="1" si="5"/>
        <v>104</v>
      </c>
      <c r="H106">
        <f t="shared" ca="1" si="6"/>
        <v>69.579619406823241</v>
      </c>
      <c r="I106">
        <f t="shared" ca="1" si="7"/>
        <v>563.51134327775856</v>
      </c>
    </row>
    <row r="107" spans="1:9">
      <c r="A107" s="66">
        <v>0</v>
      </c>
      <c r="B107" s="66">
        <v>0</v>
      </c>
      <c r="D107">
        <f t="shared" si="4"/>
        <v>0</v>
      </c>
      <c r="E107">
        <f t="shared" si="4"/>
        <v>0</v>
      </c>
      <c r="G107">
        <f t="shared" ca="1" si="5"/>
        <v>105</v>
      </c>
      <c r="H107">
        <f t="shared" ca="1" si="6"/>
        <v>0</v>
      </c>
      <c r="I107">
        <f t="shared" ca="1" si="7"/>
        <v>0</v>
      </c>
    </row>
    <row r="108" spans="1:9">
      <c r="A108" s="66">
        <v>93162</v>
      </c>
      <c r="B108" s="66">
        <v>93162</v>
      </c>
      <c r="D108">
        <f t="shared" si="4"/>
        <v>0.63886164923709932</v>
      </c>
      <c r="E108">
        <f t="shared" si="4"/>
        <v>0.63886164923709932</v>
      </c>
      <c r="G108">
        <f t="shared" ca="1" si="5"/>
        <v>106</v>
      </c>
      <c r="H108">
        <f t="shared" ca="1" si="6"/>
        <v>67.719334819132527</v>
      </c>
      <c r="I108">
        <f t="shared" ca="1" si="7"/>
        <v>614.81680459063148</v>
      </c>
    </row>
    <row r="109" spans="1:9">
      <c r="A109" s="66">
        <v>0</v>
      </c>
      <c r="B109" s="66">
        <v>0</v>
      </c>
      <c r="D109">
        <f t="shared" si="4"/>
        <v>0</v>
      </c>
      <c r="E109">
        <f t="shared" si="4"/>
        <v>0</v>
      </c>
      <c r="G109">
        <f t="shared" ca="1" si="5"/>
        <v>107</v>
      </c>
      <c r="H109">
        <f t="shared" ca="1" si="6"/>
        <v>0</v>
      </c>
      <c r="I109">
        <f t="shared" ca="1" si="7"/>
        <v>0</v>
      </c>
    </row>
    <row r="110" spans="1:9">
      <c r="A110" s="66">
        <v>0</v>
      </c>
      <c r="B110" s="66">
        <v>0</v>
      </c>
      <c r="D110">
        <f t="shared" si="4"/>
        <v>0</v>
      </c>
      <c r="E110">
        <f t="shared" si="4"/>
        <v>0</v>
      </c>
      <c r="G110">
        <f t="shared" ca="1" si="5"/>
        <v>108</v>
      </c>
      <c r="H110">
        <f t="shared" ca="1" si="6"/>
        <v>0</v>
      </c>
      <c r="I110">
        <f t="shared" ca="1" si="7"/>
        <v>0</v>
      </c>
    </row>
    <row r="111" spans="1:9">
      <c r="A111" s="66">
        <v>91423</v>
      </c>
      <c r="B111" s="66">
        <v>91423</v>
      </c>
      <c r="D111">
        <f t="shared" si="4"/>
        <v>0.62693639636550658</v>
      </c>
      <c r="E111">
        <f t="shared" si="4"/>
        <v>0.62693639636550658</v>
      </c>
      <c r="G111">
        <f t="shared" ca="1" si="5"/>
        <v>109</v>
      </c>
      <c r="H111">
        <f t="shared" ca="1" si="6"/>
        <v>68.336067203840216</v>
      </c>
      <c r="I111">
        <f t="shared" ca="1" si="7"/>
        <v>725.67564471725836</v>
      </c>
    </row>
    <row r="112" spans="1:9">
      <c r="A112" s="66">
        <v>0</v>
      </c>
      <c r="B112" s="66">
        <v>0</v>
      </c>
      <c r="D112">
        <f t="shared" si="4"/>
        <v>0</v>
      </c>
      <c r="E112">
        <f t="shared" si="4"/>
        <v>0</v>
      </c>
      <c r="G112">
        <f t="shared" ca="1" si="5"/>
        <v>110</v>
      </c>
      <c r="H112">
        <f t="shared" ca="1" si="6"/>
        <v>0</v>
      </c>
      <c r="I112">
        <f t="shared" ca="1" si="7"/>
        <v>0</v>
      </c>
    </row>
    <row r="113" spans="1:9">
      <c r="A113" s="66">
        <v>82673</v>
      </c>
      <c r="B113" s="66">
        <v>82673</v>
      </c>
      <c r="D113">
        <f t="shared" si="4"/>
        <v>0.56693296759814849</v>
      </c>
      <c r="E113">
        <f t="shared" si="4"/>
        <v>0.56693296759814849</v>
      </c>
      <c r="G113">
        <f t="shared" ca="1" si="5"/>
        <v>111</v>
      </c>
      <c r="H113">
        <f t="shared" ca="1" si="6"/>
        <v>62.929559403394485</v>
      </c>
      <c r="I113">
        <f t="shared" ca="1" si="7"/>
        <v>735.64243627232838</v>
      </c>
    </row>
    <row r="114" spans="1:9">
      <c r="A114" s="66">
        <v>0</v>
      </c>
      <c r="B114" s="66">
        <v>0</v>
      </c>
      <c r="D114">
        <f t="shared" si="4"/>
        <v>0</v>
      </c>
      <c r="E114">
        <f t="shared" si="4"/>
        <v>0</v>
      </c>
      <c r="G114">
        <f t="shared" ca="1" si="5"/>
        <v>112</v>
      </c>
      <c r="H114">
        <f t="shared" ca="1" si="6"/>
        <v>0</v>
      </c>
      <c r="I114">
        <f t="shared" ca="1" si="7"/>
        <v>0</v>
      </c>
    </row>
    <row r="115" spans="1:9">
      <c r="A115" s="66">
        <v>0</v>
      </c>
      <c r="B115" s="66">
        <v>0</v>
      </c>
      <c r="D115">
        <f t="shared" si="4"/>
        <v>0</v>
      </c>
      <c r="E115">
        <f t="shared" si="4"/>
        <v>0</v>
      </c>
      <c r="G115">
        <f t="shared" ca="1" si="5"/>
        <v>113</v>
      </c>
      <c r="H115">
        <f t="shared" ca="1" si="6"/>
        <v>0</v>
      </c>
      <c r="I115">
        <f t="shared" ca="1" si="7"/>
        <v>0</v>
      </c>
    </row>
    <row r="116" spans="1:9">
      <c r="A116" s="66">
        <v>74547</v>
      </c>
      <c r="B116" s="66">
        <v>74547</v>
      </c>
      <c r="D116">
        <f t="shared" si="4"/>
        <v>0.51120864049374248</v>
      </c>
      <c r="E116">
        <f t="shared" si="4"/>
        <v>0.51120864049374248</v>
      </c>
      <c r="G116">
        <f t="shared" ca="1" si="5"/>
        <v>114</v>
      </c>
      <c r="H116">
        <f t="shared" ca="1" si="6"/>
        <v>58.277785016286643</v>
      </c>
      <c r="I116">
        <f t="shared" ca="1" si="7"/>
        <v>778.42486056038877</v>
      </c>
    </row>
    <row r="117" spans="1:9">
      <c r="A117" s="66">
        <v>0</v>
      </c>
      <c r="B117" s="66">
        <v>0</v>
      </c>
      <c r="D117">
        <f t="shared" si="4"/>
        <v>0</v>
      </c>
      <c r="E117">
        <f t="shared" si="4"/>
        <v>0</v>
      </c>
      <c r="G117">
        <f t="shared" ca="1" si="5"/>
        <v>115</v>
      </c>
      <c r="H117">
        <f t="shared" ca="1" si="6"/>
        <v>0</v>
      </c>
      <c r="I117">
        <f t="shared" ca="1" si="7"/>
        <v>0</v>
      </c>
    </row>
    <row r="118" spans="1:9">
      <c r="A118" s="66">
        <v>70010</v>
      </c>
      <c r="B118" s="66">
        <v>70010</v>
      </c>
      <c r="D118">
        <f t="shared" si="4"/>
        <v>0.48009600548602777</v>
      </c>
      <c r="E118">
        <f t="shared" si="4"/>
        <v>0.48009600548602777</v>
      </c>
      <c r="G118">
        <f t="shared" ca="1" si="5"/>
        <v>116</v>
      </c>
      <c r="H118">
        <f t="shared" ca="1" si="6"/>
        <v>55.69113663637922</v>
      </c>
      <c r="I118">
        <f t="shared" ca="1" si="7"/>
        <v>807.90675995695608</v>
      </c>
    </row>
    <row r="119" spans="1:9">
      <c r="A119" s="66">
        <v>0</v>
      </c>
      <c r="B119" s="66">
        <v>0</v>
      </c>
      <c r="D119">
        <f t="shared" si="4"/>
        <v>0</v>
      </c>
      <c r="E119">
        <f t="shared" si="4"/>
        <v>0</v>
      </c>
      <c r="G119">
        <f t="shared" ca="1" si="5"/>
        <v>117</v>
      </c>
      <c r="H119">
        <f t="shared" ca="1" si="6"/>
        <v>0</v>
      </c>
      <c r="I119">
        <f t="shared" ca="1" si="7"/>
        <v>0</v>
      </c>
    </row>
    <row r="120" spans="1:9">
      <c r="A120" s="66">
        <v>0</v>
      </c>
      <c r="B120" s="66">
        <v>0</v>
      </c>
      <c r="D120">
        <f t="shared" si="4"/>
        <v>0</v>
      </c>
      <c r="E120">
        <f t="shared" si="4"/>
        <v>0</v>
      </c>
      <c r="G120">
        <f t="shared" ca="1" si="5"/>
        <v>118</v>
      </c>
      <c r="H120">
        <f t="shared" ca="1" si="6"/>
        <v>0</v>
      </c>
      <c r="I120">
        <f t="shared" ca="1" si="7"/>
        <v>0</v>
      </c>
    </row>
    <row r="121" spans="1:9">
      <c r="A121" s="66">
        <v>64719</v>
      </c>
      <c r="B121" s="66">
        <v>64719</v>
      </c>
      <c r="D121">
        <f t="shared" si="4"/>
        <v>0.44381278930224582</v>
      </c>
      <c r="E121">
        <f t="shared" si="4"/>
        <v>0.44381278930224582</v>
      </c>
      <c r="G121">
        <f t="shared" ca="1" si="5"/>
        <v>119</v>
      </c>
      <c r="H121">
        <f t="shared" ca="1" si="6"/>
        <v>52.813721926967254</v>
      </c>
      <c r="I121">
        <f t="shared" ca="1" si="7"/>
        <v>860.08005320758411</v>
      </c>
    </row>
    <row r="122" spans="1:9">
      <c r="A122" s="66">
        <v>0</v>
      </c>
      <c r="B122" s="66">
        <v>0</v>
      </c>
      <c r="D122">
        <f t="shared" si="4"/>
        <v>0</v>
      </c>
      <c r="E122">
        <f t="shared" si="4"/>
        <v>0</v>
      </c>
      <c r="G122">
        <f t="shared" ca="1" si="5"/>
        <v>120</v>
      </c>
      <c r="H122">
        <f t="shared" ca="1" si="6"/>
        <v>0</v>
      </c>
      <c r="I122">
        <f t="shared" ca="1" si="7"/>
        <v>0</v>
      </c>
    </row>
    <row r="123" spans="1:9">
      <c r="A123" s="66">
        <v>0</v>
      </c>
      <c r="B123" s="66">
        <v>0</v>
      </c>
      <c r="D123">
        <f t="shared" si="4"/>
        <v>0</v>
      </c>
      <c r="E123">
        <f t="shared" si="4"/>
        <v>0</v>
      </c>
      <c r="G123">
        <f t="shared" ca="1" si="5"/>
        <v>121</v>
      </c>
      <c r="H123">
        <f t="shared" ca="1" si="6"/>
        <v>0</v>
      </c>
      <c r="I123">
        <f t="shared" ca="1" si="7"/>
        <v>0</v>
      </c>
    </row>
    <row r="124" spans="1:9">
      <c r="A124" s="66">
        <v>58915</v>
      </c>
      <c r="B124" s="66">
        <v>58915</v>
      </c>
      <c r="D124">
        <f t="shared" si="4"/>
        <v>0.40401165780901765</v>
      </c>
      <c r="E124">
        <f t="shared" si="4"/>
        <v>0.40401165780901765</v>
      </c>
      <c r="G124">
        <f t="shared" ca="1" si="5"/>
        <v>122</v>
      </c>
      <c r="H124">
        <f t="shared" ca="1" si="6"/>
        <v>49.289422252700156</v>
      </c>
      <c r="I124">
        <f t="shared" ca="1" si="7"/>
        <v>893.29652657793474</v>
      </c>
    </row>
    <row r="125" spans="1:9">
      <c r="A125" s="66">
        <v>0</v>
      </c>
      <c r="B125" s="66">
        <v>0</v>
      </c>
      <c r="D125">
        <f t="shared" si="4"/>
        <v>0</v>
      </c>
      <c r="E125">
        <f t="shared" si="4"/>
        <v>0</v>
      </c>
      <c r="G125">
        <f t="shared" ca="1" si="5"/>
        <v>123</v>
      </c>
      <c r="H125">
        <f t="shared" ca="1" si="6"/>
        <v>0</v>
      </c>
      <c r="I125">
        <f t="shared" ca="1" si="7"/>
        <v>0</v>
      </c>
    </row>
    <row r="126" spans="1:9">
      <c r="A126" s="66">
        <v>52247</v>
      </c>
      <c r="B126" s="66">
        <v>52247</v>
      </c>
      <c r="D126">
        <f t="shared" si="4"/>
        <v>0.35828561632093264</v>
      </c>
      <c r="E126">
        <f t="shared" si="4"/>
        <v>0.35828561632093264</v>
      </c>
      <c r="G126">
        <f t="shared" ca="1" si="5"/>
        <v>124</v>
      </c>
      <c r="H126">
        <f t="shared" ca="1" si="6"/>
        <v>44.427416423795648</v>
      </c>
      <c r="I126">
        <f t="shared" ca="1" si="7"/>
        <v>861.01555402379927</v>
      </c>
    </row>
    <row r="127" spans="1:9">
      <c r="A127" s="66">
        <v>0</v>
      </c>
      <c r="B127" s="66">
        <v>0</v>
      </c>
      <c r="D127">
        <f t="shared" si="4"/>
        <v>0</v>
      </c>
      <c r="E127">
        <f t="shared" si="4"/>
        <v>0</v>
      </c>
      <c r="G127">
        <f t="shared" ca="1" si="5"/>
        <v>125</v>
      </c>
      <c r="H127">
        <f t="shared" ca="1" si="6"/>
        <v>0</v>
      </c>
      <c r="I127">
        <f t="shared" ca="1" si="7"/>
        <v>0</v>
      </c>
    </row>
    <row r="128" spans="1:9">
      <c r="A128" s="66">
        <v>0</v>
      </c>
      <c r="B128" s="66">
        <v>0</v>
      </c>
      <c r="D128">
        <f t="shared" si="4"/>
        <v>0</v>
      </c>
      <c r="E128">
        <f t="shared" si="4"/>
        <v>0</v>
      </c>
      <c r="G128">
        <f t="shared" ca="1" si="5"/>
        <v>126</v>
      </c>
      <c r="H128">
        <f t="shared" ca="1" si="6"/>
        <v>0</v>
      </c>
      <c r="I128">
        <f t="shared" ca="1" si="7"/>
        <v>0</v>
      </c>
    </row>
    <row r="129" spans="1:9">
      <c r="A129" s="66">
        <v>48823</v>
      </c>
      <c r="B129" s="66">
        <v>48823</v>
      </c>
      <c r="D129">
        <f t="shared" si="4"/>
        <v>0.33480541745242587</v>
      </c>
      <c r="E129">
        <f t="shared" si="4"/>
        <v>0.33480541745242587</v>
      </c>
      <c r="G129">
        <f t="shared" ca="1" si="5"/>
        <v>127</v>
      </c>
      <c r="H129">
        <f t="shared" ca="1" si="6"/>
        <v>42.520288016458082</v>
      </c>
      <c r="I129">
        <f t="shared" ca="1" si="7"/>
        <v>906.07920474962827</v>
      </c>
    </row>
    <row r="130" spans="1:9">
      <c r="A130" s="66">
        <v>0</v>
      </c>
      <c r="B130" s="66">
        <v>0</v>
      </c>
      <c r="D130">
        <f t="shared" si="4"/>
        <v>0</v>
      </c>
      <c r="E130">
        <f t="shared" si="4"/>
        <v>0</v>
      </c>
      <c r="G130">
        <f t="shared" ca="1" si="5"/>
        <v>128</v>
      </c>
      <c r="H130">
        <f t="shared" ca="1" si="6"/>
        <v>0</v>
      </c>
      <c r="I130">
        <f t="shared" ca="1" si="7"/>
        <v>0</v>
      </c>
    </row>
    <row r="131" spans="1:9">
      <c r="A131" s="66">
        <v>45494</v>
      </c>
      <c r="B131" s="66">
        <v>45494</v>
      </c>
      <c r="D131">
        <f t="shared" ref="D131:E194" si="8">IFERROR( A131/MAX(A$2:A$257), 0 )</f>
        <v>0.31197668438196469</v>
      </c>
      <c r="E131">
        <f t="shared" si="8"/>
        <v>0.31197668438196469</v>
      </c>
      <c r="G131">
        <f t="shared" ref="G131:G194" ca="1" si="9">CELL("row",D131)-2</f>
        <v>129</v>
      </c>
      <c r="H131">
        <f t="shared" ref="H131:H194" ca="1" si="10">D131*G131</f>
        <v>40.244992285273447</v>
      </c>
      <c r="I131">
        <f t="shared" ref="I131:I194" ca="1" si="11">D131*((G131-$L$1)^2)</f>
        <v>910.4646055858949</v>
      </c>
    </row>
    <row r="132" spans="1:9">
      <c r="A132" s="66">
        <v>0</v>
      </c>
      <c r="B132" s="66">
        <v>0</v>
      </c>
      <c r="D132">
        <f t="shared" si="8"/>
        <v>0</v>
      </c>
      <c r="E132">
        <f t="shared" si="8"/>
        <v>0</v>
      </c>
      <c r="G132">
        <f t="shared" ca="1" si="9"/>
        <v>130</v>
      </c>
      <c r="H132">
        <f t="shared" ca="1" si="10"/>
        <v>0</v>
      </c>
      <c r="I132">
        <f t="shared" ca="1" si="11"/>
        <v>0</v>
      </c>
    </row>
    <row r="133" spans="1:9">
      <c r="A133" s="66">
        <v>0</v>
      </c>
      <c r="B133" s="66">
        <v>0</v>
      </c>
      <c r="D133">
        <f t="shared" si="8"/>
        <v>0</v>
      </c>
      <c r="E133">
        <f t="shared" si="8"/>
        <v>0</v>
      </c>
      <c r="G133">
        <f t="shared" ca="1" si="9"/>
        <v>131</v>
      </c>
      <c r="H133">
        <f t="shared" ca="1" si="10"/>
        <v>0</v>
      </c>
      <c r="I133">
        <f t="shared" ca="1" si="11"/>
        <v>0</v>
      </c>
    </row>
    <row r="134" spans="1:9">
      <c r="A134" s="66">
        <v>42234</v>
      </c>
      <c r="B134" s="66">
        <v>42234</v>
      </c>
      <c r="D134">
        <f t="shared" si="8"/>
        <v>0.28962112120692612</v>
      </c>
      <c r="E134">
        <f t="shared" si="8"/>
        <v>0.28962112120692612</v>
      </c>
      <c r="G134">
        <f t="shared" ca="1" si="9"/>
        <v>132</v>
      </c>
      <c r="H134">
        <f t="shared" ca="1" si="10"/>
        <v>38.229987999314247</v>
      </c>
      <c r="I134">
        <f t="shared" ca="1" si="11"/>
        <v>941.70473543741195</v>
      </c>
    </row>
    <row r="135" spans="1:9">
      <c r="A135" s="66">
        <v>0</v>
      </c>
      <c r="B135" s="66">
        <v>0</v>
      </c>
      <c r="D135">
        <f t="shared" si="8"/>
        <v>0</v>
      </c>
      <c r="E135">
        <f t="shared" si="8"/>
        <v>0</v>
      </c>
      <c r="G135">
        <f t="shared" ca="1" si="9"/>
        <v>133</v>
      </c>
      <c r="H135">
        <f t="shared" ca="1" si="10"/>
        <v>0</v>
      </c>
      <c r="I135">
        <f t="shared" ca="1" si="11"/>
        <v>0</v>
      </c>
    </row>
    <row r="136" spans="1:9">
      <c r="A136" s="66">
        <v>36204</v>
      </c>
      <c r="B136" s="66">
        <v>36204</v>
      </c>
      <c r="D136">
        <f t="shared" si="8"/>
        <v>0.24827018686782101</v>
      </c>
      <c r="E136">
        <f t="shared" si="8"/>
        <v>0.24827018686782101</v>
      </c>
      <c r="G136">
        <f t="shared" ca="1" si="9"/>
        <v>134</v>
      </c>
      <c r="H136">
        <f t="shared" ca="1" si="10"/>
        <v>33.268205040288017</v>
      </c>
      <c r="I136">
        <f t="shared" ca="1" si="11"/>
        <v>864.87244260697628</v>
      </c>
    </row>
    <row r="137" spans="1:9">
      <c r="A137" s="66">
        <v>0</v>
      </c>
      <c r="B137" s="66">
        <v>0</v>
      </c>
      <c r="D137">
        <f t="shared" si="8"/>
        <v>0</v>
      </c>
      <c r="E137">
        <f t="shared" si="8"/>
        <v>0</v>
      </c>
      <c r="G137">
        <f t="shared" ca="1" si="9"/>
        <v>135</v>
      </c>
      <c r="H137">
        <f t="shared" ca="1" si="10"/>
        <v>0</v>
      </c>
      <c r="I137">
        <f t="shared" ca="1" si="11"/>
        <v>0</v>
      </c>
    </row>
    <row r="138" spans="1:9">
      <c r="A138" s="66">
        <v>0</v>
      </c>
      <c r="B138" s="66">
        <v>0</v>
      </c>
      <c r="D138">
        <f t="shared" si="8"/>
        <v>0</v>
      </c>
      <c r="E138">
        <f t="shared" si="8"/>
        <v>0</v>
      </c>
      <c r="G138">
        <f t="shared" ca="1" si="9"/>
        <v>136</v>
      </c>
      <c r="H138">
        <f t="shared" ca="1" si="10"/>
        <v>0</v>
      </c>
      <c r="I138">
        <f t="shared" ca="1" si="11"/>
        <v>0</v>
      </c>
    </row>
    <row r="139" spans="1:9">
      <c r="A139" s="66">
        <v>33172</v>
      </c>
      <c r="B139" s="66">
        <v>33172</v>
      </c>
      <c r="D139">
        <f t="shared" si="8"/>
        <v>0.22747814160809188</v>
      </c>
      <c r="E139">
        <f t="shared" si="8"/>
        <v>0.22747814160809188</v>
      </c>
      <c r="G139">
        <f t="shared" ca="1" si="9"/>
        <v>137</v>
      </c>
      <c r="H139">
        <f t="shared" ca="1" si="10"/>
        <v>31.164505400308588</v>
      </c>
      <c r="I139">
        <f t="shared" ca="1" si="11"/>
        <v>875.04596566345708</v>
      </c>
    </row>
    <row r="140" spans="1:9">
      <c r="A140" s="66">
        <v>0</v>
      </c>
      <c r="B140" s="66">
        <v>0</v>
      </c>
      <c r="D140">
        <f t="shared" si="8"/>
        <v>0</v>
      </c>
      <c r="E140">
        <f t="shared" si="8"/>
        <v>0</v>
      </c>
      <c r="G140">
        <f t="shared" ca="1" si="9"/>
        <v>138</v>
      </c>
      <c r="H140">
        <f t="shared" ca="1" si="10"/>
        <v>0</v>
      </c>
      <c r="I140">
        <f t="shared" ca="1" si="11"/>
        <v>0</v>
      </c>
    </row>
    <row r="141" spans="1:9">
      <c r="A141" s="66">
        <v>0</v>
      </c>
      <c r="B141" s="66">
        <v>0</v>
      </c>
      <c r="D141">
        <f t="shared" si="8"/>
        <v>0</v>
      </c>
      <c r="E141">
        <f t="shared" si="8"/>
        <v>0</v>
      </c>
      <c r="G141">
        <f t="shared" ca="1" si="9"/>
        <v>139</v>
      </c>
      <c r="H141">
        <f t="shared" ca="1" si="10"/>
        <v>0</v>
      </c>
      <c r="I141">
        <f t="shared" ca="1" si="11"/>
        <v>0</v>
      </c>
    </row>
    <row r="142" spans="1:9">
      <c r="A142" s="66">
        <v>28638</v>
      </c>
      <c r="B142" s="66">
        <v>28638</v>
      </c>
      <c r="D142">
        <f t="shared" si="8"/>
        <v>0.19638607920452597</v>
      </c>
      <c r="E142">
        <f t="shared" si="8"/>
        <v>0.19638607920452597</v>
      </c>
      <c r="G142">
        <f t="shared" ca="1" si="9"/>
        <v>140</v>
      </c>
      <c r="H142">
        <f t="shared" ca="1" si="10"/>
        <v>27.494051088633636</v>
      </c>
      <c r="I142">
        <f t="shared" ca="1" si="11"/>
        <v>830.29232738523854</v>
      </c>
    </row>
    <row r="143" spans="1:9">
      <c r="A143" s="66">
        <v>0</v>
      </c>
      <c r="B143" s="66">
        <v>0</v>
      </c>
      <c r="D143">
        <f t="shared" si="8"/>
        <v>0</v>
      </c>
      <c r="E143">
        <f t="shared" si="8"/>
        <v>0</v>
      </c>
      <c r="G143">
        <f t="shared" ca="1" si="9"/>
        <v>141</v>
      </c>
      <c r="H143">
        <f t="shared" ca="1" si="10"/>
        <v>0</v>
      </c>
      <c r="I143">
        <f t="shared" ca="1" si="11"/>
        <v>0</v>
      </c>
    </row>
    <row r="144" spans="1:9">
      <c r="A144" s="66">
        <v>23921</v>
      </c>
      <c r="B144" s="66">
        <v>23921</v>
      </c>
      <c r="D144">
        <f t="shared" si="8"/>
        <v>0.16403908794788274</v>
      </c>
      <c r="E144">
        <f t="shared" si="8"/>
        <v>0.16403908794788274</v>
      </c>
      <c r="G144">
        <f t="shared" ca="1" si="9"/>
        <v>142</v>
      </c>
      <c r="H144">
        <f t="shared" ca="1" si="10"/>
        <v>23.293550488599351</v>
      </c>
      <c r="I144">
        <f t="shared" ca="1" si="11"/>
        <v>736.85460163679147</v>
      </c>
    </row>
    <row r="145" spans="1:9">
      <c r="A145" s="66">
        <v>0</v>
      </c>
      <c r="B145" s="66">
        <v>0</v>
      </c>
      <c r="D145">
        <f t="shared" si="8"/>
        <v>0</v>
      </c>
      <c r="E145">
        <f t="shared" si="8"/>
        <v>0</v>
      </c>
      <c r="G145">
        <f t="shared" ca="1" si="9"/>
        <v>143</v>
      </c>
      <c r="H145">
        <f t="shared" ca="1" si="10"/>
        <v>0</v>
      </c>
      <c r="I145">
        <f t="shared" ca="1" si="11"/>
        <v>0</v>
      </c>
    </row>
    <row r="146" spans="1:9">
      <c r="A146" s="66">
        <v>0</v>
      </c>
      <c r="B146" s="66">
        <v>0</v>
      </c>
      <c r="D146">
        <f t="shared" si="8"/>
        <v>0</v>
      </c>
      <c r="E146">
        <f t="shared" si="8"/>
        <v>0</v>
      </c>
      <c r="G146">
        <f t="shared" ca="1" si="9"/>
        <v>144</v>
      </c>
      <c r="H146">
        <f t="shared" ca="1" si="10"/>
        <v>0</v>
      </c>
      <c r="I146">
        <f t="shared" ca="1" si="11"/>
        <v>0</v>
      </c>
    </row>
    <row r="147" spans="1:9">
      <c r="A147" s="66">
        <v>19998</v>
      </c>
      <c r="B147" s="66">
        <v>19998</v>
      </c>
      <c r="D147">
        <f t="shared" si="8"/>
        <v>0.13713697925595747</v>
      </c>
      <c r="E147">
        <f t="shared" si="8"/>
        <v>0.13713697925595747</v>
      </c>
      <c r="G147">
        <f t="shared" ca="1" si="9"/>
        <v>145</v>
      </c>
      <c r="H147">
        <f t="shared" ca="1" si="10"/>
        <v>19.884861992113834</v>
      </c>
      <c r="I147">
        <f t="shared" ca="1" si="11"/>
        <v>672.39318302291463</v>
      </c>
    </row>
    <row r="148" spans="1:9">
      <c r="A148" s="66">
        <v>0</v>
      </c>
      <c r="B148" s="66">
        <v>0</v>
      </c>
      <c r="D148">
        <f t="shared" si="8"/>
        <v>0</v>
      </c>
      <c r="E148">
        <f t="shared" si="8"/>
        <v>0</v>
      </c>
      <c r="G148">
        <f t="shared" ca="1" si="9"/>
        <v>146</v>
      </c>
      <c r="H148">
        <f t="shared" ca="1" si="10"/>
        <v>0</v>
      </c>
      <c r="I148">
        <f t="shared" ca="1" si="11"/>
        <v>0</v>
      </c>
    </row>
    <row r="149" spans="1:9">
      <c r="A149" s="66">
        <v>13157</v>
      </c>
      <c r="B149" s="66">
        <v>13157</v>
      </c>
      <c r="D149">
        <f t="shared" si="8"/>
        <v>9.0224584261957827E-2</v>
      </c>
      <c r="E149">
        <f t="shared" si="8"/>
        <v>9.0224584261957827E-2</v>
      </c>
      <c r="G149">
        <f t="shared" ca="1" si="9"/>
        <v>147</v>
      </c>
      <c r="H149">
        <f t="shared" ca="1" si="10"/>
        <v>13.263013886507801</v>
      </c>
      <c r="I149">
        <f t="shared" ca="1" si="11"/>
        <v>468.0098062429019</v>
      </c>
    </row>
    <row r="150" spans="1:9">
      <c r="A150" s="66">
        <v>0</v>
      </c>
      <c r="B150" s="66">
        <v>0</v>
      </c>
      <c r="D150">
        <f t="shared" si="8"/>
        <v>0</v>
      </c>
      <c r="E150">
        <f t="shared" si="8"/>
        <v>0</v>
      </c>
      <c r="G150">
        <f t="shared" ca="1" si="9"/>
        <v>148</v>
      </c>
      <c r="H150">
        <f t="shared" ca="1" si="10"/>
        <v>0</v>
      </c>
      <c r="I150">
        <f t="shared" ca="1" si="11"/>
        <v>0</v>
      </c>
    </row>
    <row r="151" spans="1:9">
      <c r="A151" s="66">
        <v>0</v>
      </c>
      <c r="B151" s="66">
        <v>0</v>
      </c>
      <c r="D151">
        <f t="shared" si="8"/>
        <v>0</v>
      </c>
      <c r="E151">
        <f t="shared" si="8"/>
        <v>0</v>
      </c>
      <c r="G151">
        <f t="shared" ca="1" si="9"/>
        <v>149</v>
      </c>
      <c r="H151">
        <f t="shared" ca="1" si="10"/>
        <v>0</v>
      </c>
      <c r="I151">
        <f t="shared" ca="1" si="11"/>
        <v>0</v>
      </c>
    </row>
    <row r="152" spans="1:9">
      <c r="A152" s="66">
        <v>10595</v>
      </c>
      <c r="B152" s="66">
        <v>10595</v>
      </c>
      <c r="D152">
        <f t="shared" si="8"/>
        <v>7.2655580318875368E-2</v>
      </c>
      <c r="E152">
        <f t="shared" si="8"/>
        <v>7.2655580318875368E-2</v>
      </c>
      <c r="G152">
        <f t="shared" ca="1" si="9"/>
        <v>150</v>
      </c>
      <c r="H152">
        <f t="shared" ca="1" si="10"/>
        <v>10.898337047831305</v>
      </c>
      <c r="I152">
        <f t="shared" ca="1" si="11"/>
        <v>408.92717471787182</v>
      </c>
    </row>
    <row r="153" spans="1:9">
      <c r="A153" s="66">
        <v>0</v>
      </c>
      <c r="B153" s="66">
        <v>0</v>
      </c>
      <c r="D153">
        <f t="shared" si="8"/>
        <v>0</v>
      </c>
      <c r="E153">
        <f t="shared" si="8"/>
        <v>0</v>
      </c>
      <c r="G153">
        <f t="shared" ca="1" si="9"/>
        <v>151</v>
      </c>
      <c r="H153">
        <f t="shared" ca="1" si="10"/>
        <v>0</v>
      </c>
      <c r="I153">
        <f t="shared" ca="1" si="11"/>
        <v>0</v>
      </c>
    </row>
    <row r="154" spans="1:9">
      <c r="A154" s="66">
        <v>7952</v>
      </c>
      <c r="B154" s="66">
        <v>7952</v>
      </c>
      <c r="D154">
        <f t="shared" si="8"/>
        <v>5.4531116063775073E-2</v>
      </c>
      <c r="E154">
        <f t="shared" si="8"/>
        <v>5.4531116063775073E-2</v>
      </c>
      <c r="G154">
        <f t="shared" ca="1" si="9"/>
        <v>152</v>
      </c>
      <c r="H154">
        <f t="shared" ca="1" si="10"/>
        <v>8.288729641693811</v>
      </c>
      <c r="I154">
        <f t="shared" ca="1" si="11"/>
        <v>323.49956218108508</v>
      </c>
    </row>
    <row r="155" spans="1:9">
      <c r="A155" s="66">
        <v>0</v>
      </c>
      <c r="B155" s="66">
        <v>0</v>
      </c>
      <c r="D155">
        <f t="shared" si="8"/>
        <v>0</v>
      </c>
      <c r="E155">
        <f t="shared" si="8"/>
        <v>0</v>
      </c>
      <c r="G155">
        <f t="shared" ca="1" si="9"/>
        <v>153</v>
      </c>
      <c r="H155">
        <f t="shared" ca="1" si="10"/>
        <v>0</v>
      </c>
      <c r="I155">
        <f t="shared" ca="1" si="11"/>
        <v>0</v>
      </c>
    </row>
    <row r="156" spans="1:9">
      <c r="A156" s="66">
        <v>0</v>
      </c>
      <c r="B156" s="66">
        <v>0</v>
      </c>
      <c r="D156">
        <f t="shared" si="8"/>
        <v>0</v>
      </c>
      <c r="E156">
        <f t="shared" si="8"/>
        <v>0</v>
      </c>
      <c r="G156">
        <f t="shared" ca="1" si="9"/>
        <v>154</v>
      </c>
      <c r="H156">
        <f t="shared" ca="1" si="10"/>
        <v>0</v>
      </c>
      <c r="I156">
        <f t="shared" ca="1" si="11"/>
        <v>0</v>
      </c>
    </row>
    <row r="157" spans="1:9">
      <c r="A157" s="66">
        <v>6463</v>
      </c>
      <c r="B157" s="66">
        <v>6463</v>
      </c>
      <c r="D157">
        <f t="shared" si="8"/>
        <v>4.4320246871249788E-2</v>
      </c>
      <c r="E157">
        <f t="shared" si="8"/>
        <v>4.4320246871249788E-2</v>
      </c>
      <c r="G157">
        <f t="shared" ca="1" si="9"/>
        <v>155</v>
      </c>
      <c r="H157">
        <f t="shared" ca="1" si="10"/>
        <v>6.8696382650437169</v>
      </c>
      <c r="I157">
        <f t="shared" ca="1" si="11"/>
        <v>283.80543747085841</v>
      </c>
    </row>
    <row r="158" spans="1:9">
      <c r="A158" s="66">
        <v>0</v>
      </c>
      <c r="B158" s="66">
        <v>0</v>
      </c>
      <c r="D158">
        <f t="shared" si="8"/>
        <v>0</v>
      </c>
      <c r="E158">
        <f t="shared" si="8"/>
        <v>0</v>
      </c>
      <c r="G158">
        <f t="shared" ca="1" si="9"/>
        <v>156</v>
      </c>
      <c r="H158">
        <f t="shared" ca="1" si="10"/>
        <v>0</v>
      </c>
      <c r="I158">
        <f t="shared" ca="1" si="11"/>
        <v>0</v>
      </c>
    </row>
    <row r="159" spans="1:9">
      <c r="A159" s="66">
        <v>0</v>
      </c>
      <c r="B159" s="66">
        <v>0</v>
      </c>
      <c r="D159">
        <f t="shared" si="8"/>
        <v>0</v>
      </c>
      <c r="E159">
        <f t="shared" si="8"/>
        <v>0</v>
      </c>
      <c r="G159">
        <f t="shared" ca="1" si="9"/>
        <v>157</v>
      </c>
      <c r="H159">
        <f t="shared" ca="1" si="10"/>
        <v>0</v>
      </c>
      <c r="I159">
        <f t="shared" ca="1" si="11"/>
        <v>0</v>
      </c>
    </row>
    <row r="160" spans="1:9">
      <c r="A160" s="66">
        <v>4450</v>
      </c>
      <c r="B160" s="66">
        <v>4450</v>
      </c>
      <c r="D160">
        <f t="shared" si="8"/>
        <v>3.0516029487399281E-2</v>
      </c>
      <c r="E160">
        <f t="shared" si="8"/>
        <v>3.0516029487399281E-2</v>
      </c>
      <c r="G160">
        <f t="shared" ca="1" si="9"/>
        <v>158</v>
      </c>
      <c r="H160">
        <f t="shared" ca="1" si="10"/>
        <v>4.8215326590090868</v>
      </c>
      <c r="I160">
        <f t="shared" ca="1" si="11"/>
        <v>210.3362641338656</v>
      </c>
    </row>
    <row r="161" spans="1:9">
      <c r="A161" s="66">
        <v>0</v>
      </c>
      <c r="B161" s="66">
        <v>0</v>
      </c>
      <c r="D161">
        <f t="shared" si="8"/>
        <v>0</v>
      </c>
      <c r="E161">
        <f t="shared" si="8"/>
        <v>0</v>
      </c>
      <c r="G161">
        <f t="shared" ca="1" si="9"/>
        <v>159</v>
      </c>
      <c r="H161">
        <f t="shared" ca="1" si="10"/>
        <v>0</v>
      </c>
      <c r="I161">
        <f t="shared" ca="1" si="11"/>
        <v>0</v>
      </c>
    </row>
    <row r="162" spans="1:9">
      <c r="A162" s="66">
        <v>3504</v>
      </c>
      <c r="B162" s="66">
        <v>3504</v>
      </c>
      <c r="D162">
        <f t="shared" si="8"/>
        <v>2.4028801645808333E-2</v>
      </c>
      <c r="E162">
        <f t="shared" si="8"/>
        <v>2.4028801645808333E-2</v>
      </c>
      <c r="G162">
        <f t="shared" ca="1" si="9"/>
        <v>160</v>
      </c>
      <c r="H162">
        <f t="shared" ca="1" si="10"/>
        <v>3.8446082633293335</v>
      </c>
      <c r="I162">
        <f t="shared" ca="1" si="11"/>
        <v>173.69787260671603</v>
      </c>
    </row>
    <row r="163" spans="1:9">
      <c r="A163" s="66">
        <v>0</v>
      </c>
      <c r="B163" s="66">
        <v>0</v>
      </c>
      <c r="D163">
        <f t="shared" si="8"/>
        <v>0</v>
      </c>
      <c r="E163">
        <f t="shared" si="8"/>
        <v>0</v>
      </c>
      <c r="G163">
        <f t="shared" ca="1" si="9"/>
        <v>161</v>
      </c>
      <c r="H163">
        <f t="shared" ca="1" si="10"/>
        <v>0</v>
      </c>
      <c r="I163">
        <f t="shared" ca="1" si="11"/>
        <v>0</v>
      </c>
    </row>
    <row r="164" spans="1:9">
      <c r="A164" s="66">
        <v>0</v>
      </c>
      <c r="B164" s="66">
        <v>0</v>
      </c>
      <c r="D164">
        <f t="shared" si="8"/>
        <v>0</v>
      </c>
      <c r="E164">
        <f t="shared" si="8"/>
        <v>0</v>
      </c>
      <c r="G164">
        <f t="shared" ca="1" si="9"/>
        <v>162</v>
      </c>
      <c r="H164">
        <f t="shared" ca="1" si="10"/>
        <v>0</v>
      </c>
      <c r="I164">
        <f t="shared" ca="1" si="11"/>
        <v>0</v>
      </c>
    </row>
    <row r="165" spans="1:9">
      <c r="A165" s="66">
        <v>2299</v>
      </c>
      <c r="B165" s="66">
        <v>2299</v>
      </c>
      <c r="D165">
        <f t="shared" si="8"/>
        <v>1.5765472312703584E-2</v>
      </c>
      <c r="E165">
        <f t="shared" si="8"/>
        <v>1.5765472312703584E-2</v>
      </c>
      <c r="G165">
        <f t="shared" ca="1" si="9"/>
        <v>163</v>
      </c>
      <c r="H165">
        <f t="shared" ca="1" si="10"/>
        <v>2.5697719869706841</v>
      </c>
      <c r="I165">
        <f t="shared" ca="1" si="11"/>
        <v>122.14880213204638</v>
      </c>
    </row>
    <row r="166" spans="1:9">
      <c r="A166" s="66">
        <v>0</v>
      </c>
      <c r="B166" s="66">
        <v>0</v>
      </c>
      <c r="D166">
        <f t="shared" si="8"/>
        <v>0</v>
      </c>
      <c r="E166">
        <f t="shared" si="8"/>
        <v>0</v>
      </c>
      <c r="G166">
        <f t="shared" ca="1" si="9"/>
        <v>164</v>
      </c>
      <c r="H166">
        <f t="shared" ca="1" si="10"/>
        <v>0</v>
      </c>
      <c r="I166">
        <f t="shared" ca="1" si="11"/>
        <v>0</v>
      </c>
    </row>
    <row r="167" spans="1:9">
      <c r="A167" s="66">
        <v>911</v>
      </c>
      <c r="B167" s="66">
        <v>911</v>
      </c>
      <c r="D167">
        <f t="shared" si="8"/>
        <v>6.2472141265215156E-3</v>
      </c>
      <c r="E167">
        <f t="shared" si="8"/>
        <v>6.2472141265215156E-3</v>
      </c>
      <c r="G167">
        <f t="shared" ca="1" si="9"/>
        <v>165</v>
      </c>
      <c r="H167">
        <f t="shared" ca="1" si="10"/>
        <v>1.03079033087605</v>
      </c>
      <c r="I167">
        <f t="shared" ca="1" si="11"/>
        <v>50.627149265094964</v>
      </c>
    </row>
    <row r="168" spans="1:9">
      <c r="A168" s="66">
        <v>0</v>
      </c>
      <c r="B168" s="66">
        <v>0</v>
      </c>
      <c r="D168">
        <f t="shared" si="8"/>
        <v>0</v>
      </c>
      <c r="E168">
        <f t="shared" si="8"/>
        <v>0</v>
      </c>
      <c r="G168">
        <f t="shared" ca="1" si="9"/>
        <v>166</v>
      </c>
      <c r="H168">
        <f t="shared" ca="1" si="10"/>
        <v>0</v>
      </c>
      <c r="I168">
        <f t="shared" ca="1" si="11"/>
        <v>0</v>
      </c>
    </row>
    <row r="169" spans="1:9">
      <c r="A169" s="66">
        <v>0</v>
      </c>
      <c r="B169" s="66">
        <v>0</v>
      </c>
      <c r="D169">
        <f t="shared" si="8"/>
        <v>0</v>
      </c>
      <c r="E169">
        <f t="shared" si="8"/>
        <v>0</v>
      </c>
      <c r="G169">
        <f t="shared" ca="1" si="9"/>
        <v>167</v>
      </c>
      <c r="H169">
        <f t="shared" ca="1" si="10"/>
        <v>0</v>
      </c>
      <c r="I169">
        <f t="shared" ca="1" si="11"/>
        <v>0</v>
      </c>
    </row>
    <row r="170" spans="1:9">
      <c r="A170" s="66">
        <v>516</v>
      </c>
      <c r="B170" s="66">
        <v>516</v>
      </c>
      <c r="D170">
        <f t="shared" si="8"/>
        <v>3.5384879135950628E-3</v>
      </c>
      <c r="E170">
        <f t="shared" si="8"/>
        <v>3.5384879135950628E-3</v>
      </c>
      <c r="G170">
        <f t="shared" ca="1" si="9"/>
        <v>168</v>
      </c>
      <c r="H170">
        <f t="shared" ca="1" si="10"/>
        <v>0.59446596948397057</v>
      </c>
      <c r="I170">
        <f t="shared" ca="1" si="11"/>
        <v>30.618847278558107</v>
      </c>
    </row>
    <row r="171" spans="1:9">
      <c r="A171" s="66">
        <v>0</v>
      </c>
      <c r="B171" s="66">
        <v>0</v>
      </c>
      <c r="D171">
        <f t="shared" si="8"/>
        <v>0</v>
      </c>
      <c r="E171">
        <f t="shared" si="8"/>
        <v>0</v>
      </c>
      <c r="G171">
        <f t="shared" ca="1" si="9"/>
        <v>169</v>
      </c>
      <c r="H171">
        <f t="shared" ca="1" si="10"/>
        <v>0</v>
      </c>
      <c r="I171">
        <f t="shared" ca="1" si="11"/>
        <v>0</v>
      </c>
    </row>
    <row r="172" spans="1:9">
      <c r="A172" s="66">
        <v>0</v>
      </c>
      <c r="B172" s="66">
        <v>0</v>
      </c>
      <c r="D172">
        <f t="shared" si="8"/>
        <v>0</v>
      </c>
      <c r="E172">
        <f t="shared" si="8"/>
        <v>0</v>
      </c>
      <c r="G172">
        <f t="shared" ca="1" si="9"/>
        <v>170</v>
      </c>
      <c r="H172">
        <f t="shared" ca="1" si="10"/>
        <v>0</v>
      </c>
      <c r="I172">
        <f t="shared" ca="1" si="11"/>
        <v>0</v>
      </c>
    </row>
    <row r="173" spans="1:9">
      <c r="A173" s="66">
        <v>237</v>
      </c>
      <c r="B173" s="66">
        <v>237</v>
      </c>
      <c r="D173">
        <f t="shared" si="8"/>
        <v>1.6252357277558717E-3</v>
      </c>
      <c r="E173">
        <f t="shared" si="8"/>
        <v>1.6252357277558717E-3</v>
      </c>
      <c r="G173">
        <f t="shared" ca="1" si="9"/>
        <v>171</v>
      </c>
      <c r="H173">
        <f t="shared" ca="1" si="10"/>
        <v>0.27791530944625403</v>
      </c>
      <c r="I173">
        <f t="shared" ca="1" si="11"/>
        <v>14.985030715023925</v>
      </c>
    </row>
    <row r="174" spans="1:9">
      <c r="A174" s="66">
        <v>0</v>
      </c>
      <c r="B174" s="66">
        <v>0</v>
      </c>
      <c r="D174">
        <f t="shared" si="8"/>
        <v>0</v>
      </c>
      <c r="E174">
        <f t="shared" si="8"/>
        <v>0</v>
      </c>
      <c r="G174">
        <f t="shared" ca="1" si="9"/>
        <v>172</v>
      </c>
      <c r="H174">
        <f t="shared" ca="1" si="10"/>
        <v>0</v>
      </c>
      <c r="I174">
        <f t="shared" ca="1" si="11"/>
        <v>0</v>
      </c>
    </row>
    <row r="175" spans="1:9">
      <c r="A175" s="66">
        <v>152</v>
      </c>
      <c r="B175" s="66">
        <v>152</v>
      </c>
      <c r="D175">
        <f t="shared" si="8"/>
        <v>1.0423452768729641E-3</v>
      </c>
      <c r="E175">
        <f t="shared" si="8"/>
        <v>1.0423452768729641E-3</v>
      </c>
      <c r="G175">
        <f t="shared" ca="1" si="9"/>
        <v>173</v>
      </c>
      <c r="H175">
        <f t="shared" ca="1" si="10"/>
        <v>0.18032573289902279</v>
      </c>
      <c r="I175">
        <f t="shared" ca="1" si="11"/>
        <v>10.015174203644307</v>
      </c>
    </row>
    <row r="176" spans="1:9">
      <c r="A176" s="66">
        <v>0</v>
      </c>
      <c r="B176" s="66">
        <v>0</v>
      </c>
      <c r="D176">
        <f t="shared" si="8"/>
        <v>0</v>
      </c>
      <c r="E176">
        <f t="shared" si="8"/>
        <v>0</v>
      </c>
      <c r="G176">
        <f t="shared" ca="1" si="9"/>
        <v>174</v>
      </c>
      <c r="H176">
        <f t="shared" ca="1" si="10"/>
        <v>0</v>
      </c>
      <c r="I176">
        <f t="shared" ca="1" si="11"/>
        <v>0</v>
      </c>
    </row>
    <row r="177" spans="1:9">
      <c r="A177" s="66">
        <v>0</v>
      </c>
      <c r="B177" s="66">
        <v>0</v>
      </c>
      <c r="D177">
        <f t="shared" si="8"/>
        <v>0</v>
      </c>
      <c r="E177">
        <f t="shared" si="8"/>
        <v>0</v>
      </c>
      <c r="G177">
        <f t="shared" ca="1" si="9"/>
        <v>175</v>
      </c>
      <c r="H177">
        <f t="shared" ca="1" si="10"/>
        <v>0</v>
      </c>
      <c r="I177">
        <f t="shared" ca="1" si="11"/>
        <v>0</v>
      </c>
    </row>
    <row r="178" spans="1:9">
      <c r="A178" s="66">
        <v>0</v>
      </c>
      <c r="B178" s="66">
        <v>0</v>
      </c>
      <c r="D178">
        <f t="shared" si="8"/>
        <v>0</v>
      </c>
      <c r="E178">
        <f t="shared" si="8"/>
        <v>0</v>
      </c>
      <c r="G178">
        <f t="shared" ca="1" si="9"/>
        <v>176</v>
      </c>
      <c r="H178">
        <f t="shared" ca="1" si="10"/>
        <v>0</v>
      </c>
      <c r="I178">
        <f t="shared" ca="1" si="11"/>
        <v>0</v>
      </c>
    </row>
    <row r="179" spans="1:9">
      <c r="A179" s="66">
        <v>0</v>
      </c>
      <c r="B179" s="66">
        <v>0</v>
      </c>
      <c r="D179">
        <f t="shared" si="8"/>
        <v>0</v>
      </c>
      <c r="E179">
        <f t="shared" si="8"/>
        <v>0</v>
      </c>
      <c r="G179">
        <f t="shared" ca="1" si="9"/>
        <v>177</v>
      </c>
      <c r="H179">
        <f t="shared" ca="1" si="10"/>
        <v>0</v>
      </c>
      <c r="I179">
        <f t="shared" ca="1" si="11"/>
        <v>0</v>
      </c>
    </row>
    <row r="180" spans="1:9">
      <c r="A180" s="66">
        <v>0</v>
      </c>
      <c r="B180" s="66">
        <v>0</v>
      </c>
      <c r="D180">
        <f t="shared" si="8"/>
        <v>0</v>
      </c>
      <c r="E180">
        <f t="shared" si="8"/>
        <v>0</v>
      </c>
      <c r="G180">
        <f t="shared" ca="1" si="9"/>
        <v>178</v>
      </c>
      <c r="H180">
        <f t="shared" ca="1" si="10"/>
        <v>0</v>
      </c>
      <c r="I180">
        <f t="shared" ca="1" si="11"/>
        <v>0</v>
      </c>
    </row>
    <row r="181" spans="1:9">
      <c r="A181" s="66">
        <v>0</v>
      </c>
      <c r="B181" s="66">
        <v>0</v>
      </c>
      <c r="D181">
        <f t="shared" si="8"/>
        <v>0</v>
      </c>
      <c r="E181">
        <f t="shared" si="8"/>
        <v>0</v>
      </c>
      <c r="G181">
        <f t="shared" ca="1" si="9"/>
        <v>179</v>
      </c>
      <c r="H181">
        <f t="shared" ca="1" si="10"/>
        <v>0</v>
      </c>
      <c r="I181">
        <f t="shared" ca="1" si="11"/>
        <v>0</v>
      </c>
    </row>
    <row r="182" spans="1:9">
      <c r="A182" s="66">
        <v>0</v>
      </c>
      <c r="B182" s="66">
        <v>0</v>
      </c>
      <c r="D182">
        <f t="shared" si="8"/>
        <v>0</v>
      </c>
      <c r="E182">
        <f t="shared" si="8"/>
        <v>0</v>
      </c>
      <c r="G182">
        <f t="shared" ca="1" si="9"/>
        <v>180</v>
      </c>
      <c r="H182">
        <f t="shared" ca="1" si="10"/>
        <v>0</v>
      </c>
      <c r="I182">
        <f t="shared" ca="1" si="11"/>
        <v>0</v>
      </c>
    </row>
    <row r="183" spans="1:9">
      <c r="A183" s="66">
        <v>0</v>
      </c>
      <c r="B183" s="66">
        <v>0</v>
      </c>
      <c r="D183">
        <f t="shared" si="8"/>
        <v>0</v>
      </c>
      <c r="E183">
        <f t="shared" si="8"/>
        <v>0</v>
      </c>
      <c r="G183">
        <f t="shared" ca="1" si="9"/>
        <v>181</v>
      </c>
      <c r="H183">
        <f t="shared" ca="1" si="10"/>
        <v>0</v>
      </c>
      <c r="I183">
        <f t="shared" ca="1" si="11"/>
        <v>0</v>
      </c>
    </row>
    <row r="184" spans="1:9">
      <c r="A184" s="66">
        <v>0</v>
      </c>
      <c r="B184" s="66">
        <v>0</v>
      </c>
      <c r="D184">
        <f t="shared" si="8"/>
        <v>0</v>
      </c>
      <c r="E184">
        <f t="shared" si="8"/>
        <v>0</v>
      </c>
      <c r="G184">
        <f t="shared" ca="1" si="9"/>
        <v>182</v>
      </c>
      <c r="H184">
        <f t="shared" ca="1" si="10"/>
        <v>0</v>
      </c>
      <c r="I184">
        <f t="shared" ca="1" si="11"/>
        <v>0</v>
      </c>
    </row>
    <row r="185" spans="1:9">
      <c r="A185" s="66">
        <v>0</v>
      </c>
      <c r="B185" s="66">
        <v>0</v>
      </c>
      <c r="D185">
        <f t="shared" si="8"/>
        <v>0</v>
      </c>
      <c r="E185">
        <f t="shared" si="8"/>
        <v>0</v>
      </c>
      <c r="G185">
        <f t="shared" ca="1" si="9"/>
        <v>183</v>
      </c>
      <c r="H185">
        <f t="shared" ca="1" si="10"/>
        <v>0</v>
      </c>
      <c r="I185">
        <f t="shared" ca="1" si="11"/>
        <v>0</v>
      </c>
    </row>
    <row r="186" spans="1:9">
      <c r="A186" s="66">
        <v>0</v>
      </c>
      <c r="B186" s="66">
        <v>0</v>
      </c>
      <c r="D186">
        <f t="shared" si="8"/>
        <v>0</v>
      </c>
      <c r="E186">
        <f t="shared" si="8"/>
        <v>0</v>
      </c>
      <c r="G186">
        <f t="shared" ca="1" si="9"/>
        <v>184</v>
      </c>
      <c r="H186">
        <f t="shared" ca="1" si="10"/>
        <v>0</v>
      </c>
      <c r="I186">
        <f t="shared" ca="1" si="11"/>
        <v>0</v>
      </c>
    </row>
    <row r="187" spans="1:9">
      <c r="A187" s="66">
        <v>0</v>
      </c>
      <c r="B187" s="66">
        <v>0</v>
      </c>
      <c r="D187">
        <f t="shared" si="8"/>
        <v>0</v>
      </c>
      <c r="E187">
        <f t="shared" si="8"/>
        <v>0</v>
      </c>
      <c r="G187">
        <f t="shared" ca="1" si="9"/>
        <v>185</v>
      </c>
      <c r="H187">
        <f t="shared" ca="1" si="10"/>
        <v>0</v>
      </c>
      <c r="I187">
        <f t="shared" ca="1" si="11"/>
        <v>0</v>
      </c>
    </row>
    <row r="188" spans="1:9">
      <c r="A188" s="66">
        <v>0</v>
      </c>
      <c r="B188" s="66">
        <v>0</v>
      </c>
      <c r="D188">
        <f t="shared" si="8"/>
        <v>0</v>
      </c>
      <c r="E188">
        <f t="shared" si="8"/>
        <v>0</v>
      </c>
      <c r="G188">
        <f t="shared" ca="1" si="9"/>
        <v>186</v>
      </c>
      <c r="H188">
        <f t="shared" ca="1" si="10"/>
        <v>0</v>
      </c>
      <c r="I188">
        <f t="shared" ca="1" si="11"/>
        <v>0</v>
      </c>
    </row>
    <row r="189" spans="1:9">
      <c r="A189" s="66">
        <v>0</v>
      </c>
      <c r="B189" s="66">
        <v>0</v>
      </c>
      <c r="D189">
        <f t="shared" si="8"/>
        <v>0</v>
      </c>
      <c r="E189">
        <f t="shared" si="8"/>
        <v>0</v>
      </c>
      <c r="G189">
        <f t="shared" ca="1" si="9"/>
        <v>187</v>
      </c>
      <c r="H189">
        <f t="shared" ca="1" si="10"/>
        <v>0</v>
      </c>
      <c r="I189">
        <f t="shared" ca="1" si="11"/>
        <v>0</v>
      </c>
    </row>
    <row r="190" spans="1:9">
      <c r="A190" s="66">
        <v>0</v>
      </c>
      <c r="B190" s="66">
        <v>0</v>
      </c>
      <c r="D190">
        <f t="shared" si="8"/>
        <v>0</v>
      </c>
      <c r="E190">
        <f t="shared" si="8"/>
        <v>0</v>
      </c>
      <c r="G190">
        <f t="shared" ca="1" si="9"/>
        <v>188</v>
      </c>
      <c r="H190">
        <f t="shared" ca="1" si="10"/>
        <v>0</v>
      </c>
      <c r="I190">
        <f t="shared" ca="1" si="11"/>
        <v>0</v>
      </c>
    </row>
    <row r="191" spans="1:9">
      <c r="A191" s="66">
        <v>0</v>
      </c>
      <c r="B191" s="66">
        <v>0</v>
      </c>
      <c r="D191">
        <f t="shared" si="8"/>
        <v>0</v>
      </c>
      <c r="E191">
        <f t="shared" si="8"/>
        <v>0</v>
      </c>
      <c r="G191">
        <f t="shared" ca="1" si="9"/>
        <v>189</v>
      </c>
      <c r="H191">
        <f t="shared" ca="1" si="10"/>
        <v>0</v>
      </c>
      <c r="I191">
        <f t="shared" ca="1" si="11"/>
        <v>0</v>
      </c>
    </row>
    <row r="192" spans="1:9">
      <c r="A192" s="66">
        <v>0</v>
      </c>
      <c r="B192" s="66">
        <v>0</v>
      </c>
      <c r="D192">
        <f t="shared" si="8"/>
        <v>0</v>
      </c>
      <c r="E192">
        <f t="shared" si="8"/>
        <v>0</v>
      </c>
      <c r="G192">
        <f t="shared" ca="1" si="9"/>
        <v>190</v>
      </c>
      <c r="H192">
        <f t="shared" ca="1" si="10"/>
        <v>0</v>
      </c>
      <c r="I192">
        <f t="shared" ca="1" si="11"/>
        <v>0</v>
      </c>
    </row>
    <row r="193" spans="1:9">
      <c r="A193" s="66">
        <v>0</v>
      </c>
      <c r="B193" s="66">
        <v>0</v>
      </c>
      <c r="D193">
        <f t="shared" si="8"/>
        <v>0</v>
      </c>
      <c r="E193">
        <f t="shared" si="8"/>
        <v>0</v>
      </c>
      <c r="G193">
        <f t="shared" ca="1" si="9"/>
        <v>191</v>
      </c>
      <c r="H193">
        <f t="shared" ca="1" si="10"/>
        <v>0</v>
      </c>
      <c r="I193">
        <f t="shared" ca="1" si="11"/>
        <v>0</v>
      </c>
    </row>
    <row r="194" spans="1:9">
      <c r="A194" s="66">
        <v>0</v>
      </c>
      <c r="B194" s="66">
        <v>0</v>
      </c>
      <c r="D194">
        <f t="shared" si="8"/>
        <v>0</v>
      </c>
      <c r="E194">
        <f t="shared" si="8"/>
        <v>0</v>
      </c>
      <c r="G194">
        <f t="shared" ca="1" si="9"/>
        <v>192</v>
      </c>
      <c r="H194">
        <f t="shared" ca="1" si="10"/>
        <v>0</v>
      </c>
      <c r="I194">
        <f t="shared" ca="1" si="11"/>
        <v>0</v>
      </c>
    </row>
    <row r="195" spans="1:9">
      <c r="A195" s="66">
        <v>0</v>
      </c>
      <c r="B195" s="66">
        <v>0</v>
      </c>
      <c r="D195">
        <f t="shared" ref="D195:E257" si="12">IFERROR( A195/MAX(A$2:A$257), 0 )</f>
        <v>0</v>
      </c>
      <c r="E195">
        <f t="shared" si="12"/>
        <v>0</v>
      </c>
      <c r="G195">
        <f t="shared" ref="G195:G257" ca="1" si="13">CELL("row",D195)-2</f>
        <v>193</v>
      </c>
      <c r="H195">
        <f t="shared" ref="H195:H257" ca="1" si="14">D195*G195</f>
        <v>0</v>
      </c>
      <c r="I195">
        <f t="shared" ref="I195:I257" ca="1" si="15">D195*((G195-$L$1)^2)</f>
        <v>0</v>
      </c>
    </row>
    <row r="196" spans="1:9">
      <c r="A196" s="66">
        <v>0</v>
      </c>
      <c r="B196" s="66">
        <v>0</v>
      </c>
      <c r="D196">
        <f t="shared" si="12"/>
        <v>0</v>
      </c>
      <c r="E196">
        <f t="shared" si="12"/>
        <v>0</v>
      </c>
      <c r="G196">
        <f t="shared" ca="1" si="13"/>
        <v>194</v>
      </c>
      <c r="H196">
        <f t="shared" ca="1" si="14"/>
        <v>0</v>
      </c>
      <c r="I196">
        <f t="shared" ca="1" si="15"/>
        <v>0</v>
      </c>
    </row>
    <row r="197" spans="1:9">
      <c r="A197" s="66">
        <v>0</v>
      </c>
      <c r="B197" s="66">
        <v>0</v>
      </c>
      <c r="D197">
        <f t="shared" si="12"/>
        <v>0</v>
      </c>
      <c r="E197">
        <f t="shared" si="12"/>
        <v>0</v>
      </c>
      <c r="G197">
        <f t="shared" ca="1" si="13"/>
        <v>195</v>
      </c>
      <c r="H197">
        <f t="shared" ca="1" si="14"/>
        <v>0</v>
      </c>
      <c r="I197">
        <f t="shared" ca="1" si="15"/>
        <v>0</v>
      </c>
    </row>
    <row r="198" spans="1:9">
      <c r="A198" s="66">
        <v>0</v>
      </c>
      <c r="B198" s="66">
        <v>0</v>
      </c>
      <c r="D198">
        <f t="shared" si="12"/>
        <v>0</v>
      </c>
      <c r="E198">
        <f t="shared" si="12"/>
        <v>0</v>
      </c>
      <c r="G198">
        <f t="shared" ca="1" si="13"/>
        <v>196</v>
      </c>
      <c r="H198">
        <f t="shared" ca="1" si="14"/>
        <v>0</v>
      </c>
      <c r="I198">
        <f t="shared" ca="1" si="15"/>
        <v>0</v>
      </c>
    </row>
    <row r="199" spans="1:9">
      <c r="A199" s="66">
        <v>0</v>
      </c>
      <c r="B199" s="66">
        <v>0</v>
      </c>
      <c r="D199">
        <f t="shared" si="12"/>
        <v>0</v>
      </c>
      <c r="E199">
        <f t="shared" si="12"/>
        <v>0</v>
      </c>
      <c r="G199">
        <f t="shared" ca="1" si="13"/>
        <v>197</v>
      </c>
      <c r="H199">
        <f t="shared" ca="1" si="14"/>
        <v>0</v>
      </c>
      <c r="I199">
        <f t="shared" ca="1" si="15"/>
        <v>0</v>
      </c>
    </row>
    <row r="200" spans="1:9">
      <c r="A200" s="66">
        <v>0</v>
      </c>
      <c r="B200" s="66">
        <v>0</v>
      </c>
      <c r="D200">
        <f t="shared" si="12"/>
        <v>0</v>
      </c>
      <c r="E200">
        <f t="shared" si="12"/>
        <v>0</v>
      </c>
      <c r="G200">
        <f t="shared" ca="1" si="13"/>
        <v>198</v>
      </c>
      <c r="H200">
        <f t="shared" ca="1" si="14"/>
        <v>0</v>
      </c>
      <c r="I200">
        <f t="shared" ca="1" si="15"/>
        <v>0</v>
      </c>
    </row>
    <row r="201" spans="1:9">
      <c r="A201" s="66">
        <v>0</v>
      </c>
      <c r="B201" s="66">
        <v>0</v>
      </c>
      <c r="D201">
        <f t="shared" si="12"/>
        <v>0</v>
      </c>
      <c r="E201">
        <f t="shared" si="12"/>
        <v>0</v>
      </c>
      <c r="G201">
        <f t="shared" ca="1" si="13"/>
        <v>199</v>
      </c>
      <c r="H201">
        <f t="shared" ca="1" si="14"/>
        <v>0</v>
      </c>
      <c r="I201">
        <f t="shared" ca="1" si="15"/>
        <v>0</v>
      </c>
    </row>
    <row r="202" spans="1:9">
      <c r="A202" s="66">
        <v>0</v>
      </c>
      <c r="B202" s="66">
        <v>0</v>
      </c>
      <c r="D202">
        <f t="shared" si="12"/>
        <v>0</v>
      </c>
      <c r="E202">
        <f t="shared" si="12"/>
        <v>0</v>
      </c>
      <c r="G202">
        <f t="shared" ca="1" si="13"/>
        <v>200</v>
      </c>
      <c r="H202">
        <f t="shared" ca="1" si="14"/>
        <v>0</v>
      </c>
      <c r="I202">
        <f t="shared" ca="1" si="15"/>
        <v>0</v>
      </c>
    </row>
    <row r="203" spans="1:9">
      <c r="A203" s="66">
        <v>0</v>
      </c>
      <c r="B203" s="66">
        <v>0</v>
      </c>
      <c r="D203">
        <f t="shared" si="12"/>
        <v>0</v>
      </c>
      <c r="E203">
        <f t="shared" si="12"/>
        <v>0</v>
      </c>
      <c r="G203">
        <f t="shared" ca="1" si="13"/>
        <v>201</v>
      </c>
      <c r="H203">
        <f t="shared" ca="1" si="14"/>
        <v>0</v>
      </c>
      <c r="I203">
        <f t="shared" ca="1" si="15"/>
        <v>0</v>
      </c>
    </row>
    <row r="204" spans="1:9">
      <c r="A204" s="66">
        <v>0</v>
      </c>
      <c r="B204" s="66">
        <v>0</v>
      </c>
      <c r="D204">
        <f t="shared" si="12"/>
        <v>0</v>
      </c>
      <c r="E204">
        <f t="shared" si="12"/>
        <v>0</v>
      </c>
      <c r="G204">
        <f t="shared" ca="1" si="13"/>
        <v>202</v>
      </c>
      <c r="H204">
        <f t="shared" ca="1" si="14"/>
        <v>0</v>
      </c>
      <c r="I204">
        <f t="shared" ca="1" si="15"/>
        <v>0</v>
      </c>
    </row>
    <row r="205" spans="1:9">
      <c r="A205" s="66">
        <v>0</v>
      </c>
      <c r="B205" s="66">
        <v>0</v>
      </c>
      <c r="D205">
        <f t="shared" si="12"/>
        <v>0</v>
      </c>
      <c r="E205">
        <f t="shared" si="12"/>
        <v>0</v>
      </c>
      <c r="G205">
        <f t="shared" ca="1" si="13"/>
        <v>203</v>
      </c>
      <c r="H205">
        <f t="shared" ca="1" si="14"/>
        <v>0</v>
      </c>
      <c r="I205">
        <f t="shared" ca="1" si="15"/>
        <v>0</v>
      </c>
    </row>
    <row r="206" spans="1:9">
      <c r="A206" s="66">
        <v>0</v>
      </c>
      <c r="B206" s="66">
        <v>0</v>
      </c>
      <c r="D206">
        <f t="shared" si="12"/>
        <v>0</v>
      </c>
      <c r="E206">
        <f t="shared" si="12"/>
        <v>0</v>
      </c>
      <c r="G206">
        <f t="shared" ca="1" si="13"/>
        <v>204</v>
      </c>
      <c r="H206">
        <f t="shared" ca="1" si="14"/>
        <v>0</v>
      </c>
      <c r="I206">
        <f t="shared" ca="1" si="15"/>
        <v>0</v>
      </c>
    </row>
    <row r="207" spans="1:9">
      <c r="A207" s="66">
        <v>0</v>
      </c>
      <c r="B207" s="66">
        <v>0</v>
      </c>
      <c r="D207">
        <f t="shared" si="12"/>
        <v>0</v>
      </c>
      <c r="E207">
        <f t="shared" si="12"/>
        <v>0</v>
      </c>
      <c r="G207">
        <f t="shared" ca="1" si="13"/>
        <v>205</v>
      </c>
      <c r="H207">
        <f t="shared" ca="1" si="14"/>
        <v>0</v>
      </c>
      <c r="I207">
        <f t="shared" ca="1" si="15"/>
        <v>0</v>
      </c>
    </row>
    <row r="208" spans="1:9">
      <c r="A208" s="66">
        <v>0</v>
      </c>
      <c r="B208" s="66">
        <v>0</v>
      </c>
      <c r="D208">
        <f t="shared" si="12"/>
        <v>0</v>
      </c>
      <c r="E208">
        <f t="shared" si="12"/>
        <v>0</v>
      </c>
      <c r="G208">
        <f t="shared" ca="1" si="13"/>
        <v>206</v>
      </c>
      <c r="H208">
        <f t="shared" ca="1" si="14"/>
        <v>0</v>
      </c>
      <c r="I208">
        <f t="shared" ca="1" si="15"/>
        <v>0</v>
      </c>
    </row>
    <row r="209" spans="1:9">
      <c r="A209" s="66">
        <v>0</v>
      </c>
      <c r="B209" s="66">
        <v>0</v>
      </c>
      <c r="D209">
        <f t="shared" si="12"/>
        <v>0</v>
      </c>
      <c r="E209">
        <f t="shared" si="12"/>
        <v>0</v>
      </c>
      <c r="G209">
        <f t="shared" ca="1" si="13"/>
        <v>207</v>
      </c>
      <c r="H209">
        <f t="shared" ca="1" si="14"/>
        <v>0</v>
      </c>
      <c r="I209">
        <f t="shared" ca="1" si="15"/>
        <v>0</v>
      </c>
    </row>
    <row r="210" spans="1:9">
      <c r="A210" s="66">
        <v>0</v>
      </c>
      <c r="B210" s="66">
        <v>0</v>
      </c>
      <c r="D210">
        <f t="shared" si="12"/>
        <v>0</v>
      </c>
      <c r="E210">
        <f t="shared" si="12"/>
        <v>0</v>
      </c>
      <c r="G210">
        <f t="shared" ca="1" si="13"/>
        <v>208</v>
      </c>
      <c r="H210">
        <f t="shared" ca="1" si="14"/>
        <v>0</v>
      </c>
      <c r="I210">
        <f t="shared" ca="1" si="15"/>
        <v>0</v>
      </c>
    </row>
    <row r="211" spans="1:9">
      <c r="A211" s="66">
        <v>0</v>
      </c>
      <c r="B211" s="66">
        <v>0</v>
      </c>
      <c r="D211">
        <f t="shared" si="12"/>
        <v>0</v>
      </c>
      <c r="E211">
        <f t="shared" si="12"/>
        <v>0</v>
      </c>
      <c r="G211">
        <f t="shared" ca="1" si="13"/>
        <v>209</v>
      </c>
      <c r="H211">
        <f t="shared" ca="1" si="14"/>
        <v>0</v>
      </c>
      <c r="I211">
        <f t="shared" ca="1" si="15"/>
        <v>0</v>
      </c>
    </row>
    <row r="212" spans="1:9">
      <c r="A212" s="66">
        <v>0</v>
      </c>
      <c r="B212" s="66">
        <v>0</v>
      </c>
      <c r="D212">
        <f t="shared" si="12"/>
        <v>0</v>
      </c>
      <c r="E212">
        <f t="shared" si="12"/>
        <v>0</v>
      </c>
      <c r="G212">
        <f t="shared" ca="1" si="13"/>
        <v>210</v>
      </c>
      <c r="H212">
        <f t="shared" ca="1" si="14"/>
        <v>0</v>
      </c>
      <c r="I212">
        <f t="shared" ca="1" si="15"/>
        <v>0</v>
      </c>
    </row>
    <row r="213" spans="1:9">
      <c r="A213" s="66">
        <v>0</v>
      </c>
      <c r="B213" s="66">
        <v>0</v>
      </c>
      <c r="D213">
        <f t="shared" si="12"/>
        <v>0</v>
      </c>
      <c r="E213">
        <f t="shared" si="12"/>
        <v>0</v>
      </c>
      <c r="G213">
        <f t="shared" ca="1" si="13"/>
        <v>211</v>
      </c>
      <c r="H213">
        <f t="shared" ca="1" si="14"/>
        <v>0</v>
      </c>
      <c r="I213">
        <f t="shared" ca="1" si="15"/>
        <v>0</v>
      </c>
    </row>
    <row r="214" spans="1:9">
      <c r="A214" s="66">
        <v>0</v>
      </c>
      <c r="B214" s="66">
        <v>0</v>
      </c>
      <c r="D214">
        <f t="shared" si="12"/>
        <v>0</v>
      </c>
      <c r="E214">
        <f t="shared" si="12"/>
        <v>0</v>
      </c>
      <c r="G214">
        <f t="shared" ca="1" si="13"/>
        <v>212</v>
      </c>
      <c r="H214">
        <f t="shared" ca="1" si="14"/>
        <v>0</v>
      </c>
      <c r="I214">
        <f t="shared" ca="1" si="15"/>
        <v>0</v>
      </c>
    </row>
    <row r="215" spans="1:9">
      <c r="A215" s="66">
        <v>0</v>
      </c>
      <c r="B215" s="66">
        <v>0</v>
      </c>
      <c r="D215">
        <f t="shared" si="12"/>
        <v>0</v>
      </c>
      <c r="E215">
        <f t="shared" si="12"/>
        <v>0</v>
      </c>
      <c r="G215">
        <f t="shared" ca="1" si="13"/>
        <v>213</v>
      </c>
      <c r="H215">
        <f t="shared" ca="1" si="14"/>
        <v>0</v>
      </c>
      <c r="I215">
        <f t="shared" ca="1" si="15"/>
        <v>0</v>
      </c>
    </row>
    <row r="216" spans="1:9">
      <c r="A216" s="66">
        <v>0</v>
      </c>
      <c r="B216" s="66">
        <v>0</v>
      </c>
      <c r="D216">
        <f t="shared" si="12"/>
        <v>0</v>
      </c>
      <c r="E216">
        <f t="shared" si="12"/>
        <v>0</v>
      </c>
      <c r="G216">
        <f t="shared" ca="1" si="13"/>
        <v>214</v>
      </c>
      <c r="H216">
        <f t="shared" ca="1" si="14"/>
        <v>0</v>
      </c>
      <c r="I216">
        <f t="shared" ca="1" si="15"/>
        <v>0</v>
      </c>
    </row>
    <row r="217" spans="1:9">
      <c r="A217" s="66">
        <v>0</v>
      </c>
      <c r="B217" s="66">
        <v>0</v>
      </c>
      <c r="D217">
        <f t="shared" si="12"/>
        <v>0</v>
      </c>
      <c r="E217">
        <f t="shared" si="12"/>
        <v>0</v>
      </c>
      <c r="G217">
        <f t="shared" ca="1" si="13"/>
        <v>215</v>
      </c>
      <c r="H217">
        <f t="shared" ca="1" si="14"/>
        <v>0</v>
      </c>
      <c r="I217">
        <f t="shared" ca="1" si="15"/>
        <v>0</v>
      </c>
    </row>
    <row r="218" spans="1:9">
      <c r="A218" s="66">
        <v>0</v>
      </c>
      <c r="B218" s="66">
        <v>0</v>
      </c>
      <c r="D218">
        <f t="shared" si="12"/>
        <v>0</v>
      </c>
      <c r="E218">
        <f t="shared" si="12"/>
        <v>0</v>
      </c>
      <c r="G218">
        <f t="shared" ca="1" si="13"/>
        <v>216</v>
      </c>
      <c r="H218">
        <f t="shared" ca="1" si="14"/>
        <v>0</v>
      </c>
      <c r="I218">
        <f t="shared" ca="1" si="15"/>
        <v>0</v>
      </c>
    </row>
    <row r="219" spans="1:9">
      <c r="A219" s="66">
        <v>0</v>
      </c>
      <c r="B219" s="66">
        <v>0</v>
      </c>
      <c r="D219">
        <f t="shared" si="12"/>
        <v>0</v>
      </c>
      <c r="E219">
        <f t="shared" si="12"/>
        <v>0</v>
      </c>
      <c r="G219">
        <f t="shared" ca="1" si="13"/>
        <v>217</v>
      </c>
      <c r="H219">
        <f t="shared" ca="1" si="14"/>
        <v>0</v>
      </c>
      <c r="I219">
        <f t="shared" ca="1" si="15"/>
        <v>0</v>
      </c>
    </row>
    <row r="220" spans="1:9">
      <c r="A220" s="66">
        <v>0</v>
      </c>
      <c r="B220" s="66">
        <v>0</v>
      </c>
      <c r="D220">
        <f t="shared" si="12"/>
        <v>0</v>
      </c>
      <c r="E220">
        <f t="shared" si="12"/>
        <v>0</v>
      </c>
      <c r="G220">
        <f t="shared" ca="1" si="13"/>
        <v>218</v>
      </c>
      <c r="H220">
        <f t="shared" ca="1" si="14"/>
        <v>0</v>
      </c>
      <c r="I220">
        <f t="shared" ca="1" si="15"/>
        <v>0</v>
      </c>
    </row>
    <row r="221" spans="1:9">
      <c r="A221" s="66">
        <v>0</v>
      </c>
      <c r="B221" s="66">
        <v>0</v>
      </c>
      <c r="D221">
        <f t="shared" si="12"/>
        <v>0</v>
      </c>
      <c r="E221">
        <f t="shared" si="12"/>
        <v>0</v>
      </c>
      <c r="G221">
        <f t="shared" ca="1" si="13"/>
        <v>219</v>
      </c>
      <c r="H221">
        <f t="shared" ca="1" si="14"/>
        <v>0</v>
      </c>
      <c r="I221">
        <f t="shared" ca="1" si="15"/>
        <v>0</v>
      </c>
    </row>
    <row r="222" spans="1:9">
      <c r="A222" s="66">
        <v>0</v>
      </c>
      <c r="B222" s="66">
        <v>0</v>
      </c>
      <c r="D222">
        <f t="shared" si="12"/>
        <v>0</v>
      </c>
      <c r="E222">
        <f t="shared" si="12"/>
        <v>0</v>
      </c>
      <c r="G222">
        <f t="shared" ca="1" si="13"/>
        <v>220</v>
      </c>
      <c r="H222">
        <f t="shared" ca="1" si="14"/>
        <v>0</v>
      </c>
      <c r="I222">
        <f t="shared" ca="1" si="15"/>
        <v>0</v>
      </c>
    </row>
    <row r="223" spans="1:9">
      <c r="A223" s="66">
        <v>0</v>
      </c>
      <c r="B223" s="66">
        <v>0</v>
      </c>
      <c r="D223">
        <f t="shared" si="12"/>
        <v>0</v>
      </c>
      <c r="E223">
        <f t="shared" si="12"/>
        <v>0</v>
      </c>
      <c r="G223">
        <f t="shared" ca="1" si="13"/>
        <v>221</v>
      </c>
      <c r="H223">
        <f t="shared" ca="1" si="14"/>
        <v>0</v>
      </c>
      <c r="I223">
        <f t="shared" ca="1" si="15"/>
        <v>0</v>
      </c>
    </row>
    <row r="224" spans="1:9">
      <c r="A224" s="66">
        <v>0</v>
      </c>
      <c r="B224" s="66">
        <v>0</v>
      </c>
      <c r="D224">
        <f t="shared" si="12"/>
        <v>0</v>
      </c>
      <c r="E224">
        <f t="shared" si="12"/>
        <v>0</v>
      </c>
      <c r="G224">
        <f t="shared" ca="1" si="13"/>
        <v>222</v>
      </c>
      <c r="H224">
        <f t="shared" ca="1" si="14"/>
        <v>0</v>
      </c>
      <c r="I224">
        <f t="shared" ca="1" si="15"/>
        <v>0</v>
      </c>
    </row>
    <row r="225" spans="1:9">
      <c r="A225" s="66">
        <v>0</v>
      </c>
      <c r="B225" s="66">
        <v>0</v>
      </c>
      <c r="D225">
        <f t="shared" si="12"/>
        <v>0</v>
      </c>
      <c r="E225">
        <f t="shared" si="12"/>
        <v>0</v>
      </c>
      <c r="G225">
        <f t="shared" ca="1" si="13"/>
        <v>223</v>
      </c>
      <c r="H225">
        <f t="shared" ca="1" si="14"/>
        <v>0</v>
      </c>
      <c r="I225">
        <f t="shared" ca="1" si="15"/>
        <v>0</v>
      </c>
    </row>
    <row r="226" spans="1:9">
      <c r="A226" s="66">
        <v>0</v>
      </c>
      <c r="B226" s="66">
        <v>0</v>
      </c>
      <c r="D226">
        <f t="shared" si="12"/>
        <v>0</v>
      </c>
      <c r="E226">
        <f t="shared" si="12"/>
        <v>0</v>
      </c>
      <c r="G226">
        <f t="shared" ca="1" si="13"/>
        <v>224</v>
      </c>
      <c r="H226">
        <f t="shared" ca="1" si="14"/>
        <v>0</v>
      </c>
      <c r="I226">
        <f t="shared" ca="1" si="15"/>
        <v>0</v>
      </c>
    </row>
    <row r="227" spans="1:9">
      <c r="A227" s="66">
        <v>0</v>
      </c>
      <c r="B227" s="66">
        <v>0</v>
      </c>
      <c r="D227">
        <f t="shared" si="12"/>
        <v>0</v>
      </c>
      <c r="E227">
        <f t="shared" si="12"/>
        <v>0</v>
      </c>
      <c r="G227">
        <f t="shared" ca="1" si="13"/>
        <v>225</v>
      </c>
      <c r="H227">
        <f t="shared" ca="1" si="14"/>
        <v>0</v>
      </c>
      <c r="I227">
        <f t="shared" ca="1" si="15"/>
        <v>0</v>
      </c>
    </row>
    <row r="228" spans="1:9">
      <c r="A228" s="66">
        <v>0</v>
      </c>
      <c r="B228" s="66">
        <v>0</v>
      </c>
      <c r="D228">
        <f t="shared" si="12"/>
        <v>0</v>
      </c>
      <c r="E228">
        <f t="shared" si="12"/>
        <v>0</v>
      </c>
      <c r="G228">
        <f t="shared" ca="1" si="13"/>
        <v>226</v>
      </c>
      <c r="H228">
        <f t="shared" ca="1" si="14"/>
        <v>0</v>
      </c>
      <c r="I228">
        <f t="shared" ca="1" si="15"/>
        <v>0</v>
      </c>
    </row>
    <row r="229" spans="1:9">
      <c r="A229" s="66">
        <v>0</v>
      </c>
      <c r="B229" s="66">
        <v>0</v>
      </c>
      <c r="D229">
        <f t="shared" si="12"/>
        <v>0</v>
      </c>
      <c r="E229">
        <f t="shared" si="12"/>
        <v>0</v>
      </c>
      <c r="G229">
        <f t="shared" ca="1" si="13"/>
        <v>227</v>
      </c>
      <c r="H229">
        <f t="shared" ca="1" si="14"/>
        <v>0</v>
      </c>
      <c r="I229">
        <f t="shared" ca="1" si="15"/>
        <v>0</v>
      </c>
    </row>
    <row r="230" spans="1:9">
      <c r="A230" s="66">
        <v>0</v>
      </c>
      <c r="B230" s="66">
        <v>0</v>
      </c>
      <c r="D230">
        <f t="shared" si="12"/>
        <v>0</v>
      </c>
      <c r="E230">
        <f t="shared" si="12"/>
        <v>0</v>
      </c>
      <c r="G230">
        <f t="shared" ca="1" si="13"/>
        <v>228</v>
      </c>
      <c r="H230">
        <f t="shared" ca="1" si="14"/>
        <v>0</v>
      </c>
      <c r="I230">
        <f t="shared" ca="1" si="15"/>
        <v>0</v>
      </c>
    </row>
    <row r="231" spans="1:9">
      <c r="A231" s="66">
        <v>0</v>
      </c>
      <c r="B231" s="66">
        <v>0</v>
      </c>
      <c r="D231">
        <f t="shared" si="12"/>
        <v>0</v>
      </c>
      <c r="E231">
        <f t="shared" si="12"/>
        <v>0</v>
      </c>
      <c r="G231">
        <f t="shared" ca="1" si="13"/>
        <v>229</v>
      </c>
      <c r="H231">
        <f t="shared" ca="1" si="14"/>
        <v>0</v>
      </c>
      <c r="I231">
        <f t="shared" ca="1" si="15"/>
        <v>0</v>
      </c>
    </row>
    <row r="232" spans="1:9">
      <c r="A232" s="66">
        <v>0</v>
      </c>
      <c r="B232" s="66">
        <v>0</v>
      </c>
      <c r="D232">
        <f t="shared" si="12"/>
        <v>0</v>
      </c>
      <c r="E232">
        <f t="shared" si="12"/>
        <v>0</v>
      </c>
      <c r="G232">
        <f t="shared" ca="1" si="13"/>
        <v>230</v>
      </c>
      <c r="H232">
        <f t="shared" ca="1" si="14"/>
        <v>0</v>
      </c>
      <c r="I232">
        <f t="shared" ca="1" si="15"/>
        <v>0</v>
      </c>
    </row>
    <row r="233" spans="1:9">
      <c r="A233" s="66">
        <v>0</v>
      </c>
      <c r="B233" s="66">
        <v>0</v>
      </c>
      <c r="D233">
        <f t="shared" si="12"/>
        <v>0</v>
      </c>
      <c r="E233">
        <f t="shared" si="12"/>
        <v>0</v>
      </c>
      <c r="G233">
        <f t="shared" ca="1" si="13"/>
        <v>231</v>
      </c>
      <c r="H233">
        <f t="shared" ca="1" si="14"/>
        <v>0</v>
      </c>
      <c r="I233">
        <f t="shared" ca="1" si="15"/>
        <v>0</v>
      </c>
    </row>
    <row r="234" spans="1:9">
      <c r="A234" s="66">
        <v>0</v>
      </c>
      <c r="B234" s="66">
        <v>0</v>
      </c>
      <c r="D234">
        <f t="shared" si="12"/>
        <v>0</v>
      </c>
      <c r="E234">
        <f t="shared" si="12"/>
        <v>0</v>
      </c>
      <c r="G234">
        <f t="shared" ca="1" si="13"/>
        <v>232</v>
      </c>
      <c r="H234">
        <f t="shared" ca="1" si="14"/>
        <v>0</v>
      </c>
      <c r="I234">
        <f t="shared" ca="1" si="15"/>
        <v>0</v>
      </c>
    </row>
    <row r="235" spans="1:9">
      <c r="A235" s="66">
        <v>0</v>
      </c>
      <c r="B235" s="66">
        <v>0</v>
      </c>
      <c r="D235">
        <f t="shared" si="12"/>
        <v>0</v>
      </c>
      <c r="E235">
        <f t="shared" si="12"/>
        <v>0</v>
      </c>
      <c r="G235">
        <f t="shared" ca="1" si="13"/>
        <v>233</v>
      </c>
      <c r="H235">
        <f t="shared" ca="1" si="14"/>
        <v>0</v>
      </c>
      <c r="I235">
        <f t="shared" ca="1" si="15"/>
        <v>0</v>
      </c>
    </row>
    <row r="236" spans="1:9">
      <c r="A236" s="66">
        <v>0</v>
      </c>
      <c r="B236" s="66">
        <v>0</v>
      </c>
      <c r="D236">
        <f t="shared" si="12"/>
        <v>0</v>
      </c>
      <c r="E236">
        <f t="shared" si="12"/>
        <v>0</v>
      </c>
      <c r="G236">
        <f t="shared" ca="1" si="13"/>
        <v>234</v>
      </c>
      <c r="H236">
        <f t="shared" ca="1" si="14"/>
        <v>0</v>
      </c>
      <c r="I236">
        <f t="shared" ca="1" si="15"/>
        <v>0</v>
      </c>
    </row>
    <row r="237" spans="1:9">
      <c r="A237" s="66">
        <v>0</v>
      </c>
      <c r="B237" s="66">
        <v>0</v>
      </c>
      <c r="D237">
        <f t="shared" si="12"/>
        <v>0</v>
      </c>
      <c r="E237">
        <f t="shared" si="12"/>
        <v>0</v>
      </c>
      <c r="G237">
        <f t="shared" ca="1" si="13"/>
        <v>235</v>
      </c>
      <c r="H237">
        <f t="shared" ca="1" si="14"/>
        <v>0</v>
      </c>
      <c r="I237">
        <f t="shared" ca="1" si="15"/>
        <v>0</v>
      </c>
    </row>
    <row r="238" spans="1:9">
      <c r="A238" s="66">
        <v>0</v>
      </c>
      <c r="B238" s="66">
        <v>0</v>
      </c>
      <c r="D238">
        <f t="shared" si="12"/>
        <v>0</v>
      </c>
      <c r="E238">
        <f t="shared" si="12"/>
        <v>0</v>
      </c>
      <c r="G238">
        <f t="shared" ca="1" si="13"/>
        <v>236</v>
      </c>
      <c r="H238">
        <f t="shared" ca="1" si="14"/>
        <v>0</v>
      </c>
      <c r="I238">
        <f t="shared" ca="1" si="15"/>
        <v>0</v>
      </c>
    </row>
    <row r="239" spans="1:9">
      <c r="A239" s="66">
        <v>0</v>
      </c>
      <c r="B239" s="66">
        <v>0</v>
      </c>
      <c r="D239">
        <f t="shared" si="12"/>
        <v>0</v>
      </c>
      <c r="E239">
        <f t="shared" si="12"/>
        <v>0</v>
      </c>
      <c r="G239">
        <f t="shared" ca="1" si="13"/>
        <v>237</v>
      </c>
      <c r="H239">
        <f t="shared" ca="1" si="14"/>
        <v>0</v>
      </c>
      <c r="I239">
        <f t="shared" ca="1" si="15"/>
        <v>0</v>
      </c>
    </row>
    <row r="240" spans="1:9">
      <c r="A240" s="66">
        <v>0</v>
      </c>
      <c r="B240" s="66">
        <v>0</v>
      </c>
      <c r="D240">
        <f t="shared" si="12"/>
        <v>0</v>
      </c>
      <c r="E240">
        <f t="shared" si="12"/>
        <v>0</v>
      </c>
      <c r="G240">
        <f t="shared" ca="1" si="13"/>
        <v>238</v>
      </c>
      <c r="H240">
        <f t="shared" ca="1" si="14"/>
        <v>0</v>
      </c>
      <c r="I240">
        <f t="shared" ca="1" si="15"/>
        <v>0</v>
      </c>
    </row>
    <row r="241" spans="1:9">
      <c r="A241" s="66">
        <v>0</v>
      </c>
      <c r="B241" s="66">
        <v>0</v>
      </c>
      <c r="D241">
        <f t="shared" si="12"/>
        <v>0</v>
      </c>
      <c r="E241">
        <f t="shared" si="12"/>
        <v>0</v>
      </c>
      <c r="G241">
        <f t="shared" ca="1" si="13"/>
        <v>239</v>
      </c>
      <c r="H241">
        <f t="shared" ca="1" si="14"/>
        <v>0</v>
      </c>
      <c r="I241">
        <f t="shared" ca="1" si="15"/>
        <v>0</v>
      </c>
    </row>
    <row r="242" spans="1:9">
      <c r="A242" s="66">
        <v>0</v>
      </c>
      <c r="B242" s="66">
        <v>0</v>
      </c>
      <c r="D242">
        <f t="shared" si="12"/>
        <v>0</v>
      </c>
      <c r="E242">
        <f t="shared" si="12"/>
        <v>0</v>
      </c>
      <c r="G242">
        <f t="shared" ca="1" si="13"/>
        <v>240</v>
      </c>
      <c r="H242">
        <f t="shared" ca="1" si="14"/>
        <v>0</v>
      </c>
      <c r="I242">
        <f t="shared" ca="1" si="15"/>
        <v>0</v>
      </c>
    </row>
    <row r="243" spans="1:9">
      <c r="A243" s="66">
        <v>0</v>
      </c>
      <c r="B243" s="66">
        <v>0</v>
      </c>
      <c r="D243">
        <f t="shared" si="12"/>
        <v>0</v>
      </c>
      <c r="E243">
        <f t="shared" si="12"/>
        <v>0</v>
      </c>
      <c r="G243">
        <f t="shared" ca="1" si="13"/>
        <v>241</v>
      </c>
      <c r="H243">
        <f t="shared" ca="1" si="14"/>
        <v>0</v>
      </c>
      <c r="I243">
        <f t="shared" ca="1" si="15"/>
        <v>0</v>
      </c>
    </row>
    <row r="244" spans="1:9">
      <c r="A244" s="66">
        <v>0</v>
      </c>
      <c r="B244" s="66">
        <v>0</v>
      </c>
      <c r="D244">
        <f t="shared" si="12"/>
        <v>0</v>
      </c>
      <c r="E244">
        <f t="shared" si="12"/>
        <v>0</v>
      </c>
      <c r="G244">
        <f t="shared" ca="1" si="13"/>
        <v>242</v>
      </c>
      <c r="H244">
        <f t="shared" ca="1" si="14"/>
        <v>0</v>
      </c>
      <c r="I244">
        <f t="shared" ca="1" si="15"/>
        <v>0</v>
      </c>
    </row>
    <row r="245" spans="1:9">
      <c r="A245" s="66">
        <v>0</v>
      </c>
      <c r="B245" s="66">
        <v>0</v>
      </c>
      <c r="D245">
        <f t="shared" si="12"/>
        <v>0</v>
      </c>
      <c r="E245">
        <f t="shared" si="12"/>
        <v>0</v>
      </c>
      <c r="G245">
        <f t="shared" ca="1" si="13"/>
        <v>243</v>
      </c>
      <c r="H245">
        <f t="shared" ca="1" si="14"/>
        <v>0</v>
      </c>
      <c r="I245">
        <f t="shared" ca="1" si="15"/>
        <v>0</v>
      </c>
    </row>
    <row r="246" spans="1:9">
      <c r="A246" s="66">
        <v>0</v>
      </c>
      <c r="B246" s="66">
        <v>0</v>
      </c>
      <c r="D246">
        <f t="shared" si="12"/>
        <v>0</v>
      </c>
      <c r="E246">
        <f t="shared" si="12"/>
        <v>0</v>
      </c>
      <c r="G246">
        <f t="shared" ca="1" si="13"/>
        <v>244</v>
      </c>
      <c r="H246">
        <f t="shared" ca="1" si="14"/>
        <v>0</v>
      </c>
      <c r="I246">
        <f t="shared" ca="1" si="15"/>
        <v>0</v>
      </c>
    </row>
    <row r="247" spans="1:9">
      <c r="A247" s="66">
        <v>0</v>
      </c>
      <c r="B247" s="66">
        <v>0</v>
      </c>
      <c r="D247">
        <f t="shared" si="12"/>
        <v>0</v>
      </c>
      <c r="E247">
        <f t="shared" si="12"/>
        <v>0</v>
      </c>
      <c r="G247">
        <f t="shared" ca="1" si="13"/>
        <v>245</v>
      </c>
      <c r="H247">
        <f t="shared" ca="1" si="14"/>
        <v>0</v>
      </c>
      <c r="I247">
        <f t="shared" ca="1" si="15"/>
        <v>0</v>
      </c>
    </row>
    <row r="248" spans="1:9">
      <c r="A248" s="66">
        <v>0</v>
      </c>
      <c r="B248" s="66">
        <v>0</v>
      </c>
      <c r="D248">
        <f t="shared" si="12"/>
        <v>0</v>
      </c>
      <c r="E248">
        <f t="shared" si="12"/>
        <v>0</v>
      </c>
      <c r="G248">
        <f t="shared" ca="1" si="13"/>
        <v>246</v>
      </c>
      <c r="H248">
        <f t="shared" ca="1" si="14"/>
        <v>0</v>
      </c>
      <c r="I248">
        <f t="shared" ca="1" si="15"/>
        <v>0</v>
      </c>
    </row>
    <row r="249" spans="1:9">
      <c r="A249" s="66">
        <v>0</v>
      </c>
      <c r="B249" s="66">
        <v>0</v>
      </c>
      <c r="D249">
        <f t="shared" si="12"/>
        <v>0</v>
      </c>
      <c r="E249">
        <f t="shared" si="12"/>
        <v>0</v>
      </c>
      <c r="G249">
        <f t="shared" ca="1" si="13"/>
        <v>247</v>
      </c>
      <c r="H249">
        <f t="shared" ca="1" si="14"/>
        <v>0</v>
      </c>
      <c r="I249">
        <f t="shared" ca="1" si="15"/>
        <v>0</v>
      </c>
    </row>
    <row r="250" spans="1:9">
      <c r="A250" s="66">
        <v>0</v>
      </c>
      <c r="B250" s="66">
        <v>0</v>
      </c>
      <c r="D250">
        <f t="shared" si="12"/>
        <v>0</v>
      </c>
      <c r="E250">
        <f t="shared" si="12"/>
        <v>0</v>
      </c>
      <c r="G250">
        <f t="shared" ca="1" si="13"/>
        <v>248</v>
      </c>
      <c r="H250">
        <f t="shared" ca="1" si="14"/>
        <v>0</v>
      </c>
      <c r="I250">
        <f t="shared" ca="1" si="15"/>
        <v>0</v>
      </c>
    </row>
    <row r="251" spans="1:9">
      <c r="A251" s="66">
        <v>0</v>
      </c>
      <c r="B251" s="66">
        <v>0</v>
      </c>
      <c r="D251">
        <f t="shared" si="12"/>
        <v>0</v>
      </c>
      <c r="E251">
        <f t="shared" si="12"/>
        <v>0</v>
      </c>
      <c r="G251">
        <f t="shared" ca="1" si="13"/>
        <v>249</v>
      </c>
      <c r="H251">
        <f t="shared" ca="1" si="14"/>
        <v>0</v>
      </c>
      <c r="I251">
        <f t="shared" ca="1" si="15"/>
        <v>0</v>
      </c>
    </row>
    <row r="252" spans="1:9">
      <c r="A252" s="66">
        <v>0</v>
      </c>
      <c r="B252" s="66">
        <v>0</v>
      </c>
      <c r="D252">
        <f t="shared" si="12"/>
        <v>0</v>
      </c>
      <c r="E252">
        <f t="shared" si="12"/>
        <v>0</v>
      </c>
      <c r="G252">
        <f t="shared" ca="1" si="13"/>
        <v>250</v>
      </c>
      <c r="H252">
        <f t="shared" ca="1" si="14"/>
        <v>0</v>
      </c>
      <c r="I252">
        <f t="shared" ca="1" si="15"/>
        <v>0</v>
      </c>
    </row>
    <row r="253" spans="1:9">
      <c r="A253" s="66">
        <v>0</v>
      </c>
      <c r="B253" s="66">
        <v>0</v>
      </c>
      <c r="D253">
        <f t="shared" si="12"/>
        <v>0</v>
      </c>
      <c r="E253">
        <f t="shared" si="12"/>
        <v>0</v>
      </c>
      <c r="G253">
        <f t="shared" ca="1" si="13"/>
        <v>251</v>
      </c>
      <c r="H253">
        <f t="shared" ca="1" si="14"/>
        <v>0</v>
      </c>
      <c r="I253">
        <f t="shared" ca="1" si="15"/>
        <v>0</v>
      </c>
    </row>
    <row r="254" spans="1:9">
      <c r="A254" s="66">
        <v>0</v>
      </c>
      <c r="B254" s="66">
        <v>0</v>
      </c>
      <c r="D254">
        <f t="shared" si="12"/>
        <v>0</v>
      </c>
      <c r="E254">
        <f t="shared" si="12"/>
        <v>0</v>
      </c>
      <c r="G254">
        <f t="shared" ca="1" si="13"/>
        <v>252</v>
      </c>
      <c r="H254">
        <f t="shared" ca="1" si="14"/>
        <v>0</v>
      </c>
      <c r="I254">
        <f t="shared" ca="1" si="15"/>
        <v>0</v>
      </c>
    </row>
    <row r="255" spans="1:9">
      <c r="A255" s="66">
        <v>0</v>
      </c>
      <c r="B255" s="66">
        <v>0</v>
      </c>
      <c r="D255">
        <f t="shared" si="12"/>
        <v>0</v>
      </c>
      <c r="E255">
        <f t="shared" si="12"/>
        <v>0</v>
      </c>
      <c r="G255">
        <f t="shared" ca="1" si="13"/>
        <v>253</v>
      </c>
      <c r="H255">
        <f t="shared" ca="1" si="14"/>
        <v>0</v>
      </c>
      <c r="I255">
        <f t="shared" ca="1" si="15"/>
        <v>0</v>
      </c>
    </row>
    <row r="256" spans="1:9">
      <c r="A256" s="66">
        <v>0</v>
      </c>
      <c r="B256" s="66">
        <v>0</v>
      </c>
      <c r="D256">
        <f t="shared" si="12"/>
        <v>0</v>
      </c>
      <c r="E256">
        <f t="shared" si="12"/>
        <v>0</v>
      </c>
      <c r="G256">
        <f t="shared" ca="1" si="13"/>
        <v>254</v>
      </c>
      <c r="H256">
        <f t="shared" ca="1" si="14"/>
        <v>0</v>
      </c>
      <c r="I256">
        <f t="shared" ca="1" si="15"/>
        <v>0</v>
      </c>
    </row>
    <row r="257" spans="1:9">
      <c r="A257" s="66">
        <v>0</v>
      </c>
      <c r="B257" s="66">
        <v>0</v>
      </c>
      <c r="D257">
        <f t="shared" si="12"/>
        <v>0</v>
      </c>
      <c r="E257">
        <f t="shared" si="12"/>
        <v>0</v>
      </c>
      <c r="G257">
        <f t="shared" ca="1" si="13"/>
        <v>255</v>
      </c>
      <c r="H257">
        <f t="shared" ca="1" si="14"/>
        <v>0</v>
      </c>
      <c r="I257">
        <f t="shared" ca="1" si="15"/>
        <v>0</v>
      </c>
    </row>
  </sheetData>
  <phoneticPr fontId="29" type="noConversion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L257"/>
  <sheetViews>
    <sheetView workbookViewId="0">
      <selection sqref="A1:B1048576"/>
    </sheetView>
  </sheetViews>
  <sheetFormatPr defaultRowHeight="13.5"/>
  <cols>
    <col min="14" max="14" width="10.25" bestFit="1" customWidth="1"/>
  </cols>
  <sheetData>
    <row r="1" spans="1:12">
      <c r="A1" s="66" t="s">
        <v>348</v>
      </c>
      <c r="B1" s="66" t="s">
        <v>349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65.623205520537198</v>
      </c>
    </row>
    <row r="2" spans="1:12">
      <c r="A2" s="66">
        <v>0</v>
      </c>
      <c r="B2" s="66">
        <v>0</v>
      </c>
      <c r="D2">
        <f>IFERROR( 100*A2/MAX(A$2:A$257), 0 )</f>
        <v>0</v>
      </c>
      <c r="E2">
        <f>IFERROR( 100*B2/MAX(B$2:B$257),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1.2670193972230119</v>
      </c>
    </row>
    <row r="3" spans="1:12">
      <c r="A3" s="66">
        <v>0</v>
      </c>
      <c r="B3" s="66">
        <v>0</v>
      </c>
      <c r="D3">
        <f t="shared" ref="D3:D66" si="0">IFERROR( 100*A3/MAX(A$2:A$257), 0 )</f>
        <v>0</v>
      </c>
      <c r="E3">
        <f t="shared" ref="E3:E66" si="1">IFERROR( 100*B3/MAX(B$2:B$257), 0 )</f>
        <v>0</v>
      </c>
      <c r="G3">
        <f t="shared" ref="G3:G66" ca="1" si="2">CELL("row",D3)-2</f>
        <v>1</v>
      </c>
      <c r="H3">
        <f t="shared" ref="H3:H66" ca="1" si="3">D3*G3</f>
        <v>0</v>
      </c>
      <c r="I3">
        <f t="shared" ref="I3:I66" ca="1" si="4">D3*((G3-$L$1)^2)</f>
        <v>0</v>
      </c>
      <c r="K3" t="s">
        <v>277</v>
      </c>
      <c r="L3" s="61">
        <f ca="1">SQRT(SUM(I2:I257)/SUM(D2:D257))*info!L2/255</f>
        <v>0.61326180355930593</v>
      </c>
    </row>
    <row r="4" spans="1:12">
      <c r="A4" s="66">
        <v>0</v>
      </c>
      <c r="B4" s="66">
        <v>0</v>
      </c>
      <c r="D4">
        <f t="shared" si="0"/>
        <v>0</v>
      </c>
      <c r="E4">
        <f t="shared" si="1"/>
        <v>0</v>
      </c>
      <c r="G4">
        <f t="shared" ca="1" si="2"/>
        <v>2</v>
      </c>
      <c r="H4">
        <f t="shared" ca="1" si="3"/>
        <v>0</v>
      </c>
      <c r="I4">
        <f t="shared" ca="1" si="4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1"/>
        <v>0</v>
      </c>
      <c r="G5">
        <f t="shared" ca="1" si="2"/>
        <v>3</v>
      </c>
      <c r="H5">
        <f t="shared" ca="1" si="3"/>
        <v>0</v>
      </c>
      <c r="I5">
        <f t="shared" ca="1" si="4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1"/>
        <v>0</v>
      </c>
      <c r="G6">
        <f t="shared" ca="1" si="2"/>
        <v>4</v>
      </c>
      <c r="H6">
        <f t="shared" ca="1" si="3"/>
        <v>0</v>
      </c>
      <c r="I6">
        <f t="shared" ca="1" si="4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1"/>
        <v>0</v>
      </c>
      <c r="G7">
        <f t="shared" ca="1" si="2"/>
        <v>5</v>
      </c>
      <c r="H7">
        <f t="shared" ca="1" si="3"/>
        <v>0</v>
      </c>
      <c r="I7">
        <f t="shared" ca="1" si="4"/>
        <v>0</v>
      </c>
    </row>
    <row r="8" spans="1:12">
      <c r="A8" s="66">
        <v>284</v>
      </c>
      <c r="B8" s="66">
        <v>284</v>
      </c>
      <c r="D8">
        <f t="shared" si="0"/>
        <v>0.42252473406233726</v>
      </c>
      <c r="E8">
        <f t="shared" si="1"/>
        <v>0.42252473406233726</v>
      </c>
      <c r="G8">
        <f t="shared" ca="1" si="2"/>
        <v>6</v>
      </c>
      <c r="H8">
        <f t="shared" ca="1" si="3"/>
        <v>2.5351484043740236</v>
      </c>
      <c r="I8">
        <f t="shared" ca="1" si="4"/>
        <v>1502.0444317169645</v>
      </c>
    </row>
    <row r="9" spans="1:12">
      <c r="A9" s="66">
        <v>0</v>
      </c>
      <c r="B9" s="66">
        <v>0</v>
      </c>
      <c r="D9">
        <f t="shared" si="0"/>
        <v>0</v>
      </c>
      <c r="E9">
        <f t="shared" si="1"/>
        <v>0</v>
      </c>
      <c r="G9">
        <f t="shared" ca="1" si="2"/>
        <v>7</v>
      </c>
      <c r="H9">
        <f t="shared" ca="1" si="3"/>
        <v>0</v>
      </c>
      <c r="I9">
        <f t="shared" ca="1" si="4"/>
        <v>0</v>
      </c>
    </row>
    <row r="10" spans="1:12">
      <c r="A10" s="66">
        <v>1082</v>
      </c>
      <c r="B10" s="66">
        <v>1082</v>
      </c>
      <c r="D10">
        <f t="shared" si="0"/>
        <v>1.6097597262515808</v>
      </c>
      <c r="E10">
        <f t="shared" si="1"/>
        <v>1.6097597262515808</v>
      </c>
      <c r="G10">
        <f t="shared" ca="1" si="2"/>
        <v>8</v>
      </c>
      <c r="H10">
        <f t="shared" ca="1" si="3"/>
        <v>12.878077810012647</v>
      </c>
      <c r="I10">
        <f t="shared" ca="1" si="4"/>
        <v>5345.100628204952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1"/>
        <v>0</v>
      </c>
      <c r="G11">
        <f t="shared" ca="1" si="2"/>
        <v>9</v>
      </c>
      <c r="H11">
        <f t="shared" ca="1" si="3"/>
        <v>0</v>
      </c>
      <c r="I11">
        <f t="shared" ca="1" si="4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1"/>
        <v>0</v>
      </c>
      <c r="G12">
        <f t="shared" ca="1" si="2"/>
        <v>10</v>
      </c>
      <c r="H12">
        <f t="shared" ca="1" si="3"/>
        <v>0</v>
      </c>
      <c r="I12">
        <f t="shared" ca="1" si="4"/>
        <v>0</v>
      </c>
    </row>
    <row r="13" spans="1:12">
      <c r="A13" s="66">
        <v>3303</v>
      </c>
      <c r="B13" s="66">
        <v>3303</v>
      </c>
      <c r="D13">
        <f t="shared" si="0"/>
        <v>4.9140816781968315</v>
      </c>
      <c r="E13">
        <f t="shared" si="1"/>
        <v>4.9140816781968315</v>
      </c>
      <c r="G13">
        <f t="shared" ca="1" si="2"/>
        <v>11</v>
      </c>
      <c r="H13">
        <f t="shared" ca="1" si="3"/>
        <v>54.054898460165148</v>
      </c>
      <c r="I13">
        <f t="shared" ca="1" si="4"/>
        <v>14662.118875492384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1"/>
        <v>0</v>
      </c>
      <c r="G14">
        <f t="shared" ca="1" si="2"/>
        <v>12</v>
      </c>
      <c r="H14">
        <f t="shared" ca="1" si="3"/>
        <v>0</v>
      </c>
      <c r="I14">
        <f t="shared" ca="1" si="4"/>
        <v>0</v>
      </c>
    </row>
    <row r="15" spans="1:12">
      <c r="A15" s="66">
        <v>7485</v>
      </c>
      <c r="B15" s="66">
        <v>7485</v>
      </c>
      <c r="D15">
        <f t="shared" si="0"/>
        <v>11.135907163579558</v>
      </c>
      <c r="E15">
        <f t="shared" si="1"/>
        <v>11.135907163579558</v>
      </c>
      <c r="G15">
        <f t="shared" ca="1" si="2"/>
        <v>13</v>
      </c>
      <c r="H15">
        <f t="shared" ca="1" si="3"/>
        <v>144.76679312653425</v>
      </c>
      <c r="I15">
        <f t="shared" ca="1" si="4"/>
        <v>30837.573708303764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1"/>
        <v>0</v>
      </c>
      <c r="G16">
        <f t="shared" ca="1" si="2"/>
        <v>14</v>
      </c>
      <c r="H16">
        <f t="shared" ca="1" si="3"/>
        <v>0</v>
      </c>
      <c r="I16">
        <f t="shared" ca="1" si="4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1"/>
        <v>0</v>
      </c>
      <c r="G17">
        <f t="shared" ca="1" si="2"/>
        <v>15</v>
      </c>
      <c r="H17">
        <f t="shared" ca="1" si="3"/>
        <v>0</v>
      </c>
      <c r="I17">
        <f t="shared" ca="1" si="4"/>
        <v>0</v>
      </c>
    </row>
    <row r="18" spans="1:9">
      <c r="A18" s="66">
        <v>13537</v>
      </c>
      <c r="B18" s="66">
        <v>13537</v>
      </c>
      <c r="D18">
        <f t="shared" si="0"/>
        <v>20.139849735922041</v>
      </c>
      <c r="E18">
        <f t="shared" si="1"/>
        <v>20.139849735922041</v>
      </c>
      <c r="G18">
        <f t="shared" ca="1" si="2"/>
        <v>16</v>
      </c>
      <c r="H18">
        <f t="shared" ca="1" si="3"/>
        <v>322.23759577475266</v>
      </c>
      <c r="I18">
        <f t="shared" ca="1" si="4"/>
        <v>49593.625256667161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1"/>
        <v>0</v>
      </c>
      <c r="G19">
        <f t="shared" ca="1" si="2"/>
        <v>17</v>
      </c>
      <c r="H19">
        <f t="shared" ca="1" si="3"/>
        <v>0</v>
      </c>
      <c r="I19">
        <f t="shared" ca="1" si="4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1"/>
        <v>0</v>
      </c>
      <c r="G20">
        <f t="shared" ca="1" si="2"/>
        <v>18</v>
      </c>
      <c r="H20">
        <f t="shared" ca="1" si="3"/>
        <v>0</v>
      </c>
      <c r="I20">
        <f t="shared" ca="1" si="4"/>
        <v>0</v>
      </c>
    </row>
    <row r="21" spans="1:9">
      <c r="A21" s="66">
        <v>29569</v>
      </c>
      <c r="B21" s="66">
        <v>29569</v>
      </c>
      <c r="D21">
        <f t="shared" si="0"/>
        <v>43.991668526370603</v>
      </c>
      <c r="E21">
        <f t="shared" si="1"/>
        <v>43.991668526370603</v>
      </c>
      <c r="G21">
        <f t="shared" ca="1" si="2"/>
        <v>19</v>
      </c>
      <c r="H21">
        <f t="shared" ca="1" si="3"/>
        <v>835.84170200104143</v>
      </c>
      <c r="I21">
        <f t="shared" ca="1" si="4"/>
        <v>95625.714574157682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1"/>
        <v>0</v>
      </c>
      <c r="G22">
        <f t="shared" ca="1" si="2"/>
        <v>20</v>
      </c>
      <c r="H22">
        <f t="shared" ca="1" si="3"/>
        <v>0</v>
      </c>
      <c r="I22">
        <f t="shared" ca="1" si="4"/>
        <v>0</v>
      </c>
    </row>
    <row r="23" spans="1:9">
      <c r="A23" s="66">
        <v>44607</v>
      </c>
      <c r="B23" s="66">
        <v>44607</v>
      </c>
      <c r="D23">
        <f t="shared" si="0"/>
        <v>66.364650747600976</v>
      </c>
      <c r="E23">
        <f t="shared" si="1"/>
        <v>66.364650747600976</v>
      </c>
      <c r="G23">
        <f t="shared" ca="1" si="2"/>
        <v>21</v>
      </c>
      <c r="H23">
        <f t="shared" ca="1" si="3"/>
        <v>1393.6576656996206</v>
      </c>
      <c r="I23">
        <f t="shared" ca="1" si="4"/>
        <v>132147.31476112446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1"/>
        <v>0</v>
      </c>
      <c r="G24">
        <f t="shared" ca="1" si="2"/>
        <v>22</v>
      </c>
      <c r="H24">
        <f t="shared" ca="1" si="3"/>
        <v>0</v>
      </c>
      <c r="I24">
        <f t="shared" ca="1" si="4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1"/>
        <v>0</v>
      </c>
      <c r="G25">
        <f t="shared" ca="1" si="2"/>
        <v>23</v>
      </c>
      <c r="H25">
        <f t="shared" ca="1" si="3"/>
        <v>0</v>
      </c>
      <c r="I25">
        <f t="shared" ca="1" si="4"/>
        <v>0</v>
      </c>
    </row>
    <row r="26" spans="1:9">
      <c r="A26" s="66">
        <v>64697</v>
      </c>
      <c r="B26" s="66">
        <v>64697</v>
      </c>
      <c r="D26">
        <f t="shared" si="0"/>
        <v>96.253812393067022</v>
      </c>
      <c r="E26">
        <f t="shared" si="1"/>
        <v>96.253812393067022</v>
      </c>
      <c r="G26">
        <f t="shared" ca="1" si="2"/>
        <v>24</v>
      </c>
      <c r="H26">
        <f t="shared" ca="1" si="3"/>
        <v>2310.0914974336083</v>
      </c>
      <c r="I26">
        <f t="shared" ca="1" si="4"/>
        <v>166758.88657630322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1"/>
        <v>0</v>
      </c>
      <c r="G27">
        <f t="shared" ca="1" si="2"/>
        <v>25</v>
      </c>
      <c r="H27">
        <f t="shared" ca="1" si="3"/>
        <v>0</v>
      </c>
      <c r="I27">
        <f t="shared" ca="1" si="4"/>
        <v>0</v>
      </c>
    </row>
    <row r="28" spans="1:9">
      <c r="A28" s="66">
        <v>59127</v>
      </c>
      <c r="B28" s="66">
        <v>59127</v>
      </c>
      <c r="D28">
        <f t="shared" si="0"/>
        <v>87.96697165811203</v>
      </c>
      <c r="E28">
        <f t="shared" si="1"/>
        <v>87.96697165811203</v>
      </c>
      <c r="G28">
        <f t="shared" ca="1" si="2"/>
        <v>26</v>
      </c>
      <c r="H28">
        <f t="shared" ca="1" si="3"/>
        <v>2287.1412631109129</v>
      </c>
      <c r="I28">
        <f t="shared" ca="1" si="4"/>
        <v>138108.00613916214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1"/>
        <v>0</v>
      </c>
      <c r="G29">
        <f t="shared" ca="1" si="2"/>
        <v>27</v>
      </c>
      <c r="H29">
        <f t="shared" ca="1" si="3"/>
        <v>0</v>
      </c>
      <c r="I29">
        <f t="shared" ca="1" si="4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1"/>
        <v>0</v>
      </c>
      <c r="G30">
        <f t="shared" ca="1" si="2"/>
        <v>28</v>
      </c>
      <c r="H30">
        <f t="shared" ca="1" si="3"/>
        <v>0</v>
      </c>
      <c r="I30">
        <f t="shared" ca="1" si="4"/>
        <v>0</v>
      </c>
    </row>
    <row r="31" spans="1:9">
      <c r="A31" s="66">
        <v>67215</v>
      </c>
      <c r="B31" s="66">
        <v>67215</v>
      </c>
      <c r="D31">
        <f t="shared" si="0"/>
        <v>100</v>
      </c>
      <c r="E31">
        <f t="shared" si="1"/>
        <v>100</v>
      </c>
      <c r="G31">
        <f t="shared" ca="1" si="2"/>
        <v>29</v>
      </c>
      <c r="H31">
        <f t="shared" ca="1" si="3"/>
        <v>2900</v>
      </c>
      <c r="I31">
        <f t="shared" ca="1" si="4"/>
        <v>134125.91825995062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1"/>
        <v>0</v>
      </c>
      <c r="G32">
        <f t="shared" ca="1" si="2"/>
        <v>30</v>
      </c>
      <c r="H32">
        <f t="shared" ca="1" si="3"/>
        <v>0</v>
      </c>
      <c r="I32">
        <f t="shared" ca="1" si="4"/>
        <v>0</v>
      </c>
    </row>
    <row r="33" spans="1:9">
      <c r="A33" s="66">
        <v>65447</v>
      </c>
      <c r="B33" s="66">
        <v>65447</v>
      </c>
      <c r="D33">
        <f t="shared" si="0"/>
        <v>97.369634754147143</v>
      </c>
      <c r="E33">
        <f t="shared" si="1"/>
        <v>97.369634754147143</v>
      </c>
      <c r="G33">
        <f t="shared" ca="1" si="2"/>
        <v>31</v>
      </c>
      <c r="H33">
        <f t="shared" ca="1" si="3"/>
        <v>3018.4586773785613</v>
      </c>
      <c r="I33">
        <f t="shared" ca="1" si="4"/>
        <v>116723.44267913338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1"/>
        <v>0</v>
      </c>
      <c r="G34">
        <f t="shared" ca="1" si="2"/>
        <v>32</v>
      </c>
      <c r="H34">
        <f t="shared" ca="1" si="3"/>
        <v>0</v>
      </c>
      <c r="I34">
        <f t="shared" ca="1" si="4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1"/>
        <v>0</v>
      </c>
      <c r="G35">
        <f t="shared" ca="1" si="2"/>
        <v>33</v>
      </c>
      <c r="H35">
        <f t="shared" ca="1" si="3"/>
        <v>0</v>
      </c>
      <c r="I35">
        <f t="shared" ca="1" si="4"/>
        <v>0</v>
      </c>
    </row>
    <row r="36" spans="1:9">
      <c r="A36" s="66">
        <v>66060</v>
      </c>
      <c r="B36" s="66">
        <v>66060</v>
      </c>
      <c r="D36">
        <f t="shared" si="0"/>
        <v>98.281633563936623</v>
      </c>
      <c r="E36">
        <f t="shared" si="1"/>
        <v>98.281633563936623</v>
      </c>
      <c r="G36">
        <f t="shared" ca="1" si="2"/>
        <v>34</v>
      </c>
      <c r="H36">
        <f t="shared" ca="1" si="3"/>
        <v>3341.5755411738451</v>
      </c>
      <c r="I36">
        <f t="shared" ca="1" si="4"/>
        <v>98284.299688546467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1"/>
        <v>0</v>
      </c>
      <c r="G37">
        <f t="shared" ca="1" si="2"/>
        <v>35</v>
      </c>
      <c r="H37">
        <f t="shared" ca="1" si="3"/>
        <v>0</v>
      </c>
      <c r="I37">
        <f t="shared" ca="1" si="4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1"/>
        <v>0</v>
      </c>
      <c r="G38">
        <f t="shared" ca="1" si="2"/>
        <v>36</v>
      </c>
      <c r="H38">
        <f t="shared" ca="1" si="3"/>
        <v>0</v>
      </c>
      <c r="I38">
        <f t="shared" ca="1" si="4"/>
        <v>0</v>
      </c>
    </row>
    <row r="39" spans="1:9">
      <c r="A39" s="66">
        <v>65468</v>
      </c>
      <c r="B39" s="66">
        <v>65468</v>
      </c>
      <c r="D39">
        <f t="shared" si="0"/>
        <v>97.400877780257389</v>
      </c>
      <c r="E39">
        <f t="shared" si="1"/>
        <v>97.400877780257389</v>
      </c>
      <c r="G39">
        <f t="shared" ca="1" si="2"/>
        <v>37</v>
      </c>
      <c r="H39">
        <f t="shared" ca="1" si="3"/>
        <v>3603.8324778695232</v>
      </c>
      <c r="I39">
        <f t="shared" ca="1" si="4"/>
        <v>79799.360056725447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1"/>
        <v>0</v>
      </c>
      <c r="G40">
        <f t="shared" ca="1" si="2"/>
        <v>38</v>
      </c>
      <c r="H40">
        <f t="shared" ca="1" si="3"/>
        <v>0</v>
      </c>
      <c r="I40">
        <f t="shared" ca="1" si="4"/>
        <v>0</v>
      </c>
    </row>
    <row r="41" spans="1:9">
      <c r="A41" s="66">
        <v>65442</v>
      </c>
      <c r="B41" s="66">
        <v>65442</v>
      </c>
      <c r="D41">
        <f t="shared" si="0"/>
        <v>97.3621959384066</v>
      </c>
      <c r="E41">
        <f t="shared" si="1"/>
        <v>97.3621959384066</v>
      </c>
      <c r="G41">
        <f t="shared" ca="1" si="2"/>
        <v>39</v>
      </c>
      <c r="H41">
        <f t="shared" ca="1" si="3"/>
        <v>3797.1256415978573</v>
      </c>
      <c r="I41">
        <f t="shared" ca="1" si="4"/>
        <v>69009.84469861933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1"/>
        <v>0</v>
      </c>
      <c r="G42">
        <f t="shared" ca="1" si="2"/>
        <v>40</v>
      </c>
      <c r="H42">
        <f t="shared" ca="1" si="3"/>
        <v>0</v>
      </c>
      <c r="I42">
        <f t="shared" ca="1" si="4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1"/>
        <v>0</v>
      </c>
      <c r="G43">
        <f t="shared" ca="1" si="2"/>
        <v>41</v>
      </c>
      <c r="H43">
        <f t="shared" ca="1" si="3"/>
        <v>0</v>
      </c>
      <c r="I43">
        <f t="shared" ca="1" si="4"/>
        <v>0</v>
      </c>
    </row>
    <row r="44" spans="1:9">
      <c r="A44" s="66">
        <v>60005</v>
      </c>
      <c r="B44" s="66">
        <v>60005</v>
      </c>
      <c r="D44">
        <f t="shared" si="0"/>
        <v>89.273227702149825</v>
      </c>
      <c r="E44">
        <f t="shared" si="1"/>
        <v>89.273227702149825</v>
      </c>
      <c r="G44">
        <f t="shared" ca="1" si="2"/>
        <v>42</v>
      </c>
      <c r="H44">
        <f t="shared" ca="1" si="3"/>
        <v>3749.4755634902926</v>
      </c>
      <c r="I44">
        <f t="shared" ca="1" si="4"/>
        <v>49819.445991412147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1"/>
        <v>0</v>
      </c>
      <c r="G45">
        <f t="shared" ca="1" si="2"/>
        <v>43</v>
      </c>
      <c r="H45">
        <f t="shared" ca="1" si="3"/>
        <v>0</v>
      </c>
      <c r="I45">
        <f t="shared" ca="1" si="4"/>
        <v>0</v>
      </c>
    </row>
    <row r="46" spans="1:9">
      <c r="A46" s="66">
        <v>56264</v>
      </c>
      <c r="B46" s="66">
        <v>56264</v>
      </c>
      <c r="D46">
        <f t="shared" si="0"/>
        <v>83.707505765082203</v>
      </c>
      <c r="E46">
        <f t="shared" si="1"/>
        <v>83.707505765082203</v>
      </c>
      <c r="G46">
        <f t="shared" ca="1" si="2"/>
        <v>44</v>
      </c>
      <c r="H46">
        <f t="shared" ca="1" si="3"/>
        <v>3683.1302536636167</v>
      </c>
      <c r="I46">
        <f t="shared" ca="1" si="4"/>
        <v>39138.533939676374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1"/>
        <v>0</v>
      </c>
      <c r="G47">
        <f t="shared" ca="1" si="2"/>
        <v>45</v>
      </c>
      <c r="H47">
        <f t="shared" ca="1" si="3"/>
        <v>0</v>
      </c>
      <c r="I47">
        <f t="shared" ca="1" si="4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1"/>
        <v>0</v>
      </c>
      <c r="G48">
        <f t="shared" ca="1" si="2"/>
        <v>46</v>
      </c>
      <c r="H48">
        <f t="shared" ca="1" si="3"/>
        <v>0</v>
      </c>
      <c r="I48">
        <f t="shared" ca="1" si="4"/>
        <v>0</v>
      </c>
    </row>
    <row r="49" spans="1:9">
      <c r="A49" s="66">
        <v>63315</v>
      </c>
      <c r="B49" s="66">
        <v>63315</v>
      </c>
      <c r="D49">
        <f t="shared" si="0"/>
        <v>94.197723722383401</v>
      </c>
      <c r="E49">
        <f t="shared" si="1"/>
        <v>94.197723722383401</v>
      </c>
      <c r="G49">
        <f t="shared" ca="1" si="2"/>
        <v>47</v>
      </c>
      <c r="H49">
        <f t="shared" ca="1" si="3"/>
        <v>4427.2930149520198</v>
      </c>
      <c r="I49">
        <f t="shared" ca="1" si="4"/>
        <v>32670.010972411641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1"/>
        <v>0</v>
      </c>
      <c r="G50">
        <f t="shared" ca="1" si="2"/>
        <v>48</v>
      </c>
      <c r="H50">
        <f t="shared" ca="1" si="3"/>
        <v>0</v>
      </c>
      <c r="I50">
        <f t="shared" ca="1" si="4"/>
        <v>0</v>
      </c>
    </row>
    <row r="51" spans="1:9">
      <c r="A51" s="66">
        <v>58182</v>
      </c>
      <c r="B51" s="66">
        <v>58182</v>
      </c>
      <c r="D51">
        <f t="shared" si="0"/>
        <v>86.561035483151088</v>
      </c>
      <c r="E51">
        <f t="shared" si="1"/>
        <v>86.561035483151088</v>
      </c>
      <c r="G51">
        <f t="shared" ca="1" si="2"/>
        <v>49</v>
      </c>
      <c r="H51">
        <f t="shared" ca="1" si="3"/>
        <v>4241.4907386744035</v>
      </c>
      <c r="I51">
        <f t="shared" ca="1" si="4"/>
        <v>23919.494187560314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1"/>
        <v>0</v>
      </c>
      <c r="G52">
        <f t="shared" ca="1" si="2"/>
        <v>50</v>
      </c>
      <c r="H52">
        <f t="shared" ca="1" si="3"/>
        <v>0</v>
      </c>
      <c r="I52">
        <f t="shared" ca="1" si="4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1"/>
        <v>0</v>
      </c>
      <c r="G53">
        <f t="shared" ca="1" si="2"/>
        <v>51</v>
      </c>
      <c r="H53">
        <f t="shared" ca="1" si="3"/>
        <v>0</v>
      </c>
      <c r="I53">
        <f t="shared" ca="1" si="4"/>
        <v>0</v>
      </c>
    </row>
    <row r="54" spans="1:9">
      <c r="A54" s="66">
        <v>59854</v>
      </c>
      <c r="B54" s="66">
        <v>59854</v>
      </c>
      <c r="D54">
        <f t="shared" si="0"/>
        <v>89.048575466785692</v>
      </c>
      <c r="E54">
        <f t="shared" si="1"/>
        <v>89.048575466785692</v>
      </c>
      <c r="G54">
        <f t="shared" ca="1" si="2"/>
        <v>52</v>
      </c>
      <c r="H54">
        <f t="shared" ca="1" si="3"/>
        <v>4630.5259242728562</v>
      </c>
      <c r="I54">
        <f t="shared" ca="1" si="4"/>
        <v>16526.679055127741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1"/>
        <v>0</v>
      </c>
      <c r="G55">
        <f t="shared" ca="1" si="2"/>
        <v>53</v>
      </c>
      <c r="H55">
        <f t="shared" ca="1" si="3"/>
        <v>0</v>
      </c>
      <c r="I55">
        <f t="shared" ca="1" si="4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1"/>
        <v>0</v>
      </c>
      <c r="G56">
        <f t="shared" ca="1" si="2"/>
        <v>54</v>
      </c>
      <c r="H56">
        <f t="shared" ca="1" si="3"/>
        <v>0</v>
      </c>
      <c r="I56">
        <f t="shared" ca="1" si="4"/>
        <v>0</v>
      </c>
    </row>
    <row r="57" spans="1:9">
      <c r="A57" s="66">
        <v>63542</v>
      </c>
      <c r="B57" s="66">
        <v>63542</v>
      </c>
      <c r="D57">
        <f t="shared" si="0"/>
        <v>94.535445957003645</v>
      </c>
      <c r="E57">
        <f t="shared" si="1"/>
        <v>94.535445957003645</v>
      </c>
      <c r="G57">
        <f t="shared" ca="1" si="2"/>
        <v>55</v>
      </c>
      <c r="H57">
        <f t="shared" ca="1" si="3"/>
        <v>5199.4495276352009</v>
      </c>
      <c r="I57">
        <f t="shared" ca="1" si="4"/>
        <v>10668.560992437919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1"/>
        <v>0</v>
      </c>
      <c r="G58">
        <f t="shared" ca="1" si="2"/>
        <v>56</v>
      </c>
      <c r="H58">
        <f t="shared" ca="1" si="3"/>
        <v>0</v>
      </c>
      <c r="I58">
        <f t="shared" ca="1" si="4"/>
        <v>0</v>
      </c>
    </row>
    <row r="59" spans="1:9">
      <c r="A59" s="66">
        <v>61338</v>
      </c>
      <c r="B59" s="66">
        <v>61338</v>
      </c>
      <c r="D59">
        <f t="shared" si="0"/>
        <v>91.256415978576214</v>
      </c>
      <c r="E59">
        <f t="shared" si="1"/>
        <v>91.256415978576214</v>
      </c>
      <c r="G59">
        <f t="shared" ca="1" si="2"/>
        <v>57</v>
      </c>
      <c r="H59">
        <f t="shared" ca="1" si="3"/>
        <v>5201.615710778844</v>
      </c>
      <c r="I59">
        <f t="shared" ca="1" si="4"/>
        <v>6785.7972923316529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1"/>
        <v>0</v>
      </c>
      <c r="G60">
        <f t="shared" ca="1" si="2"/>
        <v>58</v>
      </c>
      <c r="H60">
        <f t="shared" ca="1" si="3"/>
        <v>0</v>
      </c>
      <c r="I60">
        <f t="shared" ca="1" si="4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1"/>
        <v>0</v>
      </c>
      <c r="G61">
        <f t="shared" ca="1" si="2"/>
        <v>59</v>
      </c>
      <c r="H61">
        <f t="shared" ca="1" si="3"/>
        <v>0</v>
      </c>
      <c r="I61">
        <f t="shared" ca="1" si="4"/>
        <v>0</v>
      </c>
    </row>
    <row r="62" spans="1:9">
      <c r="A62" s="66">
        <v>63101</v>
      </c>
      <c r="B62" s="66">
        <v>63101</v>
      </c>
      <c r="D62">
        <f t="shared" si="0"/>
        <v>93.879342408688544</v>
      </c>
      <c r="E62">
        <f t="shared" si="1"/>
        <v>93.879342408688544</v>
      </c>
      <c r="G62">
        <f t="shared" ca="1" si="2"/>
        <v>60</v>
      </c>
      <c r="H62">
        <f t="shared" ca="1" si="3"/>
        <v>5632.760544521313</v>
      </c>
      <c r="I62">
        <f t="shared" ca="1" si="4"/>
        <v>2968.5061444968346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1"/>
        <v>0</v>
      </c>
      <c r="G63">
        <f t="shared" ca="1" si="2"/>
        <v>61</v>
      </c>
      <c r="H63">
        <f t="shared" ca="1" si="3"/>
        <v>0</v>
      </c>
      <c r="I63">
        <f t="shared" ca="1" si="4"/>
        <v>0</v>
      </c>
    </row>
    <row r="64" spans="1:9">
      <c r="A64" s="66">
        <v>56375</v>
      </c>
      <c r="B64" s="66">
        <v>56375</v>
      </c>
      <c r="D64">
        <f t="shared" si="0"/>
        <v>83.872647474522054</v>
      </c>
      <c r="E64">
        <f t="shared" si="1"/>
        <v>83.872647474522054</v>
      </c>
      <c r="G64">
        <f t="shared" ca="1" si="2"/>
        <v>62</v>
      </c>
      <c r="H64">
        <f t="shared" ca="1" si="3"/>
        <v>5200.1041434203671</v>
      </c>
      <c r="I64">
        <f t="shared" ca="1" si="4"/>
        <v>1101.0480971634129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1"/>
        <v>0</v>
      </c>
      <c r="G65">
        <f t="shared" ca="1" si="2"/>
        <v>63</v>
      </c>
      <c r="H65">
        <f t="shared" ca="1" si="3"/>
        <v>0</v>
      </c>
      <c r="I65">
        <f t="shared" ca="1" si="4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1"/>
        <v>0</v>
      </c>
      <c r="G66">
        <f t="shared" ca="1" si="2"/>
        <v>64</v>
      </c>
      <c r="H66">
        <f t="shared" ca="1" si="3"/>
        <v>0</v>
      </c>
      <c r="I66">
        <f t="shared" ca="1" si="4"/>
        <v>0</v>
      </c>
    </row>
    <row r="67" spans="1:9">
      <c r="A67" s="66">
        <v>59334</v>
      </c>
      <c r="B67" s="66">
        <v>59334</v>
      </c>
      <c r="D67">
        <f t="shared" ref="D67:D130" si="5">IFERROR( 100*A67/MAX(A$2:A$257), 0 )</f>
        <v>88.274938629770134</v>
      </c>
      <c r="E67">
        <f t="shared" ref="E67:E130" si="6">IFERROR( 100*B67/MAX(B$2:B$257), 0 )</f>
        <v>88.274938629770134</v>
      </c>
      <c r="G67">
        <f t="shared" ref="G67:G130" ca="1" si="7">CELL("row",D67)-2</f>
        <v>65</v>
      </c>
      <c r="H67">
        <f t="shared" ref="H67:H130" ca="1" si="8">D67*G67</f>
        <v>5737.8710109350586</v>
      </c>
      <c r="I67">
        <f t="shared" ref="I67:I130" ca="1" si="9">D67*((G67-$L$1)^2)</f>
        <v>34.284672705811062</v>
      </c>
    </row>
    <row r="68" spans="1:9">
      <c r="A68" s="66">
        <v>0</v>
      </c>
      <c r="B68" s="66">
        <v>0</v>
      </c>
      <c r="D68">
        <f t="shared" si="5"/>
        <v>0</v>
      </c>
      <c r="E68">
        <f t="shared" si="6"/>
        <v>0</v>
      </c>
      <c r="G68">
        <f t="shared" ca="1" si="7"/>
        <v>66</v>
      </c>
      <c r="H68">
        <f t="shared" ca="1" si="8"/>
        <v>0</v>
      </c>
      <c r="I68">
        <f t="shared" ca="1" si="9"/>
        <v>0</v>
      </c>
    </row>
    <row r="69" spans="1:9">
      <c r="A69" s="66">
        <v>57820</v>
      </c>
      <c r="B69" s="66">
        <v>57820</v>
      </c>
      <c r="D69">
        <f t="shared" si="5"/>
        <v>86.022465223536415</v>
      </c>
      <c r="E69">
        <f t="shared" si="6"/>
        <v>86.022465223536415</v>
      </c>
      <c r="G69">
        <f t="shared" ca="1" si="7"/>
        <v>67</v>
      </c>
      <c r="H69">
        <f t="shared" ca="1" si="8"/>
        <v>5763.5051699769401</v>
      </c>
      <c r="I69">
        <f t="shared" ca="1" si="9"/>
        <v>163.06100557380668</v>
      </c>
    </row>
    <row r="70" spans="1:9">
      <c r="A70" s="66">
        <v>0</v>
      </c>
      <c r="B70" s="66">
        <v>0</v>
      </c>
      <c r="D70">
        <f t="shared" si="5"/>
        <v>0</v>
      </c>
      <c r="E70">
        <f t="shared" si="6"/>
        <v>0</v>
      </c>
      <c r="G70">
        <f t="shared" ca="1" si="7"/>
        <v>68</v>
      </c>
      <c r="H70">
        <f t="shared" ca="1" si="8"/>
        <v>0</v>
      </c>
      <c r="I70">
        <f t="shared" ca="1" si="9"/>
        <v>0</v>
      </c>
    </row>
    <row r="71" spans="1:9">
      <c r="A71" s="66">
        <v>0</v>
      </c>
      <c r="B71" s="66">
        <v>0</v>
      </c>
      <c r="D71">
        <f t="shared" si="5"/>
        <v>0</v>
      </c>
      <c r="E71">
        <f t="shared" si="6"/>
        <v>0</v>
      </c>
      <c r="G71">
        <f t="shared" ca="1" si="7"/>
        <v>69</v>
      </c>
      <c r="H71">
        <f t="shared" ca="1" si="8"/>
        <v>0</v>
      </c>
      <c r="I71">
        <f t="shared" ca="1" si="9"/>
        <v>0</v>
      </c>
    </row>
    <row r="72" spans="1:9">
      <c r="A72" s="66">
        <v>61083</v>
      </c>
      <c r="B72" s="66">
        <v>61083</v>
      </c>
      <c r="D72">
        <f t="shared" si="5"/>
        <v>90.87703637580897</v>
      </c>
      <c r="E72">
        <f t="shared" si="6"/>
        <v>90.87703637580897</v>
      </c>
      <c r="G72">
        <f t="shared" ca="1" si="7"/>
        <v>70</v>
      </c>
      <c r="H72">
        <f t="shared" ca="1" si="8"/>
        <v>6361.392546306628</v>
      </c>
      <c r="I72">
        <f t="shared" ca="1" si="9"/>
        <v>1740.8704905538982</v>
      </c>
    </row>
    <row r="73" spans="1:9">
      <c r="A73" s="66">
        <v>0</v>
      </c>
      <c r="B73" s="66">
        <v>0</v>
      </c>
      <c r="D73">
        <f t="shared" si="5"/>
        <v>0</v>
      </c>
      <c r="E73">
        <f t="shared" si="6"/>
        <v>0</v>
      </c>
      <c r="G73">
        <f t="shared" ca="1" si="7"/>
        <v>71</v>
      </c>
      <c r="H73">
        <f t="shared" ca="1" si="8"/>
        <v>0</v>
      </c>
      <c r="I73">
        <f t="shared" ca="1" si="9"/>
        <v>0</v>
      </c>
    </row>
    <row r="74" spans="1:9">
      <c r="A74" s="66">
        <v>0</v>
      </c>
      <c r="B74" s="66">
        <v>0</v>
      </c>
      <c r="D74">
        <f t="shared" si="5"/>
        <v>0</v>
      </c>
      <c r="E74">
        <f t="shared" si="6"/>
        <v>0</v>
      </c>
      <c r="G74">
        <f t="shared" ca="1" si="7"/>
        <v>72</v>
      </c>
      <c r="H74">
        <f t="shared" ca="1" si="8"/>
        <v>0</v>
      </c>
      <c r="I74">
        <f t="shared" ca="1" si="9"/>
        <v>0</v>
      </c>
    </row>
    <row r="75" spans="1:9">
      <c r="A75" s="66">
        <v>61208</v>
      </c>
      <c r="B75" s="66">
        <v>61208</v>
      </c>
      <c r="D75">
        <f t="shared" si="5"/>
        <v>91.063006769322328</v>
      </c>
      <c r="E75">
        <f t="shared" si="6"/>
        <v>91.063006769322328</v>
      </c>
      <c r="G75">
        <f t="shared" ca="1" si="7"/>
        <v>73</v>
      </c>
      <c r="H75">
        <f t="shared" ca="1" si="8"/>
        <v>6647.5994941605295</v>
      </c>
      <c r="I75">
        <f t="shared" ca="1" si="9"/>
        <v>4955.384453557971</v>
      </c>
    </row>
    <row r="76" spans="1:9">
      <c r="A76" s="66">
        <v>0</v>
      </c>
      <c r="B76" s="66">
        <v>0</v>
      </c>
      <c r="D76">
        <f t="shared" si="5"/>
        <v>0</v>
      </c>
      <c r="E76">
        <f t="shared" si="6"/>
        <v>0</v>
      </c>
      <c r="G76">
        <f t="shared" ca="1" si="7"/>
        <v>74</v>
      </c>
      <c r="H76">
        <f t="shared" ca="1" si="8"/>
        <v>0</v>
      </c>
      <c r="I76">
        <f t="shared" ca="1" si="9"/>
        <v>0</v>
      </c>
    </row>
    <row r="77" spans="1:9">
      <c r="A77" s="66">
        <v>53584</v>
      </c>
      <c r="B77" s="66">
        <v>53584</v>
      </c>
      <c r="D77">
        <f t="shared" si="5"/>
        <v>79.720300528155917</v>
      </c>
      <c r="E77">
        <f t="shared" si="6"/>
        <v>79.720300528155917</v>
      </c>
      <c r="G77">
        <f t="shared" ca="1" si="7"/>
        <v>75</v>
      </c>
      <c r="H77">
        <f t="shared" ca="1" si="8"/>
        <v>5979.0225396116939</v>
      </c>
      <c r="I77">
        <f t="shared" ca="1" si="9"/>
        <v>7009.3496036080414</v>
      </c>
    </row>
    <row r="78" spans="1:9">
      <c r="A78" s="66">
        <v>0</v>
      </c>
      <c r="B78" s="66">
        <v>0</v>
      </c>
      <c r="D78">
        <f t="shared" si="5"/>
        <v>0</v>
      </c>
      <c r="E78">
        <f t="shared" si="6"/>
        <v>0</v>
      </c>
      <c r="G78">
        <f t="shared" ca="1" si="7"/>
        <v>76</v>
      </c>
      <c r="H78">
        <f t="shared" ca="1" si="8"/>
        <v>0</v>
      </c>
      <c r="I78">
        <f t="shared" ca="1" si="9"/>
        <v>0</v>
      </c>
    </row>
    <row r="79" spans="1:9">
      <c r="A79" s="66">
        <v>0</v>
      </c>
      <c r="B79" s="66">
        <v>0</v>
      </c>
      <c r="D79">
        <f t="shared" si="5"/>
        <v>0</v>
      </c>
      <c r="E79">
        <f t="shared" si="6"/>
        <v>0</v>
      </c>
      <c r="G79">
        <f t="shared" ca="1" si="7"/>
        <v>77</v>
      </c>
      <c r="H79">
        <f t="shared" ca="1" si="8"/>
        <v>0</v>
      </c>
      <c r="I79">
        <f t="shared" ca="1" si="9"/>
        <v>0</v>
      </c>
    </row>
    <row r="80" spans="1:9">
      <c r="A80" s="66">
        <v>51169</v>
      </c>
      <c r="B80" s="66">
        <v>51169</v>
      </c>
      <c r="D80">
        <f t="shared" si="5"/>
        <v>76.127352525477946</v>
      </c>
      <c r="E80">
        <f t="shared" si="6"/>
        <v>76.127352525477946</v>
      </c>
      <c r="G80">
        <f t="shared" ca="1" si="7"/>
        <v>78</v>
      </c>
      <c r="H80">
        <f t="shared" ca="1" si="8"/>
        <v>5937.9334969872798</v>
      </c>
      <c r="I80">
        <f t="shared" ca="1" si="9"/>
        <v>11661.571662512959</v>
      </c>
    </row>
    <row r="81" spans="1:9">
      <c r="A81" s="66">
        <v>0</v>
      </c>
      <c r="B81" s="66">
        <v>0</v>
      </c>
      <c r="D81">
        <f t="shared" si="5"/>
        <v>0</v>
      </c>
      <c r="E81">
        <f t="shared" si="6"/>
        <v>0</v>
      </c>
      <c r="G81">
        <f t="shared" ca="1" si="7"/>
        <v>79</v>
      </c>
      <c r="H81">
        <f t="shared" ca="1" si="8"/>
        <v>0</v>
      </c>
      <c r="I81">
        <f t="shared" ca="1" si="9"/>
        <v>0</v>
      </c>
    </row>
    <row r="82" spans="1:9">
      <c r="A82" s="66">
        <v>49369</v>
      </c>
      <c r="B82" s="66">
        <v>49369</v>
      </c>
      <c r="D82">
        <f t="shared" si="5"/>
        <v>73.449378858885666</v>
      </c>
      <c r="E82">
        <f t="shared" si="6"/>
        <v>73.449378858885666</v>
      </c>
      <c r="G82">
        <f t="shared" ca="1" si="7"/>
        <v>80</v>
      </c>
      <c r="H82">
        <f t="shared" ca="1" si="8"/>
        <v>5875.9503087108533</v>
      </c>
      <c r="I82">
        <f t="shared" ca="1" si="9"/>
        <v>15181.415137585558</v>
      </c>
    </row>
    <row r="83" spans="1:9">
      <c r="A83" s="66">
        <v>0</v>
      </c>
      <c r="B83" s="66">
        <v>0</v>
      </c>
      <c r="D83">
        <f t="shared" si="5"/>
        <v>0</v>
      </c>
      <c r="E83">
        <f t="shared" si="6"/>
        <v>0</v>
      </c>
      <c r="G83">
        <f t="shared" ca="1" si="7"/>
        <v>81</v>
      </c>
      <c r="H83">
        <f t="shared" ca="1" si="8"/>
        <v>0</v>
      </c>
      <c r="I83">
        <f t="shared" ca="1" si="9"/>
        <v>0</v>
      </c>
    </row>
    <row r="84" spans="1:9">
      <c r="A84" s="66">
        <v>0</v>
      </c>
      <c r="B84" s="66">
        <v>0</v>
      </c>
      <c r="D84">
        <f t="shared" si="5"/>
        <v>0</v>
      </c>
      <c r="E84">
        <f t="shared" si="6"/>
        <v>0</v>
      </c>
      <c r="G84">
        <f t="shared" ca="1" si="7"/>
        <v>82</v>
      </c>
      <c r="H84">
        <f t="shared" ca="1" si="8"/>
        <v>0</v>
      </c>
      <c r="I84">
        <f t="shared" ca="1" si="9"/>
        <v>0</v>
      </c>
    </row>
    <row r="85" spans="1:9">
      <c r="A85" s="66">
        <v>44222</v>
      </c>
      <c r="B85" s="66">
        <v>44222</v>
      </c>
      <c r="D85">
        <f t="shared" si="5"/>
        <v>65.79186193557986</v>
      </c>
      <c r="E85">
        <f t="shared" si="6"/>
        <v>65.79186193557986</v>
      </c>
      <c r="G85">
        <f t="shared" ca="1" si="7"/>
        <v>83</v>
      </c>
      <c r="H85">
        <f t="shared" ca="1" si="8"/>
        <v>5460.7245406531283</v>
      </c>
      <c r="I85">
        <f t="shared" ca="1" si="9"/>
        <v>19866.049191046946</v>
      </c>
    </row>
    <row r="86" spans="1:9">
      <c r="A86" s="66">
        <v>0</v>
      </c>
      <c r="B86" s="66">
        <v>0</v>
      </c>
      <c r="D86">
        <f t="shared" si="5"/>
        <v>0</v>
      </c>
      <c r="E86">
        <f t="shared" si="6"/>
        <v>0</v>
      </c>
      <c r="G86">
        <f t="shared" ca="1" si="7"/>
        <v>84</v>
      </c>
      <c r="H86">
        <f t="shared" ca="1" si="8"/>
        <v>0</v>
      </c>
      <c r="I86">
        <f t="shared" ca="1" si="9"/>
        <v>0</v>
      </c>
    </row>
    <row r="87" spans="1:9">
      <c r="A87" s="66">
        <v>0</v>
      </c>
      <c r="B87" s="66">
        <v>0</v>
      </c>
      <c r="D87">
        <f t="shared" si="5"/>
        <v>0</v>
      </c>
      <c r="E87">
        <f t="shared" si="6"/>
        <v>0</v>
      </c>
      <c r="G87">
        <f t="shared" ca="1" si="7"/>
        <v>85</v>
      </c>
      <c r="H87">
        <f t="shared" ca="1" si="8"/>
        <v>0</v>
      </c>
      <c r="I87">
        <f t="shared" ca="1" si="9"/>
        <v>0</v>
      </c>
    </row>
    <row r="88" spans="1:9">
      <c r="A88" s="66">
        <v>38627</v>
      </c>
      <c r="B88" s="66">
        <v>38627</v>
      </c>
      <c r="D88">
        <f t="shared" si="5"/>
        <v>57.467827121922191</v>
      </c>
      <c r="E88">
        <f t="shared" si="6"/>
        <v>57.467827121922191</v>
      </c>
      <c r="G88">
        <f t="shared" ca="1" si="7"/>
        <v>86</v>
      </c>
      <c r="H88">
        <f t="shared" ca="1" si="8"/>
        <v>4942.2331324853085</v>
      </c>
      <c r="I88">
        <f t="shared" ca="1" si="9"/>
        <v>23861.432190890471</v>
      </c>
    </row>
    <row r="89" spans="1:9">
      <c r="A89" s="66">
        <v>0</v>
      </c>
      <c r="B89" s="66">
        <v>0</v>
      </c>
      <c r="D89">
        <f t="shared" si="5"/>
        <v>0</v>
      </c>
      <c r="E89">
        <f t="shared" si="6"/>
        <v>0</v>
      </c>
      <c r="G89">
        <f t="shared" ca="1" si="7"/>
        <v>87</v>
      </c>
      <c r="H89">
        <f t="shared" ca="1" si="8"/>
        <v>0</v>
      </c>
      <c r="I89">
        <f t="shared" ca="1" si="9"/>
        <v>0</v>
      </c>
    </row>
    <row r="90" spans="1:9">
      <c r="A90" s="66">
        <v>38947</v>
      </c>
      <c r="B90" s="66">
        <v>38947</v>
      </c>
      <c r="D90">
        <f t="shared" si="5"/>
        <v>57.943911329316371</v>
      </c>
      <c r="E90">
        <f t="shared" si="6"/>
        <v>57.943911329316371</v>
      </c>
      <c r="G90">
        <f t="shared" ca="1" si="7"/>
        <v>88</v>
      </c>
      <c r="H90">
        <f t="shared" ca="1" si="8"/>
        <v>5099.0641969798407</v>
      </c>
      <c r="I90">
        <f t="shared" ca="1" si="9"/>
        <v>29013.729236801646</v>
      </c>
    </row>
    <row r="91" spans="1:9">
      <c r="A91" s="66">
        <v>0</v>
      </c>
      <c r="B91" s="66">
        <v>0</v>
      </c>
      <c r="D91">
        <f t="shared" si="5"/>
        <v>0</v>
      </c>
      <c r="E91">
        <f t="shared" si="6"/>
        <v>0</v>
      </c>
      <c r="G91">
        <f t="shared" ca="1" si="7"/>
        <v>89</v>
      </c>
      <c r="H91">
        <f t="shared" ca="1" si="8"/>
        <v>0</v>
      </c>
      <c r="I91">
        <f t="shared" ca="1" si="9"/>
        <v>0</v>
      </c>
    </row>
    <row r="92" spans="1:9">
      <c r="A92" s="66">
        <v>0</v>
      </c>
      <c r="B92" s="66">
        <v>0</v>
      </c>
      <c r="D92">
        <f t="shared" si="5"/>
        <v>0</v>
      </c>
      <c r="E92">
        <f t="shared" si="6"/>
        <v>0</v>
      </c>
      <c r="G92">
        <f t="shared" ca="1" si="7"/>
        <v>90</v>
      </c>
      <c r="H92">
        <f t="shared" ca="1" si="8"/>
        <v>0</v>
      </c>
      <c r="I92">
        <f t="shared" ca="1" si="9"/>
        <v>0</v>
      </c>
    </row>
    <row r="93" spans="1:9">
      <c r="A93" s="66">
        <v>33111</v>
      </c>
      <c r="B93" s="66">
        <v>33111</v>
      </c>
      <c r="D93">
        <f t="shared" si="5"/>
        <v>49.261325596964966</v>
      </c>
      <c r="E93">
        <f t="shared" si="6"/>
        <v>49.261325596964966</v>
      </c>
      <c r="G93">
        <f t="shared" ca="1" si="7"/>
        <v>91</v>
      </c>
      <c r="H93">
        <f t="shared" ca="1" si="8"/>
        <v>4482.7806293238118</v>
      </c>
      <c r="I93">
        <f t="shared" ca="1" si="9"/>
        <v>31723.392106269977</v>
      </c>
    </row>
    <row r="94" spans="1:9">
      <c r="A94" s="66">
        <v>0</v>
      </c>
      <c r="B94" s="66">
        <v>0</v>
      </c>
      <c r="D94">
        <f t="shared" si="5"/>
        <v>0</v>
      </c>
      <c r="E94">
        <f t="shared" si="6"/>
        <v>0</v>
      </c>
      <c r="G94">
        <f t="shared" ca="1" si="7"/>
        <v>92</v>
      </c>
      <c r="H94">
        <f t="shared" ca="1" si="8"/>
        <v>0</v>
      </c>
      <c r="I94">
        <f t="shared" ca="1" si="9"/>
        <v>0</v>
      </c>
    </row>
    <row r="95" spans="1:9">
      <c r="A95" s="66">
        <v>35156</v>
      </c>
      <c r="B95" s="66">
        <v>35156</v>
      </c>
      <c r="D95">
        <f t="shared" si="5"/>
        <v>52.303801234843412</v>
      </c>
      <c r="E95">
        <f t="shared" si="6"/>
        <v>52.303801234843412</v>
      </c>
      <c r="G95">
        <f t="shared" ca="1" si="7"/>
        <v>93</v>
      </c>
      <c r="H95">
        <f t="shared" ca="1" si="8"/>
        <v>4864.2535148404377</v>
      </c>
      <c r="I95">
        <f t="shared" ca="1" si="9"/>
        <v>39201.117196500054</v>
      </c>
    </row>
    <row r="96" spans="1:9">
      <c r="A96" s="66">
        <v>0</v>
      </c>
      <c r="B96" s="66">
        <v>0</v>
      </c>
      <c r="D96">
        <f t="shared" si="5"/>
        <v>0</v>
      </c>
      <c r="E96">
        <f t="shared" si="6"/>
        <v>0</v>
      </c>
      <c r="G96">
        <f t="shared" ca="1" si="7"/>
        <v>94</v>
      </c>
      <c r="H96">
        <f t="shared" ca="1" si="8"/>
        <v>0</v>
      </c>
      <c r="I96">
        <f t="shared" ca="1" si="9"/>
        <v>0</v>
      </c>
    </row>
    <row r="97" spans="1:9">
      <c r="A97" s="66">
        <v>0</v>
      </c>
      <c r="B97" s="66">
        <v>0</v>
      </c>
      <c r="D97">
        <f t="shared" si="5"/>
        <v>0</v>
      </c>
      <c r="E97">
        <f t="shared" si="6"/>
        <v>0</v>
      </c>
      <c r="G97">
        <f t="shared" ca="1" si="7"/>
        <v>95</v>
      </c>
      <c r="H97">
        <f t="shared" ca="1" si="8"/>
        <v>0</v>
      </c>
      <c r="I97">
        <f t="shared" ca="1" si="9"/>
        <v>0</v>
      </c>
    </row>
    <row r="98" spans="1:9">
      <c r="A98" s="66">
        <v>31465</v>
      </c>
      <c r="B98" s="66">
        <v>31465</v>
      </c>
      <c r="D98">
        <f t="shared" si="5"/>
        <v>46.812467455181135</v>
      </c>
      <c r="E98">
        <f t="shared" si="6"/>
        <v>46.812467455181135</v>
      </c>
      <c r="G98">
        <f t="shared" ca="1" si="7"/>
        <v>96</v>
      </c>
      <c r="H98">
        <f t="shared" ca="1" si="8"/>
        <v>4493.9968756973885</v>
      </c>
      <c r="I98">
        <f t="shared" ca="1" si="9"/>
        <v>43196.187625079627</v>
      </c>
    </row>
    <row r="99" spans="1:9">
      <c r="A99" s="66">
        <v>0</v>
      </c>
      <c r="B99" s="66">
        <v>0</v>
      </c>
      <c r="D99">
        <f t="shared" si="5"/>
        <v>0</v>
      </c>
      <c r="E99">
        <f t="shared" si="6"/>
        <v>0</v>
      </c>
      <c r="G99">
        <f t="shared" ca="1" si="7"/>
        <v>97</v>
      </c>
      <c r="H99">
        <f t="shared" ca="1" si="8"/>
        <v>0</v>
      </c>
      <c r="I99">
        <f t="shared" ca="1" si="9"/>
        <v>0</v>
      </c>
    </row>
    <row r="100" spans="1:9">
      <c r="A100" s="66">
        <v>31636</v>
      </c>
      <c r="B100" s="66">
        <v>31636</v>
      </c>
      <c r="D100">
        <f t="shared" si="5"/>
        <v>47.066874953507401</v>
      </c>
      <c r="E100">
        <f t="shared" si="6"/>
        <v>47.066874953507401</v>
      </c>
      <c r="G100">
        <f t="shared" ca="1" si="7"/>
        <v>98</v>
      </c>
      <c r="H100">
        <f t="shared" ca="1" si="8"/>
        <v>4612.5537454437253</v>
      </c>
      <c r="I100">
        <f t="shared" ca="1" si="9"/>
        <v>49338.172702125034</v>
      </c>
    </row>
    <row r="101" spans="1:9">
      <c r="A101" s="66">
        <v>0</v>
      </c>
      <c r="B101" s="66">
        <v>0</v>
      </c>
      <c r="D101">
        <f t="shared" si="5"/>
        <v>0</v>
      </c>
      <c r="E101">
        <f t="shared" si="6"/>
        <v>0</v>
      </c>
      <c r="G101">
        <f t="shared" ca="1" si="7"/>
        <v>99</v>
      </c>
      <c r="H101">
        <f t="shared" ca="1" si="8"/>
        <v>0</v>
      </c>
      <c r="I101">
        <f t="shared" ca="1" si="9"/>
        <v>0</v>
      </c>
    </row>
    <row r="102" spans="1:9">
      <c r="A102" s="66">
        <v>0</v>
      </c>
      <c r="B102" s="66">
        <v>0</v>
      </c>
      <c r="D102">
        <f t="shared" si="5"/>
        <v>0</v>
      </c>
      <c r="E102">
        <f t="shared" si="6"/>
        <v>0</v>
      </c>
      <c r="G102">
        <f t="shared" ca="1" si="7"/>
        <v>100</v>
      </c>
      <c r="H102">
        <f t="shared" ca="1" si="8"/>
        <v>0</v>
      </c>
      <c r="I102">
        <f t="shared" ca="1" si="9"/>
        <v>0</v>
      </c>
    </row>
    <row r="103" spans="1:9">
      <c r="A103" s="66">
        <v>29737</v>
      </c>
      <c r="B103" s="66">
        <v>29737</v>
      </c>
      <c r="D103">
        <f t="shared" si="5"/>
        <v>44.241612735252545</v>
      </c>
      <c r="E103">
        <f t="shared" si="6"/>
        <v>44.241612735252545</v>
      </c>
      <c r="G103">
        <f t="shared" ca="1" si="7"/>
        <v>101</v>
      </c>
      <c r="H103">
        <f t="shared" ca="1" si="8"/>
        <v>4468.4028862605073</v>
      </c>
      <c r="I103">
        <f t="shared" ca="1" si="9"/>
        <v>55369.15644382147</v>
      </c>
    </row>
    <row r="104" spans="1:9">
      <c r="A104" s="66">
        <v>0</v>
      </c>
      <c r="B104" s="66">
        <v>0</v>
      </c>
      <c r="D104">
        <f t="shared" si="5"/>
        <v>0</v>
      </c>
      <c r="E104">
        <f t="shared" si="6"/>
        <v>0</v>
      </c>
      <c r="G104">
        <f t="shared" ca="1" si="7"/>
        <v>102</v>
      </c>
      <c r="H104">
        <f t="shared" ca="1" si="8"/>
        <v>0</v>
      </c>
      <c r="I104">
        <f t="shared" ca="1" si="9"/>
        <v>0</v>
      </c>
    </row>
    <row r="105" spans="1:9">
      <c r="A105" s="66">
        <v>0</v>
      </c>
      <c r="B105" s="66">
        <v>0</v>
      </c>
      <c r="D105">
        <f t="shared" si="5"/>
        <v>0</v>
      </c>
      <c r="E105">
        <f t="shared" si="6"/>
        <v>0</v>
      </c>
      <c r="G105">
        <f t="shared" ca="1" si="7"/>
        <v>103</v>
      </c>
      <c r="H105">
        <f t="shared" ca="1" si="8"/>
        <v>0</v>
      </c>
      <c r="I105">
        <f t="shared" ca="1" si="9"/>
        <v>0</v>
      </c>
    </row>
    <row r="106" spans="1:9">
      <c r="A106" s="66">
        <v>32415</v>
      </c>
      <c r="B106" s="66">
        <v>32415</v>
      </c>
      <c r="D106">
        <f t="shared" si="5"/>
        <v>48.225842445882613</v>
      </c>
      <c r="E106">
        <f t="shared" si="6"/>
        <v>48.225842445882613</v>
      </c>
      <c r="G106">
        <f t="shared" ca="1" si="7"/>
        <v>104</v>
      </c>
      <c r="H106">
        <f t="shared" ca="1" si="8"/>
        <v>5015.487614371792</v>
      </c>
      <c r="I106">
        <f t="shared" ca="1" si="9"/>
        <v>71025.976882735995</v>
      </c>
    </row>
    <row r="107" spans="1:9">
      <c r="A107" s="66">
        <v>0</v>
      </c>
      <c r="B107" s="66">
        <v>0</v>
      </c>
      <c r="D107">
        <f t="shared" si="5"/>
        <v>0</v>
      </c>
      <c r="E107">
        <f t="shared" si="6"/>
        <v>0</v>
      </c>
      <c r="G107">
        <f t="shared" ca="1" si="7"/>
        <v>105</v>
      </c>
      <c r="H107">
        <f t="shared" ca="1" si="8"/>
        <v>0</v>
      </c>
      <c r="I107">
        <f t="shared" ca="1" si="9"/>
        <v>0</v>
      </c>
    </row>
    <row r="108" spans="1:9">
      <c r="A108" s="66">
        <v>32437</v>
      </c>
      <c r="B108" s="66">
        <v>32437</v>
      </c>
      <c r="D108">
        <f t="shared" si="5"/>
        <v>48.258573235140965</v>
      </c>
      <c r="E108">
        <f t="shared" si="6"/>
        <v>48.258573235140965</v>
      </c>
      <c r="G108">
        <f t="shared" ca="1" si="7"/>
        <v>106</v>
      </c>
      <c r="H108">
        <f t="shared" ca="1" si="8"/>
        <v>5115.4087629249425</v>
      </c>
      <c r="I108">
        <f t="shared" ca="1" si="9"/>
        <v>78675.253761291024</v>
      </c>
    </row>
    <row r="109" spans="1:9">
      <c r="A109" s="66">
        <v>0</v>
      </c>
      <c r="B109" s="66">
        <v>0</v>
      </c>
      <c r="D109">
        <f t="shared" si="5"/>
        <v>0</v>
      </c>
      <c r="E109">
        <f t="shared" si="6"/>
        <v>0</v>
      </c>
      <c r="G109">
        <f t="shared" ca="1" si="7"/>
        <v>107</v>
      </c>
      <c r="H109">
        <f t="shared" ca="1" si="8"/>
        <v>0</v>
      </c>
      <c r="I109">
        <f t="shared" ca="1" si="9"/>
        <v>0</v>
      </c>
    </row>
    <row r="110" spans="1:9">
      <c r="A110" s="66">
        <v>0</v>
      </c>
      <c r="B110" s="66">
        <v>0</v>
      </c>
      <c r="D110">
        <f t="shared" si="5"/>
        <v>0</v>
      </c>
      <c r="E110">
        <f t="shared" si="6"/>
        <v>0</v>
      </c>
      <c r="G110">
        <f t="shared" ca="1" si="7"/>
        <v>108</v>
      </c>
      <c r="H110">
        <f t="shared" ca="1" si="8"/>
        <v>0</v>
      </c>
      <c r="I110">
        <f t="shared" ca="1" si="9"/>
        <v>0</v>
      </c>
    </row>
    <row r="111" spans="1:9">
      <c r="A111" s="66">
        <v>30946</v>
      </c>
      <c r="B111" s="66">
        <v>30946</v>
      </c>
      <c r="D111">
        <f t="shared" si="5"/>
        <v>46.040318381313696</v>
      </c>
      <c r="E111">
        <f t="shared" si="6"/>
        <v>46.040318381313696</v>
      </c>
      <c r="G111">
        <f t="shared" ca="1" si="7"/>
        <v>109</v>
      </c>
      <c r="H111">
        <f t="shared" ca="1" si="8"/>
        <v>5018.3947035631927</v>
      </c>
      <c r="I111">
        <f t="shared" ca="1" si="9"/>
        <v>86626.990669578605</v>
      </c>
    </row>
    <row r="112" spans="1:9">
      <c r="A112" s="66">
        <v>0</v>
      </c>
      <c r="B112" s="66">
        <v>0</v>
      </c>
      <c r="D112">
        <f t="shared" si="5"/>
        <v>0</v>
      </c>
      <c r="E112">
        <f t="shared" si="6"/>
        <v>0</v>
      </c>
      <c r="G112">
        <f t="shared" ca="1" si="7"/>
        <v>110</v>
      </c>
      <c r="H112">
        <f t="shared" ca="1" si="8"/>
        <v>0</v>
      </c>
      <c r="I112">
        <f t="shared" ca="1" si="9"/>
        <v>0</v>
      </c>
    </row>
    <row r="113" spans="1:9">
      <c r="A113" s="66">
        <v>29580</v>
      </c>
      <c r="B113" s="66">
        <v>29580</v>
      </c>
      <c r="D113">
        <f t="shared" si="5"/>
        <v>44.008033920999779</v>
      </c>
      <c r="E113">
        <f t="shared" si="6"/>
        <v>44.008033920999779</v>
      </c>
      <c r="G113">
        <f t="shared" ca="1" si="7"/>
        <v>111</v>
      </c>
      <c r="H113">
        <f t="shared" ca="1" si="8"/>
        <v>4884.8917652309756</v>
      </c>
      <c r="I113">
        <f t="shared" ca="1" si="9"/>
        <v>90614.895271152258</v>
      </c>
    </row>
    <row r="114" spans="1:9">
      <c r="A114" s="66">
        <v>0</v>
      </c>
      <c r="B114" s="66">
        <v>0</v>
      </c>
      <c r="D114">
        <f t="shared" si="5"/>
        <v>0</v>
      </c>
      <c r="E114">
        <f t="shared" si="6"/>
        <v>0</v>
      </c>
      <c r="G114">
        <f t="shared" ca="1" si="7"/>
        <v>112</v>
      </c>
      <c r="H114">
        <f t="shared" ca="1" si="8"/>
        <v>0</v>
      </c>
      <c r="I114">
        <f t="shared" ca="1" si="9"/>
        <v>0</v>
      </c>
    </row>
    <row r="115" spans="1:9">
      <c r="A115" s="66">
        <v>0</v>
      </c>
      <c r="B115" s="66">
        <v>0</v>
      </c>
      <c r="D115">
        <f t="shared" si="5"/>
        <v>0</v>
      </c>
      <c r="E115">
        <f t="shared" si="6"/>
        <v>0</v>
      </c>
      <c r="G115">
        <f t="shared" ca="1" si="7"/>
        <v>113</v>
      </c>
      <c r="H115">
        <f t="shared" ca="1" si="8"/>
        <v>0</v>
      </c>
      <c r="I115">
        <f t="shared" ca="1" si="9"/>
        <v>0</v>
      </c>
    </row>
    <row r="116" spans="1:9">
      <c r="A116" s="66">
        <v>24665</v>
      </c>
      <c r="B116" s="66">
        <v>24665</v>
      </c>
      <c r="D116">
        <f t="shared" si="5"/>
        <v>36.695678048054752</v>
      </c>
      <c r="E116">
        <f t="shared" si="6"/>
        <v>36.695678048054752</v>
      </c>
      <c r="G116">
        <f t="shared" ca="1" si="7"/>
        <v>114</v>
      </c>
      <c r="H116">
        <f t="shared" ca="1" si="8"/>
        <v>4183.3072974782417</v>
      </c>
      <c r="I116">
        <f t="shared" ca="1" si="9"/>
        <v>85879.418033070498</v>
      </c>
    </row>
    <row r="117" spans="1:9">
      <c r="A117" s="66">
        <v>0</v>
      </c>
      <c r="B117" s="66">
        <v>0</v>
      </c>
      <c r="D117">
        <f t="shared" si="5"/>
        <v>0</v>
      </c>
      <c r="E117">
        <f t="shared" si="6"/>
        <v>0</v>
      </c>
      <c r="G117">
        <f t="shared" ca="1" si="7"/>
        <v>115</v>
      </c>
      <c r="H117">
        <f t="shared" ca="1" si="8"/>
        <v>0</v>
      </c>
      <c r="I117">
        <f t="shared" ca="1" si="9"/>
        <v>0</v>
      </c>
    </row>
    <row r="118" spans="1:9">
      <c r="A118" s="66">
        <v>24724</v>
      </c>
      <c r="B118" s="66">
        <v>24724</v>
      </c>
      <c r="D118">
        <f t="shared" si="5"/>
        <v>36.783456073793054</v>
      </c>
      <c r="E118">
        <f t="shared" si="6"/>
        <v>36.783456073793054</v>
      </c>
      <c r="G118">
        <f t="shared" ca="1" si="7"/>
        <v>116</v>
      </c>
      <c r="H118">
        <f t="shared" ca="1" si="8"/>
        <v>4266.8809045599946</v>
      </c>
      <c r="I118">
        <f t="shared" ca="1" si="9"/>
        <v>93349.842800225641</v>
      </c>
    </row>
    <row r="119" spans="1:9">
      <c r="A119" s="66">
        <v>0</v>
      </c>
      <c r="B119" s="66">
        <v>0</v>
      </c>
      <c r="D119">
        <f t="shared" si="5"/>
        <v>0</v>
      </c>
      <c r="E119">
        <f t="shared" si="6"/>
        <v>0</v>
      </c>
      <c r="G119">
        <f t="shared" ca="1" si="7"/>
        <v>117</v>
      </c>
      <c r="H119">
        <f t="shared" ca="1" si="8"/>
        <v>0</v>
      </c>
      <c r="I119">
        <f t="shared" ca="1" si="9"/>
        <v>0</v>
      </c>
    </row>
    <row r="120" spans="1:9">
      <c r="A120" s="66">
        <v>0</v>
      </c>
      <c r="B120" s="66">
        <v>0</v>
      </c>
      <c r="D120">
        <f t="shared" si="5"/>
        <v>0</v>
      </c>
      <c r="E120">
        <f t="shared" si="6"/>
        <v>0</v>
      </c>
      <c r="G120">
        <f t="shared" ca="1" si="7"/>
        <v>118</v>
      </c>
      <c r="H120">
        <f t="shared" ca="1" si="8"/>
        <v>0</v>
      </c>
      <c r="I120">
        <f t="shared" ca="1" si="9"/>
        <v>0</v>
      </c>
    </row>
    <row r="121" spans="1:9">
      <c r="A121" s="66">
        <v>22282</v>
      </c>
      <c r="B121" s="66">
        <v>22282</v>
      </c>
      <c r="D121">
        <f t="shared" si="5"/>
        <v>33.150338466116196</v>
      </c>
      <c r="E121">
        <f t="shared" si="6"/>
        <v>33.150338466116196</v>
      </c>
      <c r="G121">
        <f t="shared" ca="1" si="7"/>
        <v>119</v>
      </c>
      <c r="H121">
        <f t="shared" ca="1" si="8"/>
        <v>3944.8902774678272</v>
      </c>
      <c r="I121">
        <f t="shared" ca="1" si="9"/>
        <v>94448.038879911372</v>
      </c>
    </row>
    <row r="122" spans="1:9">
      <c r="A122" s="66">
        <v>0</v>
      </c>
      <c r="B122" s="66">
        <v>0</v>
      </c>
      <c r="D122">
        <f t="shared" si="5"/>
        <v>0</v>
      </c>
      <c r="E122">
        <f t="shared" si="6"/>
        <v>0</v>
      </c>
      <c r="G122">
        <f t="shared" ca="1" si="7"/>
        <v>120</v>
      </c>
      <c r="H122">
        <f t="shared" ca="1" si="8"/>
        <v>0</v>
      </c>
      <c r="I122">
        <f t="shared" ca="1" si="9"/>
        <v>0</v>
      </c>
    </row>
    <row r="123" spans="1:9">
      <c r="A123" s="66">
        <v>0</v>
      </c>
      <c r="B123" s="66">
        <v>0</v>
      </c>
      <c r="D123">
        <f t="shared" si="5"/>
        <v>0</v>
      </c>
      <c r="E123">
        <f t="shared" si="6"/>
        <v>0</v>
      </c>
      <c r="G123">
        <f t="shared" ca="1" si="7"/>
        <v>121</v>
      </c>
      <c r="H123">
        <f t="shared" ca="1" si="8"/>
        <v>0</v>
      </c>
      <c r="I123">
        <f t="shared" ca="1" si="9"/>
        <v>0</v>
      </c>
    </row>
    <row r="124" spans="1:9">
      <c r="A124" s="66">
        <v>21163</v>
      </c>
      <c r="B124" s="66">
        <v>21163</v>
      </c>
      <c r="D124">
        <f t="shared" si="5"/>
        <v>31.48553150338466</v>
      </c>
      <c r="E124">
        <f t="shared" si="6"/>
        <v>31.48553150338466</v>
      </c>
      <c r="G124">
        <f t="shared" ca="1" si="7"/>
        <v>122</v>
      </c>
      <c r="H124">
        <f t="shared" ca="1" si="8"/>
        <v>3841.2348434129285</v>
      </c>
      <c r="I124">
        <f t="shared" ca="1" si="9"/>
        <v>100071.81726275892</v>
      </c>
    </row>
    <row r="125" spans="1:9">
      <c r="A125" s="66">
        <v>0</v>
      </c>
      <c r="B125" s="66">
        <v>0</v>
      </c>
      <c r="D125">
        <f t="shared" si="5"/>
        <v>0</v>
      </c>
      <c r="E125">
        <f t="shared" si="6"/>
        <v>0</v>
      </c>
      <c r="G125">
        <f t="shared" ca="1" si="7"/>
        <v>123</v>
      </c>
      <c r="H125">
        <f t="shared" ca="1" si="8"/>
        <v>0</v>
      </c>
      <c r="I125">
        <f t="shared" ca="1" si="9"/>
        <v>0</v>
      </c>
    </row>
    <row r="126" spans="1:9">
      <c r="A126" s="66">
        <v>18593</v>
      </c>
      <c r="B126" s="66">
        <v>18593</v>
      </c>
      <c r="D126">
        <f t="shared" si="5"/>
        <v>27.66198021275013</v>
      </c>
      <c r="E126">
        <f t="shared" si="6"/>
        <v>27.66198021275013</v>
      </c>
      <c r="G126">
        <f t="shared" ca="1" si="7"/>
        <v>124</v>
      </c>
      <c r="H126">
        <f t="shared" ca="1" si="8"/>
        <v>3430.0855463810162</v>
      </c>
      <c r="I126">
        <f t="shared" ca="1" si="9"/>
        <v>94267.882966356439</v>
      </c>
    </row>
    <row r="127" spans="1:9">
      <c r="A127" s="66">
        <v>0</v>
      </c>
      <c r="B127" s="66">
        <v>0</v>
      </c>
      <c r="D127">
        <f t="shared" si="5"/>
        <v>0</v>
      </c>
      <c r="E127">
        <f t="shared" si="6"/>
        <v>0</v>
      </c>
      <c r="G127">
        <f t="shared" ca="1" si="7"/>
        <v>125</v>
      </c>
      <c r="H127">
        <f t="shared" ca="1" si="8"/>
        <v>0</v>
      </c>
      <c r="I127">
        <f t="shared" ca="1" si="9"/>
        <v>0</v>
      </c>
    </row>
    <row r="128" spans="1:9">
      <c r="A128" s="66">
        <v>0</v>
      </c>
      <c r="B128" s="66">
        <v>0</v>
      </c>
      <c r="D128">
        <f t="shared" si="5"/>
        <v>0</v>
      </c>
      <c r="E128">
        <f t="shared" si="6"/>
        <v>0</v>
      </c>
      <c r="G128">
        <f t="shared" ca="1" si="7"/>
        <v>126</v>
      </c>
      <c r="H128">
        <f t="shared" ca="1" si="8"/>
        <v>0</v>
      </c>
      <c r="I128">
        <f t="shared" ca="1" si="9"/>
        <v>0</v>
      </c>
    </row>
    <row r="129" spans="1:9">
      <c r="A129" s="66">
        <v>15968</v>
      </c>
      <c r="B129" s="66">
        <v>15968</v>
      </c>
      <c r="D129">
        <f t="shared" si="5"/>
        <v>23.756601948969724</v>
      </c>
      <c r="E129">
        <f t="shared" si="6"/>
        <v>23.756601948969724</v>
      </c>
      <c r="G129">
        <f t="shared" ca="1" si="7"/>
        <v>127</v>
      </c>
      <c r="H129">
        <f t="shared" ca="1" si="8"/>
        <v>3017.0884475191551</v>
      </c>
      <c r="I129">
        <f t="shared" ca="1" si="9"/>
        <v>89493.754162566504</v>
      </c>
    </row>
    <row r="130" spans="1:9">
      <c r="A130" s="66">
        <v>0</v>
      </c>
      <c r="B130" s="66">
        <v>0</v>
      </c>
      <c r="D130">
        <f t="shared" si="5"/>
        <v>0</v>
      </c>
      <c r="E130">
        <f t="shared" si="6"/>
        <v>0</v>
      </c>
      <c r="G130">
        <f t="shared" ca="1" si="7"/>
        <v>128</v>
      </c>
      <c r="H130">
        <f t="shared" ca="1" si="8"/>
        <v>0</v>
      </c>
      <c r="I130">
        <f t="shared" ca="1" si="9"/>
        <v>0</v>
      </c>
    </row>
    <row r="131" spans="1:9">
      <c r="A131" s="66">
        <v>11981</v>
      </c>
      <c r="B131" s="66">
        <v>11981</v>
      </c>
      <c r="D131">
        <f t="shared" ref="D131:D194" si="10">IFERROR( 100*A131/MAX(A$2:A$257), 0 )</f>
        <v>17.824890277467826</v>
      </c>
      <c r="E131">
        <f t="shared" ref="E131:E194" si="11">IFERROR( 100*B131/MAX(B$2:B$257), 0 )</f>
        <v>17.824890277467826</v>
      </c>
      <c r="G131">
        <f t="shared" ref="G131:G194" ca="1" si="12">CELL("row",D131)-2</f>
        <v>129</v>
      </c>
      <c r="H131">
        <f t="shared" ref="H131:H194" ca="1" si="13">D131*G131</f>
        <v>2299.4108457933494</v>
      </c>
      <c r="I131">
        <f t="shared" ref="I131:I194" ca="1" si="14">D131*((G131-$L$1)^2)</f>
        <v>71595.776535614743</v>
      </c>
    </row>
    <row r="132" spans="1:9">
      <c r="A132" s="66">
        <v>0</v>
      </c>
      <c r="B132" s="66">
        <v>0</v>
      </c>
      <c r="D132">
        <f t="shared" si="10"/>
        <v>0</v>
      </c>
      <c r="E132">
        <f t="shared" si="11"/>
        <v>0</v>
      </c>
      <c r="G132">
        <f t="shared" ca="1" si="12"/>
        <v>130</v>
      </c>
      <c r="H132">
        <f t="shared" ca="1" si="13"/>
        <v>0</v>
      </c>
      <c r="I132">
        <f t="shared" ca="1" si="14"/>
        <v>0</v>
      </c>
    </row>
    <row r="133" spans="1:9">
      <c r="A133" s="66">
        <v>0</v>
      </c>
      <c r="B133" s="66">
        <v>0</v>
      </c>
      <c r="D133">
        <f t="shared" si="10"/>
        <v>0</v>
      </c>
      <c r="E133">
        <f t="shared" si="11"/>
        <v>0</v>
      </c>
      <c r="G133">
        <f t="shared" ca="1" si="12"/>
        <v>131</v>
      </c>
      <c r="H133">
        <f t="shared" ca="1" si="13"/>
        <v>0</v>
      </c>
      <c r="I133">
        <f t="shared" ca="1" si="14"/>
        <v>0</v>
      </c>
    </row>
    <row r="134" spans="1:9">
      <c r="A134" s="66">
        <v>10992</v>
      </c>
      <c r="B134" s="66">
        <v>10992</v>
      </c>
      <c r="D134">
        <f t="shared" si="10"/>
        <v>16.35349252399018</v>
      </c>
      <c r="E134">
        <f t="shared" si="11"/>
        <v>16.35349252399018</v>
      </c>
      <c r="G134">
        <f t="shared" ca="1" si="12"/>
        <v>132</v>
      </c>
      <c r="H134">
        <f t="shared" ca="1" si="13"/>
        <v>2158.6610131667039</v>
      </c>
      <c r="I134">
        <f t="shared" ca="1" si="14"/>
        <v>72051.506759345881</v>
      </c>
    </row>
    <row r="135" spans="1:9">
      <c r="A135" s="66">
        <v>0</v>
      </c>
      <c r="B135" s="66">
        <v>0</v>
      </c>
      <c r="D135">
        <f t="shared" si="10"/>
        <v>0</v>
      </c>
      <c r="E135">
        <f t="shared" si="11"/>
        <v>0</v>
      </c>
      <c r="G135">
        <f t="shared" ca="1" si="12"/>
        <v>133</v>
      </c>
      <c r="H135">
        <f t="shared" ca="1" si="13"/>
        <v>0</v>
      </c>
      <c r="I135">
        <f t="shared" ca="1" si="14"/>
        <v>0</v>
      </c>
    </row>
    <row r="136" spans="1:9">
      <c r="A136" s="66">
        <v>7937</v>
      </c>
      <c r="B136" s="66">
        <v>7937</v>
      </c>
      <c r="D136">
        <f t="shared" si="10"/>
        <v>11.808376106523841</v>
      </c>
      <c r="E136">
        <f t="shared" si="11"/>
        <v>11.808376106523841</v>
      </c>
      <c r="G136">
        <f t="shared" ca="1" si="12"/>
        <v>134</v>
      </c>
      <c r="H136">
        <f t="shared" ca="1" si="13"/>
        <v>1582.3223982741947</v>
      </c>
      <c r="I136">
        <f t="shared" ca="1" si="14"/>
        <v>55208.716606154121</v>
      </c>
    </row>
    <row r="137" spans="1:9">
      <c r="A137" s="66">
        <v>0</v>
      </c>
      <c r="B137" s="66">
        <v>0</v>
      </c>
      <c r="D137">
        <f t="shared" si="10"/>
        <v>0</v>
      </c>
      <c r="E137">
        <f t="shared" si="11"/>
        <v>0</v>
      </c>
      <c r="G137">
        <f t="shared" ca="1" si="12"/>
        <v>135</v>
      </c>
      <c r="H137">
        <f t="shared" ca="1" si="13"/>
        <v>0</v>
      </c>
      <c r="I137">
        <f t="shared" ca="1" si="14"/>
        <v>0</v>
      </c>
    </row>
    <row r="138" spans="1:9">
      <c r="A138" s="66">
        <v>0</v>
      </c>
      <c r="B138" s="66">
        <v>0</v>
      </c>
      <c r="D138">
        <f t="shared" si="10"/>
        <v>0</v>
      </c>
      <c r="E138">
        <f t="shared" si="11"/>
        <v>0</v>
      </c>
      <c r="G138">
        <f t="shared" ca="1" si="12"/>
        <v>136</v>
      </c>
      <c r="H138">
        <f t="shared" ca="1" si="13"/>
        <v>0</v>
      </c>
      <c r="I138">
        <f t="shared" ca="1" si="14"/>
        <v>0</v>
      </c>
    </row>
    <row r="139" spans="1:9">
      <c r="A139" s="66">
        <v>8519</v>
      </c>
      <c r="B139" s="66">
        <v>8519</v>
      </c>
      <c r="D139">
        <f t="shared" si="10"/>
        <v>12.674254258722012</v>
      </c>
      <c r="E139">
        <f t="shared" si="11"/>
        <v>12.674254258722012</v>
      </c>
      <c r="G139">
        <f t="shared" ca="1" si="12"/>
        <v>137</v>
      </c>
      <c r="H139">
        <f t="shared" ca="1" si="13"/>
        <v>1736.3728334449156</v>
      </c>
      <c r="I139">
        <f t="shared" ca="1" si="14"/>
        <v>64570.848776913808</v>
      </c>
    </row>
    <row r="140" spans="1:9">
      <c r="A140" s="66">
        <v>0</v>
      </c>
      <c r="B140" s="66">
        <v>0</v>
      </c>
      <c r="D140">
        <f t="shared" si="10"/>
        <v>0</v>
      </c>
      <c r="E140">
        <f t="shared" si="11"/>
        <v>0</v>
      </c>
      <c r="G140">
        <f t="shared" ca="1" si="12"/>
        <v>138</v>
      </c>
      <c r="H140">
        <f t="shared" ca="1" si="13"/>
        <v>0</v>
      </c>
      <c r="I140">
        <f t="shared" ca="1" si="14"/>
        <v>0</v>
      </c>
    </row>
    <row r="141" spans="1:9">
      <c r="A141" s="66">
        <v>0</v>
      </c>
      <c r="B141" s="66">
        <v>0</v>
      </c>
      <c r="D141">
        <f t="shared" si="10"/>
        <v>0</v>
      </c>
      <c r="E141">
        <f t="shared" si="11"/>
        <v>0</v>
      </c>
      <c r="G141">
        <f t="shared" ca="1" si="12"/>
        <v>139</v>
      </c>
      <c r="H141">
        <f t="shared" ca="1" si="13"/>
        <v>0</v>
      </c>
      <c r="I141">
        <f t="shared" ca="1" si="14"/>
        <v>0</v>
      </c>
    </row>
    <row r="142" spans="1:9">
      <c r="A142" s="66">
        <v>6297</v>
      </c>
      <c r="B142" s="66">
        <v>6297</v>
      </c>
      <c r="D142">
        <f t="shared" si="10"/>
        <v>9.3684445436286552</v>
      </c>
      <c r="E142">
        <f t="shared" si="11"/>
        <v>9.3684445436286552</v>
      </c>
      <c r="G142">
        <f t="shared" ca="1" si="12"/>
        <v>140</v>
      </c>
      <c r="H142">
        <f t="shared" ca="1" si="13"/>
        <v>1311.5822361080118</v>
      </c>
      <c r="I142">
        <f t="shared" ca="1" si="14"/>
        <v>51825.36916861184</v>
      </c>
    </row>
    <row r="143" spans="1:9">
      <c r="A143" s="66">
        <v>0</v>
      </c>
      <c r="B143" s="66">
        <v>0</v>
      </c>
      <c r="D143">
        <f t="shared" si="10"/>
        <v>0</v>
      </c>
      <c r="E143">
        <f t="shared" si="11"/>
        <v>0</v>
      </c>
      <c r="G143">
        <f t="shared" ca="1" si="12"/>
        <v>141</v>
      </c>
      <c r="H143">
        <f t="shared" ca="1" si="13"/>
        <v>0</v>
      </c>
      <c r="I143">
        <f t="shared" ca="1" si="14"/>
        <v>0</v>
      </c>
    </row>
    <row r="144" spans="1:9">
      <c r="A144" s="66">
        <v>5910</v>
      </c>
      <c r="B144" s="66">
        <v>5910</v>
      </c>
      <c r="D144">
        <f t="shared" si="10"/>
        <v>8.7926802053113136</v>
      </c>
      <c r="E144">
        <f t="shared" si="11"/>
        <v>8.7926802053113136</v>
      </c>
      <c r="G144">
        <f t="shared" ca="1" si="12"/>
        <v>142</v>
      </c>
      <c r="H144">
        <f t="shared" ca="1" si="13"/>
        <v>1248.5605891542066</v>
      </c>
      <c r="I144">
        <f t="shared" ca="1" si="14"/>
        <v>51291.350269437426</v>
      </c>
    </row>
    <row r="145" spans="1:9">
      <c r="A145" s="66">
        <v>0</v>
      </c>
      <c r="B145" s="66">
        <v>0</v>
      </c>
      <c r="D145">
        <f t="shared" si="10"/>
        <v>0</v>
      </c>
      <c r="E145">
        <f t="shared" si="11"/>
        <v>0</v>
      </c>
      <c r="G145">
        <f t="shared" ca="1" si="12"/>
        <v>143</v>
      </c>
      <c r="H145">
        <f t="shared" ca="1" si="13"/>
        <v>0</v>
      </c>
      <c r="I145">
        <f t="shared" ca="1" si="14"/>
        <v>0</v>
      </c>
    </row>
    <row r="146" spans="1:9">
      <c r="A146" s="66">
        <v>0</v>
      </c>
      <c r="B146" s="66">
        <v>0</v>
      </c>
      <c r="D146">
        <f t="shared" si="10"/>
        <v>0</v>
      </c>
      <c r="E146">
        <f t="shared" si="11"/>
        <v>0</v>
      </c>
      <c r="G146">
        <f t="shared" ca="1" si="12"/>
        <v>144</v>
      </c>
      <c r="H146">
        <f t="shared" ca="1" si="13"/>
        <v>0</v>
      </c>
      <c r="I146">
        <f t="shared" ca="1" si="14"/>
        <v>0</v>
      </c>
    </row>
    <row r="147" spans="1:9">
      <c r="A147" s="66">
        <v>5901</v>
      </c>
      <c r="B147" s="66">
        <v>5901</v>
      </c>
      <c r="D147">
        <f t="shared" si="10"/>
        <v>8.7792903369783524</v>
      </c>
      <c r="E147">
        <f t="shared" si="11"/>
        <v>8.7792903369783524</v>
      </c>
      <c r="G147">
        <f t="shared" ca="1" si="12"/>
        <v>145</v>
      </c>
      <c r="H147">
        <f t="shared" ca="1" si="13"/>
        <v>1272.9970988618611</v>
      </c>
      <c r="I147">
        <f t="shared" ca="1" si="14"/>
        <v>55315.459549695166</v>
      </c>
    </row>
    <row r="148" spans="1:9">
      <c r="A148" s="66">
        <v>0</v>
      </c>
      <c r="B148" s="66">
        <v>0</v>
      </c>
      <c r="D148">
        <f t="shared" si="10"/>
        <v>0</v>
      </c>
      <c r="E148">
        <f t="shared" si="11"/>
        <v>0</v>
      </c>
      <c r="G148">
        <f t="shared" ca="1" si="12"/>
        <v>146</v>
      </c>
      <c r="H148">
        <f t="shared" ca="1" si="13"/>
        <v>0</v>
      </c>
      <c r="I148">
        <f t="shared" ca="1" si="14"/>
        <v>0</v>
      </c>
    </row>
    <row r="149" spans="1:9">
      <c r="A149" s="66">
        <v>3950</v>
      </c>
      <c r="B149" s="66">
        <v>3950</v>
      </c>
      <c r="D149">
        <f t="shared" si="10"/>
        <v>5.8766644350219446</v>
      </c>
      <c r="E149">
        <f t="shared" si="11"/>
        <v>5.8766644350219446</v>
      </c>
      <c r="G149">
        <f t="shared" ca="1" si="12"/>
        <v>147</v>
      </c>
      <c r="H149">
        <f t="shared" ca="1" si="13"/>
        <v>863.8696719482258</v>
      </c>
      <c r="I149">
        <f t="shared" ca="1" si="14"/>
        <v>38916.345436321171</v>
      </c>
    </row>
    <row r="150" spans="1:9">
      <c r="A150" s="66">
        <v>0</v>
      </c>
      <c r="B150" s="66">
        <v>0</v>
      </c>
      <c r="D150">
        <f t="shared" si="10"/>
        <v>0</v>
      </c>
      <c r="E150">
        <f t="shared" si="11"/>
        <v>0</v>
      </c>
      <c r="G150">
        <f t="shared" ca="1" si="12"/>
        <v>148</v>
      </c>
      <c r="H150">
        <f t="shared" ca="1" si="13"/>
        <v>0</v>
      </c>
      <c r="I150">
        <f t="shared" ca="1" si="14"/>
        <v>0</v>
      </c>
    </row>
    <row r="151" spans="1:9">
      <c r="A151" s="66">
        <v>0</v>
      </c>
      <c r="B151" s="66">
        <v>0</v>
      </c>
      <c r="D151">
        <f t="shared" si="10"/>
        <v>0</v>
      </c>
      <c r="E151">
        <f t="shared" si="11"/>
        <v>0</v>
      </c>
      <c r="G151">
        <f t="shared" ca="1" si="12"/>
        <v>149</v>
      </c>
      <c r="H151">
        <f t="shared" ca="1" si="13"/>
        <v>0</v>
      </c>
      <c r="I151">
        <f t="shared" ca="1" si="14"/>
        <v>0</v>
      </c>
    </row>
    <row r="152" spans="1:9">
      <c r="A152" s="66">
        <v>3382</v>
      </c>
      <c r="B152" s="66">
        <v>3382</v>
      </c>
      <c r="D152">
        <f t="shared" si="10"/>
        <v>5.0316149668972701</v>
      </c>
      <c r="E152">
        <f t="shared" si="11"/>
        <v>5.0316149668972701</v>
      </c>
      <c r="G152">
        <f t="shared" ca="1" si="12"/>
        <v>150</v>
      </c>
      <c r="H152">
        <f t="shared" ca="1" si="13"/>
        <v>754.7422450345905</v>
      </c>
      <c r="I152">
        <f t="shared" ca="1" si="14"/>
        <v>35822.298202039696</v>
      </c>
    </row>
    <row r="153" spans="1:9">
      <c r="A153" s="66">
        <v>0</v>
      </c>
      <c r="B153" s="66">
        <v>0</v>
      </c>
      <c r="D153">
        <f t="shared" si="10"/>
        <v>0</v>
      </c>
      <c r="E153">
        <f t="shared" si="11"/>
        <v>0</v>
      </c>
      <c r="G153">
        <f t="shared" ca="1" si="12"/>
        <v>151</v>
      </c>
      <c r="H153">
        <f t="shared" ca="1" si="13"/>
        <v>0</v>
      </c>
      <c r="I153">
        <f t="shared" ca="1" si="14"/>
        <v>0</v>
      </c>
    </row>
    <row r="154" spans="1:9">
      <c r="A154" s="66">
        <v>3010</v>
      </c>
      <c r="B154" s="66">
        <v>3010</v>
      </c>
      <c r="D154">
        <f t="shared" si="10"/>
        <v>4.4781670758015322</v>
      </c>
      <c r="E154">
        <f t="shared" si="11"/>
        <v>4.4781670758015322</v>
      </c>
      <c r="G154">
        <f t="shared" ca="1" si="12"/>
        <v>152</v>
      </c>
      <c r="H154">
        <f t="shared" ca="1" si="13"/>
        <v>680.68139552183288</v>
      </c>
      <c r="I154">
        <f t="shared" ca="1" si="14"/>
        <v>33411.383441028847</v>
      </c>
    </row>
    <row r="155" spans="1:9">
      <c r="A155" s="66">
        <v>0</v>
      </c>
      <c r="B155" s="66">
        <v>0</v>
      </c>
      <c r="D155">
        <f t="shared" si="10"/>
        <v>0</v>
      </c>
      <c r="E155">
        <f t="shared" si="11"/>
        <v>0</v>
      </c>
      <c r="G155">
        <f t="shared" ca="1" si="12"/>
        <v>153</v>
      </c>
      <c r="H155">
        <f t="shared" ca="1" si="13"/>
        <v>0</v>
      </c>
      <c r="I155">
        <f t="shared" ca="1" si="14"/>
        <v>0</v>
      </c>
    </row>
    <row r="156" spans="1:9">
      <c r="A156" s="66">
        <v>0</v>
      </c>
      <c r="B156" s="66">
        <v>0</v>
      </c>
      <c r="D156">
        <f t="shared" si="10"/>
        <v>0</v>
      </c>
      <c r="E156">
        <f t="shared" si="11"/>
        <v>0</v>
      </c>
      <c r="G156">
        <f t="shared" ca="1" si="12"/>
        <v>154</v>
      </c>
      <c r="H156">
        <f t="shared" ca="1" si="13"/>
        <v>0</v>
      </c>
      <c r="I156">
        <f t="shared" ca="1" si="14"/>
        <v>0</v>
      </c>
    </row>
    <row r="157" spans="1:9">
      <c r="A157" s="66">
        <v>2409</v>
      </c>
      <c r="B157" s="66">
        <v>2409</v>
      </c>
      <c r="D157">
        <f t="shared" si="10"/>
        <v>3.5840214237893329</v>
      </c>
      <c r="E157">
        <f t="shared" si="11"/>
        <v>3.5840214237893329</v>
      </c>
      <c r="G157">
        <f t="shared" ca="1" si="12"/>
        <v>155</v>
      </c>
      <c r="H157">
        <f t="shared" ca="1" si="13"/>
        <v>555.52332068734654</v>
      </c>
      <c r="I157">
        <f t="shared" ca="1" si="14"/>
        <v>28629.920764622089</v>
      </c>
    </row>
    <row r="158" spans="1:9">
      <c r="A158" s="66">
        <v>0</v>
      </c>
      <c r="B158" s="66">
        <v>0</v>
      </c>
      <c r="D158">
        <f t="shared" si="10"/>
        <v>0</v>
      </c>
      <c r="E158">
        <f t="shared" si="11"/>
        <v>0</v>
      </c>
      <c r="G158">
        <f t="shared" ca="1" si="12"/>
        <v>156</v>
      </c>
      <c r="H158">
        <f t="shared" ca="1" si="13"/>
        <v>0</v>
      </c>
      <c r="I158">
        <f t="shared" ca="1" si="14"/>
        <v>0</v>
      </c>
    </row>
    <row r="159" spans="1:9">
      <c r="A159" s="66">
        <v>0</v>
      </c>
      <c r="B159" s="66">
        <v>0</v>
      </c>
      <c r="D159">
        <f t="shared" si="10"/>
        <v>0</v>
      </c>
      <c r="E159">
        <f t="shared" si="11"/>
        <v>0</v>
      </c>
      <c r="G159">
        <f t="shared" ca="1" si="12"/>
        <v>157</v>
      </c>
      <c r="H159">
        <f t="shared" ca="1" si="13"/>
        <v>0</v>
      </c>
      <c r="I159">
        <f t="shared" ca="1" si="14"/>
        <v>0</v>
      </c>
    </row>
    <row r="160" spans="1:9">
      <c r="A160" s="66">
        <v>1695</v>
      </c>
      <c r="B160" s="66">
        <v>1695</v>
      </c>
      <c r="D160">
        <f t="shared" si="10"/>
        <v>2.5217585360410624</v>
      </c>
      <c r="E160">
        <f t="shared" si="11"/>
        <v>2.5217585360410624</v>
      </c>
      <c r="G160">
        <f t="shared" ca="1" si="12"/>
        <v>158</v>
      </c>
      <c r="H160">
        <f t="shared" ca="1" si="13"/>
        <v>398.43784869448785</v>
      </c>
      <c r="I160">
        <f t="shared" ca="1" si="14"/>
        <v>21519.356257264066</v>
      </c>
    </row>
    <row r="161" spans="1:9">
      <c r="A161" s="66">
        <v>0</v>
      </c>
      <c r="B161" s="66">
        <v>0</v>
      </c>
      <c r="D161">
        <f t="shared" si="10"/>
        <v>0</v>
      </c>
      <c r="E161">
        <f t="shared" si="11"/>
        <v>0</v>
      </c>
      <c r="G161">
        <f t="shared" ca="1" si="12"/>
        <v>159</v>
      </c>
      <c r="H161">
        <f t="shared" ca="1" si="13"/>
        <v>0</v>
      </c>
      <c r="I161">
        <f t="shared" ca="1" si="14"/>
        <v>0</v>
      </c>
    </row>
    <row r="162" spans="1:9">
      <c r="A162" s="66">
        <v>1059</v>
      </c>
      <c r="B162" s="66">
        <v>1059</v>
      </c>
      <c r="D162">
        <f t="shared" si="10"/>
        <v>1.5755411738451239</v>
      </c>
      <c r="E162">
        <f t="shared" si="11"/>
        <v>1.5755411738451239</v>
      </c>
      <c r="G162">
        <f t="shared" ca="1" si="12"/>
        <v>160</v>
      </c>
      <c r="H162">
        <f t="shared" ca="1" si="13"/>
        <v>252.08658781521984</v>
      </c>
      <c r="I162">
        <f t="shared" ca="1" si="14"/>
        <v>14033.31267880037</v>
      </c>
    </row>
    <row r="163" spans="1:9">
      <c r="A163" s="66">
        <v>0</v>
      </c>
      <c r="B163" s="66">
        <v>0</v>
      </c>
      <c r="D163">
        <f t="shared" si="10"/>
        <v>0</v>
      </c>
      <c r="E163">
        <f t="shared" si="11"/>
        <v>0</v>
      </c>
      <c r="G163">
        <f t="shared" ca="1" si="12"/>
        <v>161</v>
      </c>
      <c r="H163">
        <f t="shared" ca="1" si="13"/>
        <v>0</v>
      </c>
      <c r="I163">
        <f t="shared" ca="1" si="14"/>
        <v>0</v>
      </c>
    </row>
    <row r="164" spans="1:9">
      <c r="A164" s="66">
        <v>0</v>
      </c>
      <c r="B164" s="66">
        <v>0</v>
      </c>
      <c r="D164">
        <f t="shared" si="10"/>
        <v>0</v>
      </c>
      <c r="E164">
        <f t="shared" si="11"/>
        <v>0</v>
      </c>
      <c r="G164">
        <f t="shared" ca="1" si="12"/>
        <v>162</v>
      </c>
      <c r="H164">
        <f t="shared" ca="1" si="13"/>
        <v>0</v>
      </c>
      <c r="I164">
        <f t="shared" ca="1" si="14"/>
        <v>0</v>
      </c>
    </row>
    <row r="165" spans="1:9">
      <c r="A165" s="66">
        <v>928</v>
      </c>
      <c r="B165" s="66">
        <v>928</v>
      </c>
      <c r="D165">
        <f t="shared" si="10"/>
        <v>1.3806442014431302</v>
      </c>
      <c r="E165">
        <f t="shared" si="11"/>
        <v>1.3806442014431302</v>
      </c>
      <c r="G165">
        <f t="shared" ca="1" si="12"/>
        <v>163</v>
      </c>
      <c r="H165">
        <f t="shared" ca="1" si="13"/>
        <v>225.0450048352302</v>
      </c>
      <c r="I165">
        <f t="shared" ca="1" si="14"/>
        <v>13091.599815030362</v>
      </c>
    </row>
    <row r="166" spans="1:9">
      <c r="A166" s="66">
        <v>0</v>
      </c>
      <c r="B166" s="66">
        <v>0</v>
      </c>
      <c r="D166">
        <f t="shared" si="10"/>
        <v>0</v>
      </c>
      <c r="E166">
        <f t="shared" si="11"/>
        <v>0</v>
      </c>
      <c r="G166">
        <f t="shared" ca="1" si="12"/>
        <v>164</v>
      </c>
      <c r="H166">
        <f t="shared" ca="1" si="13"/>
        <v>0</v>
      </c>
      <c r="I166">
        <f t="shared" ca="1" si="14"/>
        <v>0</v>
      </c>
    </row>
    <row r="167" spans="1:9">
      <c r="A167" s="66">
        <v>447</v>
      </c>
      <c r="B167" s="66">
        <v>447</v>
      </c>
      <c r="D167">
        <f t="shared" si="10"/>
        <v>0.66503012720374921</v>
      </c>
      <c r="E167">
        <f t="shared" si="11"/>
        <v>0.66503012720374921</v>
      </c>
      <c r="G167">
        <f t="shared" ca="1" si="12"/>
        <v>165</v>
      </c>
      <c r="H167">
        <f t="shared" ca="1" si="13"/>
        <v>109.72997098861862</v>
      </c>
      <c r="I167">
        <f t="shared" ca="1" si="14"/>
        <v>6567.6694705244136</v>
      </c>
    </row>
    <row r="168" spans="1:9">
      <c r="A168" s="66">
        <v>0</v>
      </c>
      <c r="B168" s="66">
        <v>0</v>
      </c>
      <c r="D168">
        <f t="shared" si="10"/>
        <v>0</v>
      </c>
      <c r="E168">
        <f t="shared" si="11"/>
        <v>0</v>
      </c>
      <c r="G168">
        <f t="shared" ca="1" si="12"/>
        <v>166</v>
      </c>
      <c r="H168">
        <f t="shared" ca="1" si="13"/>
        <v>0</v>
      </c>
      <c r="I168">
        <f t="shared" ca="1" si="14"/>
        <v>0</v>
      </c>
    </row>
    <row r="169" spans="1:9">
      <c r="A169" s="66">
        <v>0</v>
      </c>
      <c r="B169" s="66">
        <v>0</v>
      </c>
      <c r="D169">
        <f t="shared" si="10"/>
        <v>0</v>
      </c>
      <c r="E169">
        <f t="shared" si="11"/>
        <v>0</v>
      </c>
      <c r="G169">
        <f t="shared" ca="1" si="12"/>
        <v>167</v>
      </c>
      <c r="H169">
        <f t="shared" ca="1" si="13"/>
        <v>0</v>
      </c>
      <c r="I169">
        <f t="shared" ca="1" si="14"/>
        <v>0</v>
      </c>
    </row>
    <row r="170" spans="1:9">
      <c r="A170" s="66">
        <v>172</v>
      </c>
      <c r="B170" s="66">
        <v>172</v>
      </c>
      <c r="D170">
        <f t="shared" si="10"/>
        <v>0.2558952614743733</v>
      </c>
      <c r="E170">
        <f t="shared" si="11"/>
        <v>0.2558952614743733</v>
      </c>
      <c r="G170">
        <f t="shared" ca="1" si="12"/>
        <v>168</v>
      </c>
      <c r="H170">
        <f t="shared" ca="1" si="13"/>
        <v>42.990403927694715</v>
      </c>
      <c r="I170">
        <f t="shared" ca="1" si="14"/>
        <v>2682.040294929865</v>
      </c>
    </row>
    <row r="171" spans="1:9">
      <c r="A171" s="66">
        <v>0</v>
      </c>
      <c r="B171" s="66">
        <v>0</v>
      </c>
      <c r="D171">
        <f t="shared" si="10"/>
        <v>0</v>
      </c>
      <c r="E171">
        <f t="shared" si="11"/>
        <v>0</v>
      </c>
      <c r="G171">
        <f t="shared" ca="1" si="12"/>
        <v>169</v>
      </c>
      <c r="H171">
        <f t="shared" ca="1" si="13"/>
        <v>0</v>
      </c>
      <c r="I171">
        <f t="shared" ca="1" si="14"/>
        <v>0</v>
      </c>
    </row>
    <row r="172" spans="1:9">
      <c r="A172" s="66">
        <v>0</v>
      </c>
      <c r="B172" s="66">
        <v>0</v>
      </c>
      <c r="D172">
        <f t="shared" si="10"/>
        <v>0</v>
      </c>
      <c r="E172">
        <f t="shared" si="11"/>
        <v>0</v>
      </c>
      <c r="G172">
        <f t="shared" ca="1" si="12"/>
        <v>170</v>
      </c>
      <c r="H172">
        <f t="shared" ca="1" si="13"/>
        <v>0</v>
      </c>
      <c r="I172">
        <f t="shared" ca="1" si="14"/>
        <v>0</v>
      </c>
    </row>
    <row r="173" spans="1:9">
      <c r="A173" s="66">
        <v>65</v>
      </c>
      <c r="B173" s="66">
        <v>65</v>
      </c>
      <c r="D173">
        <f t="shared" si="10"/>
        <v>9.6704604626943386E-2</v>
      </c>
      <c r="E173">
        <f t="shared" si="11"/>
        <v>9.6704604626943386E-2</v>
      </c>
      <c r="G173">
        <f t="shared" ca="1" si="12"/>
        <v>171</v>
      </c>
      <c r="H173">
        <f t="shared" ca="1" si="13"/>
        <v>16.53648739120732</v>
      </c>
      <c r="I173">
        <f t="shared" ca="1" si="14"/>
        <v>1073.8339254033342</v>
      </c>
    </row>
    <row r="174" spans="1:9">
      <c r="A174" s="66">
        <v>0</v>
      </c>
      <c r="B174" s="66">
        <v>0</v>
      </c>
      <c r="D174">
        <f t="shared" si="10"/>
        <v>0</v>
      </c>
      <c r="E174">
        <f t="shared" si="11"/>
        <v>0</v>
      </c>
      <c r="G174">
        <f t="shared" ca="1" si="12"/>
        <v>172</v>
      </c>
      <c r="H174">
        <f t="shared" ca="1" si="13"/>
        <v>0</v>
      </c>
      <c r="I174">
        <f t="shared" ca="1" si="14"/>
        <v>0</v>
      </c>
    </row>
    <row r="175" spans="1:9">
      <c r="A175" s="66">
        <v>22</v>
      </c>
      <c r="B175" s="66">
        <v>22</v>
      </c>
      <c r="D175">
        <f t="shared" si="10"/>
        <v>3.2730789258350074E-2</v>
      </c>
      <c r="E175">
        <f t="shared" si="11"/>
        <v>3.2730789258350074E-2</v>
      </c>
      <c r="G175">
        <f t="shared" ca="1" si="12"/>
        <v>173</v>
      </c>
      <c r="H175">
        <f t="shared" ca="1" si="13"/>
        <v>5.6624265416945629</v>
      </c>
      <c r="I175">
        <f t="shared" ca="1" si="14"/>
        <v>377.37866821255</v>
      </c>
    </row>
    <row r="176" spans="1:9">
      <c r="A176" s="66">
        <v>0</v>
      </c>
      <c r="B176" s="66">
        <v>0</v>
      </c>
      <c r="D176">
        <f t="shared" si="10"/>
        <v>0</v>
      </c>
      <c r="E176">
        <f t="shared" si="11"/>
        <v>0</v>
      </c>
      <c r="G176">
        <f t="shared" ca="1" si="12"/>
        <v>174</v>
      </c>
      <c r="H176">
        <f t="shared" ca="1" si="13"/>
        <v>0</v>
      </c>
      <c r="I176">
        <f t="shared" ca="1" si="14"/>
        <v>0</v>
      </c>
    </row>
    <row r="177" spans="1:9">
      <c r="A177" s="66">
        <v>0</v>
      </c>
      <c r="B177" s="66">
        <v>0</v>
      </c>
      <c r="D177">
        <f t="shared" si="10"/>
        <v>0</v>
      </c>
      <c r="E177">
        <f t="shared" si="11"/>
        <v>0</v>
      </c>
      <c r="G177">
        <f t="shared" ca="1" si="12"/>
        <v>175</v>
      </c>
      <c r="H177">
        <f t="shared" ca="1" si="13"/>
        <v>0</v>
      </c>
      <c r="I177">
        <f t="shared" ca="1" si="14"/>
        <v>0</v>
      </c>
    </row>
    <row r="178" spans="1:9">
      <c r="A178" s="66">
        <v>0</v>
      </c>
      <c r="B178" s="66">
        <v>0</v>
      </c>
      <c r="D178">
        <f t="shared" si="10"/>
        <v>0</v>
      </c>
      <c r="E178">
        <f t="shared" si="11"/>
        <v>0</v>
      </c>
      <c r="G178">
        <f t="shared" ca="1" si="12"/>
        <v>176</v>
      </c>
      <c r="H178">
        <f t="shared" ca="1" si="13"/>
        <v>0</v>
      </c>
      <c r="I178">
        <f t="shared" ca="1" si="14"/>
        <v>0</v>
      </c>
    </row>
    <row r="179" spans="1:9">
      <c r="A179" s="66">
        <v>0</v>
      </c>
      <c r="B179" s="66">
        <v>0</v>
      </c>
      <c r="D179">
        <f t="shared" si="10"/>
        <v>0</v>
      </c>
      <c r="E179">
        <f t="shared" si="11"/>
        <v>0</v>
      </c>
      <c r="G179">
        <f t="shared" ca="1" si="12"/>
        <v>177</v>
      </c>
      <c r="H179">
        <f t="shared" ca="1" si="13"/>
        <v>0</v>
      </c>
      <c r="I179">
        <f t="shared" ca="1" si="14"/>
        <v>0</v>
      </c>
    </row>
    <row r="180" spans="1:9">
      <c r="A180" s="66">
        <v>0</v>
      </c>
      <c r="B180" s="66">
        <v>0</v>
      </c>
      <c r="D180">
        <f t="shared" si="10"/>
        <v>0</v>
      </c>
      <c r="E180">
        <f t="shared" si="11"/>
        <v>0</v>
      </c>
      <c r="G180">
        <f t="shared" ca="1" si="12"/>
        <v>178</v>
      </c>
      <c r="H180">
        <f t="shared" ca="1" si="13"/>
        <v>0</v>
      </c>
      <c r="I180">
        <f t="shared" ca="1" si="14"/>
        <v>0</v>
      </c>
    </row>
    <row r="181" spans="1:9">
      <c r="A181" s="66">
        <v>0</v>
      </c>
      <c r="B181" s="66">
        <v>0</v>
      </c>
      <c r="D181">
        <f t="shared" si="10"/>
        <v>0</v>
      </c>
      <c r="E181">
        <f t="shared" si="11"/>
        <v>0</v>
      </c>
      <c r="G181">
        <f t="shared" ca="1" si="12"/>
        <v>179</v>
      </c>
      <c r="H181">
        <f t="shared" ca="1" si="13"/>
        <v>0</v>
      </c>
      <c r="I181">
        <f t="shared" ca="1" si="14"/>
        <v>0</v>
      </c>
    </row>
    <row r="182" spans="1:9">
      <c r="A182" s="66">
        <v>0</v>
      </c>
      <c r="B182" s="66">
        <v>0</v>
      </c>
      <c r="D182">
        <f t="shared" si="10"/>
        <v>0</v>
      </c>
      <c r="E182">
        <f t="shared" si="11"/>
        <v>0</v>
      </c>
      <c r="G182">
        <f t="shared" ca="1" si="12"/>
        <v>180</v>
      </c>
      <c r="H182">
        <f t="shared" ca="1" si="13"/>
        <v>0</v>
      </c>
      <c r="I182">
        <f t="shared" ca="1" si="14"/>
        <v>0</v>
      </c>
    </row>
    <row r="183" spans="1:9">
      <c r="A183" s="66">
        <v>0</v>
      </c>
      <c r="B183" s="66">
        <v>0</v>
      </c>
      <c r="D183">
        <f t="shared" si="10"/>
        <v>0</v>
      </c>
      <c r="E183">
        <f t="shared" si="11"/>
        <v>0</v>
      </c>
      <c r="G183">
        <f t="shared" ca="1" si="12"/>
        <v>181</v>
      </c>
      <c r="H183">
        <f t="shared" ca="1" si="13"/>
        <v>0</v>
      </c>
      <c r="I183">
        <f t="shared" ca="1" si="14"/>
        <v>0</v>
      </c>
    </row>
    <row r="184" spans="1:9">
      <c r="A184" s="66">
        <v>0</v>
      </c>
      <c r="B184" s="66">
        <v>0</v>
      </c>
      <c r="D184">
        <f t="shared" si="10"/>
        <v>0</v>
      </c>
      <c r="E184">
        <f t="shared" si="11"/>
        <v>0</v>
      </c>
      <c r="G184">
        <f t="shared" ca="1" si="12"/>
        <v>182</v>
      </c>
      <c r="H184">
        <f t="shared" ca="1" si="13"/>
        <v>0</v>
      </c>
      <c r="I184">
        <f t="shared" ca="1" si="14"/>
        <v>0</v>
      </c>
    </row>
    <row r="185" spans="1:9">
      <c r="A185" s="66">
        <v>0</v>
      </c>
      <c r="B185" s="66">
        <v>0</v>
      </c>
      <c r="D185">
        <f t="shared" si="10"/>
        <v>0</v>
      </c>
      <c r="E185">
        <f t="shared" si="11"/>
        <v>0</v>
      </c>
      <c r="G185">
        <f t="shared" ca="1" si="12"/>
        <v>183</v>
      </c>
      <c r="H185">
        <f t="shared" ca="1" si="13"/>
        <v>0</v>
      </c>
      <c r="I185">
        <f t="shared" ca="1" si="14"/>
        <v>0</v>
      </c>
    </row>
    <row r="186" spans="1:9">
      <c r="A186" s="66">
        <v>0</v>
      </c>
      <c r="B186" s="66">
        <v>0</v>
      </c>
      <c r="D186">
        <f t="shared" si="10"/>
        <v>0</v>
      </c>
      <c r="E186">
        <f t="shared" si="11"/>
        <v>0</v>
      </c>
      <c r="G186">
        <f t="shared" ca="1" si="12"/>
        <v>184</v>
      </c>
      <c r="H186">
        <f t="shared" ca="1" si="13"/>
        <v>0</v>
      </c>
      <c r="I186">
        <f t="shared" ca="1" si="14"/>
        <v>0</v>
      </c>
    </row>
    <row r="187" spans="1:9">
      <c r="A187" s="66">
        <v>0</v>
      </c>
      <c r="B187" s="66">
        <v>0</v>
      </c>
      <c r="D187">
        <f t="shared" si="10"/>
        <v>0</v>
      </c>
      <c r="E187">
        <f t="shared" si="11"/>
        <v>0</v>
      </c>
      <c r="G187">
        <f t="shared" ca="1" si="12"/>
        <v>185</v>
      </c>
      <c r="H187">
        <f t="shared" ca="1" si="13"/>
        <v>0</v>
      </c>
      <c r="I187">
        <f t="shared" ca="1" si="14"/>
        <v>0</v>
      </c>
    </row>
    <row r="188" spans="1:9">
      <c r="A188" s="66">
        <v>0</v>
      </c>
      <c r="B188" s="66">
        <v>0</v>
      </c>
      <c r="D188">
        <f t="shared" si="10"/>
        <v>0</v>
      </c>
      <c r="E188">
        <f t="shared" si="11"/>
        <v>0</v>
      </c>
      <c r="G188">
        <f t="shared" ca="1" si="12"/>
        <v>186</v>
      </c>
      <c r="H188">
        <f t="shared" ca="1" si="13"/>
        <v>0</v>
      </c>
      <c r="I188">
        <f t="shared" ca="1" si="14"/>
        <v>0</v>
      </c>
    </row>
    <row r="189" spans="1:9">
      <c r="A189" s="66">
        <v>0</v>
      </c>
      <c r="B189" s="66">
        <v>0</v>
      </c>
      <c r="D189">
        <f t="shared" si="10"/>
        <v>0</v>
      </c>
      <c r="E189">
        <f t="shared" si="11"/>
        <v>0</v>
      </c>
      <c r="G189">
        <f t="shared" ca="1" si="12"/>
        <v>187</v>
      </c>
      <c r="H189">
        <f t="shared" ca="1" si="13"/>
        <v>0</v>
      </c>
      <c r="I189">
        <f t="shared" ca="1" si="14"/>
        <v>0</v>
      </c>
    </row>
    <row r="190" spans="1:9">
      <c r="A190" s="66">
        <v>0</v>
      </c>
      <c r="B190" s="66">
        <v>0</v>
      </c>
      <c r="D190">
        <f t="shared" si="10"/>
        <v>0</v>
      </c>
      <c r="E190">
        <f t="shared" si="11"/>
        <v>0</v>
      </c>
      <c r="G190">
        <f t="shared" ca="1" si="12"/>
        <v>188</v>
      </c>
      <c r="H190">
        <f t="shared" ca="1" si="13"/>
        <v>0</v>
      </c>
      <c r="I190">
        <f t="shared" ca="1" si="14"/>
        <v>0</v>
      </c>
    </row>
    <row r="191" spans="1:9">
      <c r="A191" s="66">
        <v>0</v>
      </c>
      <c r="B191" s="66">
        <v>0</v>
      </c>
      <c r="D191">
        <f t="shared" si="10"/>
        <v>0</v>
      </c>
      <c r="E191">
        <f t="shared" si="11"/>
        <v>0</v>
      </c>
      <c r="G191">
        <f t="shared" ca="1" si="12"/>
        <v>189</v>
      </c>
      <c r="H191">
        <f t="shared" ca="1" si="13"/>
        <v>0</v>
      </c>
      <c r="I191">
        <f t="shared" ca="1" si="14"/>
        <v>0</v>
      </c>
    </row>
    <row r="192" spans="1:9">
      <c r="A192" s="66">
        <v>0</v>
      </c>
      <c r="B192" s="66">
        <v>0</v>
      </c>
      <c r="D192">
        <f t="shared" si="10"/>
        <v>0</v>
      </c>
      <c r="E192">
        <f t="shared" si="11"/>
        <v>0</v>
      </c>
      <c r="G192">
        <f t="shared" ca="1" si="12"/>
        <v>190</v>
      </c>
      <c r="H192">
        <f t="shared" ca="1" si="13"/>
        <v>0</v>
      </c>
      <c r="I192">
        <f t="shared" ca="1" si="14"/>
        <v>0</v>
      </c>
    </row>
    <row r="193" spans="1:9">
      <c r="A193" s="66">
        <v>0</v>
      </c>
      <c r="B193" s="66">
        <v>0</v>
      </c>
      <c r="D193">
        <f t="shared" si="10"/>
        <v>0</v>
      </c>
      <c r="E193">
        <f t="shared" si="11"/>
        <v>0</v>
      </c>
      <c r="G193">
        <f t="shared" ca="1" si="12"/>
        <v>191</v>
      </c>
      <c r="H193">
        <f t="shared" ca="1" si="13"/>
        <v>0</v>
      </c>
      <c r="I193">
        <f t="shared" ca="1" si="14"/>
        <v>0</v>
      </c>
    </row>
    <row r="194" spans="1:9">
      <c r="A194" s="66">
        <v>0</v>
      </c>
      <c r="B194" s="66">
        <v>0</v>
      </c>
      <c r="D194">
        <f t="shared" si="10"/>
        <v>0</v>
      </c>
      <c r="E194">
        <f t="shared" si="11"/>
        <v>0</v>
      </c>
      <c r="G194">
        <f t="shared" ca="1" si="12"/>
        <v>192</v>
      </c>
      <c r="H194">
        <f t="shared" ca="1" si="13"/>
        <v>0</v>
      </c>
      <c r="I194">
        <f t="shared" ca="1" si="14"/>
        <v>0</v>
      </c>
    </row>
    <row r="195" spans="1:9">
      <c r="A195" s="66">
        <v>0</v>
      </c>
      <c r="B195" s="66">
        <v>0</v>
      </c>
      <c r="D195">
        <f t="shared" ref="D195:D257" si="15">IFERROR( 100*A195/MAX(A$2:A$257), 0 )</f>
        <v>0</v>
      </c>
      <c r="E195">
        <f t="shared" ref="E195:E257" si="16">IFERROR( 100*B195/MAX(B$2:B$257), 0 )</f>
        <v>0</v>
      </c>
      <c r="G195">
        <f t="shared" ref="G195:G257" ca="1" si="17">CELL("row",D195)-2</f>
        <v>193</v>
      </c>
      <c r="H195">
        <f t="shared" ref="H195:H257" ca="1" si="18">D195*G195</f>
        <v>0</v>
      </c>
      <c r="I195">
        <f t="shared" ref="I195:I257" ca="1" si="19">D195*((G195-$L$1)^2)</f>
        <v>0</v>
      </c>
    </row>
    <row r="196" spans="1:9">
      <c r="A196" s="66">
        <v>0</v>
      </c>
      <c r="B196" s="66">
        <v>0</v>
      </c>
      <c r="D196">
        <f t="shared" si="15"/>
        <v>0</v>
      </c>
      <c r="E196">
        <f t="shared" si="16"/>
        <v>0</v>
      </c>
      <c r="G196">
        <f t="shared" ca="1" si="17"/>
        <v>194</v>
      </c>
      <c r="H196">
        <f t="shared" ca="1" si="18"/>
        <v>0</v>
      </c>
      <c r="I196">
        <f t="shared" ca="1" si="19"/>
        <v>0</v>
      </c>
    </row>
    <row r="197" spans="1:9">
      <c r="A197" s="66">
        <v>0</v>
      </c>
      <c r="B197" s="66">
        <v>0</v>
      </c>
      <c r="D197">
        <f t="shared" si="15"/>
        <v>0</v>
      </c>
      <c r="E197">
        <f t="shared" si="16"/>
        <v>0</v>
      </c>
      <c r="G197">
        <f t="shared" ca="1" si="17"/>
        <v>195</v>
      </c>
      <c r="H197">
        <f t="shared" ca="1" si="18"/>
        <v>0</v>
      </c>
      <c r="I197">
        <f t="shared" ca="1" si="19"/>
        <v>0</v>
      </c>
    </row>
    <row r="198" spans="1:9">
      <c r="A198" s="66">
        <v>0</v>
      </c>
      <c r="B198" s="66">
        <v>0</v>
      </c>
      <c r="D198">
        <f t="shared" si="15"/>
        <v>0</v>
      </c>
      <c r="E198">
        <f t="shared" si="16"/>
        <v>0</v>
      </c>
      <c r="G198">
        <f t="shared" ca="1" si="17"/>
        <v>196</v>
      </c>
      <c r="H198">
        <f t="shared" ca="1" si="18"/>
        <v>0</v>
      </c>
      <c r="I198">
        <f t="shared" ca="1" si="19"/>
        <v>0</v>
      </c>
    </row>
    <row r="199" spans="1:9">
      <c r="A199" s="66">
        <v>0</v>
      </c>
      <c r="B199" s="66">
        <v>0</v>
      </c>
      <c r="D199">
        <f t="shared" si="15"/>
        <v>0</v>
      </c>
      <c r="E199">
        <f t="shared" si="16"/>
        <v>0</v>
      </c>
      <c r="G199">
        <f t="shared" ca="1" si="17"/>
        <v>197</v>
      </c>
      <c r="H199">
        <f t="shared" ca="1" si="18"/>
        <v>0</v>
      </c>
      <c r="I199">
        <f t="shared" ca="1" si="19"/>
        <v>0</v>
      </c>
    </row>
    <row r="200" spans="1:9">
      <c r="A200" s="66">
        <v>0</v>
      </c>
      <c r="B200" s="66">
        <v>0</v>
      </c>
      <c r="D200">
        <f t="shared" si="15"/>
        <v>0</v>
      </c>
      <c r="E200">
        <f t="shared" si="16"/>
        <v>0</v>
      </c>
      <c r="G200">
        <f t="shared" ca="1" si="17"/>
        <v>198</v>
      </c>
      <c r="H200">
        <f t="shared" ca="1" si="18"/>
        <v>0</v>
      </c>
      <c r="I200">
        <f t="shared" ca="1" si="19"/>
        <v>0</v>
      </c>
    </row>
    <row r="201" spans="1:9">
      <c r="A201" s="66">
        <v>0</v>
      </c>
      <c r="B201" s="66">
        <v>0</v>
      </c>
      <c r="D201">
        <f t="shared" si="15"/>
        <v>0</v>
      </c>
      <c r="E201">
        <f t="shared" si="16"/>
        <v>0</v>
      </c>
      <c r="G201">
        <f t="shared" ca="1" si="17"/>
        <v>199</v>
      </c>
      <c r="H201">
        <f t="shared" ca="1" si="18"/>
        <v>0</v>
      </c>
      <c r="I201">
        <f t="shared" ca="1" si="19"/>
        <v>0</v>
      </c>
    </row>
    <row r="202" spans="1:9">
      <c r="A202" s="66">
        <v>0</v>
      </c>
      <c r="B202" s="66">
        <v>0</v>
      </c>
      <c r="D202">
        <f t="shared" si="15"/>
        <v>0</v>
      </c>
      <c r="E202">
        <f t="shared" si="16"/>
        <v>0</v>
      </c>
      <c r="G202">
        <f t="shared" ca="1" si="17"/>
        <v>200</v>
      </c>
      <c r="H202">
        <f t="shared" ca="1" si="18"/>
        <v>0</v>
      </c>
      <c r="I202">
        <f t="shared" ca="1" si="19"/>
        <v>0</v>
      </c>
    </row>
    <row r="203" spans="1:9">
      <c r="A203" s="66">
        <v>0</v>
      </c>
      <c r="B203" s="66">
        <v>0</v>
      </c>
      <c r="D203">
        <f t="shared" si="15"/>
        <v>0</v>
      </c>
      <c r="E203">
        <f t="shared" si="16"/>
        <v>0</v>
      </c>
      <c r="G203">
        <f t="shared" ca="1" si="17"/>
        <v>201</v>
      </c>
      <c r="H203">
        <f t="shared" ca="1" si="18"/>
        <v>0</v>
      </c>
      <c r="I203">
        <f t="shared" ca="1" si="19"/>
        <v>0</v>
      </c>
    </row>
    <row r="204" spans="1:9">
      <c r="A204" s="66">
        <v>0</v>
      </c>
      <c r="B204" s="66">
        <v>0</v>
      </c>
      <c r="D204">
        <f t="shared" si="15"/>
        <v>0</v>
      </c>
      <c r="E204">
        <f t="shared" si="16"/>
        <v>0</v>
      </c>
      <c r="G204">
        <f t="shared" ca="1" si="17"/>
        <v>202</v>
      </c>
      <c r="H204">
        <f t="shared" ca="1" si="18"/>
        <v>0</v>
      </c>
      <c r="I204">
        <f t="shared" ca="1" si="19"/>
        <v>0</v>
      </c>
    </row>
    <row r="205" spans="1:9">
      <c r="A205" s="66">
        <v>0</v>
      </c>
      <c r="B205" s="66">
        <v>0</v>
      </c>
      <c r="D205">
        <f t="shared" si="15"/>
        <v>0</v>
      </c>
      <c r="E205">
        <f t="shared" si="16"/>
        <v>0</v>
      </c>
      <c r="G205">
        <f t="shared" ca="1" si="17"/>
        <v>203</v>
      </c>
      <c r="H205">
        <f t="shared" ca="1" si="18"/>
        <v>0</v>
      </c>
      <c r="I205">
        <f t="shared" ca="1" si="19"/>
        <v>0</v>
      </c>
    </row>
    <row r="206" spans="1:9">
      <c r="A206" s="66">
        <v>0</v>
      </c>
      <c r="B206" s="66">
        <v>0</v>
      </c>
      <c r="D206">
        <f t="shared" si="15"/>
        <v>0</v>
      </c>
      <c r="E206">
        <f t="shared" si="16"/>
        <v>0</v>
      </c>
      <c r="G206">
        <f t="shared" ca="1" si="17"/>
        <v>204</v>
      </c>
      <c r="H206">
        <f t="shared" ca="1" si="18"/>
        <v>0</v>
      </c>
      <c r="I206">
        <f t="shared" ca="1" si="19"/>
        <v>0</v>
      </c>
    </row>
    <row r="207" spans="1:9">
      <c r="A207" s="66">
        <v>0</v>
      </c>
      <c r="B207" s="66">
        <v>0</v>
      </c>
      <c r="D207">
        <f t="shared" si="15"/>
        <v>0</v>
      </c>
      <c r="E207">
        <f t="shared" si="16"/>
        <v>0</v>
      </c>
      <c r="G207">
        <f t="shared" ca="1" si="17"/>
        <v>205</v>
      </c>
      <c r="H207">
        <f t="shared" ca="1" si="18"/>
        <v>0</v>
      </c>
      <c r="I207">
        <f t="shared" ca="1" si="19"/>
        <v>0</v>
      </c>
    </row>
    <row r="208" spans="1:9">
      <c r="A208" s="66">
        <v>0</v>
      </c>
      <c r="B208" s="66">
        <v>0</v>
      </c>
      <c r="D208">
        <f t="shared" si="15"/>
        <v>0</v>
      </c>
      <c r="E208">
        <f t="shared" si="16"/>
        <v>0</v>
      </c>
      <c r="G208">
        <f t="shared" ca="1" si="17"/>
        <v>206</v>
      </c>
      <c r="H208">
        <f t="shared" ca="1" si="18"/>
        <v>0</v>
      </c>
      <c r="I208">
        <f t="shared" ca="1" si="19"/>
        <v>0</v>
      </c>
    </row>
    <row r="209" spans="1:9">
      <c r="A209" s="66">
        <v>0</v>
      </c>
      <c r="B209" s="66">
        <v>0</v>
      </c>
      <c r="D209">
        <f t="shared" si="15"/>
        <v>0</v>
      </c>
      <c r="E209">
        <f t="shared" si="16"/>
        <v>0</v>
      </c>
      <c r="G209">
        <f t="shared" ca="1" si="17"/>
        <v>207</v>
      </c>
      <c r="H209">
        <f t="shared" ca="1" si="18"/>
        <v>0</v>
      </c>
      <c r="I209">
        <f t="shared" ca="1" si="19"/>
        <v>0</v>
      </c>
    </row>
    <row r="210" spans="1:9">
      <c r="A210" s="66">
        <v>0</v>
      </c>
      <c r="B210" s="66">
        <v>0</v>
      </c>
      <c r="D210">
        <f t="shared" si="15"/>
        <v>0</v>
      </c>
      <c r="E210">
        <f t="shared" si="16"/>
        <v>0</v>
      </c>
      <c r="G210">
        <f t="shared" ca="1" si="17"/>
        <v>208</v>
      </c>
      <c r="H210">
        <f t="shared" ca="1" si="18"/>
        <v>0</v>
      </c>
      <c r="I210">
        <f t="shared" ca="1" si="19"/>
        <v>0</v>
      </c>
    </row>
    <row r="211" spans="1:9">
      <c r="A211" s="66">
        <v>0</v>
      </c>
      <c r="B211" s="66">
        <v>0</v>
      </c>
      <c r="D211">
        <f t="shared" si="15"/>
        <v>0</v>
      </c>
      <c r="E211">
        <f t="shared" si="16"/>
        <v>0</v>
      </c>
      <c r="G211">
        <f t="shared" ca="1" si="17"/>
        <v>209</v>
      </c>
      <c r="H211">
        <f t="shared" ca="1" si="18"/>
        <v>0</v>
      </c>
      <c r="I211">
        <f t="shared" ca="1" si="19"/>
        <v>0</v>
      </c>
    </row>
    <row r="212" spans="1:9">
      <c r="A212" s="66">
        <v>0</v>
      </c>
      <c r="B212" s="66">
        <v>0</v>
      </c>
      <c r="D212">
        <f t="shared" si="15"/>
        <v>0</v>
      </c>
      <c r="E212">
        <f t="shared" si="16"/>
        <v>0</v>
      </c>
      <c r="G212">
        <f t="shared" ca="1" si="17"/>
        <v>210</v>
      </c>
      <c r="H212">
        <f t="shared" ca="1" si="18"/>
        <v>0</v>
      </c>
      <c r="I212">
        <f t="shared" ca="1" si="19"/>
        <v>0</v>
      </c>
    </row>
    <row r="213" spans="1:9">
      <c r="A213" s="66">
        <v>0</v>
      </c>
      <c r="B213" s="66">
        <v>0</v>
      </c>
      <c r="D213">
        <f t="shared" si="15"/>
        <v>0</v>
      </c>
      <c r="E213">
        <f t="shared" si="16"/>
        <v>0</v>
      </c>
      <c r="G213">
        <f t="shared" ca="1" si="17"/>
        <v>211</v>
      </c>
      <c r="H213">
        <f t="shared" ca="1" si="18"/>
        <v>0</v>
      </c>
      <c r="I213">
        <f t="shared" ca="1" si="19"/>
        <v>0</v>
      </c>
    </row>
    <row r="214" spans="1:9">
      <c r="A214" s="66">
        <v>0</v>
      </c>
      <c r="B214" s="66">
        <v>0</v>
      </c>
      <c r="D214">
        <f t="shared" si="15"/>
        <v>0</v>
      </c>
      <c r="E214">
        <f t="shared" si="16"/>
        <v>0</v>
      </c>
      <c r="G214">
        <f t="shared" ca="1" si="17"/>
        <v>212</v>
      </c>
      <c r="H214">
        <f t="shared" ca="1" si="18"/>
        <v>0</v>
      </c>
      <c r="I214">
        <f t="shared" ca="1" si="19"/>
        <v>0</v>
      </c>
    </row>
    <row r="215" spans="1:9">
      <c r="A215" s="66">
        <v>0</v>
      </c>
      <c r="B215" s="66">
        <v>0</v>
      </c>
      <c r="D215">
        <f t="shared" si="15"/>
        <v>0</v>
      </c>
      <c r="E215">
        <f t="shared" si="16"/>
        <v>0</v>
      </c>
      <c r="G215">
        <f t="shared" ca="1" si="17"/>
        <v>213</v>
      </c>
      <c r="H215">
        <f t="shared" ca="1" si="18"/>
        <v>0</v>
      </c>
      <c r="I215">
        <f t="shared" ca="1" si="19"/>
        <v>0</v>
      </c>
    </row>
    <row r="216" spans="1:9">
      <c r="A216" s="66">
        <v>0</v>
      </c>
      <c r="B216" s="66">
        <v>0</v>
      </c>
      <c r="D216">
        <f t="shared" si="15"/>
        <v>0</v>
      </c>
      <c r="E216">
        <f t="shared" si="16"/>
        <v>0</v>
      </c>
      <c r="G216">
        <f t="shared" ca="1" si="17"/>
        <v>214</v>
      </c>
      <c r="H216">
        <f t="shared" ca="1" si="18"/>
        <v>0</v>
      </c>
      <c r="I216">
        <f t="shared" ca="1" si="19"/>
        <v>0</v>
      </c>
    </row>
    <row r="217" spans="1:9">
      <c r="A217" s="66">
        <v>0</v>
      </c>
      <c r="B217" s="66">
        <v>0</v>
      </c>
      <c r="D217">
        <f t="shared" si="15"/>
        <v>0</v>
      </c>
      <c r="E217">
        <f t="shared" si="16"/>
        <v>0</v>
      </c>
      <c r="G217">
        <f t="shared" ca="1" si="17"/>
        <v>215</v>
      </c>
      <c r="H217">
        <f t="shared" ca="1" si="18"/>
        <v>0</v>
      </c>
      <c r="I217">
        <f t="shared" ca="1" si="19"/>
        <v>0</v>
      </c>
    </row>
    <row r="218" spans="1:9">
      <c r="A218" s="66">
        <v>0</v>
      </c>
      <c r="B218" s="66">
        <v>0</v>
      </c>
      <c r="D218">
        <f t="shared" si="15"/>
        <v>0</v>
      </c>
      <c r="E218">
        <f t="shared" si="16"/>
        <v>0</v>
      </c>
      <c r="G218">
        <f t="shared" ca="1" si="17"/>
        <v>216</v>
      </c>
      <c r="H218">
        <f t="shared" ca="1" si="18"/>
        <v>0</v>
      </c>
      <c r="I218">
        <f t="shared" ca="1" si="19"/>
        <v>0</v>
      </c>
    </row>
    <row r="219" spans="1:9">
      <c r="A219" s="66">
        <v>0</v>
      </c>
      <c r="B219" s="66">
        <v>0</v>
      </c>
      <c r="D219">
        <f t="shared" si="15"/>
        <v>0</v>
      </c>
      <c r="E219">
        <f t="shared" si="16"/>
        <v>0</v>
      </c>
      <c r="G219">
        <f t="shared" ca="1" si="17"/>
        <v>217</v>
      </c>
      <c r="H219">
        <f t="shared" ca="1" si="18"/>
        <v>0</v>
      </c>
      <c r="I219">
        <f t="shared" ca="1" si="19"/>
        <v>0</v>
      </c>
    </row>
    <row r="220" spans="1:9">
      <c r="A220" s="66">
        <v>0</v>
      </c>
      <c r="B220" s="66">
        <v>0</v>
      </c>
      <c r="D220">
        <f t="shared" si="15"/>
        <v>0</v>
      </c>
      <c r="E220">
        <f t="shared" si="16"/>
        <v>0</v>
      </c>
      <c r="G220">
        <f t="shared" ca="1" si="17"/>
        <v>218</v>
      </c>
      <c r="H220">
        <f t="shared" ca="1" si="18"/>
        <v>0</v>
      </c>
      <c r="I220">
        <f t="shared" ca="1" si="19"/>
        <v>0</v>
      </c>
    </row>
    <row r="221" spans="1:9">
      <c r="A221" s="66">
        <v>0</v>
      </c>
      <c r="B221" s="66">
        <v>0</v>
      </c>
      <c r="D221">
        <f t="shared" si="15"/>
        <v>0</v>
      </c>
      <c r="E221">
        <f t="shared" si="16"/>
        <v>0</v>
      </c>
      <c r="G221">
        <f t="shared" ca="1" si="17"/>
        <v>219</v>
      </c>
      <c r="H221">
        <f t="shared" ca="1" si="18"/>
        <v>0</v>
      </c>
      <c r="I221">
        <f t="shared" ca="1" si="19"/>
        <v>0</v>
      </c>
    </row>
    <row r="222" spans="1:9">
      <c r="A222" s="66">
        <v>0</v>
      </c>
      <c r="B222" s="66">
        <v>0</v>
      </c>
      <c r="D222">
        <f t="shared" si="15"/>
        <v>0</v>
      </c>
      <c r="E222">
        <f t="shared" si="16"/>
        <v>0</v>
      </c>
      <c r="G222">
        <f t="shared" ca="1" si="17"/>
        <v>220</v>
      </c>
      <c r="H222">
        <f t="shared" ca="1" si="18"/>
        <v>0</v>
      </c>
      <c r="I222">
        <f t="shared" ca="1" si="19"/>
        <v>0</v>
      </c>
    </row>
    <row r="223" spans="1:9">
      <c r="A223" s="66">
        <v>0</v>
      </c>
      <c r="B223" s="66">
        <v>0</v>
      </c>
      <c r="D223">
        <f t="shared" si="15"/>
        <v>0</v>
      </c>
      <c r="E223">
        <f t="shared" si="16"/>
        <v>0</v>
      </c>
      <c r="G223">
        <f t="shared" ca="1" si="17"/>
        <v>221</v>
      </c>
      <c r="H223">
        <f t="shared" ca="1" si="18"/>
        <v>0</v>
      </c>
      <c r="I223">
        <f t="shared" ca="1" si="19"/>
        <v>0</v>
      </c>
    </row>
    <row r="224" spans="1:9">
      <c r="A224" s="66">
        <v>0</v>
      </c>
      <c r="B224" s="66">
        <v>0</v>
      </c>
      <c r="D224">
        <f t="shared" si="15"/>
        <v>0</v>
      </c>
      <c r="E224">
        <f t="shared" si="16"/>
        <v>0</v>
      </c>
      <c r="G224">
        <f t="shared" ca="1" si="17"/>
        <v>222</v>
      </c>
      <c r="H224">
        <f t="shared" ca="1" si="18"/>
        <v>0</v>
      </c>
      <c r="I224">
        <f t="shared" ca="1" si="19"/>
        <v>0</v>
      </c>
    </row>
    <row r="225" spans="1:9">
      <c r="A225" s="66">
        <v>0</v>
      </c>
      <c r="B225" s="66">
        <v>0</v>
      </c>
      <c r="D225">
        <f t="shared" si="15"/>
        <v>0</v>
      </c>
      <c r="E225">
        <f t="shared" si="16"/>
        <v>0</v>
      </c>
      <c r="G225">
        <f t="shared" ca="1" si="17"/>
        <v>223</v>
      </c>
      <c r="H225">
        <f t="shared" ca="1" si="18"/>
        <v>0</v>
      </c>
      <c r="I225">
        <f t="shared" ca="1" si="19"/>
        <v>0</v>
      </c>
    </row>
    <row r="226" spans="1:9">
      <c r="A226" s="66">
        <v>0</v>
      </c>
      <c r="B226" s="66">
        <v>0</v>
      </c>
      <c r="D226">
        <f t="shared" si="15"/>
        <v>0</v>
      </c>
      <c r="E226">
        <f t="shared" si="16"/>
        <v>0</v>
      </c>
      <c r="G226">
        <f t="shared" ca="1" si="17"/>
        <v>224</v>
      </c>
      <c r="H226">
        <f t="shared" ca="1" si="18"/>
        <v>0</v>
      </c>
      <c r="I226">
        <f t="shared" ca="1" si="19"/>
        <v>0</v>
      </c>
    </row>
    <row r="227" spans="1:9">
      <c r="A227" s="66">
        <v>0</v>
      </c>
      <c r="B227" s="66">
        <v>0</v>
      </c>
      <c r="D227">
        <f t="shared" si="15"/>
        <v>0</v>
      </c>
      <c r="E227">
        <f t="shared" si="16"/>
        <v>0</v>
      </c>
      <c r="G227">
        <f t="shared" ca="1" si="17"/>
        <v>225</v>
      </c>
      <c r="H227">
        <f t="shared" ca="1" si="18"/>
        <v>0</v>
      </c>
      <c r="I227">
        <f t="shared" ca="1" si="19"/>
        <v>0</v>
      </c>
    </row>
    <row r="228" spans="1:9">
      <c r="A228" s="66">
        <v>0</v>
      </c>
      <c r="B228" s="66">
        <v>0</v>
      </c>
      <c r="D228">
        <f t="shared" si="15"/>
        <v>0</v>
      </c>
      <c r="E228">
        <f t="shared" si="16"/>
        <v>0</v>
      </c>
      <c r="G228">
        <f t="shared" ca="1" si="17"/>
        <v>226</v>
      </c>
      <c r="H228">
        <f t="shared" ca="1" si="18"/>
        <v>0</v>
      </c>
      <c r="I228">
        <f t="shared" ca="1" si="19"/>
        <v>0</v>
      </c>
    </row>
    <row r="229" spans="1:9">
      <c r="A229" s="66">
        <v>0</v>
      </c>
      <c r="B229" s="66">
        <v>0</v>
      </c>
      <c r="D229">
        <f t="shared" si="15"/>
        <v>0</v>
      </c>
      <c r="E229">
        <f t="shared" si="16"/>
        <v>0</v>
      </c>
      <c r="G229">
        <f t="shared" ca="1" si="17"/>
        <v>227</v>
      </c>
      <c r="H229">
        <f t="shared" ca="1" si="18"/>
        <v>0</v>
      </c>
      <c r="I229">
        <f t="shared" ca="1" si="19"/>
        <v>0</v>
      </c>
    </row>
    <row r="230" spans="1:9">
      <c r="A230" s="66">
        <v>0</v>
      </c>
      <c r="B230" s="66">
        <v>0</v>
      </c>
      <c r="D230">
        <f t="shared" si="15"/>
        <v>0</v>
      </c>
      <c r="E230">
        <f t="shared" si="16"/>
        <v>0</v>
      </c>
      <c r="G230">
        <f t="shared" ca="1" si="17"/>
        <v>228</v>
      </c>
      <c r="H230">
        <f t="shared" ca="1" si="18"/>
        <v>0</v>
      </c>
      <c r="I230">
        <f t="shared" ca="1" si="19"/>
        <v>0</v>
      </c>
    </row>
    <row r="231" spans="1:9">
      <c r="A231" s="66">
        <v>0</v>
      </c>
      <c r="B231" s="66">
        <v>0</v>
      </c>
      <c r="D231">
        <f t="shared" si="15"/>
        <v>0</v>
      </c>
      <c r="E231">
        <f t="shared" si="16"/>
        <v>0</v>
      </c>
      <c r="G231">
        <f t="shared" ca="1" si="17"/>
        <v>229</v>
      </c>
      <c r="H231">
        <f t="shared" ca="1" si="18"/>
        <v>0</v>
      </c>
      <c r="I231">
        <f t="shared" ca="1" si="19"/>
        <v>0</v>
      </c>
    </row>
    <row r="232" spans="1:9">
      <c r="A232" s="66">
        <v>0</v>
      </c>
      <c r="B232" s="66">
        <v>0</v>
      </c>
      <c r="D232">
        <f t="shared" si="15"/>
        <v>0</v>
      </c>
      <c r="E232">
        <f t="shared" si="16"/>
        <v>0</v>
      </c>
      <c r="G232">
        <f t="shared" ca="1" si="17"/>
        <v>230</v>
      </c>
      <c r="H232">
        <f t="shared" ca="1" si="18"/>
        <v>0</v>
      </c>
      <c r="I232">
        <f t="shared" ca="1" si="19"/>
        <v>0</v>
      </c>
    </row>
    <row r="233" spans="1:9">
      <c r="A233" s="66">
        <v>0</v>
      </c>
      <c r="B233" s="66">
        <v>0</v>
      </c>
      <c r="D233">
        <f t="shared" si="15"/>
        <v>0</v>
      </c>
      <c r="E233">
        <f t="shared" si="16"/>
        <v>0</v>
      </c>
      <c r="G233">
        <f t="shared" ca="1" si="17"/>
        <v>231</v>
      </c>
      <c r="H233">
        <f t="shared" ca="1" si="18"/>
        <v>0</v>
      </c>
      <c r="I233">
        <f t="shared" ca="1" si="19"/>
        <v>0</v>
      </c>
    </row>
    <row r="234" spans="1:9">
      <c r="A234" s="66">
        <v>0</v>
      </c>
      <c r="B234" s="66">
        <v>0</v>
      </c>
      <c r="D234">
        <f t="shared" si="15"/>
        <v>0</v>
      </c>
      <c r="E234">
        <f t="shared" si="16"/>
        <v>0</v>
      </c>
      <c r="G234">
        <f t="shared" ca="1" si="17"/>
        <v>232</v>
      </c>
      <c r="H234">
        <f t="shared" ca="1" si="18"/>
        <v>0</v>
      </c>
      <c r="I234">
        <f t="shared" ca="1" si="19"/>
        <v>0</v>
      </c>
    </row>
    <row r="235" spans="1:9">
      <c r="A235" s="66">
        <v>0</v>
      </c>
      <c r="B235" s="66">
        <v>0</v>
      </c>
      <c r="D235">
        <f t="shared" si="15"/>
        <v>0</v>
      </c>
      <c r="E235">
        <f t="shared" si="16"/>
        <v>0</v>
      </c>
      <c r="G235">
        <f t="shared" ca="1" si="17"/>
        <v>233</v>
      </c>
      <c r="H235">
        <f t="shared" ca="1" si="18"/>
        <v>0</v>
      </c>
      <c r="I235">
        <f t="shared" ca="1" si="19"/>
        <v>0</v>
      </c>
    </row>
    <row r="236" spans="1:9">
      <c r="A236" s="66">
        <v>0</v>
      </c>
      <c r="B236" s="66">
        <v>0</v>
      </c>
      <c r="D236">
        <f t="shared" si="15"/>
        <v>0</v>
      </c>
      <c r="E236">
        <f t="shared" si="16"/>
        <v>0</v>
      </c>
      <c r="G236">
        <f t="shared" ca="1" si="17"/>
        <v>234</v>
      </c>
      <c r="H236">
        <f t="shared" ca="1" si="18"/>
        <v>0</v>
      </c>
      <c r="I236">
        <f t="shared" ca="1" si="19"/>
        <v>0</v>
      </c>
    </row>
    <row r="237" spans="1:9">
      <c r="A237" s="66">
        <v>0</v>
      </c>
      <c r="B237" s="66">
        <v>0</v>
      </c>
      <c r="D237">
        <f t="shared" si="15"/>
        <v>0</v>
      </c>
      <c r="E237">
        <f t="shared" si="16"/>
        <v>0</v>
      </c>
      <c r="G237">
        <f t="shared" ca="1" si="17"/>
        <v>235</v>
      </c>
      <c r="H237">
        <f t="shared" ca="1" si="18"/>
        <v>0</v>
      </c>
      <c r="I237">
        <f t="shared" ca="1" si="19"/>
        <v>0</v>
      </c>
    </row>
    <row r="238" spans="1:9">
      <c r="A238" s="66">
        <v>0</v>
      </c>
      <c r="B238" s="66">
        <v>0</v>
      </c>
      <c r="D238">
        <f t="shared" si="15"/>
        <v>0</v>
      </c>
      <c r="E238">
        <f t="shared" si="16"/>
        <v>0</v>
      </c>
      <c r="G238">
        <f t="shared" ca="1" si="17"/>
        <v>236</v>
      </c>
      <c r="H238">
        <f t="shared" ca="1" si="18"/>
        <v>0</v>
      </c>
      <c r="I238">
        <f t="shared" ca="1" si="19"/>
        <v>0</v>
      </c>
    </row>
    <row r="239" spans="1:9">
      <c r="A239" s="66">
        <v>0</v>
      </c>
      <c r="B239" s="66">
        <v>0</v>
      </c>
      <c r="D239">
        <f t="shared" si="15"/>
        <v>0</v>
      </c>
      <c r="E239">
        <f t="shared" si="16"/>
        <v>0</v>
      </c>
      <c r="G239">
        <f t="shared" ca="1" si="17"/>
        <v>237</v>
      </c>
      <c r="H239">
        <f t="shared" ca="1" si="18"/>
        <v>0</v>
      </c>
      <c r="I239">
        <f t="shared" ca="1" si="19"/>
        <v>0</v>
      </c>
    </row>
    <row r="240" spans="1:9">
      <c r="A240" s="66">
        <v>0</v>
      </c>
      <c r="B240" s="66">
        <v>0</v>
      </c>
      <c r="D240">
        <f t="shared" si="15"/>
        <v>0</v>
      </c>
      <c r="E240">
        <f t="shared" si="16"/>
        <v>0</v>
      </c>
      <c r="G240">
        <f t="shared" ca="1" si="17"/>
        <v>238</v>
      </c>
      <c r="H240">
        <f t="shared" ca="1" si="18"/>
        <v>0</v>
      </c>
      <c r="I240">
        <f t="shared" ca="1" si="19"/>
        <v>0</v>
      </c>
    </row>
    <row r="241" spans="1:9">
      <c r="A241" s="66">
        <v>0</v>
      </c>
      <c r="B241" s="66">
        <v>0</v>
      </c>
      <c r="D241">
        <f t="shared" si="15"/>
        <v>0</v>
      </c>
      <c r="E241">
        <f t="shared" si="16"/>
        <v>0</v>
      </c>
      <c r="G241">
        <f t="shared" ca="1" si="17"/>
        <v>239</v>
      </c>
      <c r="H241">
        <f t="shared" ca="1" si="18"/>
        <v>0</v>
      </c>
      <c r="I241">
        <f t="shared" ca="1" si="19"/>
        <v>0</v>
      </c>
    </row>
    <row r="242" spans="1:9">
      <c r="A242" s="66">
        <v>0</v>
      </c>
      <c r="B242" s="66">
        <v>0</v>
      </c>
      <c r="D242">
        <f t="shared" si="15"/>
        <v>0</v>
      </c>
      <c r="E242">
        <f t="shared" si="16"/>
        <v>0</v>
      </c>
      <c r="G242">
        <f t="shared" ca="1" si="17"/>
        <v>240</v>
      </c>
      <c r="H242">
        <f t="shared" ca="1" si="18"/>
        <v>0</v>
      </c>
      <c r="I242">
        <f t="shared" ca="1" si="19"/>
        <v>0</v>
      </c>
    </row>
    <row r="243" spans="1:9">
      <c r="A243" s="66">
        <v>0</v>
      </c>
      <c r="B243" s="66">
        <v>0</v>
      </c>
      <c r="D243">
        <f t="shared" si="15"/>
        <v>0</v>
      </c>
      <c r="E243">
        <f t="shared" si="16"/>
        <v>0</v>
      </c>
      <c r="G243">
        <f t="shared" ca="1" si="17"/>
        <v>241</v>
      </c>
      <c r="H243">
        <f t="shared" ca="1" si="18"/>
        <v>0</v>
      </c>
      <c r="I243">
        <f t="shared" ca="1" si="19"/>
        <v>0</v>
      </c>
    </row>
    <row r="244" spans="1:9">
      <c r="A244" s="66">
        <v>0</v>
      </c>
      <c r="B244" s="66">
        <v>0</v>
      </c>
      <c r="D244">
        <f t="shared" si="15"/>
        <v>0</v>
      </c>
      <c r="E244">
        <f t="shared" si="16"/>
        <v>0</v>
      </c>
      <c r="G244">
        <f t="shared" ca="1" si="17"/>
        <v>242</v>
      </c>
      <c r="H244">
        <f t="shared" ca="1" si="18"/>
        <v>0</v>
      </c>
      <c r="I244">
        <f t="shared" ca="1" si="19"/>
        <v>0</v>
      </c>
    </row>
    <row r="245" spans="1:9">
      <c r="A245" s="66">
        <v>0</v>
      </c>
      <c r="B245" s="66">
        <v>0</v>
      </c>
      <c r="D245">
        <f t="shared" si="15"/>
        <v>0</v>
      </c>
      <c r="E245">
        <f t="shared" si="16"/>
        <v>0</v>
      </c>
      <c r="G245">
        <f t="shared" ca="1" si="17"/>
        <v>243</v>
      </c>
      <c r="H245">
        <f t="shared" ca="1" si="18"/>
        <v>0</v>
      </c>
      <c r="I245">
        <f t="shared" ca="1" si="19"/>
        <v>0</v>
      </c>
    </row>
    <row r="246" spans="1:9">
      <c r="A246" s="66">
        <v>0</v>
      </c>
      <c r="B246" s="66">
        <v>0</v>
      </c>
      <c r="D246">
        <f t="shared" si="15"/>
        <v>0</v>
      </c>
      <c r="E246">
        <f t="shared" si="16"/>
        <v>0</v>
      </c>
      <c r="G246">
        <f t="shared" ca="1" si="17"/>
        <v>244</v>
      </c>
      <c r="H246">
        <f t="shared" ca="1" si="18"/>
        <v>0</v>
      </c>
      <c r="I246">
        <f t="shared" ca="1" si="19"/>
        <v>0</v>
      </c>
    </row>
    <row r="247" spans="1:9">
      <c r="A247" s="66">
        <v>0</v>
      </c>
      <c r="B247" s="66">
        <v>0</v>
      </c>
      <c r="D247">
        <f t="shared" si="15"/>
        <v>0</v>
      </c>
      <c r="E247">
        <f t="shared" si="16"/>
        <v>0</v>
      </c>
      <c r="G247">
        <f t="shared" ca="1" si="17"/>
        <v>245</v>
      </c>
      <c r="H247">
        <f t="shared" ca="1" si="18"/>
        <v>0</v>
      </c>
      <c r="I247">
        <f t="shared" ca="1" si="19"/>
        <v>0</v>
      </c>
    </row>
    <row r="248" spans="1:9">
      <c r="A248" s="66">
        <v>0</v>
      </c>
      <c r="B248" s="66">
        <v>0</v>
      </c>
      <c r="D248">
        <f t="shared" si="15"/>
        <v>0</v>
      </c>
      <c r="E248">
        <f t="shared" si="16"/>
        <v>0</v>
      </c>
      <c r="G248">
        <f t="shared" ca="1" si="17"/>
        <v>246</v>
      </c>
      <c r="H248">
        <f t="shared" ca="1" si="18"/>
        <v>0</v>
      </c>
      <c r="I248">
        <f t="shared" ca="1" si="19"/>
        <v>0</v>
      </c>
    </row>
    <row r="249" spans="1:9">
      <c r="A249" s="66">
        <v>0</v>
      </c>
      <c r="B249" s="66">
        <v>0</v>
      </c>
      <c r="D249">
        <f t="shared" si="15"/>
        <v>0</v>
      </c>
      <c r="E249">
        <f t="shared" si="16"/>
        <v>0</v>
      </c>
      <c r="G249">
        <f t="shared" ca="1" si="17"/>
        <v>247</v>
      </c>
      <c r="H249">
        <f t="shared" ca="1" si="18"/>
        <v>0</v>
      </c>
      <c r="I249">
        <f t="shared" ca="1" si="19"/>
        <v>0</v>
      </c>
    </row>
    <row r="250" spans="1:9">
      <c r="A250" s="66">
        <v>0</v>
      </c>
      <c r="B250" s="66">
        <v>0</v>
      </c>
      <c r="D250">
        <f t="shared" si="15"/>
        <v>0</v>
      </c>
      <c r="E250">
        <f t="shared" si="16"/>
        <v>0</v>
      </c>
      <c r="G250">
        <f t="shared" ca="1" si="17"/>
        <v>248</v>
      </c>
      <c r="H250">
        <f t="shared" ca="1" si="18"/>
        <v>0</v>
      </c>
      <c r="I250">
        <f t="shared" ca="1" si="19"/>
        <v>0</v>
      </c>
    </row>
    <row r="251" spans="1:9">
      <c r="A251" s="66">
        <v>0</v>
      </c>
      <c r="B251" s="66">
        <v>0</v>
      </c>
      <c r="D251">
        <f t="shared" si="15"/>
        <v>0</v>
      </c>
      <c r="E251">
        <f t="shared" si="16"/>
        <v>0</v>
      </c>
      <c r="G251">
        <f t="shared" ca="1" si="17"/>
        <v>249</v>
      </c>
      <c r="H251">
        <f t="shared" ca="1" si="18"/>
        <v>0</v>
      </c>
      <c r="I251">
        <f t="shared" ca="1" si="19"/>
        <v>0</v>
      </c>
    </row>
    <row r="252" spans="1:9">
      <c r="A252" s="66">
        <v>0</v>
      </c>
      <c r="B252" s="66">
        <v>0</v>
      </c>
      <c r="D252">
        <f t="shared" si="15"/>
        <v>0</v>
      </c>
      <c r="E252">
        <f t="shared" si="16"/>
        <v>0</v>
      </c>
      <c r="G252">
        <f t="shared" ca="1" si="17"/>
        <v>250</v>
      </c>
      <c r="H252">
        <f t="shared" ca="1" si="18"/>
        <v>0</v>
      </c>
      <c r="I252">
        <f t="shared" ca="1" si="19"/>
        <v>0</v>
      </c>
    </row>
    <row r="253" spans="1:9">
      <c r="A253" s="66">
        <v>0</v>
      </c>
      <c r="B253" s="66">
        <v>0</v>
      </c>
      <c r="D253">
        <f t="shared" si="15"/>
        <v>0</v>
      </c>
      <c r="E253">
        <f t="shared" si="16"/>
        <v>0</v>
      </c>
      <c r="G253">
        <f t="shared" ca="1" si="17"/>
        <v>251</v>
      </c>
      <c r="H253">
        <f t="shared" ca="1" si="18"/>
        <v>0</v>
      </c>
      <c r="I253">
        <f t="shared" ca="1" si="19"/>
        <v>0</v>
      </c>
    </row>
    <row r="254" spans="1:9">
      <c r="A254" s="66">
        <v>0</v>
      </c>
      <c r="B254" s="66">
        <v>0</v>
      </c>
      <c r="D254">
        <f t="shared" si="15"/>
        <v>0</v>
      </c>
      <c r="E254">
        <f t="shared" si="16"/>
        <v>0</v>
      </c>
      <c r="G254">
        <f t="shared" ca="1" si="17"/>
        <v>252</v>
      </c>
      <c r="H254">
        <f t="shared" ca="1" si="18"/>
        <v>0</v>
      </c>
      <c r="I254">
        <f t="shared" ca="1" si="19"/>
        <v>0</v>
      </c>
    </row>
    <row r="255" spans="1:9">
      <c r="A255" s="66">
        <v>0</v>
      </c>
      <c r="B255" s="66">
        <v>0</v>
      </c>
      <c r="D255">
        <f t="shared" si="15"/>
        <v>0</v>
      </c>
      <c r="E255">
        <f t="shared" si="16"/>
        <v>0</v>
      </c>
      <c r="G255">
        <f t="shared" ca="1" si="17"/>
        <v>253</v>
      </c>
      <c r="H255">
        <f t="shared" ca="1" si="18"/>
        <v>0</v>
      </c>
      <c r="I255">
        <f t="shared" ca="1" si="19"/>
        <v>0</v>
      </c>
    </row>
    <row r="256" spans="1:9">
      <c r="A256" s="66">
        <v>0</v>
      </c>
      <c r="B256" s="66">
        <v>0</v>
      </c>
      <c r="D256">
        <f t="shared" si="15"/>
        <v>0</v>
      </c>
      <c r="E256">
        <f t="shared" si="16"/>
        <v>0</v>
      </c>
      <c r="G256">
        <f t="shared" ca="1" si="17"/>
        <v>254</v>
      </c>
      <c r="H256">
        <f t="shared" ca="1" si="18"/>
        <v>0</v>
      </c>
      <c r="I256">
        <f t="shared" ca="1" si="19"/>
        <v>0</v>
      </c>
    </row>
    <row r="257" spans="1:9">
      <c r="A257" s="66">
        <v>0</v>
      </c>
      <c r="B257" s="66">
        <v>0</v>
      </c>
      <c r="D257">
        <f t="shared" si="15"/>
        <v>0</v>
      </c>
      <c r="E257">
        <f t="shared" si="16"/>
        <v>0</v>
      </c>
      <c r="G257">
        <f t="shared" ca="1" si="17"/>
        <v>255</v>
      </c>
      <c r="H257">
        <f t="shared" ca="1" si="18"/>
        <v>0</v>
      </c>
      <c r="I257">
        <f t="shared" ca="1" si="19"/>
        <v>0</v>
      </c>
    </row>
  </sheetData>
  <phoneticPr fontId="29" type="noConversion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57"/>
  <sheetViews>
    <sheetView workbookViewId="0">
      <selection sqref="A1:B1048576"/>
    </sheetView>
  </sheetViews>
  <sheetFormatPr defaultRowHeight="13.5"/>
  <cols>
    <col min="14" max="14" width="10.25" bestFit="1" customWidth="1"/>
  </cols>
  <sheetData>
    <row r="1" spans="1:12">
      <c r="A1" s="66" t="s">
        <v>348</v>
      </c>
      <c r="B1" s="66" t="s">
        <v>349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82.581717253220418</v>
      </c>
    </row>
    <row r="2" spans="1:12">
      <c r="A2" s="66">
        <v>0</v>
      </c>
      <c r="B2" s="66">
        <v>0</v>
      </c>
      <c r="D2">
        <f>IFERROR(100*A2/MAX(A$2:A$257), 0 )</f>
        <v>0</v>
      </c>
      <c r="E2">
        <f>IFERROR(100*B2/MAX(B$2:B$257),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1.594445696241874</v>
      </c>
    </row>
    <row r="3" spans="1:12">
      <c r="A3" s="66">
        <v>0</v>
      </c>
      <c r="B3" s="66">
        <v>0</v>
      </c>
      <c r="D3">
        <f t="shared" ref="D3:D66" si="0">IFERROR(100*A3/MAX(A$2:A$257), 0 )</f>
        <v>0</v>
      </c>
      <c r="E3">
        <f t="shared" ref="E3:E66" si="1">IFERROR(100*B3/MAX(B$2:B$257), 0 )</f>
        <v>0</v>
      </c>
      <c r="G3">
        <f t="shared" ref="G3:G66" ca="1" si="2">CELL("row",D3)-2</f>
        <v>1</v>
      </c>
      <c r="H3">
        <f t="shared" ref="H3:H66" ca="1" si="3">D3*G3</f>
        <v>0</v>
      </c>
      <c r="I3">
        <f t="shared" ref="I3:I66" ca="1" si="4">D3*((G3-$L$1)^2)</f>
        <v>0</v>
      </c>
      <c r="K3" t="s">
        <v>277</v>
      </c>
      <c r="L3" s="61">
        <f ca="1">SQRT(SUM(I2:I257)/SUM(D2:D257))*info!L2/255</f>
        <v>0.57289467589157372</v>
      </c>
    </row>
    <row r="4" spans="1:12">
      <c r="A4" s="66">
        <v>0</v>
      </c>
      <c r="B4" s="66">
        <v>0</v>
      </c>
      <c r="D4">
        <f t="shared" si="0"/>
        <v>0</v>
      </c>
      <c r="E4">
        <f t="shared" si="1"/>
        <v>0</v>
      </c>
      <c r="G4">
        <f t="shared" ca="1" si="2"/>
        <v>2</v>
      </c>
      <c r="H4">
        <f t="shared" ca="1" si="3"/>
        <v>0</v>
      </c>
      <c r="I4">
        <f t="shared" ca="1" si="4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1"/>
        <v>0</v>
      </c>
      <c r="G5">
        <f t="shared" ca="1" si="2"/>
        <v>3</v>
      </c>
      <c r="H5">
        <f t="shared" ca="1" si="3"/>
        <v>0</v>
      </c>
      <c r="I5">
        <f t="shared" ca="1" si="4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1"/>
        <v>0</v>
      </c>
      <c r="G6">
        <f t="shared" ca="1" si="2"/>
        <v>4</v>
      </c>
      <c r="H6">
        <f t="shared" ca="1" si="3"/>
        <v>0</v>
      </c>
      <c r="I6">
        <f t="shared" ca="1" si="4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1"/>
        <v>0</v>
      </c>
      <c r="G7">
        <f t="shared" ca="1" si="2"/>
        <v>5</v>
      </c>
      <c r="H7">
        <f t="shared" ca="1" si="3"/>
        <v>0</v>
      </c>
      <c r="I7">
        <f t="shared" ca="1" si="4"/>
        <v>0</v>
      </c>
    </row>
    <row r="8" spans="1:12">
      <c r="A8" s="66">
        <v>490</v>
      </c>
      <c r="B8" s="66">
        <v>490</v>
      </c>
      <c r="D8">
        <f t="shared" si="0"/>
        <v>0.56387949089737388</v>
      </c>
      <c r="E8">
        <f t="shared" si="1"/>
        <v>0.56387949089737388</v>
      </c>
      <c r="G8">
        <f t="shared" ca="1" si="2"/>
        <v>6</v>
      </c>
      <c r="H8">
        <f t="shared" ca="1" si="3"/>
        <v>3.3832769453842433</v>
      </c>
      <c r="I8">
        <f t="shared" ca="1" si="4"/>
        <v>3307.0175545485245</v>
      </c>
    </row>
    <row r="9" spans="1:12">
      <c r="A9" s="66">
        <v>0</v>
      </c>
      <c r="B9" s="66">
        <v>0</v>
      </c>
      <c r="D9">
        <f t="shared" si="0"/>
        <v>0</v>
      </c>
      <c r="E9">
        <f t="shared" si="1"/>
        <v>0</v>
      </c>
      <c r="G9">
        <f t="shared" ca="1" si="2"/>
        <v>7</v>
      </c>
      <c r="H9">
        <f t="shared" ca="1" si="3"/>
        <v>0</v>
      </c>
      <c r="I9">
        <f t="shared" ca="1" si="4"/>
        <v>0</v>
      </c>
    </row>
    <row r="10" spans="1:12">
      <c r="A10" s="66">
        <v>540</v>
      </c>
      <c r="B10" s="66">
        <v>540</v>
      </c>
      <c r="D10">
        <f t="shared" si="0"/>
        <v>0.62141821445833045</v>
      </c>
      <c r="E10">
        <f t="shared" si="1"/>
        <v>0.62141821445833045</v>
      </c>
      <c r="G10">
        <f t="shared" ca="1" si="2"/>
        <v>8</v>
      </c>
      <c r="H10">
        <f t="shared" ca="1" si="3"/>
        <v>4.9713457156666436</v>
      </c>
      <c r="I10">
        <f t="shared" ca="1" si="4"/>
        <v>3456.5969022960608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1"/>
        <v>0</v>
      </c>
      <c r="G11">
        <f t="shared" ca="1" si="2"/>
        <v>9</v>
      </c>
      <c r="H11">
        <f t="shared" ca="1" si="3"/>
        <v>0</v>
      </c>
      <c r="I11">
        <f t="shared" ca="1" si="4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1"/>
        <v>0</v>
      </c>
      <c r="G12">
        <f t="shared" ca="1" si="2"/>
        <v>10</v>
      </c>
      <c r="H12">
        <f t="shared" ca="1" si="3"/>
        <v>0</v>
      </c>
      <c r="I12">
        <f t="shared" ca="1" si="4"/>
        <v>0</v>
      </c>
    </row>
    <row r="13" spans="1:12">
      <c r="A13" s="66">
        <v>558</v>
      </c>
      <c r="B13" s="66">
        <v>558</v>
      </c>
      <c r="D13">
        <f t="shared" si="0"/>
        <v>0.64213215494027476</v>
      </c>
      <c r="E13">
        <f t="shared" si="1"/>
        <v>0.64213215494027476</v>
      </c>
      <c r="G13">
        <f t="shared" ca="1" si="2"/>
        <v>11</v>
      </c>
      <c r="H13">
        <f t="shared" ca="1" si="3"/>
        <v>7.0634537043430221</v>
      </c>
      <c r="I13">
        <f t="shared" ca="1" si="4"/>
        <v>3290.2480755199849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1"/>
        <v>0</v>
      </c>
      <c r="G14">
        <f t="shared" ca="1" si="2"/>
        <v>12</v>
      </c>
      <c r="H14">
        <f t="shared" ca="1" si="3"/>
        <v>0</v>
      </c>
      <c r="I14">
        <f t="shared" ca="1" si="4"/>
        <v>0</v>
      </c>
    </row>
    <row r="15" spans="1:12">
      <c r="A15" s="66">
        <v>1161</v>
      </c>
      <c r="B15" s="66">
        <v>1161</v>
      </c>
      <c r="D15">
        <f t="shared" si="0"/>
        <v>1.3360491610854104</v>
      </c>
      <c r="E15">
        <f t="shared" si="1"/>
        <v>1.3360491610854104</v>
      </c>
      <c r="G15">
        <f t="shared" ca="1" si="2"/>
        <v>13</v>
      </c>
      <c r="H15">
        <f t="shared" ca="1" si="3"/>
        <v>17.368639094110335</v>
      </c>
      <c r="I15">
        <f t="shared" ca="1" si="4"/>
        <v>6468.6361612789215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1"/>
        <v>0</v>
      </c>
      <c r="G16">
        <f t="shared" ca="1" si="2"/>
        <v>14</v>
      </c>
      <c r="H16">
        <f t="shared" ca="1" si="3"/>
        <v>0</v>
      </c>
      <c r="I16">
        <f t="shared" ca="1" si="4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1"/>
        <v>0</v>
      </c>
      <c r="G17">
        <f t="shared" ca="1" si="2"/>
        <v>15</v>
      </c>
      <c r="H17">
        <f t="shared" ca="1" si="3"/>
        <v>0</v>
      </c>
      <c r="I17">
        <f t="shared" ca="1" si="4"/>
        <v>0</v>
      </c>
    </row>
    <row r="18" spans="1:9">
      <c r="A18" s="66">
        <v>2200</v>
      </c>
      <c r="B18" s="66">
        <v>2200</v>
      </c>
      <c r="D18">
        <f t="shared" si="0"/>
        <v>2.531703836682087</v>
      </c>
      <c r="E18">
        <f t="shared" si="1"/>
        <v>2.531703836682087</v>
      </c>
      <c r="G18">
        <f t="shared" ca="1" si="2"/>
        <v>16</v>
      </c>
      <c r="H18">
        <f t="shared" ca="1" si="3"/>
        <v>40.507261386913392</v>
      </c>
      <c r="I18">
        <f t="shared" ca="1" si="4"/>
        <v>11223.35975425572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1"/>
        <v>0</v>
      </c>
      <c r="G19">
        <f t="shared" ca="1" si="2"/>
        <v>17</v>
      </c>
      <c r="H19">
        <f t="shared" ca="1" si="3"/>
        <v>0</v>
      </c>
      <c r="I19">
        <f t="shared" ca="1" si="4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1"/>
        <v>0</v>
      </c>
      <c r="G20">
        <f t="shared" ca="1" si="2"/>
        <v>18</v>
      </c>
      <c r="H20">
        <f t="shared" ca="1" si="3"/>
        <v>0</v>
      </c>
      <c r="I20">
        <f t="shared" ca="1" si="4"/>
        <v>0</v>
      </c>
    </row>
    <row r="21" spans="1:9">
      <c r="A21" s="66">
        <v>4499</v>
      </c>
      <c r="B21" s="66">
        <v>4499</v>
      </c>
      <c r="D21">
        <f t="shared" si="0"/>
        <v>5.1773343460148684</v>
      </c>
      <c r="E21">
        <f t="shared" si="1"/>
        <v>5.1773343460148684</v>
      </c>
      <c r="G21">
        <f t="shared" ca="1" si="2"/>
        <v>19</v>
      </c>
      <c r="H21">
        <f t="shared" ca="1" si="3"/>
        <v>98.369352574282502</v>
      </c>
      <c r="I21">
        <f t="shared" ca="1" si="4"/>
        <v>20930.071837256593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1"/>
        <v>0</v>
      </c>
      <c r="G22">
        <f t="shared" ca="1" si="2"/>
        <v>20</v>
      </c>
      <c r="H22">
        <f t="shared" ca="1" si="3"/>
        <v>0</v>
      </c>
      <c r="I22">
        <f t="shared" ca="1" si="4"/>
        <v>0</v>
      </c>
    </row>
    <row r="23" spans="1:9">
      <c r="A23" s="66">
        <v>7750</v>
      </c>
      <c r="B23" s="66">
        <v>7750</v>
      </c>
      <c r="D23">
        <f t="shared" si="0"/>
        <v>8.9185021519482603</v>
      </c>
      <c r="E23">
        <f t="shared" si="1"/>
        <v>8.9185021519482603</v>
      </c>
      <c r="G23">
        <f t="shared" ca="1" si="2"/>
        <v>21</v>
      </c>
      <c r="H23">
        <f t="shared" ca="1" si="3"/>
        <v>187.28854519091345</v>
      </c>
      <c r="I23">
        <f t="shared" ca="1" si="4"/>
        <v>33821.706165712421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1"/>
        <v>0</v>
      </c>
      <c r="G24">
        <f t="shared" ca="1" si="2"/>
        <v>22</v>
      </c>
      <c r="H24">
        <f t="shared" ca="1" si="3"/>
        <v>0</v>
      </c>
      <c r="I24">
        <f t="shared" ca="1" si="4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1"/>
        <v>0</v>
      </c>
      <c r="G25">
        <f t="shared" ca="1" si="2"/>
        <v>23</v>
      </c>
      <c r="H25">
        <f t="shared" ca="1" si="3"/>
        <v>0</v>
      </c>
      <c r="I25">
        <f t="shared" ca="1" si="4"/>
        <v>0</v>
      </c>
    </row>
    <row r="26" spans="1:9">
      <c r="A26" s="66">
        <v>11009</v>
      </c>
      <c r="B26" s="66">
        <v>11009</v>
      </c>
      <c r="D26">
        <f t="shared" si="0"/>
        <v>12.668876153651407</v>
      </c>
      <c r="E26">
        <f t="shared" si="1"/>
        <v>12.668876153651407</v>
      </c>
      <c r="G26">
        <f t="shared" ca="1" si="2"/>
        <v>24</v>
      </c>
      <c r="H26">
        <f t="shared" ca="1" si="3"/>
        <v>304.05302768763374</v>
      </c>
      <c r="I26">
        <f t="shared" ca="1" si="4"/>
        <v>43477.272109905767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1"/>
        <v>0</v>
      </c>
      <c r="G27">
        <f t="shared" ca="1" si="2"/>
        <v>25</v>
      </c>
      <c r="H27">
        <f t="shared" ca="1" si="3"/>
        <v>0</v>
      </c>
      <c r="I27">
        <f t="shared" ca="1" si="4"/>
        <v>0</v>
      </c>
    </row>
    <row r="28" spans="1:9">
      <c r="A28" s="66">
        <v>16370</v>
      </c>
      <c r="B28" s="66">
        <v>16370</v>
      </c>
      <c r="D28">
        <f t="shared" si="0"/>
        <v>18.838178093857167</v>
      </c>
      <c r="E28">
        <f t="shared" si="1"/>
        <v>18.838178093857167</v>
      </c>
      <c r="G28">
        <f t="shared" ca="1" si="2"/>
        <v>26</v>
      </c>
      <c r="H28">
        <f t="shared" ca="1" si="3"/>
        <v>489.7926304402863</v>
      </c>
      <c r="I28">
        <f t="shared" ca="1" si="4"/>
        <v>60310.252487150166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1"/>
        <v>0</v>
      </c>
      <c r="G29">
        <f t="shared" ca="1" si="2"/>
        <v>27</v>
      </c>
      <c r="H29">
        <f t="shared" ca="1" si="3"/>
        <v>0</v>
      </c>
      <c r="I29">
        <f t="shared" ca="1" si="4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1"/>
        <v>0</v>
      </c>
      <c r="G30">
        <f t="shared" ca="1" si="2"/>
        <v>28</v>
      </c>
      <c r="H30">
        <f t="shared" ca="1" si="3"/>
        <v>0</v>
      </c>
      <c r="I30">
        <f t="shared" ca="1" si="4"/>
        <v>0</v>
      </c>
    </row>
    <row r="31" spans="1:9">
      <c r="A31" s="66">
        <v>18685</v>
      </c>
      <c r="B31" s="66">
        <v>18685</v>
      </c>
      <c r="D31">
        <f t="shared" si="0"/>
        <v>21.502220994729452</v>
      </c>
      <c r="E31">
        <f t="shared" si="1"/>
        <v>21.502220994729452</v>
      </c>
      <c r="G31">
        <f t="shared" ca="1" si="2"/>
        <v>29</v>
      </c>
      <c r="H31">
        <f t="shared" ca="1" si="3"/>
        <v>623.56440884715414</v>
      </c>
      <c r="I31">
        <f t="shared" ca="1" si="4"/>
        <v>61732.885588596786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1"/>
        <v>0</v>
      </c>
      <c r="G32">
        <f t="shared" ca="1" si="2"/>
        <v>30</v>
      </c>
      <c r="H32">
        <f t="shared" ca="1" si="3"/>
        <v>0</v>
      </c>
      <c r="I32">
        <f t="shared" ca="1" si="4"/>
        <v>0</v>
      </c>
    </row>
    <row r="33" spans="1:9">
      <c r="A33" s="66">
        <v>25239</v>
      </c>
      <c r="B33" s="66">
        <v>25239</v>
      </c>
      <c r="D33">
        <f t="shared" si="0"/>
        <v>29.044396879099633</v>
      </c>
      <c r="E33">
        <f t="shared" si="1"/>
        <v>29.044396879099633</v>
      </c>
      <c r="G33">
        <f t="shared" ca="1" si="2"/>
        <v>31</v>
      </c>
      <c r="H33">
        <f t="shared" ca="1" si="3"/>
        <v>900.37630325208863</v>
      </c>
      <c r="I33">
        <f t="shared" ca="1" si="4"/>
        <v>77277.658691079792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1"/>
        <v>0</v>
      </c>
      <c r="G34">
        <f t="shared" ca="1" si="2"/>
        <v>32</v>
      </c>
      <c r="H34">
        <f t="shared" ca="1" si="3"/>
        <v>0</v>
      </c>
      <c r="I34">
        <f t="shared" ca="1" si="4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1"/>
        <v>0</v>
      </c>
      <c r="G35">
        <f t="shared" ca="1" si="2"/>
        <v>33</v>
      </c>
      <c r="H35">
        <f t="shared" ca="1" si="3"/>
        <v>0</v>
      </c>
      <c r="I35">
        <f t="shared" ca="1" si="4"/>
        <v>0</v>
      </c>
    </row>
    <row r="36" spans="1:9">
      <c r="A36" s="66">
        <v>29968</v>
      </c>
      <c r="B36" s="66">
        <v>29968</v>
      </c>
      <c r="D36">
        <f t="shared" si="0"/>
        <v>34.486409353494899</v>
      </c>
      <c r="E36">
        <f t="shared" si="1"/>
        <v>34.486409353494899</v>
      </c>
      <c r="G36">
        <f t="shared" ca="1" si="2"/>
        <v>34</v>
      </c>
      <c r="H36">
        <f t="shared" ca="1" si="3"/>
        <v>1172.5379180188265</v>
      </c>
      <c r="I36">
        <f t="shared" ca="1" si="4"/>
        <v>81394.245752623683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1"/>
        <v>0</v>
      </c>
      <c r="G37">
        <f t="shared" ca="1" si="2"/>
        <v>35</v>
      </c>
      <c r="H37">
        <f t="shared" ca="1" si="3"/>
        <v>0</v>
      </c>
      <c r="I37">
        <f t="shared" ca="1" si="4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1"/>
        <v>0</v>
      </c>
      <c r="G38">
        <f t="shared" ca="1" si="2"/>
        <v>36</v>
      </c>
      <c r="H38">
        <f t="shared" ca="1" si="3"/>
        <v>0</v>
      </c>
      <c r="I38">
        <f t="shared" ca="1" si="4"/>
        <v>0</v>
      </c>
    </row>
    <row r="39" spans="1:9">
      <c r="A39" s="66">
        <v>32078</v>
      </c>
      <c r="B39" s="66">
        <v>32078</v>
      </c>
      <c r="D39">
        <f t="shared" si="0"/>
        <v>36.914543487767268</v>
      </c>
      <c r="E39">
        <f t="shared" si="1"/>
        <v>36.914543487767268</v>
      </c>
      <c r="G39">
        <f t="shared" ca="1" si="2"/>
        <v>37</v>
      </c>
      <c r="H39">
        <f t="shared" ca="1" si="3"/>
        <v>1365.838109047389</v>
      </c>
      <c r="I39">
        <f t="shared" ca="1" si="4"/>
        <v>76697.086674038204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1"/>
        <v>0</v>
      </c>
      <c r="G40">
        <f t="shared" ca="1" si="2"/>
        <v>38</v>
      </c>
      <c r="H40">
        <f t="shared" ca="1" si="3"/>
        <v>0</v>
      </c>
      <c r="I40">
        <f t="shared" ca="1" si="4"/>
        <v>0</v>
      </c>
    </row>
    <row r="41" spans="1:9">
      <c r="A41" s="66">
        <v>36976</v>
      </c>
      <c r="B41" s="66">
        <v>36976</v>
      </c>
      <c r="D41">
        <f t="shared" si="0"/>
        <v>42.551036847798571</v>
      </c>
      <c r="E41">
        <f t="shared" si="1"/>
        <v>42.551036847798571</v>
      </c>
      <c r="G41">
        <f t="shared" ca="1" si="2"/>
        <v>39</v>
      </c>
      <c r="H41">
        <f t="shared" ca="1" si="3"/>
        <v>1659.4904370641443</v>
      </c>
      <c r="I41">
        <f t="shared" ca="1" si="4"/>
        <v>80819.996003909531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1"/>
        <v>0</v>
      </c>
      <c r="G42">
        <f t="shared" ca="1" si="2"/>
        <v>40</v>
      </c>
      <c r="H42">
        <f t="shared" ca="1" si="3"/>
        <v>0</v>
      </c>
      <c r="I42">
        <f t="shared" ca="1" si="4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1"/>
        <v>0</v>
      </c>
      <c r="G43">
        <f t="shared" ca="1" si="2"/>
        <v>41</v>
      </c>
      <c r="H43">
        <f t="shared" ca="1" si="3"/>
        <v>0</v>
      </c>
      <c r="I43">
        <f t="shared" ca="1" si="4"/>
        <v>0</v>
      </c>
    </row>
    <row r="44" spans="1:9">
      <c r="A44" s="66">
        <v>43477</v>
      </c>
      <c r="B44" s="66">
        <v>43477</v>
      </c>
      <c r="D44">
        <f t="shared" si="0"/>
        <v>50.032221685194138</v>
      </c>
      <c r="E44">
        <f t="shared" si="1"/>
        <v>50.032221685194138</v>
      </c>
      <c r="G44">
        <f t="shared" ca="1" si="2"/>
        <v>42</v>
      </c>
      <c r="H44">
        <f t="shared" ca="1" si="3"/>
        <v>2101.3533107781536</v>
      </c>
      <c r="I44">
        <f t="shared" ca="1" si="4"/>
        <v>82396.853873799395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1"/>
        <v>0</v>
      </c>
      <c r="G45">
        <f t="shared" ca="1" si="2"/>
        <v>43</v>
      </c>
      <c r="H45">
        <f t="shared" ca="1" si="3"/>
        <v>0</v>
      </c>
      <c r="I45">
        <f t="shared" ca="1" si="4"/>
        <v>0</v>
      </c>
    </row>
    <row r="46" spans="1:9">
      <c r="A46" s="66">
        <v>50058</v>
      </c>
      <c r="B46" s="66">
        <v>50058</v>
      </c>
      <c r="D46">
        <f t="shared" si="0"/>
        <v>57.605468480287236</v>
      </c>
      <c r="E46">
        <f t="shared" si="1"/>
        <v>57.605468480287236</v>
      </c>
      <c r="G46">
        <f t="shared" ca="1" si="2"/>
        <v>44</v>
      </c>
      <c r="H46">
        <f t="shared" ca="1" si="3"/>
        <v>2534.6406131326385</v>
      </c>
      <c r="I46">
        <f t="shared" ca="1" si="4"/>
        <v>85748.557097899087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1"/>
        <v>0</v>
      </c>
      <c r="G47">
        <f t="shared" ca="1" si="2"/>
        <v>45</v>
      </c>
      <c r="H47">
        <f t="shared" ca="1" si="3"/>
        <v>0</v>
      </c>
      <c r="I47">
        <f t="shared" ca="1" si="4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1"/>
        <v>0</v>
      </c>
      <c r="G48">
        <f t="shared" ca="1" si="2"/>
        <v>46</v>
      </c>
      <c r="H48">
        <f t="shared" ca="1" si="3"/>
        <v>0</v>
      </c>
      <c r="I48">
        <f t="shared" ca="1" si="4"/>
        <v>0</v>
      </c>
    </row>
    <row r="49" spans="1:9">
      <c r="A49" s="66">
        <v>53715</v>
      </c>
      <c r="B49" s="66">
        <v>53715</v>
      </c>
      <c r="D49">
        <f t="shared" si="0"/>
        <v>61.813850721535594</v>
      </c>
      <c r="E49">
        <f t="shared" si="1"/>
        <v>61.813850721535594</v>
      </c>
      <c r="G49">
        <f t="shared" ca="1" si="2"/>
        <v>47</v>
      </c>
      <c r="H49">
        <f t="shared" ca="1" si="3"/>
        <v>2905.2509839121731</v>
      </c>
      <c r="I49">
        <f t="shared" ca="1" si="4"/>
        <v>78259.957471279617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1"/>
        <v>0</v>
      </c>
      <c r="G50">
        <f t="shared" ca="1" si="2"/>
        <v>48</v>
      </c>
      <c r="H50">
        <f t="shared" ca="1" si="3"/>
        <v>0</v>
      </c>
      <c r="I50">
        <f t="shared" ca="1" si="4"/>
        <v>0</v>
      </c>
    </row>
    <row r="51" spans="1:9">
      <c r="A51" s="66">
        <v>60330</v>
      </c>
      <c r="B51" s="66">
        <v>60330</v>
      </c>
      <c r="D51">
        <f t="shared" si="0"/>
        <v>69.426223848650139</v>
      </c>
      <c r="E51">
        <f t="shared" si="1"/>
        <v>69.426223848650139</v>
      </c>
      <c r="G51">
        <f t="shared" ca="1" si="2"/>
        <v>49</v>
      </c>
      <c r="H51">
        <f t="shared" ca="1" si="3"/>
        <v>3401.8849685838568</v>
      </c>
      <c r="I51">
        <f t="shared" ca="1" si="4"/>
        <v>78294.155783363647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1"/>
        <v>0</v>
      </c>
      <c r="G52">
        <f t="shared" ca="1" si="2"/>
        <v>50</v>
      </c>
      <c r="H52">
        <f t="shared" ca="1" si="3"/>
        <v>0</v>
      </c>
      <c r="I52">
        <f t="shared" ca="1" si="4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1"/>
        <v>0</v>
      </c>
      <c r="G53">
        <f t="shared" ca="1" si="2"/>
        <v>51</v>
      </c>
      <c r="H53">
        <f t="shared" ca="1" si="3"/>
        <v>0</v>
      </c>
      <c r="I53">
        <f t="shared" ca="1" si="4"/>
        <v>0</v>
      </c>
    </row>
    <row r="54" spans="1:9">
      <c r="A54" s="66">
        <v>67009</v>
      </c>
      <c r="B54" s="66">
        <v>67009</v>
      </c>
      <c r="D54">
        <f t="shared" si="0"/>
        <v>77.112246541922715</v>
      </c>
      <c r="E54">
        <f t="shared" si="1"/>
        <v>77.112246541922715</v>
      </c>
      <c r="G54">
        <f t="shared" ca="1" si="2"/>
        <v>52</v>
      </c>
      <c r="H54">
        <f t="shared" ca="1" si="3"/>
        <v>4009.8368201799813</v>
      </c>
      <c r="I54">
        <f t="shared" ca="1" si="4"/>
        <v>72118.567738403653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1"/>
        <v>0</v>
      </c>
      <c r="G55">
        <f t="shared" ca="1" si="2"/>
        <v>53</v>
      </c>
      <c r="H55">
        <f t="shared" ca="1" si="3"/>
        <v>0</v>
      </c>
      <c r="I55">
        <f t="shared" ca="1" si="4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1"/>
        <v>0</v>
      </c>
      <c r="G56">
        <f t="shared" ca="1" si="2"/>
        <v>54</v>
      </c>
      <c r="H56">
        <f t="shared" ca="1" si="3"/>
        <v>0</v>
      </c>
      <c r="I56">
        <f t="shared" ca="1" si="4"/>
        <v>0</v>
      </c>
    </row>
    <row r="57" spans="1:9">
      <c r="A57" s="66">
        <v>72925</v>
      </c>
      <c r="B57" s="66">
        <v>72925</v>
      </c>
      <c r="D57">
        <f t="shared" si="0"/>
        <v>83.920228313655088</v>
      </c>
      <c r="E57">
        <f t="shared" si="1"/>
        <v>83.920228313655088</v>
      </c>
      <c r="G57">
        <f t="shared" ca="1" si="2"/>
        <v>55</v>
      </c>
      <c r="H57">
        <f t="shared" ca="1" si="3"/>
        <v>4615.61255725103</v>
      </c>
      <c r="I57">
        <f t="shared" ca="1" si="4"/>
        <v>63842.408237213538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1"/>
        <v>0</v>
      </c>
      <c r="G58">
        <f t="shared" ca="1" si="2"/>
        <v>56</v>
      </c>
      <c r="H58">
        <f t="shared" ca="1" si="3"/>
        <v>0</v>
      </c>
      <c r="I58">
        <f t="shared" ca="1" si="4"/>
        <v>0</v>
      </c>
    </row>
    <row r="59" spans="1:9">
      <c r="A59" s="66">
        <v>69935</v>
      </c>
      <c r="B59" s="66">
        <v>69935</v>
      </c>
      <c r="D59">
        <f t="shared" si="0"/>
        <v>80.479412644709896</v>
      </c>
      <c r="E59">
        <f t="shared" si="1"/>
        <v>80.479412644709896</v>
      </c>
      <c r="G59">
        <f t="shared" ca="1" si="2"/>
        <v>57</v>
      </c>
      <c r="H59">
        <f t="shared" ca="1" si="3"/>
        <v>4587.3265207484637</v>
      </c>
      <c r="I59">
        <f t="shared" ca="1" si="4"/>
        <v>52667.679874006913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1"/>
        <v>0</v>
      </c>
      <c r="G60">
        <f t="shared" ca="1" si="2"/>
        <v>58</v>
      </c>
      <c r="H60">
        <f t="shared" ca="1" si="3"/>
        <v>0</v>
      </c>
      <c r="I60">
        <f t="shared" ca="1" si="4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1"/>
        <v>0</v>
      </c>
      <c r="G61">
        <f t="shared" ca="1" si="2"/>
        <v>59</v>
      </c>
      <c r="H61">
        <f t="shared" ca="1" si="3"/>
        <v>0</v>
      </c>
      <c r="I61">
        <f t="shared" ca="1" si="4"/>
        <v>0</v>
      </c>
    </row>
    <row r="62" spans="1:9">
      <c r="A62" s="66">
        <v>73765</v>
      </c>
      <c r="B62" s="66">
        <v>73765</v>
      </c>
      <c r="D62">
        <f t="shared" si="0"/>
        <v>84.886878869479162</v>
      </c>
      <c r="E62">
        <f t="shared" si="1"/>
        <v>84.886878869479162</v>
      </c>
      <c r="G62">
        <f t="shared" ca="1" si="2"/>
        <v>60</v>
      </c>
      <c r="H62">
        <f t="shared" ca="1" si="3"/>
        <v>5093.2127321687494</v>
      </c>
      <c r="I62">
        <f t="shared" ca="1" si="4"/>
        <v>43286.701793494125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1"/>
        <v>0</v>
      </c>
      <c r="G63">
        <f t="shared" ca="1" si="2"/>
        <v>61</v>
      </c>
      <c r="H63">
        <f t="shared" ca="1" si="3"/>
        <v>0</v>
      </c>
      <c r="I63">
        <f t="shared" ca="1" si="4"/>
        <v>0</v>
      </c>
    </row>
    <row r="64" spans="1:9">
      <c r="A64" s="66">
        <v>83769</v>
      </c>
      <c r="B64" s="66">
        <v>83769</v>
      </c>
      <c r="D64">
        <f t="shared" si="0"/>
        <v>96.399226679555341</v>
      </c>
      <c r="E64">
        <f t="shared" si="1"/>
        <v>96.399226679555341</v>
      </c>
      <c r="G64">
        <f t="shared" ca="1" si="2"/>
        <v>62</v>
      </c>
      <c r="H64">
        <f t="shared" ca="1" si="3"/>
        <v>5976.7520541324311</v>
      </c>
      <c r="I64">
        <f t="shared" ca="1" si="4"/>
        <v>40835.395418802254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1"/>
        <v>0</v>
      </c>
      <c r="G65">
        <f t="shared" ca="1" si="2"/>
        <v>63</v>
      </c>
      <c r="H65">
        <f t="shared" ca="1" si="3"/>
        <v>0</v>
      </c>
      <c r="I65">
        <f t="shared" ca="1" si="4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1"/>
        <v>0</v>
      </c>
      <c r="G66">
        <f t="shared" ca="1" si="2"/>
        <v>64</v>
      </c>
      <c r="H66">
        <f t="shared" ca="1" si="3"/>
        <v>0</v>
      </c>
      <c r="I66">
        <f t="shared" ca="1" si="4"/>
        <v>0</v>
      </c>
    </row>
    <row r="67" spans="1:9">
      <c r="A67" s="66">
        <v>86898</v>
      </c>
      <c r="B67" s="66">
        <v>86898</v>
      </c>
      <c r="D67">
        <f t="shared" ref="D67:D130" si="5">IFERROR(100*A67/MAX(A$2:A$257), 0 )</f>
        <v>100</v>
      </c>
      <c r="E67">
        <f t="shared" ref="E67:E130" si="6">IFERROR(100*B67/MAX(B$2:B$257), 0 )</f>
        <v>100</v>
      </c>
      <c r="G67">
        <f t="shared" ref="G67:G130" ca="1" si="7">CELL("row",D67)-2</f>
        <v>65</v>
      </c>
      <c r="H67">
        <f t="shared" ref="H67:H130" ca="1" si="8">D67*G67</f>
        <v>6500</v>
      </c>
      <c r="I67">
        <f t="shared" ref="I67:I130" ca="1" si="9">D67*((G67-$L$1)^2)</f>
        <v>30911.678157218852</v>
      </c>
    </row>
    <row r="68" spans="1:9">
      <c r="A68" s="66">
        <v>0</v>
      </c>
      <c r="B68" s="66">
        <v>0</v>
      </c>
      <c r="D68">
        <f t="shared" si="5"/>
        <v>0</v>
      </c>
      <c r="E68">
        <f t="shared" si="6"/>
        <v>0</v>
      </c>
      <c r="G68">
        <f t="shared" ca="1" si="7"/>
        <v>66</v>
      </c>
      <c r="H68">
        <f t="shared" ca="1" si="8"/>
        <v>0</v>
      </c>
      <c r="I68">
        <f t="shared" ca="1" si="9"/>
        <v>0</v>
      </c>
    </row>
    <row r="69" spans="1:9">
      <c r="A69" s="66">
        <v>84059</v>
      </c>
      <c r="B69" s="66">
        <v>84059</v>
      </c>
      <c r="D69">
        <f t="shared" si="5"/>
        <v>96.732951276208894</v>
      </c>
      <c r="E69">
        <f t="shared" si="6"/>
        <v>96.732951276208894</v>
      </c>
      <c r="G69">
        <f t="shared" ca="1" si="7"/>
        <v>67</v>
      </c>
      <c r="H69">
        <f t="shared" ca="1" si="8"/>
        <v>6481.1077355059961</v>
      </c>
      <c r="I69">
        <f t="shared" ca="1" si="9"/>
        <v>23485.784781954448</v>
      </c>
    </row>
    <row r="70" spans="1:9">
      <c r="A70" s="66">
        <v>0</v>
      </c>
      <c r="B70" s="66">
        <v>0</v>
      </c>
      <c r="D70">
        <f t="shared" si="5"/>
        <v>0</v>
      </c>
      <c r="E70">
        <f t="shared" si="6"/>
        <v>0</v>
      </c>
      <c r="G70">
        <f t="shared" ca="1" si="7"/>
        <v>68</v>
      </c>
      <c r="H70">
        <f t="shared" ca="1" si="8"/>
        <v>0</v>
      </c>
      <c r="I70">
        <f t="shared" ca="1" si="9"/>
        <v>0</v>
      </c>
    </row>
    <row r="71" spans="1:9">
      <c r="A71" s="66">
        <v>0</v>
      </c>
      <c r="B71" s="66">
        <v>0</v>
      </c>
      <c r="D71">
        <f t="shared" si="5"/>
        <v>0</v>
      </c>
      <c r="E71">
        <f t="shared" si="6"/>
        <v>0</v>
      </c>
      <c r="G71">
        <f t="shared" ca="1" si="7"/>
        <v>69</v>
      </c>
      <c r="H71">
        <f t="shared" ca="1" si="8"/>
        <v>0</v>
      </c>
      <c r="I71">
        <f t="shared" ca="1" si="9"/>
        <v>0</v>
      </c>
    </row>
    <row r="72" spans="1:9">
      <c r="A72" s="66">
        <v>85437</v>
      </c>
      <c r="B72" s="66">
        <v>85437</v>
      </c>
      <c r="D72">
        <f t="shared" si="5"/>
        <v>98.318718497548844</v>
      </c>
      <c r="E72">
        <f t="shared" si="6"/>
        <v>98.318718497548844</v>
      </c>
      <c r="G72">
        <f t="shared" ca="1" si="7"/>
        <v>70</v>
      </c>
      <c r="H72">
        <f t="shared" ca="1" si="8"/>
        <v>6882.3102948284195</v>
      </c>
      <c r="I72">
        <f t="shared" ca="1" si="9"/>
        <v>15563.814699474258</v>
      </c>
    </row>
    <row r="73" spans="1:9">
      <c r="A73" s="66">
        <v>0</v>
      </c>
      <c r="B73" s="66">
        <v>0</v>
      </c>
      <c r="D73">
        <f t="shared" si="5"/>
        <v>0</v>
      </c>
      <c r="E73">
        <f t="shared" si="6"/>
        <v>0</v>
      </c>
      <c r="G73">
        <f t="shared" ca="1" si="7"/>
        <v>71</v>
      </c>
      <c r="H73">
        <f t="shared" ca="1" si="8"/>
        <v>0</v>
      </c>
      <c r="I73">
        <f t="shared" ca="1" si="9"/>
        <v>0</v>
      </c>
    </row>
    <row r="74" spans="1:9">
      <c r="A74" s="66">
        <v>0</v>
      </c>
      <c r="B74" s="66">
        <v>0</v>
      </c>
      <c r="D74">
        <f t="shared" si="5"/>
        <v>0</v>
      </c>
      <c r="E74">
        <f t="shared" si="6"/>
        <v>0</v>
      </c>
      <c r="G74">
        <f t="shared" ca="1" si="7"/>
        <v>72</v>
      </c>
      <c r="H74">
        <f t="shared" ca="1" si="8"/>
        <v>0</v>
      </c>
      <c r="I74">
        <f t="shared" ca="1" si="9"/>
        <v>0</v>
      </c>
    </row>
    <row r="75" spans="1:9">
      <c r="A75" s="66">
        <v>85352</v>
      </c>
      <c r="B75" s="66">
        <v>85352</v>
      </c>
      <c r="D75">
        <f t="shared" si="5"/>
        <v>98.220902667495224</v>
      </c>
      <c r="E75">
        <f t="shared" si="6"/>
        <v>98.220902667495224</v>
      </c>
      <c r="G75">
        <f t="shared" ca="1" si="7"/>
        <v>73</v>
      </c>
      <c r="H75">
        <f t="shared" ca="1" si="8"/>
        <v>7170.1258947271517</v>
      </c>
      <c r="I75">
        <f t="shared" ca="1" si="9"/>
        <v>9017.5928615152588</v>
      </c>
    </row>
    <row r="76" spans="1:9">
      <c r="A76" s="66">
        <v>0</v>
      </c>
      <c r="B76" s="66">
        <v>0</v>
      </c>
      <c r="D76">
        <f t="shared" si="5"/>
        <v>0</v>
      </c>
      <c r="E76">
        <f t="shared" si="6"/>
        <v>0</v>
      </c>
      <c r="G76">
        <f t="shared" ca="1" si="7"/>
        <v>74</v>
      </c>
      <c r="H76">
        <f t="shared" ca="1" si="8"/>
        <v>0</v>
      </c>
      <c r="I76">
        <f t="shared" ca="1" si="9"/>
        <v>0</v>
      </c>
    </row>
    <row r="77" spans="1:9">
      <c r="A77" s="66">
        <v>78618</v>
      </c>
      <c r="B77" s="66">
        <v>78618</v>
      </c>
      <c r="D77">
        <f t="shared" si="5"/>
        <v>90.4715873783056</v>
      </c>
      <c r="E77">
        <f t="shared" si="6"/>
        <v>90.4715873783056</v>
      </c>
      <c r="G77">
        <f t="shared" ca="1" si="7"/>
        <v>75</v>
      </c>
      <c r="H77">
        <f t="shared" ca="1" si="8"/>
        <v>6785.3690533729196</v>
      </c>
      <c r="I77">
        <f t="shared" ca="1" si="9"/>
        <v>5200.5272772315366</v>
      </c>
    </row>
    <row r="78" spans="1:9">
      <c r="A78" s="66">
        <v>0</v>
      </c>
      <c r="B78" s="66">
        <v>0</v>
      </c>
      <c r="D78">
        <f t="shared" si="5"/>
        <v>0</v>
      </c>
      <c r="E78">
        <f t="shared" si="6"/>
        <v>0</v>
      </c>
      <c r="G78">
        <f t="shared" ca="1" si="7"/>
        <v>76</v>
      </c>
      <c r="H78">
        <f t="shared" ca="1" si="8"/>
        <v>0</v>
      </c>
      <c r="I78">
        <f t="shared" ca="1" si="9"/>
        <v>0</v>
      </c>
    </row>
    <row r="79" spans="1:9">
      <c r="A79" s="66">
        <v>0</v>
      </c>
      <c r="B79" s="66">
        <v>0</v>
      </c>
      <c r="D79">
        <f t="shared" si="5"/>
        <v>0</v>
      </c>
      <c r="E79">
        <f t="shared" si="6"/>
        <v>0</v>
      </c>
      <c r="G79">
        <f t="shared" ca="1" si="7"/>
        <v>77</v>
      </c>
      <c r="H79">
        <f t="shared" ca="1" si="8"/>
        <v>0</v>
      </c>
      <c r="I79">
        <f t="shared" ca="1" si="9"/>
        <v>0</v>
      </c>
    </row>
    <row r="80" spans="1:9">
      <c r="A80" s="66">
        <v>76097</v>
      </c>
      <c r="B80" s="66">
        <v>76097</v>
      </c>
      <c r="D80">
        <f t="shared" si="5"/>
        <v>87.570484936362178</v>
      </c>
      <c r="E80">
        <f t="shared" si="6"/>
        <v>87.570484936362178</v>
      </c>
      <c r="G80">
        <f t="shared" ca="1" si="7"/>
        <v>78</v>
      </c>
      <c r="H80">
        <f t="shared" ca="1" si="8"/>
        <v>6830.4978250362501</v>
      </c>
      <c r="I80">
        <f t="shared" ca="1" si="9"/>
        <v>1838.2912656478427</v>
      </c>
    </row>
    <row r="81" spans="1:9">
      <c r="A81" s="66">
        <v>0</v>
      </c>
      <c r="B81" s="66">
        <v>0</v>
      </c>
      <c r="D81">
        <f t="shared" si="5"/>
        <v>0</v>
      </c>
      <c r="E81">
        <f t="shared" si="6"/>
        <v>0</v>
      </c>
      <c r="G81">
        <f t="shared" ca="1" si="7"/>
        <v>79</v>
      </c>
      <c r="H81">
        <f t="shared" ca="1" si="8"/>
        <v>0</v>
      </c>
      <c r="I81">
        <f t="shared" ca="1" si="9"/>
        <v>0</v>
      </c>
    </row>
    <row r="82" spans="1:9">
      <c r="A82" s="66">
        <v>75105</v>
      </c>
      <c r="B82" s="66">
        <v>75105</v>
      </c>
      <c r="D82">
        <f t="shared" si="5"/>
        <v>86.42891666091279</v>
      </c>
      <c r="E82">
        <f t="shared" si="6"/>
        <v>86.42891666091279</v>
      </c>
      <c r="G82">
        <f t="shared" ca="1" si="7"/>
        <v>80</v>
      </c>
      <c r="H82">
        <f t="shared" ca="1" si="8"/>
        <v>6914.3133328730237</v>
      </c>
      <c r="I82">
        <f t="shared" ca="1" si="9"/>
        <v>576.0715446680407</v>
      </c>
    </row>
    <row r="83" spans="1:9">
      <c r="A83" s="66">
        <v>0</v>
      </c>
      <c r="B83" s="66">
        <v>0</v>
      </c>
      <c r="D83">
        <f t="shared" si="5"/>
        <v>0</v>
      </c>
      <c r="E83">
        <f t="shared" si="6"/>
        <v>0</v>
      </c>
      <c r="G83">
        <f t="shared" ca="1" si="7"/>
        <v>81</v>
      </c>
      <c r="H83">
        <f t="shared" ca="1" si="8"/>
        <v>0</v>
      </c>
      <c r="I83">
        <f t="shared" ca="1" si="9"/>
        <v>0</v>
      </c>
    </row>
    <row r="84" spans="1:9">
      <c r="A84" s="66">
        <v>0</v>
      </c>
      <c r="B84" s="66">
        <v>0</v>
      </c>
      <c r="D84">
        <f t="shared" si="5"/>
        <v>0</v>
      </c>
      <c r="E84">
        <f t="shared" si="6"/>
        <v>0</v>
      </c>
      <c r="G84">
        <f t="shared" ca="1" si="7"/>
        <v>82</v>
      </c>
      <c r="H84">
        <f t="shared" ca="1" si="8"/>
        <v>0</v>
      </c>
      <c r="I84">
        <f t="shared" ca="1" si="9"/>
        <v>0</v>
      </c>
    </row>
    <row r="85" spans="1:9">
      <c r="A85" s="66">
        <v>78980</v>
      </c>
      <c r="B85" s="66">
        <v>78980</v>
      </c>
      <c r="D85">
        <f t="shared" si="5"/>
        <v>90.888167736886928</v>
      </c>
      <c r="E85">
        <f t="shared" si="6"/>
        <v>90.888167736886928</v>
      </c>
      <c r="G85">
        <f t="shared" ca="1" si="7"/>
        <v>83</v>
      </c>
      <c r="H85">
        <f t="shared" ca="1" si="8"/>
        <v>7543.7179221616152</v>
      </c>
      <c r="I85">
        <f t="shared" ca="1" si="9"/>
        <v>15.901835295287807</v>
      </c>
    </row>
    <row r="86" spans="1:9">
      <c r="A86" s="66">
        <v>0</v>
      </c>
      <c r="B86" s="66">
        <v>0</v>
      </c>
      <c r="D86">
        <f t="shared" si="5"/>
        <v>0</v>
      </c>
      <c r="E86">
        <f t="shared" si="6"/>
        <v>0</v>
      </c>
      <c r="G86">
        <f t="shared" ca="1" si="7"/>
        <v>84</v>
      </c>
      <c r="H86">
        <f t="shared" ca="1" si="8"/>
        <v>0</v>
      </c>
      <c r="I86">
        <f t="shared" ca="1" si="9"/>
        <v>0</v>
      </c>
    </row>
    <row r="87" spans="1:9">
      <c r="A87" s="66">
        <v>0</v>
      </c>
      <c r="B87" s="66">
        <v>0</v>
      </c>
      <c r="D87">
        <f t="shared" si="5"/>
        <v>0</v>
      </c>
      <c r="E87">
        <f t="shared" si="6"/>
        <v>0</v>
      </c>
      <c r="G87">
        <f t="shared" ca="1" si="7"/>
        <v>85</v>
      </c>
      <c r="H87">
        <f t="shared" ca="1" si="8"/>
        <v>0</v>
      </c>
      <c r="I87">
        <f t="shared" ca="1" si="9"/>
        <v>0</v>
      </c>
    </row>
    <row r="88" spans="1:9">
      <c r="A88" s="66">
        <v>76836</v>
      </c>
      <c r="B88" s="66">
        <v>76836</v>
      </c>
      <c r="D88">
        <f t="shared" si="5"/>
        <v>88.420907270593105</v>
      </c>
      <c r="E88">
        <f t="shared" si="6"/>
        <v>88.420907270593105</v>
      </c>
      <c r="G88">
        <f t="shared" ca="1" si="7"/>
        <v>86</v>
      </c>
      <c r="H88">
        <f t="shared" ca="1" si="8"/>
        <v>7604.1980252710073</v>
      </c>
      <c r="I88">
        <f t="shared" ca="1" si="9"/>
        <v>1033.167967509065</v>
      </c>
    </row>
    <row r="89" spans="1:9">
      <c r="A89" s="66">
        <v>0</v>
      </c>
      <c r="B89" s="66">
        <v>0</v>
      </c>
      <c r="D89">
        <f t="shared" si="5"/>
        <v>0</v>
      </c>
      <c r="E89">
        <f t="shared" si="6"/>
        <v>0</v>
      </c>
      <c r="G89">
        <f t="shared" ca="1" si="7"/>
        <v>87</v>
      </c>
      <c r="H89">
        <f t="shared" ca="1" si="8"/>
        <v>0</v>
      </c>
      <c r="I89">
        <f t="shared" ca="1" si="9"/>
        <v>0</v>
      </c>
    </row>
    <row r="90" spans="1:9">
      <c r="A90" s="66">
        <v>78729</v>
      </c>
      <c r="B90" s="66">
        <v>78729</v>
      </c>
      <c r="D90">
        <f t="shared" si="5"/>
        <v>90.599323344610923</v>
      </c>
      <c r="E90">
        <f t="shared" si="6"/>
        <v>90.599323344610923</v>
      </c>
      <c r="G90">
        <f t="shared" ca="1" si="7"/>
        <v>88</v>
      </c>
      <c r="H90">
        <f t="shared" ca="1" si="8"/>
        <v>7972.7404543257617</v>
      </c>
      <c r="I90">
        <f t="shared" ca="1" si="9"/>
        <v>2659.7957208134553</v>
      </c>
    </row>
    <row r="91" spans="1:9">
      <c r="A91" s="66">
        <v>0</v>
      </c>
      <c r="B91" s="66">
        <v>0</v>
      </c>
      <c r="D91">
        <f t="shared" si="5"/>
        <v>0</v>
      </c>
      <c r="E91">
        <f t="shared" si="6"/>
        <v>0</v>
      </c>
      <c r="G91">
        <f t="shared" ca="1" si="7"/>
        <v>89</v>
      </c>
      <c r="H91">
        <f t="shared" ca="1" si="8"/>
        <v>0</v>
      </c>
      <c r="I91">
        <f t="shared" ca="1" si="9"/>
        <v>0</v>
      </c>
    </row>
    <row r="92" spans="1:9">
      <c r="A92" s="66">
        <v>0</v>
      </c>
      <c r="B92" s="66">
        <v>0</v>
      </c>
      <c r="D92">
        <f t="shared" si="5"/>
        <v>0</v>
      </c>
      <c r="E92">
        <f t="shared" si="6"/>
        <v>0</v>
      </c>
      <c r="G92">
        <f t="shared" ca="1" si="7"/>
        <v>90</v>
      </c>
      <c r="H92">
        <f t="shared" ca="1" si="8"/>
        <v>0</v>
      </c>
      <c r="I92">
        <f t="shared" ca="1" si="9"/>
        <v>0</v>
      </c>
    </row>
    <row r="93" spans="1:9">
      <c r="A93" s="66">
        <v>73479</v>
      </c>
      <c r="B93" s="66">
        <v>73479</v>
      </c>
      <c r="D93">
        <f t="shared" si="5"/>
        <v>84.55775737071049</v>
      </c>
      <c r="E93">
        <f t="shared" si="6"/>
        <v>84.55775737071049</v>
      </c>
      <c r="G93">
        <f t="shared" ca="1" si="7"/>
        <v>91</v>
      </c>
      <c r="H93">
        <f t="shared" ca="1" si="8"/>
        <v>7694.7559207346549</v>
      </c>
      <c r="I93">
        <f t="shared" ca="1" si="9"/>
        <v>5992.3955517674967</v>
      </c>
    </row>
    <row r="94" spans="1:9">
      <c r="A94" s="66">
        <v>0</v>
      </c>
      <c r="B94" s="66">
        <v>0</v>
      </c>
      <c r="D94">
        <f t="shared" si="5"/>
        <v>0</v>
      </c>
      <c r="E94">
        <f t="shared" si="6"/>
        <v>0</v>
      </c>
      <c r="G94">
        <f t="shared" ca="1" si="7"/>
        <v>92</v>
      </c>
      <c r="H94">
        <f t="shared" ca="1" si="8"/>
        <v>0</v>
      </c>
      <c r="I94">
        <f t="shared" ca="1" si="9"/>
        <v>0</v>
      </c>
    </row>
    <row r="95" spans="1:9">
      <c r="A95" s="66">
        <v>69476</v>
      </c>
      <c r="B95" s="66">
        <v>69476</v>
      </c>
      <c r="D95">
        <f t="shared" si="5"/>
        <v>79.951207162420303</v>
      </c>
      <c r="E95">
        <f t="shared" si="6"/>
        <v>79.951207162420303</v>
      </c>
      <c r="G95">
        <f t="shared" ca="1" si="7"/>
        <v>93</v>
      </c>
      <c r="H95">
        <f t="shared" ca="1" si="8"/>
        <v>7435.462266105088</v>
      </c>
      <c r="I95">
        <f t="shared" ca="1" si="9"/>
        <v>8677.9532267299946</v>
      </c>
    </row>
    <row r="96" spans="1:9">
      <c r="A96" s="66">
        <v>0</v>
      </c>
      <c r="B96" s="66">
        <v>0</v>
      </c>
      <c r="D96">
        <f t="shared" si="5"/>
        <v>0</v>
      </c>
      <c r="E96">
        <f t="shared" si="6"/>
        <v>0</v>
      </c>
      <c r="G96">
        <f t="shared" ca="1" si="7"/>
        <v>94</v>
      </c>
      <c r="H96">
        <f t="shared" ca="1" si="8"/>
        <v>0</v>
      </c>
      <c r="I96">
        <f t="shared" ca="1" si="9"/>
        <v>0</v>
      </c>
    </row>
    <row r="97" spans="1:9">
      <c r="A97" s="66">
        <v>0</v>
      </c>
      <c r="B97" s="66">
        <v>0</v>
      </c>
      <c r="D97">
        <f t="shared" si="5"/>
        <v>0</v>
      </c>
      <c r="E97">
        <f t="shared" si="6"/>
        <v>0</v>
      </c>
      <c r="G97">
        <f t="shared" ca="1" si="7"/>
        <v>95</v>
      </c>
      <c r="H97">
        <f t="shared" ca="1" si="8"/>
        <v>0</v>
      </c>
      <c r="I97">
        <f t="shared" ca="1" si="9"/>
        <v>0</v>
      </c>
    </row>
    <row r="98" spans="1:9">
      <c r="A98" s="66">
        <v>71804</v>
      </c>
      <c r="B98" s="66">
        <v>71804</v>
      </c>
      <c r="D98">
        <f t="shared" si="5"/>
        <v>82.630210131418451</v>
      </c>
      <c r="E98">
        <f t="shared" si="6"/>
        <v>82.630210131418451</v>
      </c>
      <c r="G98">
        <f t="shared" ca="1" si="7"/>
        <v>96</v>
      </c>
      <c r="H98">
        <f t="shared" ca="1" si="8"/>
        <v>7932.5001726161718</v>
      </c>
      <c r="I98">
        <f t="shared" ca="1" si="9"/>
        <v>14877.595104253969</v>
      </c>
    </row>
    <row r="99" spans="1:9">
      <c r="A99" s="66">
        <v>0</v>
      </c>
      <c r="B99" s="66">
        <v>0</v>
      </c>
      <c r="D99">
        <f t="shared" si="5"/>
        <v>0</v>
      </c>
      <c r="E99">
        <f t="shared" si="6"/>
        <v>0</v>
      </c>
      <c r="G99">
        <f t="shared" ca="1" si="7"/>
        <v>97</v>
      </c>
      <c r="H99">
        <f t="shared" ca="1" si="8"/>
        <v>0</v>
      </c>
      <c r="I99">
        <f t="shared" ca="1" si="9"/>
        <v>0</v>
      </c>
    </row>
    <row r="100" spans="1:9">
      <c r="A100" s="66">
        <v>71782</v>
      </c>
      <c r="B100" s="66">
        <v>71782</v>
      </c>
      <c r="D100">
        <f t="shared" si="5"/>
        <v>82.604893093051629</v>
      </c>
      <c r="E100">
        <f t="shared" si="6"/>
        <v>82.604893093051629</v>
      </c>
      <c r="G100">
        <f t="shared" ca="1" si="7"/>
        <v>98</v>
      </c>
      <c r="H100">
        <f t="shared" ca="1" si="8"/>
        <v>8095.2795231190594</v>
      </c>
      <c r="I100">
        <f t="shared" ca="1" si="9"/>
        <v>19637.119583132808</v>
      </c>
    </row>
    <row r="101" spans="1:9">
      <c r="A101" s="66">
        <v>0</v>
      </c>
      <c r="B101" s="66">
        <v>0</v>
      </c>
      <c r="D101">
        <f t="shared" si="5"/>
        <v>0</v>
      </c>
      <c r="E101">
        <f t="shared" si="6"/>
        <v>0</v>
      </c>
      <c r="G101">
        <f t="shared" ca="1" si="7"/>
        <v>99</v>
      </c>
      <c r="H101">
        <f t="shared" ca="1" si="8"/>
        <v>0</v>
      </c>
      <c r="I101">
        <f t="shared" ca="1" si="9"/>
        <v>0</v>
      </c>
    </row>
    <row r="102" spans="1:9">
      <c r="A102" s="66">
        <v>0</v>
      </c>
      <c r="B102" s="66">
        <v>0</v>
      </c>
      <c r="D102">
        <f t="shared" si="5"/>
        <v>0</v>
      </c>
      <c r="E102">
        <f t="shared" si="6"/>
        <v>0</v>
      </c>
      <c r="G102">
        <f t="shared" ca="1" si="7"/>
        <v>100</v>
      </c>
      <c r="H102">
        <f t="shared" ca="1" si="8"/>
        <v>0</v>
      </c>
      <c r="I102">
        <f t="shared" ca="1" si="9"/>
        <v>0</v>
      </c>
    </row>
    <row r="103" spans="1:9">
      <c r="A103" s="66">
        <v>74048</v>
      </c>
      <c r="B103" s="66">
        <v>74048</v>
      </c>
      <c r="D103">
        <f t="shared" si="5"/>
        <v>85.212548044834179</v>
      </c>
      <c r="E103">
        <f t="shared" si="6"/>
        <v>85.212548044834179</v>
      </c>
      <c r="G103">
        <f t="shared" ca="1" si="7"/>
        <v>101</v>
      </c>
      <c r="H103">
        <f t="shared" ca="1" si="8"/>
        <v>8606.4673525282524</v>
      </c>
      <c r="I103">
        <f t="shared" ca="1" si="9"/>
        <v>28906.920184436811</v>
      </c>
    </row>
    <row r="104" spans="1:9">
      <c r="A104" s="66">
        <v>0</v>
      </c>
      <c r="B104" s="66">
        <v>0</v>
      </c>
      <c r="D104">
        <f t="shared" si="5"/>
        <v>0</v>
      </c>
      <c r="E104">
        <f t="shared" si="6"/>
        <v>0</v>
      </c>
      <c r="G104">
        <f t="shared" ca="1" si="7"/>
        <v>102</v>
      </c>
      <c r="H104">
        <f t="shared" ca="1" si="8"/>
        <v>0</v>
      </c>
      <c r="I104">
        <f t="shared" ca="1" si="9"/>
        <v>0</v>
      </c>
    </row>
    <row r="105" spans="1:9">
      <c r="A105" s="66">
        <v>0</v>
      </c>
      <c r="B105" s="66">
        <v>0</v>
      </c>
      <c r="D105">
        <f t="shared" si="5"/>
        <v>0</v>
      </c>
      <c r="E105">
        <f t="shared" si="6"/>
        <v>0</v>
      </c>
      <c r="G105">
        <f t="shared" ca="1" si="7"/>
        <v>103</v>
      </c>
      <c r="H105">
        <f t="shared" ca="1" si="8"/>
        <v>0</v>
      </c>
      <c r="I105">
        <f t="shared" ca="1" si="9"/>
        <v>0</v>
      </c>
    </row>
    <row r="106" spans="1:9">
      <c r="A106" s="66">
        <v>66005</v>
      </c>
      <c r="B106" s="66">
        <v>66005</v>
      </c>
      <c r="D106">
        <f t="shared" si="5"/>
        <v>75.956868972818711</v>
      </c>
      <c r="E106">
        <f t="shared" si="6"/>
        <v>75.956868972818711</v>
      </c>
      <c r="G106">
        <f t="shared" ca="1" si="7"/>
        <v>104</v>
      </c>
      <c r="H106">
        <f t="shared" ca="1" si="8"/>
        <v>7899.5143731731459</v>
      </c>
      <c r="I106">
        <f t="shared" ca="1" si="9"/>
        <v>34844.669472674672</v>
      </c>
    </row>
    <row r="107" spans="1:9">
      <c r="A107" s="66">
        <v>0</v>
      </c>
      <c r="B107" s="66">
        <v>0</v>
      </c>
      <c r="D107">
        <f t="shared" si="5"/>
        <v>0</v>
      </c>
      <c r="E107">
        <f t="shared" si="6"/>
        <v>0</v>
      </c>
      <c r="G107">
        <f t="shared" ca="1" si="7"/>
        <v>105</v>
      </c>
      <c r="H107">
        <f t="shared" ca="1" si="8"/>
        <v>0</v>
      </c>
      <c r="I107">
        <f t="shared" ca="1" si="9"/>
        <v>0</v>
      </c>
    </row>
    <row r="108" spans="1:9">
      <c r="A108" s="66">
        <v>61753</v>
      </c>
      <c r="B108" s="66">
        <v>61753</v>
      </c>
      <c r="D108">
        <f t="shared" si="5"/>
        <v>71.06377592119496</v>
      </c>
      <c r="E108">
        <f t="shared" si="6"/>
        <v>71.06377592119496</v>
      </c>
      <c r="G108">
        <f t="shared" ca="1" si="7"/>
        <v>106</v>
      </c>
      <c r="H108">
        <f t="shared" ca="1" si="8"/>
        <v>7532.7602476466654</v>
      </c>
      <c r="I108">
        <f t="shared" ca="1" si="9"/>
        <v>38972.509376857328</v>
      </c>
    </row>
    <row r="109" spans="1:9">
      <c r="A109" s="66">
        <v>0</v>
      </c>
      <c r="B109" s="66">
        <v>0</v>
      </c>
      <c r="D109">
        <f t="shared" si="5"/>
        <v>0</v>
      </c>
      <c r="E109">
        <f t="shared" si="6"/>
        <v>0</v>
      </c>
      <c r="G109">
        <f t="shared" ca="1" si="7"/>
        <v>107</v>
      </c>
      <c r="H109">
        <f t="shared" ca="1" si="8"/>
        <v>0</v>
      </c>
      <c r="I109">
        <f t="shared" ca="1" si="9"/>
        <v>0</v>
      </c>
    </row>
    <row r="110" spans="1:9">
      <c r="A110" s="66">
        <v>0</v>
      </c>
      <c r="B110" s="66">
        <v>0</v>
      </c>
      <c r="D110">
        <f t="shared" si="5"/>
        <v>0</v>
      </c>
      <c r="E110">
        <f t="shared" si="6"/>
        <v>0</v>
      </c>
      <c r="G110">
        <f t="shared" ca="1" si="7"/>
        <v>108</v>
      </c>
      <c r="H110">
        <f t="shared" ca="1" si="8"/>
        <v>0</v>
      </c>
      <c r="I110">
        <f t="shared" ca="1" si="9"/>
        <v>0</v>
      </c>
    </row>
    <row r="111" spans="1:9">
      <c r="A111" s="66">
        <v>61417</v>
      </c>
      <c r="B111" s="66">
        <v>61417</v>
      </c>
      <c r="D111">
        <f t="shared" si="5"/>
        <v>70.677115698865336</v>
      </c>
      <c r="E111">
        <f t="shared" si="6"/>
        <v>70.677115698865336</v>
      </c>
      <c r="G111">
        <f t="shared" ca="1" si="7"/>
        <v>109</v>
      </c>
      <c r="H111">
        <f t="shared" ca="1" si="8"/>
        <v>7703.8056111763217</v>
      </c>
      <c r="I111">
        <f t="shared" ca="1" si="9"/>
        <v>49327.372853469264</v>
      </c>
    </row>
    <row r="112" spans="1:9">
      <c r="A112" s="66">
        <v>0</v>
      </c>
      <c r="B112" s="66">
        <v>0</v>
      </c>
      <c r="D112">
        <f t="shared" si="5"/>
        <v>0</v>
      </c>
      <c r="E112">
        <f t="shared" si="6"/>
        <v>0</v>
      </c>
      <c r="G112">
        <f t="shared" ca="1" si="7"/>
        <v>110</v>
      </c>
      <c r="H112">
        <f t="shared" ca="1" si="8"/>
        <v>0</v>
      </c>
      <c r="I112">
        <f t="shared" ca="1" si="9"/>
        <v>0</v>
      </c>
    </row>
    <row r="113" spans="1:9">
      <c r="A113" s="66">
        <v>53863</v>
      </c>
      <c r="B113" s="66">
        <v>53863</v>
      </c>
      <c r="D113">
        <f t="shared" si="5"/>
        <v>61.984165343276025</v>
      </c>
      <c r="E113">
        <f t="shared" si="6"/>
        <v>61.984165343276025</v>
      </c>
      <c r="G113">
        <f t="shared" ca="1" si="7"/>
        <v>111</v>
      </c>
      <c r="H113">
        <f t="shared" ca="1" si="8"/>
        <v>6880.2423531036384</v>
      </c>
      <c r="I113">
        <f t="shared" ca="1" si="9"/>
        <v>50058.337195428365</v>
      </c>
    </row>
    <row r="114" spans="1:9">
      <c r="A114" s="66">
        <v>0</v>
      </c>
      <c r="B114" s="66">
        <v>0</v>
      </c>
      <c r="D114">
        <f t="shared" si="5"/>
        <v>0</v>
      </c>
      <c r="E114">
        <f t="shared" si="6"/>
        <v>0</v>
      </c>
      <c r="G114">
        <f t="shared" ca="1" si="7"/>
        <v>112</v>
      </c>
      <c r="H114">
        <f t="shared" ca="1" si="8"/>
        <v>0</v>
      </c>
      <c r="I114">
        <f t="shared" ca="1" si="9"/>
        <v>0</v>
      </c>
    </row>
    <row r="115" spans="1:9">
      <c r="A115" s="66">
        <v>0</v>
      </c>
      <c r="B115" s="66">
        <v>0</v>
      </c>
      <c r="D115">
        <f t="shared" si="5"/>
        <v>0</v>
      </c>
      <c r="E115">
        <f t="shared" si="6"/>
        <v>0</v>
      </c>
      <c r="G115">
        <f t="shared" ca="1" si="7"/>
        <v>113</v>
      </c>
      <c r="H115">
        <f t="shared" ca="1" si="8"/>
        <v>0</v>
      </c>
      <c r="I115">
        <f t="shared" ca="1" si="9"/>
        <v>0</v>
      </c>
    </row>
    <row r="116" spans="1:9">
      <c r="A116" s="66">
        <v>50308</v>
      </c>
      <c r="B116" s="66">
        <v>50308</v>
      </c>
      <c r="D116">
        <f t="shared" si="5"/>
        <v>57.893162098092013</v>
      </c>
      <c r="E116">
        <f t="shared" si="6"/>
        <v>57.893162098092013</v>
      </c>
      <c r="G116">
        <f t="shared" ca="1" si="7"/>
        <v>114</v>
      </c>
      <c r="H116">
        <f t="shared" ca="1" si="8"/>
        <v>6599.8204791824892</v>
      </c>
      <c r="I116">
        <f t="shared" ca="1" si="9"/>
        <v>57146.831863774089</v>
      </c>
    </row>
    <row r="117" spans="1:9">
      <c r="A117" s="66">
        <v>0</v>
      </c>
      <c r="B117" s="66">
        <v>0</v>
      </c>
      <c r="D117">
        <f t="shared" si="5"/>
        <v>0</v>
      </c>
      <c r="E117">
        <f t="shared" si="6"/>
        <v>0</v>
      </c>
      <c r="G117">
        <f t="shared" ca="1" si="7"/>
        <v>115</v>
      </c>
      <c r="H117">
        <f t="shared" ca="1" si="8"/>
        <v>0</v>
      </c>
      <c r="I117">
        <f t="shared" ca="1" si="9"/>
        <v>0</v>
      </c>
    </row>
    <row r="118" spans="1:9">
      <c r="A118" s="66">
        <v>45671</v>
      </c>
      <c r="B118" s="66">
        <v>45671</v>
      </c>
      <c r="D118">
        <f t="shared" si="5"/>
        <v>52.557020875048906</v>
      </c>
      <c r="E118">
        <f t="shared" si="6"/>
        <v>52.557020875048906</v>
      </c>
      <c r="G118">
        <f t="shared" ca="1" si="7"/>
        <v>116</v>
      </c>
      <c r="H118">
        <f t="shared" ca="1" si="8"/>
        <v>6096.6144215056729</v>
      </c>
      <c r="I118">
        <f t="shared" ca="1" si="9"/>
        <v>58694.715006854924</v>
      </c>
    </row>
    <row r="119" spans="1:9">
      <c r="A119" s="66">
        <v>0</v>
      </c>
      <c r="B119" s="66">
        <v>0</v>
      </c>
      <c r="D119">
        <f t="shared" si="5"/>
        <v>0</v>
      </c>
      <c r="E119">
        <f t="shared" si="6"/>
        <v>0</v>
      </c>
      <c r="G119">
        <f t="shared" ca="1" si="7"/>
        <v>117</v>
      </c>
      <c r="H119">
        <f t="shared" ca="1" si="8"/>
        <v>0</v>
      </c>
      <c r="I119">
        <f t="shared" ca="1" si="9"/>
        <v>0</v>
      </c>
    </row>
    <row r="120" spans="1:9">
      <c r="A120" s="66">
        <v>0</v>
      </c>
      <c r="B120" s="66">
        <v>0</v>
      </c>
      <c r="D120">
        <f t="shared" si="5"/>
        <v>0</v>
      </c>
      <c r="E120">
        <f t="shared" si="6"/>
        <v>0</v>
      </c>
      <c r="G120">
        <f t="shared" ca="1" si="7"/>
        <v>118</v>
      </c>
      <c r="H120">
        <f t="shared" ca="1" si="8"/>
        <v>0</v>
      </c>
      <c r="I120">
        <f t="shared" ca="1" si="9"/>
        <v>0</v>
      </c>
    </row>
    <row r="121" spans="1:9">
      <c r="A121" s="66">
        <v>43154</v>
      </c>
      <c r="B121" s="66">
        <v>43154</v>
      </c>
      <c r="D121">
        <f t="shared" si="5"/>
        <v>49.660521530990358</v>
      </c>
      <c r="E121">
        <f t="shared" si="6"/>
        <v>49.660521530990358</v>
      </c>
      <c r="G121">
        <f t="shared" ca="1" si="7"/>
        <v>119</v>
      </c>
      <c r="H121">
        <f t="shared" ca="1" si="8"/>
        <v>5909.6020621878524</v>
      </c>
      <c r="I121">
        <f t="shared" ca="1" si="9"/>
        <v>65864.318565047579</v>
      </c>
    </row>
    <row r="122" spans="1:9">
      <c r="A122" s="66">
        <v>0</v>
      </c>
      <c r="B122" s="66">
        <v>0</v>
      </c>
      <c r="D122">
        <f t="shared" si="5"/>
        <v>0</v>
      </c>
      <c r="E122">
        <f t="shared" si="6"/>
        <v>0</v>
      </c>
      <c r="G122">
        <f t="shared" ca="1" si="7"/>
        <v>120</v>
      </c>
      <c r="H122">
        <f t="shared" ca="1" si="8"/>
        <v>0</v>
      </c>
      <c r="I122">
        <f t="shared" ca="1" si="9"/>
        <v>0</v>
      </c>
    </row>
    <row r="123" spans="1:9">
      <c r="A123" s="66">
        <v>0</v>
      </c>
      <c r="B123" s="66">
        <v>0</v>
      </c>
      <c r="D123">
        <f t="shared" si="5"/>
        <v>0</v>
      </c>
      <c r="E123">
        <f t="shared" si="6"/>
        <v>0</v>
      </c>
      <c r="G123">
        <f t="shared" ca="1" si="7"/>
        <v>121</v>
      </c>
      <c r="H123">
        <f t="shared" ca="1" si="8"/>
        <v>0</v>
      </c>
      <c r="I123">
        <f t="shared" ca="1" si="9"/>
        <v>0</v>
      </c>
    </row>
    <row r="124" spans="1:9">
      <c r="A124" s="66">
        <v>38558</v>
      </c>
      <c r="B124" s="66">
        <v>38558</v>
      </c>
      <c r="D124">
        <f t="shared" si="5"/>
        <v>44.371562061267234</v>
      </c>
      <c r="E124">
        <f t="shared" si="6"/>
        <v>44.371562061267234</v>
      </c>
      <c r="G124">
        <f t="shared" ca="1" si="7"/>
        <v>122</v>
      </c>
      <c r="H124">
        <f t="shared" ca="1" si="8"/>
        <v>5413.3305714746029</v>
      </c>
      <c r="I124">
        <f t="shared" ca="1" si="9"/>
        <v>68944.578154845614</v>
      </c>
    </row>
    <row r="125" spans="1:9">
      <c r="A125" s="66">
        <v>0</v>
      </c>
      <c r="B125" s="66">
        <v>0</v>
      </c>
      <c r="D125">
        <f t="shared" si="5"/>
        <v>0</v>
      </c>
      <c r="E125">
        <f t="shared" si="6"/>
        <v>0</v>
      </c>
      <c r="G125">
        <f t="shared" ca="1" si="7"/>
        <v>123</v>
      </c>
      <c r="H125">
        <f t="shared" ca="1" si="8"/>
        <v>0</v>
      </c>
      <c r="I125">
        <f t="shared" ca="1" si="9"/>
        <v>0</v>
      </c>
    </row>
    <row r="126" spans="1:9">
      <c r="A126" s="66">
        <v>34087</v>
      </c>
      <c r="B126" s="66">
        <v>34087</v>
      </c>
      <c r="D126">
        <f t="shared" si="5"/>
        <v>39.226449400446498</v>
      </c>
      <c r="E126">
        <f t="shared" si="6"/>
        <v>39.226449400446498</v>
      </c>
      <c r="G126">
        <f t="shared" ca="1" si="7"/>
        <v>124</v>
      </c>
      <c r="H126">
        <f t="shared" ca="1" si="8"/>
        <v>4864.079725655366</v>
      </c>
      <c r="I126">
        <f t="shared" ca="1" si="9"/>
        <v>67291.959773768453</v>
      </c>
    </row>
    <row r="127" spans="1:9">
      <c r="A127" s="66">
        <v>0</v>
      </c>
      <c r="B127" s="66">
        <v>0</v>
      </c>
      <c r="D127">
        <f t="shared" si="5"/>
        <v>0</v>
      </c>
      <c r="E127">
        <f t="shared" si="6"/>
        <v>0</v>
      </c>
      <c r="G127">
        <f t="shared" ca="1" si="7"/>
        <v>125</v>
      </c>
      <c r="H127">
        <f t="shared" ca="1" si="8"/>
        <v>0</v>
      </c>
      <c r="I127">
        <f t="shared" ca="1" si="9"/>
        <v>0</v>
      </c>
    </row>
    <row r="128" spans="1:9">
      <c r="A128" s="66">
        <v>0</v>
      </c>
      <c r="B128" s="66">
        <v>0</v>
      </c>
      <c r="D128">
        <f t="shared" si="5"/>
        <v>0</v>
      </c>
      <c r="E128">
        <f t="shared" si="6"/>
        <v>0</v>
      </c>
      <c r="G128">
        <f t="shared" ca="1" si="7"/>
        <v>126</v>
      </c>
      <c r="H128">
        <f t="shared" ca="1" si="8"/>
        <v>0</v>
      </c>
      <c r="I128">
        <f t="shared" ca="1" si="9"/>
        <v>0</v>
      </c>
    </row>
    <row r="129" spans="1:9">
      <c r="A129" s="66">
        <v>33333</v>
      </c>
      <c r="B129" s="66">
        <v>33333</v>
      </c>
      <c r="D129">
        <f t="shared" si="5"/>
        <v>38.358765449147278</v>
      </c>
      <c r="E129">
        <f t="shared" si="6"/>
        <v>38.358765449147278</v>
      </c>
      <c r="G129">
        <f t="shared" ca="1" si="7"/>
        <v>127</v>
      </c>
      <c r="H129">
        <f t="shared" ca="1" si="8"/>
        <v>4871.563212041704</v>
      </c>
      <c r="I129">
        <f t="shared" ca="1" si="9"/>
        <v>75681.224436866018</v>
      </c>
    </row>
    <row r="130" spans="1:9">
      <c r="A130" s="66">
        <v>0</v>
      </c>
      <c r="B130" s="66">
        <v>0</v>
      </c>
      <c r="D130">
        <f t="shared" si="5"/>
        <v>0</v>
      </c>
      <c r="E130">
        <f t="shared" si="6"/>
        <v>0</v>
      </c>
      <c r="G130">
        <f t="shared" ca="1" si="7"/>
        <v>128</v>
      </c>
      <c r="H130">
        <f t="shared" ca="1" si="8"/>
        <v>0</v>
      </c>
      <c r="I130">
        <f t="shared" ca="1" si="9"/>
        <v>0</v>
      </c>
    </row>
    <row r="131" spans="1:9">
      <c r="A131" s="66">
        <v>34010</v>
      </c>
      <c r="B131" s="66">
        <v>34010</v>
      </c>
      <c r="D131">
        <f t="shared" ref="D131:D194" si="10">IFERROR(100*A131/MAX(A$2:A$257), 0 )</f>
        <v>39.137839766162628</v>
      </c>
      <c r="E131">
        <f t="shared" ref="E131:E194" si="11">IFERROR(100*B131/MAX(B$2:B$257), 0 )</f>
        <v>39.137839766162628</v>
      </c>
      <c r="G131">
        <f t="shared" ref="G131:G194" ca="1" si="12">CELL("row",D131)-2</f>
        <v>129</v>
      </c>
      <c r="H131">
        <f t="shared" ref="H131:H194" ca="1" si="13">D131*G131</f>
        <v>5048.7813298349793</v>
      </c>
      <c r="I131">
        <f t="shared" ref="I131:I194" ca="1" si="14">D131*((G131-$L$1)^2)</f>
        <v>84328.619366580067</v>
      </c>
    </row>
    <row r="132" spans="1:9">
      <c r="A132" s="66">
        <v>0</v>
      </c>
      <c r="B132" s="66">
        <v>0</v>
      </c>
      <c r="D132">
        <f t="shared" si="10"/>
        <v>0</v>
      </c>
      <c r="E132">
        <f t="shared" si="11"/>
        <v>0</v>
      </c>
      <c r="G132">
        <f t="shared" ca="1" si="12"/>
        <v>130</v>
      </c>
      <c r="H132">
        <f t="shared" ca="1" si="13"/>
        <v>0</v>
      </c>
      <c r="I132">
        <f t="shared" ca="1" si="14"/>
        <v>0</v>
      </c>
    </row>
    <row r="133" spans="1:9">
      <c r="A133" s="66">
        <v>0</v>
      </c>
      <c r="B133" s="66">
        <v>0</v>
      </c>
      <c r="D133">
        <f t="shared" si="10"/>
        <v>0</v>
      </c>
      <c r="E133">
        <f t="shared" si="11"/>
        <v>0</v>
      </c>
      <c r="G133">
        <f t="shared" ca="1" si="12"/>
        <v>131</v>
      </c>
      <c r="H133">
        <f t="shared" ca="1" si="13"/>
        <v>0</v>
      </c>
      <c r="I133">
        <f t="shared" ca="1" si="14"/>
        <v>0</v>
      </c>
    </row>
    <row r="134" spans="1:9">
      <c r="A134" s="66">
        <v>31714</v>
      </c>
      <c r="B134" s="66">
        <v>31714</v>
      </c>
      <c r="D134">
        <f t="shared" si="10"/>
        <v>36.495661580243507</v>
      </c>
      <c r="E134">
        <f t="shared" si="11"/>
        <v>36.495661580243507</v>
      </c>
      <c r="G134">
        <f t="shared" ca="1" si="12"/>
        <v>132</v>
      </c>
      <c r="H134">
        <f t="shared" ca="1" si="13"/>
        <v>4817.4273285921427</v>
      </c>
      <c r="I134">
        <f t="shared" ca="1" si="14"/>
        <v>89128.488297755597</v>
      </c>
    </row>
    <row r="135" spans="1:9">
      <c r="A135" s="66">
        <v>0</v>
      </c>
      <c r="B135" s="66">
        <v>0</v>
      </c>
      <c r="D135">
        <f t="shared" si="10"/>
        <v>0</v>
      </c>
      <c r="E135">
        <f t="shared" si="11"/>
        <v>0</v>
      </c>
      <c r="G135">
        <f t="shared" ca="1" si="12"/>
        <v>133</v>
      </c>
      <c r="H135">
        <f t="shared" ca="1" si="13"/>
        <v>0</v>
      </c>
      <c r="I135">
        <f t="shared" ca="1" si="14"/>
        <v>0</v>
      </c>
    </row>
    <row r="136" spans="1:9">
      <c r="A136" s="66">
        <v>28662</v>
      </c>
      <c r="B136" s="66">
        <v>28662</v>
      </c>
      <c r="D136">
        <f t="shared" si="10"/>
        <v>32.983497894082717</v>
      </c>
      <c r="E136">
        <f t="shared" si="11"/>
        <v>32.983497894082717</v>
      </c>
      <c r="G136">
        <f t="shared" ca="1" si="12"/>
        <v>134</v>
      </c>
      <c r="H136">
        <f t="shared" ca="1" si="13"/>
        <v>4419.7887178070841</v>
      </c>
      <c r="I136">
        <f t="shared" ca="1" si="14"/>
        <v>87203.08449629815</v>
      </c>
    </row>
    <row r="137" spans="1:9">
      <c r="A137" s="66">
        <v>0</v>
      </c>
      <c r="B137" s="66">
        <v>0</v>
      </c>
      <c r="D137">
        <f t="shared" si="10"/>
        <v>0</v>
      </c>
      <c r="E137">
        <f t="shared" si="11"/>
        <v>0</v>
      </c>
      <c r="G137">
        <f t="shared" ca="1" si="12"/>
        <v>135</v>
      </c>
      <c r="H137">
        <f t="shared" ca="1" si="13"/>
        <v>0</v>
      </c>
      <c r="I137">
        <f t="shared" ca="1" si="14"/>
        <v>0</v>
      </c>
    </row>
    <row r="138" spans="1:9">
      <c r="A138" s="66">
        <v>0</v>
      </c>
      <c r="B138" s="66">
        <v>0</v>
      </c>
      <c r="D138">
        <f t="shared" si="10"/>
        <v>0</v>
      </c>
      <c r="E138">
        <f t="shared" si="11"/>
        <v>0</v>
      </c>
      <c r="G138">
        <f t="shared" ca="1" si="12"/>
        <v>136</v>
      </c>
      <c r="H138">
        <f t="shared" ca="1" si="13"/>
        <v>0</v>
      </c>
      <c r="I138">
        <f t="shared" ca="1" si="14"/>
        <v>0</v>
      </c>
    </row>
    <row r="139" spans="1:9">
      <c r="A139" s="66">
        <v>24978</v>
      </c>
      <c r="B139" s="66">
        <v>24978</v>
      </c>
      <c r="D139">
        <f t="shared" si="10"/>
        <v>28.744044742111441</v>
      </c>
      <c r="E139">
        <f t="shared" si="11"/>
        <v>28.744044742111441</v>
      </c>
      <c r="G139">
        <f t="shared" ca="1" si="12"/>
        <v>137</v>
      </c>
      <c r="H139">
        <f t="shared" ca="1" si="13"/>
        <v>3937.9341296692673</v>
      </c>
      <c r="I139">
        <f t="shared" ca="1" si="14"/>
        <v>85121.16244191445</v>
      </c>
    </row>
    <row r="140" spans="1:9">
      <c r="A140" s="66">
        <v>0</v>
      </c>
      <c r="B140" s="66">
        <v>0</v>
      </c>
      <c r="D140">
        <f t="shared" si="10"/>
        <v>0</v>
      </c>
      <c r="E140">
        <f t="shared" si="11"/>
        <v>0</v>
      </c>
      <c r="G140">
        <f t="shared" ca="1" si="12"/>
        <v>138</v>
      </c>
      <c r="H140">
        <f t="shared" ca="1" si="13"/>
        <v>0</v>
      </c>
      <c r="I140">
        <f t="shared" ca="1" si="14"/>
        <v>0</v>
      </c>
    </row>
    <row r="141" spans="1:9">
      <c r="A141" s="66">
        <v>0</v>
      </c>
      <c r="B141" s="66">
        <v>0</v>
      </c>
      <c r="D141">
        <f t="shared" si="10"/>
        <v>0</v>
      </c>
      <c r="E141">
        <f t="shared" si="11"/>
        <v>0</v>
      </c>
      <c r="G141">
        <f t="shared" ca="1" si="12"/>
        <v>139</v>
      </c>
      <c r="H141">
        <f t="shared" ca="1" si="13"/>
        <v>0</v>
      </c>
      <c r="I141">
        <f t="shared" ca="1" si="14"/>
        <v>0</v>
      </c>
    </row>
    <row r="142" spans="1:9">
      <c r="A142" s="66">
        <v>22861</v>
      </c>
      <c r="B142" s="66">
        <v>22861</v>
      </c>
      <c r="D142">
        <f t="shared" si="10"/>
        <v>26.307855186540543</v>
      </c>
      <c r="E142">
        <f t="shared" si="11"/>
        <v>26.307855186540543</v>
      </c>
      <c r="G142">
        <f t="shared" ca="1" si="12"/>
        <v>140</v>
      </c>
      <c r="H142">
        <f t="shared" ca="1" si="13"/>
        <v>3683.0997261156758</v>
      </c>
      <c r="I142">
        <f t="shared" ca="1" si="14"/>
        <v>86733.294235357564</v>
      </c>
    </row>
    <row r="143" spans="1:9">
      <c r="A143" s="66">
        <v>0</v>
      </c>
      <c r="B143" s="66">
        <v>0</v>
      </c>
      <c r="D143">
        <f t="shared" si="10"/>
        <v>0</v>
      </c>
      <c r="E143">
        <f t="shared" si="11"/>
        <v>0</v>
      </c>
      <c r="G143">
        <f t="shared" ca="1" si="12"/>
        <v>141</v>
      </c>
      <c r="H143">
        <f t="shared" ca="1" si="13"/>
        <v>0</v>
      </c>
      <c r="I143">
        <f t="shared" ca="1" si="14"/>
        <v>0</v>
      </c>
    </row>
    <row r="144" spans="1:9">
      <c r="A144" s="66">
        <v>18384</v>
      </c>
      <c r="B144" s="66">
        <v>18384</v>
      </c>
      <c r="D144">
        <f t="shared" si="10"/>
        <v>21.155837878892495</v>
      </c>
      <c r="E144">
        <f t="shared" si="11"/>
        <v>21.155837878892495</v>
      </c>
      <c r="G144">
        <f t="shared" ca="1" si="12"/>
        <v>142</v>
      </c>
      <c r="H144">
        <f t="shared" ca="1" si="13"/>
        <v>3004.1289788027343</v>
      </c>
      <c r="I144">
        <f t="shared" ca="1" si="14"/>
        <v>74691.369484924478</v>
      </c>
    </row>
    <row r="145" spans="1:9">
      <c r="A145" s="66">
        <v>0</v>
      </c>
      <c r="B145" s="66">
        <v>0</v>
      </c>
      <c r="D145">
        <f t="shared" si="10"/>
        <v>0</v>
      </c>
      <c r="E145">
        <f t="shared" si="11"/>
        <v>0</v>
      </c>
      <c r="G145">
        <f t="shared" ca="1" si="12"/>
        <v>143</v>
      </c>
      <c r="H145">
        <f t="shared" ca="1" si="13"/>
        <v>0</v>
      </c>
      <c r="I145">
        <f t="shared" ca="1" si="14"/>
        <v>0</v>
      </c>
    </row>
    <row r="146" spans="1:9">
      <c r="A146" s="66">
        <v>0</v>
      </c>
      <c r="B146" s="66">
        <v>0</v>
      </c>
      <c r="D146">
        <f t="shared" si="10"/>
        <v>0</v>
      </c>
      <c r="E146">
        <f t="shared" si="11"/>
        <v>0</v>
      </c>
      <c r="G146">
        <f t="shared" ca="1" si="12"/>
        <v>144</v>
      </c>
      <c r="H146">
        <f t="shared" ca="1" si="13"/>
        <v>0</v>
      </c>
      <c r="I146">
        <f t="shared" ca="1" si="14"/>
        <v>0</v>
      </c>
    </row>
    <row r="147" spans="1:9">
      <c r="A147" s="66">
        <v>14280</v>
      </c>
      <c r="B147" s="66">
        <v>14280</v>
      </c>
      <c r="D147">
        <f t="shared" si="10"/>
        <v>16.433059449009182</v>
      </c>
      <c r="E147">
        <f t="shared" si="11"/>
        <v>16.433059449009182</v>
      </c>
      <c r="G147">
        <f t="shared" ca="1" si="12"/>
        <v>145</v>
      </c>
      <c r="H147">
        <f t="shared" ca="1" si="13"/>
        <v>2382.7936201063312</v>
      </c>
      <c r="I147">
        <f t="shared" ca="1" si="14"/>
        <v>64023.890147866274</v>
      </c>
    </row>
    <row r="148" spans="1:9">
      <c r="A148" s="66">
        <v>0</v>
      </c>
      <c r="B148" s="66">
        <v>0</v>
      </c>
      <c r="D148">
        <f t="shared" si="10"/>
        <v>0</v>
      </c>
      <c r="E148">
        <f t="shared" si="11"/>
        <v>0</v>
      </c>
      <c r="G148">
        <f t="shared" ca="1" si="12"/>
        <v>146</v>
      </c>
      <c r="H148">
        <f t="shared" ca="1" si="13"/>
        <v>0</v>
      </c>
      <c r="I148">
        <f t="shared" ca="1" si="14"/>
        <v>0</v>
      </c>
    </row>
    <row r="149" spans="1:9">
      <c r="A149" s="66">
        <v>9379</v>
      </c>
      <c r="B149" s="66">
        <v>9379</v>
      </c>
      <c r="D149">
        <f t="shared" si="10"/>
        <v>10.793113765564225</v>
      </c>
      <c r="E149">
        <f t="shared" si="11"/>
        <v>10.793113765564225</v>
      </c>
      <c r="G149">
        <f t="shared" ca="1" si="12"/>
        <v>147</v>
      </c>
      <c r="H149">
        <f t="shared" ca="1" si="13"/>
        <v>1586.5877235379412</v>
      </c>
      <c r="I149">
        <f t="shared" ca="1" si="14"/>
        <v>44788.347730696973</v>
      </c>
    </row>
    <row r="150" spans="1:9">
      <c r="A150" s="66">
        <v>0</v>
      </c>
      <c r="B150" s="66">
        <v>0</v>
      </c>
      <c r="D150">
        <f t="shared" si="10"/>
        <v>0</v>
      </c>
      <c r="E150">
        <f t="shared" si="11"/>
        <v>0</v>
      </c>
      <c r="G150">
        <f t="shared" ca="1" si="12"/>
        <v>148</v>
      </c>
      <c r="H150">
        <f t="shared" ca="1" si="13"/>
        <v>0</v>
      </c>
      <c r="I150">
        <f t="shared" ca="1" si="14"/>
        <v>0</v>
      </c>
    </row>
    <row r="151" spans="1:9">
      <c r="A151" s="66">
        <v>0</v>
      </c>
      <c r="B151" s="66">
        <v>0</v>
      </c>
      <c r="D151">
        <f t="shared" si="10"/>
        <v>0</v>
      </c>
      <c r="E151">
        <f t="shared" si="11"/>
        <v>0</v>
      </c>
      <c r="G151">
        <f t="shared" ca="1" si="12"/>
        <v>149</v>
      </c>
      <c r="H151">
        <f t="shared" ca="1" si="13"/>
        <v>0</v>
      </c>
      <c r="I151">
        <f t="shared" ca="1" si="14"/>
        <v>0</v>
      </c>
    </row>
    <row r="152" spans="1:9">
      <c r="A152" s="66">
        <v>7341</v>
      </c>
      <c r="B152" s="66">
        <v>7341</v>
      </c>
      <c r="D152">
        <f t="shared" si="10"/>
        <v>8.4478353932196359</v>
      </c>
      <c r="E152">
        <f t="shared" si="11"/>
        <v>8.4478353932196359</v>
      </c>
      <c r="G152">
        <f t="shared" ca="1" si="12"/>
        <v>150</v>
      </c>
      <c r="H152">
        <f t="shared" ca="1" si="13"/>
        <v>1267.1753089829454</v>
      </c>
      <c r="I152">
        <f t="shared" ca="1" si="14"/>
        <v>38397.311345508468</v>
      </c>
    </row>
    <row r="153" spans="1:9">
      <c r="A153" s="66">
        <v>0</v>
      </c>
      <c r="B153" s="66">
        <v>0</v>
      </c>
      <c r="D153">
        <f t="shared" si="10"/>
        <v>0</v>
      </c>
      <c r="E153">
        <f t="shared" si="11"/>
        <v>0</v>
      </c>
      <c r="G153">
        <f t="shared" ca="1" si="12"/>
        <v>151</v>
      </c>
      <c r="H153">
        <f t="shared" ca="1" si="13"/>
        <v>0</v>
      </c>
      <c r="I153">
        <f t="shared" ca="1" si="14"/>
        <v>0</v>
      </c>
    </row>
    <row r="154" spans="1:9">
      <c r="A154" s="66">
        <v>5088</v>
      </c>
      <c r="B154" s="66">
        <v>5088</v>
      </c>
      <c r="D154">
        <f t="shared" si="10"/>
        <v>5.8551405095629354</v>
      </c>
      <c r="E154">
        <f t="shared" si="11"/>
        <v>5.8551405095629354</v>
      </c>
      <c r="G154">
        <f t="shared" ca="1" si="12"/>
        <v>152</v>
      </c>
      <c r="H154">
        <f t="shared" ca="1" si="13"/>
        <v>889.98135745356615</v>
      </c>
      <c r="I154">
        <f t="shared" ca="1" si="14"/>
        <v>28215.324771290729</v>
      </c>
    </row>
    <row r="155" spans="1:9">
      <c r="A155" s="66">
        <v>0</v>
      </c>
      <c r="B155" s="66">
        <v>0</v>
      </c>
      <c r="D155">
        <f t="shared" si="10"/>
        <v>0</v>
      </c>
      <c r="E155">
        <f t="shared" si="11"/>
        <v>0</v>
      </c>
      <c r="G155">
        <f t="shared" ca="1" si="12"/>
        <v>153</v>
      </c>
      <c r="H155">
        <f t="shared" ca="1" si="13"/>
        <v>0</v>
      </c>
      <c r="I155">
        <f t="shared" ca="1" si="14"/>
        <v>0</v>
      </c>
    </row>
    <row r="156" spans="1:9">
      <c r="A156" s="66">
        <v>0</v>
      </c>
      <c r="B156" s="66">
        <v>0</v>
      </c>
      <c r="D156">
        <f t="shared" si="10"/>
        <v>0</v>
      </c>
      <c r="E156">
        <f t="shared" si="11"/>
        <v>0</v>
      </c>
      <c r="G156">
        <f t="shared" ca="1" si="12"/>
        <v>154</v>
      </c>
      <c r="H156">
        <f t="shared" ca="1" si="13"/>
        <v>0</v>
      </c>
      <c r="I156">
        <f t="shared" ca="1" si="14"/>
        <v>0</v>
      </c>
    </row>
    <row r="157" spans="1:9">
      <c r="A157" s="66">
        <v>4184</v>
      </c>
      <c r="B157" s="66">
        <v>4184</v>
      </c>
      <c r="D157">
        <f t="shared" si="10"/>
        <v>4.8148403875808423</v>
      </c>
      <c r="E157">
        <f t="shared" si="11"/>
        <v>4.8148403875808423</v>
      </c>
      <c r="G157">
        <f t="shared" ca="1" si="12"/>
        <v>155</v>
      </c>
      <c r="H157">
        <f t="shared" ca="1" si="13"/>
        <v>746.30026007503056</v>
      </c>
      <c r="I157">
        <f t="shared" ca="1" si="14"/>
        <v>25250.985887307736</v>
      </c>
    </row>
    <row r="158" spans="1:9">
      <c r="A158" s="66">
        <v>0</v>
      </c>
      <c r="B158" s="66">
        <v>0</v>
      </c>
      <c r="D158">
        <f t="shared" si="10"/>
        <v>0</v>
      </c>
      <c r="E158">
        <f t="shared" si="11"/>
        <v>0</v>
      </c>
      <c r="G158">
        <f t="shared" ca="1" si="12"/>
        <v>156</v>
      </c>
      <c r="H158">
        <f t="shared" ca="1" si="13"/>
        <v>0</v>
      </c>
      <c r="I158">
        <f t="shared" ca="1" si="14"/>
        <v>0</v>
      </c>
    </row>
    <row r="159" spans="1:9">
      <c r="A159" s="66">
        <v>0</v>
      </c>
      <c r="B159" s="66">
        <v>0</v>
      </c>
      <c r="D159">
        <f t="shared" si="10"/>
        <v>0</v>
      </c>
      <c r="E159">
        <f t="shared" si="11"/>
        <v>0</v>
      </c>
      <c r="G159">
        <f t="shared" ca="1" si="12"/>
        <v>157</v>
      </c>
      <c r="H159">
        <f t="shared" ca="1" si="13"/>
        <v>0</v>
      </c>
      <c r="I159">
        <f t="shared" ca="1" si="14"/>
        <v>0</v>
      </c>
    </row>
    <row r="160" spans="1:9">
      <c r="A160" s="66">
        <v>2920</v>
      </c>
      <c r="B160" s="66">
        <v>2920</v>
      </c>
      <c r="D160">
        <f t="shared" si="10"/>
        <v>3.3602614559598609</v>
      </c>
      <c r="E160">
        <f t="shared" si="11"/>
        <v>3.3602614559598609</v>
      </c>
      <c r="G160">
        <f t="shared" ca="1" si="12"/>
        <v>158</v>
      </c>
      <c r="H160">
        <f t="shared" ca="1" si="13"/>
        <v>530.92131004165799</v>
      </c>
      <c r="I160">
        <f t="shared" ca="1" si="14"/>
        <v>19112.889511406152</v>
      </c>
    </row>
    <row r="161" spans="1:9">
      <c r="A161" s="66">
        <v>0</v>
      </c>
      <c r="B161" s="66">
        <v>0</v>
      </c>
      <c r="D161">
        <f t="shared" si="10"/>
        <v>0</v>
      </c>
      <c r="E161">
        <f t="shared" si="11"/>
        <v>0</v>
      </c>
      <c r="G161">
        <f t="shared" ca="1" si="12"/>
        <v>159</v>
      </c>
      <c r="H161">
        <f t="shared" ca="1" si="13"/>
        <v>0</v>
      </c>
      <c r="I161">
        <f t="shared" ca="1" si="14"/>
        <v>0</v>
      </c>
    </row>
    <row r="162" spans="1:9">
      <c r="A162" s="66">
        <v>2478</v>
      </c>
      <c r="B162" s="66">
        <v>2478</v>
      </c>
      <c r="D162">
        <f t="shared" si="10"/>
        <v>2.8516191396810053</v>
      </c>
      <c r="E162">
        <f t="shared" si="11"/>
        <v>2.8516191396810053</v>
      </c>
      <c r="G162">
        <f t="shared" ca="1" si="12"/>
        <v>160</v>
      </c>
      <c r="H162">
        <f t="shared" ca="1" si="13"/>
        <v>456.25906234896087</v>
      </c>
      <c r="I162">
        <f t="shared" ca="1" si="14"/>
        <v>17091.43739507773</v>
      </c>
    </row>
    <row r="163" spans="1:9">
      <c r="A163" s="66">
        <v>0</v>
      </c>
      <c r="B163" s="66">
        <v>0</v>
      </c>
      <c r="D163">
        <f t="shared" si="10"/>
        <v>0</v>
      </c>
      <c r="E163">
        <f t="shared" si="11"/>
        <v>0</v>
      </c>
      <c r="G163">
        <f t="shared" ca="1" si="12"/>
        <v>161</v>
      </c>
      <c r="H163">
        <f t="shared" ca="1" si="13"/>
        <v>0</v>
      </c>
      <c r="I163">
        <f t="shared" ca="1" si="14"/>
        <v>0</v>
      </c>
    </row>
    <row r="164" spans="1:9">
      <c r="A164" s="66">
        <v>0</v>
      </c>
      <c r="B164" s="66">
        <v>0</v>
      </c>
      <c r="D164">
        <f t="shared" si="10"/>
        <v>0</v>
      </c>
      <c r="E164">
        <f t="shared" si="11"/>
        <v>0</v>
      </c>
      <c r="G164">
        <f t="shared" ca="1" si="12"/>
        <v>162</v>
      </c>
      <c r="H164">
        <f t="shared" ca="1" si="13"/>
        <v>0</v>
      </c>
      <c r="I164">
        <f t="shared" ca="1" si="14"/>
        <v>0</v>
      </c>
    </row>
    <row r="165" spans="1:9">
      <c r="A165" s="66">
        <v>1415</v>
      </c>
      <c r="B165" s="66">
        <v>1415</v>
      </c>
      <c r="D165">
        <f t="shared" si="10"/>
        <v>1.6283458767750696</v>
      </c>
      <c r="E165">
        <f t="shared" si="11"/>
        <v>1.6283458767750696</v>
      </c>
      <c r="G165">
        <f t="shared" ca="1" si="12"/>
        <v>163</v>
      </c>
      <c r="H165">
        <f t="shared" ca="1" si="13"/>
        <v>265.42037791433637</v>
      </c>
      <c r="I165">
        <f t="shared" ca="1" si="14"/>
        <v>10530.675945265133</v>
      </c>
    </row>
    <row r="166" spans="1:9">
      <c r="A166" s="66">
        <v>0</v>
      </c>
      <c r="B166" s="66">
        <v>0</v>
      </c>
      <c r="D166">
        <f t="shared" si="10"/>
        <v>0</v>
      </c>
      <c r="E166">
        <f t="shared" si="11"/>
        <v>0</v>
      </c>
      <c r="G166">
        <f t="shared" ca="1" si="12"/>
        <v>164</v>
      </c>
      <c r="H166">
        <f t="shared" ca="1" si="13"/>
        <v>0</v>
      </c>
      <c r="I166">
        <f t="shared" ca="1" si="14"/>
        <v>0</v>
      </c>
    </row>
    <row r="167" spans="1:9">
      <c r="A167" s="66">
        <v>464</v>
      </c>
      <c r="B167" s="66">
        <v>464</v>
      </c>
      <c r="D167">
        <f t="shared" si="10"/>
        <v>0.53395935464567656</v>
      </c>
      <c r="E167">
        <f t="shared" si="11"/>
        <v>0.53395935464567656</v>
      </c>
      <c r="G167">
        <f t="shared" ca="1" si="12"/>
        <v>165</v>
      </c>
      <c r="H167">
        <f t="shared" ca="1" si="13"/>
        <v>88.103293516536638</v>
      </c>
      <c r="I167">
        <f t="shared" ca="1" si="14"/>
        <v>3627.0648640367335</v>
      </c>
    </row>
    <row r="168" spans="1:9">
      <c r="A168" s="66">
        <v>0</v>
      </c>
      <c r="B168" s="66">
        <v>0</v>
      </c>
      <c r="D168">
        <f t="shared" si="10"/>
        <v>0</v>
      </c>
      <c r="E168">
        <f t="shared" si="11"/>
        <v>0</v>
      </c>
      <c r="G168">
        <f t="shared" ca="1" si="12"/>
        <v>166</v>
      </c>
      <c r="H168">
        <f t="shared" ca="1" si="13"/>
        <v>0</v>
      </c>
      <c r="I168">
        <f t="shared" ca="1" si="14"/>
        <v>0</v>
      </c>
    </row>
    <row r="169" spans="1:9">
      <c r="A169" s="66">
        <v>0</v>
      </c>
      <c r="B169" s="66">
        <v>0</v>
      </c>
      <c r="D169">
        <f t="shared" si="10"/>
        <v>0</v>
      </c>
      <c r="E169">
        <f t="shared" si="11"/>
        <v>0</v>
      </c>
      <c r="G169">
        <f t="shared" ca="1" si="12"/>
        <v>167</v>
      </c>
      <c r="H169">
        <f t="shared" ca="1" si="13"/>
        <v>0</v>
      </c>
      <c r="I169">
        <f t="shared" ca="1" si="14"/>
        <v>0</v>
      </c>
    </row>
    <row r="170" spans="1:9">
      <c r="A170" s="66">
        <v>344</v>
      </c>
      <c r="B170" s="66">
        <v>344</v>
      </c>
      <c r="D170">
        <f t="shared" si="10"/>
        <v>0.39586641809938089</v>
      </c>
      <c r="E170">
        <f t="shared" si="11"/>
        <v>0.39586641809938089</v>
      </c>
      <c r="G170">
        <f t="shared" ca="1" si="12"/>
        <v>168</v>
      </c>
      <c r="H170">
        <f t="shared" ca="1" si="13"/>
        <v>66.50555824069599</v>
      </c>
      <c r="I170">
        <f t="shared" ca="1" si="14"/>
        <v>2888.3534274996218</v>
      </c>
    </row>
    <row r="171" spans="1:9">
      <c r="A171" s="66">
        <v>0</v>
      </c>
      <c r="B171" s="66">
        <v>0</v>
      </c>
      <c r="D171">
        <f t="shared" si="10"/>
        <v>0</v>
      </c>
      <c r="E171">
        <f t="shared" si="11"/>
        <v>0</v>
      </c>
      <c r="G171">
        <f t="shared" ca="1" si="12"/>
        <v>169</v>
      </c>
      <c r="H171">
        <f t="shared" ca="1" si="13"/>
        <v>0</v>
      </c>
      <c r="I171">
        <f t="shared" ca="1" si="14"/>
        <v>0</v>
      </c>
    </row>
    <row r="172" spans="1:9">
      <c r="A172" s="66">
        <v>0</v>
      </c>
      <c r="B172" s="66">
        <v>0</v>
      </c>
      <c r="D172">
        <f t="shared" si="10"/>
        <v>0</v>
      </c>
      <c r="E172">
        <f t="shared" si="11"/>
        <v>0</v>
      </c>
      <c r="G172">
        <f t="shared" ca="1" si="12"/>
        <v>170</v>
      </c>
      <c r="H172">
        <f t="shared" ca="1" si="13"/>
        <v>0</v>
      </c>
      <c r="I172">
        <f t="shared" ca="1" si="14"/>
        <v>0</v>
      </c>
    </row>
    <row r="173" spans="1:9">
      <c r="A173" s="66">
        <v>172</v>
      </c>
      <c r="B173" s="66">
        <v>172</v>
      </c>
      <c r="D173">
        <f t="shared" si="10"/>
        <v>0.19793320904969045</v>
      </c>
      <c r="E173">
        <f t="shared" si="11"/>
        <v>0.19793320904969045</v>
      </c>
      <c r="G173">
        <f t="shared" ca="1" si="12"/>
        <v>171</v>
      </c>
      <c r="H173">
        <f t="shared" ca="1" si="13"/>
        <v>33.84657874749707</v>
      </c>
      <c r="I173">
        <f t="shared" ca="1" si="14"/>
        <v>1547.4008015247614</v>
      </c>
    </row>
    <row r="174" spans="1:9">
      <c r="A174" s="66">
        <v>0</v>
      </c>
      <c r="B174" s="66">
        <v>0</v>
      </c>
      <c r="D174">
        <f t="shared" si="10"/>
        <v>0</v>
      </c>
      <c r="E174">
        <f t="shared" si="11"/>
        <v>0</v>
      </c>
      <c r="G174">
        <f t="shared" ca="1" si="12"/>
        <v>172</v>
      </c>
      <c r="H174">
        <f t="shared" ca="1" si="13"/>
        <v>0</v>
      </c>
      <c r="I174">
        <f t="shared" ca="1" si="14"/>
        <v>0</v>
      </c>
    </row>
    <row r="175" spans="1:9">
      <c r="A175" s="66">
        <v>130</v>
      </c>
      <c r="B175" s="66">
        <v>130</v>
      </c>
      <c r="D175">
        <f t="shared" si="10"/>
        <v>0.14960068125848697</v>
      </c>
      <c r="E175">
        <f t="shared" si="11"/>
        <v>0.14960068125848697</v>
      </c>
      <c r="G175">
        <f t="shared" ca="1" si="12"/>
        <v>173</v>
      </c>
      <c r="H175">
        <f t="shared" ca="1" si="13"/>
        <v>25.880917857718245</v>
      </c>
      <c r="I175">
        <f t="shared" ca="1" si="14"/>
        <v>1223.0552614950348</v>
      </c>
    </row>
    <row r="176" spans="1:9">
      <c r="A176" s="66">
        <v>0</v>
      </c>
      <c r="B176" s="66">
        <v>0</v>
      </c>
      <c r="D176">
        <f t="shared" si="10"/>
        <v>0</v>
      </c>
      <c r="E176">
        <f t="shared" si="11"/>
        <v>0</v>
      </c>
      <c r="G176">
        <f t="shared" ca="1" si="12"/>
        <v>174</v>
      </c>
      <c r="H176">
        <f t="shared" ca="1" si="13"/>
        <v>0</v>
      </c>
      <c r="I176">
        <f t="shared" ca="1" si="14"/>
        <v>0</v>
      </c>
    </row>
    <row r="177" spans="1:9">
      <c r="A177" s="66">
        <v>0</v>
      </c>
      <c r="B177" s="66">
        <v>0</v>
      </c>
      <c r="D177">
        <f t="shared" si="10"/>
        <v>0</v>
      </c>
      <c r="E177">
        <f t="shared" si="11"/>
        <v>0</v>
      </c>
      <c r="G177">
        <f t="shared" ca="1" si="12"/>
        <v>175</v>
      </c>
      <c r="H177">
        <f t="shared" ca="1" si="13"/>
        <v>0</v>
      </c>
      <c r="I177">
        <f t="shared" ca="1" si="14"/>
        <v>0</v>
      </c>
    </row>
    <row r="178" spans="1:9">
      <c r="A178" s="66">
        <v>0</v>
      </c>
      <c r="B178" s="66">
        <v>0</v>
      </c>
      <c r="D178">
        <f t="shared" si="10"/>
        <v>0</v>
      </c>
      <c r="E178">
        <f t="shared" si="11"/>
        <v>0</v>
      </c>
      <c r="G178">
        <f t="shared" ca="1" si="12"/>
        <v>176</v>
      </c>
      <c r="H178">
        <f t="shared" ca="1" si="13"/>
        <v>0</v>
      </c>
      <c r="I178">
        <f t="shared" ca="1" si="14"/>
        <v>0</v>
      </c>
    </row>
    <row r="179" spans="1:9">
      <c r="A179" s="66">
        <v>0</v>
      </c>
      <c r="B179" s="66">
        <v>0</v>
      </c>
      <c r="D179">
        <f t="shared" si="10"/>
        <v>0</v>
      </c>
      <c r="E179">
        <f t="shared" si="11"/>
        <v>0</v>
      </c>
      <c r="G179">
        <f t="shared" ca="1" si="12"/>
        <v>177</v>
      </c>
      <c r="H179">
        <f t="shared" ca="1" si="13"/>
        <v>0</v>
      </c>
      <c r="I179">
        <f t="shared" ca="1" si="14"/>
        <v>0</v>
      </c>
    </row>
    <row r="180" spans="1:9">
      <c r="A180" s="66">
        <v>0</v>
      </c>
      <c r="B180" s="66">
        <v>0</v>
      </c>
      <c r="D180">
        <f t="shared" si="10"/>
        <v>0</v>
      </c>
      <c r="E180">
        <f t="shared" si="11"/>
        <v>0</v>
      </c>
      <c r="G180">
        <f t="shared" ca="1" si="12"/>
        <v>178</v>
      </c>
      <c r="H180">
        <f t="shared" ca="1" si="13"/>
        <v>0</v>
      </c>
      <c r="I180">
        <f t="shared" ca="1" si="14"/>
        <v>0</v>
      </c>
    </row>
    <row r="181" spans="1:9">
      <c r="A181" s="66">
        <v>0</v>
      </c>
      <c r="B181" s="66">
        <v>0</v>
      </c>
      <c r="D181">
        <f t="shared" si="10"/>
        <v>0</v>
      </c>
      <c r="E181">
        <f t="shared" si="11"/>
        <v>0</v>
      </c>
      <c r="G181">
        <f t="shared" ca="1" si="12"/>
        <v>179</v>
      </c>
      <c r="H181">
        <f t="shared" ca="1" si="13"/>
        <v>0</v>
      </c>
      <c r="I181">
        <f t="shared" ca="1" si="14"/>
        <v>0</v>
      </c>
    </row>
    <row r="182" spans="1:9">
      <c r="A182" s="66">
        <v>0</v>
      </c>
      <c r="B182" s="66">
        <v>0</v>
      </c>
      <c r="D182">
        <f t="shared" si="10"/>
        <v>0</v>
      </c>
      <c r="E182">
        <f t="shared" si="11"/>
        <v>0</v>
      </c>
      <c r="G182">
        <f t="shared" ca="1" si="12"/>
        <v>180</v>
      </c>
      <c r="H182">
        <f t="shared" ca="1" si="13"/>
        <v>0</v>
      </c>
      <c r="I182">
        <f t="shared" ca="1" si="14"/>
        <v>0</v>
      </c>
    </row>
    <row r="183" spans="1:9">
      <c r="A183" s="66">
        <v>0</v>
      </c>
      <c r="B183" s="66">
        <v>0</v>
      </c>
      <c r="D183">
        <f t="shared" si="10"/>
        <v>0</v>
      </c>
      <c r="E183">
        <f t="shared" si="11"/>
        <v>0</v>
      </c>
      <c r="G183">
        <f t="shared" ca="1" si="12"/>
        <v>181</v>
      </c>
      <c r="H183">
        <f t="shared" ca="1" si="13"/>
        <v>0</v>
      </c>
      <c r="I183">
        <f t="shared" ca="1" si="14"/>
        <v>0</v>
      </c>
    </row>
    <row r="184" spans="1:9">
      <c r="A184" s="66">
        <v>0</v>
      </c>
      <c r="B184" s="66">
        <v>0</v>
      </c>
      <c r="D184">
        <f t="shared" si="10"/>
        <v>0</v>
      </c>
      <c r="E184">
        <f t="shared" si="11"/>
        <v>0</v>
      </c>
      <c r="G184">
        <f t="shared" ca="1" si="12"/>
        <v>182</v>
      </c>
      <c r="H184">
        <f t="shared" ca="1" si="13"/>
        <v>0</v>
      </c>
      <c r="I184">
        <f t="shared" ca="1" si="14"/>
        <v>0</v>
      </c>
    </row>
    <row r="185" spans="1:9">
      <c r="A185" s="66">
        <v>0</v>
      </c>
      <c r="B185" s="66">
        <v>0</v>
      </c>
      <c r="D185">
        <f t="shared" si="10"/>
        <v>0</v>
      </c>
      <c r="E185">
        <f t="shared" si="11"/>
        <v>0</v>
      </c>
      <c r="G185">
        <f t="shared" ca="1" si="12"/>
        <v>183</v>
      </c>
      <c r="H185">
        <f t="shared" ca="1" si="13"/>
        <v>0</v>
      </c>
      <c r="I185">
        <f t="shared" ca="1" si="14"/>
        <v>0</v>
      </c>
    </row>
    <row r="186" spans="1:9">
      <c r="A186" s="66">
        <v>0</v>
      </c>
      <c r="B186" s="66">
        <v>0</v>
      </c>
      <c r="D186">
        <f t="shared" si="10"/>
        <v>0</v>
      </c>
      <c r="E186">
        <f t="shared" si="11"/>
        <v>0</v>
      </c>
      <c r="G186">
        <f t="shared" ca="1" si="12"/>
        <v>184</v>
      </c>
      <c r="H186">
        <f t="shared" ca="1" si="13"/>
        <v>0</v>
      </c>
      <c r="I186">
        <f t="shared" ca="1" si="14"/>
        <v>0</v>
      </c>
    </row>
    <row r="187" spans="1:9">
      <c r="A187" s="66">
        <v>0</v>
      </c>
      <c r="B187" s="66">
        <v>0</v>
      </c>
      <c r="D187">
        <f t="shared" si="10"/>
        <v>0</v>
      </c>
      <c r="E187">
        <f t="shared" si="11"/>
        <v>0</v>
      </c>
      <c r="G187">
        <f t="shared" ca="1" si="12"/>
        <v>185</v>
      </c>
      <c r="H187">
        <f t="shared" ca="1" si="13"/>
        <v>0</v>
      </c>
      <c r="I187">
        <f t="shared" ca="1" si="14"/>
        <v>0</v>
      </c>
    </row>
    <row r="188" spans="1:9">
      <c r="A188" s="66">
        <v>0</v>
      </c>
      <c r="B188" s="66">
        <v>0</v>
      </c>
      <c r="D188">
        <f t="shared" si="10"/>
        <v>0</v>
      </c>
      <c r="E188">
        <f t="shared" si="11"/>
        <v>0</v>
      </c>
      <c r="G188">
        <f t="shared" ca="1" si="12"/>
        <v>186</v>
      </c>
      <c r="H188">
        <f t="shared" ca="1" si="13"/>
        <v>0</v>
      </c>
      <c r="I188">
        <f t="shared" ca="1" si="14"/>
        <v>0</v>
      </c>
    </row>
    <row r="189" spans="1:9">
      <c r="A189" s="66">
        <v>0</v>
      </c>
      <c r="B189" s="66">
        <v>0</v>
      </c>
      <c r="D189">
        <f t="shared" si="10"/>
        <v>0</v>
      </c>
      <c r="E189">
        <f t="shared" si="11"/>
        <v>0</v>
      </c>
      <c r="G189">
        <f t="shared" ca="1" si="12"/>
        <v>187</v>
      </c>
      <c r="H189">
        <f t="shared" ca="1" si="13"/>
        <v>0</v>
      </c>
      <c r="I189">
        <f t="shared" ca="1" si="14"/>
        <v>0</v>
      </c>
    </row>
    <row r="190" spans="1:9">
      <c r="A190" s="66">
        <v>0</v>
      </c>
      <c r="B190" s="66">
        <v>0</v>
      </c>
      <c r="D190">
        <f t="shared" si="10"/>
        <v>0</v>
      </c>
      <c r="E190">
        <f t="shared" si="11"/>
        <v>0</v>
      </c>
      <c r="G190">
        <f t="shared" ca="1" si="12"/>
        <v>188</v>
      </c>
      <c r="H190">
        <f t="shared" ca="1" si="13"/>
        <v>0</v>
      </c>
      <c r="I190">
        <f t="shared" ca="1" si="14"/>
        <v>0</v>
      </c>
    </row>
    <row r="191" spans="1:9">
      <c r="A191" s="66">
        <v>0</v>
      </c>
      <c r="B191" s="66">
        <v>0</v>
      </c>
      <c r="D191">
        <f t="shared" si="10"/>
        <v>0</v>
      </c>
      <c r="E191">
        <f t="shared" si="11"/>
        <v>0</v>
      </c>
      <c r="G191">
        <f t="shared" ca="1" si="12"/>
        <v>189</v>
      </c>
      <c r="H191">
        <f t="shared" ca="1" si="13"/>
        <v>0</v>
      </c>
      <c r="I191">
        <f t="shared" ca="1" si="14"/>
        <v>0</v>
      </c>
    </row>
    <row r="192" spans="1:9">
      <c r="A192" s="66">
        <v>0</v>
      </c>
      <c r="B192" s="66">
        <v>0</v>
      </c>
      <c r="D192">
        <f t="shared" si="10"/>
        <v>0</v>
      </c>
      <c r="E192">
        <f t="shared" si="11"/>
        <v>0</v>
      </c>
      <c r="G192">
        <f t="shared" ca="1" si="12"/>
        <v>190</v>
      </c>
      <c r="H192">
        <f t="shared" ca="1" si="13"/>
        <v>0</v>
      </c>
      <c r="I192">
        <f t="shared" ca="1" si="14"/>
        <v>0</v>
      </c>
    </row>
    <row r="193" spans="1:9">
      <c r="A193" s="66">
        <v>0</v>
      </c>
      <c r="B193" s="66">
        <v>0</v>
      </c>
      <c r="D193">
        <f t="shared" si="10"/>
        <v>0</v>
      </c>
      <c r="E193">
        <f t="shared" si="11"/>
        <v>0</v>
      </c>
      <c r="G193">
        <f t="shared" ca="1" si="12"/>
        <v>191</v>
      </c>
      <c r="H193">
        <f t="shared" ca="1" si="13"/>
        <v>0</v>
      </c>
      <c r="I193">
        <f t="shared" ca="1" si="14"/>
        <v>0</v>
      </c>
    </row>
    <row r="194" spans="1:9">
      <c r="A194" s="66">
        <v>0</v>
      </c>
      <c r="B194" s="66">
        <v>0</v>
      </c>
      <c r="D194">
        <f t="shared" si="10"/>
        <v>0</v>
      </c>
      <c r="E194">
        <f t="shared" si="11"/>
        <v>0</v>
      </c>
      <c r="G194">
        <f t="shared" ca="1" si="12"/>
        <v>192</v>
      </c>
      <c r="H194">
        <f t="shared" ca="1" si="13"/>
        <v>0</v>
      </c>
      <c r="I194">
        <f t="shared" ca="1" si="14"/>
        <v>0</v>
      </c>
    </row>
    <row r="195" spans="1:9">
      <c r="A195" s="66">
        <v>0</v>
      </c>
      <c r="B195" s="66">
        <v>0</v>
      </c>
      <c r="D195">
        <f t="shared" ref="D195:D257" si="15">IFERROR(100*A195/MAX(A$2:A$257), 0 )</f>
        <v>0</v>
      </c>
      <c r="E195">
        <f t="shared" ref="E195:E257" si="16">IFERROR(100*B195/MAX(B$2:B$257), 0 )</f>
        <v>0</v>
      </c>
      <c r="G195">
        <f t="shared" ref="G195:G257" ca="1" si="17">CELL("row",D195)-2</f>
        <v>193</v>
      </c>
      <c r="H195">
        <f t="shared" ref="H195:H257" ca="1" si="18">D195*G195</f>
        <v>0</v>
      </c>
      <c r="I195">
        <f t="shared" ref="I195:I257" ca="1" si="19">D195*((G195-$L$1)^2)</f>
        <v>0</v>
      </c>
    </row>
    <row r="196" spans="1:9">
      <c r="A196" s="66">
        <v>0</v>
      </c>
      <c r="B196" s="66">
        <v>0</v>
      </c>
      <c r="D196">
        <f t="shared" si="15"/>
        <v>0</v>
      </c>
      <c r="E196">
        <f t="shared" si="16"/>
        <v>0</v>
      </c>
      <c r="G196">
        <f t="shared" ca="1" si="17"/>
        <v>194</v>
      </c>
      <c r="H196">
        <f t="shared" ca="1" si="18"/>
        <v>0</v>
      </c>
      <c r="I196">
        <f t="shared" ca="1" si="19"/>
        <v>0</v>
      </c>
    </row>
    <row r="197" spans="1:9">
      <c r="A197" s="66">
        <v>0</v>
      </c>
      <c r="B197" s="66">
        <v>0</v>
      </c>
      <c r="D197">
        <f t="shared" si="15"/>
        <v>0</v>
      </c>
      <c r="E197">
        <f t="shared" si="16"/>
        <v>0</v>
      </c>
      <c r="G197">
        <f t="shared" ca="1" si="17"/>
        <v>195</v>
      </c>
      <c r="H197">
        <f t="shared" ca="1" si="18"/>
        <v>0</v>
      </c>
      <c r="I197">
        <f t="shared" ca="1" si="19"/>
        <v>0</v>
      </c>
    </row>
    <row r="198" spans="1:9">
      <c r="A198" s="66">
        <v>0</v>
      </c>
      <c r="B198" s="66">
        <v>0</v>
      </c>
      <c r="D198">
        <f t="shared" si="15"/>
        <v>0</v>
      </c>
      <c r="E198">
        <f t="shared" si="16"/>
        <v>0</v>
      </c>
      <c r="G198">
        <f t="shared" ca="1" si="17"/>
        <v>196</v>
      </c>
      <c r="H198">
        <f t="shared" ca="1" si="18"/>
        <v>0</v>
      </c>
      <c r="I198">
        <f t="shared" ca="1" si="19"/>
        <v>0</v>
      </c>
    </row>
    <row r="199" spans="1:9">
      <c r="A199" s="66">
        <v>0</v>
      </c>
      <c r="B199" s="66">
        <v>0</v>
      </c>
      <c r="D199">
        <f t="shared" si="15"/>
        <v>0</v>
      </c>
      <c r="E199">
        <f t="shared" si="16"/>
        <v>0</v>
      </c>
      <c r="G199">
        <f t="shared" ca="1" si="17"/>
        <v>197</v>
      </c>
      <c r="H199">
        <f t="shared" ca="1" si="18"/>
        <v>0</v>
      </c>
      <c r="I199">
        <f t="shared" ca="1" si="19"/>
        <v>0</v>
      </c>
    </row>
    <row r="200" spans="1:9">
      <c r="A200" s="66">
        <v>0</v>
      </c>
      <c r="B200" s="66">
        <v>0</v>
      </c>
      <c r="D200">
        <f t="shared" si="15"/>
        <v>0</v>
      </c>
      <c r="E200">
        <f t="shared" si="16"/>
        <v>0</v>
      </c>
      <c r="G200">
        <f t="shared" ca="1" si="17"/>
        <v>198</v>
      </c>
      <c r="H200">
        <f t="shared" ca="1" si="18"/>
        <v>0</v>
      </c>
      <c r="I200">
        <f t="shared" ca="1" si="19"/>
        <v>0</v>
      </c>
    </row>
    <row r="201" spans="1:9">
      <c r="A201" s="66">
        <v>0</v>
      </c>
      <c r="B201" s="66">
        <v>0</v>
      </c>
      <c r="D201">
        <f t="shared" si="15"/>
        <v>0</v>
      </c>
      <c r="E201">
        <f t="shared" si="16"/>
        <v>0</v>
      </c>
      <c r="G201">
        <f t="shared" ca="1" si="17"/>
        <v>199</v>
      </c>
      <c r="H201">
        <f t="shared" ca="1" si="18"/>
        <v>0</v>
      </c>
      <c r="I201">
        <f t="shared" ca="1" si="19"/>
        <v>0</v>
      </c>
    </row>
    <row r="202" spans="1:9">
      <c r="A202" s="66">
        <v>0</v>
      </c>
      <c r="B202" s="66">
        <v>0</v>
      </c>
      <c r="D202">
        <f t="shared" si="15"/>
        <v>0</v>
      </c>
      <c r="E202">
        <f t="shared" si="16"/>
        <v>0</v>
      </c>
      <c r="G202">
        <f t="shared" ca="1" si="17"/>
        <v>200</v>
      </c>
      <c r="H202">
        <f t="shared" ca="1" si="18"/>
        <v>0</v>
      </c>
      <c r="I202">
        <f t="shared" ca="1" si="19"/>
        <v>0</v>
      </c>
    </row>
    <row r="203" spans="1:9">
      <c r="A203" s="66">
        <v>0</v>
      </c>
      <c r="B203" s="66">
        <v>0</v>
      </c>
      <c r="D203">
        <f t="shared" si="15"/>
        <v>0</v>
      </c>
      <c r="E203">
        <f t="shared" si="16"/>
        <v>0</v>
      </c>
      <c r="G203">
        <f t="shared" ca="1" si="17"/>
        <v>201</v>
      </c>
      <c r="H203">
        <f t="shared" ca="1" si="18"/>
        <v>0</v>
      </c>
      <c r="I203">
        <f t="shared" ca="1" si="19"/>
        <v>0</v>
      </c>
    </row>
    <row r="204" spans="1:9">
      <c r="A204" s="66">
        <v>0</v>
      </c>
      <c r="B204" s="66">
        <v>0</v>
      </c>
      <c r="D204">
        <f t="shared" si="15"/>
        <v>0</v>
      </c>
      <c r="E204">
        <f t="shared" si="16"/>
        <v>0</v>
      </c>
      <c r="G204">
        <f t="shared" ca="1" si="17"/>
        <v>202</v>
      </c>
      <c r="H204">
        <f t="shared" ca="1" si="18"/>
        <v>0</v>
      </c>
      <c r="I204">
        <f t="shared" ca="1" si="19"/>
        <v>0</v>
      </c>
    </row>
    <row r="205" spans="1:9">
      <c r="A205" s="66">
        <v>0</v>
      </c>
      <c r="B205" s="66">
        <v>0</v>
      </c>
      <c r="D205">
        <f t="shared" si="15"/>
        <v>0</v>
      </c>
      <c r="E205">
        <f t="shared" si="16"/>
        <v>0</v>
      </c>
      <c r="G205">
        <f t="shared" ca="1" si="17"/>
        <v>203</v>
      </c>
      <c r="H205">
        <f t="shared" ca="1" si="18"/>
        <v>0</v>
      </c>
      <c r="I205">
        <f t="shared" ca="1" si="19"/>
        <v>0</v>
      </c>
    </row>
    <row r="206" spans="1:9">
      <c r="A206" s="66">
        <v>0</v>
      </c>
      <c r="B206" s="66">
        <v>0</v>
      </c>
      <c r="D206">
        <f t="shared" si="15"/>
        <v>0</v>
      </c>
      <c r="E206">
        <f t="shared" si="16"/>
        <v>0</v>
      </c>
      <c r="G206">
        <f t="shared" ca="1" si="17"/>
        <v>204</v>
      </c>
      <c r="H206">
        <f t="shared" ca="1" si="18"/>
        <v>0</v>
      </c>
      <c r="I206">
        <f t="shared" ca="1" si="19"/>
        <v>0</v>
      </c>
    </row>
    <row r="207" spans="1:9">
      <c r="A207" s="66">
        <v>0</v>
      </c>
      <c r="B207" s="66">
        <v>0</v>
      </c>
      <c r="D207">
        <f t="shared" si="15"/>
        <v>0</v>
      </c>
      <c r="E207">
        <f t="shared" si="16"/>
        <v>0</v>
      </c>
      <c r="G207">
        <f t="shared" ca="1" si="17"/>
        <v>205</v>
      </c>
      <c r="H207">
        <f t="shared" ca="1" si="18"/>
        <v>0</v>
      </c>
      <c r="I207">
        <f t="shared" ca="1" si="19"/>
        <v>0</v>
      </c>
    </row>
    <row r="208" spans="1:9">
      <c r="A208" s="66">
        <v>0</v>
      </c>
      <c r="B208" s="66">
        <v>0</v>
      </c>
      <c r="D208">
        <f t="shared" si="15"/>
        <v>0</v>
      </c>
      <c r="E208">
        <f t="shared" si="16"/>
        <v>0</v>
      </c>
      <c r="G208">
        <f t="shared" ca="1" si="17"/>
        <v>206</v>
      </c>
      <c r="H208">
        <f t="shared" ca="1" si="18"/>
        <v>0</v>
      </c>
      <c r="I208">
        <f t="shared" ca="1" si="19"/>
        <v>0</v>
      </c>
    </row>
    <row r="209" spans="1:9">
      <c r="A209" s="66">
        <v>0</v>
      </c>
      <c r="B209" s="66">
        <v>0</v>
      </c>
      <c r="D209">
        <f t="shared" si="15"/>
        <v>0</v>
      </c>
      <c r="E209">
        <f t="shared" si="16"/>
        <v>0</v>
      </c>
      <c r="G209">
        <f t="shared" ca="1" si="17"/>
        <v>207</v>
      </c>
      <c r="H209">
        <f t="shared" ca="1" si="18"/>
        <v>0</v>
      </c>
      <c r="I209">
        <f t="shared" ca="1" si="19"/>
        <v>0</v>
      </c>
    </row>
    <row r="210" spans="1:9">
      <c r="A210" s="66">
        <v>0</v>
      </c>
      <c r="B210" s="66">
        <v>0</v>
      </c>
      <c r="D210">
        <f t="shared" si="15"/>
        <v>0</v>
      </c>
      <c r="E210">
        <f t="shared" si="16"/>
        <v>0</v>
      </c>
      <c r="G210">
        <f t="shared" ca="1" si="17"/>
        <v>208</v>
      </c>
      <c r="H210">
        <f t="shared" ca="1" si="18"/>
        <v>0</v>
      </c>
      <c r="I210">
        <f t="shared" ca="1" si="19"/>
        <v>0</v>
      </c>
    </row>
    <row r="211" spans="1:9">
      <c r="A211" s="66">
        <v>0</v>
      </c>
      <c r="B211" s="66">
        <v>0</v>
      </c>
      <c r="D211">
        <f t="shared" si="15"/>
        <v>0</v>
      </c>
      <c r="E211">
        <f t="shared" si="16"/>
        <v>0</v>
      </c>
      <c r="G211">
        <f t="shared" ca="1" si="17"/>
        <v>209</v>
      </c>
      <c r="H211">
        <f t="shared" ca="1" si="18"/>
        <v>0</v>
      </c>
      <c r="I211">
        <f t="shared" ca="1" si="19"/>
        <v>0</v>
      </c>
    </row>
    <row r="212" spans="1:9">
      <c r="A212" s="66">
        <v>0</v>
      </c>
      <c r="B212" s="66">
        <v>0</v>
      </c>
      <c r="D212">
        <f t="shared" si="15"/>
        <v>0</v>
      </c>
      <c r="E212">
        <f t="shared" si="16"/>
        <v>0</v>
      </c>
      <c r="G212">
        <f t="shared" ca="1" si="17"/>
        <v>210</v>
      </c>
      <c r="H212">
        <f t="shared" ca="1" si="18"/>
        <v>0</v>
      </c>
      <c r="I212">
        <f t="shared" ca="1" si="19"/>
        <v>0</v>
      </c>
    </row>
    <row r="213" spans="1:9">
      <c r="A213" s="66">
        <v>0</v>
      </c>
      <c r="B213" s="66">
        <v>0</v>
      </c>
      <c r="D213">
        <f t="shared" si="15"/>
        <v>0</v>
      </c>
      <c r="E213">
        <f t="shared" si="16"/>
        <v>0</v>
      </c>
      <c r="G213">
        <f t="shared" ca="1" si="17"/>
        <v>211</v>
      </c>
      <c r="H213">
        <f t="shared" ca="1" si="18"/>
        <v>0</v>
      </c>
      <c r="I213">
        <f t="shared" ca="1" si="19"/>
        <v>0</v>
      </c>
    </row>
    <row r="214" spans="1:9">
      <c r="A214" s="66">
        <v>0</v>
      </c>
      <c r="B214" s="66">
        <v>0</v>
      </c>
      <c r="D214">
        <f t="shared" si="15"/>
        <v>0</v>
      </c>
      <c r="E214">
        <f t="shared" si="16"/>
        <v>0</v>
      </c>
      <c r="G214">
        <f t="shared" ca="1" si="17"/>
        <v>212</v>
      </c>
      <c r="H214">
        <f t="shared" ca="1" si="18"/>
        <v>0</v>
      </c>
      <c r="I214">
        <f t="shared" ca="1" si="19"/>
        <v>0</v>
      </c>
    </row>
    <row r="215" spans="1:9">
      <c r="A215" s="66">
        <v>0</v>
      </c>
      <c r="B215" s="66">
        <v>0</v>
      </c>
      <c r="D215">
        <f t="shared" si="15"/>
        <v>0</v>
      </c>
      <c r="E215">
        <f t="shared" si="16"/>
        <v>0</v>
      </c>
      <c r="G215">
        <f t="shared" ca="1" si="17"/>
        <v>213</v>
      </c>
      <c r="H215">
        <f t="shared" ca="1" si="18"/>
        <v>0</v>
      </c>
      <c r="I215">
        <f t="shared" ca="1" si="19"/>
        <v>0</v>
      </c>
    </row>
    <row r="216" spans="1:9">
      <c r="A216" s="66">
        <v>0</v>
      </c>
      <c r="B216" s="66">
        <v>0</v>
      </c>
      <c r="D216">
        <f t="shared" si="15"/>
        <v>0</v>
      </c>
      <c r="E216">
        <f t="shared" si="16"/>
        <v>0</v>
      </c>
      <c r="G216">
        <f t="shared" ca="1" si="17"/>
        <v>214</v>
      </c>
      <c r="H216">
        <f t="shared" ca="1" si="18"/>
        <v>0</v>
      </c>
      <c r="I216">
        <f t="shared" ca="1" si="19"/>
        <v>0</v>
      </c>
    </row>
    <row r="217" spans="1:9">
      <c r="A217" s="66">
        <v>0</v>
      </c>
      <c r="B217" s="66">
        <v>0</v>
      </c>
      <c r="D217">
        <f t="shared" si="15"/>
        <v>0</v>
      </c>
      <c r="E217">
        <f t="shared" si="16"/>
        <v>0</v>
      </c>
      <c r="G217">
        <f t="shared" ca="1" si="17"/>
        <v>215</v>
      </c>
      <c r="H217">
        <f t="shared" ca="1" si="18"/>
        <v>0</v>
      </c>
      <c r="I217">
        <f t="shared" ca="1" si="19"/>
        <v>0</v>
      </c>
    </row>
    <row r="218" spans="1:9">
      <c r="A218" s="66">
        <v>0</v>
      </c>
      <c r="B218" s="66">
        <v>0</v>
      </c>
      <c r="D218">
        <f t="shared" si="15"/>
        <v>0</v>
      </c>
      <c r="E218">
        <f t="shared" si="16"/>
        <v>0</v>
      </c>
      <c r="G218">
        <f t="shared" ca="1" si="17"/>
        <v>216</v>
      </c>
      <c r="H218">
        <f t="shared" ca="1" si="18"/>
        <v>0</v>
      </c>
      <c r="I218">
        <f t="shared" ca="1" si="19"/>
        <v>0</v>
      </c>
    </row>
    <row r="219" spans="1:9">
      <c r="A219" s="66">
        <v>0</v>
      </c>
      <c r="B219" s="66">
        <v>0</v>
      </c>
      <c r="D219">
        <f t="shared" si="15"/>
        <v>0</v>
      </c>
      <c r="E219">
        <f t="shared" si="16"/>
        <v>0</v>
      </c>
      <c r="G219">
        <f t="shared" ca="1" si="17"/>
        <v>217</v>
      </c>
      <c r="H219">
        <f t="shared" ca="1" si="18"/>
        <v>0</v>
      </c>
      <c r="I219">
        <f t="shared" ca="1" si="19"/>
        <v>0</v>
      </c>
    </row>
    <row r="220" spans="1:9">
      <c r="A220" s="66">
        <v>0</v>
      </c>
      <c r="B220" s="66">
        <v>0</v>
      </c>
      <c r="D220">
        <f t="shared" si="15"/>
        <v>0</v>
      </c>
      <c r="E220">
        <f t="shared" si="16"/>
        <v>0</v>
      </c>
      <c r="G220">
        <f t="shared" ca="1" si="17"/>
        <v>218</v>
      </c>
      <c r="H220">
        <f t="shared" ca="1" si="18"/>
        <v>0</v>
      </c>
      <c r="I220">
        <f t="shared" ca="1" si="19"/>
        <v>0</v>
      </c>
    </row>
    <row r="221" spans="1:9">
      <c r="A221" s="66">
        <v>0</v>
      </c>
      <c r="B221" s="66">
        <v>0</v>
      </c>
      <c r="D221">
        <f t="shared" si="15"/>
        <v>0</v>
      </c>
      <c r="E221">
        <f t="shared" si="16"/>
        <v>0</v>
      </c>
      <c r="G221">
        <f t="shared" ca="1" si="17"/>
        <v>219</v>
      </c>
      <c r="H221">
        <f t="shared" ca="1" si="18"/>
        <v>0</v>
      </c>
      <c r="I221">
        <f t="shared" ca="1" si="19"/>
        <v>0</v>
      </c>
    </row>
    <row r="222" spans="1:9">
      <c r="A222" s="66">
        <v>0</v>
      </c>
      <c r="B222" s="66">
        <v>0</v>
      </c>
      <c r="D222">
        <f t="shared" si="15"/>
        <v>0</v>
      </c>
      <c r="E222">
        <f t="shared" si="16"/>
        <v>0</v>
      </c>
      <c r="G222">
        <f t="shared" ca="1" si="17"/>
        <v>220</v>
      </c>
      <c r="H222">
        <f t="shared" ca="1" si="18"/>
        <v>0</v>
      </c>
      <c r="I222">
        <f t="shared" ca="1" si="19"/>
        <v>0</v>
      </c>
    </row>
    <row r="223" spans="1:9">
      <c r="A223" s="66">
        <v>0</v>
      </c>
      <c r="B223" s="66">
        <v>0</v>
      </c>
      <c r="D223">
        <f t="shared" si="15"/>
        <v>0</v>
      </c>
      <c r="E223">
        <f t="shared" si="16"/>
        <v>0</v>
      </c>
      <c r="G223">
        <f t="shared" ca="1" si="17"/>
        <v>221</v>
      </c>
      <c r="H223">
        <f t="shared" ca="1" si="18"/>
        <v>0</v>
      </c>
      <c r="I223">
        <f t="shared" ca="1" si="19"/>
        <v>0</v>
      </c>
    </row>
    <row r="224" spans="1:9">
      <c r="A224" s="66">
        <v>0</v>
      </c>
      <c r="B224" s="66">
        <v>0</v>
      </c>
      <c r="D224">
        <f t="shared" si="15"/>
        <v>0</v>
      </c>
      <c r="E224">
        <f t="shared" si="16"/>
        <v>0</v>
      </c>
      <c r="G224">
        <f t="shared" ca="1" si="17"/>
        <v>222</v>
      </c>
      <c r="H224">
        <f t="shared" ca="1" si="18"/>
        <v>0</v>
      </c>
      <c r="I224">
        <f t="shared" ca="1" si="19"/>
        <v>0</v>
      </c>
    </row>
    <row r="225" spans="1:9">
      <c r="A225" s="66">
        <v>0</v>
      </c>
      <c r="B225" s="66">
        <v>0</v>
      </c>
      <c r="D225">
        <f t="shared" si="15"/>
        <v>0</v>
      </c>
      <c r="E225">
        <f t="shared" si="16"/>
        <v>0</v>
      </c>
      <c r="G225">
        <f t="shared" ca="1" si="17"/>
        <v>223</v>
      </c>
      <c r="H225">
        <f t="shared" ca="1" si="18"/>
        <v>0</v>
      </c>
      <c r="I225">
        <f t="shared" ca="1" si="19"/>
        <v>0</v>
      </c>
    </row>
    <row r="226" spans="1:9">
      <c r="A226" s="66">
        <v>0</v>
      </c>
      <c r="B226" s="66">
        <v>0</v>
      </c>
      <c r="D226">
        <f t="shared" si="15"/>
        <v>0</v>
      </c>
      <c r="E226">
        <f t="shared" si="16"/>
        <v>0</v>
      </c>
      <c r="G226">
        <f t="shared" ca="1" si="17"/>
        <v>224</v>
      </c>
      <c r="H226">
        <f t="shared" ca="1" si="18"/>
        <v>0</v>
      </c>
      <c r="I226">
        <f t="shared" ca="1" si="19"/>
        <v>0</v>
      </c>
    </row>
    <row r="227" spans="1:9">
      <c r="A227" s="66">
        <v>0</v>
      </c>
      <c r="B227" s="66">
        <v>0</v>
      </c>
      <c r="D227">
        <f t="shared" si="15"/>
        <v>0</v>
      </c>
      <c r="E227">
        <f t="shared" si="16"/>
        <v>0</v>
      </c>
      <c r="G227">
        <f t="shared" ca="1" si="17"/>
        <v>225</v>
      </c>
      <c r="H227">
        <f t="shared" ca="1" si="18"/>
        <v>0</v>
      </c>
      <c r="I227">
        <f t="shared" ca="1" si="19"/>
        <v>0</v>
      </c>
    </row>
    <row r="228" spans="1:9">
      <c r="A228" s="66">
        <v>0</v>
      </c>
      <c r="B228" s="66">
        <v>0</v>
      </c>
      <c r="D228">
        <f t="shared" si="15"/>
        <v>0</v>
      </c>
      <c r="E228">
        <f t="shared" si="16"/>
        <v>0</v>
      </c>
      <c r="G228">
        <f t="shared" ca="1" si="17"/>
        <v>226</v>
      </c>
      <c r="H228">
        <f t="shared" ca="1" si="18"/>
        <v>0</v>
      </c>
      <c r="I228">
        <f t="shared" ca="1" si="19"/>
        <v>0</v>
      </c>
    </row>
    <row r="229" spans="1:9">
      <c r="A229" s="66">
        <v>0</v>
      </c>
      <c r="B229" s="66">
        <v>0</v>
      </c>
      <c r="D229">
        <f t="shared" si="15"/>
        <v>0</v>
      </c>
      <c r="E229">
        <f t="shared" si="16"/>
        <v>0</v>
      </c>
      <c r="G229">
        <f t="shared" ca="1" si="17"/>
        <v>227</v>
      </c>
      <c r="H229">
        <f t="shared" ca="1" si="18"/>
        <v>0</v>
      </c>
      <c r="I229">
        <f t="shared" ca="1" si="19"/>
        <v>0</v>
      </c>
    </row>
    <row r="230" spans="1:9">
      <c r="A230" s="66">
        <v>0</v>
      </c>
      <c r="B230" s="66">
        <v>0</v>
      </c>
      <c r="D230">
        <f t="shared" si="15"/>
        <v>0</v>
      </c>
      <c r="E230">
        <f t="shared" si="16"/>
        <v>0</v>
      </c>
      <c r="G230">
        <f t="shared" ca="1" si="17"/>
        <v>228</v>
      </c>
      <c r="H230">
        <f t="shared" ca="1" si="18"/>
        <v>0</v>
      </c>
      <c r="I230">
        <f t="shared" ca="1" si="19"/>
        <v>0</v>
      </c>
    </row>
    <row r="231" spans="1:9">
      <c r="A231" s="66">
        <v>0</v>
      </c>
      <c r="B231" s="66">
        <v>0</v>
      </c>
      <c r="D231">
        <f t="shared" si="15"/>
        <v>0</v>
      </c>
      <c r="E231">
        <f t="shared" si="16"/>
        <v>0</v>
      </c>
      <c r="G231">
        <f t="shared" ca="1" si="17"/>
        <v>229</v>
      </c>
      <c r="H231">
        <f t="shared" ca="1" si="18"/>
        <v>0</v>
      </c>
      <c r="I231">
        <f t="shared" ca="1" si="19"/>
        <v>0</v>
      </c>
    </row>
    <row r="232" spans="1:9">
      <c r="A232" s="66">
        <v>0</v>
      </c>
      <c r="B232" s="66">
        <v>0</v>
      </c>
      <c r="D232">
        <f t="shared" si="15"/>
        <v>0</v>
      </c>
      <c r="E232">
        <f t="shared" si="16"/>
        <v>0</v>
      </c>
      <c r="G232">
        <f t="shared" ca="1" si="17"/>
        <v>230</v>
      </c>
      <c r="H232">
        <f t="shared" ca="1" si="18"/>
        <v>0</v>
      </c>
      <c r="I232">
        <f t="shared" ca="1" si="19"/>
        <v>0</v>
      </c>
    </row>
    <row r="233" spans="1:9">
      <c r="A233" s="66">
        <v>0</v>
      </c>
      <c r="B233" s="66">
        <v>0</v>
      </c>
      <c r="D233">
        <f t="shared" si="15"/>
        <v>0</v>
      </c>
      <c r="E233">
        <f t="shared" si="16"/>
        <v>0</v>
      </c>
      <c r="G233">
        <f t="shared" ca="1" si="17"/>
        <v>231</v>
      </c>
      <c r="H233">
        <f t="shared" ca="1" si="18"/>
        <v>0</v>
      </c>
      <c r="I233">
        <f t="shared" ca="1" si="19"/>
        <v>0</v>
      </c>
    </row>
    <row r="234" spans="1:9">
      <c r="A234" s="66">
        <v>0</v>
      </c>
      <c r="B234" s="66">
        <v>0</v>
      </c>
      <c r="D234">
        <f t="shared" si="15"/>
        <v>0</v>
      </c>
      <c r="E234">
        <f t="shared" si="16"/>
        <v>0</v>
      </c>
      <c r="G234">
        <f t="shared" ca="1" si="17"/>
        <v>232</v>
      </c>
      <c r="H234">
        <f t="shared" ca="1" si="18"/>
        <v>0</v>
      </c>
      <c r="I234">
        <f t="shared" ca="1" si="19"/>
        <v>0</v>
      </c>
    </row>
    <row r="235" spans="1:9">
      <c r="A235" s="66">
        <v>0</v>
      </c>
      <c r="B235" s="66">
        <v>0</v>
      </c>
      <c r="D235">
        <f t="shared" si="15"/>
        <v>0</v>
      </c>
      <c r="E235">
        <f t="shared" si="16"/>
        <v>0</v>
      </c>
      <c r="G235">
        <f t="shared" ca="1" si="17"/>
        <v>233</v>
      </c>
      <c r="H235">
        <f t="shared" ca="1" si="18"/>
        <v>0</v>
      </c>
      <c r="I235">
        <f t="shared" ca="1" si="19"/>
        <v>0</v>
      </c>
    </row>
    <row r="236" spans="1:9">
      <c r="A236" s="66">
        <v>0</v>
      </c>
      <c r="B236" s="66">
        <v>0</v>
      </c>
      <c r="D236">
        <f t="shared" si="15"/>
        <v>0</v>
      </c>
      <c r="E236">
        <f t="shared" si="16"/>
        <v>0</v>
      </c>
      <c r="G236">
        <f t="shared" ca="1" si="17"/>
        <v>234</v>
      </c>
      <c r="H236">
        <f t="shared" ca="1" si="18"/>
        <v>0</v>
      </c>
      <c r="I236">
        <f t="shared" ca="1" si="19"/>
        <v>0</v>
      </c>
    </row>
    <row r="237" spans="1:9">
      <c r="A237" s="66">
        <v>0</v>
      </c>
      <c r="B237" s="66">
        <v>0</v>
      </c>
      <c r="D237">
        <f t="shared" si="15"/>
        <v>0</v>
      </c>
      <c r="E237">
        <f t="shared" si="16"/>
        <v>0</v>
      </c>
      <c r="G237">
        <f t="shared" ca="1" si="17"/>
        <v>235</v>
      </c>
      <c r="H237">
        <f t="shared" ca="1" si="18"/>
        <v>0</v>
      </c>
      <c r="I237">
        <f t="shared" ca="1" si="19"/>
        <v>0</v>
      </c>
    </row>
    <row r="238" spans="1:9">
      <c r="A238" s="66">
        <v>0</v>
      </c>
      <c r="B238" s="66">
        <v>0</v>
      </c>
      <c r="D238">
        <f t="shared" si="15"/>
        <v>0</v>
      </c>
      <c r="E238">
        <f t="shared" si="16"/>
        <v>0</v>
      </c>
      <c r="G238">
        <f t="shared" ca="1" si="17"/>
        <v>236</v>
      </c>
      <c r="H238">
        <f t="shared" ca="1" si="18"/>
        <v>0</v>
      </c>
      <c r="I238">
        <f t="shared" ca="1" si="19"/>
        <v>0</v>
      </c>
    </row>
    <row r="239" spans="1:9">
      <c r="A239" s="66">
        <v>0</v>
      </c>
      <c r="B239" s="66">
        <v>0</v>
      </c>
      <c r="D239">
        <f t="shared" si="15"/>
        <v>0</v>
      </c>
      <c r="E239">
        <f t="shared" si="16"/>
        <v>0</v>
      </c>
      <c r="G239">
        <f t="shared" ca="1" si="17"/>
        <v>237</v>
      </c>
      <c r="H239">
        <f t="shared" ca="1" si="18"/>
        <v>0</v>
      </c>
      <c r="I239">
        <f t="shared" ca="1" si="19"/>
        <v>0</v>
      </c>
    </row>
    <row r="240" spans="1:9">
      <c r="A240" s="66">
        <v>0</v>
      </c>
      <c r="B240" s="66">
        <v>0</v>
      </c>
      <c r="D240">
        <f t="shared" si="15"/>
        <v>0</v>
      </c>
      <c r="E240">
        <f t="shared" si="16"/>
        <v>0</v>
      </c>
      <c r="G240">
        <f t="shared" ca="1" si="17"/>
        <v>238</v>
      </c>
      <c r="H240">
        <f t="shared" ca="1" si="18"/>
        <v>0</v>
      </c>
      <c r="I240">
        <f t="shared" ca="1" si="19"/>
        <v>0</v>
      </c>
    </row>
    <row r="241" spans="1:9">
      <c r="A241" s="66">
        <v>0</v>
      </c>
      <c r="B241" s="66">
        <v>0</v>
      </c>
      <c r="D241">
        <f t="shared" si="15"/>
        <v>0</v>
      </c>
      <c r="E241">
        <f t="shared" si="16"/>
        <v>0</v>
      </c>
      <c r="G241">
        <f t="shared" ca="1" si="17"/>
        <v>239</v>
      </c>
      <c r="H241">
        <f t="shared" ca="1" si="18"/>
        <v>0</v>
      </c>
      <c r="I241">
        <f t="shared" ca="1" si="19"/>
        <v>0</v>
      </c>
    </row>
    <row r="242" spans="1:9">
      <c r="A242" s="66">
        <v>0</v>
      </c>
      <c r="B242" s="66">
        <v>0</v>
      </c>
      <c r="D242">
        <f t="shared" si="15"/>
        <v>0</v>
      </c>
      <c r="E242">
        <f t="shared" si="16"/>
        <v>0</v>
      </c>
      <c r="G242">
        <f t="shared" ca="1" si="17"/>
        <v>240</v>
      </c>
      <c r="H242">
        <f t="shared" ca="1" si="18"/>
        <v>0</v>
      </c>
      <c r="I242">
        <f t="shared" ca="1" si="19"/>
        <v>0</v>
      </c>
    </row>
    <row r="243" spans="1:9">
      <c r="A243" s="66">
        <v>0</v>
      </c>
      <c r="B243" s="66">
        <v>0</v>
      </c>
      <c r="D243">
        <f t="shared" si="15"/>
        <v>0</v>
      </c>
      <c r="E243">
        <f t="shared" si="16"/>
        <v>0</v>
      </c>
      <c r="G243">
        <f t="shared" ca="1" si="17"/>
        <v>241</v>
      </c>
      <c r="H243">
        <f t="shared" ca="1" si="18"/>
        <v>0</v>
      </c>
      <c r="I243">
        <f t="shared" ca="1" si="19"/>
        <v>0</v>
      </c>
    </row>
    <row r="244" spans="1:9">
      <c r="A244" s="66">
        <v>0</v>
      </c>
      <c r="B244" s="66">
        <v>0</v>
      </c>
      <c r="D244">
        <f t="shared" si="15"/>
        <v>0</v>
      </c>
      <c r="E244">
        <f t="shared" si="16"/>
        <v>0</v>
      </c>
      <c r="G244">
        <f t="shared" ca="1" si="17"/>
        <v>242</v>
      </c>
      <c r="H244">
        <f t="shared" ca="1" si="18"/>
        <v>0</v>
      </c>
      <c r="I244">
        <f t="shared" ca="1" si="19"/>
        <v>0</v>
      </c>
    </row>
    <row r="245" spans="1:9">
      <c r="A245" s="66">
        <v>0</v>
      </c>
      <c r="B245" s="66">
        <v>0</v>
      </c>
      <c r="D245">
        <f t="shared" si="15"/>
        <v>0</v>
      </c>
      <c r="E245">
        <f t="shared" si="16"/>
        <v>0</v>
      </c>
      <c r="G245">
        <f t="shared" ca="1" si="17"/>
        <v>243</v>
      </c>
      <c r="H245">
        <f t="shared" ca="1" si="18"/>
        <v>0</v>
      </c>
      <c r="I245">
        <f t="shared" ca="1" si="19"/>
        <v>0</v>
      </c>
    </row>
    <row r="246" spans="1:9">
      <c r="A246" s="66">
        <v>0</v>
      </c>
      <c r="B246" s="66">
        <v>0</v>
      </c>
      <c r="D246">
        <f t="shared" si="15"/>
        <v>0</v>
      </c>
      <c r="E246">
        <f t="shared" si="16"/>
        <v>0</v>
      </c>
      <c r="G246">
        <f t="shared" ca="1" si="17"/>
        <v>244</v>
      </c>
      <c r="H246">
        <f t="shared" ca="1" si="18"/>
        <v>0</v>
      </c>
      <c r="I246">
        <f t="shared" ca="1" si="19"/>
        <v>0</v>
      </c>
    </row>
    <row r="247" spans="1:9">
      <c r="A247" s="66">
        <v>0</v>
      </c>
      <c r="B247" s="66">
        <v>0</v>
      </c>
      <c r="D247">
        <f t="shared" si="15"/>
        <v>0</v>
      </c>
      <c r="E247">
        <f t="shared" si="16"/>
        <v>0</v>
      </c>
      <c r="G247">
        <f t="shared" ca="1" si="17"/>
        <v>245</v>
      </c>
      <c r="H247">
        <f t="shared" ca="1" si="18"/>
        <v>0</v>
      </c>
      <c r="I247">
        <f t="shared" ca="1" si="19"/>
        <v>0</v>
      </c>
    </row>
    <row r="248" spans="1:9">
      <c r="A248" s="66">
        <v>0</v>
      </c>
      <c r="B248" s="66">
        <v>0</v>
      </c>
      <c r="D248">
        <f t="shared" si="15"/>
        <v>0</v>
      </c>
      <c r="E248">
        <f t="shared" si="16"/>
        <v>0</v>
      </c>
      <c r="G248">
        <f t="shared" ca="1" si="17"/>
        <v>246</v>
      </c>
      <c r="H248">
        <f t="shared" ca="1" si="18"/>
        <v>0</v>
      </c>
      <c r="I248">
        <f t="shared" ca="1" si="19"/>
        <v>0</v>
      </c>
    </row>
    <row r="249" spans="1:9">
      <c r="A249" s="66">
        <v>0</v>
      </c>
      <c r="B249" s="66">
        <v>0</v>
      </c>
      <c r="D249">
        <f t="shared" si="15"/>
        <v>0</v>
      </c>
      <c r="E249">
        <f t="shared" si="16"/>
        <v>0</v>
      </c>
      <c r="G249">
        <f t="shared" ca="1" si="17"/>
        <v>247</v>
      </c>
      <c r="H249">
        <f t="shared" ca="1" si="18"/>
        <v>0</v>
      </c>
      <c r="I249">
        <f t="shared" ca="1" si="19"/>
        <v>0</v>
      </c>
    </row>
    <row r="250" spans="1:9">
      <c r="A250" s="66">
        <v>0</v>
      </c>
      <c r="B250" s="66">
        <v>0</v>
      </c>
      <c r="D250">
        <f t="shared" si="15"/>
        <v>0</v>
      </c>
      <c r="E250">
        <f t="shared" si="16"/>
        <v>0</v>
      </c>
      <c r="G250">
        <f t="shared" ca="1" si="17"/>
        <v>248</v>
      </c>
      <c r="H250">
        <f t="shared" ca="1" si="18"/>
        <v>0</v>
      </c>
      <c r="I250">
        <f t="shared" ca="1" si="19"/>
        <v>0</v>
      </c>
    </row>
    <row r="251" spans="1:9">
      <c r="A251" s="66">
        <v>0</v>
      </c>
      <c r="B251" s="66">
        <v>0</v>
      </c>
      <c r="D251">
        <f t="shared" si="15"/>
        <v>0</v>
      </c>
      <c r="E251">
        <f t="shared" si="16"/>
        <v>0</v>
      </c>
      <c r="G251">
        <f t="shared" ca="1" si="17"/>
        <v>249</v>
      </c>
      <c r="H251">
        <f t="shared" ca="1" si="18"/>
        <v>0</v>
      </c>
      <c r="I251">
        <f t="shared" ca="1" si="19"/>
        <v>0</v>
      </c>
    </row>
    <row r="252" spans="1:9">
      <c r="A252" s="66">
        <v>0</v>
      </c>
      <c r="B252" s="66">
        <v>0</v>
      </c>
      <c r="D252">
        <f t="shared" si="15"/>
        <v>0</v>
      </c>
      <c r="E252">
        <f t="shared" si="16"/>
        <v>0</v>
      </c>
      <c r="G252">
        <f t="shared" ca="1" si="17"/>
        <v>250</v>
      </c>
      <c r="H252">
        <f t="shared" ca="1" si="18"/>
        <v>0</v>
      </c>
      <c r="I252">
        <f t="shared" ca="1" si="19"/>
        <v>0</v>
      </c>
    </row>
    <row r="253" spans="1:9">
      <c r="A253" s="66">
        <v>0</v>
      </c>
      <c r="B253" s="66">
        <v>0</v>
      </c>
      <c r="D253">
        <f t="shared" si="15"/>
        <v>0</v>
      </c>
      <c r="E253">
        <f t="shared" si="16"/>
        <v>0</v>
      </c>
      <c r="G253">
        <f t="shared" ca="1" si="17"/>
        <v>251</v>
      </c>
      <c r="H253">
        <f t="shared" ca="1" si="18"/>
        <v>0</v>
      </c>
      <c r="I253">
        <f t="shared" ca="1" si="19"/>
        <v>0</v>
      </c>
    </row>
    <row r="254" spans="1:9">
      <c r="A254" s="66">
        <v>0</v>
      </c>
      <c r="B254" s="66">
        <v>0</v>
      </c>
      <c r="D254">
        <f t="shared" si="15"/>
        <v>0</v>
      </c>
      <c r="E254">
        <f t="shared" si="16"/>
        <v>0</v>
      </c>
      <c r="G254">
        <f t="shared" ca="1" si="17"/>
        <v>252</v>
      </c>
      <c r="H254">
        <f t="shared" ca="1" si="18"/>
        <v>0</v>
      </c>
      <c r="I254">
        <f t="shared" ca="1" si="19"/>
        <v>0</v>
      </c>
    </row>
    <row r="255" spans="1:9">
      <c r="A255" s="66">
        <v>0</v>
      </c>
      <c r="B255" s="66">
        <v>0</v>
      </c>
      <c r="D255">
        <f t="shared" si="15"/>
        <v>0</v>
      </c>
      <c r="E255">
        <f t="shared" si="16"/>
        <v>0</v>
      </c>
      <c r="G255">
        <f t="shared" ca="1" si="17"/>
        <v>253</v>
      </c>
      <c r="H255">
        <f t="shared" ca="1" si="18"/>
        <v>0</v>
      </c>
      <c r="I255">
        <f t="shared" ca="1" si="19"/>
        <v>0</v>
      </c>
    </row>
    <row r="256" spans="1:9">
      <c r="A256" s="66">
        <v>0</v>
      </c>
      <c r="B256" s="66">
        <v>0</v>
      </c>
      <c r="D256">
        <f t="shared" si="15"/>
        <v>0</v>
      </c>
      <c r="E256">
        <f t="shared" si="16"/>
        <v>0</v>
      </c>
      <c r="G256">
        <f t="shared" ca="1" si="17"/>
        <v>254</v>
      </c>
      <c r="H256">
        <f t="shared" ca="1" si="18"/>
        <v>0</v>
      </c>
      <c r="I256">
        <f t="shared" ca="1" si="19"/>
        <v>0</v>
      </c>
    </row>
    <row r="257" spans="1:9">
      <c r="A257" s="66">
        <v>0</v>
      </c>
      <c r="B257" s="66">
        <v>0</v>
      </c>
      <c r="D257">
        <f t="shared" si="15"/>
        <v>0</v>
      </c>
      <c r="E257">
        <f t="shared" si="16"/>
        <v>0</v>
      </c>
      <c r="G257">
        <f t="shared" ca="1" si="17"/>
        <v>255</v>
      </c>
      <c r="H257">
        <f t="shared" ca="1" si="18"/>
        <v>0</v>
      </c>
      <c r="I257">
        <f t="shared" ca="1" si="19"/>
        <v>0</v>
      </c>
    </row>
  </sheetData>
  <phoneticPr fontId="2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1122"/>
  <sheetViews>
    <sheetView workbookViewId="0"/>
  </sheetViews>
  <sheetFormatPr defaultColWidth="9.125" defaultRowHeight="13.5"/>
  <cols>
    <col min="1" max="4" width="9.125" style="19"/>
    <col min="5" max="5" width="20.875" style="19" customWidth="1"/>
    <col min="6" max="16384" width="9.125" style="19"/>
  </cols>
  <sheetData>
    <row r="1" spans="1:5">
      <c r="A1" s="68" t="s">
        <v>350</v>
      </c>
      <c r="B1" s="68" t="s">
        <v>351</v>
      </c>
      <c r="C1" s="32" t="s">
        <v>352</v>
      </c>
      <c r="D1" s="32" t="s">
        <v>353</v>
      </c>
      <c r="E1" s="32" t="s">
        <v>354</v>
      </c>
    </row>
    <row r="2" spans="1:5">
      <c r="A2" s="68">
        <v>0.17180400000000001</v>
      </c>
      <c r="B2" s="68">
        <v>0.63641400000000004</v>
      </c>
      <c r="C2" s="68">
        <v>0</v>
      </c>
      <c r="D2" s="68">
        <v>1</v>
      </c>
      <c r="E2" s="68" t="s">
        <v>355</v>
      </c>
    </row>
    <row r="3" spans="1:5">
      <c r="A3" s="68">
        <v>0.17619299999999999</v>
      </c>
      <c r="B3" s="68">
        <v>0.62920200000000004</v>
      </c>
      <c r="C3" s="68">
        <v>0.36250599999999999</v>
      </c>
      <c r="D3" s="89">
        <v>1</v>
      </c>
      <c r="E3" s="68" t="s">
        <v>356</v>
      </c>
    </row>
    <row r="4" spans="1:5">
      <c r="A4" s="68">
        <v>0.180619</v>
      </c>
      <c r="B4" s="68">
        <v>0.62155000000000005</v>
      </c>
      <c r="C4" s="68">
        <v>0.76910400000000001</v>
      </c>
      <c r="D4" s="89">
        <v>1</v>
      </c>
      <c r="E4" s="68" t="s">
        <v>357</v>
      </c>
    </row>
    <row r="5" spans="1:5">
      <c r="A5" s="89">
        <v>0.18493100000000001</v>
      </c>
      <c r="B5" s="89">
        <v>0.61371200000000004</v>
      </c>
      <c r="C5" s="89">
        <v>1.1715199999999999</v>
      </c>
      <c r="D5" s="89">
        <v>1</v>
      </c>
      <c r="E5" s="68" t="s">
        <v>358</v>
      </c>
    </row>
    <row r="6" spans="1:5">
      <c r="A6" s="68">
        <v>0.18915899999999999</v>
      </c>
      <c r="B6" s="68">
        <v>0.60558199999999995</v>
      </c>
      <c r="C6" s="68">
        <v>1.57918</v>
      </c>
      <c r="D6" s="68">
        <v>1</v>
      </c>
      <c r="E6" s="68" t="s">
        <v>359</v>
      </c>
    </row>
    <row r="7" spans="1:5">
      <c r="A7" s="68">
        <v>0.19325200000000001</v>
      </c>
      <c r="B7" s="68">
        <v>0.59765000000000001</v>
      </c>
      <c r="C7" s="68">
        <v>1.98584</v>
      </c>
      <c r="D7" s="68">
        <v>1</v>
      </c>
      <c r="E7" s="68" t="s">
        <v>360</v>
      </c>
    </row>
    <row r="8" spans="1:5">
      <c r="A8" s="68">
        <v>0.19722700000000001</v>
      </c>
      <c r="B8" s="68">
        <v>0.58959799999999996</v>
      </c>
      <c r="C8" s="68">
        <v>2.3920400000000002</v>
      </c>
      <c r="D8" s="68">
        <v>1</v>
      </c>
      <c r="E8" s="68" t="s">
        <v>361</v>
      </c>
    </row>
    <row r="9" spans="1:5">
      <c r="A9" s="68">
        <v>0.201122</v>
      </c>
      <c r="B9" s="68">
        <v>0.58121100000000003</v>
      </c>
      <c r="C9" s="68">
        <v>2.79976</v>
      </c>
      <c r="D9" s="68">
        <v>1</v>
      </c>
      <c r="E9" s="68" t="s">
        <v>362</v>
      </c>
    </row>
    <row r="10" spans="1:5">
      <c r="A10" s="68">
        <v>0.20497899999999999</v>
      </c>
      <c r="B10" s="68">
        <v>0.571662</v>
      </c>
      <c r="C10" s="68">
        <v>3.2027199999999998</v>
      </c>
      <c r="D10" s="68">
        <v>1</v>
      </c>
      <c r="E10" s="68" t="s">
        <v>363</v>
      </c>
    </row>
    <row r="11" spans="1:5">
      <c r="A11" s="68">
        <v>0.20885799999999999</v>
      </c>
      <c r="B11" s="68">
        <v>0.56082399999999999</v>
      </c>
      <c r="C11" s="68">
        <v>3.6143000000000001</v>
      </c>
      <c r="D11" s="68">
        <v>1</v>
      </c>
      <c r="E11" s="68" t="s">
        <v>364</v>
      </c>
    </row>
    <row r="12" spans="1:5">
      <c r="A12" s="68">
        <v>0.21273400000000001</v>
      </c>
      <c r="B12" s="68">
        <v>0.54947199999999996</v>
      </c>
      <c r="C12" s="68">
        <v>4.0155599999999998</v>
      </c>
      <c r="D12" s="68">
        <v>1</v>
      </c>
      <c r="E12" s="68" t="s">
        <v>365</v>
      </c>
    </row>
    <row r="13" spans="1:5">
      <c r="A13" s="68">
        <v>0.21656500000000001</v>
      </c>
      <c r="B13" s="68">
        <v>0.53837699999999999</v>
      </c>
      <c r="C13" s="68">
        <v>4.4212800000000003</v>
      </c>
      <c r="D13" s="68">
        <v>1</v>
      </c>
      <c r="E13" s="68" t="s">
        <v>366</v>
      </c>
    </row>
    <row r="14" spans="1:5">
      <c r="A14" s="68">
        <v>0.22031600000000001</v>
      </c>
      <c r="B14" s="68">
        <v>0.52732699999999999</v>
      </c>
      <c r="C14" s="68">
        <v>4.8272700000000004</v>
      </c>
      <c r="D14" s="68">
        <v>1</v>
      </c>
      <c r="E14" s="68" t="s">
        <v>367</v>
      </c>
    </row>
    <row r="15" spans="1:5">
      <c r="A15" s="68">
        <v>0.223995</v>
      </c>
      <c r="B15" s="68">
        <v>0.51715900000000004</v>
      </c>
      <c r="C15" s="68">
        <v>5.2350099999999999</v>
      </c>
      <c r="D15" s="68">
        <v>1</v>
      </c>
      <c r="E15" s="68" t="s">
        <v>368</v>
      </c>
    </row>
    <row r="16" spans="1:5">
      <c r="A16" s="68">
        <v>0.22751099999999999</v>
      </c>
      <c r="B16" s="68">
        <v>0.50764500000000001</v>
      </c>
      <c r="C16" s="68">
        <v>5.6456299999999997</v>
      </c>
      <c r="D16" s="68">
        <v>1</v>
      </c>
      <c r="E16" s="68" t="s">
        <v>369</v>
      </c>
    </row>
    <row r="17" spans="1:5">
      <c r="A17" s="68">
        <v>0.23094600000000001</v>
      </c>
      <c r="B17" s="68">
        <v>0.49862800000000002</v>
      </c>
      <c r="C17" s="68">
        <v>6.0480499999999999</v>
      </c>
      <c r="D17" s="68">
        <v>1</v>
      </c>
      <c r="E17" s="68" t="s">
        <v>370</v>
      </c>
    </row>
    <row r="18" spans="1:5">
      <c r="A18" s="68">
        <v>0.23450599999999999</v>
      </c>
      <c r="B18" s="68">
        <v>0.48927999999999999</v>
      </c>
      <c r="C18" s="68">
        <v>6.4538399999999996</v>
      </c>
      <c r="D18" s="68">
        <v>1</v>
      </c>
      <c r="E18" s="68" t="s">
        <v>371</v>
      </c>
    </row>
    <row r="19" spans="1:5">
      <c r="A19" s="68">
        <v>0.23799100000000001</v>
      </c>
      <c r="B19" s="68">
        <v>0.48089599999999999</v>
      </c>
      <c r="C19" s="68">
        <v>6.8617100000000004</v>
      </c>
      <c r="D19" s="68">
        <v>1</v>
      </c>
      <c r="E19" s="68" t="s">
        <v>372</v>
      </c>
    </row>
    <row r="20" spans="1:5">
      <c r="A20" s="68">
        <v>0.24138399999999999</v>
      </c>
      <c r="B20" s="68">
        <v>0.47274699999999997</v>
      </c>
      <c r="C20" s="68">
        <v>7.2690900000000003</v>
      </c>
      <c r="D20" s="68">
        <v>1</v>
      </c>
      <c r="E20" s="68" t="s">
        <v>373</v>
      </c>
    </row>
    <row r="21" spans="1:5">
      <c r="A21" s="68">
        <v>0.24466099999999999</v>
      </c>
      <c r="B21" s="68">
        <v>0.46473500000000001</v>
      </c>
      <c r="C21" s="68">
        <v>7.6730299999999998</v>
      </c>
      <c r="D21" s="68">
        <v>1</v>
      </c>
      <c r="E21" s="68" t="s">
        <v>374</v>
      </c>
    </row>
    <row r="22" spans="1:5">
      <c r="A22" s="68">
        <v>0.247755</v>
      </c>
      <c r="B22" s="68">
        <v>0.45749600000000001</v>
      </c>
      <c r="C22" s="68">
        <v>8.0785599999999995</v>
      </c>
      <c r="D22" s="68">
        <v>1</v>
      </c>
      <c r="E22" s="68" t="s">
        <v>375</v>
      </c>
    </row>
    <row r="23" spans="1:5">
      <c r="A23" s="68">
        <v>0.25090400000000002</v>
      </c>
      <c r="B23" s="68">
        <v>0.45058599999999999</v>
      </c>
      <c r="C23" s="68">
        <v>8.4827700000000004</v>
      </c>
      <c r="D23" s="68">
        <v>1</v>
      </c>
      <c r="E23" s="68" t="s">
        <v>376</v>
      </c>
    </row>
    <row r="24" spans="1:5">
      <c r="A24" s="68">
        <v>0.25404100000000002</v>
      </c>
      <c r="B24" s="68">
        <v>0.44351499999999999</v>
      </c>
      <c r="C24" s="68">
        <v>8.8942200000000007</v>
      </c>
      <c r="D24" s="68">
        <v>1</v>
      </c>
      <c r="E24" s="68" t="s">
        <v>377</v>
      </c>
    </row>
    <row r="25" spans="1:5">
      <c r="A25" s="68">
        <v>0.25704300000000002</v>
      </c>
      <c r="B25" s="68">
        <v>0.43638199999999999</v>
      </c>
      <c r="C25" s="68">
        <v>9.2958800000000004</v>
      </c>
      <c r="D25" s="68">
        <v>1</v>
      </c>
      <c r="E25" s="68" t="s">
        <v>378</v>
      </c>
    </row>
    <row r="26" spans="1:5">
      <c r="A26" s="68">
        <v>0.25993100000000002</v>
      </c>
      <c r="B26" s="68">
        <v>0.42949799999999999</v>
      </c>
      <c r="C26" s="68">
        <v>9.70397</v>
      </c>
      <c r="D26" s="68">
        <v>1</v>
      </c>
      <c r="E26" s="68" t="s">
        <v>379</v>
      </c>
    </row>
    <row r="27" spans="1:5">
      <c r="A27" s="68">
        <v>0.26290200000000002</v>
      </c>
      <c r="B27" s="68">
        <v>0.422653</v>
      </c>
      <c r="C27" s="68">
        <v>10.108700000000001</v>
      </c>
      <c r="D27" s="68">
        <v>1</v>
      </c>
      <c r="E27" s="68" t="s">
        <v>380</v>
      </c>
    </row>
    <row r="28" spans="1:5">
      <c r="A28" s="68">
        <v>0.26585900000000001</v>
      </c>
      <c r="B28" s="68">
        <v>0.415829</v>
      </c>
      <c r="C28" s="68">
        <v>10.5139</v>
      </c>
      <c r="D28" s="68">
        <v>1</v>
      </c>
      <c r="E28" s="68" t="s">
        <v>381</v>
      </c>
    </row>
    <row r="29" spans="1:5">
      <c r="A29" s="68">
        <v>0.26878099999999999</v>
      </c>
      <c r="B29" s="68">
        <v>0.40947899999999998</v>
      </c>
      <c r="C29" s="68">
        <v>10.923299999999999</v>
      </c>
      <c r="D29" s="68">
        <v>1</v>
      </c>
      <c r="E29" s="68" t="s">
        <v>382</v>
      </c>
    </row>
    <row r="30" spans="1:5">
      <c r="A30" s="68">
        <v>0.27148499999999998</v>
      </c>
      <c r="B30" s="68">
        <v>0.403949</v>
      </c>
      <c r="C30" s="68">
        <v>11.331899999999999</v>
      </c>
      <c r="D30" s="68">
        <v>1</v>
      </c>
      <c r="E30" s="68" t="s">
        <v>383</v>
      </c>
    </row>
    <row r="31" spans="1:5">
      <c r="A31" s="68">
        <v>0.274113</v>
      </c>
      <c r="B31" s="68">
        <v>0.39872400000000002</v>
      </c>
      <c r="C31" s="68">
        <v>11.7372</v>
      </c>
      <c r="D31" s="68">
        <v>1</v>
      </c>
      <c r="E31" s="68" t="s">
        <v>384</v>
      </c>
    </row>
    <row r="32" spans="1:5">
      <c r="A32" s="68">
        <v>0.27660499999999999</v>
      </c>
      <c r="B32" s="68">
        <v>0.39426699999999998</v>
      </c>
      <c r="C32" s="68">
        <v>12.139900000000001</v>
      </c>
      <c r="D32" s="68">
        <v>1</v>
      </c>
      <c r="E32" s="68" t="s">
        <v>385</v>
      </c>
    </row>
    <row r="33" spans="1:5">
      <c r="A33" s="68">
        <v>0.279144</v>
      </c>
      <c r="B33" s="68">
        <v>0.39016899999999999</v>
      </c>
      <c r="C33" s="68">
        <v>12.545500000000001</v>
      </c>
      <c r="D33" s="68">
        <v>1</v>
      </c>
      <c r="E33" s="68" t="s">
        <v>386</v>
      </c>
    </row>
    <row r="34" spans="1:5">
      <c r="A34" s="68">
        <v>0.28158899999999998</v>
      </c>
      <c r="B34" s="68">
        <v>0.38631300000000002</v>
      </c>
      <c r="C34" s="68">
        <v>12.952299999999999</v>
      </c>
      <c r="D34" s="68">
        <v>1</v>
      </c>
      <c r="E34" s="68" t="s">
        <v>387</v>
      </c>
    </row>
    <row r="35" spans="1:5">
      <c r="A35" s="68">
        <v>0.28378100000000001</v>
      </c>
      <c r="B35" s="68">
        <v>0.38302000000000003</v>
      </c>
      <c r="C35" s="68">
        <v>13.362500000000001</v>
      </c>
      <c r="D35" s="68">
        <v>1</v>
      </c>
      <c r="E35" s="68" t="s">
        <v>388</v>
      </c>
    </row>
    <row r="36" spans="1:5">
      <c r="A36" s="68">
        <v>0.285665</v>
      </c>
      <c r="B36" s="68">
        <v>0.38038300000000003</v>
      </c>
      <c r="C36" s="68">
        <v>13.7652</v>
      </c>
      <c r="D36" s="68">
        <v>1</v>
      </c>
      <c r="E36" s="68" t="s">
        <v>389</v>
      </c>
    </row>
    <row r="37" spans="1:5">
      <c r="A37" s="68">
        <v>0.28734999999999999</v>
      </c>
      <c r="B37" s="68">
        <v>0.37825500000000001</v>
      </c>
      <c r="C37" s="68">
        <v>14.171900000000001</v>
      </c>
      <c r="D37" s="68">
        <v>1</v>
      </c>
      <c r="E37" s="68" t="s">
        <v>390</v>
      </c>
    </row>
    <row r="38" spans="1:5">
      <c r="A38" s="68">
        <v>0.28900999999999999</v>
      </c>
      <c r="B38" s="68">
        <v>0.37634499999999999</v>
      </c>
      <c r="C38" s="68">
        <v>14.578099999999999</v>
      </c>
      <c r="D38" s="68">
        <v>1</v>
      </c>
      <c r="E38" s="68" t="s">
        <v>391</v>
      </c>
    </row>
    <row r="39" spans="1:5">
      <c r="A39" s="68">
        <v>0.29055599999999998</v>
      </c>
      <c r="B39" s="68">
        <v>0.37471500000000002</v>
      </c>
      <c r="C39" s="68">
        <v>14.9833</v>
      </c>
      <c r="D39" s="68">
        <v>1</v>
      </c>
      <c r="E39" s="68" t="s">
        <v>392</v>
      </c>
    </row>
    <row r="40" spans="1:5">
      <c r="A40" s="68">
        <v>0.292097</v>
      </c>
      <c r="B40" s="68">
        <v>0.37321900000000002</v>
      </c>
      <c r="C40" s="68">
        <v>15.3917</v>
      </c>
      <c r="D40" s="68">
        <v>1</v>
      </c>
      <c r="E40" s="68" t="s">
        <v>393</v>
      </c>
    </row>
    <row r="41" spans="1:5">
      <c r="A41" s="68">
        <v>0.29386400000000001</v>
      </c>
      <c r="B41" s="68">
        <v>0.37157899999999999</v>
      </c>
      <c r="C41" s="68">
        <v>15.7981</v>
      </c>
      <c r="D41" s="68">
        <v>1</v>
      </c>
      <c r="E41" s="68" t="s">
        <v>394</v>
      </c>
    </row>
    <row r="42" spans="1:5">
      <c r="A42" s="68">
        <v>0.29572399999999999</v>
      </c>
      <c r="B42" s="68">
        <v>0.36973499999999998</v>
      </c>
      <c r="C42" s="68">
        <v>16.206700000000001</v>
      </c>
      <c r="D42" s="68">
        <v>1</v>
      </c>
      <c r="E42" s="68" t="s">
        <v>395</v>
      </c>
    </row>
    <row r="43" spans="1:5">
      <c r="A43" s="68">
        <v>0.29739599999999999</v>
      </c>
      <c r="B43" s="68">
        <v>0.36783700000000003</v>
      </c>
      <c r="C43" s="68">
        <v>16.608599999999999</v>
      </c>
      <c r="D43" s="68">
        <v>1</v>
      </c>
      <c r="E43" s="68" t="s">
        <v>396</v>
      </c>
    </row>
    <row r="44" spans="1:5">
      <c r="A44" s="68">
        <v>0.29917700000000003</v>
      </c>
      <c r="B44" s="68">
        <v>0.36546299999999998</v>
      </c>
      <c r="C44" s="68">
        <v>17.015999999999998</v>
      </c>
      <c r="D44" s="68">
        <v>1</v>
      </c>
      <c r="E44" s="68" t="s">
        <v>397</v>
      </c>
    </row>
    <row r="45" spans="1:5">
      <c r="A45" s="68">
        <v>0.30091600000000002</v>
      </c>
      <c r="B45" s="68">
        <v>0.363209</v>
      </c>
      <c r="C45" s="68">
        <v>17.420200000000001</v>
      </c>
      <c r="D45" s="68">
        <v>1</v>
      </c>
      <c r="E45" s="68" t="s">
        <v>398</v>
      </c>
    </row>
    <row r="46" spans="1:5">
      <c r="A46" s="68">
        <v>0.30260500000000001</v>
      </c>
      <c r="B46" s="68">
        <v>0.36163299999999998</v>
      </c>
      <c r="C46" s="68">
        <v>17.828700000000001</v>
      </c>
      <c r="D46" s="68">
        <v>1</v>
      </c>
      <c r="E46" s="68" t="s">
        <v>399</v>
      </c>
    </row>
    <row r="47" spans="1:5">
      <c r="A47" s="68">
        <v>0.304703</v>
      </c>
      <c r="B47" s="68">
        <v>0.359707</v>
      </c>
      <c r="C47" s="68">
        <v>18.2347</v>
      </c>
      <c r="D47" s="68">
        <v>1</v>
      </c>
      <c r="E47" s="68" t="s">
        <v>400</v>
      </c>
    </row>
    <row r="48" spans="1:5">
      <c r="A48" s="68">
        <v>0.30673899999999998</v>
      </c>
      <c r="B48" s="68">
        <v>0.35802299999999998</v>
      </c>
      <c r="C48" s="68">
        <v>18.6387</v>
      </c>
      <c r="D48" s="68">
        <v>1</v>
      </c>
      <c r="E48" s="68" t="s">
        <v>401</v>
      </c>
    </row>
    <row r="49" spans="1:5">
      <c r="A49" s="68">
        <v>0.30878</v>
      </c>
      <c r="B49" s="68">
        <v>0.35682599999999998</v>
      </c>
      <c r="C49" s="68">
        <v>19.046700000000001</v>
      </c>
      <c r="D49" s="68">
        <v>1</v>
      </c>
      <c r="E49" s="68" t="s">
        <v>402</v>
      </c>
    </row>
    <row r="50" spans="1:5">
      <c r="A50" s="68">
        <v>0.31073899999999999</v>
      </c>
      <c r="B50" s="68">
        <v>0.35597800000000002</v>
      </c>
      <c r="C50" s="68">
        <v>19.451599999999999</v>
      </c>
      <c r="D50" s="68">
        <v>1</v>
      </c>
      <c r="E50" s="68" t="s">
        <v>403</v>
      </c>
    </row>
    <row r="51" spans="1:5">
      <c r="A51" s="68">
        <v>0.31253399999999998</v>
      </c>
      <c r="B51" s="68">
        <v>0.35561999999999999</v>
      </c>
      <c r="C51" s="68">
        <v>19.8644</v>
      </c>
      <c r="D51" s="68">
        <v>1</v>
      </c>
      <c r="E51" s="68" t="s">
        <v>404</v>
      </c>
    </row>
    <row r="52" spans="1:5">
      <c r="A52" s="68">
        <v>0.31368800000000002</v>
      </c>
      <c r="B52" s="68">
        <v>0.35558000000000001</v>
      </c>
      <c r="C52" s="68">
        <v>20.2681</v>
      </c>
      <c r="D52" s="68">
        <v>1</v>
      </c>
      <c r="E52" s="68" t="s">
        <v>405</v>
      </c>
    </row>
    <row r="53" spans="1:5">
      <c r="A53" s="68">
        <v>0.31508999999999998</v>
      </c>
      <c r="B53" s="68">
        <v>0.35581000000000002</v>
      </c>
      <c r="C53" s="68">
        <v>20.67</v>
      </c>
      <c r="D53" s="68">
        <v>1</v>
      </c>
      <c r="E53" s="68" t="s">
        <v>406</v>
      </c>
    </row>
    <row r="54" spans="1:5">
      <c r="A54" s="68">
        <v>0.31637999999999999</v>
      </c>
      <c r="B54" s="68">
        <v>0.35591200000000001</v>
      </c>
      <c r="C54" s="68">
        <v>21.075099999999999</v>
      </c>
      <c r="D54" s="68">
        <v>1</v>
      </c>
      <c r="E54" s="68" t="s">
        <v>407</v>
      </c>
    </row>
    <row r="55" spans="1:5">
      <c r="A55" s="68">
        <v>0.31775599999999998</v>
      </c>
      <c r="B55" s="68">
        <v>0.35625000000000001</v>
      </c>
      <c r="C55" s="68">
        <v>21.4862</v>
      </c>
      <c r="D55" s="68">
        <v>1</v>
      </c>
      <c r="E55" s="68" t="s">
        <v>408</v>
      </c>
    </row>
    <row r="56" spans="1:5">
      <c r="A56" s="68">
        <v>0.31900200000000001</v>
      </c>
      <c r="B56" s="68">
        <v>0.35666999999999999</v>
      </c>
      <c r="C56" s="68">
        <v>21.8919</v>
      </c>
      <c r="D56" s="68">
        <v>1</v>
      </c>
      <c r="E56" s="68" t="s">
        <v>409</v>
      </c>
    </row>
    <row r="57" spans="1:5">
      <c r="A57" s="68">
        <v>0.320272</v>
      </c>
      <c r="B57" s="68">
        <v>0.356908</v>
      </c>
      <c r="C57" s="68">
        <v>22.299199999999999</v>
      </c>
      <c r="D57" s="68">
        <v>1</v>
      </c>
      <c r="E57" s="68" t="s">
        <v>410</v>
      </c>
    </row>
    <row r="58" spans="1:5">
      <c r="A58" s="68">
        <v>0.32152900000000001</v>
      </c>
      <c r="B58" s="68">
        <v>0.35728399999999999</v>
      </c>
      <c r="C58" s="68">
        <v>22.7029</v>
      </c>
      <c r="D58" s="68">
        <v>1</v>
      </c>
      <c r="E58" s="68" t="s">
        <v>411</v>
      </c>
    </row>
    <row r="59" spans="1:5">
      <c r="A59" s="68">
        <v>0.32261400000000001</v>
      </c>
      <c r="B59" s="68">
        <v>0.35815900000000001</v>
      </c>
      <c r="C59" s="68">
        <v>23.1083</v>
      </c>
      <c r="D59" s="68">
        <v>1</v>
      </c>
      <c r="E59" s="68" t="s">
        <v>412</v>
      </c>
    </row>
    <row r="60" spans="1:5">
      <c r="A60" s="68">
        <v>0.32358799999999999</v>
      </c>
      <c r="B60" s="68">
        <v>0.35932900000000001</v>
      </c>
      <c r="C60" s="68">
        <v>23.515499999999999</v>
      </c>
      <c r="D60" s="68">
        <v>1</v>
      </c>
      <c r="E60" s="68" t="s">
        <v>413</v>
      </c>
    </row>
    <row r="61" spans="1:5">
      <c r="A61" s="68">
        <v>0.32444299999999998</v>
      </c>
      <c r="B61" s="68">
        <v>0.35980800000000002</v>
      </c>
      <c r="C61" s="68">
        <v>23.9206</v>
      </c>
      <c r="D61" s="68">
        <v>1</v>
      </c>
      <c r="E61" s="68" t="s">
        <v>414</v>
      </c>
    </row>
    <row r="62" spans="1:5">
      <c r="A62" s="68">
        <v>0.325318</v>
      </c>
      <c r="B62" s="68">
        <v>0.36036099999999999</v>
      </c>
      <c r="C62" s="68">
        <v>24.328600000000002</v>
      </c>
      <c r="D62" s="68">
        <v>1</v>
      </c>
      <c r="E62" s="68" t="s">
        <v>415</v>
      </c>
    </row>
    <row r="63" spans="1:5">
      <c r="A63" s="68">
        <v>0.32634200000000002</v>
      </c>
      <c r="B63" s="68">
        <v>0.36079600000000001</v>
      </c>
      <c r="C63" s="68">
        <v>24.7348</v>
      </c>
      <c r="D63" s="68">
        <v>1</v>
      </c>
      <c r="E63" s="68" t="s">
        <v>416</v>
      </c>
    </row>
    <row r="64" spans="1:5">
      <c r="A64" s="68">
        <v>0.32750499999999999</v>
      </c>
      <c r="B64" s="68">
        <v>0.36134899999999998</v>
      </c>
      <c r="C64" s="68">
        <v>25.145199999999999</v>
      </c>
      <c r="D64" s="68">
        <v>1</v>
      </c>
      <c r="E64" s="68" t="s">
        <v>417</v>
      </c>
    </row>
    <row r="65" spans="1:5">
      <c r="A65" s="68">
        <v>0.32862400000000003</v>
      </c>
      <c r="B65" s="68">
        <v>0.36165900000000001</v>
      </c>
      <c r="C65" s="68">
        <v>25.549800000000001</v>
      </c>
      <c r="D65" s="68">
        <v>1</v>
      </c>
      <c r="E65" s="68" t="s">
        <v>418</v>
      </c>
    </row>
    <row r="66" spans="1:5">
      <c r="A66" s="68">
        <v>0.32949099999999998</v>
      </c>
      <c r="B66" s="68">
        <v>0.36263600000000001</v>
      </c>
      <c r="C66" s="68">
        <v>25.952500000000001</v>
      </c>
      <c r="D66" s="68">
        <v>1</v>
      </c>
      <c r="E66" s="68" t="s">
        <v>419</v>
      </c>
    </row>
    <row r="67" spans="1:5">
      <c r="A67" s="68">
        <v>0.33028400000000002</v>
      </c>
      <c r="B67" s="68">
        <v>0.363896</v>
      </c>
      <c r="C67" s="68">
        <v>26.363700000000001</v>
      </c>
      <c r="D67" s="68">
        <v>1</v>
      </c>
      <c r="E67" s="68" t="s">
        <v>420</v>
      </c>
    </row>
    <row r="68" spans="1:5">
      <c r="A68" s="68">
        <v>0.33111299999999999</v>
      </c>
      <c r="B68" s="68">
        <v>0.365533</v>
      </c>
      <c r="C68" s="68">
        <v>26.765799999999999</v>
      </c>
      <c r="D68" s="68">
        <v>1</v>
      </c>
      <c r="E68" s="68" t="s">
        <v>421</v>
      </c>
    </row>
    <row r="69" spans="1:5">
      <c r="A69" s="68">
        <v>0.33176499999999998</v>
      </c>
      <c r="B69" s="68">
        <v>0.36757400000000001</v>
      </c>
      <c r="C69" s="68">
        <v>27.170200000000001</v>
      </c>
      <c r="D69" s="68">
        <v>1</v>
      </c>
      <c r="E69" s="68" t="s">
        <v>422</v>
      </c>
    </row>
    <row r="70" spans="1:5">
      <c r="A70" s="68">
        <v>0.33261099999999999</v>
      </c>
      <c r="B70" s="68">
        <v>0.37027300000000002</v>
      </c>
      <c r="C70" s="68">
        <v>27.580400000000001</v>
      </c>
      <c r="D70" s="68">
        <v>1</v>
      </c>
      <c r="E70" s="68" t="s">
        <v>423</v>
      </c>
    </row>
    <row r="71" spans="1:5">
      <c r="A71" s="68">
        <v>0.333625</v>
      </c>
      <c r="B71" s="68">
        <v>0.37286200000000003</v>
      </c>
      <c r="C71" s="68">
        <v>27.983599999999999</v>
      </c>
      <c r="D71" s="68">
        <v>1</v>
      </c>
      <c r="E71" s="68" t="s">
        <v>424</v>
      </c>
    </row>
    <row r="72" spans="1:5">
      <c r="A72" s="68">
        <v>0.33468300000000001</v>
      </c>
      <c r="B72" s="68">
        <v>0.37476300000000001</v>
      </c>
      <c r="C72" s="68">
        <v>28.389500000000002</v>
      </c>
      <c r="D72" s="68">
        <v>1</v>
      </c>
      <c r="E72" s="68" t="s">
        <v>425</v>
      </c>
    </row>
    <row r="73" spans="1:5">
      <c r="A73" s="68">
        <v>0.33605299999999999</v>
      </c>
      <c r="B73" s="68">
        <v>0.37612499999999999</v>
      </c>
      <c r="C73" s="68">
        <v>28.7956</v>
      </c>
      <c r="D73" s="68">
        <v>1</v>
      </c>
      <c r="E73" s="68" t="s">
        <v>426</v>
      </c>
    </row>
    <row r="74" spans="1:5">
      <c r="A74" s="68">
        <v>0.33758899999999997</v>
      </c>
      <c r="B74" s="68">
        <v>0.37764500000000001</v>
      </c>
      <c r="C74" s="68">
        <v>29.203499999999998</v>
      </c>
      <c r="D74" s="68">
        <v>1</v>
      </c>
      <c r="E74" s="68" t="s">
        <v>427</v>
      </c>
    </row>
    <row r="75" spans="1:5">
      <c r="A75" s="68">
        <v>0.339252</v>
      </c>
      <c r="B75" s="68">
        <v>0.37922299999999998</v>
      </c>
      <c r="C75" s="68">
        <v>29.61</v>
      </c>
      <c r="D75" s="68">
        <v>1</v>
      </c>
      <c r="E75" s="68" t="s">
        <v>428</v>
      </c>
    </row>
    <row r="76" spans="1:5">
      <c r="A76" s="68">
        <v>0.34095999999999999</v>
      </c>
      <c r="B76" s="68">
        <v>0.38080000000000003</v>
      </c>
      <c r="C76" s="68">
        <v>30.014099999999999</v>
      </c>
      <c r="D76" s="68">
        <v>2</v>
      </c>
      <c r="E76" s="68" t="s">
        <v>429</v>
      </c>
    </row>
    <row r="77" spans="1:5">
      <c r="A77" s="68">
        <v>0.343308</v>
      </c>
      <c r="B77" s="68">
        <v>0.38342900000000002</v>
      </c>
      <c r="C77" s="68">
        <v>30.607800000000001</v>
      </c>
      <c r="D77" s="68">
        <v>2</v>
      </c>
      <c r="E77" s="68" t="s">
        <v>430</v>
      </c>
    </row>
    <row r="78" spans="1:5">
      <c r="A78" s="68">
        <v>0.34507199999999999</v>
      </c>
      <c r="B78" s="68">
        <v>0.38602599999999998</v>
      </c>
      <c r="C78" s="68">
        <v>30.982800000000001</v>
      </c>
      <c r="D78" s="68">
        <v>2</v>
      </c>
      <c r="E78" s="68" t="s">
        <v>431</v>
      </c>
    </row>
    <row r="79" spans="1:5">
      <c r="A79" s="68">
        <v>0.346779</v>
      </c>
      <c r="B79" s="68">
        <v>0.38839499999999999</v>
      </c>
      <c r="C79" s="68">
        <v>31.360499999999998</v>
      </c>
      <c r="D79" s="68">
        <v>2</v>
      </c>
      <c r="E79" s="68" t="s">
        <v>432</v>
      </c>
    </row>
    <row r="80" spans="1:5">
      <c r="A80" s="68">
        <v>0.348551</v>
      </c>
      <c r="B80" s="68">
        <v>0.39088800000000001</v>
      </c>
      <c r="C80" s="68">
        <v>31.734100000000002</v>
      </c>
      <c r="D80" s="68">
        <v>2</v>
      </c>
      <c r="E80" s="68" t="s">
        <v>433</v>
      </c>
    </row>
    <row r="81" spans="1:5">
      <c r="A81" s="68">
        <v>0.35019099999999997</v>
      </c>
      <c r="B81" s="68">
        <v>0.39391900000000002</v>
      </c>
      <c r="C81" s="68">
        <v>32.112000000000002</v>
      </c>
      <c r="D81" s="68">
        <v>2</v>
      </c>
      <c r="E81" s="68" t="s">
        <v>434</v>
      </c>
    </row>
    <row r="82" spans="1:5">
      <c r="A82" s="68">
        <v>0.35178100000000001</v>
      </c>
      <c r="B82" s="68">
        <v>0.39674300000000001</v>
      </c>
      <c r="C82" s="68">
        <v>32.5154</v>
      </c>
      <c r="D82" s="68">
        <v>2</v>
      </c>
      <c r="E82" s="68" t="s">
        <v>435</v>
      </c>
    </row>
    <row r="83" spans="1:5">
      <c r="A83" s="68">
        <v>0.35314600000000002</v>
      </c>
      <c r="B83" s="68">
        <v>0.39958399999999999</v>
      </c>
      <c r="C83" s="68">
        <v>32.921199999999999</v>
      </c>
      <c r="D83" s="68">
        <v>2</v>
      </c>
      <c r="E83" s="68" t="s">
        <v>436</v>
      </c>
    </row>
    <row r="84" spans="1:5">
      <c r="A84" s="68">
        <v>0.35470000000000002</v>
      </c>
      <c r="B84" s="68">
        <v>0.40227400000000002</v>
      </c>
      <c r="C84" s="68">
        <v>33.329700000000003</v>
      </c>
      <c r="D84" s="68">
        <v>2</v>
      </c>
      <c r="E84" s="68" t="s">
        <v>437</v>
      </c>
    </row>
    <row r="85" spans="1:5">
      <c r="A85" s="68">
        <v>0.35626799999999997</v>
      </c>
      <c r="B85" s="68">
        <v>0.40539199999999997</v>
      </c>
      <c r="C85" s="68">
        <v>33.734000000000002</v>
      </c>
      <c r="D85" s="68">
        <v>2</v>
      </c>
      <c r="E85" s="68" t="s">
        <v>438</v>
      </c>
    </row>
    <row r="86" spans="1:5">
      <c r="A86" s="68">
        <v>0.35795199999999999</v>
      </c>
      <c r="B86" s="68">
        <v>0.40852100000000002</v>
      </c>
      <c r="C86" s="68">
        <v>34.140099999999997</v>
      </c>
      <c r="D86" s="68">
        <v>2</v>
      </c>
      <c r="E86" s="68" t="s">
        <v>439</v>
      </c>
    </row>
    <row r="87" spans="1:5">
      <c r="A87" s="68">
        <v>0.35950300000000002</v>
      </c>
      <c r="B87" s="68">
        <v>0.41142499999999999</v>
      </c>
      <c r="C87" s="68">
        <v>34.549100000000003</v>
      </c>
      <c r="D87" s="68">
        <v>2</v>
      </c>
      <c r="E87" s="68" t="s">
        <v>440</v>
      </c>
    </row>
    <row r="88" spans="1:5">
      <c r="A88" s="68">
        <v>0.36074899999999999</v>
      </c>
      <c r="B88" s="68">
        <v>0.414184</v>
      </c>
      <c r="C88" s="68">
        <v>34.953400000000002</v>
      </c>
      <c r="D88" s="68">
        <v>2</v>
      </c>
      <c r="E88" s="68" t="s">
        <v>441</v>
      </c>
    </row>
    <row r="89" spans="1:5">
      <c r="A89" s="68">
        <v>0.36172100000000001</v>
      </c>
      <c r="B89" s="68">
        <v>0.417298</v>
      </c>
      <c r="C89" s="68">
        <v>35.361600000000003</v>
      </c>
      <c r="D89" s="68">
        <v>2</v>
      </c>
      <c r="E89" s="68" t="s">
        <v>442</v>
      </c>
    </row>
    <row r="90" spans="1:5">
      <c r="A90" s="68">
        <v>0.36247200000000002</v>
      </c>
      <c r="B90" s="68">
        <v>0.42024699999999998</v>
      </c>
      <c r="C90" s="68">
        <v>35.7652</v>
      </c>
      <c r="D90" s="68">
        <v>2</v>
      </c>
      <c r="E90" s="68" t="s">
        <v>443</v>
      </c>
    </row>
    <row r="91" spans="1:5">
      <c r="A91" s="68">
        <v>0.36296</v>
      </c>
      <c r="B91" s="68">
        <v>0.423211</v>
      </c>
      <c r="C91" s="68">
        <v>36.171500000000002</v>
      </c>
      <c r="D91" s="68">
        <v>2</v>
      </c>
      <c r="E91" s="68" t="s">
        <v>444</v>
      </c>
    </row>
    <row r="92" spans="1:5">
      <c r="A92" s="68">
        <v>0.36327199999999998</v>
      </c>
      <c r="B92" s="68">
        <v>0.42611300000000002</v>
      </c>
      <c r="C92" s="68">
        <v>36.5777</v>
      </c>
      <c r="D92" s="68">
        <v>2</v>
      </c>
      <c r="E92" s="68" t="s">
        <v>445</v>
      </c>
    </row>
    <row r="93" spans="1:5">
      <c r="A93" s="68">
        <v>0.36348900000000001</v>
      </c>
      <c r="B93" s="68">
        <v>0.429091</v>
      </c>
      <c r="C93" s="68">
        <v>36.987299999999998</v>
      </c>
      <c r="D93" s="68">
        <v>2</v>
      </c>
      <c r="E93" s="68" t="s">
        <v>446</v>
      </c>
    </row>
    <row r="94" spans="1:5">
      <c r="A94" s="68">
        <v>0.36352600000000002</v>
      </c>
      <c r="B94" s="68">
        <v>0.43178699999999998</v>
      </c>
      <c r="C94" s="68">
        <v>37.388199999999998</v>
      </c>
      <c r="D94" s="68">
        <v>2</v>
      </c>
      <c r="E94" s="68" t="s">
        <v>447</v>
      </c>
    </row>
    <row r="95" spans="1:5">
      <c r="A95" s="68">
        <v>0.363319</v>
      </c>
      <c r="B95" s="68">
        <v>0.434172</v>
      </c>
      <c r="C95" s="68">
        <v>37.797400000000003</v>
      </c>
      <c r="D95" s="68">
        <v>2</v>
      </c>
      <c r="E95" s="68" t="s">
        <v>448</v>
      </c>
    </row>
    <row r="96" spans="1:5">
      <c r="A96" s="68">
        <v>0.36255799999999999</v>
      </c>
      <c r="B96" s="68">
        <v>0.43655699999999997</v>
      </c>
      <c r="C96" s="68">
        <v>38.2044</v>
      </c>
      <c r="D96" s="68">
        <v>2</v>
      </c>
      <c r="E96" s="68" t="s">
        <v>449</v>
      </c>
    </row>
    <row r="97" spans="1:5">
      <c r="A97" s="68">
        <v>0.36110999999999999</v>
      </c>
      <c r="B97" s="68">
        <v>0.43917299999999998</v>
      </c>
      <c r="C97" s="68">
        <v>38.606699999999996</v>
      </c>
      <c r="D97" s="68">
        <v>2</v>
      </c>
      <c r="E97" s="68" t="s">
        <v>450</v>
      </c>
    </row>
    <row r="98" spans="1:5">
      <c r="A98" s="68">
        <v>0.35910999999999998</v>
      </c>
      <c r="B98" s="68">
        <v>0.441081</v>
      </c>
      <c r="C98" s="68">
        <v>39.016599999999997</v>
      </c>
      <c r="D98" s="68">
        <v>2</v>
      </c>
      <c r="E98" s="68" t="s">
        <v>451</v>
      </c>
    </row>
    <row r="99" spans="1:5">
      <c r="A99" s="68">
        <v>0.35664400000000002</v>
      </c>
      <c r="B99" s="68">
        <v>0.44277899999999998</v>
      </c>
      <c r="C99" s="68">
        <v>39.424300000000002</v>
      </c>
      <c r="D99" s="68">
        <v>2</v>
      </c>
      <c r="E99" s="68" t="s">
        <v>452</v>
      </c>
    </row>
    <row r="100" spans="1:5">
      <c r="A100" s="68">
        <v>0.35398000000000002</v>
      </c>
      <c r="B100" s="68">
        <v>0.44468299999999999</v>
      </c>
      <c r="C100" s="68">
        <v>39.8324</v>
      </c>
      <c r="D100" s="68">
        <v>2</v>
      </c>
      <c r="E100" s="68" t="s">
        <v>453</v>
      </c>
    </row>
    <row r="101" spans="1:5">
      <c r="A101" s="68">
        <v>0.35124300000000003</v>
      </c>
      <c r="B101" s="68">
        <v>0.44647700000000001</v>
      </c>
      <c r="C101" s="68">
        <v>40.236699999999999</v>
      </c>
      <c r="D101" s="68">
        <v>2</v>
      </c>
      <c r="E101" s="68" t="s">
        <v>454</v>
      </c>
    </row>
    <row r="102" spans="1:5">
      <c r="A102" s="68">
        <v>0.34835899999999997</v>
      </c>
      <c r="B102" s="68">
        <v>0.448156</v>
      </c>
      <c r="C102" s="68">
        <v>40.639899999999997</v>
      </c>
      <c r="D102" s="68">
        <v>2</v>
      </c>
      <c r="E102" s="68" t="s">
        <v>455</v>
      </c>
    </row>
    <row r="103" spans="1:5">
      <c r="A103" s="68">
        <v>0.34516400000000003</v>
      </c>
      <c r="B103" s="68">
        <v>0.44924199999999997</v>
      </c>
      <c r="C103" s="68">
        <v>41.047199999999997</v>
      </c>
      <c r="D103" s="68">
        <v>2</v>
      </c>
      <c r="E103" s="68" t="s">
        <v>456</v>
      </c>
    </row>
    <row r="104" spans="1:5">
      <c r="A104" s="68">
        <v>0.34173599999999998</v>
      </c>
      <c r="B104" s="68">
        <v>0.450762</v>
      </c>
      <c r="C104" s="68">
        <v>41.453400000000002</v>
      </c>
      <c r="D104" s="68">
        <v>2</v>
      </c>
      <c r="E104" s="68" t="s">
        <v>457</v>
      </c>
    </row>
    <row r="105" spans="1:5">
      <c r="A105" s="68">
        <v>0.33826800000000001</v>
      </c>
      <c r="B105" s="68">
        <v>0.45287699999999997</v>
      </c>
      <c r="C105" s="68">
        <v>41.8626</v>
      </c>
      <c r="D105" s="68">
        <v>2</v>
      </c>
      <c r="E105" s="68" t="s">
        <v>458</v>
      </c>
    </row>
    <row r="106" spans="1:5">
      <c r="A106" s="68">
        <v>0.33501999999999998</v>
      </c>
      <c r="B106" s="68">
        <v>0.45524399999999998</v>
      </c>
      <c r="C106" s="68">
        <v>42.265099999999997</v>
      </c>
      <c r="D106" s="68">
        <v>2</v>
      </c>
      <c r="E106" s="68" t="s">
        <v>459</v>
      </c>
    </row>
    <row r="107" spans="1:5">
      <c r="A107" s="68">
        <v>0.33159300000000003</v>
      </c>
      <c r="B107" s="68">
        <v>0.45789200000000002</v>
      </c>
      <c r="C107" s="68">
        <v>42.671599999999998</v>
      </c>
      <c r="D107" s="68">
        <v>2</v>
      </c>
      <c r="E107" s="68" t="s">
        <v>460</v>
      </c>
    </row>
    <row r="108" spans="1:5">
      <c r="A108" s="68">
        <v>0.328239</v>
      </c>
      <c r="B108" s="68">
        <v>0.46049200000000001</v>
      </c>
      <c r="C108" s="68">
        <v>43.076799999999999</v>
      </c>
      <c r="D108" s="68">
        <v>2</v>
      </c>
      <c r="E108" s="68" t="s">
        <v>461</v>
      </c>
    </row>
    <row r="109" spans="1:5">
      <c r="A109" s="68">
        <v>0.32487899999999997</v>
      </c>
      <c r="B109" s="68">
        <v>0.46360499999999999</v>
      </c>
      <c r="C109" s="68">
        <v>43.485999999999997</v>
      </c>
      <c r="D109" s="68">
        <v>2</v>
      </c>
      <c r="E109" s="68" t="s">
        <v>462</v>
      </c>
    </row>
    <row r="110" spans="1:5">
      <c r="A110" s="68">
        <v>0.32134099999999999</v>
      </c>
      <c r="B110" s="68">
        <v>0.46713900000000003</v>
      </c>
      <c r="C110" s="68">
        <v>43.893000000000001</v>
      </c>
      <c r="D110" s="68">
        <v>2</v>
      </c>
      <c r="E110" s="68" t="s">
        <v>463</v>
      </c>
    </row>
    <row r="111" spans="1:5">
      <c r="A111" s="68">
        <v>0.31768099999999999</v>
      </c>
      <c r="B111" s="68">
        <v>0.47098800000000002</v>
      </c>
      <c r="C111" s="68">
        <v>44.297199999999997</v>
      </c>
      <c r="D111" s="68">
        <v>2</v>
      </c>
      <c r="E111" s="68" t="s">
        <v>464</v>
      </c>
    </row>
    <row r="112" spans="1:5">
      <c r="A112" s="68">
        <v>0.31384699999999999</v>
      </c>
      <c r="B112" s="68">
        <v>0.47527900000000001</v>
      </c>
      <c r="C112" s="68">
        <v>44.703200000000002</v>
      </c>
      <c r="D112" s="68">
        <v>2</v>
      </c>
      <c r="E112" s="68" t="s">
        <v>465</v>
      </c>
    </row>
    <row r="113" spans="1:5">
      <c r="A113" s="68">
        <v>0.309917</v>
      </c>
      <c r="B113" s="68">
        <v>0.47967399999999999</v>
      </c>
      <c r="C113" s="68">
        <v>45.107100000000003</v>
      </c>
      <c r="D113" s="68">
        <v>2</v>
      </c>
      <c r="E113" s="68" t="s">
        <v>466</v>
      </c>
    </row>
    <row r="114" spans="1:5">
      <c r="A114" s="68">
        <v>0.30610599999999999</v>
      </c>
      <c r="B114" s="68">
        <v>0.48396099999999997</v>
      </c>
      <c r="C114" s="68">
        <v>45.513199999999998</v>
      </c>
      <c r="D114" s="68">
        <v>2</v>
      </c>
      <c r="E114" s="68" t="s">
        <v>467</v>
      </c>
    </row>
    <row r="115" spans="1:5">
      <c r="A115" s="68">
        <v>0.30238799999999999</v>
      </c>
      <c r="B115" s="68">
        <v>0.48820799999999998</v>
      </c>
      <c r="C115" s="68">
        <v>45.920900000000003</v>
      </c>
      <c r="D115" s="68">
        <v>2</v>
      </c>
      <c r="E115" s="68" t="s">
        <v>468</v>
      </c>
    </row>
    <row r="116" spans="1:5">
      <c r="A116" s="68">
        <v>0.298931</v>
      </c>
      <c r="B116" s="68">
        <v>0.49207699999999999</v>
      </c>
      <c r="C116" s="68">
        <v>46.333799999999997</v>
      </c>
      <c r="D116" s="68">
        <v>2</v>
      </c>
      <c r="E116" s="68" t="s">
        <v>469</v>
      </c>
    </row>
    <row r="117" spans="1:5">
      <c r="A117" s="68">
        <v>0.29541000000000001</v>
      </c>
      <c r="B117" s="68">
        <v>0.49571199999999999</v>
      </c>
      <c r="C117" s="68">
        <v>46.735799999999998</v>
      </c>
      <c r="D117" s="68">
        <v>2</v>
      </c>
      <c r="E117" s="68" t="s">
        <v>470</v>
      </c>
    </row>
    <row r="118" spans="1:5">
      <c r="A118" s="68">
        <v>0.291794</v>
      </c>
      <c r="B118" s="68">
        <v>0.49939800000000001</v>
      </c>
      <c r="C118" s="68">
        <v>47.143099999999997</v>
      </c>
      <c r="D118" s="68">
        <v>2</v>
      </c>
      <c r="E118" s="68" t="s">
        <v>471</v>
      </c>
    </row>
    <row r="119" spans="1:5">
      <c r="A119" s="68">
        <v>0.28804299999999999</v>
      </c>
      <c r="B119" s="68">
        <v>0.50349500000000003</v>
      </c>
      <c r="C119" s="68">
        <v>47.548900000000003</v>
      </c>
      <c r="D119" s="68">
        <v>2</v>
      </c>
      <c r="E119" s="68" t="s">
        <v>472</v>
      </c>
    </row>
    <row r="120" spans="1:5">
      <c r="A120" s="68">
        <v>0.28448899999999999</v>
      </c>
      <c r="B120" s="68">
        <v>0.50799300000000003</v>
      </c>
      <c r="C120" s="68">
        <v>47.952599999999997</v>
      </c>
      <c r="D120" s="68">
        <v>2</v>
      </c>
      <c r="E120" s="68" t="s">
        <v>473</v>
      </c>
    </row>
    <row r="121" spans="1:5">
      <c r="A121" s="68">
        <v>0.28140300000000001</v>
      </c>
      <c r="B121" s="68">
        <v>0.51157200000000003</v>
      </c>
      <c r="C121" s="68">
        <v>48.355800000000002</v>
      </c>
      <c r="D121" s="68">
        <v>2</v>
      </c>
      <c r="E121" s="68" t="s">
        <v>474</v>
      </c>
    </row>
    <row r="122" spans="1:5">
      <c r="A122" s="68">
        <v>0.27872400000000003</v>
      </c>
      <c r="B122" s="68">
        <v>0.51421099999999997</v>
      </c>
      <c r="C122" s="68">
        <v>48.764699999999998</v>
      </c>
      <c r="D122" s="68">
        <v>2</v>
      </c>
      <c r="E122" s="68" t="s">
        <v>475</v>
      </c>
    </row>
    <row r="123" spans="1:5">
      <c r="A123" s="68">
        <v>0.27663300000000002</v>
      </c>
      <c r="B123" s="68">
        <v>0.51641899999999996</v>
      </c>
      <c r="C123" s="68">
        <v>49.174500000000002</v>
      </c>
      <c r="D123" s="68">
        <v>2</v>
      </c>
      <c r="E123" s="68" t="s">
        <v>476</v>
      </c>
    </row>
    <row r="124" spans="1:5">
      <c r="A124" s="68">
        <v>0.27487</v>
      </c>
      <c r="B124" s="68">
        <v>0.51800800000000002</v>
      </c>
      <c r="C124" s="68">
        <v>49.578400000000002</v>
      </c>
      <c r="D124" s="68">
        <v>2</v>
      </c>
      <c r="E124" s="68" t="s">
        <v>477</v>
      </c>
    </row>
    <row r="125" spans="1:5">
      <c r="A125" s="68">
        <v>0.27333400000000002</v>
      </c>
      <c r="B125" s="68">
        <v>0.519123</v>
      </c>
      <c r="C125" s="68">
        <v>49.981699999999996</v>
      </c>
      <c r="D125" s="68">
        <v>2</v>
      </c>
      <c r="E125" s="68" t="s">
        <v>478</v>
      </c>
    </row>
    <row r="126" spans="1:5">
      <c r="A126" s="68">
        <v>0.272173</v>
      </c>
      <c r="B126" s="68">
        <v>0.51976299999999998</v>
      </c>
      <c r="C126" s="68">
        <v>50.389299999999999</v>
      </c>
      <c r="D126" s="68">
        <v>2</v>
      </c>
      <c r="E126" s="68" t="s">
        <v>479</v>
      </c>
    </row>
    <row r="127" spans="1:5">
      <c r="A127" s="68">
        <v>0.27100600000000002</v>
      </c>
      <c r="B127" s="68">
        <v>0.52028799999999997</v>
      </c>
      <c r="C127" s="68">
        <v>50.800600000000003</v>
      </c>
      <c r="D127" s="68">
        <v>2</v>
      </c>
      <c r="E127" s="68" t="s">
        <v>480</v>
      </c>
    </row>
    <row r="128" spans="1:5">
      <c r="A128" s="68">
        <v>0.27018599999999998</v>
      </c>
      <c r="B128" s="68">
        <v>0.52012100000000006</v>
      </c>
      <c r="C128" s="68">
        <v>51.203800000000001</v>
      </c>
      <c r="D128" s="68">
        <v>2</v>
      </c>
      <c r="E128" s="68" t="s">
        <v>481</v>
      </c>
    </row>
    <row r="129" spans="1:5">
      <c r="A129" s="68">
        <v>0.26947399999999999</v>
      </c>
      <c r="B129" s="68">
        <v>0.51956400000000003</v>
      </c>
      <c r="C129" s="68">
        <v>51.6126</v>
      </c>
      <c r="D129" s="68">
        <v>2</v>
      </c>
      <c r="E129" s="68" t="s">
        <v>482</v>
      </c>
    </row>
    <row r="130" spans="1:5">
      <c r="A130" s="68">
        <v>0.26864700000000002</v>
      </c>
      <c r="B130" s="68">
        <v>0.519069</v>
      </c>
      <c r="C130" s="68">
        <v>52.014899999999997</v>
      </c>
      <c r="D130" s="68">
        <v>2</v>
      </c>
      <c r="E130" s="68" t="s">
        <v>483</v>
      </c>
    </row>
    <row r="131" spans="1:5">
      <c r="A131" s="68">
        <v>0.26750299999999999</v>
      </c>
      <c r="B131" s="68">
        <v>0.51913500000000001</v>
      </c>
      <c r="C131" s="68">
        <v>52.421599999999998</v>
      </c>
      <c r="D131" s="68">
        <v>2</v>
      </c>
      <c r="E131" s="68" t="s">
        <v>484</v>
      </c>
    </row>
    <row r="132" spans="1:5">
      <c r="A132" s="68">
        <v>0.26645999999999997</v>
      </c>
      <c r="B132" s="68">
        <v>0.51912499999999995</v>
      </c>
      <c r="C132" s="68">
        <v>52.831600000000002</v>
      </c>
      <c r="D132" s="68">
        <v>2</v>
      </c>
      <c r="E132" s="68" t="s">
        <v>485</v>
      </c>
    </row>
    <row r="133" spans="1:5">
      <c r="A133" s="68">
        <v>0.265407</v>
      </c>
      <c r="B133" s="68">
        <v>0.51919400000000004</v>
      </c>
      <c r="C133" s="68">
        <v>53.236699999999999</v>
      </c>
      <c r="D133" s="68">
        <v>2</v>
      </c>
      <c r="E133" s="68" t="s">
        <v>486</v>
      </c>
    </row>
    <row r="134" spans="1:5">
      <c r="A134" s="68">
        <v>0.26403199999999999</v>
      </c>
      <c r="B134" s="68">
        <v>0.51996699999999996</v>
      </c>
      <c r="C134" s="68">
        <v>53.6402</v>
      </c>
      <c r="D134" s="68">
        <v>2</v>
      </c>
      <c r="E134" s="68" t="s">
        <v>487</v>
      </c>
    </row>
    <row r="135" spans="1:5">
      <c r="A135" s="68">
        <v>0.26269799999999999</v>
      </c>
      <c r="B135" s="68">
        <v>0.52044599999999996</v>
      </c>
      <c r="C135" s="68">
        <v>54.044699999999999</v>
      </c>
      <c r="D135" s="68">
        <v>2</v>
      </c>
      <c r="E135" s="68" t="s">
        <v>488</v>
      </c>
    </row>
    <row r="136" spans="1:5">
      <c r="A136" s="68">
        <v>0.26151799999999997</v>
      </c>
      <c r="B136" s="68">
        <v>0.52117400000000003</v>
      </c>
      <c r="C136" s="68">
        <v>54.453200000000002</v>
      </c>
      <c r="D136" s="68">
        <v>2</v>
      </c>
      <c r="E136" s="68" t="s">
        <v>489</v>
      </c>
    </row>
    <row r="137" spans="1:5">
      <c r="A137" s="68">
        <v>0.26064100000000001</v>
      </c>
      <c r="B137" s="68">
        <v>0.52160600000000001</v>
      </c>
      <c r="C137" s="68">
        <v>54.861400000000003</v>
      </c>
      <c r="D137" s="68">
        <v>2</v>
      </c>
      <c r="E137" s="68" t="s">
        <v>490</v>
      </c>
    </row>
    <row r="138" spans="1:5">
      <c r="A138" s="68">
        <v>0.26002999999999998</v>
      </c>
      <c r="B138" s="68">
        <v>0.52181</v>
      </c>
      <c r="C138" s="68">
        <v>55.263800000000003</v>
      </c>
      <c r="D138" s="68">
        <v>2</v>
      </c>
      <c r="E138" s="68" t="s">
        <v>491</v>
      </c>
    </row>
    <row r="139" spans="1:5">
      <c r="A139" s="68">
        <v>0.25929799999999997</v>
      </c>
      <c r="B139" s="68">
        <v>0.52242599999999995</v>
      </c>
      <c r="C139" s="68">
        <v>55.673999999999999</v>
      </c>
      <c r="D139" s="68">
        <v>2</v>
      </c>
      <c r="E139" s="68" t="s">
        <v>492</v>
      </c>
    </row>
    <row r="140" spans="1:5">
      <c r="A140" s="68">
        <v>0.25881999999999999</v>
      </c>
      <c r="B140" s="68">
        <v>0.522922</v>
      </c>
      <c r="C140" s="68">
        <v>56.078099999999999</v>
      </c>
      <c r="D140" s="68">
        <v>2</v>
      </c>
      <c r="E140" s="68" t="s">
        <v>493</v>
      </c>
    </row>
    <row r="141" spans="1:5">
      <c r="A141" s="68">
        <v>0.25815500000000002</v>
      </c>
      <c r="B141" s="68">
        <v>0.52385800000000005</v>
      </c>
      <c r="C141" s="68">
        <v>56.486600000000003</v>
      </c>
      <c r="D141" s="68">
        <v>2</v>
      </c>
      <c r="E141" s="68" t="s">
        <v>494</v>
      </c>
    </row>
    <row r="142" spans="1:5">
      <c r="A142" s="68">
        <v>0.25793500000000003</v>
      </c>
      <c r="B142" s="68">
        <v>0.525038</v>
      </c>
      <c r="C142" s="68">
        <v>56.8917</v>
      </c>
      <c r="D142" s="68">
        <v>2</v>
      </c>
      <c r="E142" s="68" t="s">
        <v>495</v>
      </c>
    </row>
    <row r="143" spans="1:5">
      <c r="A143" s="68">
        <v>0.25840000000000002</v>
      </c>
      <c r="B143" s="68">
        <v>0.52589399999999997</v>
      </c>
      <c r="C143" s="68">
        <v>57.296900000000001</v>
      </c>
      <c r="D143" s="68">
        <v>2</v>
      </c>
      <c r="E143" s="68" t="s">
        <v>496</v>
      </c>
    </row>
    <row r="144" spans="1:5">
      <c r="A144" s="68">
        <v>0.25954199999999999</v>
      </c>
      <c r="B144" s="68">
        <v>0.52647900000000003</v>
      </c>
      <c r="C144" s="68">
        <v>57.7057</v>
      </c>
      <c r="D144" s="68">
        <v>2</v>
      </c>
      <c r="E144" s="68" t="s">
        <v>497</v>
      </c>
    </row>
    <row r="145" spans="1:5">
      <c r="A145" s="68">
        <v>0.26027</v>
      </c>
      <c r="B145" s="68">
        <v>0.52714700000000003</v>
      </c>
      <c r="C145" s="68">
        <v>58.106499999999997</v>
      </c>
      <c r="D145" s="68">
        <v>2</v>
      </c>
      <c r="E145" s="68" t="s">
        <v>498</v>
      </c>
    </row>
    <row r="146" spans="1:5">
      <c r="A146" s="68">
        <v>0.26134800000000002</v>
      </c>
      <c r="B146" s="68">
        <v>0.52732000000000001</v>
      </c>
      <c r="C146" s="68">
        <v>58.514600000000002</v>
      </c>
      <c r="D146" s="68">
        <v>2</v>
      </c>
      <c r="E146" s="68" t="s">
        <v>499</v>
      </c>
    </row>
    <row r="147" spans="1:5">
      <c r="A147" s="68">
        <v>0.26300899999999999</v>
      </c>
      <c r="B147" s="68">
        <v>0.52812800000000004</v>
      </c>
      <c r="C147" s="68">
        <v>58.920999999999999</v>
      </c>
      <c r="D147" s="68">
        <v>2</v>
      </c>
      <c r="E147" s="68" t="s">
        <v>500</v>
      </c>
    </row>
    <row r="148" spans="1:5">
      <c r="A148" s="68">
        <v>0.263575</v>
      </c>
      <c r="B148" s="68">
        <v>0.53031700000000004</v>
      </c>
      <c r="C148" s="68">
        <v>59.330399999999997</v>
      </c>
      <c r="D148" s="68">
        <v>2</v>
      </c>
      <c r="E148" s="68" t="s">
        <v>501</v>
      </c>
    </row>
    <row r="149" spans="1:5">
      <c r="A149" s="68">
        <v>0.26407900000000001</v>
      </c>
      <c r="B149" s="68">
        <v>0.53244400000000003</v>
      </c>
      <c r="C149" s="68">
        <v>59.7346</v>
      </c>
      <c r="D149" s="68">
        <v>2</v>
      </c>
      <c r="E149" s="68" t="s">
        <v>502</v>
      </c>
    </row>
    <row r="150" spans="1:5">
      <c r="A150" s="68"/>
      <c r="B150" s="68"/>
      <c r="C150" s="32"/>
      <c r="D150" s="32"/>
      <c r="E150" s="32"/>
    </row>
    <row r="151" spans="1:5">
      <c r="A151" s="68"/>
      <c r="B151" s="68"/>
      <c r="C151" s="32"/>
      <c r="D151" s="32"/>
      <c r="E151" s="32"/>
    </row>
    <row r="152" spans="1:5">
      <c r="A152" s="68"/>
      <c r="B152" s="68"/>
      <c r="C152" s="32"/>
      <c r="D152" s="32"/>
      <c r="E152" s="32"/>
    </row>
    <row r="153" spans="1:5">
      <c r="A153" s="68"/>
      <c r="B153" s="68"/>
      <c r="C153" s="32"/>
      <c r="D153" s="32"/>
      <c r="E153" s="32"/>
    </row>
    <row r="154" spans="1:5">
      <c r="A154" s="68"/>
      <c r="B154" s="68"/>
      <c r="C154" s="32"/>
      <c r="D154" s="32"/>
      <c r="E154" s="32"/>
    </row>
    <row r="155" spans="1:5">
      <c r="A155" s="68"/>
      <c r="B155" s="68"/>
      <c r="C155" s="32"/>
      <c r="D155" s="32"/>
      <c r="E155" s="32"/>
    </row>
    <row r="156" spans="1:5">
      <c r="A156" s="68"/>
      <c r="B156" s="68"/>
      <c r="C156" s="32"/>
      <c r="D156" s="32"/>
      <c r="E156" s="32"/>
    </row>
    <row r="157" spans="1:5">
      <c r="A157" s="68"/>
      <c r="B157" s="68"/>
      <c r="C157" s="32"/>
      <c r="D157" s="32"/>
      <c r="E157" s="32"/>
    </row>
    <row r="158" spans="1:5">
      <c r="A158" s="68"/>
      <c r="B158" s="68"/>
      <c r="C158" s="32"/>
      <c r="D158" s="32"/>
      <c r="E158" s="32"/>
    </row>
    <row r="159" spans="1:5">
      <c r="A159" s="68"/>
      <c r="B159" s="68"/>
      <c r="C159" s="32"/>
      <c r="D159" s="32"/>
      <c r="E159" s="32"/>
    </row>
    <row r="160" spans="1:5">
      <c r="A160" s="68"/>
      <c r="B160" s="68"/>
      <c r="C160" s="32"/>
      <c r="D160" s="32"/>
      <c r="E160" s="32"/>
    </row>
    <row r="161" spans="1:5">
      <c r="A161" s="68"/>
      <c r="B161" s="68"/>
      <c r="C161" s="32"/>
      <c r="D161" s="32"/>
      <c r="E161" s="32"/>
    </row>
    <row r="162" spans="1:5">
      <c r="A162" s="68"/>
      <c r="B162" s="68"/>
      <c r="C162" s="32"/>
      <c r="D162" s="32"/>
      <c r="E162" s="32"/>
    </row>
    <row r="163" spans="1:5">
      <c r="A163" s="68"/>
      <c r="B163" s="68"/>
      <c r="C163" s="32"/>
      <c r="D163" s="32"/>
      <c r="E163" s="32"/>
    </row>
    <row r="164" spans="1:5">
      <c r="A164" s="68"/>
      <c r="B164" s="68"/>
      <c r="C164" s="32"/>
      <c r="D164" s="32"/>
      <c r="E164" s="32"/>
    </row>
    <row r="165" spans="1:5">
      <c r="A165" s="68"/>
      <c r="B165" s="68"/>
      <c r="C165" s="32"/>
      <c r="D165" s="32"/>
      <c r="E165" s="32"/>
    </row>
    <row r="166" spans="1:5">
      <c r="A166" s="68"/>
      <c r="B166" s="68"/>
      <c r="C166" s="32"/>
      <c r="D166" s="32"/>
      <c r="E166" s="32"/>
    </row>
    <row r="167" spans="1:5">
      <c r="A167" s="68"/>
      <c r="B167" s="68"/>
      <c r="C167" s="32"/>
      <c r="D167" s="32"/>
      <c r="E167" s="32"/>
    </row>
    <row r="168" spans="1:5">
      <c r="A168" s="68"/>
      <c r="B168" s="68"/>
      <c r="C168" s="32"/>
      <c r="D168" s="32"/>
      <c r="E168" s="32"/>
    </row>
    <row r="169" spans="1:5">
      <c r="A169" s="68"/>
      <c r="B169" s="68"/>
      <c r="C169" s="32"/>
      <c r="D169" s="32"/>
      <c r="E169" s="32"/>
    </row>
    <row r="170" spans="1:5">
      <c r="A170" s="68"/>
      <c r="B170" s="68"/>
      <c r="C170" s="32"/>
      <c r="D170" s="32"/>
      <c r="E170" s="32"/>
    </row>
    <row r="171" spans="1:5">
      <c r="A171" s="68"/>
      <c r="B171" s="68"/>
      <c r="C171" s="32"/>
      <c r="D171" s="32"/>
      <c r="E171" s="32"/>
    </row>
    <row r="172" spans="1:5">
      <c r="A172" s="68"/>
      <c r="B172" s="68"/>
      <c r="C172" s="32"/>
      <c r="D172" s="32"/>
      <c r="E172" s="32"/>
    </row>
    <row r="173" spans="1:5">
      <c r="A173" s="68"/>
      <c r="B173" s="68"/>
      <c r="C173" s="32"/>
      <c r="D173" s="32"/>
      <c r="E173" s="32"/>
    </row>
    <row r="174" spans="1:5">
      <c r="A174" s="68"/>
      <c r="B174" s="68"/>
      <c r="C174" s="32"/>
      <c r="D174" s="32"/>
      <c r="E174" s="32"/>
    </row>
    <row r="175" spans="1:5">
      <c r="A175" s="68"/>
      <c r="B175" s="68"/>
      <c r="C175" s="32"/>
      <c r="D175" s="32"/>
      <c r="E175" s="32"/>
    </row>
    <row r="176" spans="1:5">
      <c r="A176" s="68"/>
      <c r="B176" s="68"/>
      <c r="C176" s="32"/>
      <c r="D176" s="32"/>
      <c r="E176" s="32"/>
    </row>
    <row r="177" spans="1:5">
      <c r="A177" s="68"/>
      <c r="B177" s="68"/>
      <c r="C177" s="32"/>
      <c r="D177" s="32"/>
      <c r="E177" s="32"/>
    </row>
    <row r="178" spans="1:5">
      <c r="A178" s="68"/>
      <c r="B178" s="68"/>
      <c r="C178" s="32"/>
      <c r="D178" s="32"/>
      <c r="E178" s="32"/>
    </row>
    <row r="179" spans="1:5">
      <c r="A179" s="68"/>
      <c r="B179" s="68"/>
      <c r="C179" s="32"/>
      <c r="D179" s="32"/>
      <c r="E179" s="32"/>
    </row>
    <row r="180" spans="1:5">
      <c r="A180" s="68"/>
      <c r="B180" s="68"/>
      <c r="C180" s="32"/>
      <c r="D180" s="32"/>
      <c r="E180" s="32"/>
    </row>
    <row r="181" spans="1:5">
      <c r="A181" s="68"/>
      <c r="B181" s="68"/>
      <c r="C181" s="32"/>
      <c r="D181" s="32"/>
      <c r="E181" s="32"/>
    </row>
    <row r="182" spans="1:5">
      <c r="A182" s="68"/>
      <c r="B182" s="68"/>
      <c r="C182" s="32"/>
      <c r="D182" s="32"/>
      <c r="E182" s="32"/>
    </row>
    <row r="183" spans="1:5">
      <c r="A183" s="68"/>
      <c r="B183" s="68"/>
      <c r="C183" s="32"/>
      <c r="D183" s="32"/>
      <c r="E183" s="32"/>
    </row>
    <row r="184" spans="1:5">
      <c r="A184" s="68"/>
      <c r="B184" s="68"/>
      <c r="C184" s="32"/>
      <c r="D184" s="32"/>
      <c r="E184" s="32"/>
    </row>
    <row r="185" spans="1:5">
      <c r="A185" s="68"/>
      <c r="B185" s="68"/>
      <c r="C185" s="32"/>
      <c r="D185" s="32"/>
      <c r="E185" s="32"/>
    </row>
    <row r="186" spans="1:5">
      <c r="A186" s="68"/>
      <c r="B186" s="68"/>
      <c r="C186" s="32"/>
      <c r="D186" s="32"/>
      <c r="E186" s="32"/>
    </row>
    <row r="187" spans="1:5">
      <c r="A187" s="68"/>
      <c r="B187" s="68"/>
      <c r="C187" s="32"/>
      <c r="D187" s="32"/>
      <c r="E187" s="32"/>
    </row>
    <row r="188" spans="1:5">
      <c r="A188" s="68"/>
      <c r="B188" s="68"/>
      <c r="C188" s="32"/>
      <c r="D188" s="32"/>
      <c r="E188" s="32"/>
    </row>
    <row r="189" spans="1:5">
      <c r="A189" s="68"/>
      <c r="B189" s="68"/>
      <c r="C189" s="32"/>
      <c r="D189" s="32"/>
      <c r="E189" s="32"/>
    </row>
    <row r="190" spans="1:5">
      <c r="A190" s="68"/>
      <c r="B190" s="68"/>
      <c r="C190" s="32"/>
      <c r="D190" s="32"/>
      <c r="E190" s="32"/>
    </row>
    <row r="191" spans="1:5">
      <c r="A191" s="68"/>
      <c r="B191" s="68"/>
      <c r="C191" s="32"/>
      <c r="D191" s="32"/>
      <c r="E191" s="32"/>
    </row>
    <row r="192" spans="1:5">
      <c r="A192" s="68"/>
      <c r="B192" s="68"/>
      <c r="C192" s="32"/>
      <c r="D192" s="32"/>
      <c r="E192" s="32"/>
    </row>
    <row r="193" spans="1:5">
      <c r="A193" s="68"/>
      <c r="B193" s="68"/>
      <c r="C193" s="32"/>
      <c r="D193" s="32"/>
      <c r="E193" s="32"/>
    </row>
    <row r="194" spans="1:5">
      <c r="A194" s="68"/>
      <c r="B194" s="68"/>
      <c r="C194" s="32"/>
      <c r="D194" s="32"/>
      <c r="E194" s="32"/>
    </row>
    <row r="195" spans="1:5">
      <c r="A195" s="68"/>
      <c r="B195" s="68"/>
      <c r="C195" s="32"/>
      <c r="D195" s="32"/>
      <c r="E195" s="32"/>
    </row>
    <row r="196" spans="1:5">
      <c r="A196" s="68"/>
      <c r="B196" s="68"/>
      <c r="C196" s="32"/>
      <c r="D196" s="32"/>
      <c r="E196" s="32"/>
    </row>
    <row r="197" spans="1:5">
      <c r="A197" s="68"/>
      <c r="B197" s="68"/>
      <c r="C197" s="32"/>
      <c r="D197" s="32"/>
      <c r="E197" s="32"/>
    </row>
    <row r="198" spans="1:5">
      <c r="A198" s="68"/>
      <c r="B198" s="68"/>
      <c r="C198" s="32"/>
      <c r="D198" s="32"/>
      <c r="E198" s="32"/>
    </row>
    <row r="199" spans="1:5">
      <c r="A199" s="68"/>
      <c r="B199" s="68"/>
      <c r="C199" s="32"/>
      <c r="D199" s="32"/>
      <c r="E199" s="32"/>
    </row>
    <row r="200" spans="1:5">
      <c r="A200" s="68"/>
      <c r="B200" s="68"/>
      <c r="C200" s="32"/>
      <c r="D200" s="32"/>
      <c r="E200" s="32"/>
    </row>
    <row r="201" spans="1:5">
      <c r="A201" s="68"/>
      <c r="B201" s="68"/>
      <c r="C201" s="32"/>
      <c r="D201" s="32"/>
      <c r="E201" s="32"/>
    </row>
    <row r="202" spans="1:5">
      <c r="A202" s="68"/>
      <c r="B202" s="68"/>
      <c r="C202" s="32"/>
      <c r="D202" s="32"/>
      <c r="E202" s="32"/>
    </row>
    <row r="203" spans="1:5">
      <c r="A203" s="68"/>
      <c r="B203" s="68"/>
      <c r="C203" s="32"/>
      <c r="D203" s="32"/>
      <c r="E203" s="32"/>
    </row>
    <row r="204" spans="1:5">
      <c r="A204" s="68"/>
      <c r="B204" s="68"/>
      <c r="C204" s="32"/>
      <c r="D204" s="32"/>
      <c r="E204" s="32"/>
    </row>
    <row r="205" spans="1:5">
      <c r="A205" s="68"/>
      <c r="B205" s="68"/>
      <c r="C205" s="32"/>
      <c r="D205" s="32"/>
      <c r="E205" s="32"/>
    </row>
    <row r="206" spans="1:5">
      <c r="A206" s="68"/>
      <c r="B206" s="68"/>
      <c r="C206" s="32"/>
      <c r="D206" s="32"/>
      <c r="E206" s="32"/>
    </row>
    <row r="207" spans="1:5">
      <c r="A207" s="68"/>
      <c r="B207" s="68"/>
      <c r="C207" s="32"/>
      <c r="D207" s="32"/>
      <c r="E207" s="32"/>
    </row>
    <row r="208" spans="1:5">
      <c r="A208" s="68"/>
      <c r="B208" s="68"/>
      <c r="C208" s="32"/>
      <c r="D208" s="32"/>
      <c r="E208" s="32"/>
    </row>
    <row r="209" spans="1:5">
      <c r="A209" s="68"/>
      <c r="B209" s="68"/>
      <c r="C209" s="32"/>
      <c r="D209" s="32"/>
      <c r="E209" s="32"/>
    </row>
    <row r="210" spans="1:5">
      <c r="A210" s="68"/>
      <c r="B210" s="68"/>
      <c r="C210" s="32"/>
      <c r="D210" s="32"/>
      <c r="E210" s="32"/>
    </row>
    <row r="211" spans="1:5">
      <c r="A211" s="68"/>
      <c r="B211" s="68"/>
      <c r="C211" s="32"/>
      <c r="D211" s="32"/>
      <c r="E211" s="32"/>
    </row>
    <row r="212" spans="1:5">
      <c r="A212" s="68"/>
      <c r="B212" s="68"/>
      <c r="C212" s="32"/>
      <c r="D212" s="32"/>
      <c r="E212" s="32"/>
    </row>
    <row r="213" spans="1:5">
      <c r="A213" s="68"/>
      <c r="B213" s="68"/>
      <c r="C213" s="32"/>
      <c r="D213" s="32"/>
      <c r="E213" s="32"/>
    </row>
    <row r="214" spans="1:5">
      <c r="A214" s="68"/>
      <c r="B214" s="68"/>
      <c r="C214" s="32"/>
      <c r="D214" s="32"/>
      <c r="E214" s="32"/>
    </row>
    <row r="215" spans="1:5">
      <c r="A215" s="68"/>
      <c r="B215" s="68"/>
      <c r="C215" s="32"/>
      <c r="D215" s="32"/>
      <c r="E215" s="32"/>
    </row>
    <row r="216" spans="1:5">
      <c r="A216" s="68"/>
      <c r="B216" s="68"/>
      <c r="C216" s="32"/>
      <c r="D216" s="32"/>
      <c r="E216" s="32"/>
    </row>
    <row r="217" spans="1:5">
      <c r="A217" s="68"/>
      <c r="B217" s="68"/>
      <c r="C217" s="32"/>
      <c r="D217" s="32"/>
      <c r="E217" s="32"/>
    </row>
    <row r="218" spans="1:5">
      <c r="A218" s="68"/>
      <c r="B218" s="68"/>
      <c r="C218" s="32"/>
      <c r="D218" s="32"/>
      <c r="E218" s="32"/>
    </row>
    <row r="219" spans="1:5">
      <c r="A219" s="68"/>
      <c r="B219" s="68"/>
      <c r="C219" s="32"/>
      <c r="D219" s="32"/>
      <c r="E219" s="32"/>
    </row>
    <row r="220" spans="1:5">
      <c r="A220" s="68"/>
      <c r="B220" s="68"/>
      <c r="C220" s="32"/>
      <c r="D220" s="32"/>
      <c r="E220" s="32"/>
    </row>
    <row r="221" spans="1:5">
      <c r="A221" s="68"/>
      <c r="B221" s="68"/>
      <c r="C221" s="32"/>
      <c r="D221" s="32"/>
      <c r="E221" s="32"/>
    </row>
    <row r="222" spans="1:5">
      <c r="A222" s="68"/>
      <c r="B222" s="68"/>
      <c r="C222" s="32"/>
      <c r="D222" s="32"/>
      <c r="E222" s="32"/>
    </row>
    <row r="223" spans="1:5">
      <c r="A223" s="68"/>
      <c r="B223" s="68"/>
      <c r="C223" s="32"/>
      <c r="D223" s="32"/>
      <c r="E223" s="32"/>
    </row>
    <row r="224" spans="1:5">
      <c r="A224" s="68"/>
      <c r="B224" s="68"/>
      <c r="C224" s="32"/>
      <c r="D224" s="32"/>
      <c r="E224" s="32"/>
    </row>
    <row r="225" spans="1:5">
      <c r="A225" s="68"/>
      <c r="B225" s="68"/>
      <c r="C225" s="32"/>
      <c r="D225" s="32"/>
      <c r="E225" s="32"/>
    </row>
    <row r="226" spans="1:5">
      <c r="A226" s="68"/>
      <c r="B226" s="68"/>
      <c r="C226" s="32"/>
      <c r="D226" s="32"/>
      <c r="E226" s="32"/>
    </row>
    <row r="227" spans="1:5">
      <c r="A227" s="68"/>
      <c r="B227" s="68"/>
      <c r="C227" s="32"/>
      <c r="D227" s="32"/>
      <c r="E227" s="32"/>
    </row>
    <row r="228" spans="1:5">
      <c r="A228" s="68"/>
      <c r="B228" s="68"/>
      <c r="C228" s="32"/>
      <c r="D228" s="32"/>
      <c r="E228" s="32"/>
    </row>
    <row r="229" spans="1:5">
      <c r="A229" s="68"/>
      <c r="B229" s="68"/>
      <c r="C229" s="32"/>
      <c r="D229" s="32"/>
      <c r="E229" s="32"/>
    </row>
    <row r="230" spans="1:5">
      <c r="A230" s="68"/>
      <c r="B230" s="68"/>
      <c r="C230" s="32"/>
      <c r="D230" s="32"/>
      <c r="E230" s="32"/>
    </row>
    <row r="231" spans="1:5">
      <c r="A231" s="68"/>
      <c r="B231" s="68"/>
      <c r="C231" s="32"/>
      <c r="D231" s="32"/>
      <c r="E231" s="32"/>
    </row>
    <row r="232" spans="1:5">
      <c r="A232" s="68"/>
      <c r="B232" s="68"/>
      <c r="C232" s="32"/>
      <c r="D232" s="32"/>
      <c r="E232" s="32"/>
    </row>
    <row r="233" spans="1:5">
      <c r="A233" s="68"/>
      <c r="B233" s="68"/>
      <c r="C233" s="32"/>
      <c r="D233" s="32"/>
      <c r="E233" s="32"/>
    </row>
    <row r="234" spans="1:5">
      <c r="A234" s="68"/>
      <c r="B234" s="68"/>
      <c r="C234" s="32"/>
      <c r="D234" s="32"/>
      <c r="E234" s="32"/>
    </row>
    <row r="235" spans="1:5">
      <c r="A235" s="68"/>
      <c r="B235" s="68"/>
      <c r="C235" s="32"/>
      <c r="D235" s="32"/>
      <c r="E235" s="32"/>
    </row>
    <row r="236" spans="1:5">
      <c r="A236" s="68"/>
      <c r="B236" s="68"/>
      <c r="C236" s="32"/>
      <c r="D236" s="32"/>
      <c r="E236" s="32"/>
    </row>
    <row r="237" spans="1:5">
      <c r="A237" s="68"/>
      <c r="B237" s="68"/>
      <c r="C237" s="32"/>
      <c r="D237" s="32"/>
      <c r="E237" s="32"/>
    </row>
    <row r="238" spans="1:5">
      <c r="A238" s="68"/>
      <c r="B238" s="68"/>
      <c r="C238" s="32"/>
      <c r="D238" s="32"/>
      <c r="E238" s="32"/>
    </row>
    <row r="239" spans="1:5">
      <c r="A239" s="68"/>
      <c r="B239" s="68"/>
      <c r="C239" s="32"/>
      <c r="D239" s="32"/>
      <c r="E239" s="32"/>
    </row>
    <row r="240" spans="1:5">
      <c r="A240" s="68"/>
      <c r="B240" s="68"/>
      <c r="C240" s="32"/>
      <c r="D240" s="32"/>
      <c r="E240" s="32"/>
    </row>
    <row r="241" spans="1:5">
      <c r="A241" s="68"/>
      <c r="B241" s="68"/>
      <c r="C241" s="32"/>
      <c r="D241" s="32"/>
      <c r="E241" s="32"/>
    </row>
    <row r="242" spans="1:5">
      <c r="A242" s="68"/>
      <c r="B242" s="68"/>
      <c r="C242" s="32"/>
      <c r="D242" s="32"/>
      <c r="E242" s="32"/>
    </row>
    <row r="243" spans="1:5">
      <c r="A243" s="68"/>
      <c r="B243" s="68"/>
      <c r="C243" s="32"/>
      <c r="D243" s="32"/>
      <c r="E243" s="32"/>
    </row>
    <row r="244" spans="1:5">
      <c r="A244" s="68"/>
      <c r="B244" s="68"/>
      <c r="C244" s="32"/>
      <c r="D244" s="32"/>
      <c r="E244" s="32"/>
    </row>
    <row r="245" spans="1:5">
      <c r="A245" s="68"/>
      <c r="B245" s="68"/>
      <c r="C245" s="32"/>
      <c r="D245" s="32"/>
      <c r="E245" s="32"/>
    </row>
    <row r="246" spans="1:5">
      <c r="A246" s="68"/>
      <c r="B246" s="68"/>
      <c r="C246" s="32"/>
      <c r="D246" s="32"/>
      <c r="E246" s="32"/>
    </row>
    <row r="247" spans="1:5">
      <c r="A247" s="68"/>
      <c r="B247" s="68"/>
      <c r="C247" s="32"/>
      <c r="D247" s="32"/>
      <c r="E247" s="32"/>
    </row>
    <row r="248" spans="1:5">
      <c r="A248" s="68"/>
      <c r="B248" s="68"/>
      <c r="C248" s="32"/>
      <c r="D248" s="32"/>
      <c r="E248" s="32"/>
    </row>
    <row r="249" spans="1:5">
      <c r="A249" s="68"/>
      <c r="B249" s="68"/>
      <c r="C249" s="32"/>
      <c r="D249" s="32"/>
      <c r="E249" s="32"/>
    </row>
    <row r="250" spans="1:5">
      <c r="A250" s="68"/>
      <c r="B250" s="68"/>
      <c r="C250" s="32"/>
      <c r="D250" s="32"/>
      <c r="E250" s="32"/>
    </row>
    <row r="251" spans="1:5">
      <c r="A251" s="68"/>
      <c r="B251" s="68"/>
      <c r="C251" s="32"/>
      <c r="D251" s="32"/>
      <c r="E251" s="32"/>
    </row>
    <row r="252" spans="1:5">
      <c r="A252" s="68"/>
      <c r="B252" s="68"/>
      <c r="C252" s="32"/>
      <c r="D252" s="32"/>
      <c r="E252" s="32"/>
    </row>
    <row r="253" spans="1:5">
      <c r="A253" s="68"/>
      <c r="B253" s="68"/>
      <c r="C253" s="32"/>
      <c r="D253" s="32"/>
      <c r="E253" s="32"/>
    </row>
    <row r="254" spans="1:5">
      <c r="A254" s="68"/>
      <c r="B254" s="68"/>
      <c r="C254" s="32"/>
      <c r="D254" s="32"/>
      <c r="E254" s="32"/>
    </row>
    <row r="255" spans="1:5">
      <c r="A255" s="68"/>
      <c r="B255" s="68"/>
      <c r="C255" s="32"/>
      <c r="D255" s="32"/>
      <c r="E255" s="32"/>
    </row>
    <row r="256" spans="1:5">
      <c r="A256" s="68"/>
      <c r="B256" s="68"/>
      <c r="C256" s="32"/>
      <c r="D256" s="32"/>
      <c r="E256" s="32"/>
    </row>
    <row r="257" spans="1:5">
      <c r="A257" s="68"/>
      <c r="B257" s="68"/>
      <c r="C257" s="32"/>
      <c r="D257" s="32"/>
      <c r="E257" s="32"/>
    </row>
    <row r="258" spans="1:5">
      <c r="A258" s="68"/>
      <c r="B258" s="68"/>
      <c r="C258" s="32"/>
      <c r="D258" s="32"/>
      <c r="E258" s="32"/>
    </row>
    <row r="259" spans="1:5">
      <c r="A259" s="68"/>
      <c r="B259" s="68"/>
      <c r="C259" s="32"/>
      <c r="D259" s="32"/>
      <c r="E259" s="32"/>
    </row>
    <row r="260" spans="1:5">
      <c r="A260" s="68"/>
      <c r="B260" s="68"/>
      <c r="C260" s="32"/>
      <c r="D260" s="32"/>
      <c r="E260" s="32"/>
    </row>
    <row r="261" spans="1:5">
      <c r="A261" s="68"/>
      <c r="B261" s="68"/>
      <c r="C261" s="32"/>
      <c r="D261" s="32"/>
      <c r="E261" s="32"/>
    </row>
    <row r="262" spans="1:5">
      <c r="A262" s="68"/>
      <c r="B262" s="68"/>
      <c r="C262" s="32"/>
      <c r="D262" s="32"/>
      <c r="E262" s="32"/>
    </row>
    <row r="263" spans="1:5">
      <c r="A263" s="68"/>
      <c r="B263" s="68"/>
      <c r="C263" s="32"/>
      <c r="D263" s="32"/>
      <c r="E263" s="32"/>
    </row>
    <row r="264" spans="1:5">
      <c r="A264" s="68"/>
      <c r="B264" s="68"/>
      <c r="C264" s="32"/>
      <c r="D264" s="32"/>
      <c r="E264" s="32"/>
    </row>
    <row r="265" spans="1:5">
      <c r="A265" s="68"/>
      <c r="B265" s="68"/>
      <c r="C265" s="32"/>
      <c r="D265" s="32"/>
      <c r="E265" s="32"/>
    </row>
    <row r="266" spans="1:5">
      <c r="A266" s="68"/>
      <c r="B266" s="68"/>
      <c r="C266" s="32"/>
      <c r="D266" s="32"/>
      <c r="E266" s="32"/>
    </row>
    <row r="267" spans="1:5">
      <c r="A267" s="68"/>
      <c r="B267" s="68"/>
      <c r="C267" s="32"/>
      <c r="D267" s="32"/>
      <c r="E267" s="32"/>
    </row>
    <row r="268" spans="1:5">
      <c r="A268" s="68"/>
      <c r="B268" s="68"/>
      <c r="C268" s="32"/>
      <c r="D268" s="32"/>
      <c r="E268" s="32"/>
    </row>
    <row r="269" spans="1:5">
      <c r="A269" s="68"/>
      <c r="B269" s="68"/>
      <c r="C269" s="32"/>
      <c r="D269" s="32"/>
      <c r="E269" s="32"/>
    </row>
    <row r="270" spans="1:5">
      <c r="A270" s="68"/>
      <c r="B270" s="68"/>
      <c r="C270" s="32"/>
      <c r="D270" s="32"/>
      <c r="E270" s="32"/>
    </row>
    <row r="271" spans="1:5">
      <c r="A271" s="68"/>
      <c r="B271" s="68"/>
      <c r="C271" s="32"/>
      <c r="D271" s="32"/>
      <c r="E271" s="32"/>
    </row>
    <row r="272" spans="1:5">
      <c r="A272" s="68"/>
      <c r="B272" s="68"/>
      <c r="C272" s="32"/>
      <c r="D272" s="32"/>
      <c r="E272" s="32"/>
    </row>
    <row r="273" spans="1:5">
      <c r="A273" s="68"/>
      <c r="B273" s="68"/>
      <c r="C273" s="32"/>
      <c r="D273" s="32"/>
      <c r="E273" s="32"/>
    </row>
    <row r="274" spans="1:5">
      <c r="A274" s="68"/>
      <c r="B274" s="68"/>
      <c r="C274" s="32"/>
      <c r="D274" s="32"/>
      <c r="E274" s="32"/>
    </row>
    <row r="275" spans="1:5">
      <c r="A275" s="68"/>
      <c r="B275" s="68"/>
      <c r="C275" s="32"/>
      <c r="D275" s="32"/>
      <c r="E275" s="32"/>
    </row>
    <row r="276" spans="1:5">
      <c r="A276" s="68"/>
      <c r="B276" s="68"/>
      <c r="C276" s="32"/>
      <c r="D276" s="32"/>
      <c r="E276" s="32"/>
    </row>
    <row r="277" spans="1:5">
      <c r="A277" s="68"/>
      <c r="B277" s="68"/>
      <c r="C277" s="32"/>
      <c r="D277" s="32"/>
      <c r="E277" s="32"/>
    </row>
    <row r="278" spans="1:5">
      <c r="A278" s="68"/>
      <c r="B278" s="68"/>
      <c r="C278" s="32"/>
      <c r="D278" s="32"/>
      <c r="E278" s="32"/>
    </row>
    <row r="279" spans="1:5">
      <c r="A279" s="68"/>
      <c r="B279" s="68"/>
      <c r="C279" s="32"/>
      <c r="D279" s="32"/>
      <c r="E279" s="32"/>
    </row>
    <row r="280" spans="1:5">
      <c r="A280" s="68"/>
      <c r="B280" s="68"/>
      <c r="C280" s="32"/>
      <c r="D280" s="32"/>
      <c r="E280" s="32"/>
    </row>
    <row r="281" spans="1:5">
      <c r="A281" s="68"/>
      <c r="B281" s="68"/>
      <c r="C281" s="32"/>
      <c r="D281" s="32"/>
      <c r="E281" s="32"/>
    </row>
    <row r="282" spans="1:5">
      <c r="A282" s="68"/>
      <c r="B282" s="68"/>
      <c r="C282" s="32"/>
      <c r="D282" s="32"/>
      <c r="E282" s="32"/>
    </row>
    <row r="283" spans="1:5">
      <c r="A283" s="68"/>
      <c r="B283" s="68"/>
      <c r="C283" s="32"/>
      <c r="D283" s="32"/>
      <c r="E283" s="32"/>
    </row>
    <row r="284" spans="1:5">
      <c r="A284" s="68"/>
      <c r="B284" s="68"/>
      <c r="C284" s="32"/>
      <c r="D284" s="32"/>
      <c r="E284" s="32"/>
    </row>
    <row r="285" spans="1:5">
      <c r="A285" s="68"/>
      <c r="B285" s="68"/>
      <c r="C285" s="32"/>
      <c r="D285" s="32"/>
      <c r="E285" s="32"/>
    </row>
    <row r="286" spans="1:5">
      <c r="A286" s="68"/>
      <c r="B286" s="68"/>
      <c r="C286" s="32"/>
      <c r="D286" s="32"/>
      <c r="E286" s="32"/>
    </row>
    <row r="287" spans="1:5">
      <c r="A287" s="68"/>
      <c r="B287" s="68"/>
      <c r="C287" s="32"/>
      <c r="D287" s="32"/>
      <c r="E287" s="32"/>
    </row>
    <row r="288" spans="1:5">
      <c r="A288" s="68"/>
      <c r="B288" s="68"/>
      <c r="C288" s="32"/>
      <c r="D288" s="32"/>
      <c r="E288" s="32"/>
    </row>
    <row r="289" spans="1:5">
      <c r="A289" s="68"/>
      <c r="B289" s="68"/>
      <c r="C289" s="32"/>
      <c r="D289" s="32"/>
      <c r="E289" s="32"/>
    </row>
    <row r="290" spans="1:5">
      <c r="A290" s="68"/>
      <c r="B290" s="68"/>
      <c r="C290" s="32"/>
      <c r="D290" s="32"/>
      <c r="E290" s="32"/>
    </row>
    <row r="291" spans="1:5">
      <c r="A291" s="68"/>
      <c r="B291" s="68"/>
      <c r="C291" s="32"/>
      <c r="D291" s="32"/>
      <c r="E291" s="32"/>
    </row>
    <row r="292" spans="1:5">
      <c r="A292" s="68"/>
      <c r="B292" s="68"/>
      <c r="C292" s="32"/>
      <c r="D292" s="32"/>
      <c r="E292" s="32"/>
    </row>
    <row r="293" spans="1:5">
      <c r="A293" s="68"/>
      <c r="B293" s="68"/>
      <c r="C293" s="32"/>
      <c r="D293" s="32"/>
      <c r="E293" s="32"/>
    </row>
    <row r="294" spans="1:5">
      <c r="A294" s="68"/>
      <c r="B294" s="68"/>
      <c r="C294" s="32"/>
      <c r="D294" s="32"/>
      <c r="E294" s="32"/>
    </row>
    <row r="295" spans="1:5">
      <c r="A295" s="68"/>
      <c r="B295" s="68"/>
      <c r="C295" s="32"/>
      <c r="D295" s="32"/>
      <c r="E295" s="32"/>
    </row>
    <row r="296" spans="1:5">
      <c r="A296" s="68"/>
      <c r="B296" s="68"/>
      <c r="C296" s="32"/>
      <c r="D296" s="32"/>
      <c r="E296" s="32"/>
    </row>
    <row r="297" spans="1:5">
      <c r="A297" s="68"/>
      <c r="B297" s="68"/>
      <c r="C297" s="32"/>
      <c r="D297" s="32"/>
      <c r="E297" s="32"/>
    </row>
    <row r="298" spans="1:5">
      <c r="A298" s="68"/>
      <c r="B298" s="68"/>
      <c r="C298" s="32"/>
      <c r="D298" s="32"/>
      <c r="E298" s="32"/>
    </row>
    <row r="299" spans="1:5">
      <c r="A299" s="68"/>
      <c r="B299" s="68"/>
      <c r="C299" s="32"/>
      <c r="D299" s="32"/>
      <c r="E299" s="32"/>
    </row>
    <row r="300" spans="1:5">
      <c r="A300" s="68"/>
      <c r="B300" s="68"/>
      <c r="C300" s="32"/>
      <c r="D300" s="32"/>
      <c r="E300" s="32"/>
    </row>
    <row r="301" spans="1:5">
      <c r="A301" s="68"/>
      <c r="B301" s="68"/>
      <c r="C301" s="32"/>
      <c r="D301" s="32"/>
      <c r="E301" s="32"/>
    </row>
    <row r="302" spans="1:5">
      <c r="A302" s="68"/>
      <c r="B302" s="68"/>
      <c r="C302" s="32"/>
      <c r="D302" s="32"/>
      <c r="E302" s="32"/>
    </row>
    <row r="303" spans="1:5">
      <c r="A303" s="68"/>
      <c r="B303" s="68"/>
      <c r="C303" s="32"/>
      <c r="D303" s="32"/>
      <c r="E303" s="32"/>
    </row>
    <row r="304" spans="1:5">
      <c r="A304" s="68"/>
      <c r="B304" s="68"/>
      <c r="C304" s="32"/>
      <c r="D304" s="32"/>
      <c r="E304" s="32"/>
    </row>
    <row r="305" spans="1:5">
      <c r="A305" s="68"/>
      <c r="B305" s="68"/>
      <c r="C305" s="32"/>
      <c r="D305" s="32"/>
      <c r="E305" s="32"/>
    </row>
    <row r="306" spans="1:5">
      <c r="A306" s="68"/>
      <c r="B306" s="68"/>
      <c r="C306" s="32"/>
      <c r="D306" s="32"/>
      <c r="E306" s="32"/>
    </row>
    <row r="307" spans="1:5">
      <c r="A307" s="68"/>
      <c r="B307" s="68"/>
      <c r="C307" s="32"/>
      <c r="D307" s="32"/>
      <c r="E307" s="32"/>
    </row>
    <row r="308" spans="1:5">
      <c r="A308" s="68"/>
      <c r="B308" s="68"/>
      <c r="C308" s="32"/>
      <c r="D308" s="32"/>
      <c r="E308" s="32"/>
    </row>
    <row r="309" spans="1:5">
      <c r="A309" s="68"/>
      <c r="B309" s="68"/>
      <c r="C309" s="32"/>
      <c r="D309" s="32"/>
      <c r="E309" s="32"/>
    </row>
    <row r="310" spans="1:5">
      <c r="A310" s="68"/>
      <c r="B310" s="68"/>
      <c r="C310" s="32"/>
      <c r="D310" s="32"/>
      <c r="E310" s="32"/>
    </row>
    <row r="311" spans="1:5">
      <c r="A311" s="68"/>
      <c r="B311" s="68"/>
      <c r="C311" s="32"/>
      <c r="D311" s="32"/>
      <c r="E311" s="32"/>
    </row>
    <row r="312" spans="1:5">
      <c r="A312" s="68"/>
      <c r="B312" s="68"/>
      <c r="C312" s="32"/>
      <c r="D312" s="32"/>
      <c r="E312" s="32"/>
    </row>
    <row r="313" spans="1:5">
      <c r="A313" s="68"/>
      <c r="B313" s="68"/>
      <c r="C313" s="32"/>
      <c r="D313" s="32"/>
      <c r="E313" s="32"/>
    </row>
    <row r="314" spans="1:5">
      <c r="A314" s="68"/>
      <c r="B314" s="68"/>
      <c r="C314" s="32"/>
      <c r="D314" s="32"/>
      <c r="E314" s="32"/>
    </row>
    <row r="315" spans="1:5">
      <c r="A315" s="68"/>
      <c r="B315" s="68"/>
      <c r="C315" s="32"/>
      <c r="D315" s="32"/>
      <c r="E315" s="32"/>
    </row>
    <row r="316" spans="1:5">
      <c r="A316" s="68"/>
      <c r="B316" s="68"/>
      <c r="C316" s="32"/>
      <c r="D316" s="32"/>
      <c r="E316" s="32"/>
    </row>
    <row r="317" spans="1:5">
      <c r="A317" s="68"/>
      <c r="B317" s="68"/>
      <c r="C317" s="32"/>
      <c r="D317" s="32"/>
      <c r="E317" s="32"/>
    </row>
    <row r="318" spans="1:5">
      <c r="A318" s="68"/>
      <c r="B318" s="68"/>
      <c r="C318" s="32"/>
      <c r="D318" s="32"/>
      <c r="E318" s="32"/>
    </row>
    <row r="319" spans="1:5">
      <c r="A319" s="68"/>
      <c r="B319" s="68"/>
      <c r="C319" s="32"/>
      <c r="D319" s="32"/>
      <c r="E319" s="32"/>
    </row>
    <row r="320" spans="1:5">
      <c r="A320" s="68"/>
      <c r="B320" s="68"/>
      <c r="C320" s="32"/>
      <c r="D320" s="32"/>
      <c r="E320" s="32"/>
    </row>
    <row r="321" spans="1:5">
      <c r="A321" s="68"/>
      <c r="B321" s="68"/>
      <c r="C321" s="32"/>
      <c r="D321" s="32"/>
      <c r="E321" s="32"/>
    </row>
    <row r="322" spans="1:5">
      <c r="A322" s="68"/>
      <c r="B322" s="68"/>
      <c r="C322" s="32"/>
      <c r="D322" s="32"/>
      <c r="E322" s="32"/>
    </row>
    <row r="323" spans="1:5">
      <c r="A323" s="68"/>
      <c r="B323" s="68"/>
      <c r="C323" s="32"/>
      <c r="D323" s="32"/>
      <c r="E323" s="32"/>
    </row>
    <row r="324" spans="1:5">
      <c r="A324" s="68"/>
      <c r="B324" s="68"/>
      <c r="C324" s="32"/>
      <c r="D324" s="32"/>
      <c r="E324" s="32"/>
    </row>
    <row r="325" spans="1:5">
      <c r="A325" s="68"/>
      <c r="B325" s="68"/>
      <c r="C325" s="32"/>
      <c r="D325" s="32"/>
      <c r="E325" s="32"/>
    </row>
    <row r="326" spans="1:5">
      <c r="A326" s="68"/>
      <c r="B326" s="68"/>
      <c r="C326" s="32"/>
      <c r="D326" s="32"/>
      <c r="E326" s="32"/>
    </row>
    <row r="327" spans="1:5">
      <c r="A327" s="68"/>
      <c r="B327" s="68"/>
      <c r="C327" s="32"/>
      <c r="D327" s="32"/>
      <c r="E327" s="32"/>
    </row>
    <row r="328" spans="1:5">
      <c r="A328" s="68"/>
      <c r="B328" s="68"/>
      <c r="C328" s="32"/>
      <c r="D328" s="32"/>
      <c r="E328" s="32"/>
    </row>
    <row r="329" spans="1:5">
      <c r="A329" s="68"/>
      <c r="B329" s="68"/>
      <c r="C329" s="32"/>
      <c r="D329" s="32"/>
      <c r="E329" s="32"/>
    </row>
    <row r="330" spans="1:5">
      <c r="A330" s="68"/>
      <c r="B330" s="68"/>
      <c r="C330" s="32"/>
      <c r="D330" s="32"/>
      <c r="E330" s="32"/>
    </row>
    <row r="331" spans="1:5">
      <c r="A331" s="68"/>
      <c r="B331" s="68"/>
      <c r="C331" s="32"/>
      <c r="D331" s="32"/>
      <c r="E331" s="32"/>
    </row>
    <row r="332" spans="1:5">
      <c r="A332" s="68"/>
      <c r="B332" s="68"/>
      <c r="C332" s="32"/>
      <c r="D332" s="32"/>
      <c r="E332" s="32"/>
    </row>
    <row r="333" spans="1:5">
      <c r="A333" s="68"/>
      <c r="B333" s="68"/>
      <c r="C333" s="32"/>
      <c r="D333" s="32"/>
      <c r="E333" s="32"/>
    </row>
    <row r="334" spans="1:5">
      <c r="A334" s="68"/>
      <c r="B334" s="68"/>
      <c r="C334" s="32"/>
      <c r="D334" s="32"/>
      <c r="E334" s="32"/>
    </row>
    <row r="335" spans="1:5">
      <c r="A335" s="68"/>
      <c r="B335" s="68"/>
      <c r="C335" s="32"/>
      <c r="D335" s="32"/>
      <c r="E335" s="32"/>
    </row>
    <row r="336" spans="1:5">
      <c r="A336" s="68"/>
      <c r="B336" s="68"/>
      <c r="C336" s="32"/>
      <c r="D336" s="32"/>
      <c r="E336" s="32"/>
    </row>
    <row r="337" spans="1:5">
      <c r="A337" s="68"/>
      <c r="B337" s="68"/>
      <c r="C337" s="32"/>
      <c r="D337" s="32"/>
      <c r="E337" s="32"/>
    </row>
    <row r="338" spans="1:5">
      <c r="A338" s="68"/>
      <c r="B338" s="68"/>
      <c r="C338" s="32"/>
      <c r="D338" s="32"/>
      <c r="E338" s="32"/>
    </row>
    <row r="339" spans="1:5">
      <c r="A339" s="68"/>
      <c r="B339" s="68"/>
      <c r="C339" s="32"/>
      <c r="D339" s="32"/>
      <c r="E339" s="32"/>
    </row>
    <row r="340" spans="1:5">
      <c r="A340" s="68"/>
      <c r="B340" s="68"/>
      <c r="C340" s="32"/>
      <c r="D340" s="32"/>
      <c r="E340" s="32"/>
    </row>
    <row r="341" spans="1:5">
      <c r="A341" s="68"/>
      <c r="B341" s="68"/>
      <c r="C341" s="32"/>
      <c r="D341" s="32"/>
      <c r="E341" s="32"/>
    </row>
    <row r="342" spans="1:5">
      <c r="A342" s="68"/>
      <c r="B342" s="68"/>
      <c r="C342" s="32"/>
      <c r="D342" s="32"/>
      <c r="E342" s="32"/>
    </row>
    <row r="343" spans="1:5">
      <c r="A343" s="68"/>
      <c r="B343" s="68"/>
      <c r="C343" s="32"/>
      <c r="D343" s="32"/>
      <c r="E343" s="32"/>
    </row>
    <row r="344" spans="1:5">
      <c r="A344" s="68"/>
      <c r="B344" s="68"/>
      <c r="C344" s="32"/>
      <c r="D344" s="32"/>
      <c r="E344" s="32"/>
    </row>
    <row r="345" spans="1:5">
      <c r="A345" s="68"/>
      <c r="B345" s="68"/>
      <c r="C345" s="32"/>
      <c r="D345" s="32"/>
      <c r="E345" s="32"/>
    </row>
    <row r="346" spans="1:5">
      <c r="A346" s="68"/>
      <c r="B346" s="68"/>
      <c r="C346" s="32"/>
      <c r="D346" s="32"/>
      <c r="E346" s="32"/>
    </row>
    <row r="347" spans="1:5">
      <c r="A347" s="68"/>
      <c r="B347" s="68"/>
      <c r="C347" s="32"/>
      <c r="D347" s="32"/>
      <c r="E347" s="32"/>
    </row>
    <row r="348" spans="1:5">
      <c r="A348" s="68"/>
      <c r="B348" s="68"/>
      <c r="C348" s="32"/>
      <c r="D348" s="32"/>
      <c r="E348" s="32"/>
    </row>
    <row r="349" spans="1:5">
      <c r="A349" s="68"/>
      <c r="B349" s="68"/>
      <c r="C349" s="32"/>
      <c r="D349" s="32"/>
      <c r="E349" s="32"/>
    </row>
    <row r="350" spans="1:5">
      <c r="A350" s="68"/>
      <c r="B350" s="68"/>
      <c r="C350" s="32"/>
      <c r="D350" s="32"/>
      <c r="E350" s="32"/>
    </row>
    <row r="351" spans="1:5">
      <c r="A351" s="68"/>
      <c r="B351" s="68"/>
      <c r="C351" s="32"/>
      <c r="D351" s="32"/>
      <c r="E351" s="32"/>
    </row>
    <row r="352" spans="1:5">
      <c r="A352" s="68"/>
      <c r="B352" s="68"/>
      <c r="C352" s="32"/>
      <c r="D352" s="32"/>
      <c r="E352" s="32"/>
    </row>
    <row r="353" spans="1:5">
      <c r="A353" s="68"/>
      <c r="B353" s="68"/>
      <c r="C353" s="32"/>
      <c r="D353" s="32"/>
      <c r="E353" s="32"/>
    </row>
    <row r="354" spans="1:5">
      <c r="A354" s="68"/>
      <c r="B354" s="68"/>
      <c r="C354" s="32"/>
      <c r="D354" s="32"/>
      <c r="E354" s="32"/>
    </row>
    <row r="355" spans="1:5">
      <c r="A355" s="68"/>
      <c r="B355" s="68"/>
      <c r="C355" s="32"/>
      <c r="D355" s="32"/>
      <c r="E355" s="32"/>
    </row>
    <row r="356" spans="1:5">
      <c r="A356" s="68"/>
      <c r="B356" s="68"/>
      <c r="C356" s="32"/>
      <c r="D356" s="32"/>
      <c r="E356" s="32"/>
    </row>
    <row r="357" spans="1:5">
      <c r="A357" s="68"/>
      <c r="B357" s="68"/>
      <c r="C357" s="32"/>
      <c r="D357" s="32"/>
      <c r="E357" s="32"/>
    </row>
    <row r="358" spans="1:5">
      <c r="A358" s="68"/>
      <c r="B358" s="68"/>
      <c r="C358" s="32"/>
      <c r="D358" s="32"/>
      <c r="E358" s="32"/>
    </row>
    <row r="359" spans="1:5">
      <c r="A359" s="68"/>
      <c r="B359" s="68"/>
      <c r="C359" s="32"/>
      <c r="D359" s="32"/>
      <c r="E359" s="32"/>
    </row>
    <row r="360" spans="1:5">
      <c r="A360" s="68"/>
      <c r="B360" s="68"/>
      <c r="C360" s="32"/>
      <c r="D360" s="32"/>
      <c r="E360" s="32"/>
    </row>
    <row r="361" spans="1:5">
      <c r="A361" s="68"/>
      <c r="B361" s="68"/>
      <c r="C361" s="32"/>
      <c r="D361" s="32"/>
      <c r="E361" s="32"/>
    </row>
    <row r="362" spans="1:5">
      <c r="A362" s="68"/>
      <c r="B362" s="68"/>
      <c r="C362" s="32"/>
      <c r="D362" s="32"/>
      <c r="E362" s="32"/>
    </row>
    <row r="363" spans="1:5">
      <c r="A363" s="68"/>
      <c r="B363" s="68"/>
      <c r="C363" s="32"/>
      <c r="D363" s="32"/>
      <c r="E363" s="32"/>
    </row>
    <row r="364" spans="1:5">
      <c r="A364" s="68"/>
      <c r="B364" s="68"/>
      <c r="C364" s="32"/>
      <c r="D364" s="32"/>
      <c r="E364" s="32"/>
    </row>
    <row r="365" spans="1:5">
      <c r="A365" s="68"/>
      <c r="B365" s="68"/>
      <c r="C365" s="32"/>
      <c r="D365" s="32"/>
      <c r="E365" s="32"/>
    </row>
    <row r="366" spans="1:5">
      <c r="A366" s="68"/>
      <c r="B366" s="68"/>
      <c r="C366" s="32"/>
      <c r="D366" s="32"/>
      <c r="E366" s="32"/>
    </row>
    <row r="367" spans="1:5">
      <c r="A367" s="68"/>
      <c r="B367" s="68"/>
      <c r="C367" s="32"/>
      <c r="D367" s="32"/>
      <c r="E367" s="32"/>
    </row>
    <row r="368" spans="1:5">
      <c r="A368" s="68"/>
      <c r="B368" s="68"/>
      <c r="C368" s="32"/>
      <c r="D368" s="32"/>
      <c r="E368" s="32"/>
    </row>
    <row r="369" spans="1:5">
      <c r="A369" s="68"/>
      <c r="B369" s="68"/>
      <c r="C369" s="32"/>
      <c r="D369" s="32"/>
      <c r="E369" s="32"/>
    </row>
    <row r="370" spans="1:5">
      <c r="A370" s="68"/>
      <c r="B370" s="68"/>
      <c r="C370" s="32"/>
      <c r="D370" s="32"/>
      <c r="E370" s="32"/>
    </row>
    <row r="371" spans="1:5">
      <c r="A371" s="68"/>
      <c r="B371" s="68"/>
      <c r="C371" s="32"/>
      <c r="D371" s="32"/>
      <c r="E371" s="32"/>
    </row>
    <row r="372" spans="1:5">
      <c r="A372" s="68"/>
      <c r="B372" s="68"/>
      <c r="C372" s="32"/>
      <c r="D372" s="32"/>
      <c r="E372" s="32"/>
    </row>
    <row r="373" spans="1:5">
      <c r="A373" s="68"/>
      <c r="B373" s="68"/>
      <c r="C373" s="32"/>
      <c r="D373" s="32"/>
      <c r="E373" s="32"/>
    </row>
    <row r="374" spans="1:5">
      <c r="A374" s="68"/>
      <c r="B374" s="68"/>
      <c r="C374" s="32"/>
      <c r="D374" s="32"/>
      <c r="E374" s="32"/>
    </row>
    <row r="375" spans="1:5">
      <c r="A375" s="68"/>
      <c r="B375" s="68"/>
      <c r="C375" s="32"/>
      <c r="D375" s="32"/>
      <c r="E375" s="32"/>
    </row>
    <row r="376" spans="1:5">
      <c r="A376" s="68"/>
      <c r="B376" s="68"/>
      <c r="C376" s="32"/>
      <c r="D376" s="32"/>
      <c r="E376" s="32"/>
    </row>
    <row r="377" spans="1:5">
      <c r="A377" s="68"/>
      <c r="B377" s="68"/>
      <c r="C377" s="32"/>
      <c r="D377" s="32"/>
      <c r="E377" s="32"/>
    </row>
    <row r="378" spans="1:5">
      <c r="A378" s="68"/>
      <c r="B378" s="68"/>
      <c r="C378" s="32"/>
      <c r="D378" s="32"/>
      <c r="E378" s="32"/>
    </row>
    <row r="379" spans="1:5">
      <c r="A379" s="68"/>
      <c r="B379" s="68"/>
      <c r="C379" s="32"/>
      <c r="D379" s="32"/>
      <c r="E379" s="32"/>
    </row>
    <row r="380" spans="1:5">
      <c r="A380" s="68"/>
      <c r="B380" s="68"/>
      <c r="C380" s="32"/>
      <c r="D380" s="32"/>
      <c r="E380" s="32"/>
    </row>
    <row r="381" spans="1:5">
      <c r="A381" s="68"/>
      <c r="B381" s="68"/>
      <c r="C381" s="32"/>
      <c r="D381" s="32"/>
      <c r="E381" s="32"/>
    </row>
    <row r="382" spans="1:5">
      <c r="A382" s="68"/>
      <c r="B382" s="68"/>
      <c r="C382" s="32"/>
      <c r="D382" s="32"/>
      <c r="E382" s="32"/>
    </row>
    <row r="383" spans="1:5">
      <c r="A383" s="68"/>
      <c r="B383" s="68"/>
      <c r="C383" s="32"/>
      <c r="D383" s="32"/>
      <c r="E383" s="32"/>
    </row>
    <row r="384" spans="1:5">
      <c r="A384" s="68"/>
      <c r="B384" s="68"/>
      <c r="C384" s="32"/>
      <c r="D384" s="32"/>
      <c r="E384" s="32"/>
    </row>
    <row r="385" spans="1:5">
      <c r="A385" s="68"/>
      <c r="B385" s="68"/>
      <c r="C385" s="32"/>
      <c r="D385" s="32"/>
      <c r="E385" s="32"/>
    </row>
    <row r="386" spans="1:5">
      <c r="A386" s="68"/>
      <c r="B386" s="68"/>
      <c r="C386" s="32"/>
      <c r="D386" s="32"/>
      <c r="E386" s="32"/>
    </row>
    <row r="387" spans="1:5">
      <c r="A387" s="68"/>
      <c r="B387" s="68"/>
      <c r="C387" s="32"/>
      <c r="D387" s="32"/>
      <c r="E387" s="32"/>
    </row>
    <row r="388" spans="1:5">
      <c r="A388" s="68"/>
      <c r="B388" s="68"/>
      <c r="C388" s="32"/>
      <c r="D388" s="32"/>
      <c r="E388" s="32"/>
    </row>
    <row r="389" spans="1:5">
      <c r="A389" s="68"/>
      <c r="B389" s="68"/>
      <c r="C389" s="32"/>
      <c r="D389" s="32"/>
      <c r="E389" s="32"/>
    </row>
    <row r="390" spans="1:5">
      <c r="A390" s="68"/>
      <c r="B390" s="68"/>
      <c r="C390" s="32"/>
      <c r="D390" s="32"/>
      <c r="E390" s="32"/>
    </row>
    <row r="391" spans="1:5">
      <c r="A391" s="68"/>
      <c r="B391" s="68"/>
      <c r="C391" s="32"/>
      <c r="D391" s="32"/>
      <c r="E391" s="32"/>
    </row>
    <row r="392" spans="1:5">
      <c r="A392" s="68"/>
      <c r="B392" s="68"/>
      <c r="C392" s="32"/>
      <c r="D392" s="32"/>
      <c r="E392" s="32"/>
    </row>
    <row r="393" spans="1:5">
      <c r="A393" s="68"/>
      <c r="B393" s="68"/>
      <c r="C393" s="32"/>
      <c r="D393" s="32"/>
      <c r="E393" s="32"/>
    </row>
    <row r="394" spans="1:5">
      <c r="A394" s="68"/>
      <c r="B394" s="68"/>
      <c r="C394" s="32"/>
      <c r="D394" s="32"/>
      <c r="E394" s="32"/>
    </row>
    <row r="395" spans="1:5">
      <c r="A395" s="68"/>
      <c r="B395" s="68"/>
      <c r="C395" s="32"/>
      <c r="D395" s="32"/>
      <c r="E395" s="32"/>
    </row>
    <row r="396" spans="1:5">
      <c r="A396" s="68"/>
      <c r="B396" s="68"/>
      <c r="C396" s="32"/>
      <c r="D396" s="32"/>
      <c r="E396" s="32"/>
    </row>
    <row r="397" spans="1:5">
      <c r="A397" s="68"/>
      <c r="B397" s="68"/>
      <c r="C397" s="32"/>
      <c r="D397" s="32"/>
      <c r="E397" s="32"/>
    </row>
    <row r="398" spans="1:5">
      <c r="A398" s="68"/>
      <c r="B398" s="68"/>
      <c r="C398" s="32"/>
      <c r="D398" s="32"/>
      <c r="E398" s="32"/>
    </row>
    <row r="399" spans="1:5">
      <c r="A399" s="68"/>
      <c r="B399" s="68"/>
      <c r="C399" s="32"/>
      <c r="D399" s="32"/>
      <c r="E399" s="32"/>
    </row>
    <row r="400" spans="1:5">
      <c r="A400" s="68"/>
      <c r="B400" s="68"/>
      <c r="C400" s="32"/>
      <c r="D400" s="32"/>
      <c r="E400" s="32"/>
    </row>
    <row r="401" spans="1:5">
      <c r="A401" s="68"/>
      <c r="B401" s="68"/>
      <c r="C401" s="32"/>
      <c r="D401" s="32"/>
      <c r="E401" s="32"/>
    </row>
    <row r="402" spans="1:5">
      <c r="A402" s="68"/>
      <c r="B402" s="68"/>
      <c r="C402" s="32"/>
      <c r="D402" s="32"/>
      <c r="E402" s="32"/>
    </row>
    <row r="403" spans="1:5">
      <c r="A403" s="68"/>
      <c r="B403" s="68"/>
      <c r="C403" s="32"/>
      <c r="D403" s="32"/>
      <c r="E403" s="32"/>
    </row>
    <row r="404" spans="1:5">
      <c r="A404" s="68"/>
      <c r="B404" s="68"/>
      <c r="C404" s="32"/>
      <c r="D404" s="32"/>
      <c r="E404" s="32"/>
    </row>
    <row r="405" spans="1:5">
      <c r="A405" s="68"/>
      <c r="B405" s="68"/>
      <c r="C405" s="32"/>
      <c r="D405" s="32"/>
      <c r="E405" s="32"/>
    </row>
    <row r="406" spans="1:5">
      <c r="A406" s="68"/>
      <c r="B406" s="68"/>
      <c r="C406" s="32"/>
      <c r="D406" s="32"/>
      <c r="E406" s="32"/>
    </row>
    <row r="407" spans="1:5">
      <c r="A407" s="68"/>
      <c r="B407" s="68"/>
      <c r="C407" s="32"/>
      <c r="D407" s="32"/>
      <c r="E407" s="32"/>
    </row>
    <row r="408" spans="1:5">
      <c r="A408" s="68"/>
      <c r="B408" s="68"/>
      <c r="C408" s="32"/>
      <c r="D408" s="32"/>
      <c r="E408" s="32"/>
    </row>
    <row r="409" spans="1:5">
      <c r="A409" s="68"/>
      <c r="B409" s="68"/>
      <c r="C409" s="32"/>
      <c r="D409" s="32"/>
      <c r="E409" s="32"/>
    </row>
    <row r="410" spans="1:5">
      <c r="A410" s="68"/>
      <c r="B410" s="68"/>
      <c r="C410" s="32"/>
      <c r="D410" s="32"/>
      <c r="E410" s="32"/>
    </row>
    <row r="411" spans="1:5">
      <c r="A411" s="68"/>
      <c r="B411" s="68"/>
      <c r="C411" s="32"/>
      <c r="D411" s="32"/>
      <c r="E411" s="32"/>
    </row>
    <row r="412" spans="1:5">
      <c r="A412" s="68"/>
      <c r="B412" s="68"/>
      <c r="C412" s="32"/>
      <c r="D412" s="32"/>
      <c r="E412" s="32"/>
    </row>
    <row r="413" spans="1:5">
      <c r="A413" s="68"/>
      <c r="B413" s="68"/>
      <c r="C413" s="32"/>
      <c r="D413" s="32"/>
      <c r="E413" s="32"/>
    </row>
    <row r="414" spans="1:5">
      <c r="A414" s="68"/>
      <c r="B414" s="68"/>
      <c r="C414" s="32"/>
      <c r="D414" s="32"/>
      <c r="E414" s="32"/>
    </row>
    <row r="415" spans="1:5">
      <c r="A415" s="68"/>
      <c r="B415" s="68"/>
      <c r="C415" s="32"/>
      <c r="D415" s="32"/>
      <c r="E415" s="32"/>
    </row>
    <row r="416" spans="1:5">
      <c r="A416" s="68"/>
      <c r="B416" s="68"/>
      <c r="C416" s="32"/>
      <c r="D416" s="32"/>
      <c r="E416" s="32"/>
    </row>
    <row r="417" spans="1:5">
      <c r="A417" s="68"/>
      <c r="B417" s="68"/>
      <c r="C417" s="32"/>
      <c r="D417" s="32"/>
      <c r="E417" s="32"/>
    </row>
    <row r="418" spans="1:5">
      <c r="A418" s="68"/>
      <c r="B418" s="68"/>
      <c r="C418" s="32"/>
      <c r="D418" s="32"/>
      <c r="E418" s="32"/>
    </row>
    <row r="419" spans="1:5">
      <c r="A419" s="68"/>
      <c r="B419" s="68"/>
      <c r="C419" s="32"/>
      <c r="D419" s="32"/>
      <c r="E419" s="32"/>
    </row>
    <row r="420" spans="1:5">
      <c r="A420" s="68"/>
      <c r="B420" s="68"/>
      <c r="C420" s="32"/>
      <c r="D420" s="32"/>
      <c r="E420" s="32"/>
    </row>
    <row r="421" spans="1:5">
      <c r="A421" s="68"/>
      <c r="B421" s="68"/>
      <c r="C421" s="32"/>
      <c r="D421" s="32"/>
      <c r="E421" s="32"/>
    </row>
    <row r="422" spans="1:5">
      <c r="A422" s="68"/>
      <c r="B422" s="68"/>
      <c r="C422" s="32"/>
      <c r="D422" s="32"/>
      <c r="E422" s="32"/>
    </row>
    <row r="423" spans="1:5">
      <c r="A423" s="68"/>
      <c r="B423" s="68"/>
      <c r="C423" s="32"/>
      <c r="D423" s="32"/>
      <c r="E423" s="32"/>
    </row>
    <row r="424" spans="1:5">
      <c r="A424" s="68"/>
      <c r="B424" s="68"/>
      <c r="C424" s="32"/>
      <c r="D424" s="32"/>
      <c r="E424" s="32"/>
    </row>
    <row r="425" spans="1:5">
      <c r="A425" s="68"/>
      <c r="B425" s="68"/>
      <c r="C425" s="32"/>
      <c r="D425" s="32"/>
      <c r="E425" s="32"/>
    </row>
    <row r="426" spans="1:5">
      <c r="A426" s="68"/>
      <c r="B426" s="68"/>
      <c r="C426" s="32"/>
      <c r="D426" s="32"/>
      <c r="E426" s="32"/>
    </row>
    <row r="427" spans="1:5">
      <c r="A427" s="68"/>
      <c r="B427" s="68"/>
      <c r="C427" s="32"/>
      <c r="D427" s="32"/>
      <c r="E427" s="32"/>
    </row>
    <row r="428" spans="1:5">
      <c r="A428" s="68"/>
      <c r="B428" s="68"/>
      <c r="C428" s="32"/>
      <c r="D428" s="32"/>
      <c r="E428" s="32"/>
    </row>
    <row r="429" spans="1:5">
      <c r="A429" s="68"/>
      <c r="B429" s="68"/>
      <c r="C429" s="32"/>
      <c r="D429" s="32"/>
      <c r="E429" s="32"/>
    </row>
    <row r="430" spans="1:5">
      <c r="A430" s="68"/>
      <c r="B430" s="68"/>
      <c r="C430" s="32"/>
      <c r="D430" s="32"/>
      <c r="E430" s="32"/>
    </row>
    <row r="431" spans="1:5">
      <c r="A431" s="68"/>
      <c r="B431" s="68"/>
      <c r="C431" s="32"/>
      <c r="D431" s="32"/>
      <c r="E431" s="32"/>
    </row>
    <row r="432" spans="1:5">
      <c r="A432" s="68"/>
      <c r="B432" s="68"/>
      <c r="C432" s="32"/>
      <c r="D432" s="32"/>
      <c r="E432" s="32"/>
    </row>
    <row r="433" spans="1:5">
      <c r="A433" s="68"/>
      <c r="B433" s="68"/>
      <c r="C433" s="32"/>
      <c r="D433" s="32"/>
      <c r="E433" s="32"/>
    </row>
    <row r="434" spans="1:5">
      <c r="A434" s="68"/>
      <c r="B434" s="68"/>
      <c r="C434" s="32"/>
      <c r="D434" s="32"/>
      <c r="E434" s="32"/>
    </row>
    <row r="435" spans="1:5">
      <c r="A435" s="68"/>
      <c r="B435" s="68"/>
      <c r="C435" s="32"/>
      <c r="D435" s="32"/>
      <c r="E435" s="32"/>
    </row>
    <row r="436" spans="1:5">
      <c r="A436" s="68"/>
      <c r="B436" s="68"/>
      <c r="C436" s="32"/>
      <c r="D436" s="32"/>
      <c r="E436" s="32"/>
    </row>
    <row r="437" spans="1:5">
      <c r="A437" s="68"/>
      <c r="B437" s="68"/>
      <c r="C437" s="32"/>
      <c r="D437" s="32"/>
      <c r="E437" s="32"/>
    </row>
    <row r="438" spans="1:5">
      <c r="A438" s="68"/>
      <c r="B438" s="68"/>
      <c r="C438" s="32"/>
      <c r="D438" s="32"/>
      <c r="E438" s="32"/>
    </row>
    <row r="439" spans="1:5">
      <c r="A439" s="68"/>
      <c r="B439" s="68"/>
      <c r="C439" s="32"/>
      <c r="D439" s="32"/>
      <c r="E439" s="32"/>
    </row>
    <row r="440" spans="1:5">
      <c r="A440" s="68"/>
      <c r="B440" s="68"/>
      <c r="C440" s="32"/>
      <c r="D440" s="32"/>
      <c r="E440" s="32"/>
    </row>
    <row r="441" spans="1:5">
      <c r="A441" s="68"/>
      <c r="B441" s="68"/>
      <c r="C441" s="32"/>
      <c r="D441" s="32"/>
      <c r="E441" s="32"/>
    </row>
    <row r="442" spans="1:5">
      <c r="A442" s="68"/>
      <c r="B442" s="68"/>
      <c r="C442" s="32"/>
      <c r="D442" s="32"/>
      <c r="E442" s="32"/>
    </row>
    <row r="443" spans="1:5">
      <c r="A443" s="68"/>
      <c r="B443" s="68"/>
      <c r="C443" s="32"/>
      <c r="D443" s="32"/>
      <c r="E443" s="32"/>
    </row>
    <row r="444" spans="1:5">
      <c r="A444" s="68"/>
      <c r="B444" s="68"/>
      <c r="C444" s="32"/>
      <c r="D444" s="32"/>
      <c r="E444" s="32"/>
    </row>
    <row r="445" spans="1:5">
      <c r="A445" s="68"/>
      <c r="B445" s="68"/>
      <c r="C445" s="32"/>
      <c r="D445" s="32"/>
      <c r="E445" s="32"/>
    </row>
    <row r="446" spans="1:5">
      <c r="A446" s="68"/>
      <c r="B446" s="68"/>
      <c r="C446" s="32"/>
      <c r="D446" s="32"/>
      <c r="E446" s="32"/>
    </row>
    <row r="447" spans="1:5">
      <c r="A447" s="68"/>
      <c r="B447" s="68"/>
      <c r="C447" s="32"/>
      <c r="D447" s="32"/>
      <c r="E447" s="32"/>
    </row>
    <row r="448" spans="1:5">
      <c r="A448" s="68"/>
      <c r="B448" s="68"/>
      <c r="C448" s="32"/>
      <c r="D448" s="32"/>
      <c r="E448" s="32"/>
    </row>
    <row r="449" spans="1:5">
      <c r="A449" s="68"/>
      <c r="B449" s="68"/>
      <c r="C449" s="32"/>
      <c r="D449" s="32"/>
      <c r="E449" s="32"/>
    </row>
    <row r="450" spans="1:5">
      <c r="A450" s="68"/>
      <c r="B450" s="68"/>
      <c r="C450" s="32"/>
      <c r="D450" s="32"/>
      <c r="E450" s="32"/>
    </row>
    <row r="451" spans="1:5">
      <c r="A451" s="68"/>
      <c r="B451" s="68"/>
      <c r="C451" s="32"/>
      <c r="D451" s="32"/>
      <c r="E451" s="32"/>
    </row>
    <row r="452" spans="1:5">
      <c r="A452" s="68"/>
      <c r="B452" s="68"/>
      <c r="C452" s="32"/>
      <c r="D452" s="32"/>
      <c r="E452" s="32"/>
    </row>
    <row r="453" spans="1:5">
      <c r="A453" s="68"/>
      <c r="B453" s="68"/>
      <c r="C453" s="32"/>
      <c r="D453" s="32"/>
      <c r="E453" s="32"/>
    </row>
    <row r="454" spans="1:5">
      <c r="A454" s="68"/>
      <c r="B454" s="68"/>
      <c r="C454" s="32"/>
      <c r="D454" s="32"/>
      <c r="E454" s="32"/>
    </row>
    <row r="455" spans="1:5">
      <c r="A455" s="68"/>
      <c r="B455" s="68"/>
      <c r="C455" s="32"/>
      <c r="D455" s="32"/>
      <c r="E455" s="32"/>
    </row>
    <row r="456" spans="1:5">
      <c r="A456" s="68"/>
      <c r="B456" s="68"/>
      <c r="C456" s="32"/>
      <c r="D456" s="32"/>
      <c r="E456" s="32"/>
    </row>
    <row r="457" spans="1:5">
      <c r="A457" s="68"/>
      <c r="B457" s="68"/>
      <c r="C457" s="32"/>
      <c r="D457" s="32"/>
      <c r="E457" s="32"/>
    </row>
    <row r="458" spans="1:5">
      <c r="A458" s="68"/>
      <c r="B458" s="68"/>
      <c r="C458" s="32"/>
      <c r="D458" s="32"/>
      <c r="E458" s="32"/>
    </row>
    <row r="459" spans="1:5">
      <c r="A459" s="68"/>
      <c r="B459" s="68"/>
      <c r="C459" s="32"/>
      <c r="D459" s="32"/>
      <c r="E459" s="32"/>
    </row>
    <row r="460" spans="1:5">
      <c r="A460" s="68"/>
      <c r="B460" s="68"/>
      <c r="C460" s="32"/>
      <c r="D460" s="32"/>
      <c r="E460" s="32"/>
    </row>
    <row r="461" spans="1:5">
      <c r="A461" s="68"/>
      <c r="B461" s="68"/>
      <c r="C461" s="32"/>
      <c r="D461" s="32"/>
      <c r="E461" s="32"/>
    </row>
    <row r="462" spans="1:5">
      <c r="A462" s="68"/>
      <c r="B462" s="68"/>
      <c r="C462" s="32"/>
      <c r="D462" s="32"/>
      <c r="E462" s="32"/>
    </row>
    <row r="463" spans="1:5">
      <c r="A463" s="68"/>
      <c r="B463" s="68"/>
      <c r="C463" s="32"/>
      <c r="D463" s="32"/>
      <c r="E463" s="32"/>
    </row>
    <row r="464" spans="1:5">
      <c r="A464" s="68"/>
      <c r="B464" s="68"/>
      <c r="C464" s="32"/>
      <c r="D464" s="32"/>
      <c r="E464" s="32"/>
    </row>
    <row r="465" spans="1:5">
      <c r="A465" s="68"/>
      <c r="B465" s="68"/>
      <c r="C465" s="32"/>
      <c r="D465" s="32"/>
      <c r="E465" s="32"/>
    </row>
    <row r="466" spans="1:5">
      <c r="A466" s="68"/>
      <c r="B466" s="68"/>
      <c r="C466" s="32"/>
      <c r="D466" s="32"/>
      <c r="E466" s="32"/>
    </row>
    <row r="467" spans="1:5">
      <c r="A467" s="68"/>
      <c r="B467" s="68"/>
      <c r="C467" s="32"/>
      <c r="D467" s="32"/>
      <c r="E467" s="32"/>
    </row>
    <row r="468" spans="1:5">
      <c r="A468" s="68"/>
      <c r="B468" s="68"/>
      <c r="C468" s="32"/>
      <c r="D468" s="32"/>
      <c r="E468" s="32"/>
    </row>
    <row r="469" spans="1:5">
      <c r="A469" s="68"/>
      <c r="B469" s="68"/>
      <c r="C469" s="32"/>
      <c r="D469" s="32"/>
      <c r="E469" s="32"/>
    </row>
    <row r="470" spans="1:5">
      <c r="A470" s="68"/>
      <c r="B470" s="68"/>
      <c r="C470" s="32"/>
      <c r="D470" s="32"/>
      <c r="E470" s="32"/>
    </row>
    <row r="471" spans="1:5">
      <c r="A471" s="68"/>
      <c r="B471" s="68"/>
      <c r="C471" s="32"/>
      <c r="D471" s="32"/>
      <c r="E471" s="32"/>
    </row>
    <row r="472" spans="1:5">
      <c r="A472" s="68"/>
      <c r="B472" s="68"/>
      <c r="C472" s="32"/>
      <c r="D472" s="32"/>
      <c r="E472" s="32"/>
    </row>
    <row r="473" spans="1:5">
      <c r="A473" s="68"/>
      <c r="B473" s="68"/>
      <c r="C473" s="32"/>
      <c r="D473" s="32"/>
      <c r="E473" s="32"/>
    </row>
    <row r="474" spans="1:5">
      <c r="A474" s="68"/>
      <c r="B474" s="68"/>
      <c r="C474" s="32"/>
      <c r="D474" s="32"/>
      <c r="E474" s="32"/>
    </row>
    <row r="475" spans="1:5">
      <c r="A475" s="68"/>
      <c r="B475" s="68"/>
      <c r="C475" s="32"/>
      <c r="D475" s="32"/>
      <c r="E475" s="32"/>
    </row>
    <row r="476" spans="1:5">
      <c r="A476" s="68"/>
      <c r="B476" s="68"/>
      <c r="C476" s="32"/>
      <c r="D476" s="32"/>
      <c r="E476" s="32"/>
    </row>
    <row r="477" spans="1:5">
      <c r="A477" s="68"/>
      <c r="B477" s="68"/>
      <c r="C477" s="32"/>
      <c r="D477" s="32"/>
      <c r="E477" s="32"/>
    </row>
    <row r="478" spans="1:5">
      <c r="A478" s="68"/>
      <c r="B478" s="68"/>
      <c r="C478" s="32"/>
      <c r="D478" s="32"/>
      <c r="E478" s="32"/>
    </row>
    <row r="479" spans="1:5">
      <c r="A479" s="68"/>
      <c r="B479" s="68"/>
      <c r="C479" s="32"/>
      <c r="D479" s="32"/>
      <c r="E479" s="32"/>
    </row>
    <row r="480" spans="1:5">
      <c r="A480" s="68"/>
      <c r="B480" s="68"/>
      <c r="C480" s="32"/>
      <c r="D480" s="32"/>
      <c r="E480" s="32"/>
    </row>
    <row r="481" spans="1:5">
      <c r="A481" s="68"/>
      <c r="B481" s="68"/>
      <c r="C481" s="32"/>
      <c r="D481" s="32"/>
      <c r="E481" s="32"/>
    </row>
    <row r="482" spans="1:5">
      <c r="A482" s="68"/>
      <c r="B482" s="68"/>
      <c r="C482" s="32"/>
      <c r="D482" s="32"/>
      <c r="E482" s="32"/>
    </row>
    <row r="483" spans="1:5">
      <c r="A483" s="68"/>
      <c r="B483" s="68"/>
      <c r="C483" s="32"/>
      <c r="D483" s="32"/>
      <c r="E483" s="32"/>
    </row>
    <row r="484" spans="1:5">
      <c r="A484" s="68"/>
      <c r="B484" s="68"/>
      <c r="C484" s="32"/>
      <c r="D484" s="32"/>
      <c r="E484" s="32"/>
    </row>
    <row r="485" spans="1:5">
      <c r="A485" s="68"/>
      <c r="B485" s="68"/>
      <c r="C485" s="32"/>
      <c r="D485" s="32"/>
      <c r="E485" s="32"/>
    </row>
    <row r="486" spans="1:5">
      <c r="A486" s="68"/>
      <c r="B486" s="68"/>
      <c r="C486" s="32"/>
      <c r="D486" s="32"/>
      <c r="E486" s="32"/>
    </row>
    <row r="487" spans="1:5">
      <c r="A487" s="68"/>
      <c r="B487" s="68"/>
      <c r="C487" s="32"/>
      <c r="D487" s="32"/>
      <c r="E487" s="32"/>
    </row>
    <row r="488" spans="1:5">
      <c r="A488" s="68"/>
      <c r="B488" s="68"/>
      <c r="C488" s="32"/>
      <c r="D488" s="32"/>
      <c r="E488" s="32"/>
    </row>
    <row r="489" spans="1:5">
      <c r="A489" s="68"/>
      <c r="B489" s="68"/>
      <c r="C489" s="32"/>
      <c r="D489" s="32"/>
      <c r="E489" s="32"/>
    </row>
    <row r="490" spans="1:5">
      <c r="A490" s="68"/>
      <c r="B490" s="68"/>
      <c r="C490" s="32"/>
      <c r="D490" s="32"/>
      <c r="E490" s="32"/>
    </row>
    <row r="491" spans="1:5">
      <c r="A491" s="68"/>
      <c r="B491" s="68"/>
      <c r="C491" s="32"/>
      <c r="D491" s="32"/>
      <c r="E491" s="32"/>
    </row>
    <row r="492" spans="1:5">
      <c r="A492" s="68"/>
      <c r="B492" s="68"/>
      <c r="C492" s="32"/>
      <c r="D492" s="32"/>
      <c r="E492" s="32"/>
    </row>
    <row r="493" spans="1:5">
      <c r="A493" s="68"/>
      <c r="B493" s="68"/>
      <c r="C493" s="32"/>
      <c r="D493" s="32"/>
      <c r="E493" s="32"/>
    </row>
    <row r="494" spans="1:5">
      <c r="A494" s="68"/>
      <c r="B494" s="68"/>
      <c r="C494" s="32"/>
      <c r="D494" s="32"/>
      <c r="E494" s="32"/>
    </row>
    <row r="495" spans="1:5">
      <c r="A495" s="68"/>
      <c r="B495" s="68"/>
      <c r="C495" s="32"/>
      <c r="D495" s="32"/>
      <c r="E495" s="32"/>
    </row>
    <row r="496" spans="1:5">
      <c r="A496" s="68"/>
      <c r="B496" s="68"/>
      <c r="C496" s="32"/>
      <c r="D496" s="32"/>
      <c r="E496" s="32"/>
    </row>
    <row r="497" spans="1:5">
      <c r="A497" s="68"/>
      <c r="B497" s="68"/>
      <c r="C497" s="32"/>
      <c r="D497" s="32"/>
      <c r="E497" s="32"/>
    </row>
    <row r="498" spans="1:5">
      <c r="A498" s="68"/>
      <c r="B498" s="68"/>
      <c r="C498" s="32"/>
      <c r="D498" s="32"/>
      <c r="E498" s="32"/>
    </row>
    <row r="499" spans="1:5">
      <c r="A499" s="68"/>
      <c r="B499" s="68"/>
      <c r="C499" s="32"/>
      <c r="D499" s="32"/>
      <c r="E499" s="32"/>
    </row>
    <row r="500" spans="1:5">
      <c r="A500" s="68"/>
      <c r="B500" s="68"/>
      <c r="C500" s="32"/>
      <c r="D500" s="32"/>
      <c r="E500" s="32"/>
    </row>
    <row r="501" spans="1:5">
      <c r="A501" s="68"/>
      <c r="B501" s="68"/>
      <c r="C501" s="32"/>
      <c r="D501" s="32"/>
      <c r="E501" s="32"/>
    </row>
    <row r="502" spans="1:5">
      <c r="A502" s="68"/>
      <c r="B502" s="68"/>
      <c r="C502" s="32"/>
      <c r="D502" s="32"/>
      <c r="E502" s="32"/>
    </row>
    <row r="503" spans="1:5">
      <c r="A503" s="68"/>
      <c r="B503" s="68"/>
      <c r="C503" s="32"/>
      <c r="D503" s="32"/>
      <c r="E503" s="32"/>
    </row>
    <row r="504" spans="1:5">
      <c r="A504" s="68"/>
      <c r="B504" s="68"/>
      <c r="C504" s="32"/>
      <c r="D504" s="32"/>
      <c r="E504" s="32"/>
    </row>
    <row r="505" spans="1:5">
      <c r="A505" s="68"/>
      <c r="B505" s="68"/>
      <c r="C505" s="32"/>
      <c r="D505" s="32"/>
      <c r="E505" s="32"/>
    </row>
    <row r="506" spans="1:5">
      <c r="A506" s="68"/>
      <c r="B506" s="68"/>
      <c r="C506" s="32"/>
      <c r="D506" s="32"/>
      <c r="E506" s="32"/>
    </row>
    <row r="507" spans="1:5">
      <c r="A507" s="68"/>
      <c r="B507" s="68"/>
      <c r="C507" s="32"/>
      <c r="D507" s="32"/>
      <c r="E507" s="32"/>
    </row>
    <row r="508" spans="1:5">
      <c r="A508" s="68"/>
      <c r="B508" s="68"/>
      <c r="C508" s="32"/>
      <c r="D508" s="32"/>
      <c r="E508" s="32"/>
    </row>
    <row r="509" spans="1:5">
      <c r="A509" s="68"/>
      <c r="B509" s="68"/>
      <c r="C509" s="32"/>
      <c r="D509" s="32"/>
      <c r="E509" s="32"/>
    </row>
    <row r="510" spans="1:5">
      <c r="A510" s="68"/>
      <c r="B510" s="68"/>
      <c r="C510" s="32"/>
      <c r="D510" s="32"/>
      <c r="E510" s="32"/>
    </row>
    <row r="511" spans="1:5">
      <c r="A511" s="68"/>
      <c r="B511" s="68"/>
      <c r="C511" s="32"/>
      <c r="D511" s="32"/>
      <c r="E511" s="32"/>
    </row>
    <row r="512" spans="1:5">
      <c r="A512" s="68"/>
      <c r="B512" s="68"/>
      <c r="C512" s="32"/>
      <c r="D512" s="32"/>
      <c r="E512" s="32"/>
    </row>
    <row r="513" spans="1:5">
      <c r="A513" s="68"/>
      <c r="B513" s="68"/>
      <c r="C513" s="32"/>
      <c r="D513" s="32"/>
      <c r="E513" s="32"/>
    </row>
    <row r="514" spans="1:5">
      <c r="A514" s="68"/>
      <c r="B514" s="68"/>
      <c r="C514" s="32"/>
      <c r="D514" s="32"/>
      <c r="E514" s="32"/>
    </row>
    <row r="515" spans="1:5">
      <c r="A515" s="68"/>
      <c r="B515" s="68"/>
      <c r="C515" s="32"/>
      <c r="D515" s="32"/>
      <c r="E515" s="32"/>
    </row>
    <row r="516" spans="1:5">
      <c r="A516" s="68"/>
      <c r="B516" s="68"/>
      <c r="C516" s="32"/>
      <c r="D516" s="32"/>
      <c r="E516" s="32"/>
    </row>
    <row r="517" spans="1:5">
      <c r="A517" s="68"/>
      <c r="B517" s="68"/>
      <c r="C517" s="32"/>
      <c r="D517" s="32"/>
      <c r="E517" s="32"/>
    </row>
    <row r="518" spans="1:5">
      <c r="A518" s="68"/>
      <c r="B518" s="68"/>
      <c r="C518" s="32"/>
      <c r="D518" s="32"/>
      <c r="E518" s="32"/>
    </row>
    <row r="519" spans="1:5">
      <c r="A519" s="68"/>
      <c r="B519" s="68"/>
      <c r="C519" s="32"/>
      <c r="D519" s="32"/>
      <c r="E519" s="32"/>
    </row>
    <row r="520" spans="1:5">
      <c r="A520" s="68"/>
      <c r="B520" s="68"/>
      <c r="C520" s="32"/>
      <c r="D520" s="32"/>
      <c r="E520" s="32"/>
    </row>
    <row r="521" spans="1:5">
      <c r="A521" s="68"/>
      <c r="B521" s="68"/>
      <c r="C521" s="32"/>
      <c r="D521" s="32"/>
      <c r="E521" s="32"/>
    </row>
    <row r="522" spans="1:5">
      <c r="A522" s="68"/>
      <c r="B522" s="68"/>
      <c r="C522" s="32"/>
      <c r="D522" s="32"/>
      <c r="E522" s="32"/>
    </row>
    <row r="523" spans="1:5">
      <c r="A523" s="68"/>
      <c r="B523" s="68"/>
      <c r="C523" s="32"/>
      <c r="D523" s="32"/>
      <c r="E523" s="32"/>
    </row>
    <row r="524" spans="1:5">
      <c r="A524" s="68"/>
      <c r="B524" s="68"/>
      <c r="C524" s="32"/>
      <c r="D524" s="32"/>
      <c r="E524" s="32"/>
    </row>
    <row r="525" spans="1:5">
      <c r="A525" s="68"/>
      <c r="B525" s="68"/>
      <c r="C525" s="32"/>
      <c r="D525" s="32"/>
      <c r="E525" s="32"/>
    </row>
    <row r="526" spans="1:5">
      <c r="A526" s="68"/>
      <c r="B526" s="68"/>
      <c r="C526" s="32"/>
      <c r="D526" s="32"/>
      <c r="E526" s="32"/>
    </row>
    <row r="527" spans="1:5">
      <c r="A527" s="68"/>
      <c r="B527" s="68"/>
      <c r="C527" s="32"/>
      <c r="D527" s="32"/>
      <c r="E527" s="32"/>
    </row>
    <row r="528" spans="1:5">
      <c r="A528" s="68"/>
      <c r="B528" s="68"/>
      <c r="C528" s="32"/>
      <c r="D528" s="32"/>
      <c r="E528" s="32"/>
    </row>
    <row r="529" spans="1:5">
      <c r="A529" s="68"/>
      <c r="B529" s="68"/>
      <c r="C529" s="32"/>
      <c r="D529" s="32"/>
      <c r="E529" s="32"/>
    </row>
    <row r="530" spans="1:5">
      <c r="A530" s="68"/>
      <c r="B530" s="68"/>
      <c r="C530" s="32"/>
      <c r="D530" s="32"/>
      <c r="E530" s="32"/>
    </row>
    <row r="531" spans="1:5">
      <c r="A531" s="68"/>
      <c r="B531" s="68"/>
      <c r="C531" s="32"/>
      <c r="D531" s="32"/>
      <c r="E531" s="32"/>
    </row>
    <row r="532" spans="1:5">
      <c r="A532" s="68"/>
      <c r="B532" s="68"/>
      <c r="C532" s="32"/>
      <c r="D532" s="32"/>
      <c r="E532" s="32"/>
    </row>
    <row r="533" spans="1:5">
      <c r="A533" s="68"/>
      <c r="B533" s="68"/>
      <c r="C533" s="32"/>
      <c r="D533" s="32"/>
      <c r="E533" s="32"/>
    </row>
    <row r="534" spans="1:5">
      <c r="A534" s="68"/>
      <c r="B534" s="68"/>
      <c r="C534" s="32"/>
      <c r="D534" s="32"/>
      <c r="E534" s="32"/>
    </row>
    <row r="535" spans="1:5">
      <c r="A535" s="68"/>
      <c r="B535" s="68"/>
      <c r="C535" s="32"/>
      <c r="D535" s="32"/>
      <c r="E535" s="32"/>
    </row>
    <row r="536" spans="1:5">
      <c r="A536" s="68"/>
      <c r="B536" s="68"/>
      <c r="C536" s="32"/>
      <c r="D536" s="32"/>
      <c r="E536" s="32"/>
    </row>
    <row r="537" spans="1:5">
      <c r="A537" s="68"/>
      <c r="B537" s="68"/>
      <c r="C537" s="32"/>
      <c r="D537" s="32"/>
      <c r="E537" s="32"/>
    </row>
    <row r="538" spans="1:5">
      <c r="A538" s="68"/>
      <c r="B538" s="68"/>
      <c r="C538" s="32"/>
      <c r="D538" s="32"/>
      <c r="E538" s="32"/>
    </row>
    <row r="539" spans="1:5">
      <c r="A539" s="68"/>
      <c r="B539" s="68"/>
      <c r="C539" s="32"/>
      <c r="D539" s="32"/>
      <c r="E539" s="32"/>
    </row>
    <row r="540" spans="1:5">
      <c r="A540" s="68"/>
      <c r="B540" s="68"/>
      <c r="C540" s="32"/>
      <c r="D540" s="32"/>
      <c r="E540" s="32"/>
    </row>
    <row r="541" spans="1:5">
      <c r="A541" s="68"/>
      <c r="B541" s="68"/>
      <c r="C541" s="32"/>
      <c r="D541" s="32"/>
      <c r="E541" s="32"/>
    </row>
    <row r="542" spans="1:5">
      <c r="A542" s="68"/>
      <c r="B542" s="68"/>
      <c r="C542" s="32"/>
      <c r="D542" s="32"/>
      <c r="E542" s="32"/>
    </row>
    <row r="543" spans="1:5">
      <c r="A543" s="68"/>
      <c r="B543" s="68"/>
      <c r="C543" s="32"/>
      <c r="D543" s="32"/>
      <c r="E543" s="32"/>
    </row>
    <row r="544" spans="1:5">
      <c r="A544" s="68"/>
      <c r="B544" s="68"/>
      <c r="C544" s="32"/>
      <c r="D544" s="32"/>
      <c r="E544" s="32"/>
    </row>
    <row r="545" spans="1:5">
      <c r="A545" s="68"/>
      <c r="B545" s="68"/>
      <c r="C545" s="32"/>
      <c r="D545" s="32"/>
      <c r="E545" s="32"/>
    </row>
    <row r="546" spans="1:5">
      <c r="A546" s="68"/>
      <c r="B546" s="68"/>
      <c r="C546" s="32"/>
      <c r="D546" s="32"/>
      <c r="E546" s="32"/>
    </row>
    <row r="547" spans="1:5">
      <c r="A547" s="68"/>
      <c r="B547" s="68"/>
      <c r="C547" s="32"/>
      <c r="D547" s="32"/>
      <c r="E547" s="32"/>
    </row>
    <row r="548" spans="1:5">
      <c r="A548" s="68"/>
      <c r="B548" s="68"/>
      <c r="C548" s="32"/>
      <c r="D548" s="32"/>
      <c r="E548" s="32"/>
    </row>
    <row r="549" spans="1:5">
      <c r="A549" s="68"/>
      <c r="B549" s="68"/>
      <c r="C549" s="32"/>
      <c r="D549" s="32"/>
      <c r="E549" s="32"/>
    </row>
    <row r="550" spans="1:5">
      <c r="A550" s="68"/>
      <c r="B550" s="68"/>
      <c r="C550" s="32"/>
      <c r="D550" s="32"/>
      <c r="E550" s="32"/>
    </row>
    <row r="551" spans="1:5">
      <c r="A551" s="68"/>
      <c r="B551" s="68"/>
      <c r="C551" s="32"/>
      <c r="D551" s="32"/>
      <c r="E551" s="32"/>
    </row>
    <row r="552" spans="1:5">
      <c r="A552" s="68"/>
      <c r="B552" s="68"/>
      <c r="C552" s="32"/>
      <c r="D552" s="32"/>
      <c r="E552" s="32"/>
    </row>
    <row r="553" spans="1:5">
      <c r="A553" s="68"/>
      <c r="B553" s="68"/>
      <c r="C553" s="32"/>
      <c r="D553" s="32"/>
      <c r="E553" s="32"/>
    </row>
    <row r="554" spans="1:5">
      <c r="A554" s="68"/>
      <c r="B554" s="68"/>
      <c r="C554" s="32"/>
      <c r="D554" s="32"/>
      <c r="E554" s="32"/>
    </row>
    <row r="555" spans="1:5">
      <c r="A555" s="68"/>
      <c r="B555" s="68"/>
      <c r="C555" s="32"/>
      <c r="D555" s="32"/>
      <c r="E555" s="32"/>
    </row>
    <row r="556" spans="1:5">
      <c r="A556" s="68"/>
      <c r="B556" s="68"/>
      <c r="C556" s="32"/>
      <c r="D556" s="32"/>
      <c r="E556" s="32"/>
    </row>
    <row r="557" spans="1:5">
      <c r="A557" s="68"/>
      <c r="B557" s="68"/>
      <c r="C557" s="32"/>
      <c r="D557" s="32"/>
      <c r="E557" s="32"/>
    </row>
    <row r="558" spans="1:5">
      <c r="A558" s="68"/>
      <c r="B558" s="68"/>
      <c r="C558" s="32"/>
      <c r="D558" s="32"/>
      <c r="E558" s="32"/>
    </row>
    <row r="559" spans="1:5">
      <c r="A559" s="68"/>
      <c r="B559" s="68"/>
      <c r="C559" s="32"/>
      <c r="D559" s="32"/>
      <c r="E559" s="32"/>
    </row>
    <row r="560" spans="1:5">
      <c r="A560" s="68"/>
      <c r="B560" s="68"/>
      <c r="C560" s="32"/>
      <c r="D560" s="32"/>
      <c r="E560" s="32"/>
    </row>
    <row r="561" spans="1:5">
      <c r="A561" s="68"/>
      <c r="B561" s="68"/>
      <c r="C561" s="32"/>
      <c r="D561" s="32"/>
      <c r="E561" s="32"/>
    </row>
    <row r="562" spans="1:5">
      <c r="A562" s="68"/>
      <c r="B562" s="68"/>
      <c r="C562" s="32"/>
      <c r="D562" s="32"/>
      <c r="E562" s="32"/>
    </row>
    <row r="563" spans="1:5">
      <c r="A563" s="68"/>
      <c r="B563" s="68"/>
      <c r="C563" s="32"/>
      <c r="D563" s="32"/>
      <c r="E563" s="32"/>
    </row>
    <row r="564" spans="1:5">
      <c r="A564" s="68"/>
      <c r="B564" s="68"/>
      <c r="C564" s="32"/>
      <c r="D564" s="32"/>
      <c r="E564" s="32"/>
    </row>
    <row r="565" spans="1:5">
      <c r="A565" s="68"/>
      <c r="B565" s="68"/>
      <c r="C565" s="32"/>
      <c r="D565" s="32"/>
      <c r="E565" s="32"/>
    </row>
    <row r="566" spans="1:5">
      <c r="A566" s="68"/>
      <c r="B566" s="68"/>
      <c r="C566" s="32"/>
      <c r="D566" s="32"/>
      <c r="E566" s="32"/>
    </row>
    <row r="567" spans="1:5">
      <c r="A567" s="68"/>
      <c r="B567" s="68"/>
      <c r="C567" s="32"/>
      <c r="D567" s="32"/>
      <c r="E567" s="32"/>
    </row>
    <row r="568" spans="1:5">
      <c r="A568" s="68"/>
      <c r="B568" s="68"/>
      <c r="C568" s="32"/>
      <c r="D568" s="32"/>
      <c r="E568" s="32"/>
    </row>
    <row r="569" spans="1:5">
      <c r="A569" s="68"/>
      <c r="B569" s="68"/>
      <c r="C569" s="32"/>
      <c r="D569" s="32"/>
      <c r="E569" s="32"/>
    </row>
    <row r="570" spans="1:5">
      <c r="A570" s="68"/>
      <c r="B570" s="68"/>
      <c r="C570" s="32"/>
      <c r="D570" s="32"/>
      <c r="E570" s="32"/>
    </row>
    <row r="571" spans="1:5">
      <c r="A571" s="68"/>
      <c r="B571" s="68"/>
      <c r="C571" s="32"/>
      <c r="D571" s="32"/>
      <c r="E571" s="32"/>
    </row>
    <row r="572" spans="1:5">
      <c r="A572" s="68"/>
      <c r="B572" s="68"/>
      <c r="C572" s="32"/>
      <c r="D572" s="32"/>
      <c r="E572" s="32"/>
    </row>
    <row r="573" spans="1:5">
      <c r="A573" s="68"/>
      <c r="B573" s="68"/>
      <c r="C573" s="32"/>
      <c r="D573" s="32"/>
      <c r="E573" s="32"/>
    </row>
    <row r="574" spans="1:5">
      <c r="A574" s="68"/>
      <c r="B574" s="68"/>
      <c r="C574" s="32"/>
      <c r="D574" s="32"/>
      <c r="E574" s="32"/>
    </row>
    <row r="575" spans="1:5">
      <c r="A575" s="68"/>
      <c r="B575" s="68"/>
      <c r="C575" s="32"/>
      <c r="D575" s="32"/>
      <c r="E575" s="32"/>
    </row>
    <row r="576" spans="1:5">
      <c r="A576" s="68"/>
      <c r="B576" s="68"/>
      <c r="C576" s="32"/>
      <c r="D576" s="32"/>
      <c r="E576" s="32"/>
    </row>
    <row r="577" spans="1:5">
      <c r="A577" s="68"/>
      <c r="B577" s="68"/>
      <c r="C577" s="32"/>
      <c r="D577" s="32"/>
      <c r="E577" s="32"/>
    </row>
    <row r="578" spans="1:5">
      <c r="A578" s="68"/>
      <c r="B578" s="68"/>
      <c r="C578" s="32"/>
      <c r="D578" s="32"/>
      <c r="E578" s="32"/>
    </row>
    <row r="579" spans="1:5">
      <c r="A579" s="68"/>
      <c r="B579" s="68"/>
      <c r="C579" s="32"/>
      <c r="D579" s="32"/>
      <c r="E579" s="32"/>
    </row>
    <row r="580" spans="1:5">
      <c r="A580" s="68"/>
      <c r="B580" s="68"/>
      <c r="C580" s="32"/>
      <c r="D580" s="32"/>
      <c r="E580" s="32"/>
    </row>
    <row r="581" spans="1:5">
      <c r="A581" s="68"/>
      <c r="B581" s="68"/>
      <c r="C581" s="32"/>
      <c r="D581" s="32"/>
      <c r="E581" s="32"/>
    </row>
    <row r="582" spans="1:5">
      <c r="A582" s="68"/>
      <c r="B582" s="68"/>
      <c r="C582" s="32"/>
      <c r="D582" s="32"/>
      <c r="E582" s="32"/>
    </row>
    <row r="583" spans="1:5">
      <c r="A583" s="68"/>
      <c r="B583" s="68"/>
      <c r="C583" s="32"/>
      <c r="D583" s="32"/>
      <c r="E583" s="32"/>
    </row>
    <row r="584" spans="1:5">
      <c r="A584" s="68"/>
      <c r="B584" s="68"/>
      <c r="C584" s="32"/>
      <c r="D584" s="32"/>
      <c r="E584" s="32"/>
    </row>
    <row r="585" spans="1:5">
      <c r="A585" s="68"/>
      <c r="B585" s="68"/>
      <c r="C585" s="32"/>
      <c r="D585" s="32"/>
      <c r="E585" s="32"/>
    </row>
    <row r="586" spans="1:5">
      <c r="A586" s="68"/>
      <c r="B586" s="68"/>
      <c r="C586" s="32"/>
      <c r="D586" s="32"/>
      <c r="E586" s="32"/>
    </row>
    <row r="587" spans="1:5">
      <c r="A587" s="68"/>
      <c r="B587" s="68"/>
      <c r="C587" s="32"/>
      <c r="D587" s="32"/>
      <c r="E587" s="32"/>
    </row>
    <row r="588" spans="1:5">
      <c r="A588" s="68"/>
      <c r="B588" s="68"/>
      <c r="C588" s="32"/>
      <c r="D588" s="32"/>
      <c r="E588" s="32"/>
    </row>
    <row r="589" spans="1:5">
      <c r="A589" s="68"/>
      <c r="B589" s="68"/>
      <c r="C589" s="32"/>
      <c r="D589" s="32"/>
      <c r="E589" s="32"/>
    </row>
    <row r="590" spans="1:5">
      <c r="A590" s="68"/>
      <c r="B590" s="68"/>
      <c r="C590" s="32"/>
      <c r="D590" s="32"/>
      <c r="E590" s="32"/>
    </row>
    <row r="591" spans="1:5">
      <c r="A591" s="68"/>
      <c r="B591" s="68"/>
      <c r="C591" s="32"/>
      <c r="D591" s="32"/>
      <c r="E591" s="32"/>
    </row>
    <row r="592" spans="1:5">
      <c r="A592" s="68"/>
      <c r="B592" s="68"/>
      <c r="C592" s="32"/>
      <c r="D592" s="32"/>
      <c r="E592" s="32"/>
    </row>
    <row r="593" spans="1:5">
      <c r="A593" s="68"/>
      <c r="B593" s="68"/>
      <c r="C593" s="32"/>
      <c r="D593" s="32"/>
      <c r="E593" s="32"/>
    </row>
    <row r="594" spans="1:5">
      <c r="A594" s="68"/>
      <c r="B594" s="68"/>
      <c r="C594" s="32"/>
      <c r="D594" s="32"/>
      <c r="E594" s="32"/>
    </row>
    <row r="595" spans="1:5">
      <c r="A595" s="68"/>
      <c r="B595" s="68"/>
      <c r="C595" s="32"/>
      <c r="D595" s="32"/>
      <c r="E595" s="32"/>
    </row>
    <row r="596" spans="1:5">
      <c r="A596" s="68"/>
      <c r="B596" s="68"/>
      <c r="C596" s="32"/>
      <c r="D596" s="32"/>
      <c r="E596" s="32"/>
    </row>
    <row r="597" spans="1:5">
      <c r="A597" s="68"/>
      <c r="B597" s="68"/>
      <c r="C597" s="32"/>
      <c r="D597" s="32"/>
      <c r="E597" s="32"/>
    </row>
    <row r="598" spans="1:5">
      <c r="A598" s="68"/>
      <c r="B598" s="68"/>
      <c r="C598" s="32"/>
      <c r="D598" s="32"/>
      <c r="E598" s="32"/>
    </row>
    <row r="599" spans="1:5">
      <c r="A599" s="68"/>
      <c r="B599" s="68"/>
      <c r="C599" s="32"/>
      <c r="D599" s="32"/>
      <c r="E599" s="32"/>
    </row>
    <row r="600" spans="1:5">
      <c r="A600" s="68"/>
      <c r="B600" s="68"/>
      <c r="C600" s="32"/>
      <c r="D600" s="32"/>
      <c r="E600" s="32"/>
    </row>
    <row r="601" spans="1:5">
      <c r="A601" s="68"/>
      <c r="B601" s="68"/>
      <c r="C601" s="32"/>
      <c r="D601" s="32"/>
      <c r="E601" s="32"/>
    </row>
    <row r="602" spans="1:5">
      <c r="A602" s="68"/>
      <c r="B602" s="68"/>
      <c r="C602" s="32"/>
      <c r="D602" s="32"/>
      <c r="E602" s="32"/>
    </row>
    <row r="603" spans="1:5">
      <c r="A603" s="68"/>
      <c r="B603" s="68"/>
      <c r="C603" s="32"/>
      <c r="D603" s="32"/>
      <c r="E603" s="32"/>
    </row>
    <row r="604" spans="1:5">
      <c r="A604" s="68"/>
      <c r="B604" s="68"/>
      <c r="C604" s="32"/>
      <c r="D604" s="32"/>
      <c r="E604" s="32"/>
    </row>
    <row r="605" spans="1:5">
      <c r="A605" s="68"/>
      <c r="B605" s="68"/>
      <c r="C605" s="32"/>
      <c r="D605" s="32"/>
      <c r="E605" s="32"/>
    </row>
    <row r="606" spans="1:5">
      <c r="A606" s="68"/>
      <c r="B606" s="68"/>
      <c r="C606" s="32"/>
      <c r="D606" s="32"/>
      <c r="E606" s="32"/>
    </row>
    <row r="607" spans="1:5">
      <c r="A607" s="68"/>
      <c r="B607" s="68"/>
      <c r="C607" s="32"/>
      <c r="D607" s="32"/>
      <c r="E607" s="32"/>
    </row>
    <row r="608" spans="1:5">
      <c r="A608" s="68"/>
      <c r="B608" s="68"/>
      <c r="C608" s="32"/>
      <c r="D608" s="32"/>
      <c r="E608" s="32"/>
    </row>
    <row r="609" spans="1:5">
      <c r="A609" s="68"/>
      <c r="B609" s="68"/>
      <c r="C609" s="32"/>
      <c r="D609" s="32"/>
      <c r="E609" s="32"/>
    </row>
    <row r="610" spans="1:5">
      <c r="A610" s="68"/>
      <c r="B610" s="68"/>
      <c r="C610" s="32"/>
      <c r="D610" s="32"/>
      <c r="E610" s="32"/>
    </row>
    <row r="611" spans="1:5">
      <c r="A611" s="68"/>
      <c r="B611" s="68"/>
      <c r="C611" s="32"/>
      <c r="D611" s="32"/>
      <c r="E611" s="32"/>
    </row>
    <row r="612" spans="1:5">
      <c r="A612" s="68"/>
      <c r="B612" s="68"/>
      <c r="C612" s="32"/>
      <c r="D612" s="32"/>
      <c r="E612" s="32"/>
    </row>
    <row r="613" spans="1:5">
      <c r="A613" s="68"/>
      <c r="B613" s="68"/>
      <c r="C613" s="32"/>
      <c r="D613" s="32"/>
      <c r="E613" s="32"/>
    </row>
    <row r="614" spans="1:5">
      <c r="A614" s="68"/>
      <c r="B614" s="68"/>
      <c r="C614" s="32"/>
      <c r="D614" s="32"/>
      <c r="E614" s="32"/>
    </row>
    <row r="615" spans="1:5">
      <c r="A615" s="68"/>
      <c r="B615" s="68"/>
      <c r="C615" s="32"/>
      <c r="D615" s="32"/>
      <c r="E615" s="32"/>
    </row>
    <row r="616" spans="1:5">
      <c r="A616" s="68"/>
      <c r="B616" s="68"/>
      <c r="C616" s="32"/>
      <c r="D616" s="32"/>
      <c r="E616" s="32"/>
    </row>
    <row r="617" spans="1:5">
      <c r="A617" s="68"/>
      <c r="B617" s="68"/>
      <c r="C617" s="32"/>
      <c r="D617" s="32"/>
      <c r="E617" s="32"/>
    </row>
    <row r="618" spans="1:5">
      <c r="A618" s="68"/>
      <c r="B618" s="68"/>
      <c r="C618" s="32"/>
      <c r="D618" s="32"/>
      <c r="E618" s="32"/>
    </row>
    <row r="619" spans="1:5">
      <c r="A619" s="68"/>
      <c r="B619" s="68"/>
      <c r="C619" s="32"/>
      <c r="D619" s="32"/>
      <c r="E619" s="32"/>
    </row>
    <row r="620" spans="1:5">
      <c r="A620" s="68"/>
      <c r="B620" s="68"/>
      <c r="C620" s="32"/>
      <c r="D620" s="32"/>
      <c r="E620" s="32"/>
    </row>
    <row r="621" spans="1:5">
      <c r="A621" s="68"/>
      <c r="B621" s="68"/>
      <c r="C621" s="32"/>
      <c r="D621" s="32"/>
      <c r="E621" s="32"/>
    </row>
    <row r="622" spans="1:5">
      <c r="A622" s="68"/>
      <c r="B622" s="68"/>
      <c r="C622" s="32"/>
      <c r="D622" s="32"/>
      <c r="E622" s="32"/>
    </row>
    <row r="623" spans="1:5">
      <c r="A623" s="68"/>
      <c r="B623" s="68"/>
      <c r="C623" s="32"/>
      <c r="D623" s="32"/>
      <c r="E623" s="32"/>
    </row>
    <row r="624" spans="1:5">
      <c r="A624" s="68"/>
      <c r="B624" s="68"/>
      <c r="C624" s="32"/>
      <c r="D624" s="32"/>
      <c r="E624" s="32"/>
    </row>
    <row r="625" spans="1:5">
      <c r="A625" s="68"/>
      <c r="B625" s="68"/>
      <c r="C625" s="32"/>
      <c r="D625" s="32"/>
      <c r="E625" s="32"/>
    </row>
    <row r="626" spans="1:5">
      <c r="A626" s="68"/>
      <c r="B626" s="68"/>
      <c r="C626" s="32"/>
      <c r="D626" s="32"/>
      <c r="E626" s="32"/>
    </row>
    <row r="627" spans="1:5">
      <c r="A627" s="68"/>
      <c r="B627" s="68"/>
      <c r="C627" s="32"/>
      <c r="D627" s="32"/>
      <c r="E627" s="32"/>
    </row>
    <row r="628" spans="1:5">
      <c r="A628" s="68"/>
      <c r="B628" s="68"/>
      <c r="C628" s="32"/>
      <c r="D628" s="32"/>
      <c r="E628" s="32"/>
    </row>
    <row r="629" spans="1:5">
      <c r="A629" s="68"/>
      <c r="B629" s="68"/>
      <c r="C629" s="32"/>
      <c r="D629" s="32"/>
      <c r="E629" s="32"/>
    </row>
    <row r="630" spans="1:5">
      <c r="A630" s="68"/>
      <c r="B630" s="68"/>
      <c r="C630" s="32"/>
      <c r="D630" s="32"/>
      <c r="E630" s="32"/>
    </row>
    <row r="631" spans="1:5">
      <c r="A631" s="68"/>
      <c r="B631" s="68"/>
      <c r="C631" s="32"/>
      <c r="D631" s="32"/>
      <c r="E631" s="32"/>
    </row>
    <row r="632" spans="1:5">
      <c r="A632" s="68"/>
      <c r="B632" s="68"/>
      <c r="C632" s="32"/>
      <c r="D632" s="32"/>
      <c r="E632" s="32"/>
    </row>
    <row r="633" spans="1:5">
      <c r="A633" s="68"/>
      <c r="B633" s="68"/>
      <c r="C633" s="32"/>
      <c r="D633" s="32"/>
      <c r="E633" s="32"/>
    </row>
    <row r="634" spans="1:5">
      <c r="A634" s="68"/>
      <c r="B634" s="68"/>
      <c r="C634" s="32"/>
      <c r="D634" s="32"/>
      <c r="E634" s="32"/>
    </row>
    <row r="635" spans="1:5">
      <c r="A635" s="68"/>
      <c r="B635" s="68"/>
      <c r="C635" s="32"/>
      <c r="D635" s="32"/>
      <c r="E635" s="32"/>
    </row>
    <row r="636" spans="1:5">
      <c r="A636" s="68"/>
      <c r="B636" s="68"/>
      <c r="C636" s="32"/>
      <c r="D636" s="32"/>
      <c r="E636" s="32"/>
    </row>
    <row r="637" spans="1:5">
      <c r="A637" s="68"/>
      <c r="B637" s="68"/>
      <c r="C637" s="32"/>
      <c r="D637" s="32"/>
      <c r="E637" s="32"/>
    </row>
    <row r="638" spans="1:5">
      <c r="A638" s="68"/>
      <c r="B638" s="68"/>
      <c r="C638" s="32"/>
      <c r="D638" s="32"/>
      <c r="E638" s="32"/>
    </row>
    <row r="639" spans="1:5">
      <c r="A639" s="68"/>
      <c r="B639" s="68"/>
      <c r="C639" s="32"/>
      <c r="D639" s="32"/>
      <c r="E639" s="32"/>
    </row>
    <row r="640" spans="1:5">
      <c r="A640" s="68"/>
      <c r="B640" s="68"/>
      <c r="C640" s="32"/>
      <c r="D640" s="32"/>
      <c r="E640" s="32"/>
    </row>
    <row r="641" spans="1:5">
      <c r="A641" s="68"/>
      <c r="B641" s="68"/>
      <c r="C641" s="32"/>
      <c r="D641" s="32"/>
      <c r="E641" s="32"/>
    </row>
    <row r="642" spans="1:5">
      <c r="A642" s="68"/>
      <c r="B642" s="68"/>
      <c r="C642" s="32"/>
      <c r="D642" s="32"/>
      <c r="E642" s="32"/>
    </row>
    <row r="643" spans="1:5">
      <c r="A643" s="68"/>
      <c r="B643" s="68"/>
      <c r="C643" s="32"/>
      <c r="D643" s="32"/>
      <c r="E643" s="32"/>
    </row>
    <row r="644" spans="1:5">
      <c r="A644" s="68"/>
      <c r="B644" s="68"/>
      <c r="C644" s="32"/>
      <c r="D644" s="32"/>
      <c r="E644" s="32"/>
    </row>
    <row r="645" spans="1:5">
      <c r="A645" s="68"/>
      <c r="B645" s="68"/>
      <c r="C645" s="32"/>
      <c r="D645" s="32"/>
      <c r="E645" s="32"/>
    </row>
    <row r="646" spans="1:5">
      <c r="A646" s="68"/>
      <c r="B646" s="68"/>
      <c r="C646" s="32"/>
      <c r="D646" s="32"/>
      <c r="E646" s="32"/>
    </row>
    <row r="647" spans="1:5">
      <c r="A647" s="68"/>
      <c r="B647" s="68"/>
      <c r="C647" s="32"/>
      <c r="D647" s="32"/>
      <c r="E647" s="32"/>
    </row>
    <row r="648" spans="1:5">
      <c r="A648" s="68"/>
      <c r="B648" s="68"/>
      <c r="C648" s="32"/>
      <c r="D648" s="32"/>
      <c r="E648" s="32"/>
    </row>
    <row r="649" spans="1:5">
      <c r="A649" s="68"/>
      <c r="B649" s="68"/>
      <c r="C649" s="32"/>
      <c r="D649" s="32"/>
      <c r="E649" s="32"/>
    </row>
    <row r="650" spans="1:5">
      <c r="A650" s="68"/>
      <c r="B650" s="68"/>
      <c r="C650" s="32"/>
      <c r="D650" s="32"/>
      <c r="E650" s="32"/>
    </row>
    <row r="651" spans="1:5">
      <c r="A651" s="68"/>
      <c r="B651" s="68"/>
      <c r="C651" s="32"/>
      <c r="D651" s="32"/>
      <c r="E651" s="32"/>
    </row>
    <row r="652" spans="1:5">
      <c r="A652" s="68"/>
      <c r="B652" s="68"/>
      <c r="C652" s="32"/>
      <c r="D652" s="32"/>
      <c r="E652" s="32"/>
    </row>
    <row r="653" spans="1:5">
      <c r="A653" s="68"/>
      <c r="B653" s="68"/>
      <c r="C653" s="32"/>
      <c r="D653" s="32"/>
      <c r="E653" s="32"/>
    </row>
    <row r="654" spans="1:5">
      <c r="A654" s="68"/>
      <c r="B654" s="68"/>
      <c r="C654" s="32"/>
      <c r="D654" s="32"/>
      <c r="E654" s="32"/>
    </row>
    <row r="655" spans="1:5">
      <c r="A655" s="68"/>
      <c r="B655" s="68"/>
      <c r="C655" s="32"/>
      <c r="D655" s="32"/>
      <c r="E655" s="32"/>
    </row>
    <row r="656" spans="1:5">
      <c r="A656" s="68"/>
      <c r="B656" s="68"/>
      <c r="C656" s="32"/>
      <c r="D656" s="32"/>
      <c r="E656" s="32"/>
    </row>
    <row r="657" spans="1:5">
      <c r="A657" s="68"/>
      <c r="B657" s="68"/>
      <c r="C657" s="32"/>
      <c r="D657" s="32"/>
      <c r="E657" s="32"/>
    </row>
    <row r="658" spans="1:5">
      <c r="A658" s="68"/>
      <c r="B658" s="68"/>
      <c r="C658" s="32"/>
      <c r="D658" s="32"/>
      <c r="E658" s="32"/>
    </row>
    <row r="659" spans="1:5">
      <c r="A659" s="68"/>
      <c r="B659" s="68"/>
      <c r="C659" s="32"/>
      <c r="D659" s="32"/>
      <c r="E659" s="32"/>
    </row>
    <row r="660" spans="1:5">
      <c r="A660" s="68"/>
      <c r="B660" s="68"/>
      <c r="C660" s="32"/>
      <c r="D660" s="32"/>
      <c r="E660" s="32"/>
    </row>
    <row r="661" spans="1:5">
      <c r="A661" s="68"/>
      <c r="B661" s="68"/>
      <c r="C661" s="32"/>
      <c r="D661" s="32"/>
      <c r="E661" s="32"/>
    </row>
    <row r="662" spans="1:5">
      <c r="A662" s="68"/>
      <c r="B662" s="68"/>
      <c r="C662" s="32"/>
      <c r="D662" s="32"/>
      <c r="E662" s="32"/>
    </row>
    <row r="663" spans="1:5">
      <c r="A663" s="68"/>
      <c r="B663" s="68"/>
      <c r="C663" s="32"/>
      <c r="D663" s="32"/>
      <c r="E663" s="32"/>
    </row>
    <row r="664" spans="1:5">
      <c r="A664" s="68"/>
      <c r="B664" s="68"/>
      <c r="C664" s="32"/>
      <c r="D664" s="32"/>
      <c r="E664" s="32"/>
    </row>
    <row r="665" spans="1:5">
      <c r="A665" s="68"/>
      <c r="B665" s="68"/>
      <c r="C665" s="32"/>
      <c r="D665" s="32"/>
      <c r="E665" s="32"/>
    </row>
    <row r="666" spans="1:5">
      <c r="A666" s="68"/>
      <c r="B666" s="68"/>
      <c r="C666" s="32"/>
      <c r="D666" s="32"/>
      <c r="E666" s="32"/>
    </row>
    <row r="667" spans="1:5">
      <c r="A667" s="68"/>
      <c r="B667" s="68"/>
      <c r="C667" s="32"/>
      <c r="D667" s="32"/>
      <c r="E667" s="32"/>
    </row>
    <row r="668" spans="1:5">
      <c r="A668" s="68"/>
      <c r="B668" s="68"/>
      <c r="C668" s="32"/>
      <c r="D668" s="32"/>
      <c r="E668" s="32"/>
    </row>
    <row r="669" spans="1:5">
      <c r="A669" s="68"/>
      <c r="B669" s="68"/>
      <c r="C669" s="32"/>
      <c r="D669" s="32"/>
      <c r="E669" s="32"/>
    </row>
    <row r="670" spans="1:5">
      <c r="A670" s="68"/>
      <c r="B670" s="68"/>
      <c r="C670" s="32"/>
      <c r="D670" s="32"/>
      <c r="E670" s="32"/>
    </row>
    <row r="671" spans="1:5">
      <c r="A671" s="68"/>
      <c r="B671" s="68"/>
      <c r="C671" s="32"/>
      <c r="D671" s="32"/>
      <c r="E671" s="32"/>
    </row>
    <row r="672" spans="1:5">
      <c r="A672" s="68"/>
      <c r="B672" s="68"/>
      <c r="C672" s="32"/>
      <c r="D672" s="32"/>
      <c r="E672" s="32"/>
    </row>
    <row r="673" spans="1:5">
      <c r="A673" s="68"/>
      <c r="B673" s="68"/>
      <c r="C673" s="32"/>
      <c r="D673" s="32"/>
      <c r="E673" s="32"/>
    </row>
    <row r="674" spans="1:5">
      <c r="A674" s="68"/>
      <c r="B674" s="68"/>
      <c r="C674" s="32"/>
      <c r="D674" s="32"/>
      <c r="E674" s="32"/>
    </row>
    <row r="675" spans="1:5">
      <c r="A675" s="68"/>
      <c r="B675" s="68"/>
      <c r="C675" s="32"/>
      <c r="D675" s="32"/>
      <c r="E675" s="32"/>
    </row>
    <row r="676" spans="1:5">
      <c r="A676" s="68"/>
      <c r="B676" s="68"/>
      <c r="C676" s="32"/>
      <c r="D676" s="32"/>
      <c r="E676" s="32"/>
    </row>
    <row r="677" spans="1:5">
      <c r="A677" s="68"/>
      <c r="B677" s="68"/>
      <c r="C677" s="32"/>
      <c r="D677" s="32"/>
      <c r="E677" s="32"/>
    </row>
    <row r="678" spans="1:5">
      <c r="A678" s="68"/>
      <c r="B678" s="68"/>
      <c r="C678" s="32"/>
      <c r="D678" s="32"/>
      <c r="E678" s="32"/>
    </row>
    <row r="679" spans="1:5">
      <c r="A679" s="68"/>
      <c r="B679" s="68"/>
      <c r="C679" s="32"/>
      <c r="D679" s="32"/>
      <c r="E679" s="32"/>
    </row>
    <row r="680" spans="1:5">
      <c r="A680" s="68"/>
      <c r="B680" s="68"/>
      <c r="C680" s="32"/>
      <c r="D680" s="32"/>
      <c r="E680" s="32"/>
    </row>
    <row r="681" spans="1:5">
      <c r="A681" s="68"/>
      <c r="B681" s="68"/>
      <c r="C681" s="32"/>
      <c r="D681" s="32"/>
      <c r="E681" s="32"/>
    </row>
    <row r="682" spans="1:5">
      <c r="A682" s="68"/>
      <c r="B682" s="68"/>
      <c r="C682" s="32"/>
      <c r="D682" s="32"/>
      <c r="E682" s="32"/>
    </row>
    <row r="683" spans="1:5">
      <c r="A683" s="68"/>
      <c r="B683" s="68"/>
      <c r="C683" s="32"/>
      <c r="D683" s="32"/>
      <c r="E683" s="32"/>
    </row>
    <row r="684" spans="1:5">
      <c r="A684" s="68"/>
      <c r="B684" s="68"/>
      <c r="C684" s="32"/>
      <c r="D684" s="32"/>
      <c r="E684" s="32"/>
    </row>
    <row r="685" spans="1:5">
      <c r="A685" s="68"/>
      <c r="B685" s="68"/>
      <c r="C685" s="32"/>
      <c r="D685" s="32"/>
      <c r="E685" s="32"/>
    </row>
    <row r="686" spans="1:5">
      <c r="A686" s="68"/>
      <c r="B686" s="68"/>
      <c r="C686" s="32"/>
      <c r="D686" s="32"/>
      <c r="E686" s="32"/>
    </row>
    <row r="687" spans="1:5">
      <c r="A687" s="68"/>
      <c r="B687" s="68"/>
      <c r="C687" s="32"/>
      <c r="D687" s="32"/>
      <c r="E687" s="32"/>
    </row>
    <row r="688" spans="1:5">
      <c r="A688" s="68"/>
      <c r="B688" s="68"/>
      <c r="C688" s="32"/>
      <c r="D688" s="32"/>
      <c r="E688" s="32"/>
    </row>
    <row r="689" spans="1:5">
      <c r="A689" s="68"/>
      <c r="B689" s="68"/>
      <c r="C689" s="32"/>
      <c r="D689" s="32"/>
      <c r="E689" s="32"/>
    </row>
    <row r="690" spans="1:5">
      <c r="A690" s="68"/>
      <c r="B690" s="68"/>
      <c r="C690" s="32"/>
      <c r="D690" s="32"/>
      <c r="E690" s="32"/>
    </row>
    <row r="691" spans="1:5">
      <c r="A691" s="68"/>
      <c r="B691" s="68"/>
      <c r="C691" s="32"/>
      <c r="D691" s="32"/>
      <c r="E691" s="32"/>
    </row>
    <row r="692" spans="1:5">
      <c r="A692" s="68"/>
      <c r="B692" s="68"/>
      <c r="C692" s="32"/>
      <c r="D692" s="32"/>
      <c r="E692" s="32"/>
    </row>
    <row r="693" spans="1:5">
      <c r="A693" s="68"/>
      <c r="B693" s="68"/>
      <c r="C693" s="32"/>
      <c r="D693" s="32"/>
      <c r="E693" s="32"/>
    </row>
    <row r="694" spans="1:5">
      <c r="A694" s="68"/>
      <c r="B694" s="68"/>
      <c r="C694" s="32"/>
      <c r="D694" s="32"/>
      <c r="E694" s="32"/>
    </row>
    <row r="695" spans="1:5">
      <c r="A695" s="68"/>
      <c r="B695" s="68"/>
      <c r="C695" s="32"/>
      <c r="D695" s="32"/>
      <c r="E695" s="32"/>
    </row>
    <row r="696" spans="1:5">
      <c r="A696" s="68"/>
      <c r="B696" s="68"/>
      <c r="C696" s="32"/>
      <c r="D696" s="32"/>
      <c r="E696" s="32"/>
    </row>
    <row r="697" spans="1:5">
      <c r="A697" s="68"/>
      <c r="B697" s="68"/>
      <c r="C697" s="32"/>
      <c r="D697" s="32"/>
      <c r="E697" s="32"/>
    </row>
    <row r="698" spans="1:5">
      <c r="A698" s="68"/>
      <c r="B698" s="68"/>
      <c r="C698" s="32"/>
      <c r="D698" s="32"/>
      <c r="E698" s="32"/>
    </row>
    <row r="699" spans="1:5">
      <c r="A699" s="68"/>
      <c r="B699" s="68"/>
      <c r="C699" s="32"/>
      <c r="D699" s="32"/>
      <c r="E699" s="32"/>
    </row>
    <row r="700" spans="1:5">
      <c r="A700" s="68"/>
      <c r="B700" s="68"/>
      <c r="C700" s="32"/>
      <c r="D700" s="32"/>
      <c r="E700" s="32"/>
    </row>
    <row r="701" spans="1:5">
      <c r="A701" s="68"/>
      <c r="B701" s="68"/>
      <c r="C701" s="32"/>
      <c r="D701" s="32"/>
      <c r="E701" s="32"/>
    </row>
    <row r="702" spans="1:5">
      <c r="A702" s="68"/>
      <c r="B702" s="68"/>
      <c r="C702" s="32"/>
      <c r="D702" s="32"/>
      <c r="E702" s="32"/>
    </row>
    <row r="703" spans="1:5">
      <c r="A703" s="68"/>
      <c r="B703" s="68"/>
      <c r="C703" s="32"/>
      <c r="D703" s="32"/>
      <c r="E703" s="32"/>
    </row>
    <row r="704" spans="1:5">
      <c r="A704" s="68"/>
      <c r="B704" s="68"/>
      <c r="C704" s="32"/>
      <c r="D704" s="32"/>
      <c r="E704" s="32"/>
    </row>
    <row r="705" spans="1:5">
      <c r="A705" s="68"/>
      <c r="B705" s="68"/>
      <c r="C705" s="32"/>
      <c r="D705" s="32"/>
      <c r="E705" s="32"/>
    </row>
    <row r="706" spans="1:5">
      <c r="A706" s="68"/>
      <c r="B706" s="68"/>
      <c r="C706" s="32"/>
      <c r="D706" s="32"/>
      <c r="E706" s="32"/>
    </row>
    <row r="707" spans="1:5">
      <c r="A707" s="68"/>
      <c r="B707" s="68"/>
      <c r="C707" s="32"/>
      <c r="D707" s="32"/>
      <c r="E707" s="32"/>
    </row>
    <row r="708" spans="1:5">
      <c r="A708" s="68"/>
      <c r="B708" s="68"/>
      <c r="C708" s="32"/>
      <c r="D708" s="32"/>
      <c r="E708" s="32"/>
    </row>
    <row r="709" spans="1:5">
      <c r="A709" s="68"/>
      <c r="B709" s="68"/>
      <c r="C709" s="32"/>
      <c r="D709" s="32"/>
      <c r="E709" s="32"/>
    </row>
    <row r="710" spans="1:5">
      <c r="A710" s="68"/>
      <c r="B710" s="68"/>
      <c r="C710" s="32"/>
      <c r="D710" s="32"/>
      <c r="E710" s="32"/>
    </row>
    <row r="711" spans="1:5">
      <c r="A711" s="68"/>
      <c r="B711" s="68"/>
      <c r="C711" s="32"/>
      <c r="D711" s="32"/>
      <c r="E711" s="32"/>
    </row>
    <row r="712" spans="1:5">
      <c r="A712" s="68"/>
      <c r="B712" s="68"/>
      <c r="C712" s="32"/>
      <c r="D712" s="32"/>
      <c r="E712" s="32"/>
    </row>
    <row r="713" spans="1:5">
      <c r="A713" s="68"/>
      <c r="B713" s="68"/>
      <c r="C713" s="32"/>
      <c r="D713" s="32"/>
      <c r="E713" s="32"/>
    </row>
    <row r="714" spans="1:5">
      <c r="A714" s="68"/>
      <c r="B714" s="68"/>
      <c r="C714" s="32"/>
      <c r="D714" s="32"/>
      <c r="E714" s="32"/>
    </row>
    <row r="715" spans="1:5">
      <c r="A715" s="68"/>
      <c r="B715" s="68"/>
      <c r="C715" s="32"/>
      <c r="D715" s="32"/>
      <c r="E715" s="32"/>
    </row>
    <row r="716" spans="1:5">
      <c r="A716" s="68"/>
      <c r="B716" s="68"/>
      <c r="C716" s="32"/>
      <c r="D716" s="32"/>
      <c r="E716" s="32"/>
    </row>
    <row r="717" spans="1:5">
      <c r="A717" s="68"/>
      <c r="B717" s="68"/>
      <c r="C717" s="32"/>
      <c r="D717" s="32"/>
      <c r="E717" s="32"/>
    </row>
    <row r="718" spans="1:5">
      <c r="A718" s="68"/>
      <c r="B718" s="68"/>
      <c r="C718" s="32"/>
      <c r="D718" s="32"/>
      <c r="E718" s="32"/>
    </row>
    <row r="719" spans="1:5">
      <c r="A719" s="68"/>
      <c r="B719" s="68"/>
      <c r="C719" s="32"/>
      <c r="D719" s="32"/>
      <c r="E719" s="32"/>
    </row>
    <row r="720" spans="1:5">
      <c r="A720" s="68"/>
      <c r="B720" s="68"/>
      <c r="C720" s="32"/>
      <c r="D720" s="32"/>
      <c r="E720" s="32"/>
    </row>
    <row r="721" spans="1:5">
      <c r="A721" s="68"/>
      <c r="B721" s="68"/>
      <c r="C721" s="32"/>
      <c r="D721" s="32"/>
      <c r="E721" s="32"/>
    </row>
    <row r="722" spans="1:5">
      <c r="A722" s="68"/>
      <c r="B722" s="68"/>
      <c r="C722" s="32"/>
      <c r="D722" s="32"/>
      <c r="E722" s="32"/>
    </row>
    <row r="723" spans="1:5">
      <c r="A723" s="68"/>
      <c r="B723" s="68"/>
      <c r="C723" s="32"/>
      <c r="D723" s="32"/>
      <c r="E723" s="32"/>
    </row>
    <row r="724" spans="1:5">
      <c r="A724" s="68"/>
      <c r="B724" s="68"/>
      <c r="C724" s="32"/>
      <c r="D724" s="32"/>
      <c r="E724" s="32"/>
    </row>
    <row r="725" spans="1:5">
      <c r="A725" s="68"/>
      <c r="B725" s="68"/>
      <c r="C725" s="32"/>
      <c r="D725" s="32"/>
      <c r="E725" s="32"/>
    </row>
    <row r="726" spans="1:5">
      <c r="A726" s="68"/>
      <c r="B726" s="68"/>
      <c r="C726" s="32"/>
      <c r="D726" s="32"/>
      <c r="E726" s="32"/>
    </row>
    <row r="727" spans="1:5">
      <c r="A727" s="68"/>
      <c r="B727" s="68"/>
      <c r="C727" s="32"/>
      <c r="D727" s="32"/>
      <c r="E727" s="32"/>
    </row>
    <row r="728" spans="1:5">
      <c r="A728" s="68"/>
      <c r="B728" s="68"/>
      <c r="C728" s="32"/>
      <c r="D728" s="32"/>
      <c r="E728" s="32"/>
    </row>
    <row r="729" spans="1:5">
      <c r="A729" s="68"/>
      <c r="B729" s="68"/>
      <c r="C729" s="32"/>
      <c r="D729" s="32"/>
      <c r="E729" s="32"/>
    </row>
    <row r="730" spans="1:5">
      <c r="A730" s="68"/>
      <c r="B730" s="68"/>
      <c r="C730" s="32"/>
      <c r="D730" s="32"/>
      <c r="E730" s="32"/>
    </row>
    <row r="731" spans="1:5">
      <c r="A731" s="68"/>
      <c r="B731" s="68"/>
      <c r="C731" s="32"/>
      <c r="D731" s="32"/>
      <c r="E731" s="32"/>
    </row>
    <row r="732" spans="1:5">
      <c r="A732" s="68"/>
      <c r="B732" s="68"/>
      <c r="C732" s="32"/>
      <c r="D732" s="32"/>
      <c r="E732" s="32"/>
    </row>
    <row r="733" spans="1:5">
      <c r="A733" s="68"/>
      <c r="B733" s="68"/>
      <c r="C733" s="32"/>
      <c r="D733" s="32"/>
      <c r="E733" s="32"/>
    </row>
    <row r="734" spans="1:5">
      <c r="A734" s="68"/>
      <c r="B734" s="68"/>
      <c r="C734" s="32"/>
      <c r="D734" s="32"/>
      <c r="E734" s="32"/>
    </row>
    <row r="735" spans="1:5">
      <c r="A735" s="68"/>
      <c r="B735" s="68"/>
      <c r="C735" s="32"/>
      <c r="D735" s="32"/>
      <c r="E735" s="32"/>
    </row>
    <row r="736" spans="1:5">
      <c r="A736" s="68"/>
      <c r="B736" s="68"/>
      <c r="C736" s="32"/>
      <c r="D736" s="32"/>
      <c r="E736" s="32"/>
    </row>
    <row r="737" spans="1:5">
      <c r="A737" s="68"/>
      <c r="B737" s="68"/>
      <c r="C737" s="32"/>
      <c r="D737" s="32"/>
      <c r="E737" s="32"/>
    </row>
    <row r="738" spans="1:5">
      <c r="A738" s="68"/>
      <c r="B738" s="68"/>
      <c r="C738" s="32"/>
      <c r="D738" s="32"/>
      <c r="E738" s="32"/>
    </row>
    <row r="739" spans="1:5">
      <c r="A739" s="68"/>
      <c r="B739" s="68"/>
      <c r="C739" s="32"/>
      <c r="D739" s="32"/>
      <c r="E739" s="32"/>
    </row>
    <row r="740" spans="1:5">
      <c r="A740" s="68"/>
      <c r="B740" s="68"/>
      <c r="C740" s="32"/>
      <c r="D740" s="32"/>
      <c r="E740" s="32"/>
    </row>
    <row r="741" spans="1:5">
      <c r="A741" s="68"/>
      <c r="B741" s="68"/>
      <c r="C741" s="32"/>
      <c r="D741" s="32"/>
      <c r="E741" s="32"/>
    </row>
    <row r="742" spans="1:5">
      <c r="A742" s="68"/>
      <c r="B742" s="68"/>
      <c r="C742" s="32"/>
      <c r="D742" s="32"/>
      <c r="E742" s="32"/>
    </row>
    <row r="743" spans="1:5">
      <c r="A743" s="68"/>
      <c r="B743" s="68"/>
      <c r="C743" s="32"/>
      <c r="D743" s="32"/>
      <c r="E743" s="32"/>
    </row>
    <row r="744" spans="1:5">
      <c r="A744" s="68"/>
      <c r="B744" s="68"/>
      <c r="C744" s="32"/>
      <c r="D744" s="32"/>
      <c r="E744" s="32"/>
    </row>
    <row r="745" spans="1:5">
      <c r="A745" s="68"/>
      <c r="B745" s="68"/>
      <c r="C745" s="32"/>
      <c r="D745" s="32"/>
      <c r="E745" s="32"/>
    </row>
    <row r="746" spans="1:5">
      <c r="A746" s="68"/>
      <c r="B746" s="68"/>
      <c r="C746" s="32"/>
      <c r="D746" s="32"/>
      <c r="E746" s="32"/>
    </row>
    <row r="747" spans="1:5">
      <c r="A747" s="68"/>
      <c r="B747" s="68"/>
      <c r="C747" s="32"/>
      <c r="D747" s="32"/>
      <c r="E747" s="32"/>
    </row>
    <row r="748" spans="1:5">
      <c r="A748" s="68"/>
      <c r="B748" s="68"/>
      <c r="C748" s="32"/>
      <c r="D748" s="32"/>
      <c r="E748" s="32"/>
    </row>
    <row r="749" spans="1:5">
      <c r="A749" s="68"/>
      <c r="B749" s="68"/>
      <c r="C749" s="32"/>
      <c r="D749" s="32"/>
      <c r="E749" s="32"/>
    </row>
    <row r="750" spans="1:5">
      <c r="A750" s="68"/>
      <c r="B750" s="68"/>
      <c r="C750" s="32"/>
      <c r="D750" s="32"/>
      <c r="E750" s="32"/>
    </row>
    <row r="751" spans="1:5">
      <c r="A751" s="68"/>
      <c r="B751" s="68"/>
      <c r="C751" s="32"/>
      <c r="D751" s="32"/>
      <c r="E751" s="32"/>
    </row>
    <row r="752" spans="1:5">
      <c r="A752" s="68"/>
      <c r="B752" s="68"/>
      <c r="C752" s="32"/>
      <c r="D752" s="32"/>
      <c r="E752" s="32"/>
    </row>
    <row r="753" spans="1:5">
      <c r="A753" s="68"/>
      <c r="B753" s="68"/>
      <c r="C753" s="32"/>
      <c r="D753" s="32"/>
      <c r="E753" s="32"/>
    </row>
    <row r="754" spans="1:5">
      <c r="A754" s="68"/>
      <c r="B754" s="68"/>
      <c r="C754" s="32"/>
      <c r="D754" s="32"/>
      <c r="E754" s="32"/>
    </row>
    <row r="755" spans="1:5">
      <c r="A755" s="68"/>
      <c r="B755" s="68"/>
      <c r="C755" s="32"/>
      <c r="D755" s="32"/>
      <c r="E755" s="32"/>
    </row>
    <row r="756" spans="1:5">
      <c r="A756" s="68"/>
      <c r="B756" s="68"/>
      <c r="C756" s="32"/>
      <c r="D756" s="32"/>
      <c r="E756" s="32"/>
    </row>
    <row r="757" spans="1:5">
      <c r="A757" s="68"/>
      <c r="B757" s="68"/>
      <c r="C757" s="32"/>
      <c r="D757" s="32"/>
      <c r="E757" s="32"/>
    </row>
    <row r="758" spans="1:5">
      <c r="A758" s="68"/>
      <c r="B758" s="68"/>
      <c r="C758" s="32"/>
      <c r="D758" s="32"/>
      <c r="E758" s="32"/>
    </row>
    <row r="759" spans="1:5">
      <c r="A759" s="68"/>
      <c r="B759" s="68"/>
      <c r="C759" s="32"/>
      <c r="D759" s="32"/>
      <c r="E759" s="32"/>
    </row>
    <row r="760" spans="1:5">
      <c r="A760" s="68"/>
      <c r="B760" s="68"/>
      <c r="C760" s="32"/>
      <c r="D760" s="32"/>
      <c r="E760" s="32"/>
    </row>
    <row r="761" spans="1:5">
      <c r="A761" s="68"/>
      <c r="B761" s="68"/>
      <c r="C761" s="32"/>
      <c r="D761" s="32"/>
      <c r="E761" s="32"/>
    </row>
    <row r="762" spans="1:5">
      <c r="A762" s="68"/>
      <c r="B762" s="68"/>
      <c r="C762" s="32"/>
      <c r="D762" s="32"/>
      <c r="E762" s="32"/>
    </row>
    <row r="763" spans="1:5">
      <c r="A763" s="68"/>
      <c r="B763" s="68"/>
      <c r="C763" s="32"/>
      <c r="D763" s="32"/>
      <c r="E763" s="32"/>
    </row>
    <row r="764" spans="1:5">
      <c r="A764" s="68"/>
      <c r="B764" s="68"/>
      <c r="C764" s="32"/>
      <c r="D764" s="32"/>
      <c r="E764" s="32"/>
    </row>
    <row r="765" spans="1:5">
      <c r="A765" s="68"/>
      <c r="B765" s="68"/>
      <c r="C765" s="32"/>
      <c r="D765" s="32"/>
      <c r="E765" s="32"/>
    </row>
    <row r="766" spans="1:5">
      <c r="A766" s="68"/>
      <c r="B766" s="68"/>
      <c r="C766" s="32"/>
      <c r="D766" s="32"/>
      <c r="E766" s="32"/>
    </row>
    <row r="767" spans="1:5">
      <c r="A767" s="68"/>
      <c r="B767" s="68"/>
      <c r="C767" s="32"/>
      <c r="D767" s="32"/>
      <c r="E767" s="32"/>
    </row>
    <row r="768" spans="1:5">
      <c r="A768" s="68"/>
      <c r="B768" s="68"/>
      <c r="C768" s="32"/>
      <c r="D768" s="32"/>
      <c r="E768" s="32"/>
    </row>
    <row r="769" spans="1:5">
      <c r="A769" s="68"/>
      <c r="B769" s="68"/>
      <c r="C769" s="32"/>
      <c r="D769" s="32"/>
      <c r="E769" s="32"/>
    </row>
    <row r="770" spans="1:5">
      <c r="A770" s="68"/>
      <c r="B770" s="68"/>
      <c r="C770" s="32"/>
      <c r="D770" s="32"/>
      <c r="E770" s="32"/>
    </row>
    <row r="771" spans="1:5">
      <c r="A771" s="68"/>
      <c r="B771" s="68"/>
      <c r="C771" s="32"/>
      <c r="D771" s="32"/>
      <c r="E771" s="32"/>
    </row>
    <row r="772" spans="1:5">
      <c r="A772" s="68"/>
      <c r="B772" s="68"/>
      <c r="C772" s="32"/>
      <c r="D772" s="32"/>
      <c r="E772" s="32"/>
    </row>
    <row r="773" spans="1:5">
      <c r="A773" s="68"/>
      <c r="B773" s="68"/>
      <c r="C773" s="32"/>
      <c r="D773" s="32"/>
      <c r="E773" s="32"/>
    </row>
    <row r="774" spans="1:5">
      <c r="A774" s="68"/>
      <c r="B774" s="68"/>
      <c r="C774" s="32"/>
      <c r="D774" s="32"/>
      <c r="E774" s="32"/>
    </row>
    <row r="775" spans="1:5">
      <c r="A775" s="68"/>
      <c r="B775" s="68"/>
      <c r="C775" s="32"/>
      <c r="D775" s="32"/>
      <c r="E775" s="32"/>
    </row>
    <row r="776" spans="1:5">
      <c r="A776" s="68"/>
      <c r="B776" s="68"/>
      <c r="C776" s="32"/>
      <c r="D776" s="32"/>
      <c r="E776" s="32"/>
    </row>
    <row r="777" spans="1:5">
      <c r="A777" s="68"/>
      <c r="B777" s="68"/>
      <c r="C777" s="32"/>
      <c r="D777" s="32"/>
      <c r="E777" s="32"/>
    </row>
    <row r="778" spans="1:5">
      <c r="A778" s="68"/>
      <c r="B778" s="68"/>
      <c r="C778" s="32"/>
      <c r="D778" s="32"/>
      <c r="E778" s="32"/>
    </row>
    <row r="779" spans="1:5">
      <c r="A779" s="68"/>
      <c r="B779" s="68"/>
      <c r="C779" s="32"/>
      <c r="D779" s="32"/>
      <c r="E779" s="32"/>
    </row>
    <row r="780" spans="1:5">
      <c r="A780" s="68"/>
      <c r="B780" s="68"/>
      <c r="C780" s="32"/>
      <c r="D780" s="32"/>
      <c r="E780" s="32"/>
    </row>
    <row r="781" spans="1:5">
      <c r="A781" s="68"/>
      <c r="B781" s="68"/>
      <c r="C781" s="32"/>
      <c r="D781" s="32"/>
      <c r="E781" s="32"/>
    </row>
    <row r="782" spans="1:5">
      <c r="A782" s="68"/>
      <c r="B782" s="68"/>
      <c r="C782" s="32"/>
      <c r="D782" s="32"/>
      <c r="E782" s="32"/>
    </row>
    <row r="783" spans="1:5">
      <c r="A783" s="68"/>
      <c r="B783" s="68"/>
      <c r="C783" s="32"/>
      <c r="D783" s="32"/>
      <c r="E783" s="32"/>
    </row>
    <row r="784" spans="1:5">
      <c r="A784" s="68"/>
      <c r="B784" s="68"/>
      <c r="C784" s="32"/>
      <c r="D784" s="32"/>
      <c r="E784" s="32"/>
    </row>
    <row r="785" spans="1:5">
      <c r="A785" s="68"/>
      <c r="B785" s="68"/>
      <c r="C785" s="32"/>
      <c r="D785" s="32"/>
      <c r="E785" s="32"/>
    </row>
    <row r="786" spans="1:5">
      <c r="A786" s="68"/>
      <c r="B786" s="68"/>
      <c r="C786" s="32"/>
      <c r="D786" s="32"/>
      <c r="E786" s="32"/>
    </row>
    <row r="787" spans="1:5">
      <c r="A787" s="68"/>
      <c r="B787" s="68"/>
      <c r="C787" s="32"/>
      <c r="D787" s="32"/>
      <c r="E787" s="32"/>
    </row>
    <row r="788" spans="1:5">
      <c r="A788" s="68"/>
      <c r="B788" s="68"/>
      <c r="C788" s="32"/>
      <c r="D788" s="32"/>
      <c r="E788" s="32"/>
    </row>
    <row r="789" spans="1:5">
      <c r="A789" s="68"/>
      <c r="B789" s="68"/>
      <c r="C789" s="32"/>
      <c r="D789" s="32"/>
      <c r="E789" s="32"/>
    </row>
    <row r="790" spans="1:5">
      <c r="A790" s="68"/>
      <c r="B790" s="68"/>
      <c r="C790" s="32"/>
      <c r="D790" s="32"/>
      <c r="E790" s="32"/>
    </row>
    <row r="791" spans="1:5">
      <c r="A791" s="68"/>
      <c r="B791" s="68"/>
      <c r="C791" s="32"/>
      <c r="D791" s="32"/>
      <c r="E791" s="32"/>
    </row>
    <row r="792" spans="1:5">
      <c r="A792" s="68"/>
      <c r="B792" s="68"/>
      <c r="C792" s="32"/>
      <c r="D792" s="32"/>
      <c r="E792" s="32"/>
    </row>
    <row r="793" spans="1:5">
      <c r="A793" s="68"/>
      <c r="B793" s="68"/>
      <c r="C793" s="32"/>
      <c r="D793" s="32"/>
      <c r="E793" s="32"/>
    </row>
    <row r="794" spans="1:5">
      <c r="A794" s="68"/>
      <c r="B794" s="68"/>
      <c r="C794" s="32"/>
      <c r="D794" s="32"/>
      <c r="E794" s="32"/>
    </row>
    <row r="795" spans="1:5">
      <c r="A795" s="68"/>
      <c r="B795" s="68"/>
      <c r="C795" s="32"/>
      <c r="D795" s="32"/>
      <c r="E795" s="32"/>
    </row>
    <row r="796" spans="1:5">
      <c r="A796" s="68"/>
      <c r="B796" s="68"/>
      <c r="C796" s="32"/>
      <c r="D796" s="32"/>
      <c r="E796" s="32"/>
    </row>
    <row r="797" spans="1:5">
      <c r="A797" s="68"/>
      <c r="B797" s="68"/>
      <c r="C797" s="32"/>
      <c r="D797" s="32"/>
      <c r="E797" s="32"/>
    </row>
    <row r="798" spans="1:5">
      <c r="A798" s="68"/>
      <c r="B798" s="68"/>
      <c r="C798" s="32"/>
      <c r="D798" s="32"/>
      <c r="E798" s="32"/>
    </row>
    <row r="799" spans="1:5">
      <c r="A799" s="68"/>
      <c r="B799" s="68"/>
      <c r="C799" s="32"/>
      <c r="D799" s="32"/>
      <c r="E799" s="32"/>
    </row>
    <row r="800" spans="1:5">
      <c r="A800" s="68"/>
      <c r="B800" s="68"/>
      <c r="C800" s="32"/>
      <c r="D800" s="32"/>
      <c r="E800" s="32"/>
    </row>
    <row r="801" spans="1:5">
      <c r="A801" s="68"/>
      <c r="B801" s="68"/>
      <c r="C801" s="32"/>
      <c r="D801" s="32"/>
      <c r="E801" s="32"/>
    </row>
    <row r="802" spans="1:5">
      <c r="A802" s="68"/>
      <c r="B802" s="68"/>
      <c r="C802" s="32"/>
      <c r="D802" s="32"/>
      <c r="E802" s="32"/>
    </row>
    <row r="803" spans="1:5">
      <c r="A803" s="68"/>
      <c r="B803" s="68"/>
      <c r="C803" s="32"/>
      <c r="D803" s="32"/>
      <c r="E803" s="32"/>
    </row>
    <row r="804" spans="1:5">
      <c r="A804" s="68"/>
      <c r="B804" s="68"/>
      <c r="C804" s="32"/>
      <c r="D804" s="32"/>
      <c r="E804" s="32"/>
    </row>
    <row r="805" spans="1:5">
      <c r="A805" s="68"/>
      <c r="B805" s="68"/>
      <c r="C805" s="32"/>
      <c r="D805" s="32"/>
      <c r="E805" s="32"/>
    </row>
    <row r="806" spans="1:5">
      <c r="A806" s="68"/>
      <c r="B806" s="68"/>
      <c r="C806" s="32"/>
      <c r="D806" s="32"/>
      <c r="E806" s="32"/>
    </row>
    <row r="807" spans="1:5">
      <c r="A807" s="68"/>
      <c r="B807" s="68"/>
      <c r="C807" s="32"/>
      <c r="D807" s="32"/>
      <c r="E807" s="32"/>
    </row>
    <row r="808" spans="1:5">
      <c r="A808" s="68"/>
      <c r="B808" s="68"/>
      <c r="C808" s="32"/>
      <c r="D808" s="32"/>
      <c r="E808" s="32"/>
    </row>
    <row r="809" spans="1:5">
      <c r="A809" s="68"/>
      <c r="B809" s="68"/>
      <c r="C809" s="32"/>
      <c r="D809" s="32"/>
      <c r="E809" s="32"/>
    </row>
    <row r="810" spans="1:5">
      <c r="A810" s="68"/>
      <c r="B810" s="68"/>
      <c r="C810" s="32"/>
      <c r="D810" s="32"/>
      <c r="E810" s="32"/>
    </row>
    <row r="811" spans="1:5">
      <c r="A811" s="68"/>
      <c r="B811" s="68"/>
      <c r="C811" s="32"/>
      <c r="D811" s="32"/>
      <c r="E811" s="32"/>
    </row>
    <row r="812" spans="1:5">
      <c r="A812" s="68"/>
      <c r="B812" s="68"/>
      <c r="C812" s="32"/>
      <c r="D812" s="32"/>
      <c r="E812" s="32"/>
    </row>
    <row r="813" spans="1:5">
      <c r="A813" s="68"/>
      <c r="B813" s="68"/>
      <c r="C813" s="32"/>
      <c r="D813" s="32"/>
      <c r="E813" s="32"/>
    </row>
    <row r="814" spans="1:5">
      <c r="A814" s="68"/>
      <c r="B814" s="68"/>
      <c r="C814" s="32"/>
      <c r="D814" s="32"/>
      <c r="E814" s="32"/>
    </row>
    <row r="815" spans="1:5">
      <c r="A815" s="68"/>
      <c r="B815" s="68"/>
      <c r="C815" s="32"/>
      <c r="D815" s="32"/>
      <c r="E815" s="32"/>
    </row>
    <row r="816" spans="1:5">
      <c r="A816" s="68"/>
      <c r="B816" s="68"/>
      <c r="C816" s="32"/>
      <c r="D816" s="32"/>
      <c r="E816" s="32"/>
    </row>
    <row r="817" spans="1:5">
      <c r="A817" s="68"/>
      <c r="B817" s="68"/>
      <c r="C817" s="32"/>
      <c r="D817" s="32"/>
      <c r="E817" s="32"/>
    </row>
    <row r="818" spans="1:5">
      <c r="A818" s="68"/>
      <c r="B818" s="68"/>
      <c r="C818" s="32"/>
      <c r="D818" s="32"/>
      <c r="E818" s="32"/>
    </row>
    <row r="819" spans="1:5">
      <c r="A819" s="68"/>
      <c r="B819" s="68"/>
      <c r="C819" s="32"/>
      <c r="D819" s="32"/>
      <c r="E819" s="32"/>
    </row>
    <row r="820" spans="1:5">
      <c r="A820" s="68"/>
      <c r="B820" s="68"/>
      <c r="C820" s="32"/>
      <c r="D820" s="32"/>
      <c r="E820" s="32"/>
    </row>
    <row r="821" spans="1:5">
      <c r="A821" s="68"/>
      <c r="B821" s="68"/>
      <c r="C821" s="32"/>
      <c r="D821" s="32"/>
      <c r="E821" s="32"/>
    </row>
    <row r="822" spans="1:5">
      <c r="A822" s="68"/>
      <c r="B822" s="68"/>
      <c r="C822" s="32"/>
      <c r="D822" s="32"/>
      <c r="E822" s="32"/>
    </row>
    <row r="823" spans="1:5">
      <c r="A823" s="68"/>
      <c r="B823" s="68"/>
      <c r="C823" s="32"/>
      <c r="D823" s="32"/>
      <c r="E823" s="32"/>
    </row>
    <row r="824" spans="1:5">
      <c r="A824" s="68"/>
      <c r="B824" s="68"/>
      <c r="C824" s="32"/>
      <c r="D824" s="32"/>
      <c r="E824" s="32"/>
    </row>
    <row r="825" spans="1:5">
      <c r="A825" s="68"/>
      <c r="B825" s="68"/>
      <c r="C825" s="32"/>
      <c r="D825" s="32"/>
      <c r="E825" s="32"/>
    </row>
    <row r="826" spans="1:5">
      <c r="A826" s="68"/>
      <c r="B826" s="68"/>
      <c r="C826" s="32"/>
      <c r="D826" s="32"/>
      <c r="E826" s="32"/>
    </row>
    <row r="827" spans="1:5">
      <c r="A827" s="68"/>
      <c r="B827" s="68"/>
      <c r="C827" s="32"/>
      <c r="D827" s="32"/>
      <c r="E827" s="32"/>
    </row>
    <row r="828" spans="1:5">
      <c r="A828" s="68"/>
      <c r="B828" s="68"/>
      <c r="C828" s="32"/>
      <c r="D828" s="32"/>
      <c r="E828" s="32"/>
    </row>
    <row r="829" spans="1:5">
      <c r="A829" s="68"/>
      <c r="B829" s="68"/>
      <c r="C829" s="32"/>
      <c r="D829" s="32"/>
      <c r="E829" s="32"/>
    </row>
    <row r="830" spans="1:5">
      <c r="A830" s="68"/>
      <c r="B830" s="68"/>
      <c r="C830" s="32"/>
      <c r="D830" s="32"/>
      <c r="E830" s="32"/>
    </row>
    <row r="831" spans="1:5">
      <c r="A831" s="68"/>
      <c r="B831" s="68"/>
      <c r="C831" s="32"/>
      <c r="D831" s="32"/>
      <c r="E831" s="32"/>
    </row>
    <row r="832" spans="1:5">
      <c r="A832" s="68"/>
      <c r="B832" s="68"/>
      <c r="C832" s="32"/>
      <c r="D832" s="32"/>
      <c r="E832" s="32"/>
    </row>
    <row r="833" spans="1:5">
      <c r="A833" s="68"/>
      <c r="B833" s="68"/>
      <c r="C833" s="32"/>
      <c r="D833" s="32"/>
      <c r="E833" s="32"/>
    </row>
    <row r="834" spans="1:5">
      <c r="A834" s="68"/>
      <c r="B834" s="68"/>
      <c r="C834" s="32"/>
      <c r="D834" s="32"/>
      <c r="E834" s="32"/>
    </row>
    <row r="835" spans="1:5">
      <c r="A835" s="68"/>
      <c r="B835" s="68"/>
      <c r="C835" s="32"/>
      <c r="D835" s="32"/>
      <c r="E835" s="32"/>
    </row>
    <row r="836" spans="1:5">
      <c r="A836" s="68"/>
      <c r="B836" s="68"/>
      <c r="C836" s="32"/>
      <c r="D836" s="32"/>
      <c r="E836" s="32"/>
    </row>
    <row r="837" spans="1:5">
      <c r="A837" s="68"/>
      <c r="B837" s="68"/>
      <c r="C837" s="32"/>
      <c r="D837" s="32"/>
      <c r="E837" s="32"/>
    </row>
    <row r="838" spans="1:5">
      <c r="A838" s="68"/>
      <c r="B838" s="68"/>
      <c r="C838" s="32"/>
      <c r="D838" s="32"/>
      <c r="E838" s="32"/>
    </row>
    <row r="839" spans="1:5">
      <c r="A839" s="68"/>
      <c r="B839" s="68"/>
      <c r="C839" s="32"/>
      <c r="D839" s="32"/>
      <c r="E839" s="32"/>
    </row>
    <row r="840" spans="1:5">
      <c r="A840" s="68"/>
      <c r="B840" s="68"/>
      <c r="C840" s="32"/>
      <c r="D840" s="32"/>
      <c r="E840" s="32"/>
    </row>
    <row r="841" spans="1:5">
      <c r="A841" s="68"/>
      <c r="B841" s="68"/>
      <c r="C841" s="32"/>
      <c r="D841" s="32"/>
      <c r="E841" s="32"/>
    </row>
    <row r="842" spans="1:5">
      <c r="A842" s="68"/>
      <c r="B842" s="68"/>
      <c r="C842" s="32"/>
      <c r="D842" s="32"/>
      <c r="E842" s="32"/>
    </row>
    <row r="843" spans="1:5">
      <c r="A843" s="68"/>
      <c r="B843" s="68"/>
      <c r="C843" s="32"/>
      <c r="D843" s="32"/>
      <c r="E843" s="32"/>
    </row>
    <row r="844" spans="1:5">
      <c r="A844" s="68"/>
      <c r="B844" s="68"/>
      <c r="C844" s="32"/>
      <c r="D844" s="32"/>
      <c r="E844" s="32"/>
    </row>
    <row r="845" spans="1:5">
      <c r="A845" s="68"/>
      <c r="B845" s="68"/>
      <c r="C845" s="32"/>
      <c r="D845" s="32"/>
      <c r="E845" s="32"/>
    </row>
    <row r="846" spans="1:5">
      <c r="A846" s="68"/>
      <c r="B846" s="68"/>
      <c r="C846" s="32"/>
      <c r="D846" s="32"/>
      <c r="E846" s="32"/>
    </row>
    <row r="847" spans="1:5">
      <c r="A847" s="68"/>
      <c r="B847" s="68"/>
      <c r="C847" s="32"/>
      <c r="D847" s="32"/>
      <c r="E847" s="32"/>
    </row>
    <row r="848" spans="1:5">
      <c r="A848" s="68"/>
      <c r="B848" s="68"/>
      <c r="C848" s="32"/>
      <c r="D848" s="32"/>
      <c r="E848" s="32"/>
    </row>
    <row r="849" spans="1:5">
      <c r="A849" s="68"/>
      <c r="B849" s="68"/>
      <c r="C849" s="32"/>
      <c r="D849" s="32"/>
      <c r="E849" s="32"/>
    </row>
    <row r="850" spans="1:5">
      <c r="A850" s="68"/>
      <c r="B850" s="68"/>
      <c r="C850" s="32"/>
      <c r="D850" s="32"/>
      <c r="E850" s="32"/>
    </row>
    <row r="851" spans="1:5">
      <c r="A851" s="68"/>
      <c r="B851" s="68"/>
      <c r="C851" s="32"/>
      <c r="D851" s="32"/>
      <c r="E851" s="32"/>
    </row>
    <row r="852" spans="1:5">
      <c r="A852" s="68"/>
      <c r="B852" s="68"/>
      <c r="C852" s="32"/>
      <c r="D852" s="32"/>
      <c r="E852" s="32"/>
    </row>
    <row r="853" spans="1:5">
      <c r="A853" s="68"/>
      <c r="B853" s="68"/>
      <c r="C853" s="32"/>
      <c r="D853" s="32"/>
      <c r="E853" s="32"/>
    </row>
    <row r="854" spans="1:5">
      <c r="A854" s="68"/>
      <c r="B854" s="68"/>
      <c r="C854" s="32"/>
      <c r="D854" s="32"/>
      <c r="E854" s="32"/>
    </row>
    <row r="855" spans="1:5">
      <c r="A855" s="68"/>
      <c r="B855" s="68"/>
      <c r="C855" s="32"/>
      <c r="D855" s="32"/>
      <c r="E855" s="32"/>
    </row>
    <row r="856" spans="1:5">
      <c r="A856" s="68"/>
      <c r="B856" s="68"/>
      <c r="C856" s="32"/>
      <c r="D856" s="32"/>
      <c r="E856" s="32"/>
    </row>
    <row r="857" spans="1:5">
      <c r="A857" s="68"/>
      <c r="B857" s="68"/>
      <c r="C857" s="32"/>
      <c r="D857" s="32"/>
      <c r="E857" s="32"/>
    </row>
    <row r="858" spans="1:5">
      <c r="A858" s="68"/>
      <c r="B858" s="68"/>
      <c r="C858" s="32"/>
      <c r="D858" s="32"/>
      <c r="E858" s="32"/>
    </row>
    <row r="859" spans="1:5">
      <c r="A859" s="68"/>
      <c r="B859" s="68"/>
      <c r="C859" s="32"/>
      <c r="D859" s="32"/>
      <c r="E859" s="32"/>
    </row>
    <row r="860" spans="1:5">
      <c r="A860" s="68"/>
      <c r="B860" s="68"/>
      <c r="C860" s="32"/>
      <c r="D860" s="32"/>
      <c r="E860" s="32"/>
    </row>
    <row r="861" spans="1:5">
      <c r="A861" s="68"/>
      <c r="B861" s="68"/>
      <c r="C861" s="32"/>
      <c r="D861" s="32"/>
      <c r="E861" s="32"/>
    </row>
    <row r="862" spans="1:5">
      <c r="A862" s="68"/>
      <c r="B862" s="68"/>
      <c r="C862" s="32"/>
      <c r="D862" s="32"/>
      <c r="E862" s="32"/>
    </row>
    <row r="863" spans="1:5">
      <c r="A863" s="68"/>
      <c r="B863" s="68"/>
      <c r="C863" s="32"/>
      <c r="D863" s="32"/>
      <c r="E863" s="32"/>
    </row>
    <row r="864" spans="1:5">
      <c r="A864" s="68"/>
      <c r="B864" s="68"/>
      <c r="C864" s="32"/>
      <c r="D864" s="32"/>
      <c r="E864" s="32"/>
    </row>
    <row r="865" spans="1:5">
      <c r="A865" s="68"/>
      <c r="B865" s="68"/>
      <c r="C865" s="32"/>
      <c r="D865" s="32"/>
      <c r="E865" s="32"/>
    </row>
    <row r="866" spans="1:5">
      <c r="A866" s="68"/>
      <c r="B866" s="68"/>
      <c r="C866" s="32"/>
      <c r="D866" s="32"/>
      <c r="E866" s="32"/>
    </row>
    <row r="867" spans="1:5">
      <c r="A867" s="68"/>
      <c r="B867" s="68"/>
      <c r="C867" s="32"/>
      <c r="D867" s="32"/>
      <c r="E867" s="32"/>
    </row>
    <row r="868" spans="1:5">
      <c r="A868" s="68"/>
      <c r="B868" s="68"/>
      <c r="C868" s="32"/>
      <c r="D868" s="32"/>
      <c r="E868" s="32"/>
    </row>
    <row r="869" spans="1:5">
      <c r="A869" s="68"/>
      <c r="B869" s="68"/>
      <c r="C869" s="32"/>
      <c r="D869" s="32"/>
      <c r="E869" s="32"/>
    </row>
    <row r="870" spans="1:5">
      <c r="A870" s="68"/>
      <c r="B870" s="68"/>
      <c r="C870" s="32"/>
      <c r="D870" s="32"/>
      <c r="E870" s="32"/>
    </row>
    <row r="871" spans="1:5">
      <c r="A871" s="68"/>
      <c r="B871" s="68"/>
      <c r="C871" s="32"/>
      <c r="D871" s="32"/>
      <c r="E871" s="32"/>
    </row>
    <row r="872" spans="1:5">
      <c r="A872" s="68"/>
      <c r="B872" s="68"/>
      <c r="C872" s="32"/>
      <c r="D872" s="32"/>
      <c r="E872" s="32"/>
    </row>
    <row r="873" spans="1:5">
      <c r="A873" s="68"/>
      <c r="B873" s="68"/>
      <c r="C873" s="32"/>
      <c r="D873" s="32"/>
      <c r="E873" s="32"/>
    </row>
    <row r="874" spans="1:5">
      <c r="A874" s="68"/>
      <c r="B874" s="68"/>
      <c r="C874" s="32"/>
      <c r="D874" s="32"/>
      <c r="E874" s="32"/>
    </row>
    <row r="875" spans="1:5">
      <c r="A875" s="68"/>
      <c r="B875" s="68"/>
      <c r="C875" s="32"/>
      <c r="D875" s="32"/>
      <c r="E875" s="32"/>
    </row>
    <row r="876" spans="1:5">
      <c r="A876" s="68"/>
      <c r="B876" s="68"/>
      <c r="C876" s="32"/>
      <c r="D876" s="32"/>
      <c r="E876" s="32"/>
    </row>
    <row r="877" spans="1:5">
      <c r="A877" s="68"/>
      <c r="B877" s="68"/>
      <c r="C877" s="32"/>
      <c r="D877" s="32"/>
      <c r="E877" s="32"/>
    </row>
    <row r="878" spans="1:5">
      <c r="A878" s="68"/>
      <c r="B878" s="68"/>
      <c r="C878" s="32"/>
      <c r="D878" s="32"/>
      <c r="E878" s="32"/>
    </row>
    <row r="879" spans="1:5">
      <c r="A879" s="68"/>
      <c r="B879" s="68"/>
      <c r="C879" s="32"/>
      <c r="D879" s="32"/>
      <c r="E879" s="32"/>
    </row>
    <row r="880" spans="1:5">
      <c r="A880" s="68"/>
      <c r="B880" s="68"/>
      <c r="C880" s="32"/>
      <c r="D880" s="32"/>
      <c r="E880" s="32"/>
    </row>
    <row r="881" spans="1:5">
      <c r="A881" s="68"/>
      <c r="B881" s="68"/>
      <c r="C881" s="32"/>
      <c r="D881" s="32"/>
      <c r="E881" s="32"/>
    </row>
    <row r="882" spans="1:5">
      <c r="A882" s="68"/>
      <c r="B882" s="68"/>
      <c r="C882" s="32"/>
      <c r="D882" s="32"/>
      <c r="E882" s="32"/>
    </row>
    <row r="883" spans="1:5">
      <c r="A883" s="68"/>
      <c r="B883" s="68"/>
      <c r="C883" s="32"/>
      <c r="D883" s="32"/>
      <c r="E883" s="32"/>
    </row>
    <row r="884" spans="1:5">
      <c r="A884" s="68"/>
      <c r="B884" s="68"/>
      <c r="C884" s="32"/>
      <c r="D884" s="32"/>
      <c r="E884" s="32"/>
    </row>
    <row r="885" spans="1:5">
      <c r="A885" s="68"/>
      <c r="B885" s="68"/>
      <c r="C885" s="32"/>
      <c r="D885" s="32"/>
      <c r="E885" s="32"/>
    </row>
    <row r="886" spans="1:5">
      <c r="A886" s="68"/>
      <c r="B886" s="68"/>
      <c r="C886" s="32"/>
      <c r="D886" s="32"/>
      <c r="E886" s="32"/>
    </row>
    <row r="887" spans="1:5">
      <c r="A887" s="68"/>
      <c r="B887" s="68"/>
      <c r="C887" s="32"/>
      <c r="D887" s="32"/>
      <c r="E887" s="32"/>
    </row>
    <row r="888" spans="1:5">
      <c r="A888" s="68"/>
      <c r="B888" s="68"/>
      <c r="C888" s="32"/>
      <c r="D888" s="32"/>
      <c r="E888" s="32"/>
    </row>
    <row r="889" spans="1:5">
      <c r="A889" s="68"/>
      <c r="B889" s="68"/>
      <c r="C889" s="32"/>
      <c r="D889" s="32"/>
      <c r="E889" s="32"/>
    </row>
    <row r="890" spans="1:5">
      <c r="A890" s="68"/>
      <c r="B890" s="68"/>
      <c r="C890" s="32"/>
      <c r="D890" s="32"/>
      <c r="E890" s="32"/>
    </row>
    <row r="891" spans="1:5">
      <c r="A891" s="68"/>
      <c r="B891" s="68"/>
      <c r="C891" s="32"/>
      <c r="D891" s="32"/>
      <c r="E891" s="32"/>
    </row>
    <row r="892" spans="1:5">
      <c r="A892" s="68"/>
      <c r="B892" s="68"/>
      <c r="C892" s="32"/>
      <c r="D892" s="32"/>
      <c r="E892" s="32"/>
    </row>
    <row r="893" spans="1:5">
      <c r="A893" s="68"/>
      <c r="B893" s="68"/>
      <c r="C893" s="32"/>
      <c r="D893" s="32"/>
      <c r="E893" s="32"/>
    </row>
    <row r="894" spans="1:5">
      <c r="A894" s="68"/>
      <c r="B894" s="68"/>
      <c r="C894" s="32"/>
      <c r="D894" s="32"/>
      <c r="E894" s="32"/>
    </row>
    <row r="895" spans="1:5">
      <c r="A895" s="68"/>
      <c r="B895" s="68"/>
      <c r="C895" s="32"/>
      <c r="D895" s="32"/>
      <c r="E895" s="32"/>
    </row>
    <row r="896" spans="1:5">
      <c r="A896" s="68"/>
      <c r="B896" s="68"/>
      <c r="C896" s="32"/>
      <c r="D896" s="32"/>
      <c r="E896" s="32"/>
    </row>
    <row r="897" spans="1:5">
      <c r="A897" s="68"/>
      <c r="B897" s="68"/>
      <c r="C897" s="32"/>
      <c r="D897" s="32"/>
      <c r="E897" s="32"/>
    </row>
    <row r="898" spans="1:5">
      <c r="A898" s="68"/>
      <c r="B898" s="68"/>
      <c r="C898" s="32"/>
      <c r="D898" s="32"/>
      <c r="E898" s="32"/>
    </row>
    <row r="899" spans="1:5">
      <c r="A899" s="68"/>
      <c r="B899" s="68"/>
      <c r="C899" s="32"/>
      <c r="D899" s="32"/>
      <c r="E899" s="32"/>
    </row>
    <row r="900" spans="1:5">
      <c r="A900" s="68"/>
      <c r="B900" s="68"/>
      <c r="C900" s="32"/>
      <c r="D900" s="32"/>
      <c r="E900" s="32"/>
    </row>
    <row r="901" spans="1:5">
      <c r="A901" s="68"/>
      <c r="B901" s="68"/>
      <c r="C901" s="32"/>
      <c r="D901" s="32"/>
      <c r="E901" s="32"/>
    </row>
    <row r="902" spans="1:5">
      <c r="A902" s="68"/>
      <c r="B902" s="68"/>
      <c r="C902" s="32"/>
      <c r="D902" s="32"/>
      <c r="E902" s="32"/>
    </row>
    <row r="903" spans="1:5">
      <c r="A903" s="68"/>
      <c r="B903" s="68"/>
      <c r="C903" s="32"/>
      <c r="D903" s="32"/>
      <c r="E903" s="32"/>
    </row>
    <row r="904" spans="1:5">
      <c r="A904" s="68"/>
      <c r="B904" s="68"/>
      <c r="C904" s="32"/>
      <c r="D904" s="32"/>
      <c r="E904" s="32"/>
    </row>
    <row r="905" spans="1:5">
      <c r="A905" s="68"/>
      <c r="B905" s="68"/>
      <c r="C905" s="32"/>
      <c r="D905" s="32"/>
      <c r="E905" s="32"/>
    </row>
    <row r="906" spans="1:5">
      <c r="A906" s="68"/>
      <c r="B906" s="68"/>
      <c r="C906" s="32"/>
      <c r="D906" s="32"/>
      <c r="E906" s="32"/>
    </row>
    <row r="907" spans="1:5">
      <c r="A907" s="68"/>
      <c r="B907" s="68"/>
      <c r="C907" s="32"/>
      <c r="D907" s="32"/>
      <c r="E907" s="32"/>
    </row>
    <row r="908" spans="1:5">
      <c r="A908" s="68"/>
      <c r="B908" s="68"/>
      <c r="C908" s="32"/>
      <c r="D908" s="32"/>
      <c r="E908" s="32"/>
    </row>
    <row r="909" spans="1:5">
      <c r="A909" s="68"/>
      <c r="B909" s="68"/>
      <c r="C909" s="32"/>
      <c r="D909" s="32"/>
      <c r="E909" s="32"/>
    </row>
    <row r="910" spans="1:5">
      <c r="A910" s="68"/>
      <c r="B910" s="68"/>
      <c r="C910" s="32"/>
      <c r="D910" s="32"/>
      <c r="E910" s="32"/>
    </row>
    <row r="911" spans="1:5">
      <c r="A911" s="68"/>
      <c r="B911" s="68"/>
      <c r="C911" s="32"/>
      <c r="D911" s="32"/>
      <c r="E911" s="32"/>
    </row>
    <row r="912" spans="1:5">
      <c r="A912" s="68"/>
      <c r="B912" s="68"/>
      <c r="C912" s="32"/>
      <c r="D912" s="32"/>
      <c r="E912" s="32"/>
    </row>
    <row r="913" spans="1:5">
      <c r="A913" s="68"/>
      <c r="B913" s="68"/>
      <c r="C913" s="32"/>
      <c r="D913" s="32"/>
      <c r="E913" s="32"/>
    </row>
    <row r="914" spans="1:5">
      <c r="A914" s="68"/>
      <c r="B914" s="68"/>
      <c r="C914" s="32"/>
      <c r="D914" s="32"/>
      <c r="E914" s="32"/>
    </row>
    <row r="915" spans="1:5">
      <c r="A915" s="68"/>
      <c r="B915" s="68"/>
      <c r="C915" s="32"/>
      <c r="D915" s="32"/>
      <c r="E915" s="32"/>
    </row>
    <row r="916" spans="1:5">
      <c r="A916" s="68"/>
      <c r="B916" s="68"/>
      <c r="C916" s="32"/>
      <c r="D916" s="32"/>
      <c r="E916" s="32"/>
    </row>
    <row r="917" spans="1:5">
      <c r="A917" s="68"/>
      <c r="B917" s="68"/>
      <c r="C917" s="32"/>
      <c r="D917" s="32"/>
      <c r="E917" s="32"/>
    </row>
    <row r="918" spans="1:5">
      <c r="A918" s="68"/>
      <c r="B918" s="68"/>
      <c r="C918" s="32"/>
      <c r="D918" s="32"/>
      <c r="E918" s="32"/>
    </row>
    <row r="919" spans="1:5">
      <c r="A919" s="68"/>
      <c r="B919" s="68"/>
      <c r="C919" s="32"/>
      <c r="D919" s="32"/>
      <c r="E919" s="32"/>
    </row>
    <row r="920" spans="1:5">
      <c r="A920" s="68"/>
      <c r="B920" s="68"/>
      <c r="C920" s="32"/>
      <c r="D920" s="32"/>
      <c r="E920" s="32"/>
    </row>
    <row r="921" spans="1:5">
      <c r="A921" s="68"/>
      <c r="B921" s="68"/>
      <c r="C921" s="32"/>
      <c r="D921" s="32"/>
      <c r="E921" s="32"/>
    </row>
    <row r="922" spans="1:5">
      <c r="A922" s="68"/>
      <c r="B922" s="68"/>
      <c r="C922" s="32"/>
      <c r="D922" s="32"/>
      <c r="E922" s="32"/>
    </row>
    <row r="923" spans="1:5">
      <c r="A923" s="68"/>
      <c r="B923" s="68"/>
      <c r="C923" s="32"/>
      <c r="D923" s="32"/>
      <c r="E923" s="32"/>
    </row>
    <row r="924" spans="1:5">
      <c r="A924" s="68"/>
      <c r="B924" s="68"/>
      <c r="C924" s="32"/>
      <c r="D924" s="32"/>
      <c r="E924" s="32"/>
    </row>
    <row r="925" spans="1:5">
      <c r="A925" s="68"/>
      <c r="B925" s="68"/>
      <c r="C925" s="32"/>
      <c r="D925" s="32"/>
      <c r="E925" s="32"/>
    </row>
    <row r="926" spans="1:5">
      <c r="A926" s="68"/>
      <c r="B926" s="68"/>
      <c r="C926" s="32"/>
      <c r="D926" s="32"/>
      <c r="E926" s="32"/>
    </row>
    <row r="927" spans="1:5">
      <c r="A927" s="68"/>
      <c r="B927" s="68"/>
      <c r="C927" s="32"/>
      <c r="D927" s="32"/>
      <c r="E927" s="32"/>
    </row>
    <row r="928" spans="1:5">
      <c r="A928" s="68"/>
      <c r="B928" s="68"/>
      <c r="C928" s="32"/>
      <c r="D928" s="32"/>
      <c r="E928" s="32"/>
    </row>
    <row r="929" spans="1:5">
      <c r="A929" s="68"/>
      <c r="B929" s="68"/>
      <c r="C929" s="32"/>
      <c r="D929" s="32"/>
      <c r="E929" s="32"/>
    </row>
    <row r="930" spans="1:5">
      <c r="A930" s="68"/>
      <c r="B930" s="68"/>
      <c r="C930" s="32"/>
      <c r="D930" s="32"/>
      <c r="E930" s="32"/>
    </row>
    <row r="931" spans="1:5">
      <c r="A931" s="68"/>
      <c r="B931" s="68"/>
      <c r="C931" s="32"/>
      <c r="D931" s="32"/>
      <c r="E931" s="32"/>
    </row>
    <row r="932" spans="1:5">
      <c r="A932" s="68"/>
      <c r="B932" s="68"/>
      <c r="C932" s="32"/>
      <c r="D932" s="32"/>
      <c r="E932" s="32"/>
    </row>
    <row r="933" spans="1:5">
      <c r="A933" s="68"/>
      <c r="B933" s="68"/>
      <c r="C933" s="32"/>
      <c r="D933" s="32"/>
      <c r="E933" s="32"/>
    </row>
    <row r="934" spans="1:5">
      <c r="A934" s="68"/>
      <c r="B934" s="68"/>
      <c r="C934" s="32"/>
      <c r="D934" s="32"/>
      <c r="E934" s="32"/>
    </row>
    <row r="935" spans="1:5">
      <c r="A935" s="68"/>
      <c r="B935" s="68"/>
      <c r="C935" s="32"/>
      <c r="D935" s="32"/>
      <c r="E935" s="32"/>
    </row>
    <row r="936" spans="1:5">
      <c r="A936" s="68"/>
      <c r="B936" s="68"/>
      <c r="C936" s="32"/>
      <c r="D936" s="32"/>
      <c r="E936" s="32"/>
    </row>
    <row r="937" spans="1:5">
      <c r="A937" s="68"/>
      <c r="B937" s="68"/>
      <c r="C937" s="32"/>
      <c r="D937" s="32"/>
      <c r="E937" s="32"/>
    </row>
    <row r="938" spans="1:5">
      <c r="A938" s="68"/>
      <c r="B938" s="68"/>
      <c r="C938" s="32"/>
      <c r="D938" s="32"/>
      <c r="E938" s="32"/>
    </row>
    <row r="939" spans="1:5">
      <c r="A939" s="68"/>
      <c r="B939" s="68"/>
      <c r="C939" s="32"/>
      <c r="D939" s="32"/>
      <c r="E939" s="32"/>
    </row>
    <row r="940" spans="1:5">
      <c r="A940" s="68"/>
      <c r="B940" s="68"/>
      <c r="C940" s="32"/>
      <c r="D940" s="32"/>
      <c r="E940" s="32"/>
    </row>
    <row r="941" spans="1:5">
      <c r="A941" s="68"/>
      <c r="B941" s="68"/>
      <c r="C941" s="32"/>
      <c r="D941" s="32"/>
      <c r="E941" s="32"/>
    </row>
    <row r="942" spans="1:5">
      <c r="A942" s="68"/>
      <c r="B942" s="68"/>
      <c r="C942" s="32"/>
      <c r="D942" s="32"/>
      <c r="E942" s="32"/>
    </row>
    <row r="943" spans="1:5">
      <c r="A943" s="68"/>
      <c r="B943" s="68"/>
      <c r="C943" s="32"/>
      <c r="D943" s="32"/>
      <c r="E943" s="32"/>
    </row>
    <row r="944" spans="1:5">
      <c r="A944" s="68"/>
      <c r="B944" s="68"/>
      <c r="C944" s="32"/>
      <c r="D944" s="32"/>
      <c r="E944" s="32"/>
    </row>
    <row r="945" spans="1:5">
      <c r="A945" s="68"/>
      <c r="B945" s="68"/>
      <c r="C945" s="32"/>
      <c r="D945" s="32"/>
      <c r="E945" s="32"/>
    </row>
    <row r="946" spans="1:5">
      <c r="A946" s="68"/>
      <c r="B946" s="68"/>
      <c r="C946" s="32"/>
      <c r="D946" s="32"/>
      <c r="E946" s="32"/>
    </row>
    <row r="947" spans="1:5">
      <c r="A947" s="68"/>
      <c r="B947" s="68"/>
      <c r="C947" s="32"/>
      <c r="D947" s="32"/>
      <c r="E947" s="32"/>
    </row>
    <row r="948" spans="1:5">
      <c r="A948" s="68"/>
      <c r="B948" s="68"/>
      <c r="C948" s="32"/>
      <c r="D948" s="32"/>
      <c r="E948" s="32"/>
    </row>
    <row r="949" spans="1:5">
      <c r="A949" s="68"/>
      <c r="B949" s="68"/>
      <c r="C949" s="32"/>
      <c r="D949" s="32"/>
      <c r="E949" s="32"/>
    </row>
    <row r="950" spans="1:5">
      <c r="A950" s="68"/>
      <c r="B950" s="68"/>
      <c r="C950" s="32"/>
      <c r="D950" s="32"/>
      <c r="E950" s="32"/>
    </row>
    <row r="951" spans="1:5">
      <c r="A951" s="68"/>
      <c r="B951" s="68"/>
      <c r="C951" s="32"/>
      <c r="D951" s="32"/>
      <c r="E951" s="32"/>
    </row>
    <row r="952" spans="1:5">
      <c r="A952" s="68"/>
      <c r="B952" s="68"/>
      <c r="C952" s="32"/>
      <c r="D952" s="32"/>
      <c r="E952" s="32"/>
    </row>
    <row r="953" spans="1:5">
      <c r="A953" s="68"/>
      <c r="B953" s="68"/>
      <c r="C953" s="32"/>
      <c r="D953" s="32"/>
      <c r="E953" s="32"/>
    </row>
    <row r="954" spans="1:5">
      <c r="A954" s="68"/>
      <c r="B954" s="68"/>
      <c r="C954" s="32"/>
      <c r="D954" s="32"/>
      <c r="E954" s="32"/>
    </row>
    <row r="955" spans="1:5">
      <c r="A955" s="68"/>
      <c r="B955" s="68"/>
      <c r="C955" s="32"/>
      <c r="D955" s="32"/>
      <c r="E955" s="32"/>
    </row>
    <row r="956" spans="1:5">
      <c r="A956" s="68"/>
      <c r="B956" s="68"/>
      <c r="C956" s="32"/>
      <c r="D956" s="32"/>
      <c r="E956" s="32"/>
    </row>
    <row r="957" spans="1:5">
      <c r="A957" s="68"/>
      <c r="B957" s="68"/>
      <c r="C957" s="32"/>
      <c r="D957" s="32"/>
      <c r="E957" s="32"/>
    </row>
    <row r="958" spans="1:5">
      <c r="A958" s="68"/>
      <c r="B958" s="68"/>
      <c r="C958" s="32"/>
      <c r="D958" s="32"/>
      <c r="E958" s="32"/>
    </row>
    <row r="959" spans="1:5">
      <c r="A959" s="68"/>
      <c r="B959" s="68"/>
      <c r="C959" s="32"/>
      <c r="D959" s="32"/>
      <c r="E959" s="32"/>
    </row>
    <row r="960" spans="1:5">
      <c r="A960" s="68"/>
      <c r="B960" s="68"/>
      <c r="C960" s="32"/>
      <c r="D960" s="32"/>
      <c r="E960" s="32"/>
    </row>
    <row r="961" spans="1:5">
      <c r="A961" s="68"/>
      <c r="B961" s="68"/>
      <c r="C961" s="32"/>
      <c r="D961" s="32"/>
      <c r="E961" s="32"/>
    </row>
    <row r="962" spans="1:5">
      <c r="A962" s="68"/>
      <c r="B962" s="68"/>
      <c r="C962" s="32"/>
      <c r="D962" s="32"/>
      <c r="E962" s="32"/>
    </row>
    <row r="963" spans="1:5">
      <c r="A963" s="68"/>
      <c r="B963" s="68"/>
      <c r="C963" s="32"/>
      <c r="D963" s="32"/>
      <c r="E963" s="32"/>
    </row>
    <row r="964" spans="1:5">
      <c r="A964" s="68"/>
      <c r="B964" s="68"/>
      <c r="C964" s="32"/>
      <c r="D964" s="32"/>
      <c r="E964" s="32"/>
    </row>
    <row r="965" spans="1:5">
      <c r="A965" s="68"/>
      <c r="B965" s="68"/>
      <c r="C965" s="32"/>
      <c r="D965" s="32"/>
      <c r="E965" s="32"/>
    </row>
    <row r="966" spans="1:5">
      <c r="A966" s="68"/>
      <c r="B966" s="68"/>
      <c r="C966" s="32"/>
      <c r="D966" s="32"/>
      <c r="E966" s="32"/>
    </row>
    <row r="967" spans="1:5">
      <c r="A967" s="68"/>
      <c r="B967" s="68"/>
      <c r="C967" s="32"/>
      <c r="D967" s="32"/>
      <c r="E967" s="32"/>
    </row>
    <row r="968" spans="1:5">
      <c r="A968" s="68"/>
      <c r="B968" s="68"/>
      <c r="C968" s="32"/>
      <c r="D968" s="32"/>
      <c r="E968" s="32"/>
    </row>
    <row r="969" spans="1:5">
      <c r="A969" s="68"/>
      <c r="B969" s="68"/>
      <c r="C969" s="32"/>
      <c r="D969" s="32"/>
      <c r="E969" s="32"/>
    </row>
    <row r="970" spans="1:5">
      <c r="A970" s="68"/>
      <c r="B970" s="68"/>
      <c r="C970" s="32"/>
      <c r="D970" s="32"/>
      <c r="E970" s="32"/>
    </row>
    <row r="971" spans="1:5">
      <c r="A971" s="68"/>
      <c r="B971" s="68"/>
      <c r="C971" s="32"/>
      <c r="D971" s="32"/>
      <c r="E971" s="32"/>
    </row>
    <row r="972" spans="1:5">
      <c r="A972" s="68"/>
      <c r="B972" s="68"/>
      <c r="C972" s="32"/>
      <c r="D972" s="32"/>
      <c r="E972" s="32"/>
    </row>
    <row r="973" spans="1:5">
      <c r="A973" s="68"/>
      <c r="B973" s="68"/>
      <c r="C973" s="32"/>
      <c r="D973" s="32"/>
      <c r="E973" s="32"/>
    </row>
    <row r="974" spans="1:5">
      <c r="A974" s="68"/>
      <c r="B974" s="68"/>
      <c r="C974" s="32"/>
      <c r="D974" s="32"/>
      <c r="E974" s="32"/>
    </row>
    <row r="975" spans="1:5">
      <c r="A975" s="68"/>
      <c r="B975" s="68"/>
      <c r="C975" s="32"/>
      <c r="D975" s="32"/>
      <c r="E975" s="32"/>
    </row>
    <row r="976" spans="1:5">
      <c r="A976" s="68"/>
      <c r="B976" s="68"/>
      <c r="C976" s="32"/>
      <c r="D976" s="32"/>
      <c r="E976" s="32"/>
    </row>
    <row r="977" spans="1:5">
      <c r="A977" s="68"/>
      <c r="B977" s="68"/>
      <c r="C977" s="32"/>
      <c r="D977" s="32"/>
      <c r="E977" s="32"/>
    </row>
    <row r="978" spans="1:5">
      <c r="A978" s="68"/>
      <c r="B978" s="68"/>
      <c r="C978" s="32"/>
      <c r="D978" s="32"/>
      <c r="E978" s="32"/>
    </row>
    <row r="979" spans="1:5">
      <c r="A979" s="68"/>
      <c r="B979" s="68"/>
      <c r="C979" s="32"/>
      <c r="D979" s="32"/>
      <c r="E979" s="32"/>
    </row>
    <row r="980" spans="1:5">
      <c r="A980" s="68"/>
      <c r="B980" s="68"/>
      <c r="C980" s="32"/>
      <c r="D980" s="32"/>
      <c r="E980" s="32"/>
    </row>
    <row r="981" spans="1:5">
      <c r="A981" s="68"/>
      <c r="B981" s="68"/>
      <c r="C981" s="32"/>
      <c r="D981" s="32"/>
      <c r="E981" s="32"/>
    </row>
    <row r="982" spans="1:5">
      <c r="A982" s="68"/>
      <c r="B982" s="68"/>
      <c r="C982" s="32"/>
      <c r="D982" s="32"/>
      <c r="E982" s="32"/>
    </row>
    <row r="983" spans="1:5">
      <c r="A983" s="68"/>
      <c r="B983" s="68"/>
      <c r="C983" s="32"/>
      <c r="D983" s="32"/>
      <c r="E983" s="32"/>
    </row>
    <row r="984" spans="1:5">
      <c r="A984" s="68"/>
      <c r="B984" s="68"/>
      <c r="C984" s="32"/>
      <c r="D984" s="32"/>
      <c r="E984" s="32"/>
    </row>
    <row r="985" spans="1:5">
      <c r="A985" s="68"/>
      <c r="B985" s="68"/>
      <c r="C985" s="32"/>
      <c r="D985" s="32"/>
      <c r="E985" s="32"/>
    </row>
    <row r="986" spans="1:5">
      <c r="A986" s="68"/>
      <c r="B986" s="68"/>
      <c r="C986" s="32"/>
      <c r="D986" s="32"/>
      <c r="E986" s="32"/>
    </row>
    <row r="987" spans="1:5">
      <c r="A987" s="68"/>
      <c r="B987" s="68"/>
      <c r="C987" s="32"/>
      <c r="D987" s="32"/>
      <c r="E987" s="32"/>
    </row>
    <row r="988" spans="1:5">
      <c r="A988" s="68"/>
      <c r="B988" s="68"/>
      <c r="C988" s="32"/>
      <c r="D988" s="32"/>
      <c r="E988" s="32"/>
    </row>
    <row r="989" spans="1:5">
      <c r="A989" s="68"/>
      <c r="B989" s="68"/>
      <c r="C989" s="32"/>
      <c r="D989" s="32"/>
      <c r="E989" s="32"/>
    </row>
    <row r="990" spans="1:5">
      <c r="A990" s="68"/>
      <c r="B990" s="68"/>
      <c r="C990" s="32"/>
      <c r="D990" s="32"/>
      <c r="E990" s="32"/>
    </row>
    <row r="991" spans="1:5">
      <c r="A991" s="68"/>
      <c r="B991" s="68"/>
      <c r="C991" s="32"/>
      <c r="D991" s="32"/>
      <c r="E991" s="32"/>
    </row>
    <row r="992" spans="1:5">
      <c r="A992" s="68"/>
      <c r="B992" s="68"/>
      <c r="C992" s="32"/>
      <c r="D992" s="32"/>
      <c r="E992" s="32"/>
    </row>
    <row r="993" spans="1:5">
      <c r="A993" s="68"/>
      <c r="B993" s="68"/>
      <c r="C993" s="32"/>
      <c r="D993" s="32"/>
      <c r="E993" s="32"/>
    </row>
    <row r="994" spans="1:5">
      <c r="A994" s="68"/>
      <c r="B994" s="68"/>
      <c r="C994" s="32"/>
      <c r="D994" s="32"/>
      <c r="E994" s="32"/>
    </row>
    <row r="995" spans="1:5">
      <c r="A995" s="68"/>
      <c r="B995" s="68"/>
      <c r="C995" s="32"/>
      <c r="D995" s="32"/>
      <c r="E995" s="32"/>
    </row>
    <row r="996" spans="1:5">
      <c r="A996" s="68"/>
      <c r="B996" s="68"/>
      <c r="C996" s="32"/>
      <c r="D996" s="32"/>
      <c r="E996" s="32"/>
    </row>
    <row r="997" spans="1:5">
      <c r="A997" s="68"/>
      <c r="B997" s="68"/>
      <c r="C997" s="32"/>
      <c r="D997" s="32"/>
      <c r="E997" s="32"/>
    </row>
    <row r="998" spans="1:5">
      <c r="A998" s="68"/>
      <c r="B998" s="68"/>
      <c r="C998" s="32"/>
      <c r="D998" s="32"/>
      <c r="E998" s="32"/>
    </row>
    <row r="999" spans="1:5">
      <c r="A999" s="68"/>
      <c r="B999" s="68"/>
      <c r="C999" s="32"/>
      <c r="D999" s="32"/>
      <c r="E999" s="32"/>
    </row>
    <row r="1000" spans="1:5">
      <c r="A1000" s="68"/>
      <c r="B1000" s="68"/>
      <c r="C1000" s="32"/>
      <c r="D1000" s="32"/>
      <c r="E1000" s="32"/>
    </row>
    <row r="1001" spans="1:5">
      <c r="A1001" s="68"/>
      <c r="B1001" s="68"/>
      <c r="C1001" s="32"/>
      <c r="D1001" s="32"/>
      <c r="E1001" s="32"/>
    </row>
    <row r="1002" spans="1:5">
      <c r="A1002" s="68"/>
      <c r="B1002" s="68"/>
      <c r="C1002" s="32"/>
      <c r="D1002" s="32"/>
      <c r="E1002" s="32"/>
    </row>
    <row r="1003" spans="1:5">
      <c r="A1003" s="68"/>
      <c r="B1003" s="68"/>
      <c r="C1003" s="32"/>
      <c r="D1003" s="32"/>
      <c r="E1003" s="32"/>
    </row>
    <row r="1004" spans="1:5">
      <c r="A1004" s="68"/>
      <c r="B1004" s="68"/>
      <c r="C1004" s="32"/>
      <c r="D1004" s="32"/>
      <c r="E1004" s="32"/>
    </row>
    <row r="1005" spans="1:5">
      <c r="A1005" s="68"/>
      <c r="B1005" s="68"/>
      <c r="C1005" s="32"/>
      <c r="D1005" s="32"/>
      <c r="E1005" s="32"/>
    </row>
    <row r="1006" spans="1:5">
      <c r="A1006" s="68"/>
      <c r="B1006" s="68"/>
      <c r="C1006" s="32"/>
      <c r="D1006" s="32"/>
      <c r="E1006" s="32"/>
    </row>
    <row r="1007" spans="1:5">
      <c r="A1007" s="68"/>
      <c r="B1007" s="68"/>
      <c r="C1007" s="32"/>
      <c r="D1007" s="32"/>
      <c r="E1007" s="32"/>
    </row>
    <row r="1008" spans="1:5">
      <c r="A1008" s="68"/>
      <c r="B1008" s="68"/>
      <c r="C1008" s="32"/>
      <c r="D1008" s="32"/>
      <c r="E1008" s="32"/>
    </row>
    <row r="1009" spans="1:5">
      <c r="A1009" s="68"/>
      <c r="B1009" s="68"/>
      <c r="C1009" s="32"/>
      <c r="D1009" s="32"/>
      <c r="E1009" s="32"/>
    </row>
    <row r="1010" spans="1:5">
      <c r="A1010" s="68"/>
      <c r="B1010" s="68"/>
      <c r="C1010" s="32"/>
      <c r="D1010" s="32"/>
      <c r="E1010" s="32"/>
    </row>
    <row r="1011" spans="1:5">
      <c r="A1011" s="68"/>
      <c r="B1011" s="68"/>
      <c r="C1011" s="32"/>
      <c r="D1011" s="32"/>
      <c r="E1011" s="32"/>
    </row>
    <row r="1012" spans="1:5">
      <c r="A1012" s="68"/>
      <c r="B1012" s="68"/>
      <c r="C1012" s="32"/>
      <c r="D1012" s="32"/>
      <c r="E1012" s="32"/>
    </row>
    <row r="1013" spans="1:5">
      <c r="A1013" s="68"/>
      <c r="B1013" s="68"/>
      <c r="C1013" s="32"/>
      <c r="D1013" s="32"/>
      <c r="E1013" s="32"/>
    </row>
    <row r="1014" spans="1:5">
      <c r="A1014" s="68"/>
      <c r="B1014" s="68"/>
      <c r="C1014" s="32"/>
      <c r="D1014" s="32"/>
      <c r="E1014" s="32"/>
    </row>
    <row r="1015" spans="1:5">
      <c r="A1015" s="68"/>
      <c r="B1015" s="68"/>
      <c r="C1015" s="32"/>
      <c r="D1015" s="32"/>
      <c r="E1015" s="32"/>
    </row>
    <row r="1016" spans="1:5">
      <c r="A1016" s="68"/>
      <c r="B1016" s="68"/>
      <c r="C1016" s="32"/>
      <c r="D1016" s="32"/>
      <c r="E1016" s="32"/>
    </row>
    <row r="1017" spans="1:5">
      <c r="A1017" s="68"/>
      <c r="B1017" s="68"/>
      <c r="C1017" s="32"/>
      <c r="D1017" s="32"/>
      <c r="E1017" s="32"/>
    </row>
    <row r="1018" spans="1:5">
      <c r="A1018" s="68"/>
      <c r="B1018" s="68"/>
      <c r="C1018" s="32"/>
      <c r="D1018" s="32"/>
      <c r="E1018" s="32"/>
    </row>
    <row r="1019" spans="1:5">
      <c r="A1019" s="68"/>
      <c r="B1019" s="68"/>
      <c r="C1019" s="32"/>
      <c r="D1019" s="32"/>
      <c r="E1019" s="32"/>
    </row>
    <row r="1020" spans="1:5">
      <c r="A1020" s="68"/>
      <c r="B1020" s="68"/>
      <c r="C1020" s="32"/>
      <c r="D1020" s="32"/>
      <c r="E1020" s="32"/>
    </row>
    <row r="1021" spans="1:5">
      <c r="A1021" s="68"/>
      <c r="B1021" s="68"/>
      <c r="C1021" s="32"/>
      <c r="D1021" s="32"/>
      <c r="E1021" s="32"/>
    </row>
    <row r="1022" spans="1:5">
      <c r="A1022" s="68"/>
      <c r="B1022" s="68"/>
      <c r="C1022" s="32"/>
      <c r="D1022" s="32"/>
      <c r="E1022" s="32"/>
    </row>
    <row r="1023" spans="1:5">
      <c r="A1023" s="68"/>
      <c r="B1023" s="68"/>
      <c r="C1023" s="32"/>
      <c r="D1023" s="32"/>
      <c r="E1023" s="32"/>
    </row>
    <row r="1024" spans="1:5">
      <c r="A1024" s="68"/>
      <c r="B1024" s="68"/>
      <c r="C1024" s="32"/>
      <c r="D1024" s="32"/>
      <c r="E1024" s="32"/>
    </row>
    <row r="1025" spans="1:5">
      <c r="A1025" s="68"/>
      <c r="B1025" s="68"/>
      <c r="C1025" s="32"/>
      <c r="D1025" s="32"/>
      <c r="E1025" s="32"/>
    </row>
    <row r="1026" spans="1:5">
      <c r="A1026" s="68"/>
      <c r="B1026" s="68"/>
      <c r="C1026" s="32"/>
      <c r="D1026" s="32"/>
      <c r="E1026" s="32"/>
    </row>
    <row r="1027" spans="1:5">
      <c r="A1027" s="68"/>
      <c r="B1027" s="68"/>
      <c r="C1027" s="32"/>
      <c r="D1027" s="32"/>
      <c r="E1027" s="32"/>
    </row>
    <row r="1028" spans="1:5">
      <c r="A1028" s="68"/>
      <c r="B1028" s="68"/>
      <c r="C1028" s="32"/>
      <c r="D1028" s="32"/>
      <c r="E1028" s="32"/>
    </row>
    <row r="1029" spans="1:5">
      <c r="A1029" s="68"/>
      <c r="B1029" s="68"/>
      <c r="C1029" s="32"/>
      <c r="D1029" s="32"/>
      <c r="E1029" s="32"/>
    </row>
    <row r="1030" spans="1:5">
      <c r="A1030" s="68"/>
      <c r="B1030" s="68"/>
      <c r="C1030" s="32"/>
      <c r="D1030" s="32"/>
      <c r="E1030" s="32"/>
    </row>
    <row r="1031" spans="1:5">
      <c r="A1031" s="68"/>
      <c r="B1031" s="68"/>
      <c r="C1031" s="32"/>
      <c r="D1031" s="32"/>
      <c r="E1031" s="32"/>
    </row>
    <row r="1032" spans="1:5">
      <c r="A1032" s="68"/>
      <c r="B1032" s="68"/>
      <c r="C1032" s="32"/>
      <c r="D1032" s="32"/>
      <c r="E1032" s="32"/>
    </row>
    <row r="1033" spans="1:5">
      <c r="A1033" s="68"/>
      <c r="B1033" s="68"/>
      <c r="C1033" s="32"/>
      <c r="D1033" s="32"/>
      <c r="E1033" s="32"/>
    </row>
    <row r="1034" spans="1:5">
      <c r="A1034" s="68"/>
      <c r="B1034" s="68"/>
      <c r="C1034" s="32"/>
      <c r="D1034" s="32"/>
      <c r="E1034" s="32"/>
    </row>
    <row r="1035" spans="1:5">
      <c r="A1035" s="68"/>
      <c r="B1035" s="68"/>
      <c r="C1035" s="32"/>
      <c r="D1035" s="32"/>
      <c r="E1035" s="32"/>
    </row>
    <row r="1036" spans="1:5">
      <c r="A1036" s="68"/>
      <c r="B1036" s="68"/>
      <c r="C1036" s="32"/>
      <c r="D1036" s="32"/>
      <c r="E1036" s="32"/>
    </row>
    <row r="1037" spans="1:5">
      <c r="A1037" s="68"/>
      <c r="B1037" s="68"/>
      <c r="C1037" s="32"/>
      <c r="D1037" s="32"/>
      <c r="E1037" s="32"/>
    </row>
    <row r="1038" spans="1:5">
      <c r="A1038" s="68"/>
      <c r="B1038" s="68"/>
      <c r="C1038" s="32"/>
      <c r="D1038" s="32"/>
      <c r="E1038" s="32"/>
    </row>
    <row r="1039" spans="1:5">
      <c r="A1039" s="68"/>
      <c r="B1039" s="68"/>
      <c r="C1039" s="32"/>
      <c r="D1039" s="32"/>
      <c r="E1039" s="32"/>
    </row>
    <row r="1040" spans="1:5">
      <c r="A1040" s="68"/>
      <c r="B1040" s="68"/>
      <c r="C1040" s="32"/>
      <c r="D1040" s="32"/>
      <c r="E1040" s="32"/>
    </row>
    <row r="1041" spans="1:5">
      <c r="A1041" s="68"/>
      <c r="B1041" s="68"/>
      <c r="C1041" s="32"/>
      <c r="D1041" s="32"/>
      <c r="E1041" s="32"/>
    </row>
    <row r="1042" spans="1:5">
      <c r="A1042" s="68"/>
      <c r="B1042" s="68"/>
      <c r="C1042" s="32"/>
      <c r="D1042" s="32"/>
      <c r="E1042" s="32"/>
    </row>
    <row r="1043" spans="1:5">
      <c r="A1043" s="68"/>
      <c r="B1043" s="68"/>
      <c r="C1043" s="32"/>
      <c r="D1043" s="32"/>
      <c r="E1043" s="32"/>
    </row>
    <row r="1044" spans="1:5">
      <c r="A1044" s="68"/>
      <c r="B1044" s="68"/>
      <c r="C1044" s="32"/>
      <c r="D1044" s="32"/>
      <c r="E1044" s="32"/>
    </row>
    <row r="1045" spans="1:5">
      <c r="A1045" s="68"/>
      <c r="B1045" s="68"/>
      <c r="C1045" s="32"/>
      <c r="D1045" s="32"/>
      <c r="E1045" s="32"/>
    </row>
    <row r="1046" spans="1:5">
      <c r="A1046" s="68"/>
      <c r="B1046" s="68"/>
      <c r="C1046" s="32"/>
      <c r="D1046" s="32"/>
      <c r="E1046" s="32"/>
    </row>
    <row r="1047" spans="1:5">
      <c r="A1047" s="68"/>
      <c r="B1047" s="68"/>
      <c r="C1047" s="32"/>
      <c r="D1047" s="32"/>
      <c r="E1047" s="32"/>
    </row>
    <row r="1048" spans="1:5">
      <c r="A1048" s="68"/>
      <c r="B1048" s="68"/>
      <c r="C1048" s="32"/>
      <c r="D1048" s="32"/>
      <c r="E1048" s="32"/>
    </row>
    <row r="1049" spans="1:5">
      <c r="A1049" s="68"/>
      <c r="B1049" s="68"/>
      <c r="C1049" s="32"/>
      <c r="D1049" s="32"/>
      <c r="E1049" s="32"/>
    </row>
    <row r="1050" spans="1:5">
      <c r="A1050" s="68"/>
      <c r="B1050" s="68"/>
      <c r="C1050" s="32"/>
      <c r="D1050" s="32"/>
      <c r="E1050" s="32"/>
    </row>
    <row r="1051" spans="1:5">
      <c r="A1051" s="68"/>
      <c r="B1051" s="68"/>
      <c r="C1051" s="32"/>
      <c r="D1051" s="32"/>
      <c r="E1051" s="32"/>
    </row>
    <row r="1052" spans="1:5">
      <c r="A1052" s="68"/>
      <c r="B1052" s="68"/>
      <c r="C1052" s="32"/>
      <c r="D1052" s="32"/>
      <c r="E1052" s="32"/>
    </row>
    <row r="1053" spans="1:5">
      <c r="A1053" s="68"/>
      <c r="B1053" s="68"/>
      <c r="C1053" s="32"/>
      <c r="D1053" s="32"/>
      <c r="E1053" s="32"/>
    </row>
    <row r="1054" spans="1:5">
      <c r="A1054" s="68"/>
      <c r="B1054" s="68"/>
      <c r="C1054" s="32"/>
      <c r="D1054" s="32"/>
      <c r="E1054" s="32"/>
    </row>
    <row r="1055" spans="1:5">
      <c r="A1055" s="68"/>
      <c r="B1055" s="68"/>
      <c r="C1055" s="32"/>
      <c r="D1055" s="32"/>
      <c r="E1055" s="32"/>
    </row>
    <row r="1056" spans="1:5">
      <c r="A1056" s="68"/>
      <c r="B1056" s="68"/>
      <c r="C1056" s="32"/>
      <c r="D1056" s="32"/>
      <c r="E1056" s="32"/>
    </row>
    <row r="1057" spans="1:5">
      <c r="A1057" s="68"/>
      <c r="B1057" s="68"/>
      <c r="C1057" s="32"/>
      <c r="D1057" s="32"/>
      <c r="E1057" s="32"/>
    </row>
    <row r="1058" spans="1:5">
      <c r="A1058" s="68"/>
      <c r="B1058" s="68"/>
      <c r="C1058" s="32"/>
      <c r="D1058" s="32"/>
      <c r="E1058" s="32"/>
    </row>
    <row r="1059" spans="1:5">
      <c r="A1059" s="68"/>
      <c r="B1059" s="68"/>
      <c r="C1059" s="32"/>
      <c r="D1059" s="32"/>
      <c r="E1059" s="32"/>
    </row>
    <row r="1060" spans="1:5">
      <c r="A1060" s="68"/>
      <c r="B1060" s="68"/>
      <c r="C1060" s="32"/>
      <c r="D1060" s="32"/>
      <c r="E1060" s="32"/>
    </row>
    <row r="1061" spans="1:5">
      <c r="A1061" s="68"/>
      <c r="B1061" s="68"/>
      <c r="C1061" s="32"/>
      <c r="D1061" s="32"/>
      <c r="E1061" s="32"/>
    </row>
    <row r="1062" spans="1:5">
      <c r="A1062" s="68"/>
      <c r="B1062" s="68"/>
      <c r="C1062" s="32"/>
      <c r="D1062" s="32"/>
      <c r="E1062" s="32"/>
    </row>
    <row r="1063" spans="1:5">
      <c r="A1063" s="68"/>
      <c r="B1063" s="68"/>
      <c r="C1063" s="32"/>
      <c r="D1063" s="32"/>
      <c r="E1063" s="32"/>
    </row>
    <row r="1064" spans="1:5">
      <c r="A1064" s="68"/>
      <c r="B1064" s="68"/>
      <c r="C1064" s="32"/>
      <c r="D1064" s="32"/>
      <c r="E1064" s="32"/>
    </row>
    <row r="1065" spans="1:5">
      <c r="A1065" s="68"/>
      <c r="B1065" s="68"/>
      <c r="C1065" s="32"/>
      <c r="D1065" s="32"/>
      <c r="E1065" s="32"/>
    </row>
    <row r="1066" spans="1:5">
      <c r="A1066" s="68"/>
      <c r="B1066" s="68"/>
      <c r="C1066" s="32"/>
      <c r="D1066" s="32"/>
      <c r="E1066" s="32"/>
    </row>
    <row r="1067" spans="1:5">
      <c r="A1067" s="68"/>
      <c r="B1067" s="68"/>
      <c r="C1067" s="32"/>
      <c r="D1067" s="32"/>
      <c r="E1067" s="32"/>
    </row>
    <row r="1068" spans="1:5">
      <c r="A1068" s="68"/>
      <c r="B1068" s="68"/>
      <c r="C1068" s="32"/>
      <c r="D1068" s="32"/>
      <c r="E1068" s="32"/>
    </row>
    <row r="1069" spans="1:5">
      <c r="A1069" s="68"/>
      <c r="B1069" s="68"/>
      <c r="C1069" s="32"/>
      <c r="D1069" s="32"/>
      <c r="E1069" s="32"/>
    </row>
    <row r="1070" spans="1:5">
      <c r="A1070" s="68"/>
      <c r="B1070" s="68"/>
      <c r="C1070" s="32"/>
      <c r="D1070" s="32"/>
      <c r="E1070" s="32"/>
    </row>
    <row r="1071" spans="1:5">
      <c r="A1071" s="68"/>
      <c r="B1071" s="68"/>
      <c r="C1071" s="32"/>
      <c r="D1071" s="32"/>
      <c r="E1071" s="32"/>
    </row>
    <row r="1072" spans="1:5">
      <c r="A1072" s="68"/>
      <c r="B1072" s="68"/>
      <c r="C1072" s="32"/>
      <c r="D1072" s="32"/>
      <c r="E1072" s="32"/>
    </row>
    <row r="1073" spans="1:5">
      <c r="A1073" s="68"/>
      <c r="B1073" s="68"/>
      <c r="C1073" s="32"/>
      <c r="D1073" s="32"/>
      <c r="E1073" s="32"/>
    </row>
    <row r="1074" spans="1:5">
      <c r="A1074" s="68"/>
      <c r="B1074" s="68"/>
      <c r="C1074" s="32"/>
      <c r="D1074" s="32"/>
      <c r="E1074" s="32"/>
    </row>
    <row r="1075" spans="1:5">
      <c r="A1075" s="68"/>
      <c r="B1075" s="68"/>
      <c r="C1075" s="32"/>
      <c r="D1075" s="32"/>
      <c r="E1075" s="32"/>
    </row>
    <row r="1076" spans="1:5">
      <c r="A1076" s="68"/>
      <c r="B1076" s="68"/>
      <c r="C1076" s="32"/>
      <c r="D1076" s="32"/>
      <c r="E1076" s="32"/>
    </row>
    <row r="1077" spans="1:5">
      <c r="A1077" s="68"/>
      <c r="B1077" s="68"/>
      <c r="C1077" s="32"/>
      <c r="D1077" s="32"/>
      <c r="E1077" s="32"/>
    </row>
    <row r="1078" spans="1:5">
      <c r="A1078" s="68"/>
      <c r="B1078" s="68"/>
      <c r="C1078" s="32"/>
      <c r="D1078" s="32"/>
      <c r="E1078" s="32"/>
    </row>
    <row r="1079" spans="1:5">
      <c r="A1079" s="68"/>
      <c r="B1079" s="68"/>
      <c r="C1079" s="32"/>
      <c r="D1079" s="32"/>
      <c r="E1079" s="32"/>
    </row>
    <row r="1080" spans="1:5">
      <c r="A1080" s="68"/>
      <c r="B1080" s="68"/>
      <c r="C1080" s="32"/>
      <c r="D1080" s="32"/>
      <c r="E1080" s="32"/>
    </row>
    <row r="1081" spans="1:5">
      <c r="A1081" s="68"/>
      <c r="B1081" s="68"/>
      <c r="C1081" s="32"/>
      <c r="D1081" s="32"/>
      <c r="E1081" s="32"/>
    </row>
    <row r="1082" spans="1:5">
      <c r="A1082" s="68"/>
      <c r="B1082" s="68"/>
      <c r="C1082" s="32"/>
      <c r="D1082" s="32"/>
      <c r="E1082" s="32"/>
    </row>
    <row r="1083" spans="1:5">
      <c r="A1083" s="68"/>
      <c r="B1083" s="68"/>
      <c r="C1083" s="32"/>
      <c r="D1083" s="32"/>
      <c r="E1083" s="32"/>
    </row>
    <row r="1084" spans="1:5">
      <c r="A1084" s="68"/>
      <c r="B1084" s="68"/>
      <c r="C1084" s="32"/>
      <c r="D1084" s="32"/>
      <c r="E1084" s="32"/>
    </row>
    <row r="1085" spans="1:5">
      <c r="A1085" s="68"/>
      <c r="B1085" s="68"/>
      <c r="C1085" s="32"/>
      <c r="D1085" s="32"/>
      <c r="E1085" s="32"/>
    </row>
    <row r="1086" spans="1:5">
      <c r="A1086" s="68"/>
      <c r="B1086" s="68"/>
      <c r="C1086" s="32"/>
      <c r="D1086" s="32"/>
      <c r="E1086" s="32"/>
    </row>
    <row r="1087" spans="1:5">
      <c r="A1087" s="68"/>
      <c r="B1087" s="68"/>
      <c r="C1087" s="32"/>
      <c r="D1087" s="32"/>
      <c r="E1087" s="32"/>
    </row>
    <row r="1088" spans="1:5">
      <c r="A1088" s="68"/>
      <c r="B1088" s="68"/>
      <c r="C1088" s="32"/>
      <c r="D1088" s="32"/>
      <c r="E1088" s="32"/>
    </row>
    <row r="1089" spans="1:5">
      <c r="A1089" s="68"/>
      <c r="B1089" s="68"/>
      <c r="C1089" s="32"/>
      <c r="D1089" s="32"/>
      <c r="E1089" s="32"/>
    </row>
    <row r="1090" spans="1:5">
      <c r="A1090" s="68"/>
      <c r="B1090" s="68"/>
      <c r="C1090" s="32"/>
      <c r="D1090" s="32"/>
      <c r="E1090" s="32"/>
    </row>
    <row r="1091" spans="1:5">
      <c r="A1091" s="68"/>
      <c r="B1091" s="68"/>
      <c r="C1091" s="32"/>
      <c r="D1091" s="32"/>
      <c r="E1091" s="32"/>
    </row>
    <row r="1092" spans="1:5">
      <c r="A1092" s="68"/>
      <c r="B1092" s="68"/>
      <c r="C1092" s="32"/>
      <c r="D1092" s="32"/>
      <c r="E1092" s="32"/>
    </row>
    <row r="1093" spans="1:5">
      <c r="A1093" s="68"/>
      <c r="B1093" s="68"/>
      <c r="C1093" s="32"/>
      <c r="D1093" s="32"/>
      <c r="E1093" s="32"/>
    </row>
    <row r="1094" spans="1:5">
      <c r="A1094" s="68"/>
      <c r="B1094" s="68"/>
      <c r="C1094" s="32"/>
      <c r="D1094" s="32"/>
      <c r="E1094" s="32"/>
    </row>
    <row r="1095" spans="1:5">
      <c r="A1095" s="68"/>
      <c r="B1095" s="68"/>
      <c r="C1095" s="32"/>
      <c r="D1095" s="32"/>
      <c r="E1095" s="32"/>
    </row>
    <row r="1096" spans="1:5">
      <c r="A1096" s="68"/>
      <c r="B1096" s="68"/>
      <c r="C1096" s="32"/>
      <c r="D1096" s="32"/>
      <c r="E1096" s="32"/>
    </row>
    <row r="1097" spans="1:5">
      <c r="A1097" s="68"/>
      <c r="B1097" s="68"/>
      <c r="C1097" s="32"/>
      <c r="D1097" s="32"/>
      <c r="E1097" s="32"/>
    </row>
    <row r="1098" spans="1:5">
      <c r="A1098" s="68"/>
      <c r="B1098" s="68"/>
      <c r="C1098" s="32"/>
      <c r="D1098" s="32"/>
      <c r="E1098" s="32"/>
    </row>
    <row r="1099" spans="1:5">
      <c r="A1099" s="68"/>
      <c r="B1099" s="68"/>
      <c r="C1099" s="32"/>
      <c r="D1099" s="32"/>
      <c r="E1099" s="32"/>
    </row>
    <row r="1100" spans="1:5">
      <c r="A1100" s="68"/>
      <c r="B1100" s="68"/>
      <c r="C1100" s="32"/>
      <c r="D1100" s="32"/>
      <c r="E1100" s="32"/>
    </row>
    <row r="1101" spans="1:5">
      <c r="A1101" s="68"/>
      <c r="B1101" s="68"/>
      <c r="C1101" s="32"/>
      <c r="D1101" s="32"/>
      <c r="E1101" s="32"/>
    </row>
    <row r="1102" spans="1:5">
      <c r="A1102" s="68"/>
      <c r="B1102" s="68"/>
      <c r="C1102" s="32"/>
      <c r="D1102" s="32"/>
      <c r="E1102" s="32"/>
    </row>
    <row r="1103" spans="1:5">
      <c r="A1103" s="68"/>
      <c r="B1103" s="68"/>
      <c r="C1103" s="32"/>
      <c r="D1103" s="32"/>
      <c r="E1103" s="32"/>
    </row>
    <row r="1104" spans="1:5">
      <c r="A1104" s="68"/>
      <c r="B1104" s="68"/>
      <c r="C1104" s="32"/>
      <c r="D1104" s="32"/>
      <c r="E1104" s="32"/>
    </row>
    <row r="1105" spans="1:5">
      <c r="A1105" s="68"/>
      <c r="B1105" s="68"/>
      <c r="C1105" s="32"/>
      <c r="D1105" s="32"/>
      <c r="E1105" s="32"/>
    </row>
    <row r="1106" spans="1:5">
      <c r="A1106" s="68"/>
      <c r="B1106" s="68"/>
      <c r="C1106" s="32"/>
      <c r="D1106" s="32"/>
      <c r="E1106" s="32"/>
    </row>
    <row r="1107" spans="1:5">
      <c r="A1107" s="68"/>
      <c r="B1107" s="68"/>
      <c r="C1107" s="32"/>
      <c r="D1107" s="32"/>
      <c r="E1107" s="32"/>
    </row>
    <row r="1108" spans="1:5">
      <c r="A1108" s="68"/>
      <c r="B1108" s="68"/>
      <c r="C1108" s="32"/>
      <c r="D1108" s="32"/>
      <c r="E1108" s="32"/>
    </row>
    <row r="1109" spans="1:5">
      <c r="A1109" s="68"/>
      <c r="B1109" s="68"/>
      <c r="C1109" s="32"/>
      <c r="D1109" s="32"/>
      <c r="E1109" s="32"/>
    </row>
    <row r="1110" spans="1:5">
      <c r="A1110" s="68"/>
      <c r="B1110" s="68"/>
      <c r="C1110" s="32"/>
      <c r="D1110" s="32"/>
      <c r="E1110" s="32"/>
    </row>
    <row r="1111" spans="1:5">
      <c r="A1111" s="68"/>
      <c r="B1111" s="68"/>
      <c r="C1111" s="32"/>
      <c r="D1111" s="32"/>
      <c r="E1111" s="32"/>
    </row>
    <row r="1112" spans="1:5">
      <c r="A1112" s="68"/>
      <c r="B1112" s="68"/>
      <c r="C1112" s="32"/>
      <c r="D1112" s="32"/>
      <c r="E1112" s="32"/>
    </row>
    <row r="1113" spans="1:5">
      <c r="A1113" s="68"/>
      <c r="B1113" s="68"/>
      <c r="C1113" s="32"/>
      <c r="D1113" s="32"/>
      <c r="E1113" s="32"/>
    </row>
    <row r="1114" spans="1:5">
      <c r="A1114" s="68"/>
      <c r="B1114" s="68"/>
      <c r="C1114" s="32"/>
      <c r="D1114" s="32"/>
      <c r="E1114" s="32"/>
    </row>
    <row r="1115" spans="1:5">
      <c r="A1115" s="68"/>
      <c r="B1115" s="68"/>
      <c r="C1115" s="32"/>
      <c r="D1115" s="32"/>
      <c r="E1115" s="32"/>
    </row>
    <row r="1116" spans="1:5">
      <c r="A1116" s="68"/>
      <c r="B1116" s="68"/>
      <c r="C1116" s="32"/>
      <c r="D1116" s="32"/>
      <c r="E1116" s="32"/>
    </row>
    <row r="1117" spans="1:5">
      <c r="A1117" s="68"/>
      <c r="B1117" s="68"/>
      <c r="C1117" s="32"/>
      <c r="D1117" s="32"/>
      <c r="E1117" s="32"/>
    </row>
    <row r="1118" spans="1:5">
      <c r="A1118" s="68"/>
      <c r="B1118" s="68"/>
      <c r="C1118" s="32"/>
      <c r="D1118" s="32"/>
      <c r="E1118" s="32"/>
    </row>
    <row r="1119" spans="1:5">
      <c r="A1119" s="68"/>
      <c r="B1119" s="68"/>
      <c r="C1119" s="32"/>
      <c r="D1119" s="32"/>
      <c r="E1119" s="32"/>
    </row>
    <row r="1120" spans="1:5">
      <c r="A1120" s="68"/>
      <c r="B1120" s="68"/>
      <c r="C1120" s="32"/>
      <c r="D1120" s="32"/>
      <c r="E1120" s="32"/>
    </row>
    <row r="1121" spans="1:5">
      <c r="A1121" s="68"/>
      <c r="B1121" s="68"/>
      <c r="C1121" s="32"/>
      <c r="D1121" s="32"/>
      <c r="E1121" s="32"/>
    </row>
    <row r="1122" spans="1:5">
      <c r="A1122" s="68"/>
      <c r="B1122" s="68"/>
      <c r="C1122" s="32"/>
      <c r="D1122" s="32"/>
      <c r="E1122" s="32"/>
    </row>
  </sheetData>
  <phoneticPr fontId="2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2"/>
  <sheetViews>
    <sheetView workbookViewId="0">
      <selection activeCell="E3" sqref="E3"/>
    </sheetView>
  </sheetViews>
  <sheetFormatPr defaultRowHeight="13.5"/>
  <cols>
    <col min="1" max="1" width="20.375" customWidth="1"/>
  </cols>
  <sheetData>
    <row r="1" spans="1:14">
      <c r="A1" s="66" t="s">
        <v>352</v>
      </c>
      <c r="B1" s="66" t="s">
        <v>503</v>
      </c>
      <c r="C1" s="66" t="s">
        <v>505</v>
      </c>
      <c r="D1" s="66" t="s">
        <v>506</v>
      </c>
      <c r="E1" s="66" t="s">
        <v>507</v>
      </c>
      <c r="F1" s="66" t="s">
        <v>293</v>
      </c>
      <c r="G1" s="66" t="s">
        <v>294</v>
      </c>
      <c r="H1" s="66" t="s">
        <v>508</v>
      </c>
      <c r="I1" s="66" t="s">
        <v>509</v>
      </c>
      <c r="J1" s="66" t="s">
        <v>510</v>
      </c>
      <c r="K1" s="66" t="s">
        <v>511</v>
      </c>
      <c r="L1" s="66" t="s">
        <v>512</v>
      </c>
      <c r="M1" s="66" t="s">
        <v>513</v>
      </c>
      <c r="N1" s="66"/>
    </row>
    <row r="2" spans="1:14">
      <c r="A2" s="75">
        <v>43621.447222222225</v>
      </c>
      <c r="B2" s="66" t="s">
        <v>504</v>
      </c>
      <c r="C2" s="66"/>
      <c r="D2" s="66"/>
      <c r="E2" s="66">
        <v>4.9234099999999996</v>
      </c>
      <c r="F2" s="66">
        <v>1.59432</v>
      </c>
      <c r="G2" s="66">
        <v>0.57304299999999997</v>
      </c>
      <c r="H2" s="66">
        <v>0</v>
      </c>
      <c r="I2" s="66">
        <v>86898</v>
      </c>
      <c r="J2" s="66">
        <v>65</v>
      </c>
      <c r="K2" s="66">
        <v>65</v>
      </c>
      <c r="L2" s="66">
        <v>0</v>
      </c>
      <c r="M2" s="66" t="s">
        <v>514</v>
      </c>
      <c r="N2" s="66"/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100"/>
  <sheetViews>
    <sheetView workbookViewId="0">
      <selection activeCell="E6" sqref="E6"/>
    </sheetView>
  </sheetViews>
  <sheetFormatPr defaultColWidth="9.125" defaultRowHeight="13.5"/>
  <cols>
    <col min="1" max="1" width="9.125" style="70"/>
    <col min="2" max="2" width="28" style="70" customWidth="1"/>
    <col min="3" max="3" width="38.75" style="70" customWidth="1"/>
    <col min="4" max="4" width="15.75" style="70" customWidth="1"/>
    <col min="5" max="9" width="19.625" style="70" customWidth="1"/>
    <col min="10" max="12" width="9.125" style="70"/>
    <col min="13" max="16384" width="9.125" style="69"/>
  </cols>
  <sheetData>
    <row r="1" spans="1:9">
      <c r="A1" s="70">
        <f>IF(E2="","",1)</f>
        <v>1</v>
      </c>
      <c r="B1" s="70" t="s">
        <v>99</v>
      </c>
      <c r="C1" s="70" t="str">
        <f>IF(E1="","",HLOOKUP(FH_info!$M$2,lang!$E$1:$AA1,A1,FALSE))</f>
        <v>cn</v>
      </c>
      <c r="E1" s="70" t="s">
        <v>100</v>
      </c>
      <c r="F1" s="70" t="s">
        <v>102</v>
      </c>
      <c r="G1" s="70" t="s">
        <v>104</v>
      </c>
      <c r="H1" s="70" t="s">
        <v>103</v>
      </c>
      <c r="I1" s="70" t="s">
        <v>101</v>
      </c>
    </row>
    <row r="2" spans="1:9" ht="15" customHeight="1">
      <c r="A2" s="70">
        <f>IF(E2="","",A1+1)</f>
        <v>2</v>
      </c>
      <c r="B2" s="70" t="str">
        <f>IFERROR(C2,E2)</f>
        <v>心理生理状态分析结果</v>
      </c>
      <c r="C2" s="70" t="str">
        <f>IF(E2="","",HLOOKUP(FH_info!$M$2,lang!$E$1:$AA2,A2,FALSE))</f>
        <v>心理生理状态分析结果</v>
      </c>
      <c r="E2" s="70" t="s">
        <v>0</v>
      </c>
      <c r="F2" s="70" t="s">
        <v>105</v>
      </c>
      <c r="G2" s="70" t="s">
        <v>106</v>
      </c>
      <c r="H2" s="70" t="s">
        <v>107</v>
      </c>
      <c r="I2" s="70" t="s">
        <v>108</v>
      </c>
    </row>
    <row r="3" spans="1:9" ht="15.75" customHeight="1">
      <c r="A3" s="70">
        <f>IF(E3="","",A2+1)</f>
        <v>3</v>
      </c>
      <c r="B3" s="70" t="str">
        <f t="shared" ref="B3:B66" si="0">IFERROR(C3,E3)</f>
        <v>参数表</v>
      </c>
      <c r="C3" s="70" t="str">
        <f>IF(E3="","",HLOOKUP(FH_info!$M$2,lang!$E$1:$AA3,A3,FALSE))</f>
        <v>参数表</v>
      </c>
      <c r="E3" s="70" t="s">
        <v>28</v>
      </c>
      <c r="F3" s="70" t="s">
        <v>109</v>
      </c>
      <c r="G3" s="70" t="s">
        <v>113</v>
      </c>
      <c r="H3" s="70" t="s">
        <v>194</v>
      </c>
      <c r="I3" s="70" t="s">
        <v>195</v>
      </c>
    </row>
    <row r="4" spans="1:9" ht="27">
      <c r="A4" s="70">
        <f t="shared" ref="A4:A67" si="1">IF(E4="","",A3+1)</f>
        <v>4</v>
      </c>
      <c r="B4" s="70" t="str">
        <f t="shared" si="0"/>
        <v>情感状态分布图</v>
      </c>
      <c r="C4" s="70" t="str">
        <f>IF(E4="","",HLOOKUP(FH_info!$M$2,lang!$E$1:$AA4,A4,FALSE))</f>
        <v>情感状态分布图</v>
      </c>
      <c r="E4" s="70" t="s">
        <v>29</v>
      </c>
      <c r="F4" s="70" t="s">
        <v>110</v>
      </c>
      <c r="G4" s="70" t="s">
        <v>114</v>
      </c>
      <c r="H4" s="70" t="s">
        <v>196</v>
      </c>
      <c r="I4" s="70" t="s">
        <v>197</v>
      </c>
    </row>
    <row r="5" spans="1:9" ht="40.5">
      <c r="A5" s="70">
        <f t="shared" ref="A5:A9" si="2">IF(E5="","",A4+1)</f>
        <v>5</v>
      </c>
      <c r="B5" s="70" t="str">
        <f t="shared" si="0"/>
        <v>频率分布直方图</v>
      </c>
      <c r="C5" s="70" t="str">
        <f>IF(E5="","",HLOOKUP(FH_info!$M$2,lang!$E$1:$AA5,A5,FALSE))</f>
        <v>频率分布直方图</v>
      </c>
      <c r="E5" s="70" t="s">
        <v>289</v>
      </c>
      <c r="F5" s="70" t="s">
        <v>111</v>
      </c>
      <c r="G5" s="70" t="s">
        <v>115</v>
      </c>
      <c r="H5" s="70" t="s">
        <v>198</v>
      </c>
      <c r="I5" s="70" t="s">
        <v>200</v>
      </c>
    </row>
    <row r="6" spans="1:9" ht="40.5">
      <c r="A6" s="70">
        <f t="shared" si="2"/>
        <v>6</v>
      </c>
      <c r="B6" s="70" t="str">
        <f t="shared" si="0"/>
        <v xml:space="preserve">心理变化 - 心理基础代谢 </v>
      </c>
      <c r="C6" s="70" t="str">
        <f>IF(E6="","",HLOOKUP(FH_info!$M$2,lang!$E$1:$AA6,A6,FALSE))</f>
        <v xml:space="preserve">心理变化 - 心理基础代谢 </v>
      </c>
      <c r="E6" s="70" t="s">
        <v>36</v>
      </c>
      <c r="F6" s="70" t="s">
        <v>112</v>
      </c>
      <c r="G6" s="70" t="s">
        <v>116</v>
      </c>
      <c r="H6" s="70" t="s">
        <v>235</v>
      </c>
      <c r="I6" s="70" t="s">
        <v>199</v>
      </c>
    </row>
    <row r="7" spans="1:9">
      <c r="A7" s="70">
        <f t="shared" si="2"/>
        <v>7</v>
      </c>
      <c r="B7" s="70" t="str">
        <f t="shared" si="0"/>
        <v>Positive</v>
      </c>
      <c r="C7" s="70" t="str">
        <f>IF(E7="","",HLOOKUP(FH_info!$M$2,lang!$E$1:$AA7,A7,FALSE))</f>
        <v>Positive</v>
      </c>
      <c r="E7" s="70" t="s">
        <v>33</v>
      </c>
      <c r="F7" s="70" t="s">
        <v>33</v>
      </c>
      <c r="G7" s="70" t="s">
        <v>261</v>
      </c>
      <c r="H7" s="70" t="s">
        <v>156</v>
      </c>
      <c r="I7" s="70" t="s">
        <v>153</v>
      </c>
    </row>
    <row r="8" spans="1:9">
      <c r="A8" s="70">
        <f t="shared" si="2"/>
        <v>8</v>
      </c>
      <c r="B8" s="70" t="str">
        <f t="shared" si="0"/>
        <v>Negative</v>
      </c>
      <c r="C8" s="70" t="str">
        <f>IF(E8="","",HLOOKUP(FH_info!$M$2,lang!$E$1:$AA8,A8,FALSE))</f>
        <v>Negative</v>
      </c>
      <c r="E8" s="70" t="s">
        <v>34</v>
      </c>
      <c r="F8" s="70" t="s">
        <v>34</v>
      </c>
      <c r="G8" s="70" t="s">
        <v>262</v>
      </c>
      <c r="H8" s="70" t="s">
        <v>157</v>
      </c>
      <c r="I8" s="70" t="s">
        <v>154</v>
      </c>
    </row>
    <row r="9" spans="1:9" ht="27">
      <c r="A9" s="70">
        <f t="shared" si="2"/>
        <v>9</v>
      </c>
      <c r="B9" s="70" t="str">
        <f t="shared" si="0"/>
        <v>Physiological</v>
      </c>
      <c r="C9" s="70" t="str">
        <f>IF(E9="","",HLOOKUP(FH_info!$M$2,lang!$E$1:$AA9,A9,FALSE))</f>
        <v>Physiological</v>
      </c>
      <c r="E9" s="70" t="s">
        <v>35</v>
      </c>
      <c r="F9" s="70" t="s">
        <v>35</v>
      </c>
      <c r="G9" s="70" t="s">
        <v>263</v>
      </c>
      <c r="H9" s="70" t="s">
        <v>158</v>
      </c>
      <c r="I9" s="70" t="s">
        <v>155</v>
      </c>
    </row>
    <row r="10" spans="1:9" ht="30" customHeight="1">
      <c r="A10" s="70">
        <f t="shared" si="1"/>
        <v>10</v>
      </c>
      <c r="B10" s="70" t="str">
        <f t="shared" si="0"/>
        <v>平均频率</v>
      </c>
      <c r="C10" s="70" t="str">
        <f>IF(E10="","",HLOOKUP(FH_info!$M$2,lang!$E$1:$AA10,A10,FALSE))</f>
        <v>平均频率</v>
      </c>
      <c r="E10" s="70" t="s">
        <v>37</v>
      </c>
      <c r="F10" s="70" t="s">
        <v>117</v>
      </c>
      <c r="G10" s="70" t="s">
        <v>37</v>
      </c>
      <c r="H10" s="70" t="s">
        <v>138</v>
      </c>
      <c r="I10" s="70" t="s">
        <v>37</v>
      </c>
    </row>
    <row r="11" spans="1:9">
      <c r="A11" s="70">
        <f t="shared" si="1"/>
        <v>11</v>
      </c>
      <c r="B11" s="70" t="str">
        <f t="shared" si="0"/>
        <v>频率方差</v>
      </c>
      <c r="C11" s="70" t="str">
        <f>T(IF(E11="","",HLOOKUP(FH_info!$M$2,lang!$E$1:$AA11,A11,FALSE)))</f>
        <v>频率方差</v>
      </c>
      <c r="E11" s="70" t="s">
        <v>9</v>
      </c>
      <c r="F11" s="70" t="s">
        <v>118</v>
      </c>
      <c r="G11" s="70" t="s">
        <v>9</v>
      </c>
      <c r="H11" s="70" t="s">
        <v>139</v>
      </c>
      <c r="I11" s="70" t="s">
        <v>9</v>
      </c>
    </row>
    <row r="12" spans="1:9">
      <c r="A12" s="70">
        <f t="shared" si="1"/>
        <v>12</v>
      </c>
      <c r="B12" s="70" t="str">
        <f t="shared" si="0"/>
        <v>生理变化率</v>
      </c>
      <c r="C12" s="70" t="str">
        <f>T(IF(E12="","",HLOOKUP(FH_info!$M$2,lang!$E$1:$AA12,A12,FALSE)))</f>
        <v>生理变化率</v>
      </c>
      <c r="E12" s="70" t="s">
        <v>38</v>
      </c>
      <c r="F12" s="70" t="s">
        <v>119</v>
      </c>
      <c r="G12" s="70" t="s">
        <v>137</v>
      </c>
      <c r="H12" s="70" t="s">
        <v>236</v>
      </c>
      <c r="I12" s="70" t="s">
        <v>142</v>
      </c>
    </row>
    <row r="13" spans="1:9">
      <c r="A13" s="70">
        <f t="shared" si="1"/>
        <v>13</v>
      </c>
      <c r="B13" s="70" t="str">
        <f t="shared" si="0"/>
        <v>千卡l/分钟</v>
      </c>
      <c r="C13" s="70" t="str">
        <f>T(IF(E13="","",HLOOKUP(FH_info!$M$2,lang!$E$1:$AA13,A13,FALSE)))</f>
        <v>千卡l/分钟</v>
      </c>
      <c r="E13" s="70" t="s">
        <v>39</v>
      </c>
      <c r="F13" s="70" t="s">
        <v>120</v>
      </c>
      <c r="G13" s="70" t="s">
        <v>39</v>
      </c>
      <c r="H13" s="70" t="s">
        <v>140</v>
      </c>
      <c r="I13" s="70" t="s">
        <v>141</v>
      </c>
    </row>
    <row r="14" spans="1:9">
      <c r="A14" s="70">
        <f t="shared" si="1"/>
        <v>14</v>
      </c>
      <c r="B14" s="70" t="str">
        <f t="shared" si="0"/>
        <v>攻击性</v>
      </c>
      <c r="C14" s="70" t="str">
        <f>T(IF(E14="","",HLOOKUP(FH_info!$M$2,lang!$E$1:$AA14,A14,FALSE)))</f>
        <v>攻击性</v>
      </c>
      <c r="E14" s="70" t="s">
        <v>16</v>
      </c>
      <c r="F14" s="70" t="s">
        <v>121</v>
      </c>
      <c r="G14" s="70" t="s">
        <v>131</v>
      </c>
      <c r="H14" s="70" t="s">
        <v>159</v>
      </c>
      <c r="I14" s="70" t="s">
        <v>143</v>
      </c>
    </row>
    <row r="15" spans="1:9">
      <c r="A15" s="70">
        <f t="shared" si="1"/>
        <v>15</v>
      </c>
      <c r="B15" s="70" t="str">
        <f t="shared" si="0"/>
        <v>压力</v>
      </c>
      <c r="C15" s="70" t="str">
        <f>T(IF(E15="","",HLOOKUP(FH_info!$M$2,lang!$E$1:$AA15,A15,FALSE)))</f>
        <v>压力</v>
      </c>
      <c r="E15" s="70" t="s">
        <v>22</v>
      </c>
      <c r="F15" s="70" t="s">
        <v>122</v>
      </c>
      <c r="G15" s="70" t="s">
        <v>264</v>
      </c>
      <c r="H15" s="70" t="s">
        <v>160</v>
      </c>
      <c r="I15" s="70" t="s">
        <v>144</v>
      </c>
    </row>
    <row r="16" spans="1:9" ht="27">
      <c r="A16" s="70">
        <f t="shared" si="1"/>
        <v>16</v>
      </c>
      <c r="B16" s="70" t="str">
        <f t="shared" si="0"/>
        <v>焦虑</v>
      </c>
      <c r="C16" s="70" t="str">
        <f>T(IF(E16="","",HLOOKUP(FH_info!$M$2,lang!$E$1:$AA16,A16,FALSE)))</f>
        <v>焦虑</v>
      </c>
      <c r="E16" s="70" t="s">
        <v>23</v>
      </c>
      <c r="F16" s="70" t="s">
        <v>123</v>
      </c>
      <c r="G16" s="70" t="s">
        <v>132</v>
      </c>
      <c r="H16" s="70" t="s">
        <v>161</v>
      </c>
      <c r="I16" s="70" t="s">
        <v>145</v>
      </c>
    </row>
    <row r="17" spans="1:9">
      <c r="A17" s="70">
        <f t="shared" si="1"/>
        <v>17</v>
      </c>
      <c r="B17" s="70" t="str">
        <f t="shared" si="0"/>
        <v>可疑</v>
      </c>
      <c r="C17" s="70" t="str">
        <f>T(IF(E17="","",HLOOKUP(FH_info!$M$2,lang!$E$1:$AA17,A17,FALSE)))</f>
        <v>可疑</v>
      </c>
      <c r="E17" s="70" t="s">
        <v>24</v>
      </c>
      <c r="F17" s="70" t="s">
        <v>124</v>
      </c>
      <c r="G17" s="70" t="s">
        <v>133</v>
      </c>
      <c r="H17" s="70" t="s">
        <v>162</v>
      </c>
      <c r="I17" s="70" t="s">
        <v>146</v>
      </c>
    </row>
    <row r="18" spans="1:9" ht="27">
      <c r="A18" s="70">
        <f t="shared" si="1"/>
        <v>18</v>
      </c>
      <c r="B18" s="70" t="str">
        <f t="shared" si="0"/>
        <v>平衡</v>
      </c>
      <c r="C18" s="70" t="str">
        <f>T(IF(E18="","",HLOOKUP(FH_info!$M$2,lang!$E$1:$AA18,A18,FALSE)))</f>
        <v>平衡</v>
      </c>
      <c r="E18" s="70" t="s">
        <v>25</v>
      </c>
      <c r="F18" s="70" t="s">
        <v>125</v>
      </c>
      <c r="G18" s="70" t="s">
        <v>134</v>
      </c>
      <c r="H18" s="70" t="s">
        <v>163</v>
      </c>
      <c r="I18" s="70" t="s">
        <v>147</v>
      </c>
    </row>
    <row r="19" spans="1:9" ht="27">
      <c r="A19" s="70">
        <f t="shared" si="1"/>
        <v>19</v>
      </c>
      <c r="B19" s="70" t="str">
        <f t="shared" si="0"/>
        <v>自信</v>
      </c>
      <c r="C19" s="70" t="str">
        <f>T(IF(E19="","",HLOOKUP(FH_info!$M$2,lang!$E$1:$AA19,A19,FALSE)))</f>
        <v>自信</v>
      </c>
      <c r="E19" s="70" t="s">
        <v>26</v>
      </c>
      <c r="F19" s="70" t="s">
        <v>126</v>
      </c>
      <c r="G19" s="70" t="s">
        <v>135</v>
      </c>
      <c r="H19" s="70" t="s">
        <v>164</v>
      </c>
      <c r="I19" s="70" t="s">
        <v>148</v>
      </c>
    </row>
    <row r="20" spans="1:9" ht="27">
      <c r="A20" s="70">
        <f t="shared" si="1"/>
        <v>20</v>
      </c>
      <c r="B20" s="70" t="str">
        <f t="shared" si="0"/>
        <v>活力</v>
      </c>
      <c r="C20" s="70" t="str">
        <f>T(IF(E20="","",HLOOKUP(FH_info!$M$2,lang!$E$1:$AA20,A20,FALSE)))</f>
        <v>活力</v>
      </c>
      <c r="E20" s="70" t="s">
        <v>27</v>
      </c>
      <c r="F20" s="70" t="s">
        <v>127</v>
      </c>
      <c r="G20" s="70" t="s">
        <v>265</v>
      </c>
      <c r="H20" s="70" t="s">
        <v>165</v>
      </c>
      <c r="I20" s="70" t="s">
        <v>149</v>
      </c>
    </row>
    <row r="21" spans="1:9" ht="27">
      <c r="A21" s="70">
        <f t="shared" si="1"/>
        <v>21</v>
      </c>
      <c r="B21" s="70" t="str">
        <f t="shared" si="0"/>
        <v>自我调节</v>
      </c>
      <c r="C21" s="70" t="str">
        <f>T(IF(E21="","",HLOOKUP(FH_info!$M$2,lang!$E$1:$AA21,A21,FALSE)))</f>
        <v>自我调节</v>
      </c>
      <c r="E21" s="70" t="s">
        <v>30</v>
      </c>
      <c r="F21" s="70" t="s">
        <v>128</v>
      </c>
      <c r="G21" s="70" t="s">
        <v>136</v>
      </c>
      <c r="H21" s="70" t="s">
        <v>166</v>
      </c>
      <c r="I21" s="70" t="s">
        <v>150</v>
      </c>
    </row>
    <row r="22" spans="1:9">
      <c r="A22" s="70">
        <f t="shared" si="1"/>
        <v>22</v>
      </c>
      <c r="B22" s="70" t="str">
        <f t="shared" si="0"/>
        <v>抑郁</v>
      </c>
      <c r="C22" s="70" t="str">
        <f>T(IF(E22="","",HLOOKUP(FH_info!$M$2,lang!$E$1:$AA22,A22,FALSE)))</f>
        <v>抑郁</v>
      </c>
      <c r="E22" s="70" t="s">
        <v>31</v>
      </c>
      <c r="F22" s="70" t="s">
        <v>129</v>
      </c>
      <c r="G22" s="70" t="s">
        <v>266</v>
      </c>
      <c r="H22" s="70" t="s">
        <v>167</v>
      </c>
      <c r="I22" s="70" t="s">
        <v>151</v>
      </c>
    </row>
    <row r="23" spans="1:9">
      <c r="A23" s="70">
        <f t="shared" si="1"/>
        <v>23</v>
      </c>
      <c r="B23" s="70" t="str">
        <f t="shared" si="0"/>
        <v>神经质</v>
      </c>
      <c r="C23" s="70" t="str">
        <f>T(IF(E23="","",HLOOKUP(FH_info!$M$2,lang!$E$1:$AA23,A23,FALSE)))</f>
        <v>神经质</v>
      </c>
      <c r="E23" s="70" t="s">
        <v>32</v>
      </c>
      <c r="F23" s="70" t="s">
        <v>130</v>
      </c>
      <c r="G23" s="70" t="s">
        <v>267</v>
      </c>
      <c r="H23" s="70" t="s">
        <v>168</v>
      </c>
      <c r="I23" s="70" t="s">
        <v>152</v>
      </c>
    </row>
    <row r="24" spans="1:9">
      <c r="A24" s="70">
        <f t="shared" si="1"/>
        <v>24</v>
      </c>
      <c r="B24" s="70" t="str">
        <f t="shared" si="0"/>
        <v>姓名</v>
      </c>
      <c r="C24" s="70" t="str">
        <f>T(IF(E24="","",HLOOKUP(FH_info!$M$2,lang!$E$1:$AA24,A24,FALSE)))</f>
        <v>姓名</v>
      </c>
      <c r="E24" s="70" t="s">
        <v>1</v>
      </c>
      <c r="F24" s="70" t="s">
        <v>169</v>
      </c>
      <c r="G24" s="70" t="s">
        <v>268</v>
      </c>
      <c r="H24" s="70" t="s">
        <v>215</v>
      </c>
      <c r="I24" s="70" t="s">
        <v>178</v>
      </c>
    </row>
    <row r="25" spans="1:9">
      <c r="A25" s="70">
        <f t="shared" si="1"/>
        <v>25</v>
      </c>
      <c r="B25" s="70" t="str">
        <f t="shared" si="0"/>
        <v>性别</v>
      </c>
      <c r="C25" s="70" t="str">
        <f>T(IF(E25="","",HLOOKUP(FH_info!$M$2,lang!$E$1:$AA25,A25,FALSE)))</f>
        <v>性别</v>
      </c>
      <c r="E25" s="70" t="s">
        <v>3</v>
      </c>
      <c r="F25" s="70" t="s">
        <v>170</v>
      </c>
      <c r="G25" s="70" t="s">
        <v>269</v>
      </c>
      <c r="H25" s="70" t="s">
        <v>216</v>
      </c>
      <c r="I25" s="70" t="s">
        <v>179</v>
      </c>
    </row>
    <row r="26" spans="1:9">
      <c r="A26" s="70">
        <f t="shared" si="1"/>
        <v>26</v>
      </c>
      <c r="B26" s="70" t="str">
        <f t="shared" si="0"/>
        <v>年龄</v>
      </c>
      <c r="C26" s="70" t="str">
        <f>T(IF(E26="","",HLOOKUP(FH_info!$M$2,lang!$E$1:$AA26,A26,FALSE)))</f>
        <v>年龄</v>
      </c>
      <c r="E26" s="70" t="s">
        <v>6</v>
      </c>
      <c r="F26" s="70" t="s">
        <v>171</v>
      </c>
      <c r="G26" s="70" t="s">
        <v>270</v>
      </c>
      <c r="H26" s="70" t="s">
        <v>217</v>
      </c>
      <c r="I26" s="70" t="s">
        <v>180</v>
      </c>
    </row>
    <row r="27" spans="1:9">
      <c r="A27" s="70">
        <f t="shared" si="1"/>
        <v>27</v>
      </c>
      <c r="B27" s="70" t="str">
        <f t="shared" si="0"/>
        <v>编号</v>
      </c>
      <c r="C27" s="70" t="str">
        <f>T(IF(E27="","",HLOOKUP(FH_info!$M$2,lang!$E$1:$AA27,A27,FALSE)))</f>
        <v>编号</v>
      </c>
      <c r="E27" s="70" t="s">
        <v>2</v>
      </c>
      <c r="F27" s="70" t="s">
        <v>172</v>
      </c>
      <c r="G27" s="70" t="s">
        <v>2</v>
      </c>
      <c r="H27" s="70" t="s">
        <v>2</v>
      </c>
      <c r="I27" s="70" t="s">
        <v>2</v>
      </c>
    </row>
    <row r="28" spans="1:9">
      <c r="A28" s="70">
        <f t="shared" si="1"/>
        <v>28</v>
      </c>
      <c r="B28" s="70" t="str">
        <f t="shared" si="0"/>
        <v xml:space="preserve"> 日期</v>
      </c>
      <c r="C28" s="70" t="str">
        <f>T(IF(E28="","",HLOOKUP(FH_info!$M$2,lang!$E$1:$AA28,A28,FALSE)))</f>
        <v xml:space="preserve"> 日期</v>
      </c>
      <c r="E28" s="70" t="s">
        <v>4</v>
      </c>
      <c r="F28" s="70" t="s">
        <v>173</v>
      </c>
      <c r="G28" s="70" t="s">
        <v>176</v>
      </c>
      <c r="H28" s="70" t="s">
        <v>218</v>
      </c>
      <c r="I28" s="70" t="s">
        <v>181</v>
      </c>
    </row>
    <row r="29" spans="1:9">
      <c r="A29" s="70">
        <f t="shared" si="1"/>
        <v>29</v>
      </c>
      <c r="B29" s="70" t="str">
        <f t="shared" si="0"/>
        <v>误差率（%）</v>
      </c>
      <c r="C29" s="70" t="str">
        <f>T(IF(E29="","",HLOOKUP(FH_info!$M$2,lang!$E$1:$AA29,A29,FALSE)))</f>
        <v>误差率（%）</v>
      </c>
      <c r="E29" s="70" t="s">
        <v>7</v>
      </c>
      <c r="F29" s="70" t="s">
        <v>174</v>
      </c>
      <c r="G29" s="70" t="s">
        <v>7</v>
      </c>
      <c r="H29" s="70" t="s">
        <v>7</v>
      </c>
      <c r="I29" s="70" t="s">
        <v>7</v>
      </c>
    </row>
    <row r="30" spans="1:9" ht="40.5">
      <c r="A30" s="70">
        <f t="shared" si="1"/>
        <v>30</v>
      </c>
      <c r="B30" s="70" t="str">
        <f t="shared" si="0"/>
        <v>10项参数结果</v>
      </c>
      <c r="C30" s="70" t="str">
        <f>T(IF(E30="","",HLOOKUP(FH_info!$M$2,lang!$E$1:$AA30,A30,FALSE)))</f>
        <v>10项参数结果</v>
      </c>
      <c r="E30" s="70" t="s">
        <v>15</v>
      </c>
      <c r="F30" s="70" t="s">
        <v>175</v>
      </c>
      <c r="G30" s="70" t="s">
        <v>177</v>
      </c>
      <c r="H30" s="70" t="s">
        <v>239</v>
      </c>
      <c r="I30" s="70" t="s">
        <v>182</v>
      </c>
    </row>
    <row r="31" spans="1:9" ht="15" customHeight="1">
      <c r="A31" s="70">
        <f t="shared" si="1"/>
        <v>31</v>
      </c>
      <c r="B31" s="70" t="str">
        <f t="shared" si="0"/>
        <v>Result [Quality</v>
      </c>
      <c r="C31" s="70" t="str">
        <f>T(IF(E31="","",HLOOKUP(FH_info!$M$2,lang!$E$1:$AA31,A31,FALSE)))</f>
        <v>Result [Quality</v>
      </c>
      <c r="E31" s="70" t="s">
        <v>183</v>
      </c>
      <c r="F31" s="70" t="s">
        <v>183</v>
      </c>
      <c r="G31" s="70" t="s">
        <v>271</v>
      </c>
      <c r="H31" s="70" t="s">
        <v>185</v>
      </c>
      <c r="I31" s="70" t="s">
        <v>184</v>
      </c>
    </row>
    <row r="32" spans="1:9" ht="27">
      <c r="A32" s="70">
        <f t="shared" si="1"/>
        <v>32</v>
      </c>
      <c r="B32" s="70" t="str">
        <f t="shared" si="0"/>
        <v>外向性</v>
      </c>
      <c r="C32" s="70" t="str">
        <f>T(IF(E32="","",HLOOKUP(FH_info!$M$2,lang!$E$1:$AA32,A32,FALSE)))</f>
        <v>外向性</v>
      </c>
      <c r="E32" s="70" t="s">
        <v>186</v>
      </c>
      <c r="F32" s="70" t="s">
        <v>188</v>
      </c>
      <c r="G32" s="70" t="s">
        <v>188</v>
      </c>
      <c r="H32" s="70" t="s">
        <v>238</v>
      </c>
      <c r="I32" s="70" t="s">
        <v>210</v>
      </c>
    </row>
    <row r="33" spans="1:9" ht="27">
      <c r="A33" s="70">
        <f t="shared" si="1"/>
        <v>33</v>
      </c>
      <c r="B33" s="70" t="str">
        <f t="shared" si="0"/>
        <v>稳定性</v>
      </c>
      <c r="C33" s="70" t="str">
        <f>T(IF(E33="","",HLOOKUP(FH_info!$M$2,lang!$E$1:$AA33,A33,FALSE)))</f>
        <v>稳定性</v>
      </c>
      <c r="E33" s="70" t="s">
        <v>187</v>
      </c>
      <c r="F33" s="70" t="s">
        <v>189</v>
      </c>
      <c r="G33" s="70" t="s">
        <v>201</v>
      </c>
      <c r="H33" s="70" t="s">
        <v>237</v>
      </c>
      <c r="I33" s="70" t="s">
        <v>211</v>
      </c>
    </row>
    <row r="34" spans="1:9" ht="40.5">
      <c r="A34" s="70">
        <f t="shared" si="1"/>
        <v>34</v>
      </c>
      <c r="B34" s="70" t="str">
        <f t="shared" si="0"/>
        <v xml:space="preserve">心理生理状态分析结果： </v>
      </c>
      <c r="C34" s="70" t="str">
        <f>T(IF(E34="","",HLOOKUP(FH_info!$M$2,lang!$E$1:$AA34,A34,FALSE)))</f>
        <v xml:space="preserve">心理生理状态分析结果： </v>
      </c>
      <c r="E34" s="70" t="s">
        <v>40</v>
      </c>
      <c r="F34" s="70" t="s">
        <v>190</v>
      </c>
      <c r="G34" s="70" t="s">
        <v>202</v>
      </c>
      <c r="H34" s="70" t="s">
        <v>205</v>
      </c>
      <c r="I34" s="70" t="s">
        <v>209</v>
      </c>
    </row>
    <row r="35" spans="1:9" ht="40.5">
      <c r="A35" s="70">
        <f t="shared" si="1"/>
        <v>35</v>
      </c>
      <c r="B35" s="70" t="str">
        <f t="shared" si="0"/>
        <v xml:space="preserve"> 正常</v>
      </c>
      <c r="C35" s="70" t="str">
        <f>T(IF(E35="","",HLOOKUP(FH_info!$M$2,lang!$E$1:$AA35,A35,FALSE)))</f>
        <v xml:space="preserve"> 正常</v>
      </c>
      <c r="E35" s="70" t="s">
        <v>41</v>
      </c>
      <c r="F35" s="70" t="s">
        <v>191</v>
      </c>
      <c r="G35" s="70" t="s">
        <v>203</v>
      </c>
      <c r="H35" s="70" t="s">
        <v>206</v>
      </c>
      <c r="I35" s="70" t="s">
        <v>212</v>
      </c>
    </row>
    <row r="36" spans="1:9" ht="67.5">
      <c r="A36" s="70">
        <f t="shared" si="1"/>
        <v>36</v>
      </c>
      <c r="B36" s="70" t="str">
        <f t="shared" si="0"/>
        <v>找专业人员咨询</v>
      </c>
      <c r="C36" s="70" t="str">
        <f>T(IF(E36="","",HLOOKUP(FH_info!$M$2,lang!$E$1:$AA36,A36,FALSE)))</f>
        <v>找专业人员咨询</v>
      </c>
      <c r="E36" s="70" t="s">
        <v>42</v>
      </c>
      <c r="F36" s="70" t="s">
        <v>192</v>
      </c>
      <c r="G36" s="70" t="s">
        <v>204</v>
      </c>
      <c r="H36" s="70" t="s">
        <v>207</v>
      </c>
      <c r="I36" s="70" t="s">
        <v>213</v>
      </c>
    </row>
    <row r="37" spans="1:9" ht="27">
      <c r="A37" s="70">
        <f t="shared" si="1"/>
        <v>37</v>
      </c>
      <c r="B37" s="70" t="str">
        <f t="shared" si="0"/>
        <v>意见</v>
      </c>
      <c r="C37" s="70" t="str">
        <f>T(IF(E37="","",HLOOKUP(FH_info!$M$2,lang!$E$1:$AA37,A37,FALSE)))</f>
        <v>意见</v>
      </c>
      <c r="E37" s="70" t="s">
        <v>43</v>
      </c>
      <c r="F37" s="70" t="s">
        <v>193</v>
      </c>
      <c r="G37" s="70" t="s">
        <v>278</v>
      </c>
      <c r="H37" s="70" t="s">
        <v>208</v>
      </c>
      <c r="I37" s="70" t="s">
        <v>214</v>
      </c>
    </row>
    <row r="38" spans="1:9">
      <c r="A38" s="70">
        <f t="shared" si="1"/>
        <v>38</v>
      </c>
      <c r="B38" s="70" t="str">
        <f t="shared" si="0"/>
        <v>Parameter</v>
      </c>
      <c r="C38" s="70" t="str">
        <f>T(IF(E38="","",HLOOKUP(FH_info!$M$2,lang!$E$1:$AA38,A38,FALSE)))</f>
        <v>Parameter</v>
      </c>
      <c r="E38" s="70" t="s">
        <v>17</v>
      </c>
      <c r="F38" s="70" t="s">
        <v>17</v>
      </c>
      <c r="G38" s="70" t="s">
        <v>272</v>
      </c>
      <c r="H38" s="70" t="s">
        <v>223</v>
      </c>
      <c r="I38" s="70" t="s">
        <v>219</v>
      </c>
    </row>
    <row r="39" spans="1:9">
      <c r="A39" s="70">
        <f t="shared" si="1"/>
        <v>39</v>
      </c>
      <c r="B39" s="70" t="str">
        <f t="shared" ref="B39:B49" si="3">IFERROR(C39,E39)</f>
        <v>Min</v>
      </c>
      <c r="C39" s="70" t="str">
        <f>T(IF(E39="","",HLOOKUP(FH_info!$M$2,lang!$E$1:$AA39,A39,FALSE)))</f>
        <v>Min</v>
      </c>
      <c r="E39" s="70" t="s">
        <v>18</v>
      </c>
      <c r="F39" s="70" t="s">
        <v>18</v>
      </c>
      <c r="G39" s="70" t="s">
        <v>273</v>
      </c>
      <c r="H39" s="70" t="s">
        <v>224</v>
      </c>
      <c r="I39" s="70" t="s">
        <v>220</v>
      </c>
    </row>
    <row r="40" spans="1:9">
      <c r="A40" s="70">
        <f t="shared" si="1"/>
        <v>40</v>
      </c>
      <c r="B40" s="70" t="str">
        <f t="shared" si="3"/>
        <v>Avg</v>
      </c>
      <c r="C40" s="70" t="str">
        <f>T(IF(E40="","",HLOOKUP(FH_info!$M$2,lang!$E$1:$AA40,A40,FALSE)))</f>
        <v>Avg</v>
      </c>
      <c r="E40" s="70" t="s">
        <v>19</v>
      </c>
      <c r="F40" s="70" t="s">
        <v>19</v>
      </c>
      <c r="G40" s="70" t="s">
        <v>274</v>
      </c>
      <c r="H40" s="70" t="s">
        <v>225</v>
      </c>
      <c r="I40" s="70" t="s">
        <v>221</v>
      </c>
    </row>
    <row r="41" spans="1:9">
      <c r="A41" s="70">
        <f t="shared" si="1"/>
        <v>41</v>
      </c>
      <c r="B41" s="70" t="str">
        <f t="shared" si="3"/>
        <v>Max</v>
      </c>
      <c r="C41" s="70" t="str">
        <f>T(IF(E41="","",HLOOKUP(FH_info!$M$2,lang!$E$1:$AA41,A41,FALSE)))</f>
        <v>Max</v>
      </c>
      <c r="E41" s="70" t="s">
        <v>20</v>
      </c>
      <c r="F41" s="70" t="s">
        <v>20</v>
      </c>
      <c r="G41" s="70" t="s">
        <v>275</v>
      </c>
      <c r="H41" s="70" t="s">
        <v>226</v>
      </c>
      <c r="I41" s="70" t="s">
        <v>222</v>
      </c>
    </row>
    <row r="42" spans="1:9" ht="14.25">
      <c r="A42" s="70">
        <f t="shared" si="1"/>
        <v>42</v>
      </c>
      <c r="B42" s="70" t="str">
        <f t="shared" si="3"/>
        <v>Vi</v>
      </c>
      <c r="C42" s="70" t="str">
        <f>T(IF(E42="","",HLOOKUP(FH_info!$M$2,lang!$E$1:$AA42,A42,FALSE)))</f>
        <v>Vi</v>
      </c>
      <c r="E42" s="70" t="s">
        <v>21</v>
      </c>
      <c r="F42" s="70" t="s">
        <v>21</v>
      </c>
      <c r="G42" s="70" t="s">
        <v>21</v>
      </c>
      <c r="H42" s="70" t="s">
        <v>227</v>
      </c>
      <c r="I42" s="70" t="s">
        <v>21</v>
      </c>
    </row>
    <row r="43" spans="1:9">
      <c r="A43" s="70">
        <f t="shared" si="1"/>
        <v>43</v>
      </c>
      <c r="B43" s="70" t="str">
        <f t="shared" si="3"/>
        <v>M</v>
      </c>
      <c r="C43" s="70" t="str">
        <f>T(IF(E43="","",HLOOKUP(FH_info!$M$2,lang!$E$1:$AA43,A43,FALSE)))</f>
        <v>M</v>
      </c>
      <c r="E43" s="70" t="s">
        <v>8</v>
      </c>
      <c r="F43" s="70" t="s">
        <v>8</v>
      </c>
      <c r="G43" s="70" t="s">
        <v>276</v>
      </c>
      <c r="H43" s="70" t="s">
        <v>228</v>
      </c>
      <c r="I43" s="70" t="s">
        <v>8</v>
      </c>
    </row>
    <row r="44" spans="1:9">
      <c r="A44" s="70">
        <f t="shared" si="1"/>
        <v>44</v>
      </c>
      <c r="B44" s="70" t="str">
        <f t="shared" si="3"/>
        <v>S</v>
      </c>
      <c r="C44" s="70" t="str">
        <f>T(IF(E44="","",HLOOKUP(FH_info!$M$2,lang!$E$1:$AA44,A44,FALSE)))</f>
        <v>S</v>
      </c>
      <c r="E44" s="70" t="s">
        <v>9</v>
      </c>
      <c r="F44" s="70" t="s">
        <v>9</v>
      </c>
      <c r="G44" s="70" t="s">
        <v>9</v>
      </c>
      <c r="H44" s="70" t="s">
        <v>229</v>
      </c>
      <c r="I44" s="70" t="s">
        <v>9</v>
      </c>
    </row>
    <row r="45" spans="1:9" ht="14.25">
      <c r="A45" s="70">
        <f t="shared" si="1"/>
        <v>45</v>
      </c>
      <c r="B45" s="70" t="str">
        <f t="shared" si="3"/>
        <v>Vi (S/M)</v>
      </c>
      <c r="C45" s="70" t="str">
        <f>T(IF(E45="","",HLOOKUP(FH_info!$M$2,lang!$E$1:$AA45,A45,FALSE)))</f>
        <v>Vi (S/M)</v>
      </c>
      <c r="E45" s="70" t="s">
        <v>10</v>
      </c>
      <c r="F45" s="70" t="s">
        <v>10</v>
      </c>
      <c r="G45" s="70" t="s">
        <v>10</v>
      </c>
      <c r="H45" s="70" t="s">
        <v>230</v>
      </c>
      <c r="I45" s="70" t="s">
        <v>10</v>
      </c>
    </row>
    <row r="46" spans="1:9">
      <c r="A46" s="70">
        <f t="shared" si="1"/>
        <v>46</v>
      </c>
      <c r="B46" s="70" t="str">
        <f t="shared" si="3"/>
        <v>bMin</v>
      </c>
      <c r="C46" s="70" t="str">
        <f>T(IF(E46="","",HLOOKUP(FH_info!$M$2,lang!$E$1:$AA46,A46,FALSE)))</f>
        <v>bMin</v>
      </c>
      <c r="E46" s="70" t="s">
        <v>11</v>
      </c>
      <c r="F46" s="70" t="s">
        <v>11</v>
      </c>
      <c r="G46" s="70" t="s">
        <v>11</v>
      </c>
      <c r="H46" s="70" t="s">
        <v>231</v>
      </c>
      <c r="I46" s="70" t="s">
        <v>11</v>
      </c>
    </row>
    <row r="47" spans="1:9">
      <c r="A47" s="70">
        <f t="shared" si="1"/>
        <v>47</v>
      </c>
      <c r="B47" s="70" t="str">
        <f t="shared" si="3"/>
        <v>cMin</v>
      </c>
      <c r="C47" s="70" t="str">
        <f>T(IF(E47="","",HLOOKUP(FH_info!$M$2,lang!$E$1:$AA47,A47,FALSE)))</f>
        <v>cMin</v>
      </c>
      <c r="E47" s="70" t="s">
        <v>12</v>
      </c>
      <c r="F47" s="70" t="s">
        <v>12</v>
      </c>
      <c r="G47" s="70" t="s">
        <v>12</v>
      </c>
      <c r="H47" s="70" t="s">
        <v>232</v>
      </c>
      <c r="I47" s="70" t="s">
        <v>12</v>
      </c>
    </row>
    <row r="48" spans="1:9">
      <c r="A48" s="70">
        <f t="shared" si="1"/>
        <v>48</v>
      </c>
      <c r="B48" s="70" t="str">
        <f t="shared" si="3"/>
        <v>bMax</v>
      </c>
      <c r="C48" s="70" t="str">
        <f>T(IF(E48="","",HLOOKUP(FH_info!$M$2,lang!$E$1:$AA48,A48,FALSE)))</f>
        <v>bMax</v>
      </c>
      <c r="E48" s="70" t="s">
        <v>13</v>
      </c>
      <c r="F48" s="70" t="s">
        <v>13</v>
      </c>
      <c r="G48" s="70" t="s">
        <v>13</v>
      </c>
      <c r="H48" s="70" t="s">
        <v>233</v>
      </c>
      <c r="I48" s="70" t="s">
        <v>13</v>
      </c>
    </row>
    <row r="49" spans="1:9">
      <c r="A49" s="70">
        <f t="shared" si="1"/>
        <v>49</v>
      </c>
      <c r="B49" s="70" t="str">
        <f t="shared" si="3"/>
        <v>cMax</v>
      </c>
      <c r="C49" s="70" t="str">
        <f>T(IF(E49="","",HLOOKUP(FH_info!$M$2,lang!$E$1:$AA49,A49,FALSE)))</f>
        <v>cMax</v>
      </c>
      <c r="E49" s="70" t="s">
        <v>14</v>
      </c>
      <c r="F49" s="70" t="s">
        <v>14</v>
      </c>
      <c r="G49" s="70" t="s">
        <v>14</v>
      </c>
      <c r="H49" s="70" t="s">
        <v>234</v>
      </c>
      <c r="I49" s="70" t="s">
        <v>14</v>
      </c>
    </row>
    <row r="50" spans="1:9">
      <c r="A50" s="70">
        <f t="shared" si="1"/>
        <v>50</v>
      </c>
      <c r="B50" s="70" t="str">
        <f t="shared" si="0"/>
        <v>Sat</v>
      </c>
      <c r="C50" s="70" t="str">
        <f>T(IF(E50="","",HLOOKUP(FH_info!$M$2,lang!$E$1:$AA50,A50,FALSE)))</f>
        <v>Sat</v>
      </c>
      <c r="E50" s="70" t="s">
        <v>279</v>
      </c>
      <c r="F50" s="70" t="s">
        <v>279</v>
      </c>
      <c r="G50" s="70" t="s">
        <v>279</v>
      </c>
      <c r="H50" s="70" t="s">
        <v>279</v>
      </c>
      <c r="I50" s="70" t="s">
        <v>280</v>
      </c>
    </row>
    <row r="51" spans="1:9">
      <c r="A51" s="70" t="str">
        <f t="shared" si="1"/>
        <v/>
      </c>
      <c r="B51" s="70" t="str">
        <f t="shared" si="0"/>
        <v/>
      </c>
      <c r="C51" s="70" t="str">
        <f>T(IF(E51="","",HLOOKUP(FH_info!$M$2,lang!$E$1:$AA51,A51,FALSE)))</f>
        <v/>
      </c>
    </row>
    <row r="52" spans="1:9">
      <c r="A52" s="70" t="str">
        <f t="shared" si="1"/>
        <v/>
      </c>
      <c r="B52" s="70" t="str">
        <f t="shared" si="0"/>
        <v/>
      </c>
      <c r="C52" s="70" t="str">
        <f>T(IF(E52="","",HLOOKUP(FH_info!$M$2,lang!$E$1:$AA52,A52,FALSE)))</f>
        <v/>
      </c>
    </row>
    <row r="53" spans="1:9">
      <c r="A53" s="70" t="str">
        <f t="shared" si="1"/>
        <v/>
      </c>
      <c r="B53" s="70" t="str">
        <f t="shared" si="0"/>
        <v/>
      </c>
      <c r="C53" s="70" t="str">
        <f>T(IF(E53="","",HLOOKUP(FH_info!$M$2,lang!$E$1:$AA53,A53,FALSE)))</f>
        <v/>
      </c>
    </row>
    <row r="54" spans="1:9">
      <c r="A54" s="70" t="str">
        <f t="shared" si="1"/>
        <v/>
      </c>
      <c r="B54" s="70" t="str">
        <f t="shared" si="0"/>
        <v/>
      </c>
      <c r="C54" s="70" t="str">
        <f>T(IF(E54="","",HLOOKUP(FH_info!$M$2,lang!$E$1:$AA54,A54,FALSE)))</f>
        <v/>
      </c>
    </row>
    <row r="55" spans="1:9">
      <c r="A55" s="70" t="str">
        <f t="shared" si="1"/>
        <v/>
      </c>
      <c r="B55" s="70" t="str">
        <f t="shared" si="0"/>
        <v/>
      </c>
      <c r="C55" s="70" t="str">
        <f>T(IF(E55="","",HLOOKUP(FH_info!$M$2,lang!$E$1:$AA55,A55,FALSE)))</f>
        <v/>
      </c>
    </row>
    <row r="56" spans="1:9">
      <c r="A56" s="70" t="str">
        <f t="shared" si="1"/>
        <v/>
      </c>
      <c r="B56" s="70" t="str">
        <f t="shared" si="0"/>
        <v/>
      </c>
      <c r="C56" s="70" t="str">
        <f>T(IF(E56="","",HLOOKUP(FH_info!$M$2,lang!$E$1:$AA56,A56,FALSE)))</f>
        <v/>
      </c>
    </row>
    <row r="57" spans="1:9">
      <c r="A57" s="70" t="str">
        <f t="shared" si="1"/>
        <v/>
      </c>
      <c r="B57" s="70" t="str">
        <f t="shared" si="0"/>
        <v/>
      </c>
      <c r="C57" s="70" t="str">
        <f>T(IF(E57="","",HLOOKUP(FH_info!$M$2,lang!$E$1:$AA57,A57,FALSE)))</f>
        <v/>
      </c>
    </row>
    <row r="58" spans="1:9">
      <c r="A58" s="70" t="str">
        <f t="shared" si="1"/>
        <v/>
      </c>
      <c r="B58" s="70" t="str">
        <f t="shared" si="0"/>
        <v/>
      </c>
      <c r="C58" s="70" t="str">
        <f>T(IF(E58="","",HLOOKUP(FH_info!$M$2,lang!$E$1:$AA58,A58,FALSE)))</f>
        <v/>
      </c>
    </row>
    <row r="59" spans="1:9">
      <c r="A59" s="70" t="str">
        <f t="shared" si="1"/>
        <v/>
      </c>
      <c r="B59" s="70" t="str">
        <f t="shared" si="0"/>
        <v/>
      </c>
      <c r="C59" s="70" t="str">
        <f>T(IF(E59="","",HLOOKUP(FH_info!$M$2,lang!$E$1:$AA59,A59,FALSE)))</f>
        <v/>
      </c>
    </row>
    <row r="60" spans="1:9">
      <c r="A60" s="70" t="str">
        <f t="shared" si="1"/>
        <v/>
      </c>
      <c r="B60" s="70" t="str">
        <f t="shared" si="0"/>
        <v/>
      </c>
      <c r="C60" s="70" t="str">
        <f>T(IF(E60="","",HLOOKUP(FH_info!$M$2,lang!$E$1:$AA60,A60,FALSE)))</f>
        <v/>
      </c>
    </row>
    <row r="61" spans="1:9">
      <c r="A61" s="70" t="str">
        <f t="shared" si="1"/>
        <v/>
      </c>
      <c r="B61" s="70" t="str">
        <f t="shared" si="0"/>
        <v/>
      </c>
      <c r="C61" s="70" t="str">
        <f>T(IF(E61="","",HLOOKUP(FH_info!$M$2,lang!$E$1:$AA61,A61,FALSE)))</f>
        <v/>
      </c>
    </row>
    <row r="62" spans="1:9">
      <c r="A62" s="70" t="str">
        <f t="shared" si="1"/>
        <v/>
      </c>
      <c r="B62" s="70" t="str">
        <f t="shared" si="0"/>
        <v/>
      </c>
      <c r="C62" s="70" t="str">
        <f>T(IF(E62="","",HLOOKUP(FH_info!$M$2,lang!$E$1:$AA62,A62,FALSE)))</f>
        <v/>
      </c>
    </row>
    <row r="63" spans="1:9">
      <c r="A63" s="70" t="str">
        <f t="shared" si="1"/>
        <v/>
      </c>
      <c r="B63" s="70" t="str">
        <f t="shared" si="0"/>
        <v/>
      </c>
      <c r="C63" s="70" t="str">
        <f>T(IF(E63="","",HLOOKUP(FH_info!$M$2,lang!$E$1:$AA63,A63,FALSE)))</f>
        <v/>
      </c>
    </row>
    <row r="64" spans="1:9">
      <c r="A64" s="70" t="str">
        <f t="shared" si="1"/>
        <v/>
      </c>
      <c r="B64" s="70" t="str">
        <f t="shared" si="0"/>
        <v/>
      </c>
      <c r="C64" s="70" t="str">
        <f>T(IF(E64="","",HLOOKUP(FH_info!$M$2,lang!$E$1:$AA64,A64,FALSE)))</f>
        <v/>
      </c>
    </row>
    <row r="65" spans="1:3">
      <c r="A65" s="70" t="str">
        <f t="shared" si="1"/>
        <v/>
      </c>
      <c r="B65" s="70" t="str">
        <f t="shared" si="0"/>
        <v/>
      </c>
      <c r="C65" s="70" t="str">
        <f>T(IF(E65="","",HLOOKUP(FH_info!$M$2,lang!$E$1:$AA65,A65,FALSE)))</f>
        <v/>
      </c>
    </row>
    <row r="66" spans="1:3">
      <c r="A66" s="70" t="str">
        <f t="shared" si="1"/>
        <v/>
      </c>
      <c r="B66" s="70" t="str">
        <f t="shared" si="0"/>
        <v/>
      </c>
      <c r="C66" s="70" t="str">
        <f>T(IF(E66="","",HLOOKUP(FH_info!$M$2,lang!$E$1:$AA66,A66,FALSE)))</f>
        <v/>
      </c>
    </row>
    <row r="67" spans="1:3">
      <c r="A67" s="70" t="str">
        <f t="shared" si="1"/>
        <v/>
      </c>
      <c r="B67" s="70" t="str">
        <f t="shared" ref="B67:B100" si="4">IFERROR(C67,E67)</f>
        <v/>
      </c>
      <c r="C67" s="70" t="str">
        <f>T(IF(E67="","",HLOOKUP(FH_info!$M$2,lang!$E$1:$AA67,A67,FALSE)))</f>
        <v/>
      </c>
    </row>
    <row r="68" spans="1:3">
      <c r="A68" s="70" t="str">
        <f t="shared" ref="A68:A100" si="5">IF(E68="","",A67+1)</f>
        <v/>
      </c>
      <c r="B68" s="70" t="str">
        <f t="shared" si="4"/>
        <v/>
      </c>
      <c r="C68" s="70" t="str">
        <f>T(IF(E68="","",HLOOKUP(FH_info!$M$2,lang!$E$1:$AA68,A68,FALSE)))</f>
        <v/>
      </c>
    </row>
    <row r="69" spans="1:3">
      <c r="A69" s="70" t="str">
        <f t="shared" si="5"/>
        <v/>
      </c>
      <c r="B69" s="70" t="str">
        <f t="shared" si="4"/>
        <v/>
      </c>
      <c r="C69" s="70" t="str">
        <f>T(IF(E69="","",HLOOKUP(FH_info!$M$2,lang!$E$1:$AA69,A69,FALSE)))</f>
        <v/>
      </c>
    </row>
    <row r="70" spans="1:3">
      <c r="A70" s="70" t="str">
        <f t="shared" si="5"/>
        <v/>
      </c>
      <c r="B70" s="70" t="str">
        <f t="shared" si="4"/>
        <v/>
      </c>
      <c r="C70" s="70" t="str">
        <f>T(IF(E70="","",HLOOKUP(FH_info!$M$2,lang!$E$1:$AA70,A70,FALSE)))</f>
        <v/>
      </c>
    </row>
    <row r="71" spans="1:3">
      <c r="A71" s="70" t="str">
        <f t="shared" si="5"/>
        <v/>
      </c>
      <c r="B71" s="70" t="str">
        <f t="shared" si="4"/>
        <v/>
      </c>
      <c r="C71" s="70" t="str">
        <f>T(IF(E71="","",HLOOKUP(FH_info!$M$2,lang!$E$1:$AA71,A71,FALSE)))</f>
        <v/>
      </c>
    </row>
    <row r="72" spans="1:3">
      <c r="A72" s="70" t="str">
        <f t="shared" si="5"/>
        <v/>
      </c>
      <c r="B72" s="70" t="str">
        <f t="shared" si="4"/>
        <v/>
      </c>
      <c r="C72" s="70" t="str">
        <f>T(IF(E72="","",HLOOKUP(FH_info!$M$2,lang!$E$1:$AA72,A72,FALSE)))</f>
        <v/>
      </c>
    </row>
    <row r="73" spans="1:3">
      <c r="A73" s="70" t="str">
        <f t="shared" si="5"/>
        <v/>
      </c>
      <c r="B73" s="70" t="str">
        <f t="shared" si="4"/>
        <v/>
      </c>
      <c r="C73" s="70" t="str">
        <f>T(IF(E73="","",HLOOKUP(FH_info!$M$2,lang!$E$1:$AA73,A73,FALSE)))</f>
        <v/>
      </c>
    </row>
    <row r="74" spans="1:3">
      <c r="A74" s="70" t="str">
        <f t="shared" si="5"/>
        <v/>
      </c>
      <c r="B74" s="70" t="str">
        <f t="shared" si="4"/>
        <v/>
      </c>
      <c r="C74" s="70" t="str">
        <f>T(IF(E74="","",HLOOKUP(FH_info!$M$2,lang!$E$1:$AA74,A74,FALSE)))</f>
        <v/>
      </c>
    </row>
    <row r="75" spans="1:3">
      <c r="A75" s="70" t="str">
        <f t="shared" si="5"/>
        <v/>
      </c>
      <c r="B75" s="70" t="str">
        <f t="shared" si="4"/>
        <v/>
      </c>
      <c r="C75" s="70" t="str">
        <f>T(IF(E75="","",HLOOKUP(FH_info!$M$2,lang!$E$1:$AA75,A75,FALSE)))</f>
        <v/>
      </c>
    </row>
    <row r="76" spans="1:3">
      <c r="A76" s="70" t="str">
        <f t="shared" si="5"/>
        <v/>
      </c>
      <c r="B76" s="70" t="str">
        <f t="shared" si="4"/>
        <v/>
      </c>
      <c r="C76" s="70" t="str">
        <f>T(IF(E76="","",HLOOKUP(FH_info!$M$2,lang!$E$1:$AA76,A76,FALSE)))</f>
        <v/>
      </c>
    </row>
    <row r="77" spans="1:3">
      <c r="A77" s="70" t="str">
        <f t="shared" si="5"/>
        <v/>
      </c>
      <c r="B77" s="70" t="str">
        <f t="shared" si="4"/>
        <v/>
      </c>
      <c r="C77" s="70" t="str">
        <f>T(IF(E77="","",HLOOKUP(FH_info!$M$2,lang!$E$1:$AA77,A77,FALSE)))</f>
        <v/>
      </c>
    </row>
    <row r="78" spans="1:3">
      <c r="A78" s="70" t="str">
        <f t="shared" si="5"/>
        <v/>
      </c>
      <c r="B78" s="70" t="str">
        <f t="shared" si="4"/>
        <v/>
      </c>
      <c r="C78" s="70" t="str">
        <f>T(IF(E78="","",HLOOKUP(FH_info!$M$2,lang!$E$1:$AA78,A78,FALSE)))</f>
        <v/>
      </c>
    </row>
    <row r="79" spans="1:3">
      <c r="A79" s="70" t="str">
        <f t="shared" si="5"/>
        <v/>
      </c>
      <c r="B79" s="70" t="str">
        <f t="shared" si="4"/>
        <v/>
      </c>
      <c r="C79" s="70" t="str">
        <f>T(IF(E79="","",HLOOKUP(FH_info!$M$2,lang!$E$1:$AA79,A79,FALSE)))</f>
        <v/>
      </c>
    </row>
    <row r="80" spans="1:3">
      <c r="A80" s="70" t="str">
        <f t="shared" si="5"/>
        <v/>
      </c>
      <c r="B80" s="70" t="str">
        <f t="shared" si="4"/>
        <v/>
      </c>
      <c r="C80" s="70" t="str">
        <f>T(IF(E80="","",HLOOKUP(FH_info!$M$2,lang!$E$1:$AA80,A80,FALSE)))</f>
        <v/>
      </c>
    </row>
    <row r="81" spans="1:3">
      <c r="A81" s="70" t="str">
        <f t="shared" si="5"/>
        <v/>
      </c>
      <c r="B81" s="70" t="str">
        <f t="shared" si="4"/>
        <v/>
      </c>
      <c r="C81" s="70" t="str">
        <f>T(IF(E81="","",HLOOKUP(FH_info!$M$2,lang!$E$1:$AA81,A81,FALSE)))</f>
        <v/>
      </c>
    </row>
    <row r="82" spans="1:3">
      <c r="A82" s="70" t="str">
        <f t="shared" si="5"/>
        <v/>
      </c>
      <c r="B82" s="70" t="str">
        <f t="shared" si="4"/>
        <v/>
      </c>
      <c r="C82" s="70" t="str">
        <f>T(IF(E82="","",HLOOKUP(FH_info!$M$2,lang!$E$1:$AA82,A82,FALSE)))</f>
        <v/>
      </c>
    </row>
    <row r="83" spans="1:3">
      <c r="A83" s="70" t="str">
        <f t="shared" si="5"/>
        <v/>
      </c>
      <c r="B83" s="70" t="str">
        <f t="shared" si="4"/>
        <v/>
      </c>
      <c r="C83" s="70" t="str">
        <f>T(IF(E83="","",HLOOKUP(FH_info!$M$2,lang!$E$1:$AA83,A83,FALSE)))</f>
        <v/>
      </c>
    </row>
    <row r="84" spans="1:3">
      <c r="A84" s="70" t="str">
        <f t="shared" si="5"/>
        <v/>
      </c>
      <c r="B84" s="70" t="str">
        <f t="shared" si="4"/>
        <v/>
      </c>
      <c r="C84" s="70" t="str">
        <f>T(IF(E84="","",HLOOKUP(FH_info!$M$2,lang!$E$1:$AA84,A84,FALSE)))</f>
        <v/>
      </c>
    </row>
    <row r="85" spans="1:3">
      <c r="A85" s="70" t="str">
        <f t="shared" si="5"/>
        <v/>
      </c>
      <c r="B85" s="70" t="str">
        <f t="shared" si="4"/>
        <v/>
      </c>
      <c r="C85" s="70" t="str">
        <f>T(IF(E85="","",HLOOKUP(FH_info!$M$2,lang!$E$1:$AA85,A85,FALSE)))</f>
        <v/>
      </c>
    </row>
    <row r="86" spans="1:3">
      <c r="A86" s="70" t="str">
        <f t="shared" si="5"/>
        <v/>
      </c>
      <c r="B86" s="70" t="str">
        <f t="shared" si="4"/>
        <v/>
      </c>
      <c r="C86" s="70" t="str">
        <f>T(IF(E86="","",HLOOKUP(FH_info!$M$2,lang!$E$1:$AA86,A86,FALSE)))</f>
        <v/>
      </c>
    </row>
    <row r="87" spans="1:3">
      <c r="A87" s="70" t="str">
        <f t="shared" si="5"/>
        <v/>
      </c>
      <c r="B87" s="70" t="str">
        <f t="shared" si="4"/>
        <v/>
      </c>
      <c r="C87" s="70" t="str">
        <f>T(IF(E87="","",HLOOKUP(FH_info!$M$2,lang!$E$1:$AA87,A87,FALSE)))</f>
        <v/>
      </c>
    </row>
    <row r="88" spans="1:3">
      <c r="A88" s="70" t="str">
        <f t="shared" si="5"/>
        <v/>
      </c>
      <c r="B88" s="70" t="str">
        <f t="shared" si="4"/>
        <v/>
      </c>
      <c r="C88" s="70" t="str">
        <f>T(IF(E88="","",HLOOKUP(FH_info!$M$2,lang!$E$1:$AA88,A88,FALSE)))</f>
        <v/>
      </c>
    </row>
    <row r="89" spans="1:3">
      <c r="A89" s="70" t="str">
        <f t="shared" si="5"/>
        <v/>
      </c>
      <c r="B89" s="70" t="str">
        <f t="shared" si="4"/>
        <v/>
      </c>
      <c r="C89" s="70" t="str">
        <f>T(IF(E89="","",HLOOKUP(FH_info!$M$2,lang!$E$1:$AA89,A89,FALSE)))</f>
        <v/>
      </c>
    </row>
    <row r="90" spans="1:3">
      <c r="A90" s="70" t="str">
        <f t="shared" si="5"/>
        <v/>
      </c>
      <c r="B90" s="70" t="str">
        <f t="shared" si="4"/>
        <v/>
      </c>
      <c r="C90" s="70" t="str">
        <f>T(IF(E90="","",HLOOKUP(FH_info!$M$2,lang!$E$1:$AA90,A90,FALSE)))</f>
        <v/>
      </c>
    </row>
    <row r="91" spans="1:3">
      <c r="A91" s="70" t="str">
        <f t="shared" si="5"/>
        <v/>
      </c>
      <c r="B91" s="70" t="str">
        <f t="shared" si="4"/>
        <v/>
      </c>
      <c r="C91" s="70" t="str">
        <f>T(IF(E91="","",HLOOKUP(FH_info!$M$2,lang!$E$1:$AA91,A91,FALSE)))</f>
        <v/>
      </c>
    </row>
    <row r="92" spans="1:3">
      <c r="A92" s="70" t="str">
        <f t="shared" si="5"/>
        <v/>
      </c>
      <c r="B92" s="70" t="str">
        <f t="shared" si="4"/>
        <v/>
      </c>
      <c r="C92" s="70" t="str">
        <f>T(IF(E92="","",HLOOKUP(FH_info!$M$2,lang!$E$1:$AA92,A92,FALSE)))</f>
        <v/>
      </c>
    </row>
    <row r="93" spans="1:3">
      <c r="A93" s="70" t="str">
        <f t="shared" si="5"/>
        <v/>
      </c>
      <c r="B93" s="70" t="str">
        <f t="shared" si="4"/>
        <v/>
      </c>
      <c r="C93" s="70" t="str">
        <f>T(IF(E93="","",HLOOKUP(FH_info!$M$2,lang!$E$1:$AA93,A93,FALSE)))</f>
        <v/>
      </c>
    </row>
    <row r="94" spans="1:3">
      <c r="A94" s="70" t="str">
        <f t="shared" si="5"/>
        <v/>
      </c>
      <c r="B94" s="70" t="str">
        <f t="shared" si="4"/>
        <v/>
      </c>
      <c r="C94" s="70" t="str">
        <f>T(IF(E94="","",HLOOKUP(FH_info!$M$2,lang!$E$1:$AA94,A94,FALSE)))</f>
        <v/>
      </c>
    </row>
    <row r="95" spans="1:3">
      <c r="A95" s="70" t="str">
        <f t="shared" si="5"/>
        <v/>
      </c>
      <c r="B95" s="70" t="str">
        <f t="shared" si="4"/>
        <v/>
      </c>
      <c r="C95" s="70" t="str">
        <f>T(IF(E95="","",HLOOKUP(FH_info!$M$2,lang!$E$1:$AA95,A95,FALSE)))</f>
        <v/>
      </c>
    </row>
    <row r="96" spans="1:3">
      <c r="A96" s="70" t="str">
        <f t="shared" si="5"/>
        <v/>
      </c>
      <c r="B96" s="70" t="str">
        <f t="shared" si="4"/>
        <v/>
      </c>
      <c r="C96" s="70" t="str">
        <f>T(IF(E96="","",HLOOKUP(FH_info!$M$2,lang!$E$1:$AA96,A96,FALSE)))</f>
        <v/>
      </c>
    </row>
    <row r="97" spans="1:3">
      <c r="A97" s="70" t="str">
        <f t="shared" si="5"/>
        <v/>
      </c>
      <c r="B97" s="70" t="str">
        <f t="shared" si="4"/>
        <v/>
      </c>
      <c r="C97" s="70" t="str">
        <f>T(IF(E97="","",HLOOKUP(FH_info!$M$2,lang!$E$1:$AA97,A97,FALSE)))</f>
        <v/>
      </c>
    </row>
    <row r="98" spans="1:3">
      <c r="A98" s="70" t="str">
        <f t="shared" si="5"/>
        <v/>
      </c>
      <c r="B98" s="70" t="str">
        <f t="shared" si="4"/>
        <v/>
      </c>
      <c r="C98" s="70" t="str">
        <f>T(IF(E98="","",HLOOKUP(FH_info!$M$2,lang!$E$1:$AA98,A98,FALSE)))</f>
        <v/>
      </c>
    </row>
    <row r="99" spans="1:3">
      <c r="A99" s="70" t="str">
        <f t="shared" si="5"/>
        <v/>
      </c>
      <c r="B99" s="70" t="str">
        <f t="shared" si="4"/>
        <v/>
      </c>
      <c r="C99" s="70" t="str">
        <f>T(IF(E99="","",HLOOKUP(FH_info!$M$2,lang!$E$1:$AA99,A99,FALSE)))</f>
        <v/>
      </c>
    </row>
    <row r="100" spans="1:3">
      <c r="A100" s="70" t="str">
        <f t="shared" si="5"/>
        <v/>
      </c>
      <c r="B100" s="70" t="str">
        <f t="shared" si="4"/>
        <v/>
      </c>
      <c r="C100" s="70" t="str">
        <f>T(IF(E100="","",HLOOKUP(FH_info!$M$2,lang!$E$1:$AA100,A100,FALSE)))</f>
        <v/>
      </c>
    </row>
  </sheetData>
  <phoneticPr fontId="29" type="noConversion"/>
  <pageMargins left="0.7" right="0.7" top="0.75" bottom="0.75" header="0.3" footer="0.3"/>
  <pageSetup paperSize="9" orientation="portrait" horizontalDpi="3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14</vt:i4>
      </vt:variant>
      <vt:variant>
        <vt:lpstr>命名范围</vt:lpstr>
      </vt:variant>
      <vt:variant>
        <vt:i4>13</vt:i4>
      </vt:variant>
    </vt:vector>
  </HeadingPairs>
  <TitlesOfParts>
    <vt:vector size="27" baseType="lpstr">
      <vt:lpstr>Measurement</vt:lpstr>
      <vt:lpstr>dMeasurement</vt:lpstr>
      <vt:lpstr>correl_IE</vt:lpstr>
      <vt:lpstr>info</vt:lpstr>
      <vt:lpstr>M</vt:lpstr>
      <vt:lpstr>dM</vt:lpstr>
      <vt:lpstr>M1</vt:lpstr>
      <vt:lpstr>M2</vt:lpstr>
      <vt:lpstr>FH</vt:lpstr>
      <vt:lpstr>FH1</vt:lpstr>
      <vt:lpstr>FH2</vt:lpstr>
      <vt:lpstr>FT</vt:lpstr>
      <vt:lpstr>FH_info</vt:lpstr>
      <vt:lpstr>lang</vt:lpstr>
      <vt:lpstr>'FH1'!FH</vt:lpstr>
      <vt:lpstr>'FH2'!FH</vt:lpstr>
      <vt:lpstr>FH</vt:lpstr>
      <vt:lpstr>FH_info</vt:lpstr>
      <vt:lpstr>FT</vt:lpstr>
      <vt:lpstr>ft_nq</vt:lpstr>
      <vt:lpstr>dM!M</vt:lpstr>
      <vt:lpstr>'M1'!M</vt:lpstr>
      <vt:lpstr>'M2'!M</vt:lpstr>
      <vt:lpstr>M</vt:lpstr>
      <vt:lpstr>dMeasurement!Print_Area</vt:lpstr>
      <vt:lpstr>Measurement!Print_Area</vt:lpstr>
      <vt:lpstr>row_n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ELSYS Corp.</dc:creator>
  <cp:lastModifiedBy>Windows 用户</cp:lastModifiedBy>
  <cp:lastPrinted>2019-06-05T02:44:43Z</cp:lastPrinted>
  <dcterms:created xsi:type="dcterms:W3CDTF">2010-10-29T12:53:05Z</dcterms:created>
  <dcterms:modified xsi:type="dcterms:W3CDTF">2019-06-05T02:45:07Z</dcterms:modified>
</cp:coreProperties>
</file>