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<sst xmlns="http://schemas.openxmlformats.org/spreadsheetml/2006/main" count="702" uniqueCount="521">
  <si>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</si>
  <si>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</si>
  <si>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</si>
  <si>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</si>
  <si>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</si>
  <si>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</si>
  <si>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</si>
  <si>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</si>
  <si>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</si>
  <si>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</si>
  <si>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</si>
  <si>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</si>
  <si>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</si>
  <si>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</si>
  <si>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</si>
  <si>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</si>
  <si>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</si>
  <si>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</si>
  <si>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</si>
  <si>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</si>
  <si>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</si>
  <si>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</si>
  <si>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</si>
  <si>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</si>
  <si>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</si>
  <si>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</si>
  <si>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</si>
  <si>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</si>
  <si>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</si>
  <si>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</si>
  <si>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</si>
  <si>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</si>
  <si>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</si>
  <si>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</si>
  <si>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</si>
  <si>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</si>
  <si>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</si>
  <si>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</si>
  <si>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</si>
  <si>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</si>
  <si>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</si>
  <si>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</si>
  <si>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</si>
  <si>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</si>
  <si>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</si>
  <si>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</si>
  <si>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</si>
  <si>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</si>
  <si>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</si>
  <si>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</si>
  <si>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</si>
  <si>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</si>
  <si>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</si>
  <si>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</si>
  <si>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</si>
  <si>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</si>
  <si>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</si>
  <si>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</si>
  <si>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</si>
  <si>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</si>
  <si>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</si>
  <si>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</si>
  <si>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</si>
  <si>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</si>
  <si>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</si>
  <si>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</si>
  <si>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</si>
  <si>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</si>
  <si>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</si>
  <si>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</si>
  <si>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</si>
  <si>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</si>
  <si>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</si>
  <si>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</si>
  <si>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</si>
  <si>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</si>
  <si>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</si>
  <si>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</si>
  <si>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</si>
  <si>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</si>
  <si>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</si>
  <si>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</si>
  <si>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</si>
  <si>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</si>
  <si>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</si>
  <si>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</si>
  <si>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</si>
  <si>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</si>
  <si>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</si>
  <si>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</si>
  <si>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</si>
  <si>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</si>
  <si>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</si>
  <si>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</si>
  <si>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</si>
  <si>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</si>
  <si>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</si>
  <si>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</si>
  <si>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</si>
  <si>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</si>
  <si>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</si>
  <si>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</si>
  <si>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</si>
  <si>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</si>
  <si>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</si>
  <si>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</si>
  <si>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</si>
  <si>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</si>
  <si>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</si>
  <si>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</si>
  <si>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</si>
  <si>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</si>
  <si>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</si>
  <si>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</si>
  <si>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</si>
  <si>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</si>
  <si>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</si>
  <si>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</si>
  <si>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</si>
  <si>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</si>
  <si>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</si>
  <si>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</si>
  <si>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</si>
  <si>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</si>
  <si>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</si>
  <si>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</si>
  <si>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</si>
  <si>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</si>
  <si>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</si>
  <si>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</si>
  <si>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</si>
  <si>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</si>
  <si>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</si>
  <si>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</si>
  <si>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</si>
  <si>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</si>
  <si>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</si>
  <si>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</si>
  <si>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</si>
  <si>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</si>
  <si>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</si>
  <si>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</si>
  <si>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</si>
  <si>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</si>
  <si>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</si>
  <si>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</si>
  <si>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</si>
  <si>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</si>
  <si>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</si>
  <si>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</si>
  <si>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</si>
  <si>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</si>
  <si>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</si>
  <si>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</si>
  <si>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</si>
  <si>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</si>
  <si>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</si>
  <si>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</si>
  <si>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</si>
  <si>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</si>
  <si>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</si>
  <si>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</si>
  <si>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</si>
  <si>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</si>
  <si>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</si>
  <si>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</si>
  <si>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</si>
  <si>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</si>
  <si>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</si>
  <si>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</si>
  <si>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</si>
  <si>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</si>
  <si>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</si>
  <si>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</si>
  <si>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</si>
  <si>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</si>
  <si>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</si>
  <si>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</si>
  <si>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</si>
  <si>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</si>
  <si>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</si>
  <si>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</si>
  <si>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</si>
  <si>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</si>
  <si>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</si>
  <si>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</si>
  <si>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</si>
  <si>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</si>
  <si>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</si>
  <si>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</si>
  <si>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</si>
  <si>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</si>
  <si>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</si>
  <si>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</si>
  <si>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</si>
  <si>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</si>
  <si>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</si>
  <si>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</si>
  <si>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</si>
  <si>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</si>
  <si>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</si>
  <si>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</si>
  <si>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</si>
  <si>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</si>
  <si>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</si>
  <si>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</si>
  <si>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</si>
  <si>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</si>
  <si>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</si>
  <si>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</si>
  <si>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</si>
  <si>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</si>
  <si>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</si>
  <si>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</si>
  <si>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</si>
  <si>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</si>
  <si>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</si>
  <si>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</si>
  <si>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</si>
  <si>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</si>
  <si>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</si>
  <si>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</si>
  <si>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</si>
  <si>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</si>
  <si>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</si>
  <si>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</si>
  <si>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</si>
  <si>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</si>
  <si>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</si>
  <si>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</si>
  <si>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</si>
  <si>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</si>
  <si>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</si>
  <si>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</si>
  <si>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</si>
  <si>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</si>
  <si>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</si>
  <si>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</si>
  <si>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</si>
  <si>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</si>
  <si>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</si>
  <si>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</si>
  <si>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</si>
  <si>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</si>
  <si>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</si>
  <si>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</si>
  <si>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</si>
  <si>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</si>
  <si>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</si>
  <si>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</si>
  <si>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</si>
  <si>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</si>
  <si>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</si>
  <si>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</si>
  <si>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</si>
  <si>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</si>
  <si>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</si>
  <si>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</si>
  <si>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</si>
  <si>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</si>
  <si>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</si>
  <si>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</si>
  <si>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</si>
  <si>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</si>
  <si>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</si>
  <si>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</si>
  <si>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</si>
  <si>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</si>
  <si>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</si>
  <si>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</si>
  <si>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</si>
  <si>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</si>
  <si>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</si>
  <si>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</si>
  <si>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</si>
  <si>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</si>
  <si>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</si>
  <si>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</si>
  <si>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</si>
  <si>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</si>
  <si>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</si>
  <si>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</si>
  <si>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</si>
  <si>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</si>
  <si>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</si>
  <si>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</si>
  <si>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</si>
  <si>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</si>
  <si>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</si>
  <si>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</si>
  <si>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</si>
  <si>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</si>
  <si>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</si>
  <si>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</si>
  <si>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</si>
  <si>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</si>
  <si>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</si>
  <si>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</si>
  <si>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</si>
  <si>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</si>
  <si>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</si>
  <si>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</si>
  <si>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</si>
  <si>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</si>
  <si>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</si>
  <si>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</si>
  <si>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</si>
  <si>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</si>
  <si>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</si>
  <si>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</si>
  <si>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</si>
  <si>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</si>
  <si>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</si>
  <si>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</si>
  <si>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</si>
  <si>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</si>
  <si>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</si>
  <si>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</si>
  <si>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</si>
  <si>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</si>
  <si>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</si>
  <si>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</si>
  <si>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</si>
  <si>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</si>
  <si>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</si>
  <si>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</si>
  <si>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</si>
  <si>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</si>
  <si>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</si>
  <si>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</si>
  <si>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</si>
  <si>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</si>
  <si>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</si>
  <si>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</si>
  <si>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</si>
  <si>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</si>
  <si>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</si>
  <si>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</si>
  <si>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</si>
  <si>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</si>
  <si>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</si>
  <si>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</si>
  <si>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</si>
  <si>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</si>
  <si>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</si>
  <si>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</si>
  <si>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</si>
  <si>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魅力(P17)</t>
    <phoneticPr fontId="29" type="noConversion"/>
  </si>
  <si>
    <t>神经质或情绪不稳定(F9)</t>
    <phoneticPr fontId="29" type="noConversion"/>
  </si>
  <si>
    <t>BMin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</si>
  <si>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</si>
  <si>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</si>
  <si>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</si>
  <si>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</si>
  <si>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</si>
  <si>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</si>
  <si>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</si>
  <si>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</si>
  <si>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</si>
  <si>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[0.399727]</t>
  </si>
  <si>
    <t>1 [0.806469]</t>
  </si>
  <si>
    <t>1 [1.213049]</t>
  </si>
  <si>
    <t>1 [1.617118]</t>
  </si>
  <si>
    <t>1 [2.028680]</t>
  </si>
  <si>
    <t>1 [2.432484]</t>
  </si>
  <si>
    <t>1 [2.838369]</t>
  </si>
  <si>
    <t>1 [3.243664]</t>
  </si>
  <si>
    <t>1 [3.658769]</t>
  </si>
  <si>
    <t>1 [4.057477]</t>
  </si>
  <si>
    <t>1 [4.467156]</t>
  </si>
  <si>
    <t>1 [4.868956]</t>
  </si>
  <si>
    <t>1 [5.279484]</t>
  </si>
  <si>
    <t>1 [5.683892]</t>
  </si>
  <si>
    <t>1 [6.090673]</t>
  </si>
  <si>
    <t>1 [6.495777]</t>
  </si>
  <si>
    <t>1 [6.899516]</t>
  </si>
  <si>
    <t>1 [7.307929]</t>
  </si>
  <si>
    <t>1 [7.714491]</t>
  </si>
  <si>
    <t>1 [8.118736]</t>
  </si>
  <si>
    <t>1 [8.526570]</t>
  </si>
  <si>
    <t>1 [8.932684]</t>
  </si>
  <si>
    <t>1 [9.339298]</t>
  </si>
  <si>
    <t>1 [9.746245]</t>
  </si>
  <si>
    <t>1 [10.153272]</t>
  </si>
  <si>
    <t>1 [10.560247]</t>
  </si>
  <si>
    <t>1 [10.964281]</t>
  </si>
  <si>
    <t>1 [11.368850]</t>
  </si>
  <si>
    <t>1 [11.778060]</t>
  </si>
  <si>
    <t>1 [12.184762]</t>
  </si>
  <si>
    <t>1 [12.593353]</t>
  </si>
  <si>
    <t>1 [12.997291]</t>
  </si>
  <si>
    <t>1 [13.400149]</t>
  </si>
  <si>
    <t>1 [13.808382]</t>
  </si>
  <si>
    <t>1 [14.215984]</t>
  </si>
  <si>
    <t>1 [14.623193]</t>
  </si>
  <si>
    <t>1 [15.029195]</t>
  </si>
  <si>
    <t>1 [15.431442]</t>
  </si>
  <si>
    <t>1 [15.838268]</t>
  </si>
  <si>
    <t>1 [16.247096]</t>
  </si>
  <si>
    <t>1 [16.651194]</t>
  </si>
  <si>
    <t>1 [17.057572]</t>
  </si>
  <si>
    <t>1 [17.464380]</t>
  </si>
  <si>
    <t>1 [17.869341]</t>
  </si>
  <si>
    <t>1 [18.276607]</t>
  </si>
  <si>
    <t>1 [18.684688]</t>
  </si>
  <si>
    <t>1 [19.089908]</t>
  </si>
  <si>
    <t>1 [19.493636]</t>
  </si>
  <si>
    <t>1 [19.901575]</t>
  </si>
  <si>
    <t>1 [20.308212]</t>
  </si>
  <si>
    <t>1 [20.715671]</t>
  </si>
  <si>
    <t>1 [21.119241]</t>
  </si>
  <si>
    <t>1 [21.524925]</t>
  </si>
  <si>
    <t>1 [21.931530]</t>
  </si>
  <si>
    <t>1 [22.339738]</t>
  </si>
  <si>
    <t>1 [22.745388]</t>
  </si>
  <si>
    <t>1 [23.151158]</t>
  </si>
  <si>
    <t>1 [23.555466]</t>
  </si>
  <si>
    <t>1 [23.964791]</t>
  </si>
  <si>
    <t>1 [24.370761]</t>
  </si>
  <si>
    <t>1 [24.779666]</t>
  </si>
  <si>
    <t>1 [25.185823]</t>
  </si>
  <si>
    <t>1 [25.587569]</t>
  </si>
  <si>
    <t>1 [25.997831]</t>
  </si>
  <si>
    <t>1 [26.402108]</t>
  </si>
  <si>
    <t>1 [26.808387]</t>
  </si>
  <si>
    <t>1 [27.214742]</t>
  </si>
  <si>
    <t>1 [27.622350]</t>
  </si>
  <si>
    <t>1 [28.029112]</t>
  </si>
  <si>
    <t>1 [28.432944]</t>
  </si>
  <si>
    <t>1 [28.837718]</t>
  </si>
  <si>
    <t>1 [29.243790]</t>
  </si>
  <si>
    <t>1 [29.650667]</t>
  </si>
  <si>
    <t>1 [30.057574]</t>
  </si>
  <si>
    <t>2 [30.649512]</t>
  </si>
  <si>
    <t>2 [31.027045]</t>
  </si>
  <si>
    <t>2 [31.399911]</t>
  </si>
  <si>
    <t>2 [31.777446]</t>
  </si>
  <si>
    <t>2 [32.153905]</t>
  </si>
  <si>
    <t>2 [32.559817]</t>
  </si>
  <si>
    <t>2 [32.963719]</t>
  </si>
  <si>
    <t>2 [33.369239]</t>
  </si>
  <si>
    <t>2 [33.773731]</t>
  </si>
  <si>
    <t>2 [34.185900]</t>
  </si>
  <si>
    <t>2 [34.593073]</t>
  </si>
  <si>
    <t>2 [34.993764]</t>
  </si>
  <si>
    <t>2 [35.401495]</t>
  </si>
  <si>
    <t>2 [35.808099]</t>
  </si>
  <si>
    <t>2 [36.217327]</t>
  </si>
  <si>
    <t>2 [36.620656]</t>
  </si>
  <si>
    <t>2 [37.027477]</t>
  </si>
  <si>
    <t>2 [37.431155]</t>
  </si>
  <si>
    <t>2 [37.838919]</t>
  </si>
  <si>
    <t>2 [38.247397]</t>
  </si>
  <si>
    <t>2 [38.650917]</t>
  </si>
  <si>
    <t>2 [39.060710]</t>
  </si>
  <si>
    <t>2 [39.462591]</t>
  </si>
  <si>
    <t>2 [39.872141]</t>
  </si>
  <si>
    <t>2 [40.277594]</t>
  </si>
  <si>
    <t>2 [40.683722]</t>
  </si>
  <si>
    <t>2 [41.087856]</t>
  </si>
  <si>
    <t>2 [41.493768]</t>
  </si>
  <si>
    <t>2 [41.900900]</t>
  </si>
  <si>
    <t>2 [42.311605]</t>
  </si>
  <si>
    <t>2 [42.714769]</t>
  </si>
  <si>
    <t>2 [43.121506]</t>
  </si>
  <si>
    <t>2 [43.524779]</t>
  </si>
  <si>
    <t>2 [43.929478]</t>
  </si>
  <si>
    <t>2 [44.338640]</t>
  </si>
  <si>
    <t>2 [44.747078]</t>
  </si>
  <si>
    <t>2 [45.153260]</t>
  </si>
  <si>
    <t>2 [45.558904]</t>
  </si>
  <si>
    <t>2 [45.967607]</t>
  </si>
  <si>
    <t>2 [46.371687]</t>
  </si>
  <si>
    <t>2 [46.777946]</t>
  </si>
  <si>
    <t>2 [47.183394]</t>
  </si>
  <si>
    <t>2 [47.585911]</t>
  </si>
  <si>
    <t>2 [47.998664]</t>
  </si>
  <si>
    <t>2 [48.404027]</t>
  </si>
  <si>
    <t>2 [48.810287]</t>
  </si>
  <si>
    <t>2 [49.215935]</t>
  </si>
  <si>
    <t>2 [49.620661]</t>
  </si>
  <si>
    <t>2 [50.025745]</t>
  </si>
  <si>
    <t>2 [50.431282]</t>
  </si>
  <si>
    <t>2 [50.837968]</t>
  </si>
  <si>
    <t>2 [51.246747]</t>
  </si>
  <si>
    <t>2 [51.655337]</t>
  </si>
  <si>
    <t>2 [52.060555]</t>
  </si>
  <si>
    <t>2 [52.464280]</t>
  </si>
  <si>
    <t>2 [52.871426]</t>
  </si>
  <si>
    <t>2 [53.276838]</t>
  </si>
  <si>
    <t>2 [53.685028]</t>
  </si>
  <si>
    <t>2 [54.090721]</t>
  </si>
  <si>
    <t>2 [54.495852]</t>
  </si>
  <si>
    <t>2 [54.900590]</t>
  </si>
  <si>
    <t>2 [55.306158]</t>
  </si>
  <si>
    <t>2 [55.714296]</t>
  </si>
  <si>
    <t>2 [56.120000]</t>
  </si>
  <si>
    <t>2 [56.527781]</t>
  </si>
  <si>
    <t>2 [56.935494]</t>
  </si>
  <si>
    <t>2 [57.339885]</t>
  </si>
  <si>
    <t>2 [57.745429]</t>
  </si>
  <si>
    <t>2 [58.158672]</t>
  </si>
  <si>
    <t>2 [58.566417]</t>
  </si>
  <si>
    <t>2 [58.970273]</t>
  </si>
  <si>
    <t>2 [59.374789]</t>
  </si>
  <si>
    <t>2 [59.776970]</t>
  </si>
  <si>
    <t>2 [60.187462]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</si>
  <si>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</si>
  <si>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</si>
  <si>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</si>
  <si>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</si>
  <si>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</si>
  <si>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</si>
  <si>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</si>
  <si>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</si>
  <si>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</si>
  <si>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</si>
  <si>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</si>
  <si>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</si>
  <si>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刘国凯</t>
    <phoneticPr fontId="1" type="noConversion"/>
  </si>
  <si>
    <t>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</si>
</sst>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48.066200000000002</c:v>
                </c:pt>
                <c:pt idx="1">
                  <c:v>55.668700000000001</c:v>
                </c:pt>
                <c:pt idx="2">
                  <c:v>29.853100000000001</c:v>
                </c:pt>
                <c:pt idx="3">
                  <c:v>45.231000000000002</c:v>
                </c:pt>
                <c:pt idx="4">
                  <c:v>38.543799999999997</c:v>
                </c:pt>
                <c:pt idx="5">
                  <c:v>44.443800000000003</c:v>
                </c:pt>
                <c:pt idx="6">
                  <c:v>19.932200000000002</c:v>
                </c:pt>
                <c:pt idx="7">
                  <c:v>41.997500000000002</c:v>
                </c:pt>
                <c:pt idx="8">
                  <c:v>19.491299999999999</c:v>
                </c:pt>
                <c:pt idx="9">
                  <c:v>29.364999999999998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0.34385497269063936</c:v>
                </c:pt>
                <c:pt idx="1">
                  <c:v>0.4242958043074736</c:v>
                </c:pt>
                <c:pt idx="2">
                  <c:v>0.23184922300188704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19178</c:v>
                </c:pt>
                <c:pt idx="7">
                  <c:v>0</c:v>
                </c:pt>
                <c:pt idx="8">
                  <c:v>23860</c:v>
                </c:pt>
                <c:pt idx="9">
                  <c:v>0</c:v>
                </c:pt>
                <c:pt idx="10">
                  <c:v>0</c:v>
                </c:pt>
                <c:pt idx="11">
                  <c:v>34563</c:v>
                </c:pt>
                <c:pt idx="12">
                  <c:v>0</c:v>
                </c:pt>
                <c:pt idx="13">
                  <c:v>46047</c:v>
                </c:pt>
                <c:pt idx="14">
                  <c:v>0</c:v>
                </c:pt>
                <c:pt idx="15">
                  <c:v>0</c:v>
                </c:pt>
                <c:pt idx="16">
                  <c:v>56358</c:v>
                </c:pt>
                <c:pt idx="17">
                  <c:v>0</c:v>
                </c:pt>
                <c:pt idx="18">
                  <c:v>0</c:v>
                </c:pt>
                <c:pt idx="19">
                  <c:v>61734</c:v>
                </c:pt>
                <c:pt idx="20">
                  <c:v>0</c:v>
                </c:pt>
                <c:pt idx="21">
                  <c:v>73447</c:v>
                </c:pt>
                <c:pt idx="22">
                  <c:v>0</c:v>
                </c:pt>
                <c:pt idx="23">
                  <c:v>0</c:v>
                </c:pt>
                <c:pt idx="24">
                  <c:v>81620</c:v>
                </c:pt>
                <c:pt idx="25">
                  <c:v>0</c:v>
                </c:pt>
                <c:pt idx="26">
                  <c:v>86528</c:v>
                </c:pt>
                <c:pt idx="27">
                  <c:v>0</c:v>
                </c:pt>
                <c:pt idx="28">
                  <c:v>0</c:v>
                </c:pt>
                <c:pt idx="29">
                  <c:v>86637</c:v>
                </c:pt>
                <c:pt idx="30">
                  <c:v>0</c:v>
                </c:pt>
                <c:pt idx="31">
                  <c:v>111224</c:v>
                </c:pt>
                <c:pt idx="32">
                  <c:v>0</c:v>
                </c:pt>
                <c:pt idx="33">
                  <c:v>0</c:v>
                </c:pt>
                <c:pt idx="34">
                  <c:v>105927</c:v>
                </c:pt>
                <c:pt idx="35">
                  <c:v>0</c:v>
                </c:pt>
                <c:pt idx="36">
                  <c:v>0</c:v>
                </c:pt>
                <c:pt idx="37">
                  <c:v>122877</c:v>
                </c:pt>
                <c:pt idx="38">
                  <c:v>0</c:v>
                </c:pt>
                <c:pt idx="39">
                  <c:v>115423</c:v>
                </c:pt>
                <c:pt idx="40">
                  <c:v>0</c:v>
                </c:pt>
                <c:pt idx="41">
                  <c:v>0</c:v>
                </c:pt>
                <c:pt idx="42">
                  <c:v>117586</c:v>
                </c:pt>
                <c:pt idx="43">
                  <c:v>0</c:v>
                </c:pt>
                <c:pt idx="44">
                  <c:v>136086</c:v>
                </c:pt>
                <c:pt idx="45">
                  <c:v>0</c:v>
                </c:pt>
                <c:pt idx="46">
                  <c:v>0</c:v>
                </c:pt>
                <c:pt idx="47">
                  <c:v>137377</c:v>
                </c:pt>
                <c:pt idx="48">
                  <c:v>0</c:v>
                </c:pt>
                <c:pt idx="49">
                  <c:v>137514</c:v>
                </c:pt>
                <c:pt idx="50">
                  <c:v>0</c:v>
                </c:pt>
                <c:pt idx="51">
                  <c:v>0</c:v>
                </c:pt>
                <c:pt idx="52">
                  <c:v>140274</c:v>
                </c:pt>
                <c:pt idx="53">
                  <c:v>0</c:v>
                </c:pt>
                <c:pt idx="54">
                  <c:v>0</c:v>
                </c:pt>
                <c:pt idx="55">
                  <c:v>139907</c:v>
                </c:pt>
                <c:pt idx="56">
                  <c:v>0</c:v>
                </c:pt>
                <c:pt idx="57">
                  <c:v>143757</c:v>
                </c:pt>
                <c:pt idx="58">
                  <c:v>0</c:v>
                </c:pt>
                <c:pt idx="59">
                  <c:v>0</c:v>
                </c:pt>
                <c:pt idx="60">
                  <c:v>136224</c:v>
                </c:pt>
                <c:pt idx="61">
                  <c:v>0</c:v>
                </c:pt>
                <c:pt idx="62">
                  <c:v>127185</c:v>
                </c:pt>
                <c:pt idx="63">
                  <c:v>0</c:v>
                </c:pt>
                <c:pt idx="64">
                  <c:v>0</c:v>
                </c:pt>
                <c:pt idx="65">
                  <c:v>111591</c:v>
                </c:pt>
                <c:pt idx="66">
                  <c:v>0</c:v>
                </c:pt>
                <c:pt idx="67">
                  <c:v>96379</c:v>
                </c:pt>
                <c:pt idx="68">
                  <c:v>0</c:v>
                </c:pt>
                <c:pt idx="69">
                  <c:v>0</c:v>
                </c:pt>
                <c:pt idx="70">
                  <c:v>86466</c:v>
                </c:pt>
                <c:pt idx="71">
                  <c:v>0</c:v>
                </c:pt>
                <c:pt idx="72">
                  <c:v>0</c:v>
                </c:pt>
                <c:pt idx="73">
                  <c:v>81746</c:v>
                </c:pt>
                <c:pt idx="74">
                  <c:v>0</c:v>
                </c:pt>
                <c:pt idx="75">
                  <c:v>75624</c:v>
                </c:pt>
                <c:pt idx="76">
                  <c:v>0</c:v>
                </c:pt>
                <c:pt idx="77">
                  <c:v>0</c:v>
                </c:pt>
                <c:pt idx="78">
                  <c:v>69592</c:v>
                </c:pt>
                <c:pt idx="79">
                  <c:v>0</c:v>
                </c:pt>
                <c:pt idx="80">
                  <c:v>67767</c:v>
                </c:pt>
                <c:pt idx="81">
                  <c:v>0</c:v>
                </c:pt>
                <c:pt idx="82">
                  <c:v>0</c:v>
                </c:pt>
                <c:pt idx="83">
                  <c:v>61022</c:v>
                </c:pt>
                <c:pt idx="84">
                  <c:v>0</c:v>
                </c:pt>
                <c:pt idx="85">
                  <c:v>0</c:v>
                </c:pt>
                <c:pt idx="86">
                  <c:v>56231</c:v>
                </c:pt>
                <c:pt idx="87">
                  <c:v>0</c:v>
                </c:pt>
                <c:pt idx="88">
                  <c:v>56390</c:v>
                </c:pt>
                <c:pt idx="89">
                  <c:v>0</c:v>
                </c:pt>
                <c:pt idx="90">
                  <c:v>0</c:v>
                </c:pt>
                <c:pt idx="91">
                  <c:v>55237</c:v>
                </c:pt>
                <c:pt idx="92">
                  <c:v>0</c:v>
                </c:pt>
                <c:pt idx="93">
                  <c:v>56176</c:v>
                </c:pt>
                <c:pt idx="94">
                  <c:v>0</c:v>
                </c:pt>
                <c:pt idx="95">
                  <c:v>0</c:v>
                </c:pt>
                <c:pt idx="96">
                  <c:v>53912</c:v>
                </c:pt>
                <c:pt idx="97">
                  <c:v>0</c:v>
                </c:pt>
                <c:pt idx="98">
                  <c:v>62500</c:v>
                </c:pt>
                <c:pt idx="99">
                  <c:v>0</c:v>
                </c:pt>
                <c:pt idx="100">
                  <c:v>0</c:v>
                </c:pt>
                <c:pt idx="101">
                  <c:v>63873</c:v>
                </c:pt>
                <c:pt idx="102">
                  <c:v>0</c:v>
                </c:pt>
                <c:pt idx="103">
                  <c:v>0</c:v>
                </c:pt>
                <c:pt idx="104">
                  <c:v>70361</c:v>
                </c:pt>
                <c:pt idx="105">
                  <c:v>0</c:v>
                </c:pt>
                <c:pt idx="106">
                  <c:v>69497</c:v>
                </c:pt>
                <c:pt idx="107">
                  <c:v>0</c:v>
                </c:pt>
                <c:pt idx="108">
                  <c:v>0</c:v>
                </c:pt>
                <c:pt idx="109">
                  <c:v>72104</c:v>
                </c:pt>
                <c:pt idx="110">
                  <c:v>0</c:v>
                </c:pt>
                <c:pt idx="111">
                  <c:v>82208</c:v>
                </c:pt>
                <c:pt idx="112">
                  <c:v>0</c:v>
                </c:pt>
                <c:pt idx="113">
                  <c:v>0</c:v>
                </c:pt>
                <c:pt idx="114">
                  <c:v>84524</c:v>
                </c:pt>
                <c:pt idx="115">
                  <c:v>0</c:v>
                </c:pt>
                <c:pt idx="116">
                  <c:v>87200</c:v>
                </c:pt>
                <c:pt idx="117">
                  <c:v>0</c:v>
                </c:pt>
                <c:pt idx="118">
                  <c:v>0</c:v>
                </c:pt>
                <c:pt idx="119">
                  <c:v>93593</c:v>
                </c:pt>
                <c:pt idx="120">
                  <c:v>0</c:v>
                </c:pt>
                <c:pt idx="121">
                  <c:v>0</c:v>
                </c:pt>
                <c:pt idx="122">
                  <c:v>99027</c:v>
                </c:pt>
                <c:pt idx="123">
                  <c:v>0</c:v>
                </c:pt>
                <c:pt idx="124">
                  <c:v>98267</c:v>
                </c:pt>
                <c:pt idx="125">
                  <c:v>0</c:v>
                </c:pt>
                <c:pt idx="126">
                  <c:v>0</c:v>
                </c:pt>
                <c:pt idx="127">
                  <c:v>103176</c:v>
                </c:pt>
                <c:pt idx="128">
                  <c:v>0</c:v>
                </c:pt>
                <c:pt idx="129">
                  <c:v>102209</c:v>
                </c:pt>
                <c:pt idx="130">
                  <c:v>0</c:v>
                </c:pt>
                <c:pt idx="131">
                  <c:v>0</c:v>
                </c:pt>
                <c:pt idx="132">
                  <c:v>94799</c:v>
                </c:pt>
                <c:pt idx="133">
                  <c:v>0</c:v>
                </c:pt>
                <c:pt idx="134">
                  <c:v>87022</c:v>
                </c:pt>
                <c:pt idx="135">
                  <c:v>0</c:v>
                </c:pt>
                <c:pt idx="136">
                  <c:v>0</c:v>
                </c:pt>
                <c:pt idx="137">
                  <c:v>93110</c:v>
                </c:pt>
                <c:pt idx="138">
                  <c:v>0</c:v>
                </c:pt>
                <c:pt idx="139">
                  <c:v>0</c:v>
                </c:pt>
                <c:pt idx="140">
                  <c:v>96450</c:v>
                </c:pt>
                <c:pt idx="141">
                  <c:v>0</c:v>
                </c:pt>
                <c:pt idx="142">
                  <c:v>90301</c:v>
                </c:pt>
                <c:pt idx="143">
                  <c:v>0</c:v>
                </c:pt>
                <c:pt idx="144">
                  <c:v>0</c:v>
                </c:pt>
                <c:pt idx="145">
                  <c:v>96821</c:v>
                </c:pt>
                <c:pt idx="146">
                  <c:v>0</c:v>
                </c:pt>
                <c:pt idx="147">
                  <c:v>95552</c:v>
                </c:pt>
                <c:pt idx="148">
                  <c:v>0</c:v>
                </c:pt>
                <c:pt idx="149">
                  <c:v>0</c:v>
                </c:pt>
                <c:pt idx="150">
                  <c:v>95323</c:v>
                </c:pt>
                <c:pt idx="151">
                  <c:v>0</c:v>
                </c:pt>
                <c:pt idx="152">
                  <c:v>107209</c:v>
                </c:pt>
                <c:pt idx="153">
                  <c:v>0</c:v>
                </c:pt>
                <c:pt idx="154">
                  <c:v>0</c:v>
                </c:pt>
                <c:pt idx="155">
                  <c:v>102442</c:v>
                </c:pt>
                <c:pt idx="156">
                  <c:v>0</c:v>
                </c:pt>
                <c:pt idx="157">
                  <c:v>0</c:v>
                </c:pt>
                <c:pt idx="158">
                  <c:v>94051</c:v>
                </c:pt>
                <c:pt idx="159">
                  <c:v>0</c:v>
                </c:pt>
                <c:pt idx="160">
                  <c:v>89536</c:v>
                </c:pt>
                <c:pt idx="161">
                  <c:v>0</c:v>
                </c:pt>
                <c:pt idx="162">
                  <c:v>0</c:v>
                </c:pt>
                <c:pt idx="163">
                  <c:v>86672</c:v>
                </c:pt>
                <c:pt idx="164">
                  <c:v>0</c:v>
                </c:pt>
                <c:pt idx="165">
                  <c:v>70203</c:v>
                </c:pt>
                <c:pt idx="166">
                  <c:v>0</c:v>
                </c:pt>
                <c:pt idx="167">
                  <c:v>0</c:v>
                </c:pt>
                <c:pt idx="168">
                  <c:v>48608</c:v>
                </c:pt>
                <c:pt idx="169">
                  <c:v>0</c:v>
                </c:pt>
                <c:pt idx="170">
                  <c:v>0</c:v>
                </c:pt>
                <c:pt idx="171">
                  <c:v>35146</c:v>
                </c:pt>
                <c:pt idx="172">
                  <c:v>0</c:v>
                </c:pt>
                <c:pt idx="173">
                  <c:v>26695</c:v>
                </c:pt>
                <c:pt idx="174">
                  <c:v>0</c:v>
                </c:pt>
                <c:pt idx="175">
                  <c:v>0</c:v>
                </c:pt>
                <c:pt idx="176">
                  <c:v>14077</c:v>
                </c:pt>
                <c:pt idx="177">
                  <c:v>0</c:v>
                </c:pt>
                <c:pt idx="178">
                  <c:v>8816</c:v>
                </c:pt>
                <c:pt idx="179">
                  <c:v>0</c:v>
                </c:pt>
                <c:pt idx="180">
                  <c:v>0</c:v>
                </c:pt>
                <c:pt idx="181">
                  <c:v>4135</c:v>
                </c:pt>
                <c:pt idx="182">
                  <c:v>0</c:v>
                </c:pt>
                <c:pt idx="183">
                  <c:v>2867</c:v>
                </c:pt>
                <c:pt idx="184">
                  <c:v>0</c:v>
                </c:pt>
                <c:pt idx="185">
                  <c:v>0</c:v>
                </c:pt>
                <c:pt idx="186">
                  <c:v>1758</c:v>
                </c:pt>
                <c:pt idx="187">
                  <c:v>0</c:v>
                </c:pt>
                <c:pt idx="188">
                  <c:v>0</c:v>
                </c:pt>
                <c:pt idx="189">
                  <c:v>521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  <c:pt idx="75">
                  <c:v>4.0828300000000004</c:v>
                </c:pt>
                <c:pt idx="76">
                  <c:v>4.0773099999999998</c:v>
                </c:pt>
                <c:pt idx="77">
                  <c:v>4.07308</c:v>
                </c:pt>
                <c:pt idx="78">
                  <c:v>4.0678700000000001</c:v>
                </c:pt>
                <c:pt idx="79">
                  <c:v>4.05924</c:v>
                </c:pt>
                <c:pt idx="80">
                  <c:v>4.0492900000000001</c:v>
                </c:pt>
                <c:pt idx="81">
                  <c:v>4.0412699999999999</c:v>
                </c:pt>
                <c:pt idx="82">
                  <c:v>4.0286400000000002</c:v>
                </c:pt>
                <c:pt idx="83">
                  <c:v>4.0101700000000005</c:v>
                </c:pt>
                <c:pt idx="84">
                  <c:v>3.9883899999999999</c:v>
                </c:pt>
                <c:pt idx="85">
                  <c:v>3.9656500000000001</c:v>
                </c:pt>
                <c:pt idx="86">
                  <c:v>3.9465299999999996</c:v>
                </c:pt>
                <c:pt idx="87">
                  <c:v>3.9296599999999997</c:v>
                </c:pt>
                <c:pt idx="88">
                  <c:v>3.9099200000000001</c:v>
                </c:pt>
                <c:pt idx="89">
                  <c:v>3.8956</c:v>
                </c:pt>
                <c:pt idx="90">
                  <c:v>3.8871600000000002</c:v>
                </c:pt>
                <c:pt idx="91">
                  <c:v>3.8860000000000001</c:v>
                </c:pt>
                <c:pt idx="92">
                  <c:v>3.8881199999999998</c:v>
                </c:pt>
                <c:pt idx="93">
                  <c:v>3.8915499999999996</c:v>
                </c:pt>
                <c:pt idx="94">
                  <c:v>3.8921200000000002</c:v>
                </c:pt>
                <c:pt idx="95">
                  <c:v>3.8916299999999997</c:v>
                </c:pt>
                <c:pt idx="96">
                  <c:v>3.89276</c:v>
                </c:pt>
                <c:pt idx="97">
                  <c:v>3.8955699999999998</c:v>
                </c:pt>
                <c:pt idx="98">
                  <c:v>3.90245</c:v>
                </c:pt>
                <c:pt idx="99">
                  <c:v>3.9098699999999997</c:v>
                </c:pt>
                <c:pt idx="100">
                  <c:v>3.9144699999999997</c:v>
                </c:pt>
                <c:pt idx="101">
                  <c:v>3.9238600000000003</c:v>
                </c:pt>
                <c:pt idx="102">
                  <c:v>3.9304299999999999</c:v>
                </c:pt>
                <c:pt idx="103">
                  <c:v>3.9345499999999998</c:v>
                </c:pt>
                <c:pt idx="104">
                  <c:v>3.9391799999999999</c:v>
                </c:pt>
                <c:pt idx="105">
                  <c:v>3.9425500000000002</c:v>
                </c:pt>
                <c:pt idx="106">
                  <c:v>3.9430500000000004</c:v>
                </c:pt>
                <c:pt idx="107">
                  <c:v>3.94292</c:v>
                </c:pt>
                <c:pt idx="108">
                  <c:v>3.9452100000000003</c:v>
                </c:pt>
                <c:pt idx="109">
                  <c:v>3.9473799999999999</c:v>
                </c:pt>
                <c:pt idx="110">
                  <c:v>3.9521800000000002</c:v>
                </c:pt>
                <c:pt idx="111">
                  <c:v>3.95926</c:v>
                </c:pt>
                <c:pt idx="112">
                  <c:v>3.9659200000000001</c:v>
                </c:pt>
                <c:pt idx="113">
                  <c:v>3.97254</c:v>
                </c:pt>
                <c:pt idx="114">
                  <c:v>3.9750100000000002</c:v>
                </c:pt>
                <c:pt idx="115">
                  <c:v>3.9801700000000002</c:v>
                </c:pt>
                <c:pt idx="116">
                  <c:v>3.9822999999999995</c:v>
                </c:pt>
                <c:pt idx="117">
                  <c:v>3.9766499999999998</c:v>
                </c:pt>
                <c:pt idx="118">
                  <c:v>3.9692699999999999</c:v>
                </c:pt>
                <c:pt idx="119">
                  <c:v>3.96414</c:v>
                </c:pt>
                <c:pt idx="120">
                  <c:v>3.96407</c:v>
                </c:pt>
                <c:pt idx="121">
                  <c:v>3.9675899999999995</c:v>
                </c:pt>
                <c:pt idx="122">
                  <c:v>3.9653100000000001</c:v>
                </c:pt>
                <c:pt idx="123">
                  <c:v>3.9567000000000001</c:v>
                </c:pt>
                <c:pt idx="124">
                  <c:v>3.9527000000000001</c:v>
                </c:pt>
                <c:pt idx="125">
                  <c:v>3.9500600000000001</c:v>
                </c:pt>
                <c:pt idx="126">
                  <c:v>3.9447700000000001</c:v>
                </c:pt>
                <c:pt idx="127">
                  <c:v>3.9398499999999999</c:v>
                </c:pt>
                <c:pt idx="128">
                  <c:v>3.9386999999999999</c:v>
                </c:pt>
                <c:pt idx="129">
                  <c:v>3.9371</c:v>
                </c:pt>
                <c:pt idx="130">
                  <c:v>3.9381899999999996</c:v>
                </c:pt>
                <c:pt idx="131">
                  <c:v>3.9388699999999996</c:v>
                </c:pt>
                <c:pt idx="132">
                  <c:v>3.9413300000000002</c:v>
                </c:pt>
                <c:pt idx="133">
                  <c:v>3.9430999999999998</c:v>
                </c:pt>
                <c:pt idx="134">
                  <c:v>3.9484699999999999</c:v>
                </c:pt>
                <c:pt idx="135">
                  <c:v>3.9513700000000003</c:v>
                </c:pt>
                <c:pt idx="136">
                  <c:v>3.9505800000000004</c:v>
                </c:pt>
                <c:pt idx="137">
                  <c:v>3.9516400000000003</c:v>
                </c:pt>
                <c:pt idx="138">
                  <c:v>3.9535900000000002</c:v>
                </c:pt>
                <c:pt idx="139">
                  <c:v>3.9560499999999998</c:v>
                </c:pt>
                <c:pt idx="140">
                  <c:v>3.9500600000000001</c:v>
                </c:pt>
                <c:pt idx="141">
                  <c:v>3.9356499999999999</c:v>
                </c:pt>
                <c:pt idx="142">
                  <c:v>3.9290099999999999</c:v>
                </c:pt>
                <c:pt idx="143">
                  <c:v>3.9258300000000004</c:v>
                </c:pt>
                <c:pt idx="144">
                  <c:v>3.9306000000000001</c:v>
                </c:pt>
                <c:pt idx="145">
                  <c:v>3.9250499999999997</c:v>
                </c:pt>
                <c:pt idx="146">
                  <c:v>3.9018000000000002</c:v>
                </c:pt>
                <c:pt idx="147">
                  <c:v>3.8913399999999996</c:v>
                </c:pt>
                <c:pt idx="148">
                  <c:v>3.9384599999999996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  <c:pt idx="75">
                  <c:v>8.3147400000000005</c:v>
                </c:pt>
                <c:pt idx="76">
                  <c:v>8.3136299999999999</c:v>
                </c:pt>
                <c:pt idx="77">
                  <c:v>8.2735000000000003</c:v>
                </c:pt>
                <c:pt idx="78">
                  <c:v>8.2365900000000014</c:v>
                </c:pt>
                <c:pt idx="79">
                  <c:v>8.1974199999999993</c:v>
                </c:pt>
                <c:pt idx="80">
                  <c:v>8.1843599999999999</c:v>
                </c:pt>
                <c:pt idx="81">
                  <c:v>8.1579099999999993</c:v>
                </c:pt>
                <c:pt idx="82">
                  <c:v>8.2025299999999994</c:v>
                </c:pt>
                <c:pt idx="83">
                  <c:v>8.2988400000000002</c:v>
                </c:pt>
                <c:pt idx="84">
                  <c:v>8.4649999999999999</c:v>
                </c:pt>
                <c:pt idx="85">
                  <c:v>8.6369299999999996</c:v>
                </c:pt>
                <c:pt idx="86">
                  <c:v>8.6610700000000005</c:v>
                </c:pt>
                <c:pt idx="87">
                  <c:v>8.6064799999999995</c:v>
                </c:pt>
                <c:pt idx="88">
                  <c:v>8.6836099999999998</c:v>
                </c:pt>
                <c:pt idx="89">
                  <c:v>8.696810000000001</c:v>
                </c:pt>
                <c:pt idx="90">
                  <c:v>8.6007899999999999</c:v>
                </c:pt>
                <c:pt idx="91">
                  <c:v>8.3816399999999991</c:v>
                </c:pt>
                <c:pt idx="92">
                  <c:v>8.0971799999999998</c:v>
                </c:pt>
                <c:pt idx="93">
                  <c:v>7.8486500000000001</c:v>
                </c:pt>
                <c:pt idx="94">
                  <c:v>7.6909400000000003</c:v>
                </c:pt>
                <c:pt idx="95">
                  <c:v>7.6610300000000002</c:v>
                </c:pt>
                <c:pt idx="96">
                  <c:v>7.6308799999999994</c:v>
                </c:pt>
                <c:pt idx="97">
                  <c:v>7.51675</c:v>
                </c:pt>
                <c:pt idx="98">
                  <c:v>7.31691</c:v>
                </c:pt>
                <c:pt idx="99">
                  <c:v>7.1548400000000001</c:v>
                </c:pt>
                <c:pt idx="100">
                  <c:v>7.0564499999999999</c:v>
                </c:pt>
                <c:pt idx="101">
                  <c:v>6.8888400000000001</c:v>
                </c:pt>
                <c:pt idx="102">
                  <c:v>6.7907800000000007</c:v>
                </c:pt>
                <c:pt idx="103">
                  <c:v>6.7591899999999994</c:v>
                </c:pt>
                <c:pt idx="104">
                  <c:v>6.7709000000000001</c:v>
                </c:pt>
                <c:pt idx="105">
                  <c:v>6.8103800000000003</c:v>
                </c:pt>
                <c:pt idx="106">
                  <c:v>6.8829199999999995</c:v>
                </c:pt>
                <c:pt idx="107">
                  <c:v>6.9155800000000003</c:v>
                </c:pt>
                <c:pt idx="108">
                  <c:v>6.9039199999999994</c:v>
                </c:pt>
                <c:pt idx="109">
                  <c:v>6.9359799999999998</c:v>
                </c:pt>
                <c:pt idx="110">
                  <c:v>7.0167400000000004</c:v>
                </c:pt>
                <c:pt idx="111">
                  <c:v>7.1145399999999999</c:v>
                </c:pt>
                <c:pt idx="112">
                  <c:v>7.2126700000000001</c:v>
                </c:pt>
                <c:pt idx="113">
                  <c:v>7.3195800000000002</c:v>
                </c:pt>
                <c:pt idx="114">
                  <c:v>7.4614700000000003</c:v>
                </c:pt>
                <c:pt idx="115">
                  <c:v>7.4928900000000009</c:v>
                </c:pt>
                <c:pt idx="116">
                  <c:v>7.5422000000000002</c:v>
                </c:pt>
                <c:pt idx="117">
                  <c:v>7.7714699999999999</c:v>
                </c:pt>
                <c:pt idx="118">
                  <c:v>8.0961599999999994</c:v>
                </c:pt>
                <c:pt idx="119">
                  <c:v>8.3730899999999995</c:v>
                </c:pt>
                <c:pt idx="120">
                  <c:v>8.4901199999999992</c:v>
                </c:pt>
                <c:pt idx="121">
                  <c:v>8.6052</c:v>
                </c:pt>
                <c:pt idx="122">
                  <c:v>8.8581699999999994</c:v>
                </c:pt>
                <c:pt idx="123">
                  <c:v>9.2106099999999991</c:v>
                </c:pt>
                <c:pt idx="124">
                  <c:v>9.3497399999999988</c:v>
                </c:pt>
                <c:pt idx="125">
                  <c:v>9.4432399999999994</c:v>
                </c:pt>
                <c:pt idx="126">
                  <c:v>9.5808599999999995</c:v>
                </c:pt>
                <c:pt idx="127">
                  <c:v>9.7454799999999988</c:v>
                </c:pt>
                <c:pt idx="128">
                  <c:v>9.8429400000000005</c:v>
                </c:pt>
                <c:pt idx="129">
                  <c:v>9.9080399999999997</c:v>
                </c:pt>
                <c:pt idx="130">
                  <c:v>9.9100900000000003</c:v>
                </c:pt>
                <c:pt idx="131">
                  <c:v>9.9310899999999993</c:v>
                </c:pt>
                <c:pt idx="132">
                  <c:v>9.9760200000000001</c:v>
                </c:pt>
                <c:pt idx="133">
                  <c:v>10.0886</c:v>
                </c:pt>
                <c:pt idx="134">
                  <c:v>10.1031</c:v>
                </c:pt>
                <c:pt idx="135">
                  <c:v>10.058200000000001</c:v>
                </c:pt>
                <c:pt idx="136">
                  <c:v>10.062799999999999</c:v>
                </c:pt>
                <c:pt idx="137">
                  <c:v>10.077</c:v>
                </c:pt>
                <c:pt idx="138">
                  <c:v>10.063600000000001</c:v>
                </c:pt>
                <c:pt idx="139">
                  <c:v>10.0898</c:v>
                </c:pt>
                <c:pt idx="140">
                  <c:v>10.3529</c:v>
                </c:pt>
                <c:pt idx="141">
                  <c:v>10.9168</c:v>
                </c:pt>
                <c:pt idx="142">
                  <c:v>11.367900000000001</c:v>
                </c:pt>
                <c:pt idx="143">
                  <c:v>11.6503</c:v>
                </c:pt>
                <c:pt idx="144">
                  <c:v>11.7148</c:v>
                </c:pt>
                <c:pt idx="145">
                  <c:v>12.2158</c:v>
                </c:pt>
                <c:pt idx="146">
                  <c:v>12.4931</c:v>
                </c:pt>
                <c:pt idx="147">
                  <c:v>11.882299999999999</c:v>
                </c:pt>
                <c:pt idx="148">
                  <c:v>8.6436600000000006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4.0927299999999995</c:v>
                </c:pt>
                <c:pt idx="1">
                  <c:v>4.0828300000000004</c:v>
                </c:pt>
                <c:pt idx="2">
                  <c:v>4.0773099999999998</c:v>
                </c:pt>
                <c:pt idx="3">
                  <c:v>4.07308</c:v>
                </c:pt>
                <c:pt idx="4">
                  <c:v>4.0678700000000001</c:v>
                </c:pt>
                <c:pt idx="5">
                  <c:v>4.05924</c:v>
                </c:pt>
                <c:pt idx="6">
                  <c:v>4.0492900000000001</c:v>
                </c:pt>
                <c:pt idx="7">
                  <c:v>4.0412699999999999</c:v>
                </c:pt>
                <c:pt idx="8">
                  <c:v>4.0286400000000002</c:v>
                </c:pt>
                <c:pt idx="9">
                  <c:v>4.0101700000000005</c:v>
                </c:pt>
                <c:pt idx="10">
                  <c:v>3.9883899999999999</c:v>
                </c:pt>
                <c:pt idx="11">
                  <c:v>3.9656500000000001</c:v>
                </c:pt>
                <c:pt idx="12">
                  <c:v>3.9465299999999996</c:v>
                </c:pt>
                <c:pt idx="13">
                  <c:v>3.9296599999999997</c:v>
                </c:pt>
                <c:pt idx="14">
                  <c:v>3.9099200000000001</c:v>
                </c:pt>
                <c:pt idx="15">
                  <c:v>3.8956</c:v>
                </c:pt>
                <c:pt idx="16">
                  <c:v>3.8871600000000002</c:v>
                </c:pt>
                <c:pt idx="17">
                  <c:v>3.8860000000000001</c:v>
                </c:pt>
                <c:pt idx="18">
                  <c:v>3.8881199999999998</c:v>
                </c:pt>
                <c:pt idx="19">
                  <c:v>3.8915499999999996</c:v>
                </c:pt>
                <c:pt idx="20">
                  <c:v>3.8921200000000002</c:v>
                </c:pt>
                <c:pt idx="21">
                  <c:v>3.8916299999999997</c:v>
                </c:pt>
                <c:pt idx="22">
                  <c:v>3.89276</c:v>
                </c:pt>
                <c:pt idx="23">
                  <c:v>3.8955699999999998</c:v>
                </c:pt>
                <c:pt idx="24">
                  <c:v>3.90245</c:v>
                </c:pt>
                <c:pt idx="25">
                  <c:v>3.9098699999999997</c:v>
                </c:pt>
                <c:pt idx="26">
                  <c:v>3.9144699999999997</c:v>
                </c:pt>
                <c:pt idx="27">
                  <c:v>3.9238600000000003</c:v>
                </c:pt>
                <c:pt idx="28">
                  <c:v>3.9304299999999999</c:v>
                </c:pt>
                <c:pt idx="29">
                  <c:v>3.9345499999999998</c:v>
                </c:pt>
                <c:pt idx="30">
                  <c:v>3.9391799999999999</c:v>
                </c:pt>
                <c:pt idx="31">
                  <c:v>3.9425500000000002</c:v>
                </c:pt>
                <c:pt idx="32">
                  <c:v>3.9430500000000004</c:v>
                </c:pt>
                <c:pt idx="33">
                  <c:v>3.94292</c:v>
                </c:pt>
                <c:pt idx="34">
                  <c:v>3.9452100000000003</c:v>
                </c:pt>
                <c:pt idx="35">
                  <c:v>3.9473799999999999</c:v>
                </c:pt>
                <c:pt idx="36">
                  <c:v>3.9521800000000002</c:v>
                </c:pt>
                <c:pt idx="37">
                  <c:v>3.95926</c:v>
                </c:pt>
                <c:pt idx="38">
                  <c:v>3.9659200000000001</c:v>
                </c:pt>
                <c:pt idx="39">
                  <c:v>3.97254</c:v>
                </c:pt>
                <c:pt idx="40">
                  <c:v>3.9750100000000002</c:v>
                </c:pt>
                <c:pt idx="41">
                  <c:v>3.9801700000000002</c:v>
                </c:pt>
                <c:pt idx="42">
                  <c:v>3.9822999999999995</c:v>
                </c:pt>
                <c:pt idx="43">
                  <c:v>3.9766499999999998</c:v>
                </c:pt>
                <c:pt idx="44">
                  <c:v>3.9692699999999999</c:v>
                </c:pt>
                <c:pt idx="45">
                  <c:v>3.96414</c:v>
                </c:pt>
                <c:pt idx="46">
                  <c:v>3.96407</c:v>
                </c:pt>
                <c:pt idx="47">
                  <c:v>3.9675899999999995</c:v>
                </c:pt>
                <c:pt idx="48">
                  <c:v>3.9653100000000001</c:v>
                </c:pt>
                <c:pt idx="49">
                  <c:v>3.9567000000000001</c:v>
                </c:pt>
                <c:pt idx="50">
                  <c:v>3.9527000000000001</c:v>
                </c:pt>
                <c:pt idx="51">
                  <c:v>3.9500600000000001</c:v>
                </c:pt>
                <c:pt idx="52">
                  <c:v>3.9447700000000001</c:v>
                </c:pt>
                <c:pt idx="53">
                  <c:v>3.9398499999999999</c:v>
                </c:pt>
                <c:pt idx="54">
                  <c:v>3.9386999999999999</c:v>
                </c:pt>
                <c:pt idx="55">
                  <c:v>3.9371</c:v>
                </c:pt>
                <c:pt idx="56">
                  <c:v>3.9381899999999996</c:v>
                </c:pt>
                <c:pt idx="57">
                  <c:v>3.9388699999999996</c:v>
                </c:pt>
                <c:pt idx="58">
                  <c:v>3.9413300000000002</c:v>
                </c:pt>
                <c:pt idx="59">
                  <c:v>3.9430999999999998</c:v>
                </c:pt>
                <c:pt idx="60">
                  <c:v>3.9484699999999999</c:v>
                </c:pt>
                <c:pt idx="61">
                  <c:v>3.9513700000000003</c:v>
                </c:pt>
                <c:pt idx="62">
                  <c:v>3.9505800000000004</c:v>
                </c:pt>
                <c:pt idx="63">
                  <c:v>3.9516400000000003</c:v>
                </c:pt>
                <c:pt idx="64">
                  <c:v>3.9535900000000002</c:v>
                </c:pt>
                <c:pt idx="65">
                  <c:v>3.9560499999999998</c:v>
                </c:pt>
                <c:pt idx="66">
                  <c:v>3.9500600000000001</c:v>
                </c:pt>
                <c:pt idx="67">
                  <c:v>3.9356499999999999</c:v>
                </c:pt>
                <c:pt idx="68">
                  <c:v>3.9290099999999999</c:v>
                </c:pt>
                <c:pt idx="69">
                  <c:v>3.9258300000000004</c:v>
                </c:pt>
                <c:pt idx="70">
                  <c:v>3.9306000000000001</c:v>
                </c:pt>
                <c:pt idx="71">
                  <c:v>3.9250499999999997</c:v>
                </c:pt>
                <c:pt idx="72">
                  <c:v>3.9018000000000002</c:v>
                </c:pt>
                <c:pt idx="73">
                  <c:v>3.8913399999999996</c:v>
                </c:pt>
                <c:pt idx="74">
                  <c:v>3.9384599999999996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8.2937200000000004</c:v>
                </c:pt>
                <c:pt idx="1">
                  <c:v>8.3147400000000005</c:v>
                </c:pt>
                <c:pt idx="2">
                  <c:v>8.3136299999999999</c:v>
                </c:pt>
                <c:pt idx="3">
                  <c:v>8.2735000000000003</c:v>
                </c:pt>
                <c:pt idx="4">
                  <c:v>8.2365900000000014</c:v>
                </c:pt>
                <c:pt idx="5">
                  <c:v>8.1974199999999993</c:v>
                </c:pt>
                <c:pt idx="6">
                  <c:v>8.1843599999999999</c:v>
                </c:pt>
                <c:pt idx="7">
                  <c:v>8.1579099999999993</c:v>
                </c:pt>
                <c:pt idx="8">
                  <c:v>8.2025299999999994</c:v>
                </c:pt>
                <c:pt idx="9">
                  <c:v>8.2988400000000002</c:v>
                </c:pt>
                <c:pt idx="10">
                  <c:v>8.4649999999999999</c:v>
                </c:pt>
                <c:pt idx="11">
                  <c:v>8.6369299999999996</c:v>
                </c:pt>
                <c:pt idx="12">
                  <c:v>8.6610700000000005</c:v>
                </c:pt>
                <c:pt idx="13">
                  <c:v>8.6064799999999995</c:v>
                </c:pt>
                <c:pt idx="14">
                  <c:v>8.6836099999999998</c:v>
                </c:pt>
                <c:pt idx="15">
                  <c:v>8.696810000000001</c:v>
                </c:pt>
                <c:pt idx="16">
                  <c:v>8.6007899999999999</c:v>
                </c:pt>
                <c:pt idx="17">
                  <c:v>8.3816399999999991</c:v>
                </c:pt>
                <c:pt idx="18">
                  <c:v>8.0971799999999998</c:v>
                </c:pt>
                <c:pt idx="19">
                  <c:v>7.8486500000000001</c:v>
                </c:pt>
                <c:pt idx="20">
                  <c:v>7.6909400000000003</c:v>
                </c:pt>
                <c:pt idx="21">
                  <c:v>7.6610300000000002</c:v>
                </c:pt>
                <c:pt idx="22">
                  <c:v>7.6308799999999994</c:v>
                </c:pt>
                <c:pt idx="23">
                  <c:v>7.51675</c:v>
                </c:pt>
                <c:pt idx="24">
                  <c:v>7.31691</c:v>
                </c:pt>
                <c:pt idx="25">
                  <c:v>7.1548400000000001</c:v>
                </c:pt>
                <c:pt idx="26">
                  <c:v>7.0564499999999999</c:v>
                </c:pt>
                <c:pt idx="27">
                  <c:v>6.8888400000000001</c:v>
                </c:pt>
                <c:pt idx="28">
                  <c:v>6.7907800000000007</c:v>
                </c:pt>
                <c:pt idx="29">
                  <c:v>6.7591899999999994</c:v>
                </c:pt>
                <c:pt idx="30">
                  <c:v>6.7709000000000001</c:v>
                </c:pt>
                <c:pt idx="31">
                  <c:v>6.8103800000000003</c:v>
                </c:pt>
                <c:pt idx="32">
                  <c:v>6.8829199999999995</c:v>
                </c:pt>
                <c:pt idx="33">
                  <c:v>6.9155800000000003</c:v>
                </c:pt>
                <c:pt idx="34">
                  <c:v>6.9039199999999994</c:v>
                </c:pt>
                <c:pt idx="35">
                  <c:v>6.9359799999999998</c:v>
                </c:pt>
                <c:pt idx="36">
                  <c:v>7.0167400000000004</c:v>
                </c:pt>
                <c:pt idx="37">
                  <c:v>7.1145399999999999</c:v>
                </c:pt>
                <c:pt idx="38">
                  <c:v>7.2126700000000001</c:v>
                </c:pt>
                <c:pt idx="39">
                  <c:v>7.3195800000000002</c:v>
                </c:pt>
                <c:pt idx="40">
                  <c:v>7.4614700000000003</c:v>
                </c:pt>
                <c:pt idx="41">
                  <c:v>7.4928900000000009</c:v>
                </c:pt>
                <c:pt idx="42">
                  <c:v>7.5422000000000002</c:v>
                </c:pt>
                <c:pt idx="43">
                  <c:v>7.7714699999999999</c:v>
                </c:pt>
                <c:pt idx="44">
                  <c:v>8.0961599999999994</c:v>
                </c:pt>
                <c:pt idx="45">
                  <c:v>8.3730899999999995</c:v>
                </c:pt>
                <c:pt idx="46">
                  <c:v>8.4901199999999992</c:v>
                </c:pt>
                <c:pt idx="47">
                  <c:v>8.6052</c:v>
                </c:pt>
                <c:pt idx="48">
                  <c:v>8.8581699999999994</c:v>
                </c:pt>
                <c:pt idx="49">
                  <c:v>9.2106099999999991</c:v>
                </c:pt>
                <c:pt idx="50">
                  <c:v>9.3497399999999988</c:v>
                </c:pt>
                <c:pt idx="51">
                  <c:v>9.4432399999999994</c:v>
                </c:pt>
                <c:pt idx="52">
                  <c:v>9.5808599999999995</c:v>
                </c:pt>
                <c:pt idx="53">
                  <c:v>9.7454799999999988</c:v>
                </c:pt>
                <c:pt idx="54">
                  <c:v>9.8429400000000005</c:v>
                </c:pt>
                <c:pt idx="55">
                  <c:v>9.9080399999999997</c:v>
                </c:pt>
                <c:pt idx="56">
                  <c:v>9.9100900000000003</c:v>
                </c:pt>
                <c:pt idx="57">
                  <c:v>9.9310899999999993</c:v>
                </c:pt>
                <c:pt idx="58">
                  <c:v>9.9760200000000001</c:v>
                </c:pt>
                <c:pt idx="59">
                  <c:v>10.0886</c:v>
                </c:pt>
                <c:pt idx="60">
                  <c:v>10.1031</c:v>
                </c:pt>
                <c:pt idx="61">
                  <c:v>10.058200000000001</c:v>
                </c:pt>
                <c:pt idx="62">
                  <c:v>10.062799999999999</c:v>
                </c:pt>
                <c:pt idx="63">
                  <c:v>10.077</c:v>
                </c:pt>
                <c:pt idx="64">
                  <c:v>10.063600000000001</c:v>
                </c:pt>
                <c:pt idx="65">
                  <c:v>10.0898</c:v>
                </c:pt>
                <c:pt idx="66">
                  <c:v>10.3529</c:v>
                </c:pt>
                <c:pt idx="67">
                  <c:v>10.9168</c:v>
                </c:pt>
                <c:pt idx="68">
                  <c:v>11.367900000000001</c:v>
                </c:pt>
                <c:pt idx="69">
                  <c:v>11.6503</c:v>
                </c:pt>
                <c:pt idx="70">
                  <c:v>11.7148</c:v>
                </c:pt>
                <c:pt idx="71">
                  <c:v>12.2158</c:v>
                </c:pt>
                <c:pt idx="72">
                  <c:v>12.4931</c:v>
                </c:pt>
                <c:pt idx="73">
                  <c:v>11.882299999999999</c:v>
                </c:pt>
                <c:pt idx="74">
                  <c:v>8.6436600000000006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2.9095047297297305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30.516354189189183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3.9539977027027002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8.6787445945945958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3.9539977027027002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8.6787445945945958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0.36075479841352276</c:v>
                </c:pt>
                <c:pt idx="1">
                  <c:v>0.25545748647112654</c:v>
                </c:pt>
                <c:pt idx="2">
                  <c:v>0.3837877151153507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  <c:pt idx="75">
                  <c:v>30.6495</c:v>
                </c:pt>
                <c:pt idx="76">
                  <c:v>31.027000000000001</c:v>
                </c:pt>
                <c:pt idx="77">
                  <c:v>31.399899999999999</c:v>
                </c:pt>
                <c:pt idx="78">
                  <c:v>31.7774</c:v>
                </c:pt>
                <c:pt idx="79">
                  <c:v>32.1539</c:v>
                </c:pt>
                <c:pt idx="80">
                  <c:v>32.559800000000003</c:v>
                </c:pt>
                <c:pt idx="81">
                  <c:v>32.963700000000003</c:v>
                </c:pt>
                <c:pt idx="82">
                  <c:v>33.369199999999999</c:v>
                </c:pt>
                <c:pt idx="83">
                  <c:v>33.773699999999998</c:v>
                </c:pt>
                <c:pt idx="84">
                  <c:v>34.185899999999997</c:v>
                </c:pt>
                <c:pt idx="85">
                  <c:v>34.5931</c:v>
                </c:pt>
                <c:pt idx="86">
                  <c:v>34.9938</c:v>
                </c:pt>
                <c:pt idx="87">
                  <c:v>35.401499999999999</c:v>
                </c:pt>
                <c:pt idx="88">
                  <c:v>35.808100000000003</c:v>
                </c:pt>
                <c:pt idx="89">
                  <c:v>36.217300000000002</c:v>
                </c:pt>
                <c:pt idx="90">
                  <c:v>36.620699999999999</c:v>
                </c:pt>
                <c:pt idx="91">
                  <c:v>37.027500000000003</c:v>
                </c:pt>
                <c:pt idx="92">
                  <c:v>37.431199999999997</c:v>
                </c:pt>
                <c:pt idx="93">
                  <c:v>37.838900000000002</c:v>
                </c:pt>
                <c:pt idx="94">
                  <c:v>38.247399999999999</c:v>
                </c:pt>
                <c:pt idx="95">
                  <c:v>38.6509</c:v>
                </c:pt>
                <c:pt idx="96">
                  <c:v>39.060699999999997</c:v>
                </c:pt>
                <c:pt idx="97">
                  <c:v>39.462600000000002</c:v>
                </c:pt>
                <c:pt idx="98">
                  <c:v>39.872100000000003</c:v>
                </c:pt>
                <c:pt idx="99">
                  <c:v>40.2776</c:v>
                </c:pt>
                <c:pt idx="100">
                  <c:v>40.683700000000002</c:v>
                </c:pt>
                <c:pt idx="101">
                  <c:v>41.087899999999998</c:v>
                </c:pt>
                <c:pt idx="102">
                  <c:v>41.4938</c:v>
                </c:pt>
                <c:pt idx="103">
                  <c:v>41.9009</c:v>
                </c:pt>
                <c:pt idx="104">
                  <c:v>42.311599999999999</c:v>
                </c:pt>
                <c:pt idx="105">
                  <c:v>42.714799999999997</c:v>
                </c:pt>
                <c:pt idx="106">
                  <c:v>43.121499999999997</c:v>
                </c:pt>
                <c:pt idx="107">
                  <c:v>43.524799999999999</c:v>
                </c:pt>
                <c:pt idx="108">
                  <c:v>43.929499999999997</c:v>
                </c:pt>
                <c:pt idx="109">
                  <c:v>44.3386</c:v>
                </c:pt>
                <c:pt idx="110">
                  <c:v>44.747100000000003</c:v>
                </c:pt>
                <c:pt idx="111">
                  <c:v>45.153300000000002</c:v>
                </c:pt>
                <c:pt idx="112">
                  <c:v>45.558900000000001</c:v>
                </c:pt>
                <c:pt idx="113">
                  <c:v>45.967599999999997</c:v>
                </c:pt>
                <c:pt idx="114">
                  <c:v>46.371699999999997</c:v>
                </c:pt>
                <c:pt idx="115">
                  <c:v>46.777900000000002</c:v>
                </c:pt>
                <c:pt idx="116">
                  <c:v>47.183399999999999</c:v>
                </c:pt>
                <c:pt idx="117">
                  <c:v>47.585900000000002</c:v>
                </c:pt>
                <c:pt idx="118">
                  <c:v>47.998699999999999</c:v>
                </c:pt>
                <c:pt idx="119">
                  <c:v>48.404000000000003</c:v>
                </c:pt>
                <c:pt idx="120">
                  <c:v>48.810299999999998</c:v>
                </c:pt>
                <c:pt idx="121">
                  <c:v>49.215899999999998</c:v>
                </c:pt>
                <c:pt idx="122">
                  <c:v>49.620699999999999</c:v>
                </c:pt>
                <c:pt idx="123">
                  <c:v>50.025700000000001</c:v>
                </c:pt>
                <c:pt idx="124">
                  <c:v>50.4313</c:v>
                </c:pt>
                <c:pt idx="125">
                  <c:v>50.838000000000001</c:v>
                </c:pt>
                <c:pt idx="126">
                  <c:v>51.246699999999997</c:v>
                </c:pt>
                <c:pt idx="127">
                  <c:v>51.655299999999997</c:v>
                </c:pt>
                <c:pt idx="128">
                  <c:v>52.060600000000001</c:v>
                </c:pt>
                <c:pt idx="129">
                  <c:v>52.464300000000001</c:v>
                </c:pt>
                <c:pt idx="130">
                  <c:v>52.871400000000001</c:v>
                </c:pt>
                <c:pt idx="131">
                  <c:v>53.276800000000001</c:v>
                </c:pt>
                <c:pt idx="132">
                  <c:v>53.685000000000002</c:v>
                </c:pt>
                <c:pt idx="133">
                  <c:v>54.090699999999998</c:v>
                </c:pt>
                <c:pt idx="134">
                  <c:v>54.495899999999999</c:v>
                </c:pt>
                <c:pt idx="135">
                  <c:v>54.900599999999997</c:v>
                </c:pt>
                <c:pt idx="136">
                  <c:v>55.306199999999997</c:v>
                </c:pt>
                <c:pt idx="137">
                  <c:v>55.714300000000001</c:v>
                </c:pt>
                <c:pt idx="138">
                  <c:v>56.12</c:v>
                </c:pt>
                <c:pt idx="139">
                  <c:v>56.527799999999999</c:v>
                </c:pt>
                <c:pt idx="140">
                  <c:v>56.935499999999998</c:v>
                </c:pt>
                <c:pt idx="141">
                  <c:v>57.3399</c:v>
                </c:pt>
                <c:pt idx="142">
                  <c:v>57.745399999999997</c:v>
                </c:pt>
                <c:pt idx="143">
                  <c:v>58.158700000000003</c:v>
                </c:pt>
                <c:pt idx="144">
                  <c:v>58.566400000000002</c:v>
                </c:pt>
                <c:pt idx="145">
                  <c:v>58.970300000000002</c:v>
                </c:pt>
                <c:pt idx="146">
                  <c:v>59.3748</c:v>
                </c:pt>
                <c:pt idx="147">
                  <c:v>59.777000000000001</c:v>
                </c:pt>
                <c:pt idx="148">
                  <c:v>60.1875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  <c:pt idx="75">
                  <c:v>4.0828300000000004</c:v>
                </c:pt>
                <c:pt idx="76">
                  <c:v>4.0773099999999998</c:v>
                </c:pt>
                <c:pt idx="77">
                  <c:v>4.07308</c:v>
                </c:pt>
                <c:pt idx="78">
                  <c:v>4.0678700000000001</c:v>
                </c:pt>
                <c:pt idx="79">
                  <c:v>4.05924</c:v>
                </c:pt>
                <c:pt idx="80">
                  <c:v>4.0492900000000001</c:v>
                </c:pt>
                <c:pt idx="81">
                  <c:v>4.0412699999999999</c:v>
                </c:pt>
                <c:pt idx="82">
                  <c:v>4.0286400000000002</c:v>
                </c:pt>
                <c:pt idx="83">
                  <c:v>4.0101700000000005</c:v>
                </c:pt>
                <c:pt idx="84">
                  <c:v>3.9883899999999999</c:v>
                </c:pt>
                <c:pt idx="85">
                  <c:v>3.9656500000000001</c:v>
                </c:pt>
                <c:pt idx="86">
                  <c:v>3.9465299999999996</c:v>
                </c:pt>
                <c:pt idx="87">
                  <c:v>3.9296599999999997</c:v>
                </c:pt>
                <c:pt idx="88">
                  <c:v>3.9099200000000001</c:v>
                </c:pt>
                <c:pt idx="89">
                  <c:v>3.8956</c:v>
                </c:pt>
                <c:pt idx="90">
                  <c:v>3.8871600000000002</c:v>
                </c:pt>
                <c:pt idx="91">
                  <c:v>3.8860000000000001</c:v>
                </c:pt>
                <c:pt idx="92">
                  <c:v>3.8881199999999998</c:v>
                </c:pt>
                <c:pt idx="93">
                  <c:v>3.8915499999999996</c:v>
                </c:pt>
                <c:pt idx="94">
                  <c:v>3.8921200000000002</c:v>
                </c:pt>
                <c:pt idx="95">
                  <c:v>3.8916299999999997</c:v>
                </c:pt>
                <c:pt idx="96">
                  <c:v>3.89276</c:v>
                </c:pt>
                <c:pt idx="97">
                  <c:v>3.8955699999999998</c:v>
                </c:pt>
                <c:pt idx="98">
                  <c:v>3.90245</c:v>
                </c:pt>
                <c:pt idx="99">
                  <c:v>3.9098699999999997</c:v>
                </c:pt>
                <c:pt idx="100">
                  <c:v>3.9144699999999997</c:v>
                </c:pt>
                <c:pt idx="101">
                  <c:v>3.9238600000000003</c:v>
                </c:pt>
                <c:pt idx="102">
                  <c:v>3.9304299999999999</c:v>
                </c:pt>
                <c:pt idx="103">
                  <c:v>3.9345499999999998</c:v>
                </c:pt>
                <c:pt idx="104">
                  <c:v>3.9391799999999999</c:v>
                </c:pt>
                <c:pt idx="105">
                  <c:v>3.9425500000000002</c:v>
                </c:pt>
                <c:pt idx="106">
                  <c:v>3.9430500000000004</c:v>
                </c:pt>
                <c:pt idx="107">
                  <c:v>3.94292</c:v>
                </c:pt>
                <c:pt idx="108">
                  <c:v>3.9452100000000003</c:v>
                </c:pt>
                <c:pt idx="109">
                  <c:v>3.9473799999999999</c:v>
                </c:pt>
                <c:pt idx="110">
                  <c:v>3.9521800000000002</c:v>
                </c:pt>
                <c:pt idx="111">
                  <c:v>3.95926</c:v>
                </c:pt>
                <c:pt idx="112">
                  <c:v>3.9659200000000001</c:v>
                </c:pt>
                <c:pt idx="113">
                  <c:v>3.97254</c:v>
                </c:pt>
                <c:pt idx="114">
                  <c:v>3.9750100000000002</c:v>
                </c:pt>
                <c:pt idx="115">
                  <c:v>3.9801700000000002</c:v>
                </c:pt>
                <c:pt idx="116">
                  <c:v>3.9822999999999995</c:v>
                </c:pt>
                <c:pt idx="117">
                  <c:v>3.9766499999999998</c:v>
                </c:pt>
                <c:pt idx="118">
                  <c:v>3.9692699999999999</c:v>
                </c:pt>
                <c:pt idx="119">
                  <c:v>3.96414</c:v>
                </c:pt>
                <c:pt idx="120">
                  <c:v>3.96407</c:v>
                </c:pt>
                <c:pt idx="121">
                  <c:v>3.9675899999999995</c:v>
                </c:pt>
                <c:pt idx="122">
                  <c:v>3.9653100000000001</c:v>
                </c:pt>
                <c:pt idx="123">
                  <c:v>3.9567000000000001</c:v>
                </c:pt>
                <c:pt idx="124">
                  <c:v>3.9527000000000001</c:v>
                </c:pt>
                <c:pt idx="125">
                  <c:v>3.9500600000000001</c:v>
                </c:pt>
                <c:pt idx="126">
                  <c:v>3.9447700000000001</c:v>
                </c:pt>
                <c:pt idx="127">
                  <c:v>3.9398499999999999</c:v>
                </c:pt>
                <c:pt idx="128">
                  <c:v>3.9386999999999999</c:v>
                </c:pt>
                <c:pt idx="129">
                  <c:v>3.9371</c:v>
                </c:pt>
                <c:pt idx="130">
                  <c:v>3.9381899999999996</c:v>
                </c:pt>
                <c:pt idx="131">
                  <c:v>3.9388699999999996</c:v>
                </c:pt>
                <c:pt idx="132">
                  <c:v>3.9413300000000002</c:v>
                </c:pt>
                <c:pt idx="133">
                  <c:v>3.9430999999999998</c:v>
                </c:pt>
                <c:pt idx="134">
                  <c:v>3.9484699999999999</c:v>
                </c:pt>
                <c:pt idx="135">
                  <c:v>3.9513700000000003</c:v>
                </c:pt>
                <c:pt idx="136">
                  <c:v>3.9505800000000004</c:v>
                </c:pt>
                <c:pt idx="137">
                  <c:v>3.9516400000000003</c:v>
                </c:pt>
                <c:pt idx="138">
                  <c:v>3.9535900000000002</c:v>
                </c:pt>
                <c:pt idx="139">
                  <c:v>3.9560499999999998</c:v>
                </c:pt>
                <c:pt idx="140">
                  <c:v>3.9500600000000001</c:v>
                </c:pt>
                <c:pt idx="141">
                  <c:v>3.9356499999999999</c:v>
                </c:pt>
                <c:pt idx="142">
                  <c:v>3.9290099999999999</c:v>
                </c:pt>
                <c:pt idx="143">
                  <c:v>3.9258300000000004</c:v>
                </c:pt>
                <c:pt idx="144">
                  <c:v>3.9306000000000001</c:v>
                </c:pt>
                <c:pt idx="145">
                  <c:v>3.9250499999999997</c:v>
                </c:pt>
                <c:pt idx="146">
                  <c:v>3.9018000000000002</c:v>
                </c:pt>
                <c:pt idx="147">
                  <c:v>3.8913399999999996</c:v>
                </c:pt>
                <c:pt idx="148">
                  <c:v>3.9384599999999996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30.057600000000001</c:v>
                </c:pt>
                <c:pt idx="1">
                  <c:v>30.6495</c:v>
                </c:pt>
                <c:pt idx="2">
                  <c:v>31.027000000000001</c:v>
                </c:pt>
                <c:pt idx="3">
                  <c:v>31.399899999999999</c:v>
                </c:pt>
                <c:pt idx="4">
                  <c:v>31.7774</c:v>
                </c:pt>
                <c:pt idx="5">
                  <c:v>32.1539</c:v>
                </c:pt>
                <c:pt idx="6">
                  <c:v>32.559800000000003</c:v>
                </c:pt>
                <c:pt idx="7">
                  <c:v>32.963700000000003</c:v>
                </c:pt>
                <c:pt idx="8">
                  <c:v>33.369199999999999</c:v>
                </c:pt>
                <c:pt idx="9">
                  <c:v>33.773699999999998</c:v>
                </c:pt>
                <c:pt idx="10">
                  <c:v>34.185899999999997</c:v>
                </c:pt>
                <c:pt idx="11">
                  <c:v>34.5931</c:v>
                </c:pt>
                <c:pt idx="12">
                  <c:v>34.9938</c:v>
                </c:pt>
                <c:pt idx="13">
                  <c:v>35.401499999999999</c:v>
                </c:pt>
                <c:pt idx="14">
                  <c:v>35.808100000000003</c:v>
                </c:pt>
                <c:pt idx="15">
                  <c:v>36.217300000000002</c:v>
                </c:pt>
                <c:pt idx="16">
                  <c:v>36.620699999999999</c:v>
                </c:pt>
                <c:pt idx="17">
                  <c:v>37.027500000000003</c:v>
                </c:pt>
                <c:pt idx="18">
                  <c:v>37.431199999999997</c:v>
                </c:pt>
                <c:pt idx="19">
                  <c:v>37.838900000000002</c:v>
                </c:pt>
                <c:pt idx="20">
                  <c:v>38.247399999999999</c:v>
                </c:pt>
                <c:pt idx="21">
                  <c:v>38.6509</c:v>
                </c:pt>
                <c:pt idx="22">
                  <c:v>39.060699999999997</c:v>
                </c:pt>
                <c:pt idx="23">
                  <c:v>39.462600000000002</c:v>
                </c:pt>
                <c:pt idx="24">
                  <c:v>39.872100000000003</c:v>
                </c:pt>
                <c:pt idx="25">
                  <c:v>40.2776</c:v>
                </c:pt>
                <c:pt idx="26">
                  <c:v>40.683700000000002</c:v>
                </c:pt>
                <c:pt idx="27">
                  <c:v>41.087899999999998</c:v>
                </c:pt>
                <c:pt idx="28">
                  <c:v>41.4938</c:v>
                </c:pt>
                <c:pt idx="29">
                  <c:v>41.9009</c:v>
                </c:pt>
                <c:pt idx="30">
                  <c:v>42.311599999999999</c:v>
                </c:pt>
                <c:pt idx="31">
                  <c:v>42.714799999999997</c:v>
                </c:pt>
                <c:pt idx="32">
                  <c:v>43.121499999999997</c:v>
                </c:pt>
                <c:pt idx="33">
                  <c:v>43.524799999999999</c:v>
                </c:pt>
                <c:pt idx="34">
                  <c:v>43.929499999999997</c:v>
                </c:pt>
                <c:pt idx="35">
                  <c:v>44.3386</c:v>
                </c:pt>
                <c:pt idx="36">
                  <c:v>44.747100000000003</c:v>
                </c:pt>
                <c:pt idx="37">
                  <c:v>45.153300000000002</c:v>
                </c:pt>
                <c:pt idx="38">
                  <c:v>45.558900000000001</c:v>
                </c:pt>
                <c:pt idx="39">
                  <c:v>45.967599999999997</c:v>
                </c:pt>
                <c:pt idx="40">
                  <c:v>46.371699999999997</c:v>
                </c:pt>
                <c:pt idx="41">
                  <c:v>46.777900000000002</c:v>
                </c:pt>
                <c:pt idx="42">
                  <c:v>47.183399999999999</c:v>
                </c:pt>
                <c:pt idx="43">
                  <c:v>47.585900000000002</c:v>
                </c:pt>
                <c:pt idx="44">
                  <c:v>47.998699999999999</c:v>
                </c:pt>
                <c:pt idx="45">
                  <c:v>48.404000000000003</c:v>
                </c:pt>
                <c:pt idx="46">
                  <c:v>48.810299999999998</c:v>
                </c:pt>
                <c:pt idx="47">
                  <c:v>49.215899999999998</c:v>
                </c:pt>
                <c:pt idx="48">
                  <c:v>49.620699999999999</c:v>
                </c:pt>
                <c:pt idx="49">
                  <c:v>50.025700000000001</c:v>
                </c:pt>
                <c:pt idx="50">
                  <c:v>50.4313</c:v>
                </c:pt>
                <c:pt idx="51">
                  <c:v>50.838000000000001</c:v>
                </c:pt>
                <c:pt idx="52">
                  <c:v>51.246699999999997</c:v>
                </c:pt>
                <c:pt idx="53">
                  <c:v>51.655299999999997</c:v>
                </c:pt>
                <c:pt idx="54">
                  <c:v>52.060600000000001</c:v>
                </c:pt>
                <c:pt idx="55">
                  <c:v>52.464300000000001</c:v>
                </c:pt>
                <c:pt idx="56">
                  <c:v>52.871400000000001</c:v>
                </c:pt>
                <c:pt idx="57">
                  <c:v>53.276800000000001</c:v>
                </c:pt>
                <c:pt idx="58">
                  <c:v>53.685000000000002</c:v>
                </c:pt>
                <c:pt idx="59">
                  <c:v>54.090699999999998</c:v>
                </c:pt>
                <c:pt idx="60">
                  <c:v>54.495899999999999</c:v>
                </c:pt>
                <c:pt idx="61">
                  <c:v>54.900599999999997</c:v>
                </c:pt>
                <c:pt idx="62">
                  <c:v>55.306199999999997</c:v>
                </c:pt>
                <c:pt idx="63">
                  <c:v>55.714300000000001</c:v>
                </c:pt>
                <c:pt idx="64">
                  <c:v>56.12</c:v>
                </c:pt>
                <c:pt idx="65">
                  <c:v>56.527799999999999</c:v>
                </c:pt>
                <c:pt idx="66">
                  <c:v>56.935499999999998</c:v>
                </c:pt>
                <c:pt idx="67">
                  <c:v>57.3399</c:v>
                </c:pt>
                <c:pt idx="68">
                  <c:v>57.745399999999997</c:v>
                </c:pt>
                <c:pt idx="69">
                  <c:v>58.158700000000003</c:v>
                </c:pt>
                <c:pt idx="70">
                  <c:v>58.566400000000002</c:v>
                </c:pt>
                <c:pt idx="71">
                  <c:v>58.970300000000002</c:v>
                </c:pt>
                <c:pt idx="72">
                  <c:v>59.3748</c:v>
                </c:pt>
                <c:pt idx="73">
                  <c:v>59.777000000000001</c:v>
                </c:pt>
                <c:pt idx="74">
                  <c:v>60.1875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4.0927299999999995</c:v>
                </c:pt>
                <c:pt idx="1">
                  <c:v>4.0828300000000004</c:v>
                </c:pt>
                <c:pt idx="2">
                  <c:v>4.0773099999999998</c:v>
                </c:pt>
                <c:pt idx="3">
                  <c:v>4.07308</c:v>
                </c:pt>
                <c:pt idx="4">
                  <c:v>4.0678700000000001</c:v>
                </c:pt>
                <c:pt idx="5">
                  <c:v>4.05924</c:v>
                </c:pt>
                <c:pt idx="6">
                  <c:v>4.0492900000000001</c:v>
                </c:pt>
                <c:pt idx="7">
                  <c:v>4.0412699999999999</c:v>
                </c:pt>
                <c:pt idx="8">
                  <c:v>4.0286400000000002</c:v>
                </c:pt>
                <c:pt idx="9">
                  <c:v>4.0101700000000005</c:v>
                </c:pt>
                <c:pt idx="10">
                  <c:v>3.9883899999999999</c:v>
                </c:pt>
                <c:pt idx="11">
                  <c:v>3.9656500000000001</c:v>
                </c:pt>
                <c:pt idx="12">
                  <c:v>3.9465299999999996</c:v>
                </c:pt>
                <c:pt idx="13">
                  <c:v>3.9296599999999997</c:v>
                </c:pt>
                <c:pt idx="14">
                  <c:v>3.9099200000000001</c:v>
                </c:pt>
                <c:pt idx="15">
                  <c:v>3.8956</c:v>
                </c:pt>
                <c:pt idx="16">
                  <c:v>3.8871600000000002</c:v>
                </c:pt>
                <c:pt idx="17">
                  <c:v>3.8860000000000001</c:v>
                </c:pt>
                <c:pt idx="18">
                  <c:v>3.8881199999999998</c:v>
                </c:pt>
                <c:pt idx="19">
                  <c:v>3.8915499999999996</c:v>
                </c:pt>
                <c:pt idx="20">
                  <c:v>3.8921200000000002</c:v>
                </c:pt>
                <c:pt idx="21">
                  <c:v>3.8916299999999997</c:v>
                </c:pt>
                <c:pt idx="22">
                  <c:v>3.89276</c:v>
                </c:pt>
                <c:pt idx="23">
                  <c:v>3.8955699999999998</c:v>
                </c:pt>
                <c:pt idx="24">
                  <c:v>3.90245</c:v>
                </c:pt>
                <c:pt idx="25">
                  <c:v>3.9098699999999997</c:v>
                </c:pt>
                <c:pt idx="26">
                  <c:v>3.9144699999999997</c:v>
                </c:pt>
                <c:pt idx="27">
                  <c:v>3.9238600000000003</c:v>
                </c:pt>
                <c:pt idx="28">
                  <c:v>3.9304299999999999</c:v>
                </c:pt>
                <c:pt idx="29">
                  <c:v>3.9345499999999998</c:v>
                </c:pt>
                <c:pt idx="30">
                  <c:v>3.9391799999999999</c:v>
                </c:pt>
                <c:pt idx="31">
                  <c:v>3.9425500000000002</c:v>
                </c:pt>
                <c:pt idx="32">
                  <c:v>3.9430500000000004</c:v>
                </c:pt>
                <c:pt idx="33">
                  <c:v>3.94292</c:v>
                </c:pt>
                <c:pt idx="34">
                  <c:v>3.9452100000000003</c:v>
                </c:pt>
                <c:pt idx="35">
                  <c:v>3.9473799999999999</c:v>
                </c:pt>
                <c:pt idx="36">
                  <c:v>3.9521800000000002</c:v>
                </c:pt>
                <c:pt idx="37">
                  <c:v>3.95926</c:v>
                </c:pt>
                <c:pt idx="38">
                  <c:v>3.9659200000000001</c:v>
                </c:pt>
                <c:pt idx="39">
                  <c:v>3.97254</c:v>
                </c:pt>
                <c:pt idx="40">
                  <c:v>3.9750100000000002</c:v>
                </c:pt>
                <c:pt idx="41">
                  <c:v>3.9801700000000002</c:v>
                </c:pt>
                <c:pt idx="42">
                  <c:v>3.9822999999999995</c:v>
                </c:pt>
                <c:pt idx="43">
                  <c:v>3.9766499999999998</c:v>
                </c:pt>
                <c:pt idx="44">
                  <c:v>3.9692699999999999</c:v>
                </c:pt>
                <c:pt idx="45">
                  <c:v>3.96414</c:v>
                </c:pt>
                <c:pt idx="46">
                  <c:v>3.96407</c:v>
                </c:pt>
                <c:pt idx="47">
                  <c:v>3.9675899999999995</c:v>
                </c:pt>
                <c:pt idx="48">
                  <c:v>3.9653100000000001</c:v>
                </c:pt>
                <c:pt idx="49">
                  <c:v>3.9567000000000001</c:v>
                </c:pt>
                <c:pt idx="50">
                  <c:v>3.9527000000000001</c:v>
                </c:pt>
                <c:pt idx="51">
                  <c:v>3.9500600000000001</c:v>
                </c:pt>
                <c:pt idx="52">
                  <c:v>3.9447700000000001</c:v>
                </c:pt>
                <c:pt idx="53">
                  <c:v>3.9398499999999999</c:v>
                </c:pt>
                <c:pt idx="54">
                  <c:v>3.9386999999999999</c:v>
                </c:pt>
                <c:pt idx="55">
                  <c:v>3.9371</c:v>
                </c:pt>
                <c:pt idx="56">
                  <c:v>3.9381899999999996</c:v>
                </c:pt>
                <c:pt idx="57">
                  <c:v>3.9388699999999996</c:v>
                </c:pt>
                <c:pt idx="58">
                  <c:v>3.9413300000000002</c:v>
                </c:pt>
                <c:pt idx="59">
                  <c:v>3.9430999999999998</c:v>
                </c:pt>
                <c:pt idx="60">
                  <c:v>3.9484699999999999</c:v>
                </c:pt>
                <c:pt idx="61">
                  <c:v>3.9513700000000003</c:v>
                </c:pt>
                <c:pt idx="62">
                  <c:v>3.9505800000000004</c:v>
                </c:pt>
                <c:pt idx="63">
                  <c:v>3.9516400000000003</c:v>
                </c:pt>
                <c:pt idx="64">
                  <c:v>3.9535900000000002</c:v>
                </c:pt>
                <c:pt idx="65">
                  <c:v>3.9560499999999998</c:v>
                </c:pt>
                <c:pt idx="66">
                  <c:v>3.9500600000000001</c:v>
                </c:pt>
                <c:pt idx="67">
                  <c:v>3.9356499999999999</c:v>
                </c:pt>
                <c:pt idx="68">
                  <c:v>3.9290099999999999</c:v>
                </c:pt>
                <c:pt idx="69">
                  <c:v>3.9258300000000004</c:v>
                </c:pt>
                <c:pt idx="70">
                  <c:v>3.9306000000000001</c:v>
                </c:pt>
                <c:pt idx="71">
                  <c:v>3.9250499999999997</c:v>
                </c:pt>
                <c:pt idx="72">
                  <c:v>3.9018000000000002</c:v>
                </c:pt>
                <c:pt idx="73">
                  <c:v>3.8913399999999996</c:v>
                </c:pt>
                <c:pt idx="74">
                  <c:v>3.9384599999999996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15.046875</c:v>
                </c:pt>
                <c:pt idx="1">
                  <c:v>45.140625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2.9095047297297305</c:v>
                </c:pt>
                <c:pt idx="1">
                  <c:v>3.9539977027027002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  <c:pt idx="75">
                  <c:v>30.6495</c:v>
                </c:pt>
                <c:pt idx="76">
                  <c:v>31.027000000000001</c:v>
                </c:pt>
                <c:pt idx="77">
                  <c:v>31.399899999999999</c:v>
                </c:pt>
                <c:pt idx="78">
                  <c:v>31.7774</c:v>
                </c:pt>
                <c:pt idx="79">
                  <c:v>32.1539</c:v>
                </c:pt>
                <c:pt idx="80">
                  <c:v>32.559800000000003</c:v>
                </c:pt>
                <c:pt idx="81">
                  <c:v>32.963700000000003</c:v>
                </c:pt>
                <c:pt idx="82">
                  <c:v>33.369199999999999</c:v>
                </c:pt>
                <c:pt idx="83">
                  <c:v>33.773699999999998</c:v>
                </c:pt>
                <c:pt idx="84">
                  <c:v>34.185899999999997</c:v>
                </c:pt>
                <c:pt idx="85">
                  <c:v>34.5931</c:v>
                </c:pt>
                <c:pt idx="86">
                  <c:v>34.9938</c:v>
                </c:pt>
                <c:pt idx="87">
                  <c:v>35.401499999999999</c:v>
                </c:pt>
                <c:pt idx="88">
                  <c:v>35.808100000000003</c:v>
                </c:pt>
                <c:pt idx="89">
                  <c:v>36.217300000000002</c:v>
                </c:pt>
                <c:pt idx="90">
                  <c:v>36.620699999999999</c:v>
                </c:pt>
                <c:pt idx="91">
                  <c:v>37.027500000000003</c:v>
                </c:pt>
                <c:pt idx="92">
                  <c:v>37.431199999999997</c:v>
                </c:pt>
                <c:pt idx="93">
                  <c:v>37.838900000000002</c:v>
                </c:pt>
                <c:pt idx="94">
                  <c:v>38.247399999999999</c:v>
                </c:pt>
                <c:pt idx="95">
                  <c:v>38.6509</c:v>
                </c:pt>
                <c:pt idx="96">
                  <c:v>39.060699999999997</c:v>
                </c:pt>
                <c:pt idx="97">
                  <c:v>39.462600000000002</c:v>
                </c:pt>
                <c:pt idx="98">
                  <c:v>39.872100000000003</c:v>
                </c:pt>
                <c:pt idx="99">
                  <c:v>40.2776</c:v>
                </c:pt>
                <c:pt idx="100">
                  <c:v>40.683700000000002</c:v>
                </c:pt>
                <c:pt idx="101">
                  <c:v>41.087899999999998</c:v>
                </c:pt>
                <c:pt idx="102">
                  <c:v>41.4938</c:v>
                </c:pt>
                <c:pt idx="103">
                  <c:v>41.9009</c:v>
                </c:pt>
                <c:pt idx="104">
                  <c:v>42.311599999999999</c:v>
                </c:pt>
                <c:pt idx="105">
                  <c:v>42.714799999999997</c:v>
                </c:pt>
                <c:pt idx="106">
                  <c:v>43.121499999999997</c:v>
                </c:pt>
                <c:pt idx="107">
                  <c:v>43.524799999999999</c:v>
                </c:pt>
                <c:pt idx="108">
                  <c:v>43.929499999999997</c:v>
                </c:pt>
                <c:pt idx="109">
                  <c:v>44.3386</c:v>
                </c:pt>
                <c:pt idx="110">
                  <c:v>44.747100000000003</c:v>
                </c:pt>
                <c:pt idx="111">
                  <c:v>45.153300000000002</c:v>
                </c:pt>
                <c:pt idx="112">
                  <c:v>45.558900000000001</c:v>
                </c:pt>
                <c:pt idx="113">
                  <c:v>45.967599999999997</c:v>
                </c:pt>
                <c:pt idx="114">
                  <c:v>46.371699999999997</c:v>
                </c:pt>
                <c:pt idx="115">
                  <c:v>46.777900000000002</c:v>
                </c:pt>
                <c:pt idx="116">
                  <c:v>47.183399999999999</c:v>
                </c:pt>
                <c:pt idx="117">
                  <c:v>47.585900000000002</c:v>
                </c:pt>
                <c:pt idx="118">
                  <c:v>47.998699999999999</c:v>
                </c:pt>
                <c:pt idx="119">
                  <c:v>48.404000000000003</c:v>
                </c:pt>
                <c:pt idx="120">
                  <c:v>48.810299999999998</c:v>
                </c:pt>
                <c:pt idx="121">
                  <c:v>49.215899999999998</c:v>
                </c:pt>
                <c:pt idx="122">
                  <c:v>49.620699999999999</c:v>
                </c:pt>
                <c:pt idx="123">
                  <c:v>50.025700000000001</c:v>
                </c:pt>
                <c:pt idx="124">
                  <c:v>50.4313</c:v>
                </c:pt>
                <c:pt idx="125">
                  <c:v>50.838000000000001</c:v>
                </c:pt>
                <c:pt idx="126">
                  <c:v>51.246699999999997</c:v>
                </c:pt>
                <c:pt idx="127">
                  <c:v>51.655299999999997</c:v>
                </c:pt>
                <c:pt idx="128">
                  <c:v>52.060600000000001</c:v>
                </c:pt>
                <c:pt idx="129">
                  <c:v>52.464300000000001</c:v>
                </c:pt>
                <c:pt idx="130">
                  <c:v>52.871400000000001</c:v>
                </c:pt>
                <c:pt idx="131">
                  <c:v>53.276800000000001</c:v>
                </c:pt>
                <c:pt idx="132">
                  <c:v>53.685000000000002</c:v>
                </c:pt>
                <c:pt idx="133">
                  <c:v>54.090699999999998</c:v>
                </c:pt>
                <c:pt idx="134">
                  <c:v>54.495899999999999</c:v>
                </c:pt>
                <c:pt idx="135">
                  <c:v>54.900599999999997</c:v>
                </c:pt>
                <c:pt idx="136">
                  <c:v>55.306199999999997</c:v>
                </c:pt>
                <c:pt idx="137">
                  <c:v>55.714300000000001</c:v>
                </c:pt>
                <c:pt idx="138">
                  <c:v>56.12</c:v>
                </c:pt>
                <c:pt idx="139">
                  <c:v>56.527799999999999</c:v>
                </c:pt>
                <c:pt idx="140">
                  <c:v>56.935499999999998</c:v>
                </c:pt>
                <c:pt idx="141">
                  <c:v>57.3399</c:v>
                </c:pt>
                <c:pt idx="142">
                  <c:v>57.745399999999997</c:v>
                </c:pt>
                <c:pt idx="143">
                  <c:v>58.158700000000003</c:v>
                </c:pt>
                <c:pt idx="144">
                  <c:v>58.566400000000002</c:v>
                </c:pt>
                <c:pt idx="145">
                  <c:v>58.970300000000002</c:v>
                </c:pt>
                <c:pt idx="146">
                  <c:v>59.3748</c:v>
                </c:pt>
                <c:pt idx="147">
                  <c:v>59.777000000000001</c:v>
                </c:pt>
                <c:pt idx="148">
                  <c:v>60.1875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  <c:pt idx="75">
                  <c:v>8.3147400000000005</c:v>
                </c:pt>
                <c:pt idx="76">
                  <c:v>8.3136299999999999</c:v>
                </c:pt>
                <c:pt idx="77">
                  <c:v>8.2735000000000003</c:v>
                </c:pt>
                <c:pt idx="78">
                  <c:v>8.2365900000000014</c:v>
                </c:pt>
                <c:pt idx="79">
                  <c:v>8.1974199999999993</c:v>
                </c:pt>
                <c:pt idx="80">
                  <c:v>8.1843599999999999</c:v>
                </c:pt>
                <c:pt idx="81">
                  <c:v>8.1579099999999993</c:v>
                </c:pt>
                <c:pt idx="82">
                  <c:v>8.2025299999999994</c:v>
                </c:pt>
                <c:pt idx="83">
                  <c:v>8.2988400000000002</c:v>
                </c:pt>
                <c:pt idx="84">
                  <c:v>8.4649999999999999</c:v>
                </c:pt>
                <c:pt idx="85">
                  <c:v>8.6369299999999996</c:v>
                </c:pt>
                <c:pt idx="86">
                  <c:v>8.6610700000000005</c:v>
                </c:pt>
                <c:pt idx="87">
                  <c:v>8.6064799999999995</c:v>
                </c:pt>
                <c:pt idx="88">
                  <c:v>8.6836099999999998</c:v>
                </c:pt>
                <c:pt idx="89">
                  <c:v>8.696810000000001</c:v>
                </c:pt>
                <c:pt idx="90">
                  <c:v>8.6007899999999999</c:v>
                </c:pt>
                <c:pt idx="91">
                  <c:v>8.3816399999999991</c:v>
                </c:pt>
                <c:pt idx="92">
                  <c:v>8.0971799999999998</c:v>
                </c:pt>
                <c:pt idx="93">
                  <c:v>7.8486500000000001</c:v>
                </c:pt>
                <c:pt idx="94">
                  <c:v>7.6909400000000003</c:v>
                </c:pt>
                <c:pt idx="95">
                  <c:v>7.6610300000000002</c:v>
                </c:pt>
                <c:pt idx="96">
                  <c:v>7.6308799999999994</c:v>
                </c:pt>
                <c:pt idx="97">
                  <c:v>7.51675</c:v>
                </c:pt>
                <c:pt idx="98">
                  <c:v>7.31691</c:v>
                </c:pt>
                <c:pt idx="99">
                  <c:v>7.1548400000000001</c:v>
                </c:pt>
                <c:pt idx="100">
                  <c:v>7.0564499999999999</c:v>
                </c:pt>
                <c:pt idx="101">
                  <c:v>6.8888400000000001</c:v>
                </c:pt>
                <c:pt idx="102">
                  <c:v>6.7907800000000007</c:v>
                </c:pt>
                <c:pt idx="103">
                  <c:v>6.7591899999999994</c:v>
                </c:pt>
                <c:pt idx="104">
                  <c:v>6.7709000000000001</c:v>
                </c:pt>
                <c:pt idx="105">
                  <c:v>6.8103800000000003</c:v>
                </c:pt>
                <c:pt idx="106">
                  <c:v>6.8829199999999995</c:v>
                </c:pt>
                <c:pt idx="107">
                  <c:v>6.9155800000000003</c:v>
                </c:pt>
                <c:pt idx="108">
                  <c:v>6.9039199999999994</c:v>
                </c:pt>
                <c:pt idx="109">
                  <c:v>6.9359799999999998</c:v>
                </c:pt>
                <c:pt idx="110">
                  <c:v>7.0167400000000004</c:v>
                </c:pt>
                <c:pt idx="111">
                  <c:v>7.1145399999999999</c:v>
                </c:pt>
                <c:pt idx="112">
                  <c:v>7.2126700000000001</c:v>
                </c:pt>
                <c:pt idx="113">
                  <c:v>7.3195800000000002</c:v>
                </c:pt>
                <c:pt idx="114">
                  <c:v>7.4614700000000003</c:v>
                </c:pt>
                <c:pt idx="115">
                  <c:v>7.4928900000000009</c:v>
                </c:pt>
                <c:pt idx="116">
                  <c:v>7.5422000000000002</c:v>
                </c:pt>
                <c:pt idx="117">
                  <c:v>7.7714699999999999</c:v>
                </c:pt>
                <c:pt idx="118">
                  <c:v>8.0961599999999994</c:v>
                </c:pt>
                <c:pt idx="119">
                  <c:v>8.3730899999999995</c:v>
                </c:pt>
                <c:pt idx="120">
                  <c:v>8.4901199999999992</c:v>
                </c:pt>
                <c:pt idx="121">
                  <c:v>8.6052</c:v>
                </c:pt>
                <c:pt idx="122">
                  <c:v>8.8581699999999994</c:v>
                </c:pt>
                <c:pt idx="123">
                  <c:v>9.2106099999999991</c:v>
                </c:pt>
                <c:pt idx="124">
                  <c:v>9.3497399999999988</c:v>
                </c:pt>
                <c:pt idx="125">
                  <c:v>9.4432399999999994</c:v>
                </c:pt>
                <c:pt idx="126">
                  <c:v>9.5808599999999995</c:v>
                </c:pt>
                <c:pt idx="127">
                  <c:v>9.7454799999999988</c:v>
                </c:pt>
                <c:pt idx="128">
                  <c:v>9.8429400000000005</c:v>
                </c:pt>
                <c:pt idx="129">
                  <c:v>9.9080399999999997</c:v>
                </c:pt>
                <c:pt idx="130">
                  <c:v>9.9100900000000003</c:v>
                </c:pt>
                <c:pt idx="131">
                  <c:v>9.9310899999999993</c:v>
                </c:pt>
                <c:pt idx="132">
                  <c:v>9.9760200000000001</c:v>
                </c:pt>
                <c:pt idx="133">
                  <c:v>10.0886</c:v>
                </c:pt>
                <c:pt idx="134">
                  <c:v>10.1031</c:v>
                </c:pt>
                <c:pt idx="135">
                  <c:v>10.058200000000001</c:v>
                </c:pt>
                <c:pt idx="136">
                  <c:v>10.062799999999999</c:v>
                </c:pt>
                <c:pt idx="137">
                  <c:v>10.077</c:v>
                </c:pt>
                <c:pt idx="138">
                  <c:v>10.063600000000001</c:v>
                </c:pt>
                <c:pt idx="139">
                  <c:v>10.0898</c:v>
                </c:pt>
                <c:pt idx="140">
                  <c:v>10.3529</c:v>
                </c:pt>
                <c:pt idx="141">
                  <c:v>10.9168</c:v>
                </c:pt>
                <c:pt idx="142">
                  <c:v>11.367900000000001</c:v>
                </c:pt>
                <c:pt idx="143">
                  <c:v>11.6503</c:v>
                </c:pt>
                <c:pt idx="144">
                  <c:v>11.7148</c:v>
                </c:pt>
                <c:pt idx="145">
                  <c:v>12.2158</c:v>
                </c:pt>
                <c:pt idx="146">
                  <c:v>12.4931</c:v>
                </c:pt>
                <c:pt idx="147">
                  <c:v>11.882299999999999</c:v>
                </c:pt>
                <c:pt idx="148">
                  <c:v>8.6436600000000006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30.057600000000001</c:v>
                </c:pt>
                <c:pt idx="1">
                  <c:v>30.6495</c:v>
                </c:pt>
                <c:pt idx="2">
                  <c:v>31.027000000000001</c:v>
                </c:pt>
                <c:pt idx="3">
                  <c:v>31.399899999999999</c:v>
                </c:pt>
                <c:pt idx="4">
                  <c:v>31.7774</c:v>
                </c:pt>
                <c:pt idx="5">
                  <c:v>32.1539</c:v>
                </c:pt>
                <c:pt idx="6">
                  <c:v>32.559800000000003</c:v>
                </c:pt>
                <c:pt idx="7">
                  <c:v>32.963700000000003</c:v>
                </c:pt>
                <c:pt idx="8">
                  <c:v>33.369199999999999</c:v>
                </c:pt>
                <c:pt idx="9">
                  <c:v>33.773699999999998</c:v>
                </c:pt>
                <c:pt idx="10">
                  <c:v>34.185899999999997</c:v>
                </c:pt>
                <c:pt idx="11">
                  <c:v>34.5931</c:v>
                </c:pt>
                <c:pt idx="12">
                  <c:v>34.9938</c:v>
                </c:pt>
                <c:pt idx="13">
                  <c:v>35.401499999999999</c:v>
                </c:pt>
                <c:pt idx="14">
                  <c:v>35.808100000000003</c:v>
                </c:pt>
                <c:pt idx="15">
                  <c:v>36.217300000000002</c:v>
                </c:pt>
                <c:pt idx="16">
                  <c:v>36.620699999999999</c:v>
                </c:pt>
                <c:pt idx="17">
                  <c:v>37.027500000000003</c:v>
                </c:pt>
                <c:pt idx="18">
                  <c:v>37.431199999999997</c:v>
                </c:pt>
                <c:pt idx="19">
                  <c:v>37.838900000000002</c:v>
                </c:pt>
                <c:pt idx="20">
                  <c:v>38.247399999999999</c:v>
                </c:pt>
                <c:pt idx="21">
                  <c:v>38.6509</c:v>
                </c:pt>
                <c:pt idx="22">
                  <c:v>39.060699999999997</c:v>
                </c:pt>
                <c:pt idx="23">
                  <c:v>39.462600000000002</c:v>
                </c:pt>
                <c:pt idx="24">
                  <c:v>39.872100000000003</c:v>
                </c:pt>
                <c:pt idx="25">
                  <c:v>40.2776</c:v>
                </c:pt>
                <c:pt idx="26">
                  <c:v>40.683700000000002</c:v>
                </c:pt>
                <c:pt idx="27">
                  <c:v>41.087899999999998</c:v>
                </c:pt>
                <c:pt idx="28">
                  <c:v>41.4938</c:v>
                </c:pt>
                <c:pt idx="29">
                  <c:v>41.9009</c:v>
                </c:pt>
                <c:pt idx="30">
                  <c:v>42.311599999999999</c:v>
                </c:pt>
                <c:pt idx="31">
                  <c:v>42.714799999999997</c:v>
                </c:pt>
                <c:pt idx="32">
                  <c:v>43.121499999999997</c:v>
                </c:pt>
                <c:pt idx="33">
                  <c:v>43.524799999999999</c:v>
                </c:pt>
                <c:pt idx="34">
                  <c:v>43.929499999999997</c:v>
                </c:pt>
                <c:pt idx="35">
                  <c:v>44.3386</c:v>
                </c:pt>
                <c:pt idx="36">
                  <c:v>44.747100000000003</c:v>
                </c:pt>
                <c:pt idx="37">
                  <c:v>45.153300000000002</c:v>
                </c:pt>
                <c:pt idx="38">
                  <c:v>45.558900000000001</c:v>
                </c:pt>
                <c:pt idx="39">
                  <c:v>45.967599999999997</c:v>
                </c:pt>
                <c:pt idx="40">
                  <c:v>46.371699999999997</c:v>
                </c:pt>
                <c:pt idx="41">
                  <c:v>46.777900000000002</c:v>
                </c:pt>
                <c:pt idx="42">
                  <c:v>47.183399999999999</c:v>
                </c:pt>
                <c:pt idx="43">
                  <c:v>47.585900000000002</c:v>
                </c:pt>
                <c:pt idx="44">
                  <c:v>47.998699999999999</c:v>
                </c:pt>
                <c:pt idx="45">
                  <c:v>48.404000000000003</c:v>
                </c:pt>
                <c:pt idx="46">
                  <c:v>48.810299999999998</c:v>
                </c:pt>
                <c:pt idx="47">
                  <c:v>49.215899999999998</c:v>
                </c:pt>
                <c:pt idx="48">
                  <c:v>49.620699999999999</c:v>
                </c:pt>
                <c:pt idx="49">
                  <c:v>50.025700000000001</c:v>
                </c:pt>
                <c:pt idx="50">
                  <c:v>50.4313</c:v>
                </c:pt>
                <c:pt idx="51">
                  <c:v>50.838000000000001</c:v>
                </c:pt>
                <c:pt idx="52">
                  <c:v>51.246699999999997</c:v>
                </c:pt>
                <c:pt idx="53">
                  <c:v>51.655299999999997</c:v>
                </c:pt>
                <c:pt idx="54">
                  <c:v>52.060600000000001</c:v>
                </c:pt>
                <c:pt idx="55">
                  <c:v>52.464300000000001</c:v>
                </c:pt>
                <c:pt idx="56">
                  <c:v>52.871400000000001</c:v>
                </c:pt>
                <c:pt idx="57">
                  <c:v>53.276800000000001</c:v>
                </c:pt>
                <c:pt idx="58">
                  <c:v>53.685000000000002</c:v>
                </c:pt>
                <c:pt idx="59">
                  <c:v>54.090699999999998</c:v>
                </c:pt>
                <c:pt idx="60">
                  <c:v>54.495899999999999</c:v>
                </c:pt>
                <c:pt idx="61">
                  <c:v>54.900599999999997</c:v>
                </c:pt>
                <c:pt idx="62">
                  <c:v>55.306199999999997</c:v>
                </c:pt>
                <c:pt idx="63">
                  <c:v>55.714300000000001</c:v>
                </c:pt>
                <c:pt idx="64">
                  <c:v>56.12</c:v>
                </c:pt>
                <c:pt idx="65">
                  <c:v>56.527799999999999</c:v>
                </c:pt>
                <c:pt idx="66">
                  <c:v>56.935499999999998</c:v>
                </c:pt>
                <c:pt idx="67">
                  <c:v>57.3399</c:v>
                </c:pt>
                <c:pt idx="68">
                  <c:v>57.745399999999997</c:v>
                </c:pt>
                <c:pt idx="69">
                  <c:v>58.158700000000003</c:v>
                </c:pt>
                <c:pt idx="70">
                  <c:v>58.566400000000002</c:v>
                </c:pt>
                <c:pt idx="71">
                  <c:v>58.970300000000002</c:v>
                </c:pt>
                <c:pt idx="72">
                  <c:v>59.3748</c:v>
                </c:pt>
                <c:pt idx="73">
                  <c:v>59.777000000000001</c:v>
                </c:pt>
                <c:pt idx="74">
                  <c:v>60.1875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8.2937200000000004</c:v>
                </c:pt>
                <c:pt idx="1">
                  <c:v>8.3147400000000005</c:v>
                </c:pt>
                <c:pt idx="2">
                  <c:v>8.3136299999999999</c:v>
                </c:pt>
                <c:pt idx="3">
                  <c:v>8.2735000000000003</c:v>
                </c:pt>
                <c:pt idx="4">
                  <c:v>8.2365900000000014</c:v>
                </c:pt>
                <c:pt idx="5">
                  <c:v>8.1974199999999993</c:v>
                </c:pt>
                <c:pt idx="6">
                  <c:v>8.1843599999999999</c:v>
                </c:pt>
                <c:pt idx="7">
                  <c:v>8.1579099999999993</c:v>
                </c:pt>
                <c:pt idx="8">
                  <c:v>8.2025299999999994</c:v>
                </c:pt>
                <c:pt idx="9">
                  <c:v>8.2988400000000002</c:v>
                </c:pt>
                <c:pt idx="10">
                  <c:v>8.4649999999999999</c:v>
                </c:pt>
                <c:pt idx="11">
                  <c:v>8.6369299999999996</c:v>
                </c:pt>
                <c:pt idx="12">
                  <c:v>8.6610700000000005</c:v>
                </c:pt>
                <c:pt idx="13">
                  <c:v>8.6064799999999995</c:v>
                </c:pt>
                <c:pt idx="14">
                  <c:v>8.6836099999999998</c:v>
                </c:pt>
                <c:pt idx="15">
                  <c:v>8.696810000000001</c:v>
                </c:pt>
                <c:pt idx="16">
                  <c:v>8.6007899999999999</c:v>
                </c:pt>
                <c:pt idx="17">
                  <c:v>8.3816399999999991</c:v>
                </c:pt>
                <c:pt idx="18">
                  <c:v>8.0971799999999998</c:v>
                </c:pt>
                <c:pt idx="19">
                  <c:v>7.8486500000000001</c:v>
                </c:pt>
                <c:pt idx="20">
                  <c:v>7.6909400000000003</c:v>
                </c:pt>
                <c:pt idx="21">
                  <c:v>7.6610300000000002</c:v>
                </c:pt>
                <c:pt idx="22">
                  <c:v>7.6308799999999994</c:v>
                </c:pt>
                <c:pt idx="23">
                  <c:v>7.51675</c:v>
                </c:pt>
                <c:pt idx="24">
                  <c:v>7.31691</c:v>
                </c:pt>
                <c:pt idx="25">
                  <c:v>7.1548400000000001</c:v>
                </c:pt>
                <c:pt idx="26">
                  <c:v>7.0564499999999999</c:v>
                </c:pt>
                <c:pt idx="27">
                  <c:v>6.8888400000000001</c:v>
                </c:pt>
                <c:pt idx="28">
                  <c:v>6.7907800000000007</c:v>
                </c:pt>
                <c:pt idx="29">
                  <c:v>6.7591899999999994</c:v>
                </c:pt>
                <c:pt idx="30">
                  <c:v>6.7709000000000001</c:v>
                </c:pt>
                <c:pt idx="31">
                  <c:v>6.8103800000000003</c:v>
                </c:pt>
                <c:pt idx="32">
                  <c:v>6.8829199999999995</c:v>
                </c:pt>
                <c:pt idx="33">
                  <c:v>6.9155800000000003</c:v>
                </c:pt>
                <c:pt idx="34">
                  <c:v>6.9039199999999994</c:v>
                </c:pt>
                <c:pt idx="35">
                  <c:v>6.9359799999999998</c:v>
                </c:pt>
                <c:pt idx="36">
                  <c:v>7.0167400000000004</c:v>
                </c:pt>
                <c:pt idx="37">
                  <c:v>7.1145399999999999</c:v>
                </c:pt>
                <c:pt idx="38">
                  <c:v>7.2126700000000001</c:v>
                </c:pt>
                <c:pt idx="39">
                  <c:v>7.3195800000000002</c:v>
                </c:pt>
                <c:pt idx="40">
                  <c:v>7.4614700000000003</c:v>
                </c:pt>
                <c:pt idx="41">
                  <c:v>7.4928900000000009</c:v>
                </c:pt>
                <c:pt idx="42">
                  <c:v>7.5422000000000002</c:v>
                </c:pt>
                <c:pt idx="43">
                  <c:v>7.7714699999999999</c:v>
                </c:pt>
                <c:pt idx="44">
                  <c:v>8.0961599999999994</c:v>
                </c:pt>
                <c:pt idx="45">
                  <c:v>8.3730899999999995</c:v>
                </c:pt>
                <c:pt idx="46">
                  <c:v>8.4901199999999992</c:v>
                </c:pt>
                <c:pt idx="47">
                  <c:v>8.6052</c:v>
                </c:pt>
                <c:pt idx="48">
                  <c:v>8.8581699999999994</c:v>
                </c:pt>
                <c:pt idx="49">
                  <c:v>9.2106099999999991</c:v>
                </c:pt>
                <c:pt idx="50">
                  <c:v>9.3497399999999988</c:v>
                </c:pt>
                <c:pt idx="51">
                  <c:v>9.4432399999999994</c:v>
                </c:pt>
                <c:pt idx="52">
                  <c:v>9.5808599999999995</c:v>
                </c:pt>
                <c:pt idx="53">
                  <c:v>9.7454799999999988</c:v>
                </c:pt>
                <c:pt idx="54">
                  <c:v>9.8429400000000005</c:v>
                </c:pt>
                <c:pt idx="55">
                  <c:v>9.9080399999999997</c:v>
                </c:pt>
                <c:pt idx="56">
                  <c:v>9.9100900000000003</c:v>
                </c:pt>
                <c:pt idx="57">
                  <c:v>9.9310899999999993</c:v>
                </c:pt>
                <c:pt idx="58">
                  <c:v>9.9760200000000001</c:v>
                </c:pt>
                <c:pt idx="59">
                  <c:v>10.0886</c:v>
                </c:pt>
                <c:pt idx="60">
                  <c:v>10.1031</c:v>
                </c:pt>
                <c:pt idx="61">
                  <c:v>10.058200000000001</c:v>
                </c:pt>
                <c:pt idx="62">
                  <c:v>10.062799999999999</c:v>
                </c:pt>
                <c:pt idx="63">
                  <c:v>10.077</c:v>
                </c:pt>
                <c:pt idx="64">
                  <c:v>10.063600000000001</c:v>
                </c:pt>
                <c:pt idx="65">
                  <c:v>10.0898</c:v>
                </c:pt>
                <c:pt idx="66">
                  <c:v>10.3529</c:v>
                </c:pt>
                <c:pt idx="67">
                  <c:v>10.9168</c:v>
                </c:pt>
                <c:pt idx="68">
                  <c:v>11.367900000000001</c:v>
                </c:pt>
                <c:pt idx="69">
                  <c:v>11.6503</c:v>
                </c:pt>
                <c:pt idx="70">
                  <c:v>11.7148</c:v>
                </c:pt>
                <c:pt idx="71">
                  <c:v>12.2158</c:v>
                </c:pt>
                <c:pt idx="72">
                  <c:v>12.4931</c:v>
                </c:pt>
                <c:pt idx="73">
                  <c:v>11.882299999999999</c:v>
                </c:pt>
                <c:pt idx="74">
                  <c:v>8.6436600000000006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15.046875</c:v>
                </c:pt>
                <c:pt idx="1">
                  <c:v>45.140625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30.516354189189183</c:v>
                </c:pt>
                <c:pt idx="1">
                  <c:v>8.6787445945945958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36.189399999999999</c:v>
                </c:pt>
                <c:pt idx="1">
                  <c:v>55.410600000000002</c:v>
                </c:pt>
                <c:pt idx="2">
                  <c:v>31.144500000000001</c:v>
                </c:pt>
                <c:pt idx="3">
                  <c:v>41.7239</c:v>
                </c:pt>
                <c:pt idx="4">
                  <c:v>52.942799999999998</c:v>
                </c:pt>
                <c:pt idx="5">
                  <c:v>47.099800000000002</c:v>
                </c:pt>
                <c:pt idx="6">
                  <c:v>11.303100000000001</c:v>
                </c:pt>
                <c:pt idx="7">
                  <c:v>50.755000000000003</c:v>
                </c:pt>
                <c:pt idx="8">
                  <c:v>18.711099999999998</c:v>
                </c:pt>
                <c:pt idx="9">
                  <c:v>35.742699999999999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63.825600000000001</c:v>
                </c:pt>
                <c:pt idx="1">
                  <c:v>57.210700000000003</c:v>
                </c:pt>
                <c:pt idx="2">
                  <c:v>29.718</c:v>
                </c:pt>
                <c:pt idx="3">
                  <c:v>49.6038</c:v>
                </c:pt>
                <c:pt idx="4">
                  <c:v>33.154000000000003</c:v>
                </c:pt>
                <c:pt idx="5">
                  <c:v>41.815600000000003</c:v>
                </c:pt>
                <c:pt idx="6">
                  <c:v>21.292000000000002</c:v>
                </c:pt>
                <c:pt idx="7">
                  <c:v>36.824300000000001</c:v>
                </c:pt>
                <c:pt idx="8">
                  <c:v>20.005800000000001</c:v>
                </c:pt>
                <c:pt idx="9">
                  <c:v>20.137899999999998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0.37223736654567285</c:v>
                </c:pt>
                <c:pt idx="1">
                  <c:v>0.3776743968161787</c:v>
                </c:pt>
                <c:pt idx="2">
                  <c:v>0.25008823663814855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13759</c:v>
                </c:pt>
                <c:pt idx="7">
                  <c:v>0</c:v>
                </c:pt>
                <c:pt idx="8">
                  <c:v>16537</c:v>
                </c:pt>
                <c:pt idx="9">
                  <c:v>0</c:v>
                </c:pt>
                <c:pt idx="10">
                  <c:v>0</c:v>
                </c:pt>
                <c:pt idx="11">
                  <c:v>24477</c:v>
                </c:pt>
                <c:pt idx="12">
                  <c:v>0</c:v>
                </c:pt>
                <c:pt idx="13">
                  <c:v>31251</c:v>
                </c:pt>
                <c:pt idx="14">
                  <c:v>0</c:v>
                </c:pt>
                <c:pt idx="15">
                  <c:v>0</c:v>
                </c:pt>
                <c:pt idx="16">
                  <c:v>41246</c:v>
                </c:pt>
                <c:pt idx="17">
                  <c:v>0</c:v>
                </c:pt>
                <c:pt idx="18">
                  <c:v>0</c:v>
                </c:pt>
                <c:pt idx="19">
                  <c:v>44099</c:v>
                </c:pt>
                <c:pt idx="20">
                  <c:v>0</c:v>
                </c:pt>
                <c:pt idx="21">
                  <c:v>51631</c:v>
                </c:pt>
                <c:pt idx="22">
                  <c:v>0</c:v>
                </c:pt>
                <c:pt idx="23">
                  <c:v>0</c:v>
                </c:pt>
                <c:pt idx="24">
                  <c:v>53285</c:v>
                </c:pt>
                <c:pt idx="25">
                  <c:v>0</c:v>
                </c:pt>
                <c:pt idx="26">
                  <c:v>52167</c:v>
                </c:pt>
                <c:pt idx="27">
                  <c:v>0</c:v>
                </c:pt>
                <c:pt idx="28">
                  <c:v>0</c:v>
                </c:pt>
                <c:pt idx="29">
                  <c:v>44379</c:v>
                </c:pt>
                <c:pt idx="30">
                  <c:v>0</c:v>
                </c:pt>
                <c:pt idx="31">
                  <c:v>63784</c:v>
                </c:pt>
                <c:pt idx="32">
                  <c:v>0</c:v>
                </c:pt>
                <c:pt idx="33">
                  <c:v>0</c:v>
                </c:pt>
                <c:pt idx="34">
                  <c:v>59072</c:v>
                </c:pt>
                <c:pt idx="35">
                  <c:v>0</c:v>
                </c:pt>
                <c:pt idx="36">
                  <c:v>0</c:v>
                </c:pt>
                <c:pt idx="37">
                  <c:v>69101</c:v>
                </c:pt>
                <c:pt idx="38">
                  <c:v>0</c:v>
                </c:pt>
                <c:pt idx="39">
                  <c:v>56213</c:v>
                </c:pt>
                <c:pt idx="40">
                  <c:v>0</c:v>
                </c:pt>
                <c:pt idx="41">
                  <c:v>0</c:v>
                </c:pt>
                <c:pt idx="42">
                  <c:v>52802</c:v>
                </c:pt>
                <c:pt idx="43">
                  <c:v>0</c:v>
                </c:pt>
                <c:pt idx="44">
                  <c:v>57576</c:v>
                </c:pt>
                <c:pt idx="45">
                  <c:v>0</c:v>
                </c:pt>
                <c:pt idx="46">
                  <c:v>0</c:v>
                </c:pt>
                <c:pt idx="47">
                  <c:v>53893</c:v>
                </c:pt>
                <c:pt idx="48">
                  <c:v>0</c:v>
                </c:pt>
                <c:pt idx="49">
                  <c:v>54694</c:v>
                </c:pt>
                <c:pt idx="50">
                  <c:v>0</c:v>
                </c:pt>
                <c:pt idx="51">
                  <c:v>0</c:v>
                </c:pt>
                <c:pt idx="52">
                  <c:v>57240</c:v>
                </c:pt>
                <c:pt idx="53">
                  <c:v>0</c:v>
                </c:pt>
                <c:pt idx="54">
                  <c:v>0</c:v>
                </c:pt>
                <c:pt idx="55">
                  <c:v>58160</c:v>
                </c:pt>
                <c:pt idx="56">
                  <c:v>0</c:v>
                </c:pt>
                <c:pt idx="57">
                  <c:v>61844</c:v>
                </c:pt>
                <c:pt idx="58">
                  <c:v>0</c:v>
                </c:pt>
                <c:pt idx="59">
                  <c:v>0</c:v>
                </c:pt>
                <c:pt idx="60">
                  <c:v>60517</c:v>
                </c:pt>
                <c:pt idx="61">
                  <c:v>0</c:v>
                </c:pt>
                <c:pt idx="62">
                  <c:v>60128</c:v>
                </c:pt>
                <c:pt idx="63">
                  <c:v>0</c:v>
                </c:pt>
                <c:pt idx="64">
                  <c:v>0</c:v>
                </c:pt>
                <c:pt idx="65">
                  <c:v>58958</c:v>
                </c:pt>
                <c:pt idx="66">
                  <c:v>0</c:v>
                </c:pt>
                <c:pt idx="67">
                  <c:v>56046</c:v>
                </c:pt>
                <c:pt idx="68">
                  <c:v>0</c:v>
                </c:pt>
                <c:pt idx="69">
                  <c:v>0</c:v>
                </c:pt>
                <c:pt idx="70">
                  <c:v>50624</c:v>
                </c:pt>
                <c:pt idx="71">
                  <c:v>0</c:v>
                </c:pt>
                <c:pt idx="72">
                  <c:v>0</c:v>
                </c:pt>
                <c:pt idx="73">
                  <c:v>47157</c:v>
                </c:pt>
                <c:pt idx="74">
                  <c:v>0</c:v>
                </c:pt>
                <c:pt idx="75">
                  <c:v>48323</c:v>
                </c:pt>
                <c:pt idx="76">
                  <c:v>0</c:v>
                </c:pt>
                <c:pt idx="77">
                  <c:v>0</c:v>
                </c:pt>
                <c:pt idx="78">
                  <c:v>45941</c:v>
                </c:pt>
                <c:pt idx="79">
                  <c:v>0</c:v>
                </c:pt>
                <c:pt idx="80">
                  <c:v>47743</c:v>
                </c:pt>
                <c:pt idx="81">
                  <c:v>0</c:v>
                </c:pt>
                <c:pt idx="82">
                  <c:v>0</c:v>
                </c:pt>
                <c:pt idx="83">
                  <c:v>39975</c:v>
                </c:pt>
                <c:pt idx="84">
                  <c:v>0</c:v>
                </c:pt>
                <c:pt idx="85">
                  <c:v>0</c:v>
                </c:pt>
                <c:pt idx="86">
                  <c:v>35912</c:v>
                </c:pt>
                <c:pt idx="87">
                  <c:v>0</c:v>
                </c:pt>
                <c:pt idx="88">
                  <c:v>35502</c:v>
                </c:pt>
                <c:pt idx="89">
                  <c:v>0</c:v>
                </c:pt>
                <c:pt idx="90">
                  <c:v>0</c:v>
                </c:pt>
                <c:pt idx="91">
                  <c:v>32604</c:v>
                </c:pt>
                <c:pt idx="92">
                  <c:v>0</c:v>
                </c:pt>
                <c:pt idx="93">
                  <c:v>30332</c:v>
                </c:pt>
                <c:pt idx="94">
                  <c:v>0</c:v>
                </c:pt>
                <c:pt idx="95">
                  <c:v>0</c:v>
                </c:pt>
                <c:pt idx="96">
                  <c:v>25941</c:v>
                </c:pt>
                <c:pt idx="97">
                  <c:v>0</c:v>
                </c:pt>
                <c:pt idx="98">
                  <c:v>27936</c:v>
                </c:pt>
                <c:pt idx="99">
                  <c:v>0</c:v>
                </c:pt>
                <c:pt idx="100">
                  <c:v>0</c:v>
                </c:pt>
                <c:pt idx="101">
                  <c:v>24968</c:v>
                </c:pt>
                <c:pt idx="102">
                  <c:v>0</c:v>
                </c:pt>
                <c:pt idx="103">
                  <c:v>0</c:v>
                </c:pt>
                <c:pt idx="104">
                  <c:v>27063</c:v>
                </c:pt>
                <c:pt idx="105">
                  <c:v>0</c:v>
                </c:pt>
                <c:pt idx="106">
                  <c:v>23787</c:v>
                </c:pt>
                <c:pt idx="107">
                  <c:v>0</c:v>
                </c:pt>
                <c:pt idx="108">
                  <c:v>0</c:v>
                </c:pt>
                <c:pt idx="109">
                  <c:v>23215</c:v>
                </c:pt>
                <c:pt idx="110">
                  <c:v>0</c:v>
                </c:pt>
                <c:pt idx="111">
                  <c:v>25149</c:v>
                </c:pt>
                <c:pt idx="112">
                  <c:v>0</c:v>
                </c:pt>
                <c:pt idx="113">
                  <c:v>0</c:v>
                </c:pt>
                <c:pt idx="114">
                  <c:v>22040</c:v>
                </c:pt>
                <c:pt idx="115">
                  <c:v>0</c:v>
                </c:pt>
                <c:pt idx="116">
                  <c:v>24246</c:v>
                </c:pt>
                <c:pt idx="117">
                  <c:v>0</c:v>
                </c:pt>
                <c:pt idx="118">
                  <c:v>0</c:v>
                </c:pt>
                <c:pt idx="119">
                  <c:v>23264</c:v>
                </c:pt>
                <c:pt idx="120">
                  <c:v>0</c:v>
                </c:pt>
                <c:pt idx="121">
                  <c:v>0</c:v>
                </c:pt>
                <c:pt idx="122">
                  <c:v>24022</c:v>
                </c:pt>
                <c:pt idx="123">
                  <c:v>0</c:v>
                </c:pt>
                <c:pt idx="124">
                  <c:v>21236</c:v>
                </c:pt>
                <c:pt idx="125">
                  <c:v>0</c:v>
                </c:pt>
                <c:pt idx="126">
                  <c:v>0</c:v>
                </c:pt>
                <c:pt idx="127">
                  <c:v>18799</c:v>
                </c:pt>
                <c:pt idx="128">
                  <c:v>0</c:v>
                </c:pt>
                <c:pt idx="129">
                  <c:v>18090</c:v>
                </c:pt>
                <c:pt idx="130">
                  <c:v>0</c:v>
                </c:pt>
                <c:pt idx="131">
                  <c:v>0</c:v>
                </c:pt>
                <c:pt idx="132">
                  <c:v>17979</c:v>
                </c:pt>
                <c:pt idx="133">
                  <c:v>0</c:v>
                </c:pt>
                <c:pt idx="134">
                  <c:v>16514</c:v>
                </c:pt>
                <c:pt idx="135">
                  <c:v>0</c:v>
                </c:pt>
                <c:pt idx="136">
                  <c:v>0</c:v>
                </c:pt>
                <c:pt idx="137">
                  <c:v>17349</c:v>
                </c:pt>
                <c:pt idx="138">
                  <c:v>0</c:v>
                </c:pt>
                <c:pt idx="139">
                  <c:v>0</c:v>
                </c:pt>
                <c:pt idx="140">
                  <c:v>18629</c:v>
                </c:pt>
                <c:pt idx="141">
                  <c:v>0</c:v>
                </c:pt>
                <c:pt idx="142">
                  <c:v>17363</c:v>
                </c:pt>
                <c:pt idx="143">
                  <c:v>0</c:v>
                </c:pt>
                <c:pt idx="144">
                  <c:v>0</c:v>
                </c:pt>
                <c:pt idx="145">
                  <c:v>18328</c:v>
                </c:pt>
                <c:pt idx="146">
                  <c:v>0</c:v>
                </c:pt>
                <c:pt idx="147">
                  <c:v>14720</c:v>
                </c:pt>
                <c:pt idx="148">
                  <c:v>0</c:v>
                </c:pt>
                <c:pt idx="149">
                  <c:v>0</c:v>
                </c:pt>
                <c:pt idx="150">
                  <c:v>12862</c:v>
                </c:pt>
                <c:pt idx="151">
                  <c:v>0</c:v>
                </c:pt>
                <c:pt idx="152">
                  <c:v>15401</c:v>
                </c:pt>
                <c:pt idx="153">
                  <c:v>0</c:v>
                </c:pt>
                <c:pt idx="154">
                  <c:v>0</c:v>
                </c:pt>
                <c:pt idx="155">
                  <c:v>14818</c:v>
                </c:pt>
                <c:pt idx="156">
                  <c:v>0</c:v>
                </c:pt>
                <c:pt idx="157">
                  <c:v>0</c:v>
                </c:pt>
                <c:pt idx="158">
                  <c:v>11756</c:v>
                </c:pt>
                <c:pt idx="159">
                  <c:v>0</c:v>
                </c:pt>
                <c:pt idx="160">
                  <c:v>10095</c:v>
                </c:pt>
                <c:pt idx="161">
                  <c:v>0</c:v>
                </c:pt>
                <c:pt idx="162">
                  <c:v>0</c:v>
                </c:pt>
                <c:pt idx="163">
                  <c:v>7124</c:v>
                </c:pt>
                <c:pt idx="164">
                  <c:v>0</c:v>
                </c:pt>
                <c:pt idx="165">
                  <c:v>3822</c:v>
                </c:pt>
                <c:pt idx="166">
                  <c:v>0</c:v>
                </c:pt>
                <c:pt idx="167">
                  <c:v>0</c:v>
                </c:pt>
                <c:pt idx="168">
                  <c:v>3086</c:v>
                </c:pt>
                <c:pt idx="169">
                  <c:v>0</c:v>
                </c:pt>
                <c:pt idx="170">
                  <c:v>0</c:v>
                </c:pt>
                <c:pt idx="171">
                  <c:v>1917</c:v>
                </c:pt>
                <c:pt idx="172">
                  <c:v>0</c:v>
                </c:pt>
                <c:pt idx="173">
                  <c:v>976</c:v>
                </c:pt>
                <c:pt idx="174">
                  <c:v>0</c:v>
                </c:pt>
                <c:pt idx="175">
                  <c:v>0</c:v>
                </c:pt>
                <c:pt idx="176">
                  <c:v>422</c:v>
                </c:pt>
                <c:pt idx="177">
                  <c:v>0</c:v>
                </c:pt>
                <c:pt idx="178">
                  <c:v>220</c:v>
                </c:pt>
                <c:pt idx="179">
                  <c:v>0</c:v>
                </c:pt>
                <c:pt idx="180">
                  <c:v>0</c:v>
                </c:pt>
                <c:pt idx="181">
                  <c:v>51</c:v>
                </c:pt>
                <c:pt idx="182">
                  <c:v>0</c:v>
                </c:pt>
                <c:pt idx="183">
                  <c:v>102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5427</c:v>
                </c:pt>
                <c:pt idx="7">
                  <c:v>0</c:v>
                </c:pt>
                <c:pt idx="8">
                  <c:v>7361</c:v>
                </c:pt>
                <c:pt idx="9">
                  <c:v>0</c:v>
                </c:pt>
                <c:pt idx="10">
                  <c:v>0</c:v>
                </c:pt>
                <c:pt idx="11">
                  <c:v>10160</c:v>
                </c:pt>
                <c:pt idx="12">
                  <c:v>0</c:v>
                </c:pt>
                <c:pt idx="13">
                  <c:v>14956</c:v>
                </c:pt>
                <c:pt idx="14">
                  <c:v>0</c:v>
                </c:pt>
                <c:pt idx="15">
                  <c:v>0</c:v>
                </c:pt>
                <c:pt idx="16">
                  <c:v>15218</c:v>
                </c:pt>
                <c:pt idx="17">
                  <c:v>0</c:v>
                </c:pt>
                <c:pt idx="18">
                  <c:v>0</c:v>
                </c:pt>
                <c:pt idx="19">
                  <c:v>17829</c:v>
                </c:pt>
                <c:pt idx="20">
                  <c:v>0</c:v>
                </c:pt>
                <c:pt idx="21">
                  <c:v>22038</c:v>
                </c:pt>
                <c:pt idx="22">
                  <c:v>0</c:v>
                </c:pt>
                <c:pt idx="23">
                  <c:v>0</c:v>
                </c:pt>
                <c:pt idx="24">
                  <c:v>28637</c:v>
                </c:pt>
                <c:pt idx="25">
                  <c:v>0</c:v>
                </c:pt>
                <c:pt idx="26">
                  <c:v>34715</c:v>
                </c:pt>
                <c:pt idx="27">
                  <c:v>0</c:v>
                </c:pt>
                <c:pt idx="28">
                  <c:v>0</c:v>
                </c:pt>
                <c:pt idx="29">
                  <c:v>42368</c:v>
                </c:pt>
                <c:pt idx="30">
                  <c:v>0</c:v>
                </c:pt>
                <c:pt idx="31">
                  <c:v>48172</c:v>
                </c:pt>
                <c:pt idx="32">
                  <c:v>0</c:v>
                </c:pt>
                <c:pt idx="33">
                  <c:v>0</c:v>
                </c:pt>
                <c:pt idx="34">
                  <c:v>47314</c:v>
                </c:pt>
                <c:pt idx="35">
                  <c:v>0</c:v>
                </c:pt>
                <c:pt idx="36">
                  <c:v>0</c:v>
                </c:pt>
                <c:pt idx="37">
                  <c:v>54641</c:v>
                </c:pt>
                <c:pt idx="38">
                  <c:v>0</c:v>
                </c:pt>
                <c:pt idx="39">
                  <c:v>59869</c:v>
                </c:pt>
                <c:pt idx="40">
                  <c:v>0</c:v>
                </c:pt>
                <c:pt idx="41">
                  <c:v>0</c:v>
                </c:pt>
                <c:pt idx="42">
                  <c:v>65525</c:v>
                </c:pt>
                <c:pt idx="43">
                  <c:v>0</c:v>
                </c:pt>
                <c:pt idx="44">
                  <c:v>79479</c:v>
                </c:pt>
                <c:pt idx="45">
                  <c:v>0</c:v>
                </c:pt>
                <c:pt idx="46">
                  <c:v>0</c:v>
                </c:pt>
                <c:pt idx="47">
                  <c:v>84737</c:v>
                </c:pt>
                <c:pt idx="48">
                  <c:v>0</c:v>
                </c:pt>
                <c:pt idx="49">
                  <c:v>83890</c:v>
                </c:pt>
                <c:pt idx="50">
                  <c:v>0</c:v>
                </c:pt>
                <c:pt idx="51">
                  <c:v>0</c:v>
                </c:pt>
                <c:pt idx="52">
                  <c:v>84166</c:v>
                </c:pt>
                <c:pt idx="53">
                  <c:v>0</c:v>
                </c:pt>
                <c:pt idx="54">
                  <c:v>0</c:v>
                </c:pt>
                <c:pt idx="55">
                  <c:v>82796</c:v>
                </c:pt>
                <c:pt idx="56">
                  <c:v>0</c:v>
                </c:pt>
                <c:pt idx="57">
                  <c:v>82971</c:v>
                </c:pt>
                <c:pt idx="58">
                  <c:v>0</c:v>
                </c:pt>
                <c:pt idx="59">
                  <c:v>0</c:v>
                </c:pt>
                <c:pt idx="60">
                  <c:v>76744</c:v>
                </c:pt>
                <c:pt idx="61">
                  <c:v>0</c:v>
                </c:pt>
                <c:pt idx="62">
                  <c:v>68230</c:v>
                </c:pt>
                <c:pt idx="63">
                  <c:v>0</c:v>
                </c:pt>
                <c:pt idx="64">
                  <c:v>0</c:v>
                </c:pt>
                <c:pt idx="65">
                  <c:v>53900</c:v>
                </c:pt>
                <c:pt idx="66">
                  <c:v>0</c:v>
                </c:pt>
                <c:pt idx="67">
                  <c:v>40561</c:v>
                </c:pt>
                <c:pt idx="68">
                  <c:v>0</c:v>
                </c:pt>
                <c:pt idx="69">
                  <c:v>0</c:v>
                </c:pt>
                <c:pt idx="70">
                  <c:v>36197</c:v>
                </c:pt>
                <c:pt idx="71">
                  <c:v>0</c:v>
                </c:pt>
                <c:pt idx="72">
                  <c:v>0</c:v>
                </c:pt>
                <c:pt idx="73">
                  <c:v>35126</c:v>
                </c:pt>
                <c:pt idx="74">
                  <c:v>0</c:v>
                </c:pt>
                <c:pt idx="75">
                  <c:v>27745</c:v>
                </c:pt>
                <c:pt idx="76">
                  <c:v>0</c:v>
                </c:pt>
                <c:pt idx="77">
                  <c:v>0</c:v>
                </c:pt>
                <c:pt idx="78">
                  <c:v>23958</c:v>
                </c:pt>
                <c:pt idx="79">
                  <c:v>0</c:v>
                </c:pt>
                <c:pt idx="80">
                  <c:v>20274</c:v>
                </c:pt>
                <c:pt idx="81">
                  <c:v>0</c:v>
                </c:pt>
                <c:pt idx="82">
                  <c:v>0</c:v>
                </c:pt>
                <c:pt idx="83">
                  <c:v>21304</c:v>
                </c:pt>
                <c:pt idx="84">
                  <c:v>0</c:v>
                </c:pt>
                <c:pt idx="85">
                  <c:v>0</c:v>
                </c:pt>
                <c:pt idx="86">
                  <c:v>20646</c:v>
                </c:pt>
                <c:pt idx="87">
                  <c:v>0</c:v>
                </c:pt>
                <c:pt idx="88">
                  <c:v>21493</c:v>
                </c:pt>
                <c:pt idx="89">
                  <c:v>0</c:v>
                </c:pt>
                <c:pt idx="90">
                  <c:v>0</c:v>
                </c:pt>
                <c:pt idx="91">
                  <c:v>23031</c:v>
                </c:pt>
                <c:pt idx="92">
                  <c:v>0</c:v>
                </c:pt>
                <c:pt idx="93">
                  <c:v>26150</c:v>
                </c:pt>
                <c:pt idx="94">
                  <c:v>0</c:v>
                </c:pt>
                <c:pt idx="95">
                  <c:v>0</c:v>
                </c:pt>
                <c:pt idx="96">
                  <c:v>28302</c:v>
                </c:pt>
                <c:pt idx="97">
                  <c:v>0</c:v>
                </c:pt>
                <c:pt idx="98">
                  <c:v>34932</c:v>
                </c:pt>
                <c:pt idx="99">
                  <c:v>0</c:v>
                </c:pt>
                <c:pt idx="100">
                  <c:v>0</c:v>
                </c:pt>
                <c:pt idx="101">
                  <c:v>39483</c:v>
                </c:pt>
                <c:pt idx="102">
                  <c:v>0</c:v>
                </c:pt>
                <c:pt idx="103">
                  <c:v>0</c:v>
                </c:pt>
                <c:pt idx="104">
                  <c:v>44358</c:v>
                </c:pt>
                <c:pt idx="105">
                  <c:v>0</c:v>
                </c:pt>
                <c:pt idx="106">
                  <c:v>46180</c:v>
                </c:pt>
                <c:pt idx="107">
                  <c:v>0</c:v>
                </c:pt>
                <c:pt idx="108">
                  <c:v>0</c:v>
                </c:pt>
                <c:pt idx="109">
                  <c:v>49300</c:v>
                </c:pt>
                <c:pt idx="110">
                  <c:v>0</c:v>
                </c:pt>
                <c:pt idx="111">
                  <c:v>57945</c:v>
                </c:pt>
                <c:pt idx="112">
                  <c:v>0</c:v>
                </c:pt>
                <c:pt idx="113">
                  <c:v>0</c:v>
                </c:pt>
                <c:pt idx="114">
                  <c:v>63171</c:v>
                </c:pt>
                <c:pt idx="115">
                  <c:v>0</c:v>
                </c:pt>
                <c:pt idx="116">
                  <c:v>64221</c:v>
                </c:pt>
                <c:pt idx="117">
                  <c:v>0</c:v>
                </c:pt>
                <c:pt idx="118">
                  <c:v>0</c:v>
                </c:pt>
                <c:pt idx="119">
                  <c:v>71204</c:v>
                </c:pt>
                <c:pt idx="120">
                  <c:v>0</c:v>
                </c:pt>
                <c:pt idx="121">
                  <c:v>0</c:v>
                </c:pt>
                <c:pt idx="122">
                  <c:v>75785</c:v>
                </c:pt>
                <c:pt idx="123">
                  <c:v>0</c:v>
                </c:pt>
                <c:pt idx="124">
                  <c:v>78035</c:v>
                </c:pt>
                <c:pt idx="125">
                  <c:v>0</c:v>
                </c:pt>
                <c:pt idx="126">
                  <c:v>0</c:v>
                </c:pt>
                <c:pt idx="127">
                  <c:v>85505</c:v>
                </c:pt>
                <c:pt idx="128">
                  <c:v>0</c:v>
                </c:pt>
                <c:pt idx="129">
                  <c:v>84808</c:v>
                </c:pt>
                <c:pt idx="130">
                  <c:v>0</c:v>
                </c:pt>
                <c:pt idx="131">
                  <c:v>0</c:v>
                </c:pt>
                <c:pt idx="132">
                  <c:v>77248</c:v>
                </c:pt>
                <c:pt idx="133">
                  <c:v>0</c:v>
                </c:pt>
                <c:pt idx="134">
                  <c:v>71175</c:v>
                </c:pt>
                <c:pt idx="135">
                  <c:v>0</c:v>
                </c:pt>
                <c:pt idx="136">
                  <c:v>0</c:v>
                </c:pt>
                <c:pt idx="137">
                  <c:v>76573</c:v>
                </c:pt>
                <c:pt idx="138">
                  <c:v>0</c:v>
                </c:pt>
                <c:pt idx="139">
                  <c:v>0</c:v>
                </c:pt>
                <c:pt idx="140">
                  <c:v>78729</c:v>
                </c:pt>
                <c:pt idx="141">
                  <c:v>0</c:v>
                </c:pt>
                <c:pt idx="142">
                  <c:v>73740</c:v>
                </c:pt>
                <c:pt idx="143">
                  <c:v>0</c:v>
                </c:pt>
                <c:pt idx="144">
                  <c:v>0</c:v>
                </c:pt>
                <c:pt idx="145">
                  <c:v>79648</c:v>
                </c:pt>
                <c:pt idx="146">
                  <c:v>0</c:v>
                </c:pt>
                <c:pt idx="147">
                  <c:v>81758</c:v>
                </c:pt>
                <c:pt idx="148">
                  <c:v>0</c:v>
                </c:pt>
                <c:pt idx="149">
                  <c:v>0</c:v>
                </c:pt>
                <c:pt idx="150">
                  <c:v>83517</c:v>
                </c:pt>
                <c:pt idx="151">
                  <c:v>0</c:v>
                </c:pt>
                <c:pt idx="152">
                  <c:v>93103</c:v>
                </c:pt>
                <c:pt idx="153">
                  <c:v>0</c:v>
                </c:pt>
                <c:pt idx="154">
                  <c:v>0</c:v>
                </c:pt>
                <c:pt idx="155">
                  <c:v>89287</c:v>
                </c:pt>
                <c:pt idx="156">
                  <c:v>0</c:v>
                </c:pt>
                <c:pt idx="157">
                  <c:v>0</c:v>
                </c:pt>
                <c:pt idx="158">
                  <c:v>83750</c:v>
                </c:pt>
                <c:pt idx="159">
                  <c:v>0</c:v>
                </c:pt>
                <c:pt idx="160">
                  <c:v>80714</c:v>
                </c:pt>
                <c:pt idx="161">
                  <c:v>0</c:v>
                </c:pt>
                <c:pt idx="162">
                  <c:v>0</c:v>
                </c:pt>
                <c:pt idx="163">
                  <c:v>80372</c:v>
                </c:pt>
                <c:pt idx="164">
                  <c:v>0</c:v>
                </c:pt>
                <c:pt idx="165">
                  <c:v>66954</c:v>
                </c:pt>
                <c:pt idx="166">
                  <c:v>0</c:v>
                </c:pt>
                <c:pt idx="167">
                  <c:v>0</c:v>
                </c:pt>
                <c:pt idx="168">
                  <c:v>45983</c:v>
                </c:pt>
                <c:pt idx="169">
                  <c:v>0</c:v>
                </c:pt>
                <c:pt idx="170">
                  <c:v>0</c:v>
                </c:pt>
                <c:pt idx="171">
                  <c:v>33797</c:v>
                </c:pt>
                <c:pt idx="172">
                  <c:v>0</c:v>
                </c:pt>
                <c:pt idx="173">
                  <c:v>26164</c:v>
                </c:pt>
                <c:pt idx="174">
                  <c:v>0</c:v>
                </c:pt>
                <c:pt idx="175">
                  <c:v>0</c:v>
                </c:pt>
                <c:pt idx="176">
                  <c:v>13759</c:v>
                </c:pt>
                <c:pt idx="177">
                  <c:v>0</c:v>
                </c:pt>
                <c:pt idx="178">
                  <c:v>8714</c:v>
                </c:pt>
                <c:pt idx="179">
                  <c:v>0</c:v>
                </c:pt>
                <c:pt idx="180">
                  <c:v>0</c:v>
                </c:pt>
                <c:pt idx="181">
                  <c:v>4084</c:v>
                </c:pt>
                <c:pt idx="182">
                  <c:v>0</c:v>
                </c:pt>
                <c:pt idx="183">
                  <c:v>2867</c:v>
                </c:pt>
                <c:pt idx="184">
                  <c:v>0</c:v>
                </c:pt>
                <c:pt idx="185">
                  <c:v>0</c:v>
                </c:pt>
                <c:pt idx="186">
                  <c:v>1758</c:v>
                </c:pt>
                <c:pt idx="187">
                  <c:v>0</c:v>
                </c:pt>
                <c:pt idx="188">
                  <c:v>0</c:v>
                </c:pt>
                <c:pt idx="189">
                  <c:v>521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0.34049643069427377</c:v>
                </c:pt>
                <c:pt idx="1">
                  <c:v>0.27830434544032701</c:v>
                </c:pt>
                <c:pt idx="2">
                  <c:v>0.38119922386539928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0.32167222502328807</c:v>
                </c:pt>
                <c:pt idx="1">
                  <c:v>0.48427095453717073</c:v>
                </c:pt>
                <c:pt idx="2">
                  <c:v>0.19405682043954117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8.2742175000000007</c:v>
                </c:pt>
                <c:pt idx="1">
                  <c:v>11.818952500000002</c:v>
                </c:pt>
                <c:pt idx="2">
                  <c:v>34.021250000000002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  <c:pt idx="75">
                  <c:v>30.6495</c:v>
                </c:pt>
                <c:pt idx="76">
                  <c:v>31.027000000000001</c:v>
                </c:pt>
                <c:pt idx="77">
                  <c:v>31.399899999999999</c:v>
                </c:pt>
                <c:pt idx="78">
                  <c:v>31.7774</c:v>
                </c:pt>
                <c:pt idx="79">
                  <c:v>32.1539</c:v>
                </c:pt>
                <c:pt idx="80">
                  <c:v>32.559800000000003</c:v>
                </c:pt>
                <c:pt idx="81">
                  <c:v>32.963700000000003</c:v>
                </c:pt>
                <c:pt idx="82">
                  <c:v>33.369199999999999</c:v>
                </c:pt>
                <c:pt idx="83">
                  <c:v>33.773699999999998</c:v>
                </c:pt>
                <c:pt idx="84">
                  <c:v>34.185899999999997</c:v>
                </c:pt>
                <c:pt idx="85">
                  <c:v>34.5931</c:v>
                </c:pt>
                <c:pt idx="86">
                  <c:v>34.9938</c:v>
                </c:pt>
                <c:pt idx="87">
                  <c:v>35.401499999999999</c:v>
                </c:pt>
                <c:pt idx="88">
                  <c:v>35.808100000000003</c:v>
                </c:pt>
                <c:pt idx="89">
                  <c:v>36.217300000000002</c:v>
                </c:pt>
                <c:pt idx="90">
                  <c:v>36.620699999999999</c:v>
                </c:pt>
                <c:pt idx="91">
                  <c:v>37.027500000000003</c:v>
                </c:pt>
                <c:pt idx="92">
                  <c:v>37.431199999999997</c:v>
                </c:pt>
                <c:pt idx="93">
                  <c:v>37.838900000000002</c:v>
                </c:pt>
                <c:pt idx="94">
                  <c:v>38.247399999999999</c:v>
                </c:pt>
                <c:pt idx="95">
                  <c:v>38.6509</c:v>
                </c:pt>
                <c:pt idx="96">
                  <c:v>39.060699999999997</c:v>
                </c:pt>
                <c:pt idx="97">
                  <c:v>39.462600000000002</c:v>
                </c:pt>
                <c:pt idx="98">
                  <c:v>39.872100000000003</c:v>
                </c:pt>
                <c:pt idx="99">
                  <c:v>40.2776</c:v>
                </c:pt>
                <c:pt idx="100">
                  <c:v>40.683700000000002</c:v>
                </c:pt>
                <c:pt idx="101">
                  <c:v>41.087899999999998</c:v>
                </c:pt>
                <c:pt idx="102">
                  <c:v>41.4938</c:v>
                </c:pt>
                <c:pt idx="103">
                  <c:v>41.9009</c:v>
                </c:pt>
                <c:pt idx="104">
                  <c:v>42.311599999999999</c:v>
                </c:pt>
                <c:pt idx="105">
                  <c:v>42.714799999999997</c:v>
                </c:pt>
                <c:pt idx="106">
                  <c:v>43.121499999999997</c:v>
                </c:pt>
                <c:pt idx="107">
                  <c:v>43.524799999999999</c:v>
                </c:pt>
                <c:pt idx="108">
                  <c:v>43.929499999999997</c:v>
                </c:pt>
                <c:pt idx="109">
                  <c:v>44.3386</c:v>
                </c:pt>
                <c:pt idx="110">
                  <c:v>44.747100000000003</c:v>
                </c:pt>
                <c:pt idx="111">
                  <c:v>45.153300000000002</c:v>
                </c:pt>
                <c:pt idx="112">
                  <c:v>45.558900000000001</c:v>
                </c:pt>
                <c:pt idx="113">
                  <c:v>45.967599999999997</c:v>
                </c:pt>
                <c:pt idx="114">
                  <c:v>46.371699999999997</c:v>
                </c:pt>
                <c:pt idx="115">
                  <c:v>46.777900000000002</c:v>
                </c:pt>
                <c:pt idx="116">
                  <c:v>47.183399999999999</c:v>
                </c:pt>
                <c:pt idx="117">
                  <c:v>47.585900000000002</c:v>
                </c:pt>
                <c:pt idx="118">
                  <c:v>47.998699999999999</c:v>
                </c:pt>
                <c:pt idx="119">
                  <c:v>48.404000000000003</c:v>
                </c:pt>
                <c:pt idx="120">
                  <c:v>48.810299999999998</c:v>
                </c:pt>
                <c:pt idx="121">
                  <c:v>49.215899999999998</c:v>
                </c:pt>
                <c:pt idx="122">
                  <c:v>49.620699999999999</c:v>
                </c:pt>
                <c:pt idx="123">
                  <c:v>50.025700000000001</c:v>
                </c:pt>
                <c:pt idx="124">
                  <c:v>50.4313</c:v>
                </c:pt>
                <c:pt idx="125">
                  <c:v>50.838000000000001</c:v>
                </c:pt>
                <c:pt idx="126">
                  <c:v>51.246699999999997</c:v>
                </c:pt>
                <c:pt idx="127">
                  <c:v>51.655299999999997</c:v>
                </c:pt>
                <c:pt idx="128">
                  <c:v>52.060600000000001</c:v>
                </c:pt>
                <c:pt idx="129">
                  <c:v>52.464300000000001</c:v>
                </c:pt>
                <c:pt idx="130">
                  <c:v>52.871400000000001</c:v>
                </c:pt>
                <c:pt idx="131">
                  <c:v>53.276800000000001</c:v>
                </c:pt>
                <c:pt idx="132">
                  <c:v>53.685000000000002</c:v>
                </c:pt>
                <c:pt idx="133">
                  <c:v>54.090699999999998</c:v>
                </c:pt>
                <c:pt idx="134">
                  <c:v>54.495899999999999</c:v>
                </c:pt>
                <c:pt idx="135">
                  <c:v>54.900599999999997</c:v>
                </c:pt>
                <c:pt idx="136">
                  <c:v>55.306199999999997</c:v>
                </c:pt>
                <c:pt idx="137">
                  <c:v>55.714300000000001</c:v>
                </c:pt>
                <c:pt idx="138">
                  <c:v>56.12</c:v>
                </c:pt>
                <c:pt idx="139">
                  <c:v>56.527799999999999</c:v>
                </c:pt>
                <c:pt idx="140">
                  <c:v>56.935499999999998</c:v>
                </c:pt>
                <c:pt idx="141">
                  <c:v>57.3399</c:v>
                </c:pt>
                <c:pt idx="142">
                  <c:v>57.745399999999997</c:v>
                </c:pt>
                <c:pt idx="143">
                  <c:v>58.158700000000003</c:v>
                </c:pt>
                <c:pt idx="144">
                  <c:v>58.566400000000002</c:v>
                </c:pt>
                <c:pt idx="145">
                  <c:v>58.970300000000002</c:v>
                </c:pt>
                <c:pt idx="146">
                  <c:v>59.3748</c:v>
                </c:pt>
                <c:pt idx="147">
                  <c:v>59.777000000000001</c:v>
                </c:pt>
                <c:pt idx="148">
                  <c:v>60.1875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  <c:pt idx="75">
                  <c:v>4.0828300000000004</c:v>
                </c:pt>
                <c:pt idx="76">
                  <c:v>4.0773099999999998</c:v>
                </c:pt>
                <c:pt idx="77">
                  <c:v>4.07308</c:v>
                </c:pt>
                <c:pt idx="78">
                  <c:v>4.0678700000000001</c:v>
                </c:pt>
                <c:pt idx="79">
                  <c:v>4.05924</c:v>
                </c:pt>
                <c:pt idx="80">
                  <c:v>4.0492900000000001</c:v>
                </c:pt>
                <c:pt idx="81">
                  <c:v>4.0412699999999999</c:v>
                </c:pt>
                <c:pt idx="82">
                  <c:v>4.0286400000000002</c:v>
                </c:pt>
                <c:pt idx="83">
                  <c:v>4.0101700000000005</c:v>
                </c:pt>
                <c:pt idx="84">
                  <c:v>3.9883899999999999</c:v>
                </c:pt>
                <c:pt idx="85">
                  <c:v>3.9656500000000001</c:v>
                </c:pt>
                <c:pt idx="86">
                  <c:v>3.9465299999999996</c:v>
                </c:pt>
                <c:pt idx="87">
                  <c:v>3.9296599999999997</c:v>
                </c:pt>
                <c:pt idx="88">
                  <c:v>3.9099200000000001</c:v>
                </c:pt>
                <c:pt idx="89">
                  <c:v>3.8956</c:v>
                </c:pt>
                <c:pt idx="90">
                  <c:v>3.8871600000000002</c:v>
                </c:pt>
                <c:pt idx="91">
                  <c:v>3.8860000000000001</c:v>
                </c:pt>
                <c:pt idx="92">
                  <c:v>3.8881199999999998</c:v>
                </c:pt>
                <c:pt idx="93">
                  <c:v>3.8915499999999996</c:v>
                </c:pt>
                <c:pt idx="94">
                  <c:v>3.8921200000000002</c:v>
                </c:pt>
                <c:pt idx="95">
                  <c:v>3.8916299999999997</c:v>
                </c:pt>
                <c:pt idx="96">
                  <c:v>3.89276</c:v>
                </c:pt>
                <c:pt idx="97">
                  <c:v>3.8955699999999998</c:v>
                </c:pt>
                <c:pt idx="98">
                  <c:v>3.90245</c:v>
                </c:pt>
                <c:pt idx="99">
                  <c:v>3.9098699999999997</c:v>
                </c:pt>
                <c:pt idx="100">
                  <c:v>3.9144699999999997</c:v>
                </c:pt>
                <c:pt idx="101">
                  <c:v>3.9238600000000003</c:v>
                </c:pt>
                <c:pt idx="102">
                  <c:v>3.9304299999999999</c:v>
                </c:pt>
                <c:pt idx="103">
                  <c:v>3.9345499999999998</c:v>
                </c:pt>
                <c:pt idx="104">
                  <c:v>3.9391799999999999</c:v>
                </c:pt>
                <c:pt idx="105">
                  <c:v>3.9425500000000002</c:v>
                </c:pt>
                <c:pt idx="106">
                  <c:v>3.9430500000000004</c:v>
                </c:pt>
                <c:pt idx="107">
                  <c:v>3.94292</c:v>
                </c:pt>
                <c:pt idx="108">
                  <c:v>3.9452100000000003</c:v>
                </c:pt>
                <c:pt idx="109">
                  <c:v>3.9473799999999999</c:v>
                </c:pt>
                <c:pt idx="110">
                  <c:v>3.9521800000000002</c:v>
                </c:pt>
                <c:pt idx="111">
                  <c:v>3.95926</c:v>
                </c:pt>
                <c:pt idx="112">
                  <c:v>3.9659200000000001</c:v>
                </c:pt>
                <c:pt idx="113">
                  <c:v>3.97254</c:v>
                </c:pt>
                <c:pt idx="114">
                  <c:v>3.9750100000000002</c:v>
                </c:pt>
                <c:pt idx="115">
                  <c:v>3.9801700000000002</c:v>
                </c:pt>
                <c:pt idx="116">
                  <c:v>3.9822999999999995</c:v>
                </c:pt>
                <c:pt idx="117">
                  <c:v>3.9766499999999998</c:v>
                </c:pt>
                <c:pt idx="118">
                  <c:v>3.9692699999999999</c:v>
                </c:pt>
                <c:pt idx="119">
                  <c:v>3.96414</c:v>
                </c:pt>
                <c:pt idx="120">
                  <c:v>3.96407</c:v>
                </c:pt>
                <c:pt idx="121">
                  <c:v>3.9675899999999995</c:v>
                </c:pt>
                <c:pt idx="122">
                  <c:v>3.9653100000000001</c:v>
                </c:pt>
                <c:pt idx="123">
                  <c:v>3.9567000000000001</c:v>
                </c:pt>
                <c:pt idx="124">
                  <c:v>3.9527000000000001</c:v>
                </c:pt>
                <c:pt idx="125">
                  <c:v>3.9500600000000001</c:v>
                </c:pt>
                <c:pt idx="126">
                  <c:v>3.9447700000000001</c:v>
                </c:pt>
                <c:pt idx="127">
                  <c:v>3.9398499999999999</c:v>
                </c:pt>
                <c:pt idx="128">
                  <c:v>3.9386999999999999</c:v>
                </c:pt>
                <c:pt idx="129">
                  <c:v>3.9371</c:v>
                </c:pt>
                <c:pt idx="130">
                  <c:v>3.9381899999999996</c:v>
                </c:pt>
                <c:pt idx="131">
                  <c:v>3.9388699999999996</c:v>
                </c:pt>
                <c:pt idx="132">
                  <c:v>3.9413300000000002</c:v>
                </c:pt>
                <c:pt idx="133">
                  <c:v>3.9430999999999998</c:v>
                </c:pt>
                <c:pt idx="134">
                  <c:v>3.9484699999999999</c:v>
                </c:pt>
                <c:pt idx="135">
                  <c:v>3.9513700000000003</c:v>
                </c:pt>
                <c:pt idx="136">
                  <c:v>3.9505800000000004</c:v>
                </c:pt>
                <c:pt idx="137">
                  <c:v>3.9516400000000003</c:v>
                </c:pt>
                <c:pt idx="138">
                  <c:v>3.9535900000000002</c:v>
                </c:pt>
                <c:pt idx="139">
                  <c:v>3.9560499999999998</c:v>
                </c:pt>
                <c:pt idx="140">
                  <c:v>3.9500600000000001</c:v>
                </c:pt>
                <c:pt idx="141">
                  <c:v>3.9356499999999999</c:v>
                </c:pt>
                <c:pt idx="142">
                  <c:v>3.9290099999999999</c:v>
                </c:pt>
                <c:pt idx="143">
                  <c:v>3.9258300000000004</c:v>
                </c:pt>
                <c:pt idx="144">
                  <c:v>3.9306000000000001</c:v>
                </c:pt>
                <c:pt idx="145">
                  <c:v>3.9250499999999997</c:v>
                </c:pt>
                <c:pt idx="146">
                  <c:v>3.9018000000000002</c:v>
                </c:pt>
                <c:pt idx="147">
                  <c:v>3.8913399999999996</c:v>
                </c:pt>
                <c:pt idx="148">
                  <c:v>3.9384599999999996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30.057600000000001</c:v>
                </c:pt>
                <c:pt idx="1">
                  <c:v>30.6495</c:v>
                </c:pt>
                <c:pt idx="2">
                  <c:v>31.027000000000001</c:v>
                </c:pt>
                <c:pt idx="3">
                  <c:v>31.399899999999999</c:v>
                </c:pt>
                <c:pt idx="4">
                  <c:v>31.7774</c:v>
                </c:pt>
                <c:pt idx="5">
                  <c:v>32.1539</c:v>
                </c:pt>
                <c:pt idx="6">
                  <c:v>32.559800000000003</c:v>
                </c:pt>
                <c:pt idx="7">
                  <c:v>32.963700000000003</c:v>
                </c:pt>
                <c:pt idx="8">
                  <c:v>33.369199999999999</c:v>
                </c:pt>
                <c:pt idx="9">
                  <c:v>33.773699999999998</c:v>
                </c:pt>
                <c:pt idx="10">
                  <c:v>34.185899999999997</c:v>
                </c:pt>
                <c:pt idx="11">
                  <c:v>34.5931</c:v>
                </c:pt>
                <c:pt idx="12">
                  <c:v>34.9938</c:v>
                </c:pt>
                <c:pt idx="13">
                  <c:v>35.401499999999999</c:v>
                </c:pt>
                <c:pt idx="14">
                  <c:v>35.808100000000003</c:v>
                </c:pt>
                <c:pt idx="15">
                  <c:v>36.217300000000002</c:v>
                </c:pt>
                <c:pt idx="16">
                  <c:v>36.620699999999999</c:v>
                </c:pt>
                <c:pt idx="17">
                  <c:v>37.027500000000003</c:v>
                </c:pt>
                <c:pt idx="18">
                  <c:v>37.431199999999997</c:v>
                </c:pt>
                <c:pt idx="19">
                  <c:v>37.838900000000002</c:v>
                </c:pt>
                <c:pt idx="20">
                  <c:v>38.247399999999999</c:v>
                </c:pt>
                <c:pt idx="21">
                  <c:v>38.6509</c:v>
                </c:pt>
                <c:pt idx="22">
                  <c:v>39.060699999999997</c:v>
                </c:pt>
                <c:pt idx="23">
                  <c:v>39.462600000000002</c:v>
                </c:pt>
                <c:pt idx="24">
                  <c:v>39.872100000000003</c:v>
                </c:pt>
                <c:pt idx="25">
                  <c:v>40.2776</c:v>
                </c:pt>
                <c:pt idx="26">
                  <c:v>40.683700000000002</c:v>
                </c:pt>
                <c:pt idx="27">
                  <c:v>41.087899999999998</c:v>
                </c:pt>
                <c:pt idx="28">
                  <c:v>41.4938</c:v>
                </c:pt>
                <c:pt idx="29">
                  <c:v>41.9009</c:v>
                </c:pt>
                <c:pt idx="30">
                  <c:v>42.311599999999999</c:v>
                </c:pt>
                <c:pt idx="31">
                  <c:v>42.714799999999997</c:v>
                </c:pt>
                <c:pt idx="32">
                  <c:v>43.121499999999997</c:v>
                </c:pt>
                <c:pt idx="33">
                  <c:v>43.524799999999999</c:v>
                </c:pt>
                <c:pt idx="34">
                  <c:v>43.929499999999997</c:v>
                </c:pt>
                <c:pt idx="35">
                  <c:v>44.3386</c:v>
                </c:pt>
                <c:pt idx="36">
                  <c:v>44.747100000000003</c:v>
                </c:pt>
                <c:pt idx="37">
                  <c:v>45.153300000000002</c:v>
                </c:pt>
                <c:pt idx="38">
                  <c:v>45.558900000000001</c:v>
                </c:pt>
                <c:pt idx="39">
                  <c:v>45.967599999999997</c:v>
                </c:pt>
                <c:pt idx="40">
                  <c:v>46.371699999999997</c:v>
                </c:pt>
                <c:pt idx="41">
                  <c:v>46.777900000000002</c:v>
                </c:pt>
                <c:pt idx="42">
                  <c:v>47.183399999999999</c:v>
                </c:pt>
                <c:pt idx="43">
                  <c:v>47.585900000000002</c:v>
                </c:pt>
                <c:pt idx="44">
                  <c:v>47.998699999999999</c:v>
                </c:pt>
                <c:pt idx="45">
                  <c:v>48.404000000000003</c:v>
                </c:pt>
                <c:pt idx="46">
                  <c:v>48.810299999999998</c:v>
                </c:pt>
                <c:pt idx="47">
                  <c:v>49.215899999999998</c:v>
                </c:pt>
                <c:pt idx="48">
                  <c:v>49.620699999999999</c:v>
                </c:pt>
                <c:pt idx="49">
                  <c:v>50.025700000000001</c:v>
                </c:pt>
                <c:pt idx="50">
                  <c:v>50.4313</c:v>
                </c:pt>
                <c:pt idx="51">
                  <c:v>50.838000000000001</c:v>
                </c:pt>
                <c:pt idx="52">
                  <c:v>51.246699999999997</c:v>
                </c:pt>
                <c:pt idx="53">
                  <c:v>51.655299999999997</c:v>
                </c:pt>
                <c:pt idx="54">
                  <c:v>52.060600000000001</c:v>
                </c:pt>
                <c:pt idx="55">
                  <c:v>52.464300000000001</c:v>
                </c:pt>
                <c:pt idx="56">
                  <c:v>52.871400000000001</c:v>
                </c:pt>
                <c:pt idx="57">
                  <c:v>53.276800000000001</c:v>
                </c:pt>
                <c:pt idx="58">
                  <c:v>53.685000000000002</c:v>
                </c:pt>
                <c:pt idx="59">
                  <c:v>54.090699999999998</c:v>
                </c:pt>
                <c:pt idx="60">
                  <c:v>54.495899999999999</c:v>
                </c:pt>
                <c:pt idx="61">
                  <c:v>54.900599999999997</c:v>
                </c:pt>
                <c:pt idx="62">
                  <c:v>55.306199999999997</c:v>
                </c:pt>
                <c:pt idx="63">
                  <c:v>55.714300000000001</c:v>
                </c:pt>
                <c:pt idx="64">
                  <c:v>56.12</c:v>
                </c:pt>
                <c:pt idx="65">
                  <c:v>56.527799999999999</c:v>
                </c:pt>
                <c:pt idx="66">
                  <c:v>56.935499999999998</c:v>
                </c:pt>
                <c:pt idx="67">
                  <c:v>57.3399</c:v>
                </c:pt>
                <c:pt idx="68">
                  <c:v>57.745399999999997</c:v>
                </c:pt>
                <c:pt idx="69">
                  <c:v>58.158700000000003</c:v>
                </c:pt>
                <c:pt idx="70">
                  <c:v>58.566400000000002</c:v>
                </c:pt>
                <c:pt idx="71">
                  <c:v>58.970300000000002</c:v>
                </c:pt>
                <c:pt idx="72">
                  <c:v>59.3748</c:v>
                </c:pt>
                <c:pt idx="73">
                  <c:v>59.777000000000001</c:v>
                </c:pt>
                <c:pt idx="74">
                  <c:v>60.1875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4.0927299999999995</c:v>
                </c:pt>
                <c:pt idx="1">
                  <c:v>4.0828300000000004</c:v>
                </c:pt>
                <c:pt idx="2">
                  <c:v>4.0773099999999998</c:v>
                </c:pt>
                <c:pt idx="3">
                  <c:v>4.07308</c:v>
                </c:pt>
                <c:pt idx="4">
                  <c:v>4.0678700000000001</c:v>
                </c:pt>
                <c:pt idx="5">
                  <c:v>4.05924</c:v>
                </c:pt>
                <c:pt idx="6">
                  <c:v>4.0492900000000001</c:v>
                </c:pt>
                <c:pt idx="7">
                  <c:v>4.0412699999999999</c:v>
                </c:pt>
                <c:pt idx="8">
                  <c:v>4.0286400000000002</c:v>
                </c:pt>
                <c:pt idx="9">
                  <c:v>4.0101700000000005</c:v>
                </c:pt>
                <c:pt idx="10">
                  <c:v>3.9883899999999999</c:v>
                </c:pt>
                <c:pt idx="11">
                  <c:v>3.9656500000000001</c:v>
                </c:pt>
                <c:pt idx="12">
                  <c:v>3.9465299999999996</c:v>
                </c:pt>
                <c:pt idx="13">
                  <c:v>3.9296599999999997</c:v>
                </c:pt>
                <c:pt idx="14">
                  <c:v>3.9099200000000001</c:v>
                </c:pt>
                <c:pt idx="15">
                  <c:v>3.8956</c:v>
                </c:pt>
                <c:pt idx="16">
                  <c:v>3.8871600000000002</c:v>
                </c:pt>
                <c:pt idx="17">
                  <c:v>3.8860000000000001</c:v>
                </c:pt>
                <c:pt idx="18">
                  <c:v>3.8881199999999998</c:v>
                </c:pt>
                <c:pt idx="19">
                  <c:v>3.8915499999999996</c:v>
                </c:pt>
                <c:pt idx="20">
                  <c:v>3.8921200000000002</c:v>
                </c:pt>
                <c:pt idx="21">
                  <c:v>3.8916299999999997</c:v>
                </c:pt>
                <c:pt idx="22">
                  <c:v>3.89276</c:v>
                </c:pt>
                <c:pt idx="23">
                  <c:v>3.8955699999999998</c:v>
                </c:pt>
                <c:pt idx="24">
                  <c:v>3.90245</c:v>
                </c:pt>
                <c:pt idx="25">
                  <c:v>3.9098699999999997</c:v>
                </c:pt>
                <c:pt idx="26">
                  <c:v>3.9144699999999997</c:v>
                </c:pt>
                <c:pt idx="27">
                  <c:v>3.9238600000000003</c:v>
                </c:pt>
                <c:pt idx="28">
                  <c:v>3.9304299999999999</c:v>
                </c:pt>
                <c:pt idx="29">
                  <c:v>3.9345499999999998</c:v>
                </c:pt>
                <c:pt idx="30">
                  <c:v>3.9391799999999999</c:v>
                </c:pt>
                <c:pt idx="31">
                  <c:v>3.9425500000000002</c:v>
                </c:pt>
                <c:pt idx="32">
                  <c:v>3.9430500000000004</c:v>
                </c:pt>
                <c:pt idx="33">
                  <c:v>3.94292</c:v>
                </c:pt>
                <c:pt idx="34">
                  <c:v>3.9452100000000003</c:v>
                </c:pt>
                <c:pt idx="35">
                  <c:v>3.9473799999999999</c:v>
                </c:pt>
                <c:pt idx="36">
                  <c:v>3.9521800000000002</c:v>
                </c:pt>
                <c:pt idx="37">
                  <c:v>3.95926</c:v>
                </c:pt>
                <c:pt idx="38">
                  <c:v>3.9659200000000001</c:v>
                </c:pt>
                <c:pt idx="39">
                  <c:v>3.97254</c:v>
                </c:pt>
                <c:pt idx="40">
                  <c:v>3.9750100000000002</c:v>
                </c:pt>
                <c:pt idx="41">
                  <c:v>3.9801700000000002</c:v>
                </c:pt>
                <c:pt idx="42">
                  <c:v>3.9822999999999995</c:v>
                </c:pt>
                <c:pt idx="43">
                  <c:v>3.9766499999999998</c:v>
                </c:pt>
                <c:pt idx="44">
                  <c:v>3.9692699999999999</c:v>
                </c:pt>
                <c:pt idx="45">
                  <c:v>3.96414</c:v>
                </c:pt>
                <c:pt idx="46">
                  <c:v>3.96407</c:v>
                </c:pt>
                <c:pt idx="47">
                  <c:v>3.9675899999999995</c:v>
                </c:pt>
                <c:pt idx="48">
                  <c:v>3.9653100000000001</c:v>
                </c:pt>
                <c:pt idx="49">
                  <c:v>3.9567000000000001</c:v>
                </c:pt>
                <c:pt idx="50">
                  <c:v>3.9527000000000001</c:v>
                </c:pt>
                <c:pt idx="51">
                  <c:v>3.9500600000000001</c:v>
                </c:pt>
                <c:pt idx="52">
                  <c:v>3.9447700000000001</c:v>
                </c:pt>
                <c:pt idx="53">
                  <c:v>3.9398499999999999</c:v>
                </c:pt>
                <c:pt idx="54">
                  <c:v>3.9386999999999999</c:v>
                </c:pt>
                <c:pt idx="55">
                  <c:v>3.9371</c:v>
                </c:pt>
                <c:pt idx="56">
                  <c:v>3.9381899999999996</c:v>
                </c:pt>
                <c:pt idx="57">
                  <c:v>3.9388699999999996</c:v>
                </c:pt>
                <c:pt idx="58">
                  <c:v>3.9413300000000002</c:v>
                </c:pt>
                <c:pt idx="59">
                  <c:v>3.9430999999999998</c:v>
                </c:pt>
                <c:pt idx="60">
                  <c:v>3.9484699999999999</c:v>
                </c:pt>
                <c:pt idx="61">
                  <c:v>3.9513700000000003</c:v>
                </c:pt>
                <c:pt idx="62">
                  <c:v>3.9505800000000004</c:v>
                </c:pt>
                <c:pt idx="63">
                  <c:v>3.9516400000000003</c:v>
                </c:pt>
                <c:pt idx="64">
                  <c:v>3.9535900000000002</c:v>
                </c:pt>
                <c:pt idx="65">
                  <c:v>3.9560499999999998</c:v>
                </c:pt>
                <c:pt idx="66">
                  <c:v>3.9500600000000001</c:v>
                </c:pt>
                <c:pt idx="67">
                  <c:v>3.9356499999999999</c:v>
                </c:pt>
                <c:pt idx="68">
                  <c:v>3.9290099999999999</c:v>
                </c:pt>
                <c:pt idx="69">
                  <c:v>3.9258300000000004</c:v>
                </c:pt>
                <c:pt idx="70">
                  <c:v>3.9306000000000001</c:v>
                </c:pt>
                <c:pt idx="71">
                  <c:v>3.9250499999999997</c:v>
                </c:pt>
                <c:pt idx="72">
                  <c:v>3.9018000000000002</c:v>
                </c:pt>
                <c:pt idx="73">
                  <c:v>3.8913399999999996</c:v>
                </c:pt>
                <c:pt idx="74">
                  <c:v>3.9384599999999996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15.046875</c:v>
                </c:pt>
                <c:pt idx="1">
                  <c:v>45.140625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2.9095047297297305</c:v>
                </c:pt>
                <c:pt idx="1">
                  <c:v>3.9539977027027002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  <c:pt idx="75">
                  <c:v>30.6495</c:v>
                </c:pt>
                <c:pt idx="76">
                  <c:v>31.027000000000001</c:v>
                </c:pt>
                <c:pt idx="77">
                  <c:v>31.399899999999999</c:v>
                </c:pt>
                <c:pt idx="78">
                  <c:v>31.7774</c:v>
                </c:pt>
                <c:pt idx="79">
                  <c:v>32.1539</c:v>
                </c:pt>
                <c:pt idx="80">
                  <c:v>32.559800000000003</c:v>
                </c:pt>
                <c:pt idx="81">
                  <c:v>32.963700000000003</c:v>
                </c:pt>
                <c:pt idx="82">
                  <c:v>33.369199999999999</c:v>
                </c:pt>
                <c:pt idx="83">
                  <c:v>33.773699999999998</c:v>
                </c:pt>
                <c:pt idx="84">
                  <c:v>34.185899999999997</c:v>
                </c:pt>
                <c:pt idx="85">
                  <c:v>34.5931</c:v>
                </c:pt>
                <c:pt idx="86">
                  <c:v>34.9938</c:v>
                </c:pt>
                <c:pt idx="87">
                  <c:v>35.401499999999999</c:v>
                </c:pt>
                <c:pt idx="88">
                  <c:v>35.808100000000003</c:v>
                </c:pt>
                <c:pt idx="89">
                  <c:v>36.217300000000002</c:v>
                </c:pt>
                <c:pt idx="90">
                  <c:v>36.620699999999999</c:v>
                </c:pt>
                <c:pt idx="91">
                  <c:v>37.027500000000003</c:v>
                </c:pt>
                <c:pt idx="92">
                  <c:v>37.431199999999997</c:v>
                </c:pt>
                <c:pt idx="93">
                  <c:v>37.838900000000002</c:v>
                </c:pt>
                <c:pt idx="94">
                  <c:v>38.247399999999999</c:v>
                </c:pt>
                <c:pt idx="95">
                  <c:v>38.6509</c:v>
                </c:pt>
                <c:pt idx="96">
                  <c:v>39.060699999999997</c:v>
                </c:pt>
                <c:pt idx="97">
                  <c:v>39.462600000000002</c:v>
                </c:pt>
                <c:pt idx="98">
                  <c:v>39.872100000000003</c:v>
                </c:pt>
                <c:pt idx="99">
                  <c:v>40.2776</c:v>
                </c:pt>
                <c:pt idx="100">
                  <c:v>40.683700000000002</c:v>
                </c:pt>
                <c:pt idx="101">
                  <c:v>41.087899999999998</c:v>
                </c:pt>
                <c:pt idx="102">
                  <c:v>41.4938</c:v>
                </c:pt>
                <c:pt idx="103">
                  <c:v>41.9009</c:v>
                </c:pt>
                <c:pt idx="104">
                  <c:v>42.311599999999999</c:v>
                </c:pt>
                <c:pt idx="105">
                  <c:v>42.714799999999997</c:v>
                </c:pt>
                <c:pt idx="106">
                  <c:v>43.121499999999997</c:v>
                </c:pt>
                <c:pt idx="107">
                  <c:v>43.524799999999999</c:v>
                </c:pt>
                <c:pt idx="108">
                  <c:v>43.929499999999997</c:v>
                </c:pt>
                <c:pt idx="109">
                  <c:v>44.3386</c:v>
                </c:pt>
                <c:pt idx="110">
                  <c:v>44.747100000000003</c:v>
                </c:pt>
                <c:pt idx="111">
                  <c:v>45.153300000000002</c:v>
                </c:pt>
                <c:pt idx="112">
                  <c:v>45.558900000000001</c:v>
                </c:pt>
                <c:pt idx="113">
                  <c:v>45.967599999999997</c:v>
                </c:pt>
                <c:pt idx="114">
                  <c:v>46.371699999999997</c:v>
                </c:pt>
                <c:pt idx="115">
                  <c:v>46.777900000000002</c:v>
                </c:pt>
                <c:pt idx="116">
                  <c:v>47.183399999999999</c:v>
                </c:pt>
                <c:pt idx="117">
                  <c:v>47.585900000000002</c:v>
                </c:pt>
                <c:pt idx="118">
                  <c:v>47.998699999999999</c:v>
                </c:pt>
                <c:pt idx="119">
                  <c:v>48.404000000000003</c:v>
                </c:pt>
                <c:pt idx="120">
                  <c:v>48.810299999999998</c:v>
                </c:pt>
                <c:pt idx="121">
                  <c:v>49.215899999999998</c:v>
                </c:pt>
                <c:pt idx="122">
                  <c:v>49.620699999999999</c:v>
                </c:pt>
                <c:pt idx="123">
                  <c:v>50.025700000000001</c:v>
                </c:pt>
                <c:pt idx="124">
                  <c:v>50.4313</c:v>
                </c:pt>
                <c:pt idx="125">
                  <c:v>50.838000000000001</c:v>
                </c:pt>
                <c:pt idx="126">
                  <c:v>51.246699999999997</c:v>
                </c:pt>
                <c:pt idx="127">
                  <c:v>51.655299999999997</c:v>
                </c:pt>
                <c:pt idx="128">
                  <c:v>52.060600000000001</c:v>
                </c:pt>
                <c:pt idx="129">
                  <c:v>52.464300000000001</c:v>
                </c:pt>
                <c:pt idx="130">
                  <c:v>52.871400000000001</c:v>
                </c:pt>
                <c:pt idx="131">
                  <c:v>53.276800000000001</c:v>
                </c:pt>
                <c:pt idx="132">
                  <c:v>53.685000000000002</c:v>
                </c:pt>
                <c:pt idx="133">
                  <c:v>54.090699999999998</c:v>
                </c:pt>
                <c:pt idx="134">
                  <c:v>54.495899999999999</c:v>
                </c:pt>
                <c:pt idx="135">
                  <c:v>54.900599999999997</c:v>
                </c:pt>
                <c:pt idx="136">
                  <c:v>55.306199999999997</c:v>
                </c:pt>
                <c:pt idx="137">
                  <c:v>55.714300000000001</c:v>
                </c:pt>
                <c:pt idx="138">
                  <c:v>56.12</c:v>
                </c:pt>
                <c:pt idx="139">
                  <c:v>56.527799999999999</c:v>
                </c:pt>
                <c:pt idx="140">
                  <c:v>56.935499999999998</c:v>
                </c:pt>
                <c:pt idx="141">
                  <c:v>57.3399</c:v>
                </c:pt>
                <c:pt idx="142">
                  <c:v>57.745399999999997</c:v>
                </c:pt>
                <c:pt idx="143">
                  <c:v>58.158700000000003</c:v>
                </c:pt>
                <c:pt idx="144">
                  <c:v>58.566400000000002</c:v>
                </c:pt>
                <c:pt idx="145">
                  <c:v>58.970300000000002</c:v>
                </c:pt>
                <c:pt idx="146">
                  <c:v>59.3748</c:v>
                </c:pt>
                <c:pt idx="147">
                  <c:v>59.777000000000001</c:v>
                </c:pt>
                <c:pt idx="148">
                  <c:v>60.1875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  <c:pt idx="75">
                  <c:v>8.3147400000000005</c:v>
                </c:pt>
                <c:pt idx="76">
                  <c:v>8.3136299999999999</c:v>
                </c:pt>
                <c:pt idx="77">
                  <c:v>8.2735000000000003</c:v>
                </c:pt>
                <c:pt idx="78">
                  <c:v>8.2365900000000014</c:v>
                </c:pt>
                <c:pt idx="79">
                  <c:v>8.1974199999999993</c:v>
                </c:pt>
                <c:pt idx="80">
                  <c:v>8.1843599999999999</c:v>
                </c:pt>
                <c:pt idx="81">
                  <c:v>8.1579099999999993</c:v>
                </c:pt>
                <c:pt idx="82">
                  <c:v>8.2025299999999994</c:v>
                </c:pt>
                <c:pt idx="83">
                  <c:v>8.2988400000000002</c:v>
                </c:pt>
                <c:pt idx="84">
                  <c:v>8.4649999999999999</c:v>
                </c:pt>
                <c:pt idx="85">
                  <c:v>8.6369299999999996</c:v>
                </c:pt>
                <c:pt idx="86">
                  <c:v>8.6610700000000005</c:v>
                </c:pt>
                <c:pt idx="87">
                  <c:v>8.6064799999999995</c:v>
                </c:pt>
                <c:pt idx="88">
                  <c:v>8.6836099999999998</c:v>
                </c:pt>
                <c:pt idx="89">
                  <c:v>8.696810000000001</c:v>
                </c:pt>
                <c:pt idx="90">
                  <c:v>8.6007899999999999</c:v>
                </c:pt>
                <c:pt idx="91">
                  <c:v>8.3816399999999991</c:v>
                </c:pt>
                <c:pt idx="92">
                  <c:v>8.0971799999999998</c:v>
                </c:pt>
                <c:pt idx="93">
                  <c:v>7.8486500000000001</c:v>
                </c:pt>
                <c:pt idx="94">
                  <c:v>7.6909400000000003</c:v>
                </c:pt>
                <c:pt idx="95">
                  <c:v>7.6610300000000002</c:v>
                </c:pt>
                <c:pt idx="96">
                  <c:v>7.6308799999999994</c:v>
                </c:pt>
                <c:pt idx="97">
                  <c:v>7.51675</c:v>
                </c:pt>
                <c:pt idx="98">
                  <c:v>7.31691</c:v>
                </c:pt>
                <c:pt idx="99">
                  <c:v>7.1548400000000001</c:v>
                </c:pt>
                <c:pt idx="100">
                  <c:v>7.0564499999999999</c:v>
                </c:pt>
                <c:pt idx="101">
                  <c:v>6.8888400000000001</c:v>
                </c:pt>
                <c:pt idx="102">
                  <c:v>6.7907800000000007</c:v>
                </c:pt>
                <c:pt idx="103">
                  <c:v>6.7591899999999994</c:v>
                </c:pt>
                <c:pt idx="104">
                  <c:v>6.7709000000000001</c:v>
                </c:pt>
                <c:pt idx="105">
                  <c:v>6.8103800000000003</c:v>
                </c:pt>
                <c:pt idx="106">
                  <c:v>6.8829199999999995</c:v>
                </c:pt>
                <c:pt idx="107">
                  <c:v>6.9155800000000003</c:v>
                </c:pt>
                <c:pt idx="108">
                  <c:v>6.9039199999999994</c:v>
                </c:pt>
                <c:pt idx="109">
                  <c:v>6.9359799999999998</c:v>
                </c:pt>
                <c:pt idx="110">
                  <c:v>7.0167400000000004</c:v>
                </c:pt>
                <c:pt idx="111">
                  <c:v>7.1145399999999999</c:v>
                </c:pt>
                <c:pt idx="112">
                  <c:v>7.2126700000000001</c:v>
                </c:pt>
                <c:pt idx="113">
                  <c:v>7.3195800000000002</c:v>
                </c:pt>
                <c:pt idx="114">
                  <c:v>7.4614700000000003</c:v>
                </c:pt>
                <c:pt idx="115">
                  <c:v>7.4928900000000009</c:v>
                </c:pt>
                <c:pt idx="116">
                  <c:v>7.5422000000000002</c:v>
                </c:pt>
                <c:pt idx="117">
                  <c:v>7.7714699999999999</c:v>
                </c:pt>
                <c:pt idx="118">
                  <c:v>8.0961599999999994</c:v>
                </c:pt>
                <c:pt idx="119">
                  <c:v>8.3730899999999995</c:v>
                </c:pt>
                <c:pt idx="120">
                  <c:v>8.4901199999999992</c:v>
                </c:pt>
                <c:pt idx="121">
                  <c:v>8.6052</c:v>
                </c:pt>
                <c:pt idx="122">
                  <c:v>8.8581699999999994</c:v>
                </c:pt>
                <c:pt idx="123">
                  <c:v>9.2106099999999991</c:v>
                </c:pt>
                <c:pt idx="124">
                  <c:v>9.3497399999999988</c:v>
                </c:pt>
                <c:pt idx="125">
                  <c:v>9.4432399999999994</c:v>
                </c:pt>
                <c:pt idx="126">
                  <c:v>9.5808599999999995</c:v>
                </c:pt>
                <c:pt idx="127">
                  <c:v>9.7454799999999988</c:v>
                </c:pt>
                <c:pt idx="128">
                  <c:v>9.8429400000000005</c:v>
                </c:pt>
                <c:pt idx="129">
                  <c:v>9.9080399999999997</c:v>
                </c:pt>
                <c:pt idx="130">
                  <c:v>9.9100900000000003</c:v>
                </c:pt>
                <c:pt idx="131">
                  <c:v>9.9310899999999993</c:v>
                </c:pt>
                <c:pt idx="132">
                  <c:v>9.9760200000000001</c:v>
                </c:pt>
                <c:pt idx="133">
                  <c:v>10.0886</c:v>
                </c:pt>
                <c:pt idx="134">
                  <c:v>10.1031</c:v>
                </c:pt>
                <c:pt idx="135">
                  <c:v>10.058200000000001</c:v>
                </c:pt>
                <c:pt idx="136">
                  <c:v>10.062799999999999</c:v>
                </c:pt>
                <c:pt idx="137">
                  <c:v>10.077</c:v>
                </c:pt>
                <c:pt idx="138">
                  <c:v>10.063600000000001</c:v>
                </c:pt>
                <c:pt idx="139">
                  <c:v>10.0898</c:v>
                </c:pt>
                <c:pt idx="140">
                  <c:v>10.3529</c:v>
                </c:pt>
                <c:pt idx="141">
                  <c:v>10.9168</c:v>
                </c:pt>
                <c:pt idx="142">
                  <c:v>11.367900000000001</c:v>
                </c:pt>
                <c:pt idx="143">
                  <c:v>11.6503</c:v>
                </c:pt>
                <c:pt idx="144">
                  <c:v>11.7148</c:v>
                </c:pt>
                <c:pt idx="145">
                  <c:v>12.2158</c:v>
                </c:pt>
                <c:pt idx="146">
                  <c:v>12.4931</c:v>
                </c:pt>
                <c:pt idx="147">
                  <c:v>11.882299999999999</c:v>
                </c:pt>
                <c:pt idx="148">
                  <c:v>8.6436600000000006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0.399727</c:v>
                </c:pt>
                <c:pt idx="2">
                  <c:v>0.80646899999999999</c:v>
                </c:pt>
                <c:pt idx="3">
                  <c:v>1.21305</c:v>
                </c:pt>
                <c:pt idx="4">
                  <c:v>1.6171199999999999</c:v>
                </c:pt>
                <c:pt idx="5">
                  <c:v>2.02868</c:v>
                </c:pt>
                <c:pt idx="6">
                  <c:v>2.43248</c:v>
                </c:pt>
                <c:pt idx="7">
                  <c:v>2.8383699999999998</c:v>
                </c:pt>
                <c:pt idx="8">
                  <c:v>3.2436600000000002</c:v>
                </c:pt>
                <c:pt idx="9">
                  <c:v>3.6587700000000001</c:v>
                </c:pt>
                <c:pt idx="10">
                  <c:v>4.05748</c:v>
                </c:pt>
                <c:pt idx="11">
                  <c:v>4.4671599999999998</c:v>
                </c:pt>
                <c:pt idx="12">
                  <c:v>4.8689600000000004</c:v>
                </c:pt>
                <c:pt idx="13">
                  <c:v>5.2794800000000004</c:v>
                </c:pt>
                <c:pt idx="14">
                  <c:v>5.6838899999999999</c:v>
                </c:pt>
                <c:pt idx="15">
                  <c:v>6.0906700000000003</c:v>
                </c:pt>
                <c:pt idx="16">
                  <c:v>6.4957799999999999</c:v>
                </c:pt>
                <c:pt idx="17">
                  <c:v>6.8995199999999999</c:v>
                </c:pt>
                <c:pt idx="18">
                  <c:v>7.3079299999999998</c:v>
                </c:pt>
                <c:pt idx="19">
                  <c:v>7.7144899999999996</c:v>
                </c:pt>
                <c:pt idx="20">
                  <c:v>8.1187400000000007</c:v>
                </c:pt>
                <c:pt idx="21">
                  <c:v>8.5265699999999995</c:v>
                </c:pt>
                <c:pt idx="22">
                  <c:v>8.9326799999999995</c:v>
                </c:pt>
                <c:pt idx="23">
                  <c:v>9.3392999999999997</c:v>
                </c:pt>
                <c:pt idx="24">
                  <c:v>9.7462400000000002</c:v>
                </c:pt>
                <c:pt idx="25">
                  <c:v>10.1533</c:v>
                </c:pt>
                <c:pt idx="26">
                  <c:v>10.5602</c:v>
                </c:pt>
                <c:pt idx="27">
                  <c:v>10.9643</c:v>
                </c:pt>
                <c:pt idx="28">
                  <c:v>11.3688</c:v>
                </c:pt>
                <c:pt idx="29">
                  <c:v>11.7781</c:v>
                </c:pt>
                <c:pt idx="30">
                  <c:v>12.184799999999999</c:v>
                </c:pt>
                <c:pt idx="31">
                  <c:v>12.593400000000001</c:v>
                </c:pt>
                <c:pt idx="32">
                  <c:v>12.997299999999999</c:v>
                </c:pt>
                <c:pt idx="33">
                  <c:v>13.4001</c:v>
                </c:pt>
                <c:pt idx="34">
                  <c:v>13.808400000000001</c:v>
                </c:pt>
                <c:pt idx="35">
                  <c:v>14.215999999999999</c:v>
                </c:pt>
                <c:pt idx="36">
                  <c:v>14.623200000000001</c:v>
                </c:pt>
                <c:pt idx="37">
                  <c:v>15.029199999999999</c:v>
                </c:pt>
                <c:pt idx="38">
                  <c:v>15.4314</c:v>
                </c:pt>
                <c:pt idx="39">
                  <c:v>15.8383</c:v>
                </c:pt>
                <c:pt idx="40">
                  <c:v>16.2471</c:v>
                </c:pt>
                <c:pt idx="41">
                  <c:v>16.651199999999999</c:v>
                </c:pt>
                <c:pt idx="42">
                  <c:v>17.057600000000001</c:v>
                </c:pt>
                <c:pt idx="43">
                  <c:v>17.464400000000001</c:v>
                </c:pt>
                <c:pt idx="44">
                  <c:v>17.869299999999999</c:v>
                </c:pt>
                <c:pt idx="45">
                  <c:v>18.276599999999998</c:v>
                </c:pt>
                <c:pt idx="46">
                  <c:v>18.684699999999999</c:v>
                </c:pt>
                <c:pt idx="47">
                  <c:v>19.0899</c:v>
                </c:pt>
                <c:pt idx="48">
                  <c:v>19.493600000000001</c:v>
                </c:pt>
                <c:pt idx="49">
                  <c:v>19.901599999999998</c:v>
                </c:pt>
                <c:pt idx="50">
                  <c:v>20.308199999999999</c:v>
                </c:pt>
                <c:pt idx="51">
                  <c:v>20.715699999999998</c:v>
                </c:pt>
                <c:pt idx="52">
                  <c:v>21.119199999999999</c:v>
                </c:pt>
                <c:pt idx="53">
                  <c:v>21.524899999999999</c:v>
                </c:pt>
                <c:pt idx="54">
                  <c:v>21.9315</c:v>
                </c:pt>
                <c:pt idx="55">
                  <c:v>22.339700000000001</c:v>
                </c:pt>
                <c:pt idx="56">
                  <c:v>22.7454</c:v>
                </c:pt>
                <c:pt idx="57">
                  <c:v>23.151199999999999</c:v>
                </c:pt>
                <c:pt idx="58">
                  <c:v>23.555499999999999</c:v>
                </c:pt>
                <c:pt idx="59">
                  <c:v>23.9648</c:v>
                </c:pt>
                <c:pt idx="60">
                  <c:v>24.370799999999999</c:v>
                </c:pt>
                <c:pt idx="61">
                  <c:v>24.779699999999998</c:v>
                </c:pt>
                <c:pt idx="62">
                  <c:v>25.1858</c:v>
                </c:pt>
                <c:pt idx="63">
                  <c:v>25.587599999999998</c:v>
                </c:pt>
                <c:pt idx="64">
                  <c:v>25.997800000000002</c:v>
                </c:pt>
                <c:pt idx="65">
                  <c:v>26.402100000000001</c:v>
                </c:pt>
                <c:pt idx="66">
                  <c:v>26.808399999999999</c:v>
                </c:pt>
                <c:pt idx="67">
                  <c:v>27.214700000000001</c:v>
                </c:pt>
                <c:pt idx="68">
                  <c:v>27.622299999999999</c:v>
                </c:pt>
                <c:pt idx="69">
                  <c:v>28.0291</c:v>
                </c:pt>
                <c:pt idx="70">
                  <c:v>28.4329</c:v>
                </c:pt>
                <c:pt idx="71">
                  <c:v>28.837700000000002</c:v>
                </c:pt>
                <c:pt idx="72">
                  <c:v>29.2438</c:v>
                </c:pt>
                <c:pt idx="73">
                  <c:v>29.650700000000001</c:v>
                </c:pt>
                <c:pt idx="74">
                  <c:v>30.057600000000001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30.057600000000001</c:v>
                </c:pt>
                <c:pt idx="1">
                  <c:v>30.6495</c:v>
                </c:pt>
                <c:pt idx="2">
                  <c:v>31.027000000000001</c:v>
                </c:pt>
                <c:pt idx="3">
                  <c:v>31.399899999999999</c:v>
                </c:pt>
                <c:pt idx="4">
                  <c:v>31.7774</c:v>
                </c:pt>
                <c:pt idx="5">
                  <c:v>32.1539</c:v>
                </c:pt>
                <c:pt idx="6">
                  <c:v>32.559800000000003</c:v>
                </c:pt>
                <c:pt idx="7">
                  <c:v>32.963700000000003</c:v>
                </c:pt>
                <c:pt idx="8">
                  <c:v>33.369199999999999</c:v>
                </c:pt>
                <c:pt idx="9">
                  <c:v>33.773699999999998</c:v>
                </c:pt>
                <c:pt idx="10">
                  <c:v>34.185899999999997</c:v>
                </c:pt>
                <c:pt idx="11">
                  <c:v>34.5931</c:v>
                </c:pt>
                <c:pt idx="12">
                  <c:v>34.9938</c:v>
                </c:pt>
                <c:pt idx="13">
                  <c:v>35.401499999999999</c:v>
                </c:pt>
                <c:pt idx="14">
                  <c:v>35.808100000000003</c:v>
                </c:pt>
                <c:pt idx="15">
                  <c:v>36.217300000000002</c:v>
                </c:pt>
                <c:pt idx="16">
                  <c:v>36.620699999999999</c:v>
                </c:pt>
                <c:pt idx="17">
                  <c:v>37.027500000000003</c:v>
                </c:pt>
                <c:pt idx="18">
                  <c:v>37.431199999999997</c:v>
                </c:pt>
                <c:pt idx="19">
                  <c:v>37.838900000000002</c:v>
                </c:pt>
                <c:pt idx="20">
                  <c:v>38.247399999999999</c:v>
                </c:pt>
                <c:pt idx="21">
                  <c:v>38.6509</c:v>
                </c:pt>
                <c:pt idx="22">
                  <c:v>39.060699999999997</c:v>
                </c:pt>
                <c:pt idx="23">
                  <c:v>39.462600000000002</c:v>
                </c:pt>
                <c:pt idx="24">
                  <c:v>39.872100000000003</c:v>
                </c:pt>
                <c:pt idx="25">
                  <c:v>40.2776</c:v>
                </c:pt>
                <c:pt idx="26">
                  <c:v>40.683700000000002</c:v>
                </c:pt>
                <c:pt idx="27">
                  <c:v>41.087899999999998</c:v>
                </c:pt>
                <c:pt idx="28">
                  <c:v>41.4938</c:v>
                </c:pt>
                <c:pt idx="29">
                  <c:v>41.9009</c:v>
                </c:pt>
                <c:pt idx="30">
                  <c:v>42.311599999999999</c:v>
                </c:pt>
                <c:pt idx="31">
                  <c:v>42.714799999999997</c:v>
                </c:pt>
                <c:pt idx="32">
                  <c:v>43.121499999999997</c:v>
                </c:pt>
                <c:pt idx="33">
                  <c:v>43.524799999999999</c:v>
                </c:pt>
                <c:pt idx="34">
                  <c:v>43.929499999999997</c:v>
                </c:pt>
                <c:pt idx="35">
                  <c:v>44.3386</c:v>
                </c:pt>
                <c:pt idx="36">
                  <c:v>44.747100000000003</c:v>
                </c:pt>
                <c:pt idx="37">
                  <c:v>45.153300000000002</c:v>
                </c:pt>
                <c:pt idx="38">
                  <c:v>45.558900000000001</c:v>
                </c:pt>
                <c:pt idx="39">
                  <c:v>45.967599999999997</c:v>
                </c:pt>
                <c:pt idx="40">
                  <c:v>46.371699999999997</c:v>
                </c:pt>
                <c:pt idx="41">
                  <c:v>46.777900000000002</c:v>
                </c:pt>
                <c:pt idx="42">
                  <c:v>47.183399999999999</c:v>
                </c:pt>
                <c:pt idx="43">
                  <c:v>47.585900000000002</c:v>
                </c:pt>
                <c:pt idx="44">
                  <c:v>47.998699999999999</c:v>
                </c:pt>
                <c:pt idx="45">
                  <c:v>48.404000000000003</c:v>
                </c:pt>
                <c:pt idx="46">
                  <c:v>48.810299999999998</c:v>
                </c:pt>
                <c:pt idx="47">
                  <c:v>49.215899999999998</c:v>
                </c:pt>
                <c:pt idx="48">
                  <c:v>49.620699999999999</c:v>
                </c:pt>
                <c:pt idx="49">
                  <c:v>50.025700000000001</c:v>
                </c:pt>
                <c:pt idx="50">
                  <c:v>50.4313</c:v>
                </c:pt>
                <c:pt idx="51">
                  <c:v>50.838000000000001</c:v>
                </c:pt>
                <c:pt idx="52">
                  <c:v>51.246699999999997</c:v>
                </c:pt>
                <c:pt idx="53">
                  <c:v>51.655299999999997</c:v>
                </c:pt>
                <c:pt idx="54">
                  <c:v>52.060600000000001</c:v>
                </c:pt>
                <c:pt idx="55">
                  <c:v>52.464300000000001</c:v>
                </c:pt>
                <c:pt idx="56">
                  <c:v>52.871400000000001</c:v>
                </c:pt>
                <c:pt idx="57">
                  <c:v>53.276800000000001</c:v>
                </c:pt>
                <c:pt idx="58">
                  <c:v>53.685000000000002</c:v>
                </c:pt>
                <c:pt idx="59">
                  <c:v>54.090699999999998</c:v>
                </c:pt>
                <c:pt idx="60">
                  <c:v>54.495899999999999</c:v>
                </c:pt>
                <c:pt idx="61">
                  <c:v>54.900599999999997</c:v>
                </c:pt>
                <c:pt idx="62">
                  <c:v>55.306199999999997</c:v>
                </c:pt>
                <c:pt idx="63">
                  <c:v>55.714300000000001</c:v>
                </c:pt>
                <c:pt idx="64">
                  <c:v>56.12</c:v>
                </c:pt>
                <c:pt idx="65">
                  <c:v>56.527799999999999</c:v>
                </c:pt>
                <c:pt idx="66">
                  <c:v>56.935499999999998</c:v>
                </c:pt>
                <c:pt idx="67">
                  <c:v>57.3399</c:v>
                </c:pt>
                <c:pt idx="68">
                  <c:v>57.745399999999997</c:v>
                </c:pt>
                <c:pt idx="69">
                  <c:v>58.158700000000003</c:v>
                </c:pt>
                <c:pt idx="70">
                  <c:v>58.566400000000002</c:v>
                </c:pt>
                <c:pt idx="71">
                  <c:v>58.970300000000002</c:v>
                </c:pt>
                <c:pt idx="72">
                  <c:v>59.3748</c:v>
                </c:pt>
                <c:pt idx="73">
                  <c:v>59.777000000000001</c:v>
                </c:pt>
                <c:pt idx="74">
                  <c:v>60.1875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8.2937200000000004</c:v>
                </c:pt>
                <c:pt idx="1">
                  <c:v>8.3147400000000005</c:v>
                </c:pt>
                <c:pt idx="2">
                  <c:v>8.3136299999999999</c:v>
                </c:pt>
                <c:pt idx="3">
                  <c:v>8.2735000000000003</c:v>
                </c:pt>
                <c:pt idx="4">
                  <c:v>8.2365900000000014</c:v>
                </c:pt>
                <c:pt idx="5">
                  <c:v>8.1974199999999993</c:v>
                </c:pt>
                <c:pt idx="6">
                  <c:v>8.1843599999999999</c:v>
                </c:pt>
                <c:pt idx="7">
                  <c:v>8.1579099999999993</c:v>
                </c:pt>
                <c:pt idx="8">
                  <c:v>8.2025299999999994</c:v>
                </c:pt>
                <c:pt idx="9">
                  <c:v>8.2988400000000002</c:v>
                </c:pt>
                <c:pt idx="10">
                  <c:v>8.4649999999999999</c:v>
                </c:pt>
                <c:pt idx="11">
                  <c:v>8.6369299999999996</c:v>
                </c:pt>
                <c:pt idx="12">
                  <c:v>8.6610700000000005</c:v>
                </c:pt>
                <c:pt idx="13">
                  <c:v>8.6064799999999995</c:v>
                </c:pt>
                <c:pt idx="14">
                  <c:v>8.6836099999999998</c:v>
                </c:pt>
                <c:pt idx="15">
                  <c:v>8.696810000000001</c:v>
                </c:pt>
                <c:pt idx="16">
                  <c:v>8.6007899999999999</c:v>
                </c:pt>
                <c:pt idx="17">
                  <c:v>8.3816399999999991</c:v>
                </c:pt>
                <c:pt idx="18">
                  <c:v>8.0971799999999998</c:v>
                </c:pt>
                <c:pt idx="19">
                  <c:v>7.8486500000000001</c:v>
                </c:pt>
                <c:pt idx="20">
                  <c:v>7.6909400000000003</c:v>
                </c:pt>
                <c:pt idx="21">
                  <c:v>7.6610300000000002</c:v>
                </c:pt>
                <c:pt idx="22">
                  <c:v>7.6308799999999994</c:v>
                </c:pt>
                <c:pt idx="23">
                  <c:v>7.51675</c:v>
                </c:pt>
                <c:pt idx="24">
                  <c:v>7.31691</c:v>
                </c:pt>
                <c:pt idx="25">
                  <c:v>7.1548400000000001</c:v>
                </c:pt>
                <c:pt idx="26">
                  <c:v>7.0564499999999999</c:v>
                </c:pt>
                <c:pt idx="27">
                  <c:v>6.8888400000000001</c:v>
                </c:pt>
                <c:pt idx="28">
                  <c:v>6.7907800000000007</c:v>
                </c:pt>
                <c:pt idx="29">
                  <c:v>6.7591899999999994</c:v>
                </c:pt>
                <c:pt idx="30">
                  <c:v>6.7709000000000001</c:v>
                </c:pt>
                <c:pt idx="31">
                  <c:v>6.8103800000000003</c:v>
                </c:pt>
                <c:pt idx="32">
                  <c:v>6.8829199999999995</c:v>
                </c:pt>
                <c:pt idx="33">
                  <c:v>6.9155800000000003</c:v>
                </c:pt>
                <c:pt idx="34">
                  <c:v>6.9039199999999994</c:v>
                </c:pt>
                <c:pt idx="35">
                  <c:v>6.9359799999999998</c:v>
                </c:pt>
                <c:pt idx="36">
                  <c:v>7.0167400000000004</c:v>
                </c:pt>
                <c:pt idx="37">
                  <c:v>7.1145399999999999</c:v>
                </c:pt>
                <c:pt idx="38">
                  <c:v>7.2126700000000001</c:v>
                </c:pt>
                <c:pt idx="39">
                  <c:v>7.3195800000000002</c:v>
                </c:pt>
                <c:pt idx="40">
                  <c:v>7.4614700000000003</c:v>
                </c:pt>
                <c:pt idx="41">
                  <c:v>7.4928900000000009</c:v>
                </c:pt>
                <c:pt idx="42">
                  <c:v>7.5422000000000002</c:v>
                </c:pt>
                <c:pt idx="43">
                  <c:v>7.7714699999999999</c:v>
                </c:pt>
                <c:pt idx="44">
                  <c:v>8.0961599999999994</c:v>
                </c:pt>
                <c:pt idx="45">
                  <c:v>8.3730899999999995</c:v>
                </c:pt>
                <c:pt idx="46">
                  <c:v>8.4901199999999992</c:v>
                </c:pt>
                <c:pt idx="47">
                  <c:v>8.6052</c:v>
                </c:pt>
                <c:pt idx="48">
                  <c:v>8.8581699999999994</c:v>
                </c:pt>
                <c:pt idx="49">
                  <c:v>9.2106099999999991</c:v>
                </c:pt>
                <c:pt idx="50">
                  <c:v>9.3497399999999988</c:v>
                </c:pt>
                <c:pt idx="51">
                  <c:v>9.4432399999999994</c:v>
                </c:pt>
                <c:pt idx="52">
                  <c:v>9.5808599999999995</c:v>
                </c:pt>
                <c:pt idx="53">
                  <c:v>9.7454799999999988</c:v>
                </c:pt>
                <c:pt idx="54">
                  <c:v>9.8429400000000005</c:v>
                </c:pt>
                <c:pt idx="55">
                  <c:v>9.9080399999999997</c:v>
                </c:pt>
                <c:pt idx="56">
                  <c:v>9.9100900000000003</c:v>
                </c:pt>
                <c:pt idx="57">
                  <c:v>9.9310899999999993</c:v>
                </c:pt>
                <c:pt idx="58">
                  <c:v>9.9760200000000001</c:v>
                </c:pt>
                <c:pt idx="59">
                  <c:v>10.0886</c:v>
                </c:pt>
                <c:pt idx="60">
                  <c:v>10.1031</c:v>
                </c:pt>
                <c:pt idx="61">
                  <c:v>10.058200000000001</c:v>
                </c:pt>
                <c:pt idx="62">
                  <c:v>10.062799999999999</c:v>
                </c:pt>
                <c:pt idx="63">
                  <c:v>10.077</c:v>
                </c:pt>
                <c:pt idx="64">
                  <c:v>10.063600000000001</c:v>
                </c:pt>
                <c:pt idx="65">
                  <c:v>10.0898</c:v>
                </c:pt>
                <c:pt idx="66">
                  <c:v>10.3529</c:v>
                </c:pt>
                <c:pt idx="67">
                  <c:v>10.9168</c:v>
                </c:pt>
                <c:pt idx="68">
                  <c:v>11.367900000000001</c:v>
                </c:pt>
                <c:pt idx="69">
                  <c:v>11.6503</c:v>
                </c:pt>
                <c:pt idx="70">
                  <c:v>11.7148</c:v>
                </c:pt>
                <c:pt idx="71">
                  <c:v>12.2158</c:v>
                </c:pt>
                <c:pt idx="72">
                  <c:v>12.4931</c:v>
                </c:pt>
                <c:pt idx="73">
                  <c:v>11.882299999999999</c:v>
                </c:pt>
                <c:pt idx="74">
                  <c:v>8.6436600000000006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15.046875</c:v>
                </c:pt>
                <c:pt idx="1">
                  <c:v>45.140625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30.516354189189183</c:v>
                </c:pt>
                <c:pt idx="1">
                  <c:v>8.6787445945945958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  <c:pt idx="75">
                  <c:v>4.0828300000000004</c:v>
                </c:pt>
                <c:pt idx="76">
                  <c:v>4.0773099999999998</c:v>
                </c:pt>
                <c:pt idx="77">
                  <c:v>4.07308</c:v>
                </c:pt>
                <c:pt idx="78">
                  <c:v>4.0678700000000001</c:v>
                </c:pt>
                <c:pt idx="79">
                  <c:v>4.05924</c:v>
                </c:pt>
                <c:pt idx="80">
                  <c:v>4.0492900000000001</c:v>
                </c:pt>
                <c:pt idx="81">
                  <c:v>4.0412699999999999</c:v>
                </c:pt>
                <c:pt idx="82">
                  <c:v>4.0286400000000002</c:v>
                </c:pt>
                <c:pt idx="83">
                  <c:v>4.0101700000000005</c:v>
                </c:pt>
                <c:pt idx="84">
                  <c:v>3.9883899999999999</c:v>
                </c:pt>
                <c:pt idx="85">
                  <c:v>3.9656500000000001</c:v>
                </c:pt>
                <c:pt idx="86">
                  <c:v>3.9465299999999996</c:v>
                </c:pt>
                <c:pt idx="87">
                  <c:v>3.9296599999999997</c:v>
                </c:pt>
                <c:pt idx="88">
                  <c:v>3.9099200000000001</c:v>
                </c:pt>
                <c:pt idx="89">
                  <c:v>3.8956</c:v>
                </c:pt>
                <c:pt idx="90">
                  <c:v>3.8871600000000002</c:v>
                </c:pt>
                <c:pt idx="91">
                  <c:v>3.8860000000000001</c:v>
                </c:pt>
                <c:pt idx="92">
                  <c:v>3.8881199999999998</c:v>
                </c:pt>
                <c:pt idx="93">
                  <c:v>3.8915499999999996</c:v>
                </c:pt>
                <c:pt idx="94">
                  <c:v>3.8921200000000002</c:v>
                </c:pt>
                <c:pt idx="95">
                  <c:v>3.8916299999999997</c:v>
                </c:pt>
                <c:pt idx="96">
                  <c:v>3.89276</c:v>
                </c:pt>
                <c:pt idx="97">
                  <c:v>3.8955699999999998</c:v>
                </c:pt>
                <c:pt idx="98">
                  <c:v>3.90245</c:v>
                </c:pt>
                <c:pt idx="99">
                  <c:v>3.9098699999999997</c:v>
                </c:pt>
                <c:pt idx="100">
                  <c:v>3.9144699999999997</c:v>
                </c:pt>
                <c:pt idx="101">
                  <c:v>3.9238600000000003</c:v>
                </c:pt>
                <c:pt idx="102">
                  <c:v>3.9304299999999999</c:v>
                </c:pt>
                <c:pt idx="103">
                  <c:v>3.9345499999999998</c:v>
                </c:pt>
                <c:pt idx="104">
                  <c:v>3.9391799999999999</c:v>
                </c:pt>
                <c:pt idx="105">
                  <c:v>3.9425500000000002</c:v>
                </c:pt>
                <c:pt idx="106">
                  <c:v>3.9430500000000004</c:v>
                </c:pt>
                <c:pt idx="107">
                  <c:v>3.94292</c:v>
                </c:pt>
                <c:pt idx="108">
                  <c:v>3.9452100000000003</c:v>
                </c:pt>
                <c:pt idx="109">
                  <c:v>3.9473799999999999</c:v>
                </c:pt>
                <c:pt idx="110">
                  <c:v>3.9521800000000002</c:v>
                </c:pt>
                <c:pt idx="111">
                  <c:v>3.95926</c:v>
                </c:pt>
                <c:pt idx="112">
                  <c:v>3.9659200000000001</c:v>
                </c:pt>
                <c:pt idx="113">
                  <c:v>3.97254</c:v>
                </c:pt>
                <c:pt idx="114">
                  <c:v>3.9750100000000002</c:v>
                </c:pt>
                <c:pt idx="115">
                  <c:v>3.9801700000000002</c:v>
                </c:pt>
                <c:pt idx="116">
                  <c:v>3.9822999999999995</c:v>
                </c:pt>
                <c:pt idx="117">
                  <c:v>3.9766499999999998</c:v>
                </c:pt>
                <c:pt idx="118">
                  <c:v>3.9692699999999999</c:v>
                </c:pt>
                <c:pt idx="119">
                  <c:v>3.96414</c:v>
                </c:pt>
                <c:pt idx="120">
                  <c:v>3.96407</c:v>
                </c:pt>
                <c:pt idx="121">
                  <c:v>3.9675899999999995</c:v>
                </c:pt>
                <c:pt idx="122">
                  <c:v>3.9653100000000001</c:v>
                </c:pt>
                <c:pt idx="123">
                  <c:v>3.9567000000000001</c:v>
                </c:pt>
                <c:pt idx="124">
                  <c:v>3.9527000000000001</c:v>
                </c:pt>
                <c:pt idx="125">
                  <c:v>3.9500600000000001</c:v>
                </c:pt>
                <c:pt idx="126">
                  <c:v>3.9447700000000001</c:v>
                </c:pt>
                <c:pt idx="127">
                  <c:v>3.9398499999999999</c:v>
                </c:pt>
                <c:pt idx="128">
                  <c:v>3.9386999999999999</c:v>
                </c:pt>
                <c:pt idx="129">
                  <c:v>3.9371</c:v>
                </c:pt>
                <c:pt idx="130">
                  <c:v>3.9381899999999996</c:v>
                </c:pt>
                <c:pt idx="131">
                  <c:v>3.9388699999999996</c:v>
                </c:pt>
                <c:pt idx="132">
                  <c:v>3.9413300000000002</c:v>
                </c:pt>
                <c:pt idx="133">
                  <c:v>3.9430999999999998</c:v>
                </c:pt>
                <c:pt idx="134">
                  <c:v>3.9484699999999999</c:v>
                </c:pt>
                <c:pt idx="135">
                  <c:v>3.9513700000000003</c:v>
                </c:pt>
                <c:pt idx="136">
                  <c:v>3.9505800000000004</c:v>
                </c:pt>
                <c:pt idx="137">
                  <c:v>3.9516400000000003</c:v>
                </c:pt>
                <c:pt idx="138">
                  <c:v>3.9535900000000002</c:v>
                </c:pt>
                <c:pt idx="139">
                  <c:v>3.9560499999999998</c:v>
                </c:pt>
                <c:pt idx="140">
                  <c:v>3.9500600000000001</c:v>
                </c:pt>
                <c:pt idx="141">
                  <c:v>3.9356499999999999</c:v>
                </c:pt>
                <c:pt idx="142">
                  <c:v>3.9290099999999999</c:v>
                </c:pt>
                <c:pt idx="143">
                  <c:v>3.9258300000000004</c:v>
                </c:pt>
                <c:pt idx="144">
                  <c:v>3.9306000000000001</c:v>
                </c:pt>
                <c:pt idx="145">
                  <c:v>3.9250499999999997</c:v>
                </c:pt>
                <c:pt idx="146">
                  <c:v>3.9018000000000002</c:v>
                </c:pt>
                <c:pt idx="147">
                  <c:v>3.8913399999999996</c:v>
                </c:pt>
                <c:pt idx="148">
                  <c:v>3.9384599999999996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  <c:pt idx="75">
                  <c:v>8.3147400000000005</c:v>
                </c:pt>
                <c:pt idx="76">
                  <c:v>8.3136299999999999</c:v>
                </c:pt>
                <c:pt idx="77">
                  <c:v>8.2735000000000003</c:v>
                </c:pt>
                <c:pt idx="78">
                  <c:v>8.2365900000000014</c:v>
                </c:pt>
                <c:pt idx="79">
                  <c:v>8.1974199999999993</c:v>
                </c:pt>
                <c:pt idx="80">
                  <c:v>8.1843599999999999</c:v>
                </c:pt>
                <c:pt idx="81">
                  <c:v>8.1579099999999993</c:v>
                </c:pt>
                <c:pt idx="82">
                  <c:v>8.2025299999999994</c:v>
                </c:pt>
                <c:pt idx="83">
                  <c:v>8.2988400000000002</c:v>
                </c:pt>
                <c:pt idx="84">
                  <c:v>8.4649999999999999</c:v>
                </c:pt>
                <c:pt idx="85">
                  <c:v>8.6369299999999996</c:v>
                </c:pt>
                <c:pt idx="86">
                  <c:v>8.6610700000000005</c:v>
                </c:pt>
                <c:pt idx="87">
                  <c:v>8.6064799999999995</c:v>
                </c:pt>
                <c:pt idx="88">
                  <c:v>8.6836099999999998</c:v>
                </c:pt>
                <c:pt idx="89">
                  <c:v>8.696810000000001</c:v>
                </c:pt>
                <c:pt idx="90">
                  <c:v>8.6007899999999999</c:v>
                </c:pt>
                <c:pt idx="91">
                  <c:v>8.3816399999999991</c:v>
                </c:pt>
                <c:pt idx="92">
                  <c:v>8.0971799999999998</c:v>
                </c:pt>
                <c:pt idx="93">
                  <c:v>7.8486500000000001</c:v>
                </c:pt>
                <c:pt idx="94">
                  <c:v>7.6909400000000003</c:v>
                </c:pt>
                <c:pt idx="95">
                  <c:v>7.6610300000000002</c:v>
                </c:pt>
                <c:pt idx="96">
                  <c:v>7.6308799999999994</c:v>
                </c:pt>
                <c:pt idx="97">
                  <c:v>7.51675</c:v>
                </c:pt>
                <c:pt idx="98">
                  <c:v>7.31691</c:v>
                </c:pt>
                <c:pt idx="99">
                  <c:v>7.1548400000000001</c:v>
                </c:pt>
                <c:pt idx="100">
                  <c:v>7.0564499999999999</c:v>
                </c:pt>
                <c:pt idx="101">
                  <c:v>6.8888400000000001</c:v>
                </c:pt>
                <c:pt idx="102">
                  <c:v>6.7907800000000007</c:v>
                </c:pt>
                <c:pt idx="103">
                  <c:v>6.7591899999999994</c:v>
                </c:pt>
                <c:pt idx="104">
                  <c:v>6.7709000000000001</c:v>
                </c:pt>
                <c:pt idx="105">
                  <c:v>6.8103800000000003</c:v>
                </c:pt>
                <c:pt idx="106">
                  <c:v>6.8829199999999995</c:v>
                </c:pt>
                <c:pt idx="107">
                  <c:v>6.9155800000000003</c:v>
                </c:pt>
                <c:pt idx="108">
                  <c:v>6.9039199999999994</c:v>
                </c:pt>
                <c:pt idx="109">
                  <c:v>6.9359799999999998</c:v>
                </c:pt>
                <c:pt idx="110">
                  <c:v>7.0167400000000004</c:v>
                </c:pt>
                <c:pt idx="111">
                  <c:v>7.1145399999999999</c:v>
                </c:pt>
                <c:pt idx="112">
                  <c:v>7.2126700000000001</c:v>
                </c:pt>
                <c:pt idx="113">
                  <c:v>7.3195800000000002</c:v>
                </c:pt>
                <c:pt idx="114">
                  <c:v>7.4614700000000003</c:v>
                </c:pt>
                <c:pt idx="115">
                  <c:v>7.4928900000000009</c:v>
                </c:pt>
                <c:pt idx="116">
                  <c:v>7.5422000000000002</c:v>
                </c:pt>
                <c:pt idx="117">
                  <c:v>7.7714699999999999</c:v>
                </c:pt>
                <c:pt idx="118">
                  <c:v>8.0961599999999994</c:v>
                </c:pt>
                <c:pt idx="119">
                  <c:v>8.3730899999999995</c:v>
                </c:pt>
                <c:pt idx="120">
                  <c:v>8.4901199999999992</c:v>
                </c:pt>
                <c:pt idx="121">
                  <c:v>8.6052</c:v>
                </c:pt>
                <c:pt idx="122">
                  <c:v>8.8581699999999994</c:v>
                </c:pt>
                <c:pt idx="123">
                  <c:v>9.2106099999999991</c:v>
                </c:pt>
                <c:pt idx="124">
                  <c:v>9.3497399999999988</c:v>
                </c:pt>
                <c:pt idx="125">
                  <c:v>9.4432399999999994</c:v>
                </c:pt>
                <c:pt idx="126">
                  <c:v>9.5808599999999995</c:v>
                </c:pt>
                <c:pt idx="127">
                  <c:v>9.7454799999999988</c:v>
                </c:pt>
                <c:pt idx="128">
                  <c:v>9.8429400000000005</c:v>
                </c:pt>
                <c:pt idx="129">
                  <c:v>9.9080399999999997</c:v>
                </c:pt>
                <c:pt idx="130">
                  <c:v>9.9100900000000003</c:v>
                </c:pt>
                <c:pt idx="131">
                  <c:v>9.9310899999999993</c:v>
                </c:pt>
                <c:pt idx="132">
                  <c:v>9.9760200000000001</c:v>
                </c:pt>
                <c:pt idx="133">
                  <c:v>10.0886</c:v>
                </c:pt>
                <c:pt idx="134">
                  <c:v>10.1031</c:v>
                </c:pt>
                <c:pt idx="135">
                  <c:v>10.058200000000001</c:v>
                </c:pt>
                <c:pt idx="136">
                  <c:v>10.062799999999999</c:v>
                </c:pt>
                <c:pt idx="137">
                  <c:v>10.077</c:v>
                </c:pt>
                <c:pt idx="138">
                  <c:v>10.063600000000001</c:v>
                </c:pt>
                <c:pt idx="139">
                  <c:v>10.0898</c:v>
                </c:pt>
                <c:pt idx="140">
                  <c:v>10.3529</c:v>
                </c:pt>
                <c:pt idx="141">
                  <c:v>10.9168</c:v>
                </c:pt>
                <c:pt idx="142">
                  <c:v>11.367900000000001</c:v>
                </c:pt>
                <c:pt idx="143">
                  <c:v>11.6503</c:v>
                </c:pt>
                <c:pt idx="144">
                  <c:v>11.7148</c:v>
                </c:pt>
                <c:pt idx="145">
                  <c:v>12.2158</c:v>
                </c:pt>
                <c:pt idx="146">
                  <c:v>12.4931</c:v>
                </c:pt>
                <c:pt idx="147">
                  <c:v>11.882299999999999</c:v>
                </c:pt>
                <c:pt idx="148">
                  <c:v>8.6436600000000006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1.7647999999999999</c:v>
                </c:pt>
                <c:pt idx="1">
                  <c:v>1.7986199999999999</c:v>
                </c:pt>
                <c:pt idx="2">
                  <c:v>1.8325499999999999</c:v>
                </c:pt>
                <c:pt idx="3">
                  <c:v>1.86537</c:v>
                </c:pt>
                <c:pt idx="4">
                  <c:v>1.89771</c:v>
                </c:pt>
                <c:pt idx="5">
                  <c:v>1.93106</c:v>
                </c:pt>
                <c:pt idx="6">
                  <c:v>1.9632800000000001</c:v>
                </c:pt>
                <c:pt idx="7">
                  <c:v>1.9903499999999998</c:v>
                </c:pt>
                <c:pt idx="8">
                  <c:v>2.01458</c:v>
                </c:pt>
                <c:pt idx="9">
                  <c:v>2.03539</c:v>
                </c:pt>
                <c:pt idx="10">
                  <c:v>2.0504099999999998</c:v>
                </c:pt>
                <c:pt idx="11">
                  <c:v>2.06372</c:v>
                </c:pt>
                <c:pt idx="12">
                  <c:v>2.07605</c:v>
                </c:pt>
                <c:pt idx="13">
                  <c:v>2.0872299999999999</c:v>
                </c:pt>
                <c:pt idx="14">
                  <c:v>2.0979100000000002</c:v>
                </c:pt>
                <c:pt idx="15">
                  <c:v>2.10948</c:v>
                </c:pt>
                <c:pt idx="16">
                  <c:v>2.12283</c:v>
                </c:pt>
                <c:pt idx="17">
                  <c:v>2.1357900000000001</c:v>
                </c:pt>
                <c:pt idx="18">
                  <c:v>2.1485799999999999</c:v>
                </c:pt>
                <c:pt idx="19">
                  <c:v>2.1638299999999999</c:v>
                </c:pt>
                <c:pt idx="20">
                  <c:v>2.1787200000000002</c:v>
                </c:pt>
                <c:pt idx="21">
                  <c:v>2.1954799999999999</c:v>
                </c:pt>
                <c:pt idx="22">
                  <c:v>2.2123900000000001</c:v>
                </c:pt>
                <c:pt idx="23">
                  <c:v>2.2307800000000002</c:v>
                </c:pt>
                <c:pt idx="24">
                  <c:v>2.2536999999999998</c:v>
                </c:pt>
                <c:pt idx="25">
                  <c:v>2.28111</c:v>
                </c:pt>
                <c:pt idx="26">
                  <c:v>2.3101799999999999</c:v>
                </c:pt>
                <c:pt idx="27">
                  <c:v>2.3412500000000001</c:v>
                </c:pt>
                <c:pt idx="28">
                  <c:v>2.3767199999999997</c:v>
                </c:pt>
                <c:pt idx="29">
                  <c:v>2.41248</c:v>
                </c:pt>
                <c:pt idx="30">
                  <c:v>2.45004</c:v>
                </c:pt>
                <c:pt idx="31">
                  <c:v>2.48821</c:v>
                </c:pt>
                <c:pt idx="32">
                  <c:v>2.52989</c:v>
                </c:pt>
                <c:pt idx="33">
                  <c:v>2.5752299999999999</c:v>
                </c:pt>
                <c:pt idx="34">
                  <c:v>2.62765</c:v>
                </c:pt>
                <c:pt idx="35">
                  <c:v>2.6857799999999998</c:v>
                </c:pt>
                <c:pt idx="36">
                  <c:v>2.7497100000000003</c:v>
                </c:pt>
                <c:pt idx="37">
                  <c:v>2.8118300000000001</c:v>
                </c:pt>
                <c:pt idx="38">
                  <c:v>2.8748299999999998</c:v>
                </c:pt>
                <c:pt idx="39">
                  <c:v>2.9356500000000003</c:v>
                </c:pt>
                <c:pt idx="40">
                  <c:v>2.9933800000000002</c:v>
                </c:pt>
                <c:pt idx="41">
                  <c:v>3.0480499999999999</c:v>
                </c:pt>
                <c:pt idx="42">
                  <c:v>3.09781</c:v>
                </c:pt>
                <c:pt idx="43">
                  <c:v>3.14392</c:v>
                </c:pt>
                <c:pt idx="44">
                  <c:v>3.1919500000000003</c:v>
                </c:pt>
                <c:pt idx="45">
                  <c:v>3.2457799999999999</c:v>
                </c:pt>
                <c:pt idx="46">
                  <c:v>3.30125</c:v>
                </c:pt>
                <c:pt idx="47">
                  <c:v>3.3555600000000001</c:v>
                </c:pt>
                <c:pt idx="48">
                  <c:v>3.4102199999999998</c:v>
                </c:pt>
                <c:pt idx="49">
                  <c:v>3.4603800000000002</c:v>
                </c:pt>
                <c:pt idx="50">
                  <c:v>3.49823</c:v>
                </c:pt>
                <c:pt idx="51">
                  <c:v>3.5448600000000003</c:v>
                </c:pt>
                <c:pt idx="52">
                  <c:v>3.5860300000000001</c:v>
                </c:pt>
                <c:pt idx="53">
                  <c:v>3.6236299999999999</c:v>
                </c:pt>
                <c:pt idx="54">
                  <c:v>3.6627999999999998</c:v>
                </c:pt>
                <c:pt idx="55">
                  <c:v>3.7016</c:v>
                </c:pt>
                <c:pt idx="56">
                  <c:v>3.7399500000000003</c:v>
                </c:pt>
                <c:pt idx="57">
                  <c:v>3.78043</c:v>
                </c:pt>
                <c:pt idx="58">
                  <c:v>3.8245200000000001</c:v>
                </c:pt>
                <c:pt idx="59">
                  <c:v>3.8661300000000001</c:v>
                </c:pt>
                <c:pt idx="60">
                  <c:v>3.907</c:v>
                </c:pt>
                <c:pt idx="61">
                  <c:v>3.9403899999999998</c:v>
                </c:pt>
                <c:pt idx="62">
                  <c:v>3.9671099999999999</c:v>
                </c:pt>
                <c:pt idx="63">
                  <c:v>3.9923700000000002</c:v>
                </c:pt>
                <c:pt idx="64">
                  <c:v>4.0173800000000002</c:v>
                </c:pt>
                <c:pt idx="65">
                  <c:v>4.0367199999999999</c:v>
                </c:pt>
                <c:pt idx="66">
                  <c:v>4.0510400000000004</c:v>
                </c:pt>
                <c:pt idx="67">
                  <c:v>4.0661199999999997</c:v>
                </c:pt>
                <c:pt idx="68">
                  <c:v>4.0833500000000003</c:v>
                </c:pt>
                <c:pt idx="69">
                  <c:v>4.0952799999999998</c:v>
                </c:pt>
                <c:pt idx="70">
                  <c:v>4.1018999999999997</c:v>
                </c:pt>
                <c:pt idx="71">
                  <c:v>4.1016899999999996</c:v>
                </c:pt>
                <c:pt idx="72">
                  <c:v>4.0994299999999999</c:v>
                </c:pt>
                <c:pt idx="73">
                  <c:v>4.0959200000000004</c:v>
                </c:pt>
                <c:pt idx="74">
                  <c:v>4.0927299999999995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56.534399999999998</c:v>
                </c:pt>
                <c:pt idx="1">
                  <c:v>55.584599999999995</c:v>
                </c:pt>
                <c:pt idx="2">
                  <c:v>54.634700000000002</c:v>
                </c:pt>
                <c:pt idx="3">
                  <c:v>53.745200000000004</c:v>
                </c:pt>
                <c:pt idx="4">
                  <c:v>52.8675</c:v>
                </c:pt>
                <c:pt idx="5">
                  <c:v>51.984300000000005</c:v>
                </c:pt>
                <c:pt idx="6">
                  <c:v>51.235600000000005</c:v>
                </c:pt>
                <c:pt idx="7">
                  <c:v>50.681399999999996</c:v>
                </c:pt>
                <c:pt idx="8">
                  <c:v>50.2196</c:v>
                </c:pt>
                <c:pt idx="9">
                  <c:v>49.848100000000002</c:v>
                </c:pt>
                <c:pt idx="10">
                  <c:v>49.587499999999999</c:v>
                </c:pt>
                <c:pt idx="11">
                  <c:v>49.340699999999998</c:v>
                </c:pt>
                <c:pt idx="12">
                  <c:v>49.085499999999996</c:v>
                </c:pt>
                <c:pt idx="13">
                  <c:v>48.817700000000002</c:v>
                </c:pt>
                <c:pt idx="14">
                  <c:v>48.549399999999999</c:v>
                </c:pt>
                <c:pt idx="15">
                  <c:v>48.258000000000003</c:v>
                </c:pt>
                <c:pt idx="16">
                  <c:v>47.918399999999998</c:v>
                </c:pt>
                <c:pt idx="17">
                  <c:v>47.591299999999997</c:v>
                </c:pt>
                <c:pt idx="18">
                  <c:v>47.254300000000001</c:v>
                </c:pt>
                <c:pt idx="19">
                  <c:v>46.866700000000002</c:v>
                </c:pt>
                <c:pt idx="20">
                  <c:v>46.444699999999997</c:v>
                </c:pt>
                <c:pt idx="21">
                  <c:v>46.010199999999998</c:v>
                </c:pt>
                <c:pt idx="22">
                  <c:v>45.5794</c:v>
                </c:pt>
                <c:pt idx="23">
                  <c:v>45.081800000000001</c:v>
                </c:pt>
                <c:pt idx="24">
                  <c:v>44.454500000000003</c:v>
                </c:pt>
                <c:pt idx="25">
                  <c:v>43.6783</c:v>
                </c:pt>
                <c:pt idx="26">
                  <c:v>42.789400000000001</c:v>
                </c:pt>
                <c:pt idx="27">
                  <c:v>41.838300000000004</c:v>
                </c:pt>
                <c:pt idx="28">
                  <c:v>40.757899999999999</c:v>
                </c:pt>
                <c:pt idx="29">
                  <c:v>39.6554</c:v>
                </c:pt>
                <c:pt idx="30">
                  <c:v>38.4131</c:v>
                </c:pt>
                <c:pt idx="31">
                  <c:v>37.217199999999998</c:v>
                </c:pt>
                <c:pt idx="32">
                  <c:v>36.024099999999997</c:v>
                </c:pt>
                <c:pt idx="33">
                  <c:v>34.752499999999998</c:v>
                </c:pt>
                <c:pt idx="34">
                  <c:v>33.373999999999995</c:v>
                </c:pt>
                <c:pt idx="35">
                  <c:v>31.892700000000001</c:v>
                </c:pt>
                <c:pt idx="36">
                  <c:v>30.305199999999999</c:v>
                </c:pt>
                <c:pt idx="37">
                  <c:v>28.9224</c:v>
                </c:pt>
                <c:pt idx="38">
                  <c:v>27.481100000000001</c:v>
                </c:pt>
                <c:pt idx="39">
                  <c:v>26.231300000000001</c:v>
                </c:pt>
                <c:pt idx="40">
                  <c:v>25.109300000000001</c:v>
                </c:pt>
                <c:pt idx="41">
                  <c:v>24.044599999999999</c:v>
                </c:pt>
                <c:pt idx="42">
                  <c:v>23.2469</c:v>
                </c:pt>
                <c:pt idx="43">
                  <c:v>22.609299999999998</c:v>
                </c:pt>
                <c:pt idx="44">
                  <c:v>21.946099999999998</c:v>
                </c:pt>
                <c:pt idx="45">
                  <c:v>21.209400000000002</c:v>
                </c:pt>
                <c:pt idx="46">
                  <c:v>20.280899999999999</c:v>
                </c:pt>
                <c:pt idx="47">
                  <c:v>19.411300000000001</c:v>
                </c:pt>
                <c:pt idx="48">
                  <c:v>18.5242</c:v>
                </c:pt>
                <c:pt idx="49">
                  <c:v>17.742899999999999</c:v>
                </c:pt>
                <c:pt idx="50">
                  <c:v>17.1509</c:v>
                </c:pt>
                <c:pt idx="51">
                  <c:v>16.3795</c:v>
                </c:pt>
                <c:pt idx="52">
                  <c:v>15.7075</c:v>
                </c:pt>
                <c:pt idx="53">
                  <c:v>15.054600000000001</c:v>
                </c:pt>
                <c:pt idx="54">
                  <c:v>14.4091</c:v>
                </c:pt>
                <c:pt idx="55">
                  <c:v>13.782</c:v>
                </c:pt>
                <c:pt idx="56">
                  <c:v>13.1967</c:v>
                </c:pt>
                <c:pt idx="57">
                  <c:v>12.5848</c:v>
                </c:pt>
                <c:pt idx="58">
                  <c:v>11.9237</c:v>
                </c:pt>
                <c:pt idx="59">
                  <c:v>11.317499999999999</c:v>
                </c:pt>
                <c:pt idx="60">
                  <c:v>10.755599999999999</c:v>
                </c:pt>
                <c:pt idx="61">
                  <c:v>10.314399999999999</c:v>
                </c:pt>
                <c:pt idx="62">
                  <c:v>10.061999999999999</c:v>
                </c:pt>
                <c:pt idx="63">
                  <c:v>9.8532700000000002</c:v>
                </c:pt>
                <c:pt idx="64">
                  <c:v>9.5564700000000009</c:v>
                </c:pt>
                <c:pt idx="65">
                  <c:v>9.4004500000000011</c:v>
                </c:pt>
                <c:pt idx="66">
                  <c:v>9.38795</c:v>
                </c:pt>
                <c:pt idx="67">
                  <c:v>9.3324400000000001</c:v>
                </c:pt>
                <c:pt idx="68">
                  <c:v>9.1734100000000005</c:v>
                </c:pt>
                <c:pt idx="69">
                  <c:v>9.0087799999999998</c:v>
                </c:pt>
                <c:pt idx="70">
                  <c:v>8.7520799999999994</c:v>
                </c:pt>
                <c:pt idx="71">
                  <c:v>8.5939699999999988</c:v>
                </c:pt>
                <c:pt idx="72">
                  <c:v>8.4770399999999988</c:v>
                </c:pt>
                <c:pt idx="73">
                  <c:v>8.4027500000000011</c:v>
                </c:pt>
                <c:pt idx="74">
                  <c:v>8.2937200000000004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4.0927299999999995</c:v>
                </c:pt>
                <c:pt idx="1">
                  <c:v>4.0828300000000004</c:v>
                </c:pt>
                <c:pt idx="2">
                  <c:v>4.0773099999999998</c:v>
                </c:pt>
                <c:pt idx="3">
                  <c:v>4.07308</c:v>
                </c:pt>
                <c:pt idx="4">
                  <c:v>4.0678700000000001</c:v>
                </c:pt>
                <c:pt idx="5">
                  <c:v>4.05924</c:v>
                </c:pt>
                <c:pt idx="6">
                  <c:v>4.0492900000000001</c:v>
                </c:pt>
                <c:pt idx="7">
                  <c:v>4.0412699999999999</c:v>
                </c:pt>
                <c:pt idx="8">
                  <c:v>4.0286400000000002</c:v>
                </c:pt>
                <c:pt idx="9">
                  <c:v>4.0101700000000005</c:v>
                </c:pt>
                <c:pt idx="10">
                  <c:v>3.9883899999999999</c:v>
                </c:pt>
                <c:pt idx="11">
                  <c:v>3.9656500000000001</c:v>
                </c:pt>
                <c:pt idx="12">
                  <c:v>3.9465299999999996</c:v>
                </c:pt>
                <c:pt idx="13">
                  <c:v>3.9296599999999997</c:v>
                </c:pt>
                <c:pt idx="14">
                  <c:v>3.9099200000000001</c:v>
                </c:pt>
                <c:pt idx="15">
                  <c:v>3.8956</c:v>
                </c:pt>
                <c:pt idx="16">
                  <c:v>3.8871600000000002</c:v>
                </c:pt>
                <c:pt idx="17">
                  <c:v>3.8860000000000001</c:v>
                </c:pt>
                <c:pt idx="18">
                  <c:v>3.8881199999999998</c:v>
                </c:pt>
                <c:pt idx="19">
                  <c:v>3.8915499999999996</c:v>
                </c:pt>
                <c:pt idx="20">
                  <c:v>3.8921200000000002</c:v>
                </c:pt>
                <c:pt idx="21">
                  <c:v>3.8916299999999997</c:v>
                </c:pt>
                <c:pt idx="22">
                  <c:v>3.89276</c:v>
                </c:pt>
                <c:pt idx="23">
                  <c:v>3.8955699999999998</c:v>
                </c:pt>
                <c:pt idx="24">
                  <c:v>3.90245</c:v>
                </c:pt>
                <c:pt idx="25">
                  <c:v>3.9098699999999997</c:v>
                </c:pt>
                <c:pt idx="26">
                  <c:v>3.9144699999999997</c:v>
                </c:pt>
                <c:pt idx="27">
                  <c:v>3.9238600000000003</c:v>
                </c:pt>
                <c:pt idx="28">
                  <c:v>3.9304299999999999</c:v>
                </c:pt>
                <c:pt idx="29">
                  <c:v>3.9345499999999998</c:v>
                </c:pt>
                <c:pt idx="30">
                  <c:v>3.9391799999999999</c:v>
                </c:pt>
                <c:pt idx="31">
                  <c:v>3.9425500000000002</c:v>
                </c:pt>
                <c:pt idx="32">
                  <c:v>3.9430500000000004</c:v>
                </c:pt>
                <c:pt idx="33">
                  <c:v>3.94292</c:v>
                </c:pt>
                <c:pt idx="34">
                  <c:v>3.9452100000000003</c:v>
                </c:pt>
                <c:pt idx="35">
                  <c:v>3.9473799999999999</c:v>
                </c:pt>
                <c:pt idx="36">
                  <c:v>3.9521800000000002</c:v>
                </c:pt>
                <c:pt idx="37">
                  <c:v>3.95926</c:v>
                </c:pt>
                <c:pt idx="38">
                  <c:v>3.9659200000000001</c:v>
                </c:pt>
                <c:pt idx="39">
                  <c:v>3.97254</c:v>
                </c:pt>
                <c:pt idx="40">
                  <c:v>3.9750100000000002</c:v>
                </c:pt>
                <c:pt idx="41">
                  <c:v>3.9801700000000002</c:v>
                </c:pt>
                <c:pt idx="42">
                  <c:v>3.9822999999999995</c:v>
                </c:pt>
                <c:pt idx="43">
                  <c:v>3.9766499999999998</c:v>
                </c:pt>
                <c:pt idx="44">
                  <c:v>3.9692699999999999</c:v>
                </c:pt>
                <c:pt idx="45">
                  <c:v>3.96414</c:v>
                </c:pt>
                <c:pt idx="46">
                  <c:v>3.96407</c:v>
                </c:pt>
                <c:pt idx="47">
                  <c:v>3.9675899999999995</c:v>
                </c:pt>
                <c:pt idx="48">
                  <c:v>3.9653100000000001</c:v>
                </c:pt>
                <c:pt idx="49">
                  <c:v>3.9567000000000001</c:v>
                </c:pt>
                <c:pt idx="50">
                  <c:v>3.9527000000000001</c:v>
                </c:pt>
                <c:pt idx="51">
                  <c:v>3.9500600000000001</c:v>
                </c:pt>
                <c:pt idx="52">
                  <c:v>3.9447700000000001</c:v>
                </c:pt>
                <c:pt idx="53">
                  <c:v>3.9398499999999999</c:v>
                </c:pt>
                <c:pt idx="54">
                  <c:v>3.9386999999999999</c:v>
                </c:pt>
                <c:pt idx="55">
                  <c:v>3.9371</c:v>
                </c:pt>
                <c:pt idx="56">
                  <c:v>3.9381899999999996</c:v>
                </c:pt>
                <c:pt idx="57">
                  <c:v>3.9388699999999996</c:v>
                </c:pt>
                <c:pt idx="58">
                  <c:v>3.9413300000000002</c:v>
                </c:pt>
                <c:pt idx="59">
                  <c:v>3.9430999999999998</c:v>
                </c:pt>
                <c:pt idx="60">
                  <c:v>3.9484699999999999</c:v>
                </c:pt>
                <c:pt idx="61">
                  <c:v>3.9513700000000003</c:v>
                </c:pt>
                <c:pt idx="62">
                  <c:v>3.9505800000000004</c:v>
                </c:pt>
                <c:pt idx="63">
                  <c:v>3.9516400000000003</c:v>
                </c:pt>
                <c:pt idx="64">
                  <c:v>3.9535900000000002</c:v>
                </c:pt>
                <c:pt idx="65">
                  <c:v>3.9560499999999998</c:v>
                </c:pt>
                <c:pt idx="66">
                  <c:v>3.9500600000000001</c:v>
                </c:pt>
                <c:pt idx="67">
                  <c:v>3.9356499999999999</c:v>
                </c:pt>
                <c:pt idx="68">
                  <c:v>3.9290099999999999</c:v>
                </c:pt>
                <c:pt idx="69">
                  <c:v>3.9258300000000004</c:v>
                </c:pt>
                <c:pt idx="70">
                  <c:v>3.9306000000000001</c:v>
                </c:pt>
                <c:pt idx="71">
                  <c:v>3.9250499999999997</c:v>
                </c:pt>
                <c:pt idx="72">
                  <c:v>3.9018000000000002</c:v>
                </c:pt>
                <c:pt idx="73">
                  <c:v>3.8913399999999996</c:v>
                </c:pt>
                <c:pt idx="74">
                  <c:v>3.9384599999999996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8.2937200000000004</c:v>
                </c:pt>
                <c:pt idx="1">
                  <c:v>8.3147400000000005</c:v>
                </c:pt>
                <c:pt idx="2">
                  <c:v>8.3136299999999999</c:v>
                </c:pt>
                <c:pt idx="3">
                  <c:v>8.2735000000000003</c:v>
                </c:pt>
                <c:pt idx="4">
                  <c:v>8.2365900000000014</c:v>
                </c:pt>
                <c:pt idx="5">
                  <c:v>8.1974199999999993</c:v>
                </c:pt>
                <c:pt idx="6">
                  <c:v>8.1843599999999999</c:v>
                </c:pt>
                <c:pt idx="7">
                  <c:v>8.1579099999999993</c:v>
                </c:pt>
                <c:pt idx="8">
                  <c:v>8.2025299999999994</c:v>
                </c:pt>
                <c:pt idx="9">
                  <c:v>8.2988400000000002</c:v>
                </c:pt>
                <c:pt idx="10">
                  <c:v>8.4649999999999999</c:v>
                </c:pt>
                <c:pt idx="11">
                  <c:v>8.6369299999999996</c:v>
                </c:pt>
                <c:pt idx="12">
                  <c:v>8.6610700000000005</c:v>
                </c:pt>
                <c:pt idx="13">
                  <c:v>8.6064799999999995</c:v>
                </c:pt>
                <c:pt idx="14">
                  <c:v>8.6836099999999998</c:v>
                </c:pt>
                <c:pt idx="15">
                  <c:v>8.696810000000001</c:v>
                </c:pt>
                <c:pt idx="16">
                  <c:v>8.6007899999999999</c:v>
                </c:pt>
                <c:pt idx="17">
                  <c:v>8.3816399999999991</c:v>
                </c:pt>
                <c:pt idx="18">
                  <c:v>8.0971799999999998</c:v>
                </c:pt>
                <c:pt idx="19">
                  <c:v>7.8486500000000001</c:v>
                </c:pt>
                <c:pt idx="20">
                  <c:v>7.6909400000000003</c:v>
                </c:pt>
                <c:pt idx="21">
                  <c:v>7.6610300000000002</c:v>
                </c:pt>
                <c:pt idx="22">
                  <c:v>7.6308799999999994</c:v>
                </c:pt>
                <c:pt idx="23">
                  <c:v>7.51675</c:v>
                </c:pt>
                <c:pt idx="24">
                  <c:v>7.31691</c:v>
                </c:pt>
                <c:pt idx="25">
                  <c:v>7.1548400000000001</c:v>
                </c:pt>
                <c:pt idx="26">
                  <c:v>7.0564499999999999</c:v>
                </c:pt>
                <c:pt idx="27">
                  <c:v>6.8888400000000001</c:v>
                </c:pt>
                <c:pt idx="28">
                  <c:v>6.7907800000000007</c:v>
                </c:pt>
                <c:pt idx="29">
                  <c:v>6.7591899999999994</c:v>
                </c:pt>
                <c:pt idx="30">
                  <c:v>6.7709000000000001</c:v>
                </c:pt>
                <c:pt idx="31">
                  <c:v>6.8103800000000003</c:v>
                </c:pt>
                <c:pt idx="32">
                  <c:v>6.8829199999999995</c:v>
                </c:pt>
                <c:pt idx="33">
                  <c:v>6.9155800000000003</c:v>
                </c:pt>
                <c:pt idx="34">
                  <c:v>6.9039199999999994</c:v>
                </c:pt>
                <c:pt idx="35">
                  <c:v>6.9359799999999998</c:v>
                </c:pt>
                <c:pt idx="36">
                  <c:v>7.0167400000000004</c:v>
                </c:pt>
                <c:pt idx="37">
                  <c:v>7.1145399999999999</c:v>
                </c:pt>
                <c:pt idx="38">
                  <c:v>7.2126700000000001</c:v>
                </c:pt>
                <c:pt idx="39">
                  <c:v>7.3195800000000002</c:v>
                </c:pt>
                <c:pt idx="40">
                  <c:v>7.4614700000000003</c:v>
                </c:pt>
                <c:pt idx="41">
                  <c:v>7.4928900000000009</c:v>
                </c:pt>
                <c:pt idx="42">
                  <c:v>7.5422000000000002</c:v>
                </c:pt>
                <c:pt idx="43">
                  <c:v>7.7714699999999999</c:v>
                </c:pt>
                <c:pt idx="44">
                  <c:v>8.0961599999999994</c:v>
                </c:pt>
                <c:pt idx="45">
                  <c:v>8.3730899999999995</c:v>
                </c:pt>
                <c:pt idx="46">
                  <c:v>8.4901199999999992</c:v>
                </c:pt>
                <c:pt idx="47">
                  <c:v>8.6052</c:v>
                </c:pt>
                <c:pt idx="48">
                  <c:v>8.8581699999999994</c:v>
                </c:pt>
                <c:pt idx="49">
                  <c:v>9.2106099999999991</c:v>
                </c:pt>
                <c:pt idx="50">
                  <c:v>9.3497399999999988</c:v>
                </c:pt>
                <c:pt idx="51">
                  <c:v>9.4432399999999994</c:v>
                </c:pt>
                <c:pt idx="52">
                  <c:v>9.5808599999999995</c:v>
                </c:pt>
                <c:pt idx="53">
                  <c:v>9.7454799999999988</c:v>
                </c:pt>
                <c:pt idx="54">
                  <c:v>9.8429400000000005</c:v>
                </c:pt>
                <c:pt idx="55">
                  <c:v>9.9080399999999997</c:v>
                </c:pt>
                <c:pt idx="56">
                  <c:v>9.9100900000000003</c:v>
                </c:pt>
                <c:pt idx="57">
                  <c:v>9.9310899999999993</c:v>
                </c:pt>
                <c:pt idx="58">
                  <c:v>9.9760200000000001</c:v>
                </c:pt>
                <c:pt idx="59">
                  <c:v>10.0886</c:v>
                </c:pt>
                <c:pt idx="60">
                  <c:v>10.1031</c:v>
                </c:pt>
                <c:pt idx="61">
                  <c:v>10.058200000000001</c:v>
                </c:pt>
                <c:pt idx="62">
                  <c:v>10.062799999999999</c:v>
                </c:pt>
                <c:pt idx="63">
                  <c:v>10.077</c:v>
                </c:pt>
                <c:pt idx="64">
                  <c:v>10.063600000000001</c:v>
                </c:pt>
                <c:pt idx="65">
                  <c:v>10.0898</c:v>
                </c:pt>
                <c:pt idx="66">
                  <c:v>10.3529</c:v>
                </c:pt>
                <c:pt idx="67">
                  <c:v>10.9168</c:v>
                </c:pt>
                <c:pt idx="68">
                  <c:v>11.367900000000001</c:v>
                </c:pt>
                <c:pt idx="69">
                  <c:v>11.6503</c:v>
                </c:pt>
                <c:pt idx="70">
                  <c:v>11.7148</c:v>
                </c:pt>
                <c:pt idx="71">
                  <c:v>12.2158</c:v>
                </c:pt>
                <c:pt idx="72">
                  <c:v>12.4931</c:v>
                </c:pt>
                <c:pt idx="73">
                  <c:v>11.882299999999999</c:v>
                </c:pt>
                <c:pt idx="74">
                  <c:v>8.6436600000000006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1.7647999999999999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56.534399999999998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2.9095047297297305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30.516354189189183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3.9539977027027002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8.6787445945945958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3.9539977027027002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8.6787445945945958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H5" sqref="H5:K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519</v>
      </c>
      <c r="D5" s="151"/>
      <c r="E5" s="151"/>
      <c r="F5" s="152"/>
      <c r="G5" s="48" t="str">
        <f>lang!B27</f>
        <v>编号</v>
      </c>
      <c r="H5" s="150">
        <v>1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520</v>
      </c>
      <c r="D6" s="188"/>
      <c r="E6" s="188"/>
      <c r="F6" s="189"/>
      <c r="G6" s="49" t="str">
        <f>lang!B28</f>
        <v xml:space="preserve"> 日期</v>
      </c>
      <c r="H6" s="172">
        <f>FH_info!A2</f>
        <v>43620.373541666668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29</v>
      </c>
      <c r="D7" s="191"/>
      <c r="E7" s="191"/>
      <c r="F7" s="192"/>
      <c r="G7" s="50" t="str">
        <f>lang!B29</f>
        <v>误差率（%）</v>
      </c>
      <c r="H7" s="175">
        <f>M!B17*1</f>
        <v>23.097799999999999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48.066200000000002</v>
      </c>
      <c r="O8" s="59">
        <f>M!C5*1</f>
        <v>15.235200000000001</v>
      </c>
      <c r="P8" s="59">
        <f>M!D5*1</f>
        <v>31.696300000000001</v>
      </c>
      <c r="Q8" s="59">
        <f>M!E5*1</f>
        <v>20</v>
      </c>
      <c r="R8" s="59">
        <f>M!F5*1</f>
        <v>17.620699999999999</v>
      </c>
      <c r="S8" s="59">
        <f>M!G5*1</f>
        <v>50</v>
      </c>
      <c r="T8" s="59">
        <f>M!H5*1</f>
        <v>71.130399999999995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55.668700000000001</v>
      </c>
      <c r="O9" s="59">
        <f>M!C6*1</f>
        <v>4.0213999999999999</v>
      </c>
      <c r="P9" s="59">
        <f>M!D6*1</f>
        <v>7.2238199999999999</v>
      </c>
      <c r="Q9" s="59">
        <f>M!E6*1</f>
        <v>20</v>
      </c>
      <c r="R9" s="59">
        <f>M!F6*1</f>
        <v>45.714399999999998</v>
      </c>
      <c r="S9" s="59">
        <f>M!G6*1</f>
        <v>40</v>
      </c>
      <c r="T9" s="59">
        <f>M!H6*1</f>
        <v>64.440600000000003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17.620699999999999</v>
      </c>
      <c r="D10" s="99">
        <f>N8</f>
        <v>48.066200000000002</v>
      </c>
      <c r="E10" s="100">
        <f>T8</f>
        <v>71.130399999999995</v>
      </c>
      <c r="F10" s="91">
        <f>P8</f>
        <v>31.696300000000001</v>
      </c>
      <c r="G10" s="81" t="str">
        <f>CONCATENATE(M9,"
(20 ~ 40)")</f>
        <v>压力
(20 ~ 40)</v>
      </c>
      <c r="H10" s="98">
        <f>R9</f>
        <v>45.714399999999998</v>
      </c>
      <c r="I10" s="108">
        <f>N9</f>
        <v>55.668700000000001</v>
      </c>
      <c r="J10" s="98">
        <f>T9</f>
        <v>64.440600000000003</v>
      </c>
      <c r="K10" s="92">
        <f>P9</f>
        <v>7.2238199999999999</v>
      </c>
      <c r="L10" s="6"/>
      <c r="M10" s="27" t="str">
        <f>lang!B16</f>
        <v>焦虑</v>
      </c>
      <c r="N10" s="59">
        <f>M!B7*1</f>
        <v>29.853100000000001</v>
      </c>
      <c r="O10" s="59">
        <f>M!C7*1</f>
        <v>6.3807200000000002</v>
      </c>
      <c r="P10" s="59">
        <f>M!D7*1</f>
        <v>21.373699999999999</v>
      </c>
      <c r="Q10" s="59">
        <f>M!E7*1</f>
        <v>15</v>
      </c>
      <c r="R10" s="59">
        <f>M!F7*1</f>
        <v>15.3873</v>
      </c>
      <c r="S10" s="59">
        <f>M!G7*1</f>
        <v>40</v>
      </c>
      <c r="T10" s="59">
        <f>M!H7*1</f>
        <v>51.749099999999999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15.3873</v>
      </c>
      <c r="D11" s="102">
        <f>N10</f>
        <v>29.853100000000001</v>
      </c>
      <c r="E11" s="103">
        <f>T10</f>
        <v>51.749099999999999</v>
      </c>
      <c r="F11" s="94">
        <f>P10</f>
        <v>21.373699999999999</v>
      </c>
      <c r="G11" s="52" t="str">
        <f>CONCATENATE(M11,"
(20 ~ 50)")</f>
        <v>可疑
(20 ~ 50)</v>
      </c>
      <c r="H11" s="101">
        <f>R11</f>
        <v>31.719200000000001</v>
      </c>
      <c r="I11" s="104">
        <f>N11</f>
        <v>45.231000000000002</v>
      </c>
      <c r="J11" s="101">
        <f>T11</f>
        <v>56.221499999999999</v>
      </c>
      <c r="K11" s="95">
        <f>P11</f>
        <v>12.7225</v>
      </c>
      <c r="L11" s="4"/>
      <c r="M11" s="27" t="str">
        <f>lang!B17</f>
        <v>可疑</v>
      </c>
      <c r="N11" s="59">
        <f>M!B8*1</f>
        <v>45.231000000000002</v>
      </c>
      <c r="O11" s="59">
        <f>M!C8*1</f>
        <v>5.7545099999999998</v>
      </c>
      <c r="P11" s="59">
        <f>M!D8*1</f>
        <v>12.7225</v>
      </c>
      <c r="Q11" s="59">
        <f>M!E8*1</f>
        <v>20</v>
      </c>
      <c r="R11" s="59">
        <f>M!F8*1</f>
        <v>31.719200000000001</v>
      </c>
      <c r="S11" s="59">
        <f>M!G8*1</f>
        <v>50</v>
      </c>
      <c r="T11" s="59">
        <f>M!H8*1</f>
        <v>56.221499999999999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26.0855</v>
      </c>
      <c r="D12" s="104">
        <f>N12</f>
        <v>38.543799999999997</v>
      </c>
      <c r="E12" s="101">
        <f>T12</f>
        <v>82.627399999999994</v>
      </c>
      <c r="F12" s="93">
        <f>P12</f>
        <v>35.39</v>
      </c>
      <c r="G12" s="52" t="str">
        <f>CONCATENATE(M13,"
(40 ~ 100)")</f>
        <v>自信
(40 ~ 100)</v>
      </c>
      <c r="H12" s="101">
        <f>R13</f>
        <v>31.984999999999999</v>
      </c>
      <c r="I12" s="104">
        <f>N13</f>
        <v>44.443800000000003</v>
      </c>
      <c r="J12" s="101">
        <f>T13</f>
        <v>61.537199999999999</v>
      </c>
      <c r="K12" s="95">
        <f>P13</f>
        <v>17.936199999999999</v>
      </c>
      <c r="L12" s="4"/>
      <c r="M12" s="27" t="str">
        <f>lang!B18</f>
        <v>平衡</v>
      </c>
      <c r="N12" s="59">
        <f>M!B9*1</f>
        <v>38.543799999999997</v>
      </c>
      <c r="O12" s="59">
        <f>M!C9*1</f>
        <v>13.640599999999999</v>
      </c>
      <c r="P12" s="59">
        <f>M!D9*1</f>
        <v>35.39</v>
      </c>
      <c r="Q12" s="59">
        <f>M!E9*1</f>
        <v>50</v>
      </c>
      <c r="R12" s="59">
        <f>M!F9*1</f>
        <v>26.0855</v>
      </c>
      <c r="S12" s="59">
        <f>M!G9*1</f>
        <v>100</v>
      </c>
      <c r="T12" s="59">
        <f>M!H9*1</f>
        <v>82.627399999999994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7.5115699999999999</v>
      </c>
      <c r="D13" s="102">
        <f>N14</f>
        <v>19.932200000000002</v>
      </c>
      <c r="E13" s="103">
        <f>T14</f>
        <v>24.720800000000001</v>
      </c>
      <c r="F13" s="94">
        <f>P14</f>
        <v>25.939900000000002</v>
      </c>
      <c r="G13" s="52" t="str">
        <f>CONCATENATE(M15,"
(50 ~ 100)")</f>
        <v>自我调节
(50 ~ 100)</v>
      </c>
      <c r="H13" s="101">
        <f>R15</f>
        <v>31.667100000000001</v>
      </c>
      <c r="I13" s="104">
        <f>N15</f>
        <v>41.997500000000002</v>
      </c>
      <c r="J13" s="101">
        <f>T15</f>
        <v>71.474199999999996</v>
      </c>
      <c r="K13" s="95">
        <f>P15</f>
        <v>23.846900000000002</v>
      </c>
      <c r="L13" s="4"/>
      <c r="M13" s="27" t="str">
        <f>lang!B19</f>
        <v>自信</v>
      </c>
      <c r="N13" s="59">
        <f>M!B10*1</f>
        <v>44.443800000000003</v>
      </c>
      <c r="O13" s="59">
        <f>M!C10*1</f>
        <v>7.9715499999999997</v>
      </c>
      <c r="P13" s="59">
        <f>M!D10*1</f>
        <v>17.936199999999999</v>
      </c>
      <c r="Q13" s="59">
        <f>M!E10*1</f>
        <v>40</v>
      </c>
      <c r="R13" s="59">
        <f>M!F10*1</f>
        <v>31.984999999999999</v>
      </c>
      <c r="S13" s="59">
        <f>M!G10*1</f>
        <v>100</v>
      </c>
      <c r="T13" s="59">
        <f>M!H10*1</f>
        <v>61.537199999999999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14.726100000000001</v>
      </c>
      <c r="D14" s="106">
        <f>N16</f>
        <v>19.491299999999999</v>
      </c>
      <c r="E14" s="107">
        <f>T16</f>
        <v>30.236599999999999</v>
      </c>
      <c r="F14" s="96">
        <f>P16</f>
        <v>15.0657</v>
      </c>
      <c r="G14" s="112" t="str">
        <f>CONCATENATE(M17,"
(10 ~ 50)")</f>
        <v>神经质
(10 ~ 50)</v>
      </c>
      <c r="H14" s="105">
        <f>R17</f>
        <v>0.18695700000000001</v>
      </c>
      <c r="I14" s="106">
        <f>N17</f>
        <v>29.364999999999998</v>
      </c>
      <c r="J14" s="107">
        <f>T17</f>
        <v>38.207900000000002</v>
      </c>
      <c r="K14" s="97">
        <f>P17</f>
        <v>39.782499999999999</v>
      </c>
      <c r="M14" s="27" t="str">
        <f>lang!B20</f>
        <v>活力</v>
      </c>
      <c r="N14" s="59">
        <f>M!B11*1</f>
        <v>19.932200000000002</v>
      </c>
      <c r="O14" s="59">
        <f>M!C11*1</f>
        <v>5.1703999999999999</v>
      </c>
      <c r="P14" s="59">
        <f>M!D11*1</f>
        <v>25.939900000000002</v>
      </c>
      <c r="Q14" s="59">
        <f>M!E11*1</f>
        <v>10</v>
      </c>
      <c r="R14" s="59">
        <f>M!F11*1</f>
        <v>7.5115699999999999</v>
      </c>
      <c r="S14" s="59">
        <f>M!G11*1</f>
        <v>50</v>
      </c>
      <c r="T14" s="59">
        <f>M!H11*1</f>
        <v>24.720800000000001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41.997500000000002</v>
      </c>
      <c r="O15" s="59">
        <f>M!C12*1</f>
        <v>10.0151</v>
      </c>
      <c r="P15" s="59">
        <f>M!D12*1</f>
        <v>23.846900000000002</v>
      </c>
      <c r="Q15" s="59">
        <f>M!E12*1</f>
        <v>50</v>
      </c>
      <c r="R15" s="59">
        <f>M!F12*1</f>
        <v>31.667100000000001</v>
      </c>
      <c r="S15" s="59">
        <f>M!G12*1</f>
        <v>100</v>
      </c>
      <c r="T15" s="59">
        <f>M!H12*1</f>
        <v>71.474199999999996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19.491299999999999</v>
      </c>
      <c r="O16" s="59">
        <f>M!C13*1</f>
        <v>2.9365000000000001</v>
      </c>
      <c r="P16" s="59">
        <f>M!D13*1</f>
        <v>15.0657</v>
      </c>
      <c r="Q16" s="59">
        <f>M!E13*1</f>
        <v>10</v>
      </c>
      <c r="R16" s="59">
        <f>M!F13*1</f>
        <v>14.726100000000001</v>
      </c>
      <c r="S16" s="59">
        <f>M!G13*1</f>
        <v>25</v>
      </c>
      <c r="T16" s="59">
        <f>M!H13*1</f>
        <v>30.236599999999999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29.364999999999998</v>
      </c>
      <c r="O17" s="59">
        <f>M!C14*1</f>
        <v>11.6821</v>
      </c>
      <c r="P17" s="59">
        <f>M!D14*1</f>
        <v>39.782499999999999</v>
      </c>
      <c r="Q17" s="59">
        <f>M!E14*1</f>
        <v>10</v>
      </c>
      <c r="R17" s="59">
        <f>M!F14*1</f>
        <v>0.18695700000000001</v>
      </c>
      <c r="S17" s="59">
        <f>M!G14*1</f>
        <v>50</v>
      </c>
      <c r="T17" s="59">
        <f>M!H14*1</f>
        <v>38.207900000000002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36.229325000000003</v>
      </c>
      <c r="O18" s="22">
        <f>N18/(N18+N19+N20)</f>
        <v>0.34385497269063936</v>
      </c>
      <c r="P18" s="65">
        <f>SUM(P12:P15)/4</f>
        <v>25.77825</v>
      </c>
      <c r="Q18" s="22">
        <f>P18/(P18+P19+P20)</f>
        <v>0.36075479841352276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44.704750000000004</v>
      </c>
      <c r="O19" s="22">
        <f>N19/(N18+N19+N20)</f>
        <v>0.4242958043074736</v>
      </c>
      <c r="P19" s="18">
        <f>SUM(P8:P11)/4</f>
        <v>18.254079999999998</v>
      </c>
      <c r="Q19" s="22">
        <f>P19/(P18+P19+P20)</f>
        <v>0.25545748647112654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24.428149999999999</v>
      </c>
      <c r="O20" s="22">
        <f>N20/(N18+N19+N20)</f>
        <v>0.23184922300188704</v>
      </c>
      <c r="P20" s="18">
        <f>(P16+P17)/2</f>
        <v>27.424099999999999</v>
      </c>
      <c r="Q20" s="22">
        <f>P20/(P18+P19+P20)</f>
        <v>0.3837877151153507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-0.32282539324324283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1.7149011301441259</v>
      </c>
      <c r="D25" s="44" t="str">
        <f>lang!B11</f>
        <v>频率方差</v>
      </c>
      <c r="E25" s="142">
        <f ca="1">FH!L3</f>
        <v>0.90275091840646615</v>
      </c>
      <c r="F25" s="143"/>
      <c r="G25" s="134" t="str">
        <f>lang!B12</f>
        <v>生理变化率</v>
      </c>
      <c r="H25" s="135"/>
      <c r="I25" s="62" t="str">
        <f ca="1">CONCATENATE(info!M7,"-",info!M8)</f>
        <v>6.8-56.5</v>
      </c>
      <c r="J25" s="42" t="str">
        <f>lang!B13</f>
        <v>千卡l/分钟</v>
      </c>
      <c r="K25" s="41" t="str">
        <f ca="1">CONCATENATE(info!M5,"-",info!M6)</f>
        <v>1.8-4.1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34.135599999999997</v>
      </c>
      <c r="F28" s="164"/>
      <c r="G28" s="178" t="str">
        <f>lang!B33</f>
        <v>稳定性</v>
      </c>
      <c r="H28" s="179"/>
      <c r="I28" s="180"/>
      <c r="J28" s="181">
        <f>M!B19*100</f>
        <v>72.93610000000001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43620.373541666668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27.636200000000002</v>
      </c>
      <c r="O7" s="59">
        <f t="shared" ref="O7:T7" si="2">AG7-X7</f>
        <v>-3.8311600000000006</v>
      </c>
      <c r="P7" s="59">
        <f t="shared" si="2"/>
        <v>-21.194699999999997</v>
      </c>
      <c r="Q7" s="59">
        <f t="shared" si="2"/>
        <v>0</v>
      </c>
      <c r="R7" s="59">
        <f t="shared" si="2"/>
        <v>27.644300000000001</v>
      </c>
      <c r="S7" s="59">
        <f t="shared" si="2"/>
        <v>0</v>
      </c>
      <c r="T7" s="59">
        <f t="shared" si="2"/>
        <v>5.2574999999999932</v>
      </c>
      <c r="U7" s="14"/>
      <c r="V7" s="27" t="str">
        <f>M7</f>
        <v>攻击性</v>
      </c>
      <c r="W7" s="59">
        <f>'M1'!B5*1</f>
        <v>36.189399999999999</v>
      </c>
      <c r="X7" s="59">
        <f>'M1'!C5*1</f>
        <v>12.6975</v>
      </c>
      <c r="Y7" s="59">
        <f>'M1'!D5*1</f>
        <v>35.086199999999998</v>
      </c>
      <c r="Z7" s="59">
        <f>'M1'!E5*1</f>
        <v>20</v>
      </c>
      <c r="AA7" s="59">
        <f>'M1'!F5*1</f>
        <v>17.620699999999999</v>
      </c>
      <c r="AB7" s="59">
        <f>'M1'!G5*1</f>
        <v>50</v>
      </c>
      <c r="AC7" s="59">
        <f>'M1'!H5*1</f>
        <v>65.872900000000001</v>
      </c>
      <c r="AE7" s="27" t="str">
        <f>V7</f>
        <v>攻击性</v>
      </c>
      <c r="AF7" s="59">
        <f>'M2'!B5*1</f>
        <v>63.825600000000001</v>
      </c>
      <c r="AG7" s="59">
        <f>'M2'!C5*1</f>
        <v>8.8663399999999992</v>
      </c>
      <c r="AH7" s="59">
        <f>'M2'!D5*1</f>
        <v>13.891500000000001</v>
      </c>
      <c r="AI7" s="59">
        <f>'M2'!E5*1</f>
        <v>20</v>
      </c>
      <c r="AJ7" s="59">
        <f>'M2'!F5*1</f>
        <v>45.265000000000001</v>
      </c>
      <c r="AK7" s="59">
        <f>'M2'!G5*1</f>
        <v>50</v>
      </c>
      <c r="AL7" s="59">
        <f>'M2'!H5*1</f>
        <v>71.130399999999995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1.8001000000000005</v>
      </c>
      <c r="O8" s="59">
        <f t="shared" ref="O8:O16" si="5">AG8-X8</f>
        <v>1.0058199999999995</v>
      </c>
      <c r="P8" s="59">
        <f t="shared" ref="P8:P16" si="6">AH8-Y8</f>
        <v>1.5619899999999998</v>
      </c>
      <c r="Q8" s="59">
        <f t="shared" ref="Q8:Q16" si="7">AI8-Z8</f>
        <v>0</v>
      </c>
      <c r="R8" s="59">
        <f t="shared" ref="R8:R16" si="8">AJ8-AA8</f>
        <v>2.6154000000000011</v>
      </c>
      <c r="S8" s="59">
        <f t="shared" ref="S8:S16" si="9">AK8-AB8</f>
        <v>0</v>
      </c>
      <c r="T8" s="59">
        <f t="shared" ref="T8:T16" si="10">AL8-AC8</f>
        <v>3.4984999999999999</v>
      </c>
      <c r="U8" s="15"/>
      <c r="V8" s="27" t="str">
        <f t="shared" ref="V8:V16" si="11">M8</f>
        <v>压力</v>
      </c>
      <c r="W8" s="59">
        <f>'M1'!B6*1</f>
        <v>55.410600000000002</v>
      </c>
      <c r="X8" s="59">
        <f>'M1'!C6*1</f>
        <v>3.4535300000000002</v>
      </c>
      <c r="Y8" s="59">
        <f>'M1'!D6*1</f>
        <v>6.2326100000000002</v>
      </c>
      <c r="Z8" s="59">
        <f>'M1'!E6*1</f>
        <v>20</v>
      </c>
      <c r="AA8" s="59">
        <f>'M1'!F6*1</f>
        <v>45.714399999999998</v>
      </c>
      <c r="AB8" s="59">
        <f>'M1'!G6*1</f>
        <v>40</v>
      </c>
      <c r="AC8" s="59">
        <f>'M1'!H6*1</f>
        <v>60.942100000000003</v>
      </c>
      <c r="AE8" s="27" t="str">
        <f t="shared" ref="AE8:AE16" si="12">V8</f>
        <v>压力</v>
      </c>
      <c r="AF8" s="59">
        <f>'M2'!B6*1</f>
        <v>57.210700000000003</v>
      </c>
      <c r="AG8" s="59">
        <f>'M2'!C6*1</f>
        <v>4.4593499999999997</v>
      </c>
      <c r="AH8" s="59">
        <f>'M2'!D6*1</f>
        <v>7.7946</v>
      </c>
      <c r="AI8" s="59">
        <f>'M2'!E6*1</f>
        <v>20</v>
      </c>
      <c r="AJ8" s="59">
        <f>'M2'!F6*1</f>
        <v>48.329799999999999</v>
      </c>
      <c r="AK8" s="59">
        <f>'M2'!G6*1</f>
        <v>40</v>
      </c>
      <c r="AL8" s="59">
        <f>'M2'!H6*1</f>
        <v>64.440600000000003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27.644300000000001</v>
      </c>
      <c r="D9" s="78">
        <f>N7</f>
        <v>27.636200000000002</v>
      </c>
      <c r="E9" s="79">
        <f>T7</f>
        <v>5.2574999999999932</v>
      </c>
      <c r="F9" s="79">
        <f>P7</f>
        <v>-21.194699999999997</v>
      </c>
      <c r="G9" s="80" t="str">
        <f>CONCATENATE(M8,"
(20 ~ 40)")</f>
        <v>压力
(20 ~ 40)</v>
      </c>
      <c r="H9" s="77">
        <f>R8</f>
        <v>2.6154000000000011</v>
      </c>
      <c r="I9" s="81">
        <f>N8</f>
        <v>1.8001000000000005</v>
      </c>
      <c r="J9" s="77">
        <f>T8</f>
        <v>3.4984999999999999</v>
      </c>
      <c r="K9" s="82">
        <f>P8</f>
        <v>1.5619899999999998</v>
      </c>
      <c r="L9" s="6"/>
      <c r="M9" s="27" t="str">
        <f>lang!B16</f>
        <v>焦虑</v>
      </c>
      <c r="N9" s="59">
        <f t="shared" si="4"/>
        <v>-1.4265000000000008</v>
      </c>
      <c r="O9" s="59">
        <f t="shared" si="5"/>
        <v>-1.7373500000000002</v>
      </c>
      <c r="P9" s="59">
        <f t="shared" si="6"/>
        <v>-4.746699999999997</v>
      </c>
      <c r="Q9" s="59">
        <f t="shared" si="7"/>
        <v>0</v>
      </c>
      <c r="R9" s="59">
        <f t="shared" si="8"/>
        <v>-1.758700000000001</v>
      </c>
      <c r="S9" s="59">
        <f t="shared" si="9"/>
        <v>0</v>
      </c>
      <c r="T9" s="59">
        <f t="shared" si="10"/>
        <v>-9.3048000000000002</v>
      </c>
      <c r="U9" s="14"/>
      <c r="V9" s="27" t="str">
        <f t="shared" si="11"/>
        <v>焦虑</v>
      </c>
      <c r="W9" s="59">
        <f>'M1'!B7*1</f>
        <v>31.144500000000001</v>
      </c>
      <c r="X9" s="59">
        <f>'M1'!C7*1</f>
        <v>7.1330900000000002</v>
      </c>
      <c r="Y9" s="59">
        <f>'M1'!D7*1</f>
        <v>22.903199999999998</v>
      </c>
      <c r="Z9" s="59">
        <f>'M1'!E7*1</f>
        <v>15</v>
      </c>
      <c r="AA9" s="59">
        <f>'M1'!F7*1</f>
        <v>17.146000000000001</v>
      </c>
      <c r="AB9" s="59">
        <f>'M1'!G7*1</f>
        <v>40</v>
      </c>
      <c r="AC9" s="59">
        <f>'M1'!H7*1</f>
        <v>51.749099999999999</v>
      </c>
      <c r="AE9" s="27" t="str">
        <f t="shared" si="12"/>
        <v>焦虑</v>
      </c>
      <c r="AF9" s="59">
        <f>'M2'!B7*1</f>
        <v>29.718</v>
      </c>
      <c r="AG9" s="59">
        <f>'M2'!C7*1</f>
        <v>5.39574</v>
      </c>
      <c r="AH9" s="59">
        <f>'M2'!D7*1</f>
        <v>18.156500000000001</v>
      </c>
      <c r="AI9" s="59">
        <f>'M2'!E7*1</f>
        <v>15</v>
      </c>
      <c r="AJ9" s="59">
        <f>'M2'!F7*1</f>
        <v>15.3873</v>
      </c>
      <c r="AK9" s="59">
        <f>'M2'!G7*1</f>
        <v>40</v>
      </c>
      <c r="AL9" s="59">
        <f>'M2'!H7*1</f>
        <v>42.444299999999998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-1.758700000000001</v>
      </c>
      <c r="D10" s="51">
        <f>N9</f>
        <v>-1.4265000000000008</v>
      </c>
      <c r="E10" s="53">
        <f>T9</f>
        <v>-9.3048000000000002</v>
      </c>
      <c r="F10" s="53">
        <f>P9</f>
        <v>-4.746699999999997</v>
      </c>
      <c r="G10" s="73" t="str">
        <f>CONCATENATE(M10,"
(20 ~ 50)")</f>
        <v>可疑
(20 ~ 50)</v>
      </c>
      <c r="H10" s="24">
        <f>R10</f>
        <v>8.9343999999999966</v>
      </c>
      <c r="I10" s="52">
        <f>N10</f>
        <v>7.8798999999999992</v>
      </c>
      <c r="J10" s="24">
        <f>T10</f>
        <v>3.5795999999999992</v>
      </c>
      <c r="K10" s="25">
        <f>P10</f>
        <v>-3.9658900000000008</v>
      </c>
      <c r="L10" s="4"/>
      <c r="M10" s="27" t="str">
        <f>lang!B17</f>
        <v>可疑</v>
      </c>
      <c r="N10" s="59">
        <f t="shared" si="4"/>
        <v>7.8798999999999992</v>
      </c>
      <c r="O10" s="59">
        <f t="shared" si="5"/>
        <v>-1.069</v>
      </c>
      <c r="P10" s="59">
        <f t="shared" si="6"/>
        <v>-3.9658900000000008</v>
      </c>
      <c r="Q10" s="59">
        <f t="shared" si="7"/>
        <v>0</v>
      </c>
      <c r="R10" s="59">
        <f t="shared" si="8"/>
        <v>8.9343999999999966</v>
      </c>
      <c r="S10" s="59">
        <f t="shared" si="9"/>
        <v>0</v>
      </c>
      <c r="T10" s="59">
        <f t="shared" si="10"/>
        <v>3.5795999999999992</v>
      </c>
      <c r="U10" s="14"/>
      <c r="V10" s="27" t="str">
        <f t="shared" si="11"/>
        <v>可疑</v>
      </c>
      <c r="W10" s="59">
        <f>'M1'!B8*1</f>
        <v>41.7239</v>
      </c>
      <c r="X10" s="59">
        <f>'M1'!C8*1</f>
        <v>4.7561499999999999</v>
      </c>
      <c r="Y10" s="59">
        <f>'M1'!D8*1</f>
        <v>11.399100000000001</v>
      </c>
      <c r="Z10" s="59">
        <f>'M1'!E8*1</f>
        <v>20</v>
      </c>
      <c r="AA10" s="59">
        <f>'M1'!F8*1</f>
        <v>31.719200000000001</v>
      </c>
      <c r="AB10" s="59">
        <f>'M1'!G8*1</f>
        <v>50</v>
      </c>
      <c r="AC10" s="59">
        <f>'M1'!H8*1</f>
        <v>52.6419</v>
      </c>
      <c r="AE10" s="27" t="str">
        <f t="shared" si="12"/>
        <v>可疑</v>
      </c>
      <c r="AF10" s="59">
        <f>'M2'!B8*1</f>
        <v>49.6038</v>
      </c>
      <c r="AG10" s="59">
        <f>'M2'!C8*1</f>
        <v>3.6871499999999999</v>
      </c>
      <c r="AH10" s="59">
        <f>'M2'!D8*1</f>
        <v>7.4332099999999999</v>
      </c>
      <c r="AI10" s="59">
        <f>'M2'!E8*1</f>
        <v>20</v>
      </c>
      <c r="AJ10" s="59">
        <f>'M2'!F8*1</f>
        <v>40.653599999999997</v>
      </c>
      <c r="AK10" s="59">
        <f>'M2'!G8*1</f>
        <v>50</v>
      </c>
      <c r="AL10" s="59">
        <f>'M2'!H8*1</f>
        <v>56.221499999999999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-9.3122999999999969</v>
      </c>
      <c r="D11" s="52">
        <f>N11</f>
        <v>-19.788799999999995</v>
      </c>
      <c r="E11" s="24">
        <f>T11</f>
        <v>-41.788699999999992</v>
      </c>
      <c r="F11" s="24">
        <f>P11</f>
        <v>-11.65377</v>
      </c>
      <c r="G11" s="73" t="str">
        <f>CONCATENATE(M12,"
(40 ~ 100)")</f>
        <v>自信
(40 ~ 100)</v>
      </c>
      <c r="H11" s="24">
        <f>R12</f>
        <v>-3.2408000000000001</v>
      </c>
      <c r="I11" s="52">
        <f>N12</f>
        <v>-5.2841999999999985</v>
      </c>
      <c r="J11" s="24">
        <f>T12</f>
        <v>-13.215499999999999</v>
      </c>
      <c r="K11" s="25">
        <f>P12</f>
        <v>-7.251100000000001</v>
      </c>
      <c r="L11" s="4"/>
      <c r="M11" s="27" t="str">
        <f>lang!B18</f>
        <v>平衡</v>
      </c>
      <c r="N11" s="59">
        <f t="shared" si="4"/>
        <v>-19.788799999999995</v>
      </c>
      <c r="O11" s="59">
        <f t="shared" si="5"/>
        <v>-7.7560300000000009</v>
      </c>
      <c r="P11" s="59">
        <f t="shared" si="6"/>
        <v>-11.65377</v>
      </c>
      <c r="Q11" s="59">
        <f t="shared" si="7"/>
        <v>0</v>
      </c>
      <c r="R11" s="59">
        <f t="shared" si="8"/>
        <v>-9.3122999999999969</v>
      </c>
      <c r="S11" s="59">
        <f t="shared" si="9"/>
        <v>0</v>
      </c>
      <c r="T11" s="59">
        <f t="shared" si="10"/>
        <v>-41.788699999999992</v>
      </c>
      <c r="U11" s="14"/>
      <c r="V11" s="27" t="str">
        <f t="shared" si="11"/>
        <v>平衡</v>
      </c>
      <c r="W11" s="59">
        <f>'M1'!B9*1</f>
        <v>52.942799999999998</v>
      </c>
      <c r="X11" s="59">
        <f>'M1'!C9*1</f>
        <v>10.413500000000001</v>
      </c>
      <c r="Y11" s="59">
        <f>'M1'!D9*1</f>
        <v>19.6693</v>
      </c>
      <c r="Z11" s="59">
        <f>'M1'!E9*1</f>
        <v>50</v>
      </c>
      <c r="AA11" s="59">
        <f>'M1'!F9*1</f>
        <v>35.397799999999997</v>
      </c>
      <c r="AB11" s="59">
        <f>'M1'!G9*1</f>
        <v>100</v>
      </c>
      <c r="AC11" s="59">
        <f>'M1'!H9*1</f>
        <v>82.627399999999994</v>
      </c>
      <c r="AE11" s="27" t="str">
        <f t="shared" si="12"/>
        <v>平衡</v>
      </c>
      <c r="AF11" s="59">
        <f>'M2'!B9*1</f>
        <v>33.154000000000003</v>
      </c>
      <c r="AG11" s="59">
        <f>'M2'!C9*1</f>
        <v>2.65747</v>
      </c>
      <c r="AH11" s="59">
        <f>'M2'!D9*1</f>
        <v>8.01553</v>
      </c>
      <c r="AI11" s="59">
        <f>'M2'!E9*1</f>
        <v>50</v>
      </c>
      <c r="AJ11" s="59">
        <f>'M2'!F9*1</f>
        <v>26.0855</v>
      </c>
      <c r="AK11" s="59">
        <f>'M2'!G9*1</f>
        <v>100</v>
      </c>
      <c r="AL11" s="59">
        <f>'M2'!H9*1</f>
        <v>40.838700000000003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11.586130000000001</v>
      </c>
      <c r="D12" s="51">
        <f>N13</f>
        <v>9.988900000000001</v>
      </c>
      <c r="E12" s="53">
        <f>T13</f>
        <v>2.7201000000000022</v>
      </c>
      <c r="F12" s="53">
        <f>P13</f>
        <v>-30.942869999999999</v>
      </c>
      <c r="G12" s="73" t="str">
        <f>CONCATENATE(M14,"
(50 ~ 100)")</f>
        <v>自我调节
(50 ~ 100)</v>
      </c>
      <c r="H12" s="24">
        <f>R14</f>
        <v>-8.8964999999999996</v>
      </c>
      <c r="I12" s="52">
        <f>N14</f>
        <v>-13.930700000000002</v>
      </c>
      <c r="J12" s="24">
        <f>T14</f>
        <v>-27.065499999999993</v>
      </c>
      <c r="K12" s="25">
        <f>P14</f>
        <v>-9.5753899999999987</v>
      </c>
      <c r="L12" s="4"/>
      <c r="M12" s="27" t="str">
        <f>lang!B19</f>
        <v>自信</v>
      </c>
      <c r="N12" s="59">
        <f t="shared" si="4"/>
        <v>-5.2841999999999985</v>
      </c>
      <c r="O12" s="59">
        <f t="shared" si="5"/>
        <v>-4.0180800000000003</v>
      </c>
      <c r="P12" s="59">
        <f t="shared" si="6"/>
        <v>-7.251100000000001</v>
      </c>
      <c r="Q12" s="59">
        <f t="shared" si="7"/>
        <v>0</v>
      </c>
      <c r="R12" s="59">
        <f t="shared" si="8"/>
        <v>-3.2408000000000001</v>
      </c>
      <c r="S12" s="59">
        <f t="shared" si="9"/>
        <v>0</v>
      </c>
      <c r="T12" s="59">
        <f t="shared" si="10"/>
        <v>-13.215499999999999</v>
      </c>
      <c r="U12" s="15"/>
      <c r="V12" s="27" t="str">
        <f t="shared" si="11"/>
        <v>自信</v>
      </c>
      <c r="W12" s="59">
        <f>'M1'!B10*1</f>
        <v>47.099800000000002</v>
      </c>
      <c r="X12" s="59">
        <f>'M1'!C10*1</f>
        <v>8.7888000000000002</v>
      </c>
      <c r="Y12" s="59">
        <f>'M1'!D10*1</f>
        <v>18.66</v>
      </c>
      <c r="Z12" s="59">
        <f>'M1'!E10*1</f>
        <v>40</v>
      </c>
      <c r="AA12" s="59">
        <f>'M1'!F10*1</f>
        <v>35.2258</v>
      </c>
      <c r="AB12" s="59">
        <f>'M1'!G10*1</f>
        <v>100</v>
      </c>
      <c r="AC12" s="59">
        <f>'M1'!H10*1</f>
        <v>61.537199999999999</v>
      </c>
      <c r="AE12" s="27" t="str">
        <f t="shared" si="12"/>
        <v>自信</v>
      </c>
      <c r="AF12" s="59">
        <f>'M2'!B10*1</f>
        <v>41.815600000000003</v>
      </c>
      <c r="AG12" s="59">
        <f>'M2'!C10*1</f>
        <v>4.7707199999999998</v>
      </c>
      <c r="AH12" s="59">
        <f>'M2'!D10*1</f>
        <v>11.408899999999999</v>
      </c>
      <c r="AI12" s="59">
        <f>'M2'!E10*1</f>
        <v>40</v>
      </c>
      <c r="AJ12" s="59">
        <f>'M2'!F10*1</f>
        <v>31.984999999999999</v>
      </c>
      <c r="AK12" s="59">
        <f>'M2'!G10*1</f>
        <v>100</v>
      </c>
      <c r="AL12" s="59">
        <f>'M2'!H10*1</f>
        <v>48.3217</v>
      </c>
    </row>
    <row r="13" spans="2:38" ht="25.5" customHeight="1" thickBot="1">
      <c r="B13" s="72" t="str">
        <f>CONCATENATE(M15,"
(10 ~ 25)")</f>
        <v>抑郁
(10 ~ 25)</v>
      </c>
      <c r="C13" s="54">
        <f>R15</f>
        <v>2.3945999999999987</v>
      </c>
      <c r="D13" s="55">
        <f>N15</f>
        <v>1.2947000000000024</v>
      </c>
      <c r="E13" s="56">
        <f>T15</f>
        <v>-2.9773999999999994</v>
      </c>
      <c r="F13" s="56">
        <f>P15</f>
        <v>-9.0363999999999987</v>
      </c>
      <c r="G13" s="74" t="str">
        <f>CONCATENATE(M16,"
(10 ~ 50)")</f>
        <v>神经质
(10 ~ 50)</v>
      </c>
      <c r="H13" s="54">
        <f>R16</f>
        <v>1.2371829999999999</v>
      </c>
      <c r="I13" s="55">
        <f>N16</f>
        <v>-15.604800000000001</v>
      </c>
      <c r="J13" s="56">
        <f>T16</f>
        <v>-2.5356000000000023</v>
      </c>
      <c r="K13" s="57">
        <f>P16</f>
        <v>25.289000000000001</v>
      </c>
      <c r="M13" s="27" t="str">
        <f>lang!B20</f>
        <v>活力</v>
      </c>
      <c r="N13" s="59">
        <f t="shared" si="4"/>
        <v>9.988900000000001</v>
      </c>
      <c r="O13" s="59">
        <f t="shared" si="5"/>
        <v>-2.9273499999999997</v>
      </c>
      <c r="P13" s="59">
        <f t="shared" si="6"/>
        <v>-30.942869999999999</v>
      </c>
      <c r="Q13" s="59">
        <f t="shared" si="7"/>
        <v>0</v>
      </c>
      <c r="R13" s="59">
        <f t="shared" si="8"/>
        <v>11.586130000000001</v>
      </c>
      <c r="S13" s="59">
        <f t="shared" si="9"/>
        <v>0</v>
      </c>
      <c r="T13" s="59">
        <f t="shared" si="10"/>
        <v>2.7201000000000022</v>
      </c>
      <c r="U13" s="14"/>
      <c r="V13" s="27" t="str">
        <f t="shared" si="11"/>
        <v>活力</v>
      </c>
      <c r="W13" s="59">
        <f>'M1'!B11*1</f>
        <v>11.303100000000001</v>
      </c>
      <c r="X13" s="59">
        <f>'M1'!C11*1</f>
        <v>4.1426999999999996</v>
      </c>
      <c r="Y13" s="59">
        <f>'M1'!D11*1</f>
        <v>36.6509</v>
      </c>
      <c r="Z13" s="59">
        <f>'M1'!E11*1</f>
        <v>10</v>
      </c>
      <c r="AA13" s="59">
        <f>'M1'!F11*1</f>
        <v>7.5115699999999999</v>
      </c>
      <c r="AB13" s="59">
        <f>'M1'!G11*1</f>
        <v>50</v>
      </c>
      <c r="AC13" s="59">
        <f>'M1'!H11*1</f>
        <v>22.000699999999998</v>
      </c>
      <c r="AE13" s="27" t="str">
        <f t="shared" si="12"/>
        <v>活力</v>
      </c>
      <c r="AF13" s="59">
        <f>'M2'!B11*1</f>
        <v>21.292000000000002</v>
      </c>
      <c r="AG13" s="59">
        <f>'M2'!C11*1</f>
        <v>1.2153499999999999</v>
      </c>
      <c r="AH13" s="59">
        <f>'M2'!D11*1</f>
        <v>5.7080299999999999</v>
      </c>
      <c r="AI13" s="59">
        <f>'M2'!E11*1</f>
        <v>10</v>
      </c>
      <c r="AJ13" s="59">
        <f>'M2'!F11*1</f>
        <v>19.0977</v>
      </c>
      <c r="AK13" s="59">
        <f>'M2'!G11*1</f>
        <v>50</v>
      </c>
      <c r="AL13" s="59">
        <f>'M2'!H11*1</f>
        <v>24.720800000000001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-13.930700000000002</v>
      </c>
      <c r="O14" s="59">
        <f t="shared" si="5"/>
        <v>-5.9695100000000005</v>
      </c>
      <c r="P14" s="59">
        <f t="shared" si="6"/>
        <v>-9.5753899999999987</v>
      </c>
      <c r="Q14" s="59">
        <f t="shared" si="7"/>
        <v>0</v>
      </c>
      <c r="R14" s="59">
        <f t="shared" si="8"/>
        <v>-8.8964999999999996</v>
      </c>
      <c r="S14" s="59">
        <f t="shared" si="9"/>
        <v>0</v>
      </c>
      <c r="T14" s="59">
        <f t="shared" si="10"/>
        <v>-27.065499999999993</v>
      </c>
      <c r="U14" s="14"/>
      <c r="V14" s="27" t="str">
        <f t="shared" si="11"/>
        <v>自我调节</v>
      </c>
      <c r="W14" s="59">
        <f>'M1'!B12*1</f>
        <v>50.755000000000003</v>
      </c>
      <c r="X14" s="59">
        <f>'M1'!C12*1</f>
        <v>8.9023400000000006</v>
      </c>
      <c r="Y14" s="59">
        <f>'M1'!D12*1</f>
        <v>17.5398</v>
      </c>
      <c r="Z14" s="59">
        <f>'M1'!E12*1</f>
        <v>50</v>
      </c>
      <c r="AA14" s="59">
        <f>'M1'!F12*1</f>
        <v>40.563600000000001</v>
      </c>
      <c r="AB14" s="59">
        <f>'M1'!G12*1</f>
        <v>100</v>
      </c>
      <c r="AC14" s="59">
        <f>'M1'!H12*1</f>
        <v>71.474199999999996</v>
      </c>
      <c r="AE14" s="27" t="str">
        <f t="shared" si="12"/>
        <v>自我调节</v>
      </c>
      <c r="AF14" s="59">
        <f>'M2'!B12*1</f>
        <v>36.824300000000001</v>
      </c>
      <c r="AG14" s="59">
        <f>'M2'!C12*1</f>
        <v>2.93283</v>
      </c>
      <c r="AH14" s="59">
        <f>'M2'!D12*1</f>
        <v>7.96441</v>
      </c>
      <c r="AI14" s="59">
        <f>'M2'!E12*1</f>
        <v>50</v>
      </c>
      <c r="AJ14" s="59">
        <f>'M2'!F12*1</f>
        <v>31.667100000000001</v>
      </c>
      <c r="AK14" s="59">
        <f>'M2'!G12*1</f>
        <v>100</v>
      </c>
      <c r="AL14" s="59">
        <f>'M2'!H12*1</f>
        <v>44.408700000000003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1.2947000000000024</v>
      </c>
      <c r="O15" s="59">
        <f t="shared" si="5"/>
        <v>-1.5604799999999996</v>
      </c>
      <c r="P15" s="59">
        <f t="shared" si="6"/>
        <v>-9.0363999999999987</v>
      </c>
      <c r="Q15" s="59">
        <f t="shared" si="7"/>
        <v>0</v>
      </c>
      <c r="R15" s="59">
        <f t="shared" si="8"/>
        <v>2.3945999999999987</v>
      </c>
      <c r="S15" s="59">
        <f t="shared" si="9"/>
        <v>0</v>
      </c>
      <c r="T15" s="59">
        <f t="shared" si="10"/>
        <v>-2.9773999999999994</v>
      </c>
      <c r="U15" s="14"/>
      <c r="V15" s="27" t="str">
        <f t="shared" si="11"/>
        <v>抑郁</v>
      </c>
      <c r="W15" s="59">
        <f>'M1'!B13*1</f>
        <v>18.711099999999998</v>
      </c>
      <c r="X15" s="59">
        <f>'M1'!C13*1</f>
        <v>3.5742699999999998</v>
      </c>
      <c r="Y15" s="59">
        <f>'M1'!D13*1</f>
        <v>19.102399999999999</v>
      </c>
      <c r="Z15" s="59">
        <f>'M1'!E13*1</f>
        <v>10</v>
      </c>
      <c r="AA15" s="59">
        <f>'M1'!F13*1</f>
        <v>14.726100000000001</v>
      </c>
      <c r="AB15" s="59">
        <f>'M1'!G13*1</f>
        <v>25</v>
      </c>
      <c r="AC15" s="59">
        <f>'M1'!H13*1</f>
        <v>30.236599999999999</v>
      </c>
      <c r="AE15" s="27" t="str">
        <f t="shared" si="12"/>
        <v>抑郁</v>
      </c>
      <c r="AF15" s="59">
        <f>'M2'!B13*1</f>
        <v>20.005800000000001</v>
      </c>
      <c r="AG15" s="59">
        <f>'M2'!C13*1</f>
        <v>2.0137900000000002</v>
      </c>
      <c r="AH15" s="59">
        <f>'M2'!D13*1</f>
        <v>10.066000000000001</v>
      </c>
      <c r="AI15" s="59">
        <f>'M2'!E13*1</f>
        <v>10</v>
      </c>
      <c r="AJ15" s="59">
        <f>'M2'!F13*1</f>
        <v>17.120699999999999</v>
      </c>
      <c r="AK15" s="59">
        <f>'M2'!G13*1</f>
        <v>25</v>
      </c>
      <c r="AL15" s="59">
        <f>'M2'!H13*1</f>
        <v>27.2592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-15.604800000000001</v>
      </c>
      <c r="O16" s="59">
        <f t="shared" si="5"/>
        <v>-8.2000000000004292E-3</v>
      </c>
      <c r="P16" s="59">
        <f t="shared" si="6"/>
        <v>25.289000000000001</v>
      </c>
      <c r="Q16" s="59">
        <f t="shared" si="7"/>
        <v>0</v>
      </c>
      <c r="R16" s="59">
        <f t="shared" si="8"/>
        <v>1.2371829999999999</v>
      </c>
      <c r="S16" s="59">
        <f t="shared" si="9"/>
        <v>0</v>
      </c>
      <c r="T16" s="59">
        <f t="shared" si="10"/>
        <v>-2.5356000000000023</v>
      </c>
      <c r="U16" s="15"/>
      <c r="V16" s="27" t="str">
        <f t="shared" si="11"/>
        <v>神经质</v>
      </c>
      <c r="W16" s="59">
        <f>'M1'!B14*1</f>
        <v>35.742699999999999</v>
      </c>
      <c r="X16" s="59">
        <f>'M1'!C14*1</f>
        <v>11.683400000000001</v>
      </c>
      <c r="Y16" s="59">
        <f>'M1'!D14*1</f>
        <v>32.6875</v>
      </c>
      <c r="Z16" s="59">
        <f>'M1'!E14*1</f>
        <v>10</v>
      </c>
      <c r="AA16" s="59">
        <f>'M1'!F14*1</f>
        <v>0.18695700000000001</v>
      </c>
      <c r="AB16" s="59">
        <f>'M1'!G14*1</f>
        <v>50</v>
      </c>
      <c r="AC16" s="59">
        <f>'M1'!H14*1</f>
        <v>38.207900000000002</v>
      </c>
      <c r="AE16" s="27" t="str">
        <f t="shared" si="12"/>
        <v>神经质</v>
      </c>
      <c r="AF16" s="59">
        <f>'M2'!B14*1</f>
        <v>20.137899999999998</v>
      </c>
      <c r="AG16" s="59">
        <f>'M2'!C14*1</f>
        <v>11.6752</v>
      </c>
      <c r="AH16" s="59">
        <f>'M2'!D14*1</f>
        <v>57.976500000000001</v>
      </c>
      <c r="AI16" s="59">
        <f>'M2'!E14*1</f>
        <v>10</v>
      </c>
      <c r="AJ16" s="59">
        <f>'M2'!F14*1</f>
        <v>1.42414</v>
      </c>
      <c r="AK16" s="59">
        <f>'M2'!G14*1</f>
        <v>50</v>
      </c>
      <c r="AL16" s="59">
        <f>'M2'!H14*1</f>
        <v>35.6723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-7.2536999999999985</v>
      </c>
      <c r="O17" s="22">
        <f>N17/(N17+N18+N19)</f>
        <v>1.3343021250569094</v>
      </c>
      <c r="P17" s="65">
        <f>SUM(P11:P14)/4</f>
        <v>-14.8557825</v>
      </c>
      <c r="Q17" s="22">
        <f>P17/(P17+P18+P19)</f>
        <v>1.0752742827373645</v>
      </c>
      <c r="R17" s="14"/>
      <c r="S17" s="14"/>
      <c r="T17" s="14"/>
      <c r="U17" s="14"/>
      <c r="V17" s="21" t="str">
        <f>M17</f>
        <v>Positive</v>
      </c>
      <c r="W17" s="65">
        <f>SUM(W11:W14)/4</f>
        <v>40.525174999999997</v>
      </c>
      <c r="X17" s="22">
        <f>W17/(W17+W18+W19)</f>
        <v>0.37223736654567285</v>
      </c>
      <c r="Y17" s="65">
        <f>SUM(Y11:Y14)/4</f>
        <v>23.13</v>
      </c>
      <c r="Z17" s="22">
        <f>Y17/(Y17+Y18+Y19)</f>
        <v>0.34049643069427377</v>
      </c>
      <c r="AA17" s="14"/>
      <c r="AB17" s="14"/>
      <c r="AC17" s="14"/>
      <c r="AE17" s="21" t="str">
        <f>V17</f>
        <v>Positive</v>
      </c>
      <c r="AF17" s="65">
        <f>SUM(AF11:AF14)/4</f>
        <v>33.271475000000002</v>
      </c>
      <c r="AG17" s="22">
        <f>AF17/(AF17+AF18+AF19)</f>
        <v>0.32167222502328807</v>
      </c>
      <c r="AH17" s="65">
        <f>SUM(AH11:AH14)/4</f>
        <v>8.2742175000000007</v>
      </c>
      <c r="AI17" s="22">
        <f>AH17/(AH17+AH18+AH19)</f>
        <v>0.15290226708518728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8.9724250000000012</v>
      </c>
      <c r="O18" s="22">
        <f>N18/(N17+N18+N19)</f>
        <v>-1.6504578000763397</v>
      </c>
      <c r="P18" s="18">
        <f>SUM(P7:P10)/4</f>
        <v>-7.0863249999999987</v>
      </c>
      <c r="Q18" s="22">
        <f>P18/(P17+P18+P19)</f>
        <v>0.51291428314993526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41.117099999999994</v>
      </c>
      <c r="X18" s="22">
        <f>W18/(W17+W18+W19)</f>
        <v>0.3776743968161787</v>
      </c>
      <c r="Y18" s="18">
        <f>SUM(Y7:Y10)/4</f>
        <v>18.9052775</v>
      </c>
      <c r="Z18" s="22">
        <f>Y18/(Y17+Y18+Y19)</f>
        <v>0.27830434544032701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50.089525000000002</v>
      </c>
      <c r="AG18" s="22">
        <f>AF18/(AF17+AF18+AF19)</f>
        <v>0.48427095453717073</v>
      </c>
      <c r="AH18" s="18">
        <f>SUM(AH7:AH10)/4</f>
        <v>11.818952500000002</v>
      </c>
      <c r="AI18" s="22">
        <f>AH18/(AH17+AH18+AH19)</f>
        <v>0.21840671118714755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-7.1550499999999992</v>
      </c>
      <c r="O19" s="22">
        <f>N19/(N17+N18+N19)</f>
        <v>1.3161556750194301</v>
      </c>
      <c r="P19" s="18">
        <f>(P15+P16)/2</f>
        <v>8.1263000000000005</v>
      </c>
      <c r="Q19" s="22">
        <f>P19/(P17+P18+P19)</f>
        <v>-0.58818856588729984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27.226900000000001</v>
      </c>
      <c r="X19" s="22">
        <f>W19/(W17+W18+W19)</f>
        <v>0.25008823663814855</v>
      </c>
      <c r="Y19" s="18">
        <f>(Y15+Y16)/2</f>
        <v>25.894950000000001</v>
      </c>
      <c r="Z19" s="22">
        <f>Y19/(Y17+Y18+Y19)</f>
        <v>0.38119922386539928</v>
      </c>
      <c r="AA19" s="14"/>
      <c r="AB19" s="14"/>
      <c r="AC19" s="14"/>
      <c r="AE19" s="21" t="str">
        <f t="shared" si="14"/>
        <v>Physiological</v>
      </c>
      <c r="AF19" s="18">
        <f>(AF15+AF16)/2</f>
        <v>20.071849999999998</v>
      </c>
      <c r="AG19" s="22">
        <f>AF19/(AF17+AF18+AF19)</f>
        <v>0.19405682043954117</v>
      </c>
      <c r="AH19" s="18">
        <f>(AH15+AH16)/2</f>
        <v>34.021250000000002</v>
      </c>
      <c r="AI19" s="22">
        <f>AH19/(AH17+AH18+AH19)</f>
        <v>0.62869102172766522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1.32/1.96</v>
      </c>
      <c r="D24" s="44" t="str">
        <f>lang!B11</f>
        <v>频率方差</v>
      </c>
      <c r="E24" s="142" t="str">
        <f ca="1">CONCATENATE(ROUND('FH1'!L3,2),"/",ROUND('FH2'!L3,2))</f>
        <v>0.75/0.9</v>
      </c>
      <c r="F24" s="143"/>
      <c r="G24" s="134" t="str">
        <f>lang!B12</f>
        <v>生理变化率</v>
      </c>
      <c r="H24" s="135"/>
      <c r="I24" s="62" t="str">
        <f ca="1">CONCATENATE(info!M7,"-",info!M8)</f>
        <v>6.8-56.5</v>
      </c>
      <c r="J24" s="42" t="str">
        <f>lang!B13</f>
        <v>千卡l/分钟</v>
      </c>
      <c r="K24" s="41" t="str">
        <f ca="1">CONCATENATE(info!M5,"-",info!M6)</f>
        <v>1.8-4.1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23.276</v>
      </c>
      <c r="F27" s="164"/>
      <c r="G27" s="178" t="str">
        <f>lang!B33</f>
        <v>稳定性</v>
      </c>
      <c r="H27" s="179"/>
      <c r="I27" s="180"/>
      <c r="J27" s="181">
        <f>dM!B19*100</f>
        <v>22.371200000000002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-0.99285058943872262</v>
      </c>
      <c r="C2">
        <f t="array" aca="1" ref="C2" ca="1">CORREL(FT_E02,FT_PH02)</f>
        <v>-0.13710209804058834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1.7647999999999999</v>
      </c>
      <c r="G2" s="61">
        <f>IF(FT!B2&lt;&gt;"",FT!B2*100,"")</f>
        <v>56.534399999999998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1.7986199999999999</v>
      </c>
      <c r="G3" s="61">
        <f>IF(FT!B3&lt;&gt;"",FT!B3*100,"")</f>
        <v>55.584599999999995</v>
      </c>
      <c r="H3" s="61">
        <f t="shared" ref="H3:H66" si="1">(IF(F3&lt;&gt;"",1,""))</f>
        <v>1</v>
      </c>
      <c r="I3" t="str">
        <f>IF(FT!B3&lt;&gt;"",FT!E3,"")</f>
        <v>1 [0.399727]</v>
      </c>
      <c r="J3">
        <f>IF(FT!B3&lt;&gt;"",FT!C3,"")</f>
        <v>0.399727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0.30516354189189182</v>
      </c>
      <c r="V3">
        <f ca="1">AVERAGE(OFFSET(FT!B2,info!$L$3/2,0,info!$L$3/2,1))</f>
        <v>8.6787445945945965E-2</v>
      </c>
      <c r="W3">
        <f ca="1">AVERAGE(OFFSET(FT!A2,0,0,info!$L$3/2,1))</f>
        <v>0.29095047297297305</v>
      </c>
      <c r="X3">
        <f ca="1">AVERAGE(OFFSET(FT!A2,info!$L$3/2,0,info!$L$3/2,1))</f>
        <v>0.39539977027027001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1.8325499999999999</v>
      </c>
      <c r="G4" s="61">
        <f>IF(FT!B4&lt;&gt;"",FT!B4*100,"")</f>
        <v>54.634700000000002</v>
      </c>
      <c r="H4" s="61">
        <f t="shared" si="1"/>
        <v>1</v>
      </c>
      <c r="I4" t="str">
        <f>IF(FT!B4&lt;&gt;"",FT!E4,"")</f>
        <v>1 [0.806469]</v>
      </c>
      <c r="J4">
        <f>IF(FT!B4&lt;&gt;"",FT!C4,"")</f>
        <v>0.80646899999999999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15.046875</v>
      </c>
      <c r="V4">
        <f>U4*3</f>
        <v>45.140625</v>
      </c>
      <c r="W4">
        <f>U4</f>
        <v>15.046875</v>
      </c>
      <c r="X4">
        <f>V4</f>
        <v>45.140625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1.86537</v>
      </c>
      <c r="G5" s="61">
        <f>IF(FT!B5&lt;&gt;"",FT!B5*100,"")</f>
        <v>53.745200000000004</v>
      </c>
      <c r="H5" s="61">
        <f t="shared" si="1"/>
        <v>1</v>
      </c>
      <c r="I5" t="str">
        <f>IF(FT!B5&lt;&gt;"",FT!E5,"")</f>
        <v>1 [1.213049]</v>
      </c>
      <c r="J5">
        <f>IF(FT!B5&lt;&gt;"",FT!C5,"")</f>
        <v>1.21305</v>
      </c>
      <c r="K5" t="s">
        <v>53</v>
      </c>
      <c r="L5" s="63">
        <f ca="1">MIN(FT_E)</f>
        <v>1.7647999999999999</v>
      </c>
      <c r="M5" s="63">
        <f ca="1">ROUND(L5,1)</f>
        <v>1.8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30.516354189189183</v>
      </c>
      <c r="V5">
        <f ca="1">V3*100</f>
        <v>8.6787445945945958</v>
      </c>
      <c r="W5">
        <f ca="1">W3*10</f>
        <v>2.9095047297297305</v>
      </c>
      <c r="X5">
        <f ca="1">X3*10</f>
        <v>3.9539977027027002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1.89771</v>
      </c>
      <c r="G6" s="61">
        <f>IF(FT!B6&lt;&gt;"",FT!B6*100,"")</f>
        <v>52.8675</v>
      </c>
      <c r="H6" s="61">
        <f t="shared" si="1"/>
        <v>1</v>
      </c>
      <c r="I6" t="str">
        <f>IF(FT!B6&lt;&gt;"",FT!E6,"")</f>
        <v>1 [1.617118]</v>
      </c>
      <c r="J6">
        <f>IF(FT!B6&lt;&gt;"",FT!C6,"")</f>
        <v>1.6171199999999999</v>
      </c>
      <c r="K6" t="s">
        <v>54</v>
      </c>
      <c r="L6" s="63">
        <f ca="1">MAX(FT_E)</f>
        <v>4.1018999999999997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1.93106</v>
      </c>
      <c r="G7" s="61">
        <f>IF(FT!B7&lt;&gt;"",FT!B7*100,"")</f>
        <v>51.984300000000005</v>
      </c>
      <c r="H7" s="61">
        <f t="shared" si="1"/>
        <v>1</v>
      </c>
      <c r="I7" t="str">
        <f>IF(FT!B7&lt;&gt;"",FT!E7,"")</f>
        <v>1 [2.028680]</v>
      </c>
      <c r="J7">
        <f>IF(FT!B7&lt;&gt;"",FT!C7,"")</f>
        <v>2.02868</v>
      </c>
      <c r="K7" t="s">
        <v>55</v>
      </c>
      <c r="L7" s="63">
        <f ca="1">MIN(FT_PH)</f>
        <v>6.7591899999999994</v>
      </c>
      <c r="M7" s="63">
        <f ca="1">ROUND(L7,1)</f>
        <v>6.8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19178</v>
      </c>
      <c r="D8" s="61">
        <f>FH!B8*1</f>
        <v>19178</v>
      </c>
      <c r="E8">
        <f t="shared" si="3"/>
        <v>6</v>
      </c>
      <c r="F8" s="61">
        <f>IF(FT!A8&lt;&gt;"",FT!A8*10,"")</f>
        <v>1.9632800000000001</v>
      </c>
      <c r="G8" s="61">
        <f>IF(FT!B8&lt;&gt;"",FT!B8*100,"")</f>
        <v>51.235600000000005</v>
      </c>
      <c r="H8" s="61">
        <f t="shared" si="1"/>
        <v>1</v>
      </c>
      <c r="I8" t="str">
        <f>IF(FT!B8&lt;&gt;"",FT!E8,"")</f>
        <v>1 [2.432484]</v>
      </c>
      <c r="J8">
        <f>IF(FT!B8&lt;&gt;"",FT!C8,"")</f>
        <v>2.43248</v>
      </c>
      <c r="K8" t="s">
        <v>56</v>
      </c>
      <c r="L8" s="63">
        <f ca="1">MAX(FT_PH)</f>
        <v>56.534399999999998</v>
      </c>
      <c r="M8" s="63">
        <f ca="1">ROUND(L8,1)</f>
        <v>56.5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1.9903499999999998</v>
      </c>
      <c r="G9" s="61">
        <f>IF(FT!B9&lt;&gt;"",FT!B9*100,"")</f>
        <v>50.681399999999996</v>
      </c>
      <c r="H9" s="61">
        <f t="shared" si="1"/>
        <v>1</v>
      </c>
      <c r="I9" t="str">
        <f>IF(FT!B9&lt;&gt;"",FT!E9,"")</f>
        <v>1 [2.838369]</v>
      </c>
      <c r="J9">
        <f>IF(FT!B9&lt;&gt;"",FT!C9,"")</f>
        <v>2.8383699999999998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23860</v>
      </c>
      <c r="D10" s="61">
        <f>FH!B10*1</f>
        <v>23860</v>
      </c>
      <c r="E10">
        <f t="shared" si="3"/>
        <v>8</v>
      </c>
      <c r="F10" s="61">
        <f>IF(FT!A10&lt;&gt;"",FT!A10*10,"")</f>
        <v>2.01458</v>
      </c>
      <c r="G10" s="61">
        <f>IF(FT!B10&lt;&gt;"",FT!B10*100,"")</f>
        <v>50.2196</v>
      </c>
      <c r="H10" s="61">
        <f t="shared" si="1"/>
        <v>1</v>
      </c>
      <c r="I10" t="str">
        <f>IF(FT!B10&lt;&gt;"",FT!E10,"")</f>
        <v>1 [3.243664]</v>
      </c>
      <c r="J10">
        <f>IF(FT!B10&lt;&gt;"",FT!C10,"")</f>
        <v>3.2436600000000002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2.03539</v>
      </c>
      <c r="G11" s="61">
        <f>IF(FT!B11&lt;&gt;"",FT!B11*100,"")</f>
        <v>49.848100000000002</v>
      </c>
      <c r="H11" s="61">
        <f t="shared" si="1"/>
        <v>1</v>
      </c>
      <c r="I11" t="str">
        <f>IF(FT!B11&lt;&gt;"",FT!E11,"")</f>
        <v>1 [3.658769]</v>
      </c>
      <c r="J11">
        <f>IF(FT!B11&lt;&gt;"",FT!C11,"")</f>
        <v>3.6587700000000001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2.0504099999999998</v>
      </c>
      <c r="G12" s="61">
        <f>IF(FT!B12&lt;&gt;"",FT!B12*100,"")</f>
        <v>49.587499999999999</v>
      </c>
      <c r="H12" s="61">
        <f t="shared" si="1"/>
        <v>1</v>
      </c>
      <c r="I12" t="str">
        <f>IF(FT!B12&lt;&gt;"",FT!E12,"")</f>
        <v>1 [4.057477]</v>
      </c>
      <c r="J12">
        <f>IF(FT!B12&lt;&gt;"",FT!C12,"")</f>
        <v>4.05748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34563</v>
      </c>
      <c r="D13" s="61">
        <f>FH!B13*1</f>
        <v>34563</v>
      </c>
      <c r="E13">
        <f t="shared" si="3"/>
        <v>11</v>
      </c>
      <c r="F13" s="61">
        <f>IF(FT!A13&lt;&gt;"",FT!A13*10,"")</f>
        <v>2.06372</v>
      </c>
      <c r="G13" s="61">
        <f>IF(FT!B13&lt;&gt;"",FT!B13*100,"")</f>
        <v>49.340699999999998</v>
      </c>
      <c r="H13" s="61">
        <f t="shared" si="1"/>
        <v>1</v>
      </c>
      <c r="I13" t="str">
        <f>IF(FT!B13&lt;&gt;"",FT!E13,"")</f>
        <v>1 [4.467156]</v>
      </c>
      <c r="J13">
        <f>IF(FT!B13&lt;&gt;"",FT!C13,"")</f>
        <v>4.4671599999999998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2.07605</v>
      </c>
      <c r="G14" s="61">
        <f>IF(FT!B14&lt;&gt;"",FT!B14*100,"")</f>
        <v>49.085499999999996</v>
      </c>
      <c r="H14" s="61">
        <f t="shared" si="1"/>
        <v>1</v>
      </c>
      <c r="I14" t="str">
        <f>IF(FT!B14&lt;&gt;"",FT!E14,"")</f>
        <v>1 [4.868956]</v>
      </c>
      <c r="J14">
        <f>IF(FT!B14&lt;&gt;"",FT!C14,"")</f>
        <v>4.8689600000000004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46047</v>
      </c>
      <c r="D15" s="61">
        <f>FH!B15*1</f>
        <v>46047</v>
      </c>
      <c r="E15">
        <f t="shared" si="3"/>
        <v>13</v>
      </c>
      <c r="F15" s="61">
        <f>IF(FT!A15&lt;&gt;"",FT!A15*10,"")</f>
        <v>2.0872299999999999</v>
      </c>
      <c r="G15" s="61">
        <f>IF(FT!B15&lt;&gt;"",FT!B15*100,"")</f>
        <v>48.817700000000002</v>
      </c>
      <c r="H15" s="61">
        <f t="shared" si="1"/>
        <v>1</v>
      </c>
      <c r="I15" t="str">
        <f>IF(FT!B15&lt;&gt;"",FT!E15,"")</f>
        <v>1 [5.279484]</v>
      </c>
      <c r="J15">
        <f>IF(FT!B15&lt;&gt;"",FT!C15,"")</f>
        <v>5.2794800000000004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2.0979100000000002</v>
      </c>
      <c r="G16" s="61">
        <f>IF(FT!B16&lt;&gt;"",FT!B16*100,"")</f>
        <v>48.549399999999999</v>
      </c>
      <c r="H16" s="61">
        <f t="shared" si="1"/>
        <v>1</v>
      </c>
      <c r="I16" t="str">
        <f>IF(FT!B16&lt;&gt;"",FT!E16,"")</f>
        <v>1 [5.683892]</v>
      </c>
      <c r="J16">
        <f>IF(FT!B16&lt;&gt;"",FT!C16,"")</f>
        <v>5.6838899999999999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2.10948</v>
      </c>
      <c r="G17" s="61">
        <f>IF(FT!B17&lt;&gt;"",FT!B17*100,"")</f>
        <v>48.258000000000003</v>
      </c>
      <c r="H17" s="61">
        <f t="shared" si="1"/>
        <v>1</v>
      </c>
      <c r="I17" t="str">
        <f>IF(FT!B17&lt;&gt;"",FT!E17,"")</f>
        <v>1 [6.090673]</v>
      </c>
      <c r="J17">
        <f>IF(FT!B17&lt;&gt;"",FT!C17,"")</f>
        <v>6.0906700000000003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56358</v>
      </c>
      <c r="D18" s="61">
        <f>FH!B18*1</f>
        <v>56358</v>
      </c>
      <c r="E18">
        <f t="shared" si="3"/>
        <v>16</v>
      </c>
      <c r="F18" s="61">
        <f>IF(FT!A18&lt;&gt;"",FT!A18*10,"")</f>
        <v>2.12283</v>
      </c>
      <c r="G18" s="61">
        <f>IF(FT!B18&lt;&gt;"",FT!B18*100,"")</f>
        <v>47.918399999999998</v>
      </c>
      <c r="H18" s="61">
        <f t="shared" si="1"/>
        <v>1</v>
      </c>
      <c r="I18" t="str">
        <f>IF(FT!B18&lt;&gt;"",FT!E18,"")</f>
        <v>1 [6.495777]</v>
      </c>
      <c r="J18">
        <f>IF(FT!B18&lt;&gt;"",FT!C18,"")</f>
        <v>6.4957799999999999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2.1357900000000001</v>
      </c>
      <c r="G19" s="61">
        <f>IF(FT!B19&lt;&gt;"",FT!B19*100,"")</f>
        <v>47.591299999999997</v>
      </c>
      <c r="H19" s="61">
        <f t="shared" si="1"/>
        <v>1</v>
      </c>
      <c r="I19" t="str">
        <f>IF(FT!B19&lt;&gt;"",FT!E19,"")</f>
        <v>1 [6.899516]</v>
      </c>
      <c r="J19">
        <f>IF(FT!B19&lt;&gt;"",FT!C19,"")</f>
        <v>6.8995199999999999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2.1485799999999999</v>
      </c>
      <c r="G20" s="61">
        <f>IF(FT!B20&lt;&gt;"",FT!B20*100,"")</f>
        <v>47.254300000000001</v>
      </c>
      <c r="H20" s="61">
        <f t="shared" si="1"/>
        <v>1</v>
      </c>
      <c r="I20" t="str">
        <f>IF(FT!B20&lt;&gt;"",FT!E20,"")</f>
        <v>1 [7.307929]</v>
      </c>
      <c r="J20">
        <f>IF(FT!B20&lt;&gt;"",FT!C20,"")</f>
        <v>7.3079299999999998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61734</v>
      </c>
      <c r="D21" s="61">
        <f>FH!B21*1</f>
        <v>61734</v>
      </c>
      <c r="E21">
        <f t="shared" si="3"/>
        <v>19</v>
      </c>
      <c r="F21" s="61">
        <f>IF(FT!A21&lt;&gt;"",FT!A21*10,"")</f>
        <v>2.1638299999999999</v>
      </c>
      <c r="G21" s="61">
        <f>IF(FT!B21&lt;&gt;"",FT!B21*100,"")</f>
        <v>46.866700000000002</v>
      </c>
      <c r="H21" s="61">
        <f t="shared" si="1"/>
        <v>1</v>
      </c>
      <c r="I21" t="str">
        <f>IF(FT!B21&lt;&gt;"",FT!E21,"")</f>
        <v>1 [7.714491]</v>
      </c>
      <c r="J21">
        <f>IF(FT!B21&lt;&gt;"",FT!C21,"")</f>
        <v>7.7144899999999996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2.1787200000000002</v>
      </c>
      <c r="G22" s="61">
        <f>IF(FT!B22&lt;&gt;"",FT!B22*100,"")</f>
        <v>46.444699999999997</v>
      </c>
      <c r="H22" s="61">
        <f t="shared" si="1"/>
        <v>1</v>
      </c>
      <c r="I22" t="str">
        <f>IF(FT!B22&lt;&gt;"",FT!E22,"")</f>
        <v>1 [8.118736]</v>
      </c>
      <c r="J22">
        <f>IF(FT!B22&lt;&gt;"",FT!C22,"")</f>
        <v>8.1187400000000007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73447</v>
      </c>
      <c r="D23" s="61">
        <f>FH!B23*1</f>
        <v>73447</v>
      </c>
      <c r="E23">
        <f t="shared" si="3"/>
        <v>21</v>
      </c>
      <c r="F23" s="61">
        <f>IF(FT!A23&lt;&gt;"",FT!A23*10,"")</f>
        <v>2.1954799999999999</v>
      </c>
      <c r="G23" s="61">
        <f>IF(FT!B23&lt;&gt;"",FT!B23*100,"")</f>
        <v>46.010199999999998</v>
      </c>
      <c r="H23" s="61">
        <f t="shared" si="1"/>
        <v>1</v>
      </c>
      <c r="I23" t="str">
        <f>IF(FT!B23&lt;&gt;"",FT!E23,"")</f>
        <v>1 [8.526570]</v>
      </c>
      <c r="J23">
        <f>IF(FT!B23&lt;&gt;"",FT!C23,"")</f>
        <v>8.5265699999999995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2.2123900000000001</v>
      </c>
      <c r="G24" s="61">
        <f>IF(FT!B24&lt;&gt;"",FT!B24*100,"")</f>
        <v>45.5794</v>
      </c>
      <c r="H24" s="61">
        <f t="shared" si="1"/>
        <v>1</v>
      </c>
      <c r="I24" t="str">
        <f>IF(FT!B24&lt;&gt;"",FT!E24,"")</f>
        <v>1 [8.932684]</v>
      </c>
      <c r="J24">
        <f>IF(FT!B24&lt;&gt;"",FT!C24,"")</f>
        <v>8.9326799999999995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2.2307800000000002</v>
      </c>
      <c r="G25" s="61">
        <f>IF(FT!B25&lt;&gt;"",FT!B25*100,"")</f>
        <v>45.081800000000001</v>
      </c>
      <c r="H25" s="61">
        <f t="shared" si="1"/>
        <v>1</v>
      </c>
      <c r="I25" t="str">
        <f>IF(FT!B25&lt;&gt;"",FT!E25,"")</f>
        <v>1 [9.339298]</v>
      </c>
      <c r="J25">
        <f>IF(FT!B25&lt;&gt;"",FT!C25,"")</f>
        <v>9.3392999999999997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81620</v>
      </c>
      <c r="D26" s="61">
        <f>FH!B26*1</f>
        <v>81620</v>
      </c>
      <c r="E26">
        <f t="shared" si="3"/>
        <v>24</v>
      </c>
      <c r="F26" s="61">
        <f>IF(FT!A26&lt;&gt;"",FT!A26*10,"")</f>
        <v>2.2536999999999998</v>
      </c>
      <c r="G26" s="61">
        <f>IF(FT!B26&lt;&gt;"",FT!B26*100,"")</f>
        <v>44.454500000000003</v>
      </c>
      <c r="H26" s="61">
        <f t="shared" si="1"/>
        <v>1</v>
      </c>
      <c r="I26" t="str">
        <f>IF(FT!B26&lt;&gt;"",FT!E26,"")</f>
        <v>1 [9.746245]</v>
      </c>
      <c r="J26">
        <f>IF(FT!B26&lt;&gt;"",FT!C26,"")</f>
        <v>9.7462400000000002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2.28111</v>
      </c>
      <c r="G27" s="61">
        <f>IF(FT!B27&lt;&gt;"",FT!B27*100,"")</f>
        <v>43.6783</v>
      </c>
      <c r="H27" s="61">
        <f t="shared" si="1"/>
        <v>1</v>
      </c>
      <c r="I27" t="str">
        <f>IF(FT!B27&lt;&gt;"",FT!E27,"")</f>
        <v>1 [10.153272]</v>
      </c>
      <c r="J27">
        <f>IF(FT!B27&lt;&gt;"",FT!C27,"")</f>
        <v>10.1533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86528</v>
      </c>
      <c r="D28" s="61">
        <f>FH!B28*1</f>
        <v>86528</v>
      </c>
      <c r="E28">
        <f t="shared" si="3"/>
        <v>26</v>
      </c>
      <c r="F28" s="61">
        <f>IF(FT!A28&lt;&gt;"",FT!A28*10,"")</f>
        <v>2.3101799999999999</v>
      </c>
      <c r="G28" s="61">
        <f>IF(FT!B28&lt;&gt;"",FT!B28*100,"")</f>
        <v>42.789400000000001</v>
      </c>
      <c r="H28" s="61">
        <f t="shared" si="1"/>
        <v>1</v>
      </c>
      <c r="I28" t="str">
        <f>IF(FT!B28&lt;&gt;"",FT!E28,"")</f>
        <v>1 [10.560247]</v>
      </c>
      <c r="J28">
        <f>IF(FT!B28&lt;&gt;"",FT!C28,"")</f>
        <v>10.5602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2.3412500000000001</v>
      </c>
      <c r="G29" s="61">
        <f>IF(FT!B29&lt;&gt;"",FT!B29*100,"")</f>
        <v>41.838300000000004</v>
      </c>
      <c r="H29" s="61">
        <f t="shared" si="1"/>
        <v>1</v>
      </c>
      <c r="I29" t="str">
        <f>IF(FT!B29&lt;&gt;"",FT!E29,"")</f>
        <v>1 [10.964281]</v>
      </c>
      <c r="J29">
        <f>IF(FT!B29&lt;&gt;"",FT!C29,"")</f>
        <v>10.9643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2.3767199999999997</v>
      </c>
      <c r="G30" s="61">
        <f>IF(FT!B30&lt;&gt;"",FT!B30*100,"")</f>
        <v>40.757899999999999</v>
      </c>
      <c r="H30" s="61">
        <f t="shared" si="1"/>
        <v>1</v>
      </c>
      <c r="I30" t="str">
        <f>IF(FT!B30&lt;&gt;"",FT!E30,"")</f>
        <v>1 [11.368850]</v>
      </c>
      <c r="J30">
        <f>IF(FT!B30&lt;&gt;"",FT!C30,"")</f>
        <v>11.3688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86637</v>
      </c>
      <c r="D31" s="61">
        <f>FH!B31*1</f>
        <v>86637</v>
      </c>
      <c r="E31">
        <f t="shared" si="3"/>
        <v>29</v>
      </c>
      <c r="F31" s="61">
        <f>IF(FT!A31&lt;&gt;"",FT!A31*10,"")</f>
        <v>2.41248</v>
      </c>
      <c r="G31" s="61">
        <f>IF(FT!B31&lt;&gt;"",FT!B31*100,"")</f>
        <v>39.6554</v>
      </c>
      <c r="H31" s="61">
        <f t="shared" si="1"/>
        <v>1</v>
      </c>
      <c r="I31" t="str">
        <f>IF(FT!B31&lt;&gt;"",FT!E31,"")</f>
        <v>1 [11.778060]</v>
      </c>
      <c r="J31">
        <f>IF(FT!B31&lt;&gt;"",FT!C31,"")</f>
        <v>11.7781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2.45004</v>
      </c>
      <c r="G32" s="61">
        <f>IF(FT!B32&lt;&gt;"",FT!B32*100,"")</f>
        <v>38.4131</v>
      </c>
      <c r="H32" s="61">
        <f t="shared" si="1"/>
        <v>1</v>
      </c>
      <c r="I32" t="str">
        <f>IF(FT!B32&lt;&gt;"",FT!E32,"")</f>
        <v>1 [12.184762]</v>
      </c>
      <c r="J32">
        <f>IF(FT!B32&lt;&gt;"",FT!C32,"")</f>
        <v>12.184799999999999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111224</v>
      </c>
      <c r="D33" s="61">
        <f>FH!B33*1</f>
        <v>111224</v>
      </c>
      <c r="E33">
        <f t="shared" si="3"/>
        <v>31</v>
      </c>
      <c r="F33" s="61">
        <f>IF(FT!A33&lt;&gt;"",FT!A33*10,"")</f>
        <v>2.48821</v>
      </c>
      <c r="G33" s="61">
        <f>IF(FT!B33&lt;&gt;"",FT!B33*100,"")</f>
        <v>37.217199999999998</v>
      </c>
      <c r="H33" s="61">
        <f t="shared" si="1"/>
        <v>1</v>
      </c>
      <c r="I33" t="str">
        <f>IF(FT!B33&lt;&gt;"",FT!E33,"")</f>
        <v>1 [12.593353]</v>
      </c>
      <c r="J33">
        <f>IF(FT!B33&lt;&gt;"",FT!C33,"")</f>
        <v>12.593400000000001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2.52989</v>
      </c>
      <c r="G34" s="61">
        <f>IF(FT!B34&lt;&gt;"",FT!B34*100,"")</f>
        <v>36.024099999999997</v>
      </c>
      <c r="H34" s="61">
        <f t="shared" si="1"/>
        <v>1</v>
      </c>
      <c r="I34" t="str">
        <f>IF(FT!B34&lt;&gt;"",FT!E34,"")</f>
        <v>1 [12.997291]</v>
      </c>
      <c r="J34">
        <f>IF(FT!B34&lt;&gt;"",FT!C34,"")</f>
        <v>12.997299999999999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2.5752299999999999</v>
      </c>
      <c r="G35" s="61">
        <f>IF(FT!B35&lt;&gt;"",FT!B35*100,"")</f>
        <v>34.752499999999998</v>
      </c>
      <c r="H35" s="61">
        <f t="shared" si="1"/>
        <v>1</v>
      </c>
      <c r="I35" t="str">
        <f>IF(FT!B35&lt;&gt;"",FT!E35,"")</f>
        <v>1 [13.400149]</v>
      </c>
      <c r="J35">
        <f>IF(FT!B35&lt;&gt;"",FT!C35,"")</f>
        <v>13.4001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105927</v>
      </c>
      <c r="D36" s="61">
        <f>FH!B36*1</f>
        <v>105927</v>
      </c>
      <c r="E36">
        <f t="shared" si="3"/>
        <v>34</v>
      </c>
      <c r="F36" s="61">
        <f>IF(FT!A36&lt;&gt;"",FT!A36*10,"")</f>
        <v>2.62765</v>
      </c>
      <c r="G36" s="61">
        <f>IF(FT!B36&lt;&gt;"",FT!B36*100,"")</f>
        <v>33.373999999999995</v>
      </c>
      <c r="H36" s="61">
        <f t="shared" si="1"/>
        <v>1</v>
      </c>
      <c r="I36" t="str">
        <f>IF(FT!B36&lt;&gt;"",FT!E36,"")</f>
        <v>1 [13.808382]</v>
      </c>
      <c r="J36">
        <f>IF(FT!B36&lt;&gt;"",FT!C36,"")</f>
        <v>13.808400000000001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2.6857799999999998</v>
      </c>
      <c r="G37" s="61">
        <f>IF(FT!B37&lt;&gt;"",FT!B37*100,"")</f>
        <v>31.892700000000001</v>
      </c>
      <c r="H37" s="61">
        <f t="shared" si="1"/>
        <v>1</v>
      </c>
      <c r="I37" t="str">
        <f>IF(FT!B37&lt;&gt;"",FT!E37,"")</f>
        <v>1 [14.215984]</v>
      </c>
      <c r="J37">
        <f>IF(FT!B37&lt;&gt;"",FT!C37,"")</f>
        <v>14.215999999999999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2.7497100000000003</v>
      </c>
      <c r="G38" s="61">
        <f>IF(FT!B38&lt;&gt;"",FT!B38*100,"")</f>
        <v>30.305199999999999</v>
      </c>
      <c r="H38" s="61">
        <f t="shared" si="1"/>
        <v>1</v>
      </c>
      <c r="I38" t="str">
        <f>IF(FT!B38&lt;&gt;"",FT!E38,"")</f>
        <v>1 [14.623193]</v>
      </c>
      <c r="J38">
        <f>IF(FT!B38&lt;&gt;"",FT!C38,"")</f>
        <v>14.623200000000001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122877</v>
      </c>
      <c r="D39" s="61">
        <f>FH!B39*1</f>
        <v>122877</v>
      </c>
      <c r="E39">
        <f t="shared" si="3"/>
        <v>37</v>
      </c>
      <c r="F39" s="61">
        <f>IF(FT!A39&lt;&gt;"",FT!A39*10,"")</f>
        <v>2.8118300000000001</v>
      </c>
      <c r="G39" s="61">
        <f>IF(FT!B39&lt;&gt;"",FT!B39*100,"")</f>
        <v>28.9224</v>
      </c>
      <c r="H39" s="61">
        <f t="shared" si="1"/>
        <v>1</v>
      </c>
      <c r="I39" t="str">
        <f>IF(FT!B39&lt;&gt;"",FT!E39,"")</f>
        <v>1 [15.029195]</v>
      </c>
      <c r="J39">
        <f>IF(FT!B39&lt;&gt;"",FT!C39,"")</f>
        <v>15.029199999999999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2.8748299999999998</v>
      </c>
      <c r="G40" s="61">
        <f>IF(FT!B40&lt;&gt;"",FT!B40*100,"")</f>
        <v>27.481100000000001</v>
      </c>
      <c r="H40" s="61">
        <f t="shared" si="1"/>
        <v>1</v>
      </c>
      <c r="I40" t="str">
        <f>IF(FT!B40&lt;&gt;"",FT!E40,"")</f>
        <v>1 [15.431442]</v>
      </c>
      <c r="J40">
        <f>IF(FT!B40&lt;&gt;"",FT!C40,"")</f>
        <v>15.4314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115423</v>
      </c>
      <c r="D41" s="61">
        <f>FH!B41*1</f>
        <v>115423</v>
      </c>
      <c r="E41">
        <f t="shared" si="3"/>
        <v>39</v>
      </c>
      <c r="F41" s="61">
        <f>IF(FT!A41&lt;&gt;"",FT!A41*10,"")</f>
        <v>2.9356500000000003</v>
      </c>
      <c r="G41" s="61">
        <f>IF(FT!B41&lt;&gt;"",FT!B41*100,"")</f>
        <v>26.231300000000001</v>
      </c>
      <c r="H41" s="61">
        <f t="shared" si="1"/>
        <v>1</v>
      </c>
      <c r="I41" t="str">
        <f>IF(FT!B41&lt;&gt;"",FT!E41,"")</f>
        <v>1 [15.838268]</v>
      </c>
      <c r="J41">
        <f>IF(FT!B41&lt;&gt;"",FT!C41,"")</f>
        <v>15.8383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2.9933800000000002</v>
      </c>
      <c r="G42" s="61">
        <f>IF(FT!B42&lt;&gt;"",FT!B42*100,"")</f>
        <v>25.109300000000001</v>
      </c>
      <c r="H42" s="61">
        <f t="shared" si="1"/>
        <v>1</v>
      </c>
      <c r="I42" t="str">
        <f>IF(FT!B42&lt;&gt;"",FT!E42,"")</f>
        <v>1 [16.247096]</v>
      </c>
      <c r="J42">
        <f>IF(FT!B42&lt;&gt;"",FT!C42,"")</f>
        <v>16.2471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3.0480499999999999</v>
      </c>
      <c r="G43" s="61">
        <f>IF(FT!B43&lt;&gt;"",FT!B43*100,"")</f>
        <v>24.044599999999999</v>
      </c>
      <c r="H43" s="61">
        <f t="shared" si="1"/>
        <v>1</v>
      </c>
      <c r="I43" t="str">
        <f>IF(FT!B43&lt;&gt;"",FT!E43,"")</f>
        <v>1 [16.651194]</v>
      </c>
      <c r="J43">
        <f>IF(FT!B43&lt;&gt;"",FT!C43,"")</f>
        <v>16.651199999999999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117586</v>
      </c>
      <c r="D44" s="61">
        <f>FH!B44*1</f>
        <v>117586</v>
      </c>
      <c r="E44">
        <f t="shared" si="3"/>
        <v>42</v>
      </c>
      <c r="F44" s="61">
        <f>IF(FT!A44&lt;&gt;"",FT!A44*10,"")</f>
        <v>3.09781</v>
      </c>
      <c r="G44" s="61">
        <f>IF(FT!B44&lt;&gt;"",FT!B44*100,"")</f>
        <v>23.2469</v>
      </c>
      <c r="H44" s="61">
        <f t="shared" si="1"/>
        <v>1</v>
      </c>
      <c r="I44" t="str">
        <f>IF(FT!B44&lt;&gt;"",FT!E44,"")</f>
        <v>1 [17.057572]</v>
      </c>
      <c r="J44">
        <f>IF(FT!B44&lt;&gt;"",FT!C44,"")</f>
        <v>17.057600000000001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3.14392</v>
      </c>
      <c r="G45" s="61">
        <f>IF(FT!B45&lt;&gt;"",FT!B45*100,"")</f>
        <v>22.609299999999998</v>
      </c>
      <c r="H45" s="61">
        <f t="shared" si="1"/>
        <v>1</v>
      </c>
      <c r="I45" t="str">
        <f>IF(FT!B45&lt;&gt;"",FT!E45,"")</f>
        <v>1 [17.464380]</v>
      </c>
      <c r="J45">
        <f>IF(FT!B45&lt;&gt;"",FT!C45,"")</f>
        <v>17.464400000000001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136086</v>
      </c>
      <c r="D46" s="61">
        <f>FH!B46*1</f>
        <v>136086</v>
      </c>
      <c r="E46">
        <f t="shared" si="3"/>
        <v>44</v>
      </c>
      <c r="F46" s="61">
        <f>IF(FT!A46&lt;&gt;"",FT!A46*10,"")</f>
        <v>3.1919500000000003</v>
      </c>
      <c r="G46" s="61">
        <f>IF(FT!B46&lt;&gt;"",FT!B46*100,"")</f>
        <v>21.946099999999998</v>
      </c>
      <c r="H46" s="61">
        <f t="shared" si="1"/>
        <v>1</v>
      </c>
      <c r="I46" t="str">
        <f>IF(FT!B46&lt;&gt;"",FT!E46,"")</f>
        <v>1 [17.869341]</v>
      </c>
      <c r="J46">
        <f>IF(FT!B46&lt;&gt;"",FT!C46,"")</f>
        <v>17.869299999999999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3.2457799999999999</v>
      </c>
      <c r="G47" s="61">
        <f>IF(FT!B47&lt;&gt;"",FT!B47*100,"")</f>
        <v>21.209400000000002</v>
      </c>
      <c r="H47" s="61">
        <f t="shared" si="1"/>
        <v>1</v>
      </c>
      <c r="I47" t="str">
        <f>IF(FT!B47&lt;&gt;"",FT!E47,"")</f>
        <v>1 [18.276607]</v>
      </c>
      <c r="J47">
        <f>IF(FT!B47&lt;&gt;"",FT!C47,"")</f>
        <v>18.276599999999998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3.30125</v>
      </c>
      <c r="G48" s="61">
        <f>IF(FT!B48&lt;&gt;"",FT!B48*100,"")</f>
        <v>20.280899999999999</v>
      </c>
      <c r="H48" s="61">
        <f t="shared" si="1"/>
        <v>1</v>
      </c>
      <c r="I48" t="str">
        <f>IF(FT!B48&lt;&gt;"",FT!E48,"")</f>
        <v>1 [18.684688]</v>
      </c>
      <c r="J48">
        <f>IF(FT!B48&lt;&gt;"",FT!C48,"")</f>
        <v>18.684699999999999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137377</v>
      </c>
      <c r="D49" s="61">
        <f>FH!B49*1</f>
        <v>137377</v>
      </c>
      <c r="E49">
        <f t="shared" si="3"/>
        <v>47</v>
      </c>
      <c r="F49" s="61">
        <f>IF(FT!A49&lt;&gt;"",FT!A49*10,"")</f>
        <v>3.3555600000000001</v>
      </c>
      <c r="G49" s="61">
        <f>IF(FT!B49&lt;&gt;"",FT!B49*100,"")</f>
        <v>19.411300000000001</v>
      </c>
      <c r="H49" s="61">
        <f t="shared" si="1"/>
        <v>1</v>
      </c>
      <c r="I49" t="str">
        <f>IF(FT!B49&lt;&gt;"",FT!E49,"")</f>
        <v>1 [19.089908]</v>
      </c>
      <c r="J49">
        <f>IF(FT!B49&lt;&gt;"",FT!C49,"")</f>
        <v>19.0899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3.4102199999999998</v>
      </c>
      <c r="G50" s="61">
        <f>IF(FT!B50&lt;&gt;"",FT!B50*100,"")</f>
        <v>18.5242</v>
      </c>
      <c r="H50" s="61">
        <f t="shared" si="1"/>
        <v>1</v>
      </c>
      <c r="I50" t="str">
        <f>IF(FT!B50&lt;&gt;"",FT!E50,"")</f>
        <v>1 [19.493636]</v>
      </c>
      <c r="J50">
        <f>IF(FT!B50&lt;&gt;"",FT!C50,"")</f>
        <v>19.493600000000001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137514</v>
      </c>
      <c r="D51" s="61">
        <f>FH!B51*1</f>
        <v>137514</v>
      </c>
      <c r="E51">
        <f t="shared" si="3"/>
        <v>49</v>
      </c>
      <c r="F51" s="61">
        <f>IF(FT!A51&lt;&gt;"",FT!A51*10,"")</f>
        <v>3.4603800000000002</v>
      </c>
      <c r="G51" s="61">
        <f>IF(FT!B51&lt;&gt;"",FT!B51*100,"")</f>
        <v>17.742899999999999</v>
      </c>
      <c r="H51" s="61">
        <f t="shared" si="1"/>
        <v>1</v>
      </c>
      <c r="I51" t="str">
        <f>IF(FT!B51&lt;&gt;"",FT!E51,"")</f>
        <v>1 [19.901575]</v>
      </c>
      <c r="J51">
        <f>IF(FT!B51&lt;&gt;"",FT!C51,"")</f>
        <v>19.901599999999998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3.49823</v>
      </c>
      <c r="G52" s="61">
        <f>IF(FT!B52&lt;&gt;"",FT!B52*100,"")</f>
        <v>17.1509</v>
      </c>
      <c r="H52" s="61">
        <f t="shared" si="1"/>
        <v>1</v>
      </c>
      <c r="I52" t="str">
        <f>IF(FT!B52&lt;&gt;"",FT!E52,"")</f>
        <v>1 [20.308212]</v>
      </c>
      <c r="J52">
        <f>IF(FT!B52&lt;&gt;"",FT!C52,"")</f>
        <v>20.308199999999999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3.5448600000000003</v>
      </c>
      <c r="G53" s="61">
        <f>IF(FT!B53&lt;&gt;"",FT!B53*100,"")</f>
        <v>16.3795</v>
      </c>
      <c r="H53" s="61">
        <f t="shared" si="1"/>
        <v>1</v>
      </c>
      <c r="I53" t="str">
        <f>IF(FT!B53&lt;&gt;"",FT!E53,"")</f>
        <v>1 [20.715671]</v>
      </c>
      <c r="J53">
        <f>IF(FT!B53&lt;&gt;"",FT!C53,"")</f>
        <v>20.715699999999998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140274</v>
      </c>
      <c r="D54" s="61">
        <f>FH!B54*1</f>
        <v>140274</v>
      </c>
      <c r="E54">
        <f t="shared" si="3"/>
        <v>52</v>
      </c>
      <c r="F54" s="61">
        <f>IF(FT!A54&lt;&gt;"",FT!A54*10,"")</f>
        <v>3.5860300000000001</v>
      </c>
      <c r="G54" s="61">
        <f>IF(FT!B54&lt;&gt;"",FT!B54*100,"")</f>
        <v>15.7075</v>
      </c>
      <c r="H54" s="61">
        <f t="shared" si="1"/>
        <v>1</v>
      </c>
      <c r="I54" t="str">
        <f>IF(FT!B54&lt;&gt;"",FT!E54,"")</f>
        <v>1 [21.119241]</v>
      </c>
      <c r="J54">
        <f>IF(FT!B54&lt;&gt;"",FT!C54,"")</f>
        <v>21.119199999999999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3.6236299999999999</v>
      </c>
      <c r="G55" s="61">
        <f>IF(FT!B55&lt;&gt;"",FT!B55*100,"")</f>
        <v>15.054600000000001</v>
      </c>
      <c r="H55" s="61">
        <f t="shared" si="1"/>
        <v>1</v>
      </c>
      <c r="I55" t="str">
        <f>IF(FT!B55&lt;&gt;"",FT!E55,"")</f>
        <v>1 [21.524925]</v>
      </c>
      <c r="J55">
        <f>IF(FT!B55&lt;&gt;"",FT!C55,"")</f>
        <v>21.524899999999999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3.6627999999999998</v>
      </c>
      <c r="G56" s="61">
        <f>IF(FT!B56&lt;&gt;"",FT!B56*100,"")</f>
        <v>14.4091</v>
      </c>
      <c r="H56" s="61">
        <f t="shared" si="1"/>
        <v>1</v>
      </c>
      <c r="I56" t="str">
        <f>IF(FT!B56&lt;&gt;"",FT!E56,"")</f>
        <v>1 [21.931530]</v>
      </c>
      <c r="J56">
        <f>IF(FT!B56&lt;&gt;"",FT!C56,"")</f>
        <v>21.9315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139907</v>
      </c>
      <c r="D57" s="61">
        <f>FH!B57*1</f>
        <v>139907</v>
      </c>
      <c r="E57">
        <f t="shared" si="3"/>
        <v>55</v>
      </c>
      <c r="F57" s="61">
        <f>IF(FT!A57&lt;&gt;"",FT!A57*10,"")</f>
        <v>3.7016</v>
      </c>
      <c r="G57" s="61">
        <f>IF(FT!B57&lt;&gt;"",FT!B57*100,"")</f>
        <v>13.782</v>
      </c>
      <c r="H57" s="61">
        <f t="shared" si="1"/>
        <v>1</v>
      </c>
      <c r="I57" t="str">
        <f>IF(FT!B57&lt;&gt;"",FT!E57,"")</f>
        <v>1 [22.339738]</v>
      </c>
      <c r="J57">
        <f>IF(FT!B57&lt;&gt;"",FT!C57,"")</f>
        <v>22.339700000000001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3.7399500000000003</v>
      </c>
      <c r="G58" s="61">
        <f>IF(FT!B58&lt;&gt;"",FT!B58*100,"")</f>
        <v>13.1967</v>
      </c>
      <c r="H58" s="61">
        <f t="shared" si="1"/>
        <v>1</v>
      </c>
      <c r="I58" t="str">
        <f>IF(FT!B58&lt;&gt;"",FT!E58,"")</f>
        <v>1 [22.745388]</v>
      </c>
      <c r="J58">
        <f>IF(FT!B58&lt;&gt;"",FT!C58,"")</f>
        <v>22.7454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143757</v>
      </c>
      <c r="D59" s="61">
        <f>FH!B59*1</f>
        <v>143757</v>
      </c>
      <c r="E59">
        <f t="shared" si="3"/>
        <v>57</v>
      </c>
      <c r="F59" s="61">
        <f>IF(FT!A59&lt;&gt;"",FT!A59*10,"")</f>
        <v>3.78043</v>
      </c>
      <c r="G59" s="61">
        <f>IF(FT!B59&lt;&gt;"",FT!B59*100,"")</f>
        <v>12.5848</v>
      </c>
      <c r="H59" s="61">
        <f t="shared" si="1"/>
        <v>1</v>
      </c>
      <c r="I59" t="str">
        <f>IF(FT!B59&lt;&gt;"",FT!E59,"")</f>
        <v>1 [23.151158]</v>
      </c>
      <c r="J59">
        <f>IF(FT!B59&lt;&gt;"",FT!C59,"")</f>
        <v>23.151199999999999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3.8245200000000001</v>
      </c>
      <c r="G60" s="61">
        <f>IF(FT!B60&lt;&gt;"",FT!B60*100,"")</f>
        <v>11.9237</v>
      </c>
      <c r="H60" s="61">
        <f t="shared" si="1"/>
        <v>1</v>
      </c>
      <c r="I60" t="str">
        <f>IF(FT!B60&lt;&gt;"",FT!E60,"")</f>
        <v>1 [23.555466]</v>
      </c>
      <c r="J60">
        <f>IF(FT!B60&lt;&gt;"",FT!C60,"")</f>
        <v>23.555499999999999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3.8661300000000001</v>
      </c>
      <c r="G61" s="61">
        <f>IF(FT!B61&lt;&gt;"",FT!B61*100,"")</f>
        <v>11.317499999999999</v>
      </c>
      <c r="H61" s="61">
        <f t="shared" si="1"/>
        <v>1</v>
      </c>
      <c r="I61" t="str">
        <f>IF(FT!B61&lt;&gt;"",FT!E61,"")</f>
        <v>1 [23.964791]</v>
      </c>
      <c r="J61">
        <f>IF(FT!B61&lt;&gt;"",FT!C61,"")</f>
        <v>23.9648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136224</v>
      </c>
      <c r="D62" s="61">
        <f>FH!B62*1</f>
        <v>136224</v>
      </c>
      <c r="E62">
        <f t="shared" si="3"/>
        <v>60</v>
      </c>
      <c r="F62" s="61">
        <f>IF(FT!A62&lt;&gt;"",FT!A62*10,"")</f>
        <v>3.907</v>
      </c>
      <c r="G62" s="61">
        <f>IF(FT!B62&lt;&gt;"",FT!B62*100,"")</f>
        <v>10.755599999999999</v>
      </c>
      <c r="H62" s="61">
        <f t="shared" si="1"/>
        <v>1</v>
      </c>
      <c r="I62" t="str">
        <f>IF(FT!B62&lt;&gt;"",FT!E62,"")</f>
        <v>1 [24.370761]</v>
      </c>
      <c r="J62">
        <f>IF(FT!B62&lt;&gt;"",FT!C62,"")</f>
        <v>24.370799999999999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3.9403899999999998</v>
      </c>
      <c r="G63" s="61">
        <f>IF(FT!B63&lt;&gt;"",FT!B63*100,"")</f>
        <v>10.314399999999999</v>
      </c>
      <c r="H63" s="61">
        <f t="shared" si="1"/>
        <v>1</v>
      </c>
      <c r="I63" t="str">
        <f>IF(FT!B63&lt;&gt;"",FT!E63,"")</f>
        <v>1 [24.779666]</v>
      </c>
      <c r="J63">
        <f>IF(FT!B63&lt;&gt;"",FT!C63,"")</f>
        <v>24.779699999999998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127185</v>
      </c>
      <c r="D64" s="61">
        <f>FH!B64*1</f>
        <v>127185</v>
      </c>
      <c r="E64">
        <f t="shared" si="3"/>
        <v>62</v>
      </c>
      <c r="F64" s="61">
        <f>IF(FT!A64&lt;&gt;"",FT!A64*10,"")</f>
        <v>3.9671099999999999</v>
      </c>
      <c r="G64" s="61">
        <f>IF(FT!B64&lt;&gt;"",FT!B64*100,"")</f>
        <v>10.061999999999999</v>
      </c>
      <c r="H64" s="61">
        <f t="shared" si="1"/>
        <v>1</v>
      </c>
      <c r="I64" t="str">
        <f>IF(FT!B64&lt;&gt;"",FT!E64,"")</f>
        <v>1 [25.185823]</v>
      </c>
      <c r="J64">
        <f>IF(FT!B64&lt;&gt;"",FT!C64,"")</f>
        <v>25.1858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3.9923700000000002</v>
      </c>
      <c r="G65" s="61">
        <f>IF(FT!B65&lt;&gt;"",FT!B65*100,"")</f>
        <v>9.8532700000000002</v>
      </c>
      <c r="H65" s="61">
        <f t="shared" si="1"/>
        <v>1</v>
      </c>
      <c r="I65" t="str">
        <f>IF(FT!B65&lt;&gt;"",FT!E65,"")</f>
        <v>1 [25.587569]</v>
      </c>
      <c r="J65">
        <f>IF(FT!B65&lt;&gt;"",FT!C65,"")</f>
        <v>25.587599999999998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4.0173800000000002</v>
      </c>
      <c r="G66" s="61">
        <f>IF(FT!B66&lt;&gt;"",FT!B66*100,"")</f>
        <v>9.5564700000000009</v>
      </c>
      <c r="H66" s="61">
        <f t="shared" si="1"/>
        <v>1</v>
      </c>
      <c r="I66" t="str">
        <f>IF(FT!B66&lt;&gt;"",FT!E66,"")</f>
        <v>1 [25.997831]</v>
      </c>
      <c r="J66">
        <f>IF(FT!B66&lt;&gt;"",FT!C66,"")</f>
        <v>25.997800000000002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111591</v>
      </c>
      <c r="D67" s="61">
        <f>FH!B67*1</f>
        <v>111591</v>
      </c>
      <c r="E67">
        <f t="shared" si="3"/>
        <v>65</v>
      </c>
      <c r="F67" s="61">
        <f>IF(FT!A67&lt;&gt;"",FT!A67*10,"")</f>
        <v>4.0367199999999999</v>
      </c>
      <c r="G67" s="61">
        <f>IF(FT!B67&lt;&gt;"",FT!B67*100,"")</f>
        <v>9.4004500000000011</v>
      </c>
      <c r="H67" s="61">
        <f t="shared" ref="H67:H130" si="9">(IF(F67&lt;&gt;"",1,""))</f>
        <v>1</v>
      </c>
      <c r="I67" t="str">
        <f>IF(FT!B67&lt;&gt;"",FT!E67,"")</f>
        <v>1 [26.402108]</v>
      </c>
      <c r="J67">
        <f>IF(FT!B67&lt;&gt;"",FT!C67,"")</f>
        <v>26.402100000000001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4.0510400000000004</v>
      </c>
      <c r="G68" s="61">
        <f>IF(FT!B68&lt;&gt;"",FT!B68*100,"")</f>
        <v>9.38795</v>
      </c>
      <c r="H68" s="61">
        <f t="shared" si="9"/>
        <v>1</v>
      </c>
      <c r="I68" t="str">
        <f>IF(FT!B68&lt;&gt;"",FT!E68,"")</f>
        <v>1 [26.808387]</v>
      </c>
      <c r="J68">
        <f>IF(FT!B68&lt;&gt;"",FT!C68,"")</f>
        <v>26.808399999999999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96379</v>
      </c>
      <c r="D69" s="61">
        <f>FH!B69*1</f>
        <v>96379</v>
      </c>
      <c r="E69">
        <f t="shared" si="11"/>
        <v>67</v>
      </c>
      <c r="F69" s="61">
        <f>IF(FT!A69&lt;&gt;"",FT!A69*10,"")</f>
        <v>4.0661199999999997</v>
      </c>
      <c r="G69" s="61">
        <f>IF(FT!B69&lt;&gt;"",FT!B69*100,"")</f>
        <v>9.3324400000000001</v>
      </c>
      <c r="H69" s="61">
        <f t="shared" si="9"/>
        <v>1</v>
      </c>
      <c r="I69" t="str">
        <f>IF(FT!B69&lt;&gt;"",FT!E69,"")</f>
        <v>1 [27.214742]</v>
      </c>
      <c r="J69">
        <f>IF(FT!B69&lt;&gt;"",FT!C69,"")</f>
        <v>27.214700000000001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4.0833500000000003</v>
      </c>
      <c r="G70" s="61">
        <f>IF(FT!B70&lt;&gt;"",FT!B70*100,"")</f>
        <v>9.1734100000000005</v>
      </c>
      <c r="H70" s="61">
        <f t="shared" si="9"/>
        <v>1</v>
      </c>
      <c r="I70" t="str">
        <f>IF(FT!B70&lt;&gt;"",FT!E70,"")</f>
        <v>1 [27.622350]</v>
      </c>
      <c r="J70">
        <f>IF(FT!B70&lt;&gt;"",FT!C70,"")</f>
        <v>27.622299999999999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4.0952799999999998</v>
      </c>
      <c r="G71" s="61">
        <f>IF(FT!B71&lt;&gt;"",FT!B71*100,"")</f>
        <v>9.0087799999999998</v>
      </c>
      <c r="H71" s="61">
        <f t="shared" si="9"/>
        <v>1</v>
      </c>
      <c r="I71" t="str">
        <f>IF(FT!B71&lt;&gt;"",FT!E71,"")</f>
        <v>1 [28.029112]</v>
      </c>
      <c r="J71">
        <f>IF(FT!B71&lt;&gt;"",FT!C71,"")</f>
        <v>28.0291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86466</v>
      </c>
      <c r="D72" s="61">
        <f>FH!B72*1</f>
        <v>86466</v>
      </c>
      <c r="E72">
        <f t="shared" si="11"/>
        <v>70</v>
      </c>
      <c r="F72" s="61">
        <f>IF(FT!A72&lt;&gt;"",FT!A72*10,"")</f>
        <v>4.1018999999999997</v>
      </c>
      <c r="G72" s="61">
        <f>IF(FT!B72&lt;&gt;"",FT!B72*100,"")</f>
        <v>8.7520799999999994</v>
      </c>
      <c r="H72" s="61">
        <f t="shared" si="9"/>
        <v>1</v>
      </c>
      <c r="I72" t="str">
        <f>IF(FT!B72&lt;&gt;"",FT!E72,"")</f>
        <v>1 [28.432944]</v>
      </c>
      <c r="J72">
        <f>IF(FT!B72&lt;&gt;"",FT!C72,"")</f>
        <v>28.4329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4.1016899999999996</v>
      </c>
      <c r="G73" s="61">
        <f>IF(FT!B73&lt;&gt;"",FT!B73*100,"")</f>
        <v>8.5939699999999988</v>
      </c>
      <c r="H73" s="61">
        <f t="shared" si="9"/>
        <v>1</v>
      </c>
      <c r="I73" t="str">
        <f>IF(FT!B73&lt;&gt;"",FT!E73,"")</f>
        <v>1 [28.837718]</v>
      </c>
      <c r="J73">
        <f>IF(FT!B73&lt;&gt;"",FT!C73,"")</f>
        <v>28.837700000000002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4.0994299999999999</v>
      </c>
      <c r="G74" s="61">
        <f>IF(FT!B74&lt;&gt;"",FT!B74*100,"")</f>
        <v>8.4770399999999988</v>
      </c>
      <c r="H74" s="61">
        <f t="shared" si="9"/>
        <v>1</v>
      </c>
      <c r="I74" t="str">
        <f>IF(FT!B74&lt;&gt;"",FT!E74,"")</f>
        <v>1 [29.243790]</v>
      </c>
      <c r="J74">
        <f>IF(FT!B74&lt;&gt;"",FT!C74,"")</f>
        <v>29.2438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81746</v>
      </c>
      <c r="D75" s="61">
        <f>FH!B75*1</f>
        <v>81746</v>
      </c>
      <c r="E75">
        <f t="shared" si="11"/>
        <v>73</v>
      </c>
      <c r="F75" s="61">
        <f>IF(FT!A75&lt;&gt;"",FT!A75*10,"")</f>
        <v>4.0959200000000004</v>
      </c>
      <c r="G75" s="61">
        <f>IF(FT!B75&lt;&gt;"",FT!B75*100,"")</f>
        <v>8.4027500000000011</v>
      </c>
      <c r="H75" s="61">
        <f t="shared" si="9"/>
        <v>1</v>
      </c>
      <c r="I75" t="str">
        <f>IF(FT!B75&lt;&gt;"",FT!E75,"")</f>
        <v>1 [29.650667]</v>
      </c>
      <c r="J75">
        <f>IF(FT!B75&lt;&gt;"",FT!C75,"")</f>
        <v>29.650700000000001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4.0927299999999995</v>
      </c>
      <c r="G76" s="61">
        <f>IF(FT!B76&lt;&gt;"",FT!B76*100,"")</f>
        <v>8.2937200000000004</v>
      </c>
      <c r="H76" s="61">
        <f t="shared" si="9"/>
        <v>1</v>
      </c>
      <c r="I76" t="str">
        <f>IF(FT!B76&lt;&gt;"",FT!E76,"")</f>
        <v>1 [30.057574]</v>
      </c>
      <c r="J76">
        <f>IF(FT!B76&lt;&gt;"",FT!C76,"")</f>
        <v>30.057600000000001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75624</v>
      </c>
      <c r="D77" s="61">
        <f>FH!B77*1</f>
        <v>75624</v>
      </c>
      <c r="E77">
        <f t="shared" si="11"/>
        <v>75</v>
      </c>
      <c r="F77" s="61">
        <f>IF(FT!A77&lt;&gt;"",FT!A77*10,"")</f>
        <v>4.0828300000000004</v>
      </c>
      <c r="G77" s="61">
        <f>IF(FT!B77&lt;&gt;"",FT!B77*100,"")</f>
        <v>8.3147400000000005</v>
      </c>
      <c r="H77" s="61">
        <f t="shared" si="9"/>
        <v>1</v>
      </c>
      <c r="I77" t="str">
        <f>IF(FT!B77&lt;&gt;"",FT!E77,"")</f>
        <v>2 [30.649512]</v>
      </c>
      <c r="J77">
        <f>IF(FT!B77&lt;&gt;"",FT!C77,"")</f>
        <v>30.6495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4.0773099999999998</v>
      </c>
      <c r="G78" s="61">
        <f>IF(FT!B78&lt;&gt;"",FT!B78*100,"")</f>
        <v>8.3136299999999999</v>
      </c>
      <c r="H78" s="61">
        <f t="shared" si="9"/>
        <v>1</v>
      </c>
      <c r="I78" t="str">
        <f>IF(FT!B78&lt;&gt;"",FT!E78,"")</f>
        <v>2 [31.027045]</v>
      </c>
      <c r="J78">
        <f>IF(FT!B78&lt;&gt;"",FT!C78,"")</f>
        <v>31.027000000000001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4.07308</v>
      </c>
      <c r="G79" s="61">
        <f>IF(FT!B79&lt;&gt;"",FT!B79*100,"")</f>
        <v>8.2735000000000003</v>
      </c>
      <c r="H79" s="61">
        <f t="shared" si="9"/>
        <v>1</v>
      </c>
      <c r="I79" t="str">
        <f>IF(FT!B79&lt;&gt;"",FT!E79,"")</f>
        <v>2 [31.399911]</v>
      </c>
      <c r="J79">
        <f>IF(FT!B79&lt;&gt;"",FT!C79,"")</f>
        <v>31.399899999999999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69592</v>
      </c>
      <c r="D80" s="61">
        <f>FH!B80*1</f>
        <v>69592</v>
      </c>
      <c r="E80">
        <f t="shared" si="11"/>
        <v>78</v>
      </c>
      <c r="F80" s="61">
        <f>IF(FT!A80&lt;&gt;"",FT!A80*10,"")</f>
        <v>4.0678700000000001</v>
      </c>
      <c r="G80" s="61">
        <f>IF(FT!B80&lt;&gt;"",FT!B80*100,"")</f>
        <v>8.2365900000000014</v>
      </c>
      <c r="H80" s="61">
        <f t="shared" si="9"/>
        <v>1</v>
      </c>
      <c r="I80" t="str">
        <f>IF(FT!B80&lt;&gt;"",FT!E80,"")</f>
        <v>2 [31.777446]</v>
      </c>
      <c r="J80">
        <f>IF(FT!B80&lt;&gt;"",FT!C80,"")</f>
        <v>31.7774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4.05924</v>
      </c>
      <c r="G81" s="61">
        <f>IF(FT!B81&lt;&gt;"",FT!B81*100,"")</f>
        <v>8.1974199999999993</v>
      </c>
      <c r="H81" s="61">
        <f t="shared" si="9"/>
        <v>1</v>
      </c>
      <c r="I81" t="str">
        <f>IF(FT!B81&lt;&gt;"",FT!E81,"")</f>
        <v>2 [32.153905]</v>
      </c>
      <c r="J81">
        <f>IF(FT!B81&lt;&gt;"",FT!C81,"")</f>
        <v>32.1539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67767</v>
      </c>
      <c r="D82" s="61">
        <f>FH!B82*1</f>
        <v>67767</v>
      </c>
      <c r="E82">
        <f t="shared" si="11"/>
        <v>80</v>
      </c>
      <c r="F82" s="61">
        <f>IF(FT!A82&lt;&gt;"",FT!A82*10,"")</f>
        <v>4.0492900000000001</v>
      </c>
      <c r="G82" s="61">
        <f>IF(FT!B82&lt;&gt;"",FT!B82*100,"")</f>
        <v>8.1843599999999999</v>
      </c>
      <c r="H82" s="61">
        <f t="shared" si="9"/>
        <v>1</v>
      </c>
      <c r="I82" t="str">
        <f>IF(FT!B82&lt;&gt;"",FT!E82,"")</f>
        <v>2 [32.559817]</v>
      </c>
      <c r="J82">
        <f>IF(FT!B82&lt;&gt;"",FT!C82,"")</f>
        <v>32.559800000000003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4.0412699999999999</v>
      </c>
      <c r="G83" s="61">
        <f>IF(FT!B83&lt;&gt;"",FT!B83*100,"")</f>
        <v>8.1579099999999993</v>
      </c>
      <c r="H83" s="61">
        <f t="shared" si="9"/>
        <v>1</v>
      </c>
      <c r="I83" t="str">
        <f>IF(FT!B83&lt;&gt;"",FT!E83,"")</f>
        <v>2 [32.963719]</v>
      </c>
      <c r="J83">
        <f>IF(FT!B83&lt;&gt;"",FT!C83,"")</f>
        <v>32.963700000000003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4.0286400000000002</v>
      </c>
      <c r="G84" s="61">
        <f>IF(FT!B84&lt;&gt;"",FT!B84*100,"")</f>
        <v>8.2025299999999994</v>
      </c>
      <c r="H84" s="61">
        <f t="shared" si="9"/>
        <v>1</v>
      </c>
      <c r="I84" t="str">
        <f>IF(FT!B84&lt;&gt;"",FT!E84,"")</f>
        <v>2 [33.369239]</v>
      </c>
      <c r="J84">
        <f>IF(FT!B84&lt;&gt;"",FT!C84,"")</f>
        <v>33.369199999999999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61022</v>
      </c>
      <c r="D85" s="61">
        <f>FH!B85*1</f>
        <v>61022</v>
      </c>
      <c r="E85">
        <f t="shared" si="11"/>
        <v>83</v>
      </c>
      <c r="F85" s="61">
        <f>IF(FT!A85&lt;&gt;"",FT!A85*10,"")</f>
        <v>4.0101700000000005</v>
      </c>
      <c r="G85" s="61">
        <f>IF(FT!B85&lt;&gt;"",FT!B85*100,"")</f>
        <v>8.2988400000000002</v>
      </c>
      <c r="H85" s="61">
        <f t="shared" si="9"/>
        <v>1</v>
      </c>
      <c r="I85" t="str">
        <f>IF(FT!B85&lt;&gt;"",FT!E85,"")</f>
        <v>2 [33.773731]</v>
      </c>
      <c r="J85">
        <f>IF(FT!B85&lt;&gt;"",FT!C85,"")</f>
        <v>33.773699999999998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3.9883899999999999</v>
      </c>
      <c r="G86" s="61">
        <f>IF(FT!B86&lt;&gt;"",FT!B86*100,"")</f>
        <v>8.4649999999999999</v>
      </c>
      <c r="H86" s="61">
        <f t="shared" si="9"/>
        <v>1</v>
      </c>
      <c r="I86" t="str">
        <f>IF(FT!B86&lt;&gt;"",FT!E86,"")</f>
        <v>2 [34.185900]</v>
      </c>
      <c r="J86">
        <f>IF(FT!B86&lt;&gt;"",FT!C86,"")</f>
        <v>34.185899999999997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3.9656500000000001</v>
      </c>
      <c r="G87" s="61">
        <f>IF(FT!B87&lt;&gt;"",FT!B87*100,"")</f>
        <v>8.6369299999999996</v>
      </c>
      <c r="H87" s="61">
        <f t="shared" si="9"/>
        <v>1</v>
      </c>
      <c r="I87" t="str">
        <f>IF(FT!B87&lt;&gt;"",FT!E87,"")</f>
        <v>2 [34.593073]</v>
      </c>
      <c r="J87">
        <f>IF(FT!B87&lt;&gt;"",FT!C87,"")</f>
        <v>34.5931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56231</v>
      </c>
      <c r="D88" s="61">
        <f>FH!B88*1</f>
        <v>56231</v>
      </c>
      <c r="E88">
        <f t="shared" si="11"/>
        <v>86</v>
      </c>
      <c r="F88" s="61">
        <f>IF(FT!A88&lt;&gt;"",FT!A88*10,"")</f>
        <v>3.9465299999999996</v>
      </c>
      <c r="G88" s="61">
        <f>IF(FT!B88&lt;&gt;"",FT!B88*100,"")</f>
        <v>8.6610700000000005</v>
      </c>
      <c r="H88" s="61">
        <f t="shared" si="9"/>
        <v>1</v>
      </c>
      <c r="I88" t="str">
        <f>IF(FT!B88&lt;&gt;"",FT!E88,"")</f>
        <v>2 [34.993764]</v>
      </c>
      <c r="J88">
        <f>IF(FT!B88&lt;&gt;"",FT!C88,"")</f>
        <v>34.9938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3.9296599999999997</v>
      </c>
      <c r="G89" s="61">
        <f>IF(FT!B89&lt;&gt;"",FT!B89*100,"")</f>
        <v>8.6064799999999995</v>
      </c>
      <c r="H89" s="61">
        <f t="shared" si="9"/>
        <v>1</v>
      </c>
      <c r="I89" t="str">
        <f>IF(FT!B89&lt;&gt;"",FT!E89,"")</f>
        <v>2 [35.401495]</v>
      </c>
      <c r="J89">
        <f>IF(FT!B89&lt;&gt;"",FT!C89,"")</f>
        <v>35.401499999999999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56390</v>
      </c>
      <c r="D90" s="61">
        <f>FH!B90*1</f>
        <v>56390</v>
      </c>
      <c r="E90">
        <f t="shared" si="11"/>
        <v>88</v>
      </c>
      <c r="F90" s="61">
        <f>IF(FT!A90&lt;&gt;"",FT!A90*10,"")</f>
        <v>3.9099200000000001</v>
      </c>
      <c r="G90" s="61">
        <f>IF(FT!B90&lt;&gt;"",FT!B90*100,"")</f>
        <v>8.6836099999999998</v>
      </c>
      <c r="H90" s="61">
        <f t="shared" si="9"/>
        <v>1</v>
      </c>
      <c r="I90" t="str">
        <f>IF(FT!B90&lt;&gt;"",FT!E90,"")</f>
        <v>2 [35.808099]</v>
      </c>
      <c r="J90">
        <f>IF(FT!B90&lt;&gt;"",FT!C90,"")</f>
        <v>35.808100000000003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3.8956</v>
      </c>
      <c r="G91" s="61">
        <f>IF(FT!B91&lt;&gt;"",FT!B91*100,"")</f>
        <v>8.696810000000001</v>
      </c>
      <c r="H91" s="61">
        <f t="shared" si="9"/>
        <v>1</v>
      </c>
      <c r="I91" t="str">
        <f>IF(FT!B91&lt;&gt;"",FT!E91,"")</f>
        <v>2 [36.217327]</v>
      </c>
      <c r="J91">
        <f>IF(FT!B91&lt;&gt;"",FT!C91,"")</f>
        <v>36.217300000000002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3.8871600000000002</v>
      </c>
      <c r="G92" s="61">
        <f>IF(FT!B92&lt;&gt;"",FT!B92*100,"")</f>
        <v>8.6007899999999999</v>
      </c>
      <c r="H92" s="61">
        <f t="shared" si="9"/>
        <v>1</v>
      </c>
      <c r="I92" t="str">
        <f>IF(FT!B92&lt;&gt;"",FT!E92,"")</f>
        <v>2 [36.620656]</v>
      </c>
      <c r="J92">
        <f>IF(FT!B92&lt;&gt;"",FT!C92,"")</f>
        <v>36.620699999999999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55237</v>
      </c>
      <c r="D93" s="61">
        <f>FH!B93*1</f>
        <v>55237</v>
      </c>
      <c r="E93">
        <f t="shared" si="11"/>
        <v>91</v>
      </c>
      <c r="F93" s="61">
        <f>IF(FT!A93&lt;&gt;"",FT!A93*10,"")</f>
        <v>3.8860000000000001</v>
      </c>
      <c r="G93" s="61">
        <f>IF(FT!B93&lt;&gt;"",FT!B93*100,"")</f>
        <v>8.3816399999999991</v>
      </c>
      <c r="H93" s="61">
        <f t="shared" si="9"/>
        <v>1</v>
      </c>
      <c r="I93" t="str">
        <f>IF(FT!B93&lt;&gt;"",FT!E93,"")</f>
        <v>2 [37.027477]</v>
      </c>
      <c r="J93">
        <f>IF(FT!B93&lt;&gt;"",FT!C93,"")</f>
        <v>37.027500000000003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3.8881199999999998</v>
      </c>
      <c r="G94" s="61">
        <f>IF(FT!B94&lt;&gt;"",FT!B94*100,"")</f>
        <v>8.0971799999999998</v>
      </c>
      <c r="H94" s="61">
        <f t="shared" si="9"/>
        <v>1</v>
      </c>
      <c r="I94" t="str">
        <f>IF(FT!B94&lt;&gt;"",FT!E94,"")</f>
        <v>2 [37.431155]</v>
      </c>
      <c r="J94">
        <f>IF(FT!B94&lt;&gt;"",FT!C94,"")</f>
        <v>37.431199999999997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56176</v>
      </c>
      <c r="D95" s="61">
        <f>FH!B95*1</f>
        <v>56176</v>
      </c>
      <c r="E95">
        <f t="shared" si="11"/>
        <v>93</v>
      </c>
      <c r="F95" s="61">
        <f>IF(FT!A95&lt;&gt;"",FT!A95*10,"")</f>
        <v>3.8915499999999996</v>
      </c>
      <c r="G95" s="61">
        <f>IF(FT!B95&lt;&gt;"",FT!B95*100,"")</f>
        <v>7.8486500000000001</v>
      </c>
      <c r="H95" s="61">
        <f t="shared" si="9"/>
        <v>1</v>
      </c>
      <c r="I95" t="str">
        <f>IF(FT!B95&lt;&gt;"",FT!E95,"")</f>
        <v>2 [37.838919]</v>
      </c>
      <c r="J95">
        <f>IF(FT!B95&lt;&gt;"",FT!C95,"")</f>
        <v>37.838900000000002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3.8921200000000002</v>
      </c>
      <c r="G96" s="61">
        <f>IF(FT!B96&lt;&gt;"",FT!B96*100,"")</f>
        <v>7.6909400000000003</v>
      </c>
      <c r="H96" s="61">
        <f t="shared" si="9"/>
        <v>1</v>
      </c>
      <c r="I96" t="str">
        <f>IF(FT!B96&lt;&gt;"",FT!E96,"")</f>
        <v>2 [38.247397]</v>
      </c>
      <c r="J96">
        <f>IF(FT!B96&lt;&gt;"",FT!C96,"")</f>
        <v>38.247399999999999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3.8916299999999997</v>
      </c>
      <c r="G97" s="61">
        <f>IF(FT!B97&lt;&gt;"",FT!B97*100,"")</f>
        <v>7.6610300000000002</v>
      </c>
      <c r="H97" s="61">
        <f t="shared" si="9"/>
        <v>1</v>
      </c>
      <c r="I97" t="str">
        <f>IF(FT!B97&lt;&gt;"",FT!E97,"")</f>
        <v>2 [38.650917]</v>
      </c>
      <c r="J97">
        <f>IF(FT!B97&lt;&gt;"",FT!C97,"")</f>
        <v>38.6509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53912</v>
      </c>
      <c r="D98" s="61">
        <f>FH!B98*1</f>
        <v>53912</v>
      </c>
      <c r="E98">
        <f t="shared" si="11"/>
        <v>96</v>
      </c>
      <c r="F98" s="61">
        <f>IF(FT!A98&lt;&gt;"",FT!A98*10,"")</f>
        <v>3.89276</v>
      </c>
      <c r="G98" s="61">
        <f>IF(FT!B98&lt;&gt;"",FT!B98*100,"")</f>
        <v>7.6308799999999994</v>
      </c>
      <c r="H98" s="61">
        <f t="shared" si="9"/>
        <v>1</v>
      </c>
      <c r="I98" t="str">
        <f>IF(FT!B98&lt;&gt;"",FT!E98,"")</f>
        <v>2 [39.060710]</v>
      </c>
      <c r="J98">
        <f>IF(FT!B98&lt;&gt;"",FT!C98,"")</f>
        <v>39.060699999999997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3.8955699999999998</v>
      </c>
      <c r="G99" s="61">
        <f>IF(FT!B99&lt;&gt;"",FT!B99*100,"")</f>
        <v>7.51675</v>
      </c>
      <c r="H99" s="61">
        <f t="shared" si="9"/>
        <v>1</v>
      </c>
      <c r="I99" t="str">
        <f>IF(FT!B99&lt;&gt;"",FT!E99,"")</f>
        <v>2 [39.462591]</v>
      </c>
      <c r="J99">
        <f>IF(FT!B99&lt;&gt;"",FT!C99,"")</f>
        <v>39.462600000000002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62500</v>
      </c>
      <c r="D100" s="61">
        <f>FH!B100*1</f>
        <v>62500</v>
      </c>
      <c r="E100">
        <f t="shared" si="11"/>
        <v>98</v>
      </c>
      <c r="F100" s="61">
        <f>IF(FT!A100&lt;&gt;"",FT!A100*10,"")</f>
        <v>3.90245</v>
      </c>
      <c r="G100" s="61">
        <f>IF(FT!B100&lt;&gt;"",FT!B100*100,"")</f>
        <v>7.31691</v>
      </c>
      <c r="H100" s="61">
        <f t="shared" si="9"/>
        <v>1</v>
      </c>
      <c r="I100" t="str">
        <f>IF(FT!B100&lt;&gt;"",FT!E100,"")</f>
        <v>2 [39.872141]</v>
      </c>
      <c r="J100">
        <f>IF(FT!B100&lt;&gt;"",FT!C100,"")</f>
        <v>39.872100000000003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3.9098699999999997</v>
      </c>
      <c r="G101" s="61">
        <f>IF(FT!B101&lt;&gt;"",FT!B101*100,"")</f>
        <v>7.1548400000000001</v>
      </c>
      <c r="H101" s="61">
        <f t="shared" si="9"/>
        <v>1</v>
      </c>
      <c r="I101" t="str">
        <f>IF(FT!B101&lt;&gt;"",FT!E101,"")</f>
        <v>2 [40.277594]</v>
      </c>
      <c r="J101">
        <f>IF(FT!B101&lt;&gt;"",FT!C101,"")</f>
        <v>40.2776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3.9144699999999997</v>
      </c>
      <c r="G102" s="61">
        <f>IF(FT!B102&lt;&gt;"",FT!B102*100,"")</f>
        <v>7.0564499999999999</v>
      </c>
      <c r="H102" s="61">
        <f t="shared" si="9"/>
        <v>1</v>
      </c>
      <c r="I102" t="str">
        <f>IF(FT!B102&lt;&gt;"",FT!E102,"")</f>
        <v>2 [40.683722]</v>
      </c>
      <c r="J102">
        <f>IF(FT!B102&lt;&gt;"",FT!C102,"")</f>
        <v>40.683700000000002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63873</v>
      </c>
      <c r="D103" s="61">
        <f>FH!B103*1</f>
        <v>63873</v>
      </c>
      <c r="E103">
        <f t="shared" si="11"/>
        <v>101</v>
      </c>
      <c r="F103" s="61">
        <f>IF(FT!A103&lt;&gt;"",FT!A103*10,"")</f>
        <v>3.9238600000000003</v>
      </c>
      <c r="G103" s="61">
        <f>IF(FT!B103&lt;&gt;"",FT!B103*100,"")</f>
        <v>6.8888400000000001</v>
      </c>
      <c r="H103" s="61">
        <f t="shared" si="9"/>
        <v>1</v>
      </c>
      <c r="I103" t="str">
        <f>IF(FT!B103&lt;&gt;"",FT!E103,"")</f>
        <v>2 [41.087856]</v>
      </c>
      <c r="J103">
        <f>IF(FT!B103&lt;&gt;"",FT!C103,"")</f>
        <v>41.087899999999998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3.9304299999999999</v>
      </c>
      <c r="G104" s="61">
        <f>IF(FT!B104&lt;&gt;"",FT!B104*100,"")</f>
        <v>6.7907800000000007</v>
      </c>
      <c r="H104" s="61">
        <f t="shared" si="9"/>
        <v>1</v>
      </c>
      <c r="I104" t="str">
        <f>IF(FT!B104&lt;&gt;"",FT!E104,"")</f>
        <v>2 [41.493768]</v>
      </c>
      <c r="J104">
        <f>IF(FT!B104&lt;&gt;"",FT!C104,"")</f>
        <v>41.4938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3.9345499999999998</v>
      </c>
      <c r="G105" s="61">
        <f>IF(FT!B105&lt;&gt;"",FT!B105*100,"")</f>
        <v>6.7591899999999994</v>
      </c>
      <c r="H105" s="61">
        <f t="shared" si="9"/>
        <v>1</v>
      </c>
      <c r="I105" t="str">
        <f>IF(FT!B105&lt;&gt;"",FT!E105,"")</f>
        <v>2 [41.900900]</v>
      </c>
      <c r="J105">
        <f>IF(FT!B105&lt;&gt;"",FT!C105,"")</f>
        <v>41.9009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70361</v>
      </c>
      <c r="D106" s="61">
        <f>FH!B106*1</f>
        <v>70361</v>
      </c>
      <c r="E106">
        <f t="shared" si="11"/>
        <v>104</v>
      </c>
      <c r="F106" s="61">
        <f>IF(FT!A106&lt;&gt;"",FT!A106*10,"")</f>
        <v>3.9391799999999999</v>
      </c>
      <c r="G106" s="61">
        <f>IF(FT!B106&lt;&gt;"",FT!B106*100,"")</f>
        <v>6.7709000000000001</v>
      </c>
      <c r="H106" s="61">
        <f t="shared" si="9"/>
        <v>1</v>
      </c>
      <c r="I106" t="str">
        <f>IF(FT!B106&lt;&gt;"",FT!E106,"")</f>
        <v>2 [42.311605]</v>
      </c>
      <c r="J106">
        <f>IF(FT!B106&lt;&gt;"",FT!C106,"")</f>
        <v>42.311599999999999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3.9425500000000002</v>
      </c>
      <c r="G107" s="61">
        <f>IF(FT!B107&lt;&gt;"",FT!B107*100,"")</f>
        <v>6.8103800000000003</v>
      </c>
      <c r="H107" s="61">
        <f t="shared" si="9"/>
        <v>1</v>
      </c>
      <c r="I107" t="str">
        <f>IF(FT!B107&lt;&gt;"",FT!E107,"")</f>
        <v>2 [42.714769]</v>
      </c>
      <c r="J107">
        <f>IF(FT!B107&lt;&gt;"",FT!C107,"")</f>
        <v>42.714799999999997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69497</v>
      </c>
      <c r="D108" s="61">
        <f>FH!B108*1</f>
        <v>69497</v>
      </c>
      <c r="E108">
        <f t="shared" si="11"/>
        <v>106</v>
      </c>
      <c r="F108" s="61">
        <f>IF(FT!A108&lt;&gt;"",FT!A108*10,"")</f>
        <v>3.9430500000000004</v>
      </c>
      <c r="G108" s="61">
        <f>IF(FT!B108&lt;&gt;"",FT!B108*100,"")</f>
        <v>6.8829199999999995</v>
      </c>
      <c r="H108" s="61">
        <f t="shared" si="9"/>
        <v>1</v>
      </c>
      <c r="I108" t="str">
        <f>IF(FT!B108&lt;&gt;"",FT!E108,"")</f>
        <v>2 [43.121506]</v>
      </c>
      <c r="J108">
        <f>IF(FT!B108&lt;&gt;"",FT!C108,"")</f>
        <v>43.121499999999997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3.94292</v>
      </c>
      <c r="G109" s="61">
        <f>IF(FT!B109&lt;&gt;"",FT!B109*100,"")</f>
        <v>6.9155800000000003</v>
      </c>
      <c r="H109" s="61">
        <f t="shared" si="9"/>
        <v>1</v>
      </c>
      <c r="I109" t="str">
        <f>IF(FT!B109&lt;&gt;"",FT!E109,"")</f>
        <v>2 [43.524779]</v>
      </c>
      <c r="J109">
        <f>IF(FT!B109&lt;&gt;"",FT!C109,"")</f>
        <v>43.524799999999999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3.9452100000000003</v>
      </c>
      <c r="G110" s="61">
        <f>IF(FT!B110&lt;&gt;"",FT!B110*100,"")</f>
        <v>6.9039199999999994</v>
      </c>
      <c r="H110" s="61">
        <f t="shared" si="9"/>
        <v>1</v>
      </c>
      <c r="I110" t="str">
        <f>IF(FT!B110&lt;&gt;"",FT!E110,"")</f>
        <v>2 [43.929478]</v>
      </c>
      <c r="J110">
        <f>IF(FT!B110&lt;&gt;"",FT!C110,"")</f>
        <v>43.929499999999997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72104</v>
      </c>
      <c r="D111" s="61">
        <f>FH!B111*1</f>
        <v>72104</v>
      </c>
      <c r="E111">
        <f t="shared" si="11"/>
        <v>109</v>
      </c>
      <c r="F111" s="61">
        <f>IF(FT!A111&lt;&gt;"",FT!A111*10,"")</f>
        <v>3.9473799999999999</v>
      </c>
      <c r="G111" s="61">
        <f>IF(FT!B111&lt;&gt;"",FT!B111*100,"")</f>
        <v>6.9359799999999998</v>
      </c>
      <c r="H111" s="61">
        <f t="shared" si="9"/>
        <v>1</v>
      </c>
      <c r="I111" t="str">
        <f>IF(FT!B111&lt;&gt;"",FT!E111,"")</f>
        <v>2 [44.338640]</v>
      </c>
      <c r="J111">
        <f>IF(FT!B111&lt;&gt;"",FT!C111,"")</f>
        <v>44.3386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3.9521800000000002</v>
      </c>
      <c r="G112" s="61">
        <f>IF(FT!B112&lt;&gt;"",FT!B112*100,"")</f>
        <v>7.0167400000000004</v>
      </c>
      <c r="H112" s="61">
        <f t="shared" si="9"/>
        <v>1</v>
      </c>
      <c r="I112" t="str">
        <f>IF(FT!B112&lt;&gt;"",FT!E112,"")</f>
        <v>2 [44.747078]</v>
      </c>
      <c r="J112">
        <f>IF(FT!B112&lt;&gt;"",FT!C112,"")</f>
        <v>44.747100000000003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82208</v>
      </c>
      <c r="D113" s="61">
        <f>FH!B113*1</f>
        <v>82208</v>
      </c>
      <c r="E113">
        <f t="shared" si="11"/>
        <v>111</v>
      </c>
      <c r="F113" s="61">
        <f>IF(FT!A113&lt;&gt;"",FT!A113*10,"")</f>
        <v>3.95926</v>
      </c>
      <c r="G113" s="61">
        <f>IF(FT!B113&lt;&gt;"",FT!B113*100,"")</f>
        <v>7.1145399999999999</v>
      </c>
      <c r="H113" s="61">
        <f t="shared" si="9"/>
        <v>1</v>
      </c>
      <c r="I113" t="str">
        <f>IF(FT!B113&lt;&gt;"",FT!E113,"")</f>
        <v>2 [45.153260]</v>
      </c>
      <c r="J113">
        <f>IF(FT!B113&lt;&gt;"",FT!C113,"")</f>
        <v>45.153300000000002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3.9659200000000001</v>
      </c>
      <c r="G114" s="61">
        <f>IF(FT!B114&lt;&gt;"",FT!B114*100,"")</f>
        <v>7.2126700000000001</v>
      </c>
      <c r="H114" s="61">
        <f t="shared" si="9"/>
        <v>1</v>
      </c>
      <c r="I114" t="str">
        <f>IF(FT!B114&lt;&gt;"",FT!E114,"")</f>
        <v>2 [45.558904]</v>
      </c>
      <c r="J114">
        <f>IF(FT!B114&lt;&gt;"",FT!C114,"")</f>
        <v>45.558900000000001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3.97254</v>
      </c>
      <c r="G115" s="61">
        <f>IF(FT!B115&lt;&gt;"",FT!B115*100,"")</f>
        <v>7.3195800000000002</v>
      </c>
      <c r="H115" s="61">
        <f t="shared" si="9"/>
        <v>1</v>
      </c>
      <c r="I115" t="str">
        <f>IF(FT!B115&lt;&gt;"",FT!E115,"")</f>
        <v>2 [45.967607]</v>
      </c>
      <c r="J115">
        <f>IF(FT!B115&lt;&gt;"",FT!C115,"")</f>
        <v>45.967599999999997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84524</v>
      </c>
      <c r="D116" s="61">
        <f>FH!B116*1</f>
        <v>84524</v>
      </c>
      <c r="E116">
        <f t="shared" si="11"/>
        <v>114</v>
      </c>
      <c r="F116" s="61">
        <f>IF(FT!A116&lt;&gt;"",FT!A116*10,"")</f>
        <v>3.9750100000000002</v>
      </c>
      <c r="G116" s="61">
        <f>IF(FT!B116&lt;&gt;"",FT!B116*100,"")</f>
        <v>7.4614700000000003</v>
      </c>
      <c r="H116" s="61">
        <f t="shared" si="9"/>
        <v>1</v>
      </c>
      <c r="I116" t="str">
        <f>IF(FT!B116&lt;&gt;"",FT!E116,"")</f>
        <v>2 [46.371687]</v>
      </c>
      <c r="J116">
        <f>IF(FT!B116&lt;&gt;"",FT!C116,"")</f>
        <v>46.371699999999997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3.9801700000000002</v>
      </c>
      <c r="G117" s="61">
        <f>IF(FT!B117&lt;&gt;"",FT!B117*100,"")</f>
        <v>7.4928900000000009</v>
      </c>
      <c r="H117" s="61">
        <f t="shared" si="9"/>
        <v>1</v>
      </c>
      <c r="I117" t="str">
        <f>IF(FT!B117&lt;&gt;"",FT!E117,"")</f>
        <v>2 [46.777946]</v>
      </c>
      <c r="J117">
        <f>IF(FT!B117&lt;&gt;"",FT!C117,"")</f>
        <v>46.777900000000002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87200</v>
      </c>
      <c r="D118" s="61">
        <f>FH!B118*1</f>
        <v>87200</v>
      </c>
      <c r="E118">
        <f t="shared" si="11"/>
        <v>116</v>
      </c>
      <c r="F118" s="61">
        <f>IF(FT!A118&lt;&gt;"",FT!A118*10,"")</f>
        <v>3.9822999999999995</v>
      </c>
      <c r="G118" s="61">
        <f>IF(FT!B118&lt;&gt;"",FT!B118*100,"")</f>
        <v>7.5422000000000002</v>
      </c>
      <c r="H118" s="61">
        <f t="shared" si="9"/>
        <v>1</v>
      </c>
      <c r="I118" t="str">
        <f>IF(FT!B118&lt;&gt;"",FT!E118,"")</f>
        <v>2 [47.183394]</v>
      </c>
      <c r="J118">
        <f>IF(FT!B118&lt;&gt;"",FT!C118,"")</f>
        <v>47.183399999999999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3.9766499999999998</v>
      </c>
      <c r="G119" s="61">
        <f>IF(FT!B119&lt;&gt;"",FT!B119*100,"")</f>
        <v>7.7714699999999999</v>
      </c>
      <c r="H119" s="61">
        <f t="shared" si="9"/>
        <v>1</v>
      </c>
      <c r="I119" t="str">
        <f>IF(FT!B119&lt;&gt;"",FT!E119,"")</f>
        <v>2 [47.585911]</v>
      </c>
      <c r="J119">
        <f>IF(FT!B119&lt;&gt;"",FT!C119,"")</f>
        <v>47.585900000000002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3.9692699999999999</v>
      </c>
      <c r="G120" s="61">
        <f>IF(FT!B120&lt;&gt;"",FT!B120*100,"")</f>
        <v>8.0961599999999994</v>
      </c>
      <c r="H120" s="61">
        <f t="shared" si="9"/>
        <v>1</v>
      </c>
      <c r="I120" t="str">
        <f>IF(FT!B120&lt;&gt;"",FT!E120,"")</f>
        <v>2 [47.998664]</v>
      </c>
      <c r="J120">
        <f>IF(FT!B120&lt;&gt;"",FT!C120,"")</f>
        <v>47.998699999999999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93593</v>
      </c>
      <c r="D121" s="61">
        <f>FH!B121*1</f>
        <v>93593</v>
      </c>
      <c r="E121">
        <f t="shared" si="11"/>
        <v>119</v>
      </c>
      <c r="F121" s="61">
        <f>IF(FT!A121&lt;&gt;"",FT!A121*10,"")</f>
        <v>3.96414</v>
      </c>
      <c r="G121" s="61">
        <f>IF(FT!B121&lt;&gt;"",FT!B121*100,"")</f>
        <v>8.3730899999999995</v>
      </c>
      <c r="H121" s="61">
        <f t="shared" si="9"/>
        <v>1</v>
      </c>
      <c r="I121" t="str">
        <f>IF(FT!B121&lt;&gt;"",FT!E121,"")</f>
        <v>2 [48.404027]</v>
      </c>
      <c r="J121">
        <f>IF(FT!B121&lt;&gt;"",FT!C121,"")</f>
        <v>48.404000000000003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3.96407</v>
      </c>
      <c r="G122" s="61">
        <f>IF(FT!B122&lt;&gt;"",FT!B122*100,"")</f>
        <v>8.4901199999999992</v>
      </c>
      <c r="H122" s="61">
        <f t="shared" si="9"/>
        <v>1</v>
      </c>
      <c r="I122" t="str">
        <f>IF(FT!B122&lt;&gt;"",FT!E122,"")</f>
        <v>2 [48.810287]</v>
      </c>
      <c r="J122">
        <f>IF(FT!B122&lt;&gt;"",FT!C122,"")</f>
        <v>48.810299999999998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3.9675899999999995</v>
      </c>
      <c r="G123" s="61">
        <f>IF(FT!B123&lt;&gt;"",FT!B123*100,"")</f>
        <v>8.6052</v>
      </c>
      <c r="H123" s="61">
        <f t="shared" si="9"/>
        <v>1</v>
      </c>
      <c r="I123" t="str">
        <f>IF(FT!B123&lt;&gt;"",FT!E123,"")</f>
        <v>2 [49.215935]</v>
      </c>
      <c r="J123">
        <f>IF(FT!B123&lt;&gt;"",FT!C123,"")</f>
        <v>49.215899999999998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99027</v>
      </c>
      <c r="D124" s="61">
        <f>FH!B124*1</f>
        <v>99027</v>
      </c>
      <c r="E124">
        <f t="shared" si="11"/>
        <v>122</v>
      </c>
      <c r="F124" s="61">
        <f>IF(FT!A124&lt;&gt;"",FT!A124*10,"")</f>
        <v>3.9653100000000001</v>
      </c>
      <c r="G124" s="61">
        <f>IF(FT!B124&lt;&gt;"",FT!B124*100,"")</f>
        <v>8.8581699999999994</v>
      </c>
      <c r="H124" s="61">
        <f t="shared" si="9"/>
        <v>1</v>
      </c>
      <c r="I124" t="str">
        <f>IF(FT!B124&lt;&gt;"",FT!E124,"")</f>
        <v>2 [49.620661]</v>
      </c>
      <c r="J124">
        <f>IF(FT!B124&lt;&gt;"",FT!C124,"")</f>
        <v>49.620699999999999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3.9567000000000001</v>
      </c>
      <c r="G125" s="61">
        <f>IF(FT!B125&lt;&gt;"",FT!B125*100,"")</f>
        <v>9.2106099999999991</v>
      </c>
      <c r="H125" s="61">
        <f t="shared" si="9"/>
        <v>1</v>
      </c>
      <c r="I125" t="str">
        <f>IF(FT!B125&lt;&gt;"",FT!E125,"")</f>
        <v>2 [50.025745]</v>
      </c>
      <c r="J125">
        <f>IF(FT!B125&lt;&gt;"",FT!C125,"")</f>
        <v>50.025700000000001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98267</v>
      </c>
      <c r="D126" s="61">
        <f>FH!B126*1</f>
        <v>98267</v>
      </c>
      <c r="E126">
        <f t="shared" si="11"/>
        <v>124</v>
      </c>
      <c r="F126" s="61">
        <f>IF(FT!A126&lt;&gt;"",FT!A126*10,"")</f>
        <v>3.9527000000000001</v>
      </c>
      <c r="G126" s="61">
        <f>IF(FT!B126&lt;&gt;"",FT!B126*100,"")</f>
        <v>9.3497399999999988</v>
      </c>
      <c r="H126" s="61">
        <f t="shared" si="9"/>
        <v>1</v>
      </c>
      <c r="I126" t="str">
        <f>IF(FT!B126&lt;&gt;"",FT!E126,"")</f>
        <v>2 [50.431282]</v>
      </c>
      <c r="J126">
        <f>IF(FT!B126&lt;&gt;"",FT!C126,"")</f>
        <v>50.4313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3.9500600000000001</v>
      </c>
      <c r="G127" s="61">
        <f>IF(FT!B127&lt;&gt;"",FT!B127*100,"")</f>
        <v>9.4432399999999994</v>
      </c>
      <c r="H127" s="61">
        <f t="shared" si="9"/>
        <v>1</v>
      </c>
      <c r="I127" t="str">
        <f>IF(FT!B127&lt;&gt;"",FT!E127,"")</f>
        <v>2 [50.837968]</v>
      </c>
      <c r="J127">
        <f>IF(FT!B127&lt;&gt;"",FT!C127,"")</f>
        <v>50.838000000000001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3.9447700000000001</v>
      </c>
      <c r="G128" s="61">
        <f>IF(FT!B128&lt;&gt;"",FT!B128*100,"")</f>
        <v>9.5808599999999995</v>
      </c>
      <c r="H128" s="61">
        <f t="shared" si="9"/>
        <v>1</v>
      </c>
      <c r="I128" t="str">
        <f>IF(FT!B128&lt;&gt;"",FT!E128,"")</f>
        <v>2 [51.246747]</v>
      </c>
      <c r="J128">
        <f>IF(FT!B128&lt;&gt;"",FT!C128,"")</f>
        <v>51.246699999999997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103176</v>
      </c>
      <c r="D129" s="61">
        <f>FH!B129*1</f>
        <v>103176</v>
      </c>
      <c r="E129">
        <f t="shared" si="11"/>
        <v>127</v>
      </c>
      <c r="F129" s="61">
        <f>IF(FT!A129&lt;&gt;"",FT!A129*10,"")</f>
        <v>3.9398499999999999</v>
      </c>
      <c r="G129" s="61">
        <f>IF(FT!B129&lt;&gt;"",FT!B129*100,"")</f>
        <v>9.7454799999999988</v>
      </c>
      <c r="H129" s="61">
        <f t="shared" si="9"/>
        <v>1</v>
      </c>
      <c r="I129" t="str">
        <f>IF(FT!B129&lt;&gt;"",FT!E129,"")</f>
        <v>2 [51.655337]</v>
      </c>
      <c r="J129">
        <f>IF(FT!B129&lt;&gt;"",FT!C129,"")</f>
        <v>51.655299999999997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3.9386999999999999</v>
      </c>
      <c r="G130" s="61">
        <f>IF(FT!B130&lt;&gt;"",FT!B130*100,"")</f>
        <v>9.8429400000000005</v>
      </c>
      <c r="H130" s="61">
        <f t="shared" si="9"/>
        <v>1</v>
      </c>
      <c r="I130" t="str">
        <f>IF(FT!B130&lt;&gt;"",FT!E130,"")</f>
        <v>2 [52.060555]</v>
      </c>
      <c r="J130">
        <f>IF(FT!B130&lt;&gt;"",FT!C130,"")</f>
        <v>52.060600000000001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102209</v>
      </c>
      <c r="D131" s="61">
        <f>FH!B131*1</f>
        <v>102209</v>
      </c>
      <c r="E131">
        <f t="shared" si="11"/>
        <v>129</v>
      </c>
      <c r="F131" s="61">
        <f>IF(FT!A131&lt;&gt;"",FT!A131*10,"")</f>
        <v>3.9371</v>
      </c>
      <c r="G131" s="61">
        <f>IF(FT!B131&lt;&gt;"",FT!B131*100,"")</f>
        <v>9.9080399999999997</v>
      </c>
      <c r="H131" s="61">
        <f t="shared" ref="H131:H194" si="13">(IF(F131&lt;&gt;"",1,""))</f>
        <v>1</v>
      </c>
      <c r="I131" t="str">
        <f>IF(FT!B131&lt;&gt;"",FT!E131,"")</f>
        <v>2 [52.464280]</v>
      </c>
      <c r="J131">
        <f>IF(FT!B131&lt;&gt;"",FT!C131,"")</f>
        <v>52.464300000000001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3.9381899999999996</v>
      </c>
      <c r="G132" s="61">
        <f>IF(FT!B132&lt;&gt;"",FT!B132*100,"")</f>
        <v>9.9100900000000003</v>
      </c>
      <c r="H132" s="61">
        <f t="shared" si="13"/>
        <v>1</v>
      </c>
      <c r="I132" t="str">
        <f>IF(FT!B132&lt;&gt;"",FT!E132,"")</f>
        <v>2 [52.871426]</v>
      </c>
      <c r="J132">
        <f>IF(FT!B132&lt;&gt;"",FT!C132,"")</f>
        <v>52.871400000000001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3.9388699999999996</v>
      </c>
      <c r="G133" s="61">
        <f>IF(FT!B133&lt;&gt;"",FT!B133*100,"")</f>
        <v>9.9310899999999993</v>
      </c>
      <c r="H133" s="61">
        <f t="shared" si="13"/>
        <v>1</v>
      </c>
      <c r="I133" t="str">
        <f>IF(FT!B133&lt;&gt;"",FT!E133,"")</f>
        <v>2 [53.276838]</v>
      </c>
      <c r="J133">
        <f>IF(FT!B133&lt;&gt;"",FT!C133,"")</f>
        <v>53.276800000000001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94799</v>
      </c>
      <c r="D134" s="61">
        <f>FH!B134*1</f>
        <v>94799</v>
      </c>
      <c r="E134">
        <f t="shared" si="15"/>
        <v>132</v>
      </c>
      <c r="F134" s="61">
        <f>IF(FT!A134&lt;&gt;"",FT!A134*10,"")</f>
        <v>3.9413300000000002</v>
      </c>
      <c r="G134" s="61">
        <f>IF(FT!B134&lt;&gt;"",FT!B134*100,"")</f>
        <v>9.9760200000000001</v>
      </c>
      <c r="H134" s="61">
        <f t="shared" si="13"/>
        <v>1</v>
      </c>
      <c r="I134" t="str">
        <f>IF(FT!B134&lt;&gt;"",FT!E134,"")</f>
        <v>2 [53.685028]</v>
      </c>
      <c r="J134">
        <f>IF(FT!B134&lt;&gt;"",FT!C134,"")</f>
        <v>53.685000000000002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3.9430999999999998</v>
      </c>
      <c r="G135" s="61">
        <f>IF(FT!B135&lt;&gt;"",FT!B135*100,"")</f>
        <v>10.0886</v>
      </c>
      <c r="H135" s="61">
        <f t="shared" si="13"/>
        <v>1</v>
      </c>
      <c r="I135" t="str">
        <f>IF(FT!B135&lt;&gt;"",FT!E135,"")</f>
        <v>2 [54.090721]</v>
      </c>
      <c r="J135">
        <f>IF(FT!B135&lt;&gt;"",FT!C135,"")</f>
        <v>54.090699999999998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87022</v>
      </c>
      <c r="D136" s="61">
        <f>FH!B136*1</f>
        <v>87022</v>
      </c>
      <c r="E136">
        <f t="shared" si="15"/>
        <v>134</v>
      </c>
      <c r="F136" s="61">
        <f>IF(FT!A136&lt;&gt;"",FT!A136*10,"")</f>
        <v>3.9484699999999999</v>
      </c>
      <c r="G136" s="61">
        <f>IF(FT!B136&lt;&gt;"",FT!B136*100,"")</f>
        <v>10.1031</v>
      </c>
      <c r="H136" s="61">
        <f t="shared" si="13"/>
        <v>1</v>
      </c>
      <c r="I136" t="str">
        <f>IF(FT!B136&lt;&gt;"",FT!E136,"")</f>
        <v>2 [54.495852]</v>
      </c>
      <c r="J136">
        <f>IF(FT!B136&lt;&gt;"",FT!C136,"")</f>
        <v>54.495899999999999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3.9513700000000003</v>
      </c>
      <c r="G137" s="61">
        <f>IF(FT!B137&lt;&gt;"",FT!B137*100,"")</f>
        <v>10.058200000000001</v>
      </c>
      <c r="H137" s="61">
        <f t="shared" si="13"/>
        <v>1</v>
      </c>
      <c r="I137" t="str">
        <f>IF(FT!B137&lt;&gt;"",FT!E137,"")</f>
        <v>2 [54.900590]</v>
      </c>
      <c r="J137">
        <f>IF(FT!B137&lt;&gt;"",FT!C137,"")</f>
        <v>54.900599999999997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3.9505800000000004</v>
      </c>
      <c r="G138" s="61">
        <f>IF(FT!B138&lt;&gt;"",FT!B138*100,"")</f>
        <v>10.062799999999999</v>
      </c>
      <c r="H138" s="61">
        <f t="shared" si="13"/>
        <v>1</v>
      </c>
      <c r="I138" t="str">
        <f>IF(FT!B138&lt;&gt;"",FT!E138,"")</f>
        <v>2 [55.306158]</v>
      </c>
      <c r="J138">
        <f>IF(FT!B138&lt;&gt;"",FT!C138,"")</f>
        <v>55.306199999999997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93110</v>
      </c>
      <c r="D139" s="61">
        <f>FH!B139*1</f>
        <v>93110</v>
      </c>
      <c r="E139">
        <f t="shared" si="15"/>
        <v>137</v>
      </c>
      <c r="F139" s="61">
        <f>IF(FT!A139&lt;&gt;"",FT!A139*10,"")</f>
        <v>3.9516400000000003</v>
      </c>
      <c r="G139" s="61">
        <f>IF(FT!B139&lt;&gt;"",FT!B139*100,"")</f>
        <v>10.077</v>
      </c>
      <c r="H139" s="61">
        <f t="shared" si="13"/>
        <v>1</v>
      </c>
      <c r="I139" t="str">
        <f>IF(FT!B139&lt;&gt;"",FT!E139,"")</f>
        <v>2 [55.714296]</v>
      </c>
      <c r="J139">
        <f>IF(FT!B139&lt;&gt;"",FT!C139,"")</f>
        <v>55.714300000000001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3.9535900000000002</v>
      </c>
      <c r="G140" s="61">
        <f>IF(FT!B140&lt;&gt;"",FT!B140*100,"")</f>
        <v>10.063600000000001</v>
      </c>
      <c r="H140" s="61">
        <f t="shared" si="13"/>
        <v>1</v>
      </c>
      <c r="I140" t="str">
        <f>IF(FT!B140&lt;&gt;"",FT!E140,"")</f>
        <v>2 [56.120000]</v>
      </c>
      <c r="J140">
        <f>IF(FT!B140&lt;&gt;"",FT!C140,"")</f>
        <v>56.12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3.9560499999999998</v>
      </c>
      <c r="G141" s="61">
        <f>IF(FT!B141&lt;&gt;"",FT!B141*100,"")</f>
        <v>10.0898</v>
      </c>
      <c r="H141" s="61">
        <f t="shared" si="13"/>
        <v>1</v>
      </c>
      <c r="I141" t="str">
        <f>IF(FT!B141&lt;&gt;"",FT!E141,"")</f>
        <v>2 [56.527781]</v>
      </c>
      <c r="J141">
        <f>IF(FT!B141&lt;&gt;"",FT!C141,"")</f>
        <v>56.527799999999999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96450</v>
      </c>
      <c r="D142" s="61">
        <f>FH!B142*1</f>
        <v>96450</v>
      </c>
      <c r="E142">
        <f t="shared" si="15"/>
        <v>140</v>
      </c>
      <c r="F142" s="61">
        <f>IF(FT!A142&lt;&gt;"",FT!A142*10,"")</f>
        <v>3.9500600000000001</v>
      </c>
      <c r="G142" s="61">
        <f>IF(FT!B142&lt;&gt;"",FT!B142*100,"")</f>
        <v>10.3529</v>
      </c>
      <c r="H142" s="61">
        <f t="shared" si="13"/>
        <v>1</v>
      </c>
      <c r="I142" t="str">
        <f>IF(FT!B142&lt;&gt;"",FT!E142,"")</f>
        <v>2 [56.935494]</v>
      </c>
      <c r="J142">
        <f>IF(FT!B142&lt;&gt;"",FT!C142,"")</f>
        <v>56.935499999999998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3.9356499999999999</v>
      </c>
      <c r="G143" s="61">
        <f>IF(FT!B143&lt;&gt;"",FT!B143*100,"")</f>
        <v>10.9168</v>
      </c>
      <c r="H143" s="61">
        <f t="shared" si="13"/>
        <v>1</v>
      </c>
      <c r="I143" t="str">
        <f>IF(FT!B143&lt;&gt;"",FT!E143,"")</f>
        <v>2 [57.339885]</v>
      </c>
      <c r="J143">
        <f>IF(FT!B143&lt;&gt;"",FT!C143,"")</f>
        <v>57.3399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90301</v>
      </c>
      <c r="D144" s="61">
        <f>FH!B144*1</f>
        <v>90301</v>
      </c>
      <c r="E144">
        <f t="shared" si="15"/>
        <v>142</v>
      </c>
      <c r="F144" s="61">
        <f>IF(FT!A144&lt;&gt;"",FT!A144*10,"")</f>
        <v>3.9290099999999999</v>
      </c>
      <c r="G144" s="61">
        <f>IF(FT!B144&lt;&gt;"",FT!B144*100,"")</f>
        <v>11.367900000000001</v>
      </c>
      <c r="H144" s="61">
        <f t="shared" si="13"/>
        <v>1</v>
      </c>
      <c r="I144" t="str">
        <f>IF(FT!B144&lt;&gt;"",FT!E144,"")</f>
        <v>2 [57.745429]</v>
      </c>
      <c r="J144">
        <f>IF(FT!B144&lt;&gt;"",FT!C144,"")</f>
        <v>57.745399999999997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3.9258300000000004</v>
      </c>
      <c r="G145" s="61">
        <f>IF(FT!B145&lt;&gt;"",FT!B145*100,"")</f>
        <v>11.6503</v>
      </c>
      <c r="H145" s="61">
        <f t="shared" si="13"/>
        <v>1</v>
      </c>
      <c r="I145" t="str">
        <f>IF(FT!B145&lt;&gt;"",FT!E145,"")</f>
        <v>2 [58.158672]</v>
      </c>
      <c r="J145">
        <f>IF(FT!B145&lt;&gt;"",FT!C145,"")</f>
        <v>58.158700000000003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3.9306000000000001</v>
      </c>
      <c r="G146" s="61">
        <f>IF(FT!B146&lt;&gt;"",FT!B146*100,"")</f>
        <v>11.7148</v>
      </c>
      <c r="H146" s="61">
        <f t="shared" si="13"/>
        <v>1</v>
      </c>
      <c r="I146" t="str">
        <f>IF(FT!B146&lt;&gt;"",FT!E146,"")</f>
        <v>2 [58.566417]</v>
      </c>
      <c r="J146">
        <f>IF(FT!B146&lt;&gt;"",FT!C146,"")</f>
        <v>58.566400000000002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96821</v>
      </c>
      <c r="D147" s="61">
        <f>FH!B147*1</f>
        <v>96821</v>
      </c>
      <c r="E147">
        <f t="shared" si="15"/>
        <v>145</v>
      </c>
      <c r="F147" s="61">
        <f>IF(FT!A147&lt;&gt;"",FT!A147*10,"")</f>
        <v>3.9250499999999997</v>
      </c>
      <c r="G147" s="61">
        <f>IF(FT!B147&lt;&gt;"",FT!B147*100,"")</f>
        <v>12.2158</v>
      </c>
      <c r="H147" s="61">
        <f t="shared" si="13"/>
        <v>1</v>
      </c>
      <c r="I147" t="str">
        <f>IF(FT!B147&lt;&gt;"",FT!E147,"")</f>
        <v>2 [58.970273]</v>
      </c>
      <c r="J147">
        <f>IF(FT!B147&lt;&gt;"",FT!C147,"")</f>
        <v>58.970300000000002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3.9018000000000002</v>
      </c>
      <c r="G148" s="61">
        <f>IF(FT!B148&lt;&gt;"",FT!B148*100,"")</f>
        <v>12.4931</v>
      </c>
      <c r="H148" s="61">
        <f t="shared" si="13"/>
        <v>1</v>
      </c>
      <c r="I148" t="str">
        <f>IF(FT!B148&lt;&gt;"",FT!E148,"")</f>
        <v>2 [59.374789]</v>
      </c>
      <c r="J148">
        <f>IF(FT!B148&lt;&gt;"",FT!C148,"")</f>
        <v>59.3748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95552</v>
      </c>
      <c r="D149" s="61">
        <f>FH!B149*1</f>
        <v>95552</v>
      </c>
      <c r="E149">
        <f t="shared" si="15"/>
        <v>147</v>
      </c>
      <c r="F149" s="61">
        <f>IF(FT!A149&lt;&gt;"",FT!A149*10,"")</f>
        <v>3.8913399999999996</v>
      </c>
      <c r="G149" s="61">
        <f>IF(FT!B149&lt;&gt;"",FT!B149*100,"")</f>
        <v>11.882299999999999</v>
      </c>
      <c r="H149" s="61">
        <f t="shared" si="13"/>
        <v>1</v>
      </c>
      <c r="I149" t="str">
        <f>IF(FT!B149&lt;&gt;"",FT!E149,"")</f>
        <v>2 [59.776970]</v>
      </c>
      <c r="J149">
        <f>IF(FT!B149&lt;&gt;"",FT!C149,"")</f>
        <v>59.777000000000001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3.9384599999999996</v>
      </c>
      <c r="G150" s="61">
        <f>IF(FT!B150&lt;&gt;"",FT!B150*100,"")</f>
        <v>8.6436600000000006</v>
      </c>
      <c r="H150" s="61">
        <f t="shared" si="13"/>
        <v>1</v>
      </c>
      <c r="I150" t="str">
        <f>IF(FT!B150&lt;&gt;"",FT!E150,"")</f>
        <v>2 [60.187462]</v>
      </c>
      <c r="J150">
        <f>IF(FT!B150&lt;&gt;"",FT!C150,"")</f>
        <v>60.1875</v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95323</v>
      </c>
      <c r="D152" s="61">
        <f>FH!B152*1</f>
        <v>95323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107209</v>
      </c>
      <c r="D154" s="61">
        <f>FH!B154*1</f>
        <v>107209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102442</v>
      </c>
      <c r="D157" s="61">
        <f>FH!B157*1</f>
        <v>102442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94051</v>
      </c>
      <c r="D160" s="61">
        <f>FH!B160*1</f>
        <v>94051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89536</v>
      </c>
      <c r="D162" s="61">
        <f>FH!B162*1</f>
        <v>89536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86672</v>
      </c>
      <c r="D165" s="61">
        <f>FH!B165*1</f>
        <v>86672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70203</v>
      </c>
      <c r="D167" s="61">
        <f>FH!B167*1</f>
        <v>70203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48608</v>
      </c>
      <c r="D170" s="61">
        <f>FH!B170*1</f>
        <v>48608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35146</v>
      </c>
      <c r="D173" s="61">
        <f>FH!B173*1</f>
        <v>35146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26695</v>
      </c>
      <c r="D175" s="61">
        <f>FH!B175*1</f>
        <v>26695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14077</v>
      </c>
      <c r="D178" s="61">
        <f>FH!B178*1</f>
        <v>14077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8816</v>
      </c>
      <c r="D180" s="61">
        <f>FH!B180*1</f>
        <v>8816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4135</v>
      </c>
      <c r="D183" s="61">
        <f>FH!B183*1</f>
        <v>4135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2867</v>
      </c>
      <c r="D185" s="61">
        <f>FH!B185*1</f>
        <v>2867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1758</v>
      </c>
      <c r="D188" s="61">
        <f>FH!B188*1</f>
        <v>1758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521</v>
      </c>
      <c r="D191" s="61">
        <f>FH!B191*1</f>
        <v>521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48.066200000000002</v>
      </c>
      <c r="C5" s="66">
        <v>15.235200000000001</v>
      </c>
      <c r="D5" s="66">
        <v>31.696300000000001</v>
      </c>
      <c r="E5" s="66">
        <v>20</v>
      </c>
      <c r="F5" s="66">
        <v>17.620699999999999</v>
      </c>
      <c r="G5" s="66">
        <v>50</v>
      </c>
      <c r="H5" s="66">
        <v>71.130399999999995</v>
      </c>
    </row>
    <row r="6" spans="1:8">
      <c r="A6" s="58" t="s">
        <v>303</v>
      </c>
      <c r="B6" s="66">
        <v>55.668700000000001</v>
      </c>
      <c r="C6" s="66">
        <v>4.0213999999999999</v>
      </c>
      <c r="D6" s="66">
        <v>7.2238199999999999</v>
      </c>
      <c r="E6" s="66">
        <v>20</v>
      </c>
      <c r="F6" s="66">
        <v>45.714399999999998</v>
      </c>
      <c r="G6" s="66">
        <v>40</v>
      </c>
      <c r="H6" s="66">
        <v>64.440600000000003</v>
      </c>
    </row>
    <row r="7" spans="1:8">
      <c r="A7" s="58" t="s">
        <v>304</v>
      </c>
      <c r="B7" s="66">
        <v>29.853100000000001</v>
      </c>
      <c r="C7" s="66">
        <v>6.3807200000000002</v>
      </c>
      <c r="D7" s="66">
        <v>21.373699999999999</v>
      </c>
      <c r="E7" s="66">
        <v>15</v>
      </c>
      <c r="F7" s="66">
        <v>15.3873</v>
      </c>
      <c r="G7" s="66">
        <v>40</v>
      </c>
      <c r="H7" s="66">
        <v>51.749099999999999</v>
      </c>
    </row>
    <row r="8" spans="1:8">
      <c r="A8" s="58" t="s">
        <v>305</v>
      </c>
      <c r="B8" s="66">
        <v>45.231000000000002</v>
      </c>
      <c r="C8" s="66">
        <v>5.7545099999999998</v>
      </c>
      <c r="D8" s="66">
        <v>12.7225</v>
      </c>
      <c r="E8" s="66">
        <v>20</v>
      </c>
      <c r="F8" s="66">
        <v>31.719200000000001</v>
      </c>
      <c r="G8" s="66">
        <v>50</v>
      </c>
      <c r="H8" s="66">
        <v>56.221499999999999</v>
      </c>
    </row>
    <row r="9" spans="1:8">
      <c r="A9" s="58" t="s">
        <v>306</v>
      </c>
      <c r="B9" s="66">
        <v>38.543799999999997</v>
      </c>
      <c r="C9" s="66">
        <v>13.640599999999999</v>
      </c>
      <c r="D9" s="66">
        <v>35.39</v>
      </c>
      <c r="E9" s="66">
        <v>50</v>
      </c>
      <c r="F9" s="66">
        <v>26.0855</v>
      </c>
      <c r="G9" s="66">
        <v>100</v>
      </c>
      <c r="H9" s="66">
        <v>82.627399999999994</v>
      </c>
    </row>
    <row r="10" spans="1:8">
      <c r="A10" s="58" t="s">
        <v>307</v>
      </c>
      <c r="B10" s="66">
        <v>44.443800000000003</v>
      </c>
      <c r="C10" s="66">
        <v>7.9715499999999997</v>
      </c>
      <c r="D10" s="66">
        <v>17.936199999999999</v>
      </c>
      <c r="E10" s="66">
        <v>40</v>
      </c>
      <c r="F10" s="66">
        <v>31.984999999999999</v>
      </c>
      <c r="G10" s="66">
        <v>100</v>
      </c>
      <c r="H10" s="66">
        <v>61.537199999999999</v>
      </c>
    </row>
    <row r="11" spans="1:8">
      <c r="A11" s="58" t="s">
        <v>308</v>
      </c>
      <c r="B11" s="66">
        <v>19.932200000000002</v>
      </c>
      <c r="C11" s="66">
        <v>5.1703999999999999</v>
      </c>
      <c r="D11" s="66">
        <v>25.939900000000002</v>
      </c>
      <c r="E11" s="66">
        <v>10</v>
      </c>
      <c r="F11" s="66">
        <v>7.5115699999999999</v>
      </c>
      <c r="G11" s="66">
        <v>50</v>
      </c>
      <c r="H11" s="66">
        <v>24.720800000000001</v>
      </c>
    </row>
    <row r="12" spans="1:8">
      <c r="A12" s="58" t="s">
        <v>309</v>
      </c>
      <c r="B12" s="66">
        <v>41.997500000000002</v>
      </c>
      <c r="C12" s="66">
        <v>10.0151</v>
      </c>
      <c r="D12" s="66">
        <v>23.846900000000002</v>
      </c>
      <c r="E12" s="66">
        <v>50</v>
      </c>
      <c r="F12" s="66">
        <v>31.667100000000001</v>
      </c>
      <c r="G12" s="66">
        <v>100</v>
      </c>
      <c r="H12" s="66">
        <v>71.474199999999996</v>
      </c>
    </row>
    <row r="13" spans="1:8">
      <c r="A13" s="58" t="s">
        <v>310</v>
      </c>
      <c r="B13" s="66">
        <v>19.491299999999999</v>
      </c>
      <c r="C13" s="66">
        <v>2.9365000000000001</v>
      </c>
      <c r="D13" s="66">
        <v>15.0657</v>
      </c>
      <c r="E13" s="66">
        <v>10</v>
      </c>
      <c r="F13" s="66">
        <v>14.726100000000001</v>
      </c>
      <c r="G13" s="66">
        <v>25</v>
      </c>
      <c r="H13" s="66">
        <v>30.236599999999999</v>
      </c>
    </row>
    <row r="14" spans="1:8">
      <c r="A14" s="58" t="s">
        <v>311</v>
      </c>
      <c r="B14" s="66">
        <v>29.364999999999998</v>
      </c>
      <c r="C14" s="66">
        <v>11.6821</v>
      </c>
      <c r="D14" s="66">
        <v>39.782499999999999</v>
      </c>
      <c r="E14" s="66">
        <v>10</v>
      </c>
      <c r="F14" s="66">
        <v>0.18695700000000001</v>
      </c>
      <c r="G14" s="66">
        <v>50</v>
      </c>
      <c r="H14" s="66">
        <v>38.207900000000002</v>
      </c>
    </row>
    <row r="15" spans="1:8">
      <c r="A15" s="58" t="s">
        <v>312</v>
      </c>
      <c r="B15" s="66">
        <v>8.4467100000000003E-2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0.32805400000000001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23.097799999999999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0.34135599999999999</v>
      </c>
      <c r="C18" s="66">
        <v>4.7035399999999998E-2</v>
      </c>
      <c r="D18" s="66">
        <v>0.13779</v>
      </c>
      <c r="E18" s="66">
        <v>0</v>
      </c>
      <c r="F18" s="66">
        <v>0.29432000000000003</v>
      </c>
      <c r="G18" s="66">
        <v>0</v>
      </c>
      <c r="H18" s="66">
        <v>0.38839099999999999</v>
      </c>
    </row>
    <row r="19" spans="1:8">
      <c r="A19" s="58" t="s">
        <v>316</v>
      </c>
      <c r="B19" s="66">
        <v>0.72936100000000004</v>
      </c>
      <c r="C19" s="66">
        <v>8.9266499999999999E-2</v>
      </c>
      <c r="D19" s="66">
        <v>0.12239</v>
      </c>
      <c r="E19" s="66">
        <v>0</v>
      </c>
      <c r="F19" s="66">
        <v>0.64009499999999997</v>
      </c>
      <c r="G19" s="66">
        <v>0</v>
      </c>
      <c r="H19" s="66">
        <v>0.81862699999999999</v>
      </c>
    </row>
    <row r="20" spans="1:8">
      <c r="A20" s="58" t="s">
        <v>317</v>
      </c>
      <c r="B20" s="196">
        <v>2.6479299999999999E-5</v>
      </c>
      <c r="C20" s="66">
        <v>1.51112E-2</v>
      </c>
      <c r="D20" s="66">
        <v>570.678</v>
      </c>
      <c r="E20" s="66">
        <v>0</v>
      </c>
      <c r="F20" s="66">
        <v>0</v>
      </c>
      <c r="G20" s="66">
        <v>0</v>
      </c>
      <c r="H20" s="66">
        <v>0.178873</v>
      </c>
    </row>
    <row r="21" spans="1:8">
      <c r="A21" s="58" t="s">
        <v>318</v>
      </c>
      <c r="B21" s="66">
        <v>2.00006E-2</v>
      </c>
      <c r="C21" s="66">
        <v>7.1480000000000002E-2</v>
      </c>
      <c r="D21" s="66">
        <v>3.5738799999999999</v>
      </c>
      <c r="E21" s="66">
        <v>0</v>
      </c>
      <c r="F21" s="196">
        <v>2.1828999999999999E-6</v>
      </c>
      <c r="G21" s="66">
        <v>0</v>
      </c>
      <c r="H21" s="66">
        <v>0.40231099999999997</v>
      </c>
    </row>
    <row r="22" spans="1:8">
      <c r="A22" s="58" t="s">
        <v>319</v>
      </c>
      <c r="B22" s="66">
        <v>31.030200000000001</v>
      </c>
      <c r="C22" s="66">
        <v>22.288599999999999</v>
      </c>
      <c r="D22" s="66">
        <v>0.71828700000000001</v>
      </c>
      <c r="E22" s="66">
        <v>0</v>
      </c>
      <c r="F22" s="66">
        <v>15.587300000000001</v>
      </c>
      <c r="G22" s="66">
        <v>0</v>
      </c>
      <c r="H22" s="66">
        <v>116.477</v>
      </c>
    </row>
    <row r="23" spans="1:8">
      <c r="A23" s="58" t="s">
        <v>320</v>
      </c>
      <c r="B23" s="66">
        <v>22.735600000000002</v>
      </c>
      <c r="C23" s="66">
        <v>7.4132300000000004</v>
      </c>
      <c r="D23" s="66">
        <v>0.32606200000000002</v>
      </c>
      <c r="E23" s="66">
        <v>0</v>
      </c>
      <c r="F23" s="66">
        <v>9.7171099999999999</v>
      </c>
      <c r="G23" s="66">
        <v>0</v>
      </c>
      <c r="H23" s="66">
        <v>33.444600000000001</v>
      </c>
    </row>
    <row r="24" spans="1:8">
      <c r="A24" s="58" t="s">
        <v>321</v>
      </c>
      <c r="B24" s="66">
        <v>1.5446899999999999E-4</v>
      </c>
      <c r="C24" s="66">
        <v>9.1762800000000002E-3</v>
      </c>
      <c r="D24" s="66">
        <v>59.4054</v>
      </c>
      <c r="E24" s="66">
        <v>0</v>
      </c>
      <c r="F24" s="196">
        <v>7.2582799999999998E-8</v>
      </c>
      <c r="G24" s="66">
        <v>0</v>
      </c>
      <c r="H24" s="66">
        <v>4.5671000000000003E-2</v>
      </c>
    </row>
    <row r="25" spans="1:8">
      <c r="A25" s="58" t="s">
        <v>322</v>
      </c>
      <c r="B25" s="66">
        <v>4.2488900000000003E-2</v>
      </c>
      <c r="C25" s="66">
        <v>3.3093600000000001E-2</v>
      </c>
      <c r="D25" s="66">
        <v>0.77887600000000001</v>
      </c>
      <c r="E25" s="66">
        <v>0</v>
      </c>
      <c r="F25" s="66">
        <v>4.2835E-3</v>
      </c>
      <c r="G25" s="66">
        <v>0</v>
      </c>
      <c r="H25" s="66">
        <v>0.170601</v>
      </c>
    </row>
    <row r="26" spans="1:8">
      <c r="A26" s="58" t="s">
        <v>323</v>
      </c>
      <c r="B26" s="196">
        <v>9.8476899999999999E-6</v>
      </c>
      <c r="C26" s="66">
        <v>8.5004999999999998E-4</v>
      </c>
      <c r="D26" s="66">
        <v>86.319699999999997</v>
      </c>
      <c r="E26" s="66">
        <v>0</v>
      </c>
      <c r="F26" s="66">
        <v>0</v>
      </c>
      <c r="G26" s="66">
        <v>0</v>
      </c>
      <c r="H26" s="66">
        <v>7.1789699999999998E-3</v>
      </c>
    </row>
    <row r="27" spans="1:8">
      <c r="A27" s="58" t="s">
        <v>324</v>
      </c>
      <c r="B27" s="66">
        <v>0</v>
      </c>
      <c r="C27" s="66">
        <v>6.2610699999999999E-4</v>
      </c>
      <c r="D27" s="66">
        <v>0</v>
      </c>
      <c r="E27" s="66">
        <v>0</v>
      </c>
      <c r="F27" s="66">
        <v>-5.2685099999999997E-3</v>
      </c>
      <c r="G27" s="66">
        <v>0</v>
      </c>
      <c r="H27" s="66">
        <v>5.6722700000000001E-3</v>
      </c>
    </row>
    <row r="28" spans="1:8">
      <c r="A28" s="58" t="s">
        <v>325</v>
      </c>
      <c r="B28" s="66">
        <v>4.3229200000000001E-3</v>
      </c>
      <c r="C28" s="66">
        <v>6.1421699999999997E-3</v>
      </c>
      <c r="D28" s="66">
        <v>1.4208400000000001</v>
      </c>
      <c r="E28" s="66">
        <v>0</v>
      </c>
      <c r="F28" s="196">
        <v>3.25521E-6</v>
      </c>
      <c r="G28" s="66">
        <v>0</v>
      </c>
      <c r="H28" s="66">
        <v>4.2080100000000002E-2</v>
      </c>
    </row>
    <row r="29" spans="1:8">
      <c r="A29" s="58" t="s">
        <v>326</v>
      </c>
      <c r="B29" s="66">
        <v>71.1751</v>
      </c>
      <c r="C29" s="66">
        <v>12.931699999999999</v>
      </c>
      <c r="D29" s="66">
        <v>0.18168899999999999</v>
      </c>
      <c r="E29" s="66">
        <v>0</v>
      </c>
      <c r="F29" s="66">
        <v>45.912799999999997</v>
      </c>
      <c r="G29" s="66">
        <v>0</v>
      </c>
      <c r="H29" s="66">
        <v>118.155</v>
      </c>
    </row>
    <row r="30" spans="1:8">
      <c r="A30" s="58" t="s">
        <v>327</v>
      </c>
      <c r="B30" s="66">
        <v>32.994999999999997</v>
      </c>
      <c r="C30" s="66">
        <v>9.0723199999999995</v>
      </c>
      <c r="D30" s="66">
        <v>0.27495999999999998</v>
      </c>
      <c r="E30" s="66">
        <v>0</v>
      </c>
      <c r="F30" s="66">
        <v>11.506399999999999</v>
      </c>
      <c r="G30" s="66">
        <v>0</v>
      </c>
      <c r="H30" s="66">
        <v>38.939100000000003</v>
      </c>
    </row>
    <row r="31" spans="1:8">
      <c r="A31" s="58" t="s">
        <v>328</v>
      </c>
      <c r="B31" s="66">
        <v>197.52500000000001</v>
      </c>
      <c r="C31" s="66">
        <v>65.261899999999997</v>
      </c>
      <c r="D31" s="66">
        <v>0.33039800000000003</v>
      </c>
      <c r="E31" s="66">
        <v>0</v>
      </c>
      <c r="F31" s="66">
        <v>88.991500000000002</v>
      </c>
      <c r="G31" s="66">
        <v>0</v>
      </c>
      <c r="H31" s="66">
        <v>313.32</v>
      </c>
    </row>
    <row r="32" spans="1:8">
      <c r="A32" s="58" t="s">
        <v>329</v>
      </c>
      <c r="B32" s="66">
        <v>0.29853099999999999</v>
      </c>
      <c r="C32" s="66">
        <v>6.3807199999999994E-2</v>
      </c>
      <c r="D32" s="66">
        <v>0.21373700000000001</v>
      </c>
      <c r="E32" s="66">
        <v>0.15</v>
      </c>
      <c r="F32" s="66">
        <v>0.15387300000000001</v>
      </c>
      <c r="G32" s="66">
        <v>0.4</v>
      </c>
      <c r="H32" s="66">
        <v>0.51749100000000003</v>
      </c>
    </row>
    <row r="33" spans="1:8">
      <c r="A33" s="58" t="s">
        <v>330</v>
      </c>
      <c r="B33" s="66">
        <v>0.41203099999999998</v>
      </c>
      <c r="C33" s="66">
        <v>7.0284600000000003E-2</v>
      </c>
      <c r="D33" s="66">
        <v>0.17058100000000001</v>
      </c>
      <c r="E33" s="66">
        <v>0</v>
      </c>
      <c r="F33" s="66">
        <v>0.25814399999999998</v>
      </c>
      <c r="G33" s="66">
        <v>0</v>
      </c>
      <c r="H33" s="66">
        <v>0.45854200000000001</v>
      </c>
    </row>
    <row r="34" spans="1:8">
      <c r="A34" s="58" t="s">
        <v>331</v>
      </c>
      <c r="B34" s="66">
        <v>0.194913</v>
      </c>
      <c r="C34" s="66">
        <v>2.9364999999999999E-2</v>
      </c>
      <c r="D34" s="66">
        <v>0.15065700000000001</v>
      </c>
      <c r="E34" s="66">
        <v>0.1</v>
      </c>
      <c r="F34" s="66">
        <v>0.147261</v>
      </c>
      <c r="G34" s="66">
        <v>0.25</v>
      </c>
      <c r="H34" s="66">
        <v>0.30236600000000002</v>
      </c>
    </row>
    <row r="35" spans="1:8">
      <c r="A35" s="58" t="s">
        <v>332</v>
      </c>
      <c r="B35" s="66">
        <v>9.1454300000000002E-2</v>
      </c>
      <c r="C35" s="66">
        <v>2.64911E-2</v>
      </c>
      <c r="D35" s="66">
        <v>0.28966500000000001</v>
      </c>
      <c r="E35" s="66">
        <v>0</v>
      </c>
      <c r="F35" s="66">
        <v>3.6942700000000002E-2</v>
      </c>
      <c r="G35" s="66">
        <v>0</v>
      </c>
      <c r="H35" s="66">
        <v>0.193275</v>
      </c>
    </row>
    <row r="36" spans="1:8">
      <c r="A36" s="58" t="s">
        <v>333</v>
      </c>
      <c r="B36" s="66">
        <v>0.17616000000000001</v>
      </c>
      <c r="C36" s="66">
        <v>0.103229</v>
      </c>
      <c r="D36" s="66">
        <v>0.58599599999999996</v>
      </c>
      <c r="E36" s="66">
        <v>0</v>
      </c>
      <c r="F36" s="66">
        <v>3.4421100000000003E-2</v>
      </c>
      <c r="G36" s="66">
        <v>0</v>
      </c>
      <c r="H36" s="66">
        <v>0.63273299999999999</v>
      </c>
    </row>
    <row r="37" spans="1:8">
      <c r="A37" s="58" t="s">
        <v>334</v>
      </c>
      <c r="B37" s="66">
        <v>0.29365000000000002</v>
      </c>
      <c r="C37" s="66">
        <v>0.11682099999999999</v>
      </c>
      <c r="D37" s="66">
        <v>0.39782499999999998</v>
      </c>
      <c r="E37" s="66">
        <v>0.1</v>
      </c>
      <c r="F37" s="66">
        <v>1.8695700000000001E-3</v>
      </c>
      <c r="G37" s="66">
        <v>0.5</v>
      </c>
      <c r="H37" s="66">
        <v>0.382079</v>
      </c>
    </row>
    <row r="38" spans="1:8">
      <c r="A38" s="58" t="s">
        <v>335</v>
      </c>
      <c r="B38" s="66">
        <v>-9.1394099999999998</v>
      </c>
      <c r="C38" s="66">
        <v>69.858900000000006</v>
      </c>
      <c r="D38" s="66">
        <v>-7.6437099999999996</v>
      </c>
      <c r="E38" s="66">
        <v>0</v>
      </c>
      <c r="F38" s="66">
        <v>-101.19199999999999</v>
      </c>
      <c r="G38" s="66">
        <v>0</v>
      </c>
      <c r="H38" s="66">
        <v>427.77100000000002</v>
      </c>
    </row>
    <row r="39" spans="1:8">
      <c r="A39" s="58" t="s">
        <v>336</v>
      </c>
      <c r="B39" s="66">
        <v>-3.3117200000000002</v>
      </c>
      <c r="C39" s="66">
        <v>22.529599999999999</v>
      </c>
      <c r="D39" s="66">
        <v>-6.8029999999999999</v>
      </c>
      <c r="E39" s="66">
        <v>0</v>
      </c>
      <c r="F39" s="66">
        <v>-15.522500000000001</v>
      </c>
      <c r="G39" s="66">
        <v>0</v>
      </c>
      <c r="H39" s="66">
        <v>103.381</v>
      </c>
    </row>
    <row r="40" spans="1:8">
      <c r="A40" s="58" t="s">
        <v>337</v>
      </c>
      <c r="B40" s="66">
        <v>-2.2902100000000001</v>
      </c>
      <c r="C40" s="66">
        <v>1.9560299999999999</v>
      </c>
      <c r="D40" s="66">
        <v>-0.85408600000000001</v>
      </c>
      <c r="E40" s="66">
        <v>0</v>
      </c>
      <c r="F40" s="66">
        <v>-4.5973699999999997</v>
      </c>
      <c r="G40" s="66">
        <v>0</v>
      </c>
      <c r="H40" s="66">
        <v>6.4968000000000004</v>
      </c>
    </row>
    <row r="41" spans="1:8">
      <c r="A41" s="58" t="s">
        <v>338</v>
      </c>
      <c r="B41" s="66">
        <v>-0.167488</v>
      </c>
      <c r="C41" s="66">
        <v>0.44488100000000003</v>
      </c>
      <c r="D41" s="66">
        <v>-2.6562000000000001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-0.14891799999999999</v>
      </c>
      <c r="C42" s="66">
        <v>0.23569000000000001</v>
      </c>
      <c r="D42" s="66">
        <v>-1.5826800000000001</v>
      </c>
      <c r="E42" s="66">
        <v>0</v>
      </c>
      <c r="F42" s="66">
        <v>-0.54515800000000003</v>
      </c>
      <c r="G42" s="66">
        <v>0</v>
      </c>
      <c r="H42" s="66">
        <v>0.46373599999999998</v>
      </c>
    </row>
    <row r="43" spans="1:8">
      <c r="A43" s="58" t="s">
        <v>340</v>
      </c>
      <c r="B43" s="66">
        <v>-7.2938000000000003E-2</v>
      </c>
      <c r="C43" s="66">
        <v>2.8727800000000001E-2</v>
      </c>
      <c r="D43" s="66">
        <v>-0.39386599999999999</v>
      </c>
      <c r="E43" s="66">
        <v>0</v>
      </c>
      <c r="F43" s="66">
        <v>-0.13275400000000001</v>
      </c>
      <c r="G43" s="66">
        <v>0</v>
      </c>
      <c r="H43" s="66">
        <v>1.30004E-2</v>
      </c>
    </row>
    <row r="44" spans="1:8">
      <c r="A44" s="58" t="s">
        <v>341</v>
      </c>
      <c r="B44" s="66">
        <v>-40.132800000000003</v>
      </c>
      <c r="C44" s="66">
        <v>23.297799999999999</v>
      </c>
      <c r="D44" s="66">
        <v>-0.58051699999999995</v>
      </c>
      <c r="E44" s="66">
        <v>0</v>
      </c>
      <c r="F44" s="66">
        <v>-76.818399999999997</v>
      </c>
      <c r="G44" s="66">
        <v>0</v>
      </c>
      <c r="H44" s="66">
        <v>85.338999999999999</v>
      </c>
    </row>
    <row r="45" spans="1:8">
      <c r="A45" s="58" t="s">
        <v>342</v>
      </c>
      <c r="B45" s="66">
        <v>59.331200000000003</v>
      </c>
      <c r="C45" s="66">
        <v>9.0561299999999996</v>
      </c>
      <c r="D45" s="66">
        <v>0.15263699999999999</v>
      </c>
      <c r="E45" s="66">
        <v>0</v>
      </c>
      <c r="F45" s="66">
        <v>36.896500000000003</v>
      </c>
      <c r="G45" s="66">
        <v>0</v>
      </c>
      <c r="H45" s="66">
        <v>96.831900000000005</v>
      </c>
    </row>
    <row r="46" spans="1:8">
      <c r="A46" s="58" t="s">
        <v>343</v>
      </c>
      <c r="B46" s="66">
        <v>48.139400000000002</v>
      </c>
      <c r="C46" s="66">
        <v>11.6082</v>
      </c>
      <c r="D46" s="66">
        <v>0.24113699999999999</v>
      </c>
      <c r="E46" s="66">
        <v>0</v>
      </c>
      <c r="F46" s="66">
        <v>15.3581</v>
      </c>
      <c r="G46" s="66">
        <v>0</v>
      </c>
      <c r="H46" s="66">
        <v>52.891599999999997</v>
      </c>
    </row>
    <row r="47" spans="1:8">
      <c r="A47" s="58" t="s">
        <v>344</v>
      </c>
      <c r="B47" s="66">
        <v>0.71211899999999995</v>
      </c>
      <c r="C47" s="66">
        <v>0.22574</v>
      </c>
      <c r="D47" s="66">
        <v>0.31699699999999997</v>
      </c>
      <c r="E47" s="66">
        <v>0</v>
      </c>
      <c r="F47" s="66">
        <v>0.25232199999999999</v>
      </c>
      <c r="G47" s="66">
        <v>0</v>
      </c>
      <c r="H47" s="66">
        <v>1.90184</v>
      </c>
    </row>
    <row r="48" spans="1:8">
      <c r="A48" s="58" t="s">
        <v>345</v>
      </c>
      <c r="B48" s="66">
        <v>0.70084500000000005</v>
      </c>
      <c r="C48" s="66">
        <v>0.13409399999999999</v>
      </c>
      <c r="D48" s="66">
        <v>0.191332</v>
      </c>
      <c r="E48" s="66">
        <v>0</v>
      </c>
      <c r="F48" s="66">
        <v>0.42390499999999998</v>
      </c>
      <c r="G48" s="66">
        <v>0</v>
      </c>
      <c r="H48" s="66">
        <v>0.937585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27.636200000000002</v>
      </c>
      <c r="C5" s="66">
        <f>'M2'!C5-'M1'!C5</f>
        <v>-3.8311600000000006</v>
      </c>
      <c r="D5" s="66">
        <f>'M2'!D5-'M1'!D5</f>
        <v>-21.194699999999997</v>
      </c>
      <c r="E5" s="66">
        <f>'M2'!E5-'M1'!E5</f>
        <v>0</v>
      </c>
      <c r="F5" s="66">
        <f>'M2'!F5-'M1'!F5</f>
        <v>27.644300000000001</v>
      </c>
      <c r="G5" s="66">
        <f>'M2'!G5-'M1'!G5</f>
        <v>0</v>
      </c>
      <c r="H5" s="66">
        <f>'M2'!H5-'M1'!H5</f>
        <v>5.2574999999999932</v>
      </c>
    </row>
    <row r="6" spans="1:8">
      <c r="A6" s="66" t="s">
        <v>244</v>
      </c>
      <c r="B6" s="66">
        <f>'M2'!B6-'M1'!B6</f>
        <v>1.8001000000000005</v>
      </c>
      <c r="C6" s="66">
        <f>'M2'!C6-'M1'!C6</f>
        <v>1.0058199999999995</v>
      </c>
      <c r="D6" s="66">
        <f>'M2'!D6-'M1'!D6</f>
        <v>1.5619899999999998</v>
      </c>
      <c r="E6" s="66">
        <f>'M2'!E6-'M1'!E6</f>
        <v>0</v>
      </c>
      <c r="F6" s="66">
        <f>'M2'!F6-'M1'!F6</f>
        <v>2.6154000000000011</v>
      </c>
      <c r="G6" s="66">
        <f>'M2'!G6-'M1'!G6</f>
        <v>0</v>
      </c>
      <c r="H6" s="66">
        <f>'M2'!H6-'M1'!H6</f>
        <v>3.4984999999999999</v>
      </c>
    </row>
    <row r="7" spans="1:8">
      <c r="A7" s="66" t="s">
        <v>245</v>
      </c>
      <c r="B7" s="66">
        <f>'M2'!B7-'M1'!B7</f>
        <v>-1.4265000000000008</v>
      </c>
      <c r="C7" s="66">
        <f>'M2'!C7-'M1'!C7</f>
        <v>-1.7373500000000002</v>
      </c>
      <c r="D7" s="66">
        <f>'M2'!D7-'M1'!D7</f>
        <v>-4.746699999999997</v>
      </c>
      <c r="E7" s="66">
        <f>'M2'!E7-'M1'!E7</f>
        <v>0</v>
      </c>
      <c r="F7" s="66">
        <f>'M2'!F7-'M1'!F7</f>
        <v>-1.758700000000001</v>
      </c>
      <c r="G7" s="66">
        <f>'M2'!G7-'M1'!G7</f>
        <v>0</v>
      </c>
      <c r="H7" s="66">
        <f>'M2'!H7-'M1'!H7</f>
        <v>-9.3048000000000002</v>
      </c>
    </row>
    <row r="8" spans="1:8">
      <c r="A8" s="66" t="s">
        <v>246</v>
      </c>
      <c r="B8" s="66">
        <f>'M2'!B8-'M1'!B8</f>
        <v>7.8798999999999992</v>
      </c>
      <c r="C8" s="66">
        <f>'M2'!C8-'M1'!C8</f>
        <v>-1.069</v>
      </c>
      <c r="D8" s="66">
        <f>'M2'!D8-'M1'!D8</f>
        <v>-3.9658900000000008</v>
      </c>
      <c r="E8" s="66">
        <f>'M2'!E8-'M1'!E8</f>
        <v>0</v>
      </c>
      <c r="F8" s="66">
        <f>'M2'!F8-'M1'!F8</f>
        <v>8.9343999999999966</v>
      </c>
      <c r="G8" s="66">
        <f>'M2'!G8-'M1'!G8</f>
        <v>0</v>
      </c>
      <c r="H8" s="66">
        <f>'M2'!H8-'M1'!H8</f>
        <v>3.5795999999999992</v>
      </c>
    </row>
    <row r="9" spans="1:8">
      <c r="A9" s="66" t="s">
        <v>247</v>
      </c>
      <c r="B9" s="66">
        <f>'M2'!B9-'M1'!B9</f>
        <v>-19.788799999999995</v>
      </c>
      <c r="C9" s="66">
        <f>'M2'!C9-'M1'!C9</f>
        <v>-7.7560300000000009</v>
      </c>
      <c r="D9" s="66">
        <f>'M2'!D9-'M1'!D9</f>
        <v>-11.65377</v>
      </c>
      <c r="E9" s="66">
        <f>'M2'!E9-'M1'!E9</f>
        <v>0</v>
      </c>
      <c r="F9" s="66">
        <f>'M2'!F9-'M1'!F9</f>
        <v>-9.3122999999999969</v>
      </c>
      <c r="G9" s="66">
        <f>'M2'!G9-'M1'!G9</f>
        <v>0</v>
      </c>
      <c r="H9" s="66">
        <f>'M2'!H9-'M1'!H9</f>
        <v>-41.788699999999992</v>
      </c>
    </row>
    <row r="10" spans="1:8">
      <c r="A10" s="66" t="s">
        <v>248</v>
      </c>
      <c r="B10" s="66">
        <f>'M2'!B10-'M1'!B10</f>
        <v>-5.2841999999999985</v>
      </c>
      <c r="C10" s="66">
        <f>'M2'!C10-'M1'!C10</f>
        <v>-4.0180800000000003</v>
      </c>
      <c r="D10" s="66">
        <f>'M2'!D10-'M1'!D10</f>
        <v>-7.251100000000001</v>
      </c>
      <c r="E10" s="66">
        <f>'M2'!E10-'M1'!E10</f>
        <v>0</v>
      </c>
      <c r="F10" s="66">
        <f>'M2'!F10-'M1'!F10</f>
        <v>-3.2408000000000001</v>
      </c>
      <c r="G10" s="66">
        <f>'M2'!G10-'M1'!G10</f>
        <v>0</v>
      </c>
      <c r="H10" s="66">
        <f>'M2'!H10-'M1'!H10</f>
        <v>-13.215499999999999</v>
      </c>
    </row>
    <row r="11" spans="1:8">
      <c r="A11" s="66" t="s">
        <v>249</v>
      </c>
      <c r="B11" s="66">
        <f>'M2'!B11-'M1'!B11</f>
        <v>9.988900000000001</v>
      </c>
      <c r="C11" s="66">
        <f>'M2'!C11-'M1'!C11</f>
        <v>-2.9273499999999997</v>
      </c>
      <c r="D11" s="66">
        <f>'M2'!D11-'M1'!D11</f>
        <v>-30.942869999999999</v>
      </c>
      <c r="E11" s="66">
        <f>'M2'!E11-'M1'!E11</f>
        <v>0</v>
      </c>
      <c r="F11" s="66">
        <f>'M2'!F11-'M1'!F11</f>
        <v>11.586130000000001</v>
      </c>
      <c r="G11" s="66">
        <f>'M2'!G11-'M1'!G11</f>
        <v>0</v>
      </c>
      <c r="H11" s="66">
        <f>'M2'!H11-'M1'!H11</f>
        <v>2.7201000000000022</v>
      </c>
    </row>
    <row r="12" spans="1:8">
      <c r="A12" s="66" t="s">
        <v>250</v>
      </c>
      <c r="B12" s="66">
        <f>'M2'!B12-'M1'!B12</f>
        <v>-13.930700000000002</v>
      </c>
      <c r="C12" s="66">
        <f>'M2'!C12-'M1'!C12</f>
        <v>-5.9695100000000005</v>
      </c>
      <c r="D12" s="66">
        <f>'M2'!D12-'M1'!D12</f>
        <v>-9.5753899999999987</v>
      </c>
      <c r="E12" s="66">
        <f>'M2'!E12-'M1'!E12</f>
        <v>0</v>
      </c>
      <c r="F12" s="66">
        <f>'M2'!F12-'M1'!F12</f>
        <v>-8.8964999999999996</v>
      </c>
      <c r="G12" s="66">
        <f>'M2'!G12-'M1'!G12</f>
        <v>0</v>
      </c>
      <c r="H12" s="66">
        <f>'M2'!H12-'M1'!H12</f>
        <v>-27.065499999999993</v>
      </c>
    </row>
    <row r="13" spans="1:8">
      <c r="A13" s="66" t="s">
        <v>251</v>
      </c>
      <c r="B13" s="66">
        <f>'M2'!B13-'M1'!B13</f>
        <v>1.2947000000000024</v>
      </c>
      <c r="C13" s="66">
        <f>'M2'!C13-'M1'!C13</f>
        <v>-1.5604799999999996</v>
      </c>
      <c r="D13" s="66">
        <f>'M2'!D13-'M1'!D13</f>
        <v>-9.0363999999999987</v>
      </c>
      <c r="E13" s="66">
        <f>'M2'!E13-'M1'!E13</f>
        <v>0</v>
      </c>
      <c r="F13" s="66">
        <f>'M2'!F13-'M1'!F13</f>
        <v>2.3945999999999987</v>
      </c>
      <c r="G13" s="66">
        <f>'M2'!G13-'M1'!G13</f>
        <v>0</v>
      </c>
      <c r="H13" s="66">
        <f>'M2'!H13-'M1'!H13</f>
        <v>-2.9773999999999994</v>
      </c>
    </row>
    <row r="14" spans="1:8">
      <c r="A14" s="66" t="s">
        <v>252</v>
      </c>
      <c r="B14" s="66">
        <f>'M2'!B14-'M1'!B14</f>
        <v>-15.604800000000001</v>
      </c>
      <c r="C14" s="66">
        <f>'M2'!C14-'M1'!C14</f>
        <v>-8.2000000000004292E-3</v>
      </c>
      <c r="D14" s="66">
        <f>'M2'!D14-'M1'!D14</f>
        <v>25.289000000000001</v>
      </c>
      <c r="E14" s="66">
        <f>'M2'!E14-'M1'!E14</f>
        <v>0</v>
      </c>
      <c r="F14" s="66">
        <f>'M2'!F14-'M1'!F14</f>
        <v>1.2371829999999999</v>
      </c>
      <c r="G14" s="66">
        <f>'M2'!G14-'M1'!G14</f>
        <v>0</v>
      </c>
      <c r="H14" s="66">
        <f>'M2'!H14-'M1'!H14</f>
        <v>-2.5356000000000023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0.23275999999999999</v>
      </c>
      <c r="C18" s="66">
        <f>'M2'!C18-'M1'!C18</f>
        <v>4.7035399999999998E-2</v>
      </c>
      <c r="D18" s="66">
        <f>'M2'!D18-'M1'!D18</f>
        <v>0.13779</v>
      </c>
      <c r="E18" s="66">
        <f>'M2'!E18-'M1'!E18</f>
        <v>0</v>
      </c>
      <c r="F18" s="66">
        <f>'M2'!F18-'M1'!F18</f>
        <v>0.29432000000000003</v>
      </c>
      <c r="G18" s="66">
        <f>'M2'!G18-'M1'!G18</f>
        <v>0</v>
      </c>
      <c r="H18" s="66">
        <f>'M2'!H18-'M1'!H18</f>
        <v>0.38839099999999999</v>
      </c>
    </row>
    <row r="19" spans="1:8">
      <c r="A19" s="66" t="s">
        <v>256</v>
      </c>
      <c r="B19" s="66">
        <f>'M2'!B19-'M1'!B19</f>
        <v>0.22371200000000002</v>
      </c>
      <c r="C19" s="66">
        <f>'M2'!C19-'M1'!C19</f>
        <v>8.9266499999999999E-2</v>
      </c>
      <c r="D19" s="66">
        <f>'M2'!D19-'M1'!D19</f>
        <v>0.12239</v>
      </c>
      <c r="E19" s="66">
        <f>'M2'!E19-'M1'!E19</f>
        <v>0</v>
      </c>
      <c r="F19" s="66">
        <f>'M2'!F19-'M1'!F19</f>
        <v>0.64009499999999997</v>
      </c>
      <c r="G19" s="66">
        <f>'M2'!G19-'M1'!G19</f>
        <v>0</v>
      </c>
      <c r="H19" s="66">
        <f>'M2'!H19-'M1'!H19</f>
        <v>0.81862699999999999</v>
      </c>
    </row>
    <row r="20" spans="1:8">
      <c r="A20" s="66" t="s">
        <v>63</v>
      </c>
      <c r="B20" s="66">
        <f>'M2'!B20-'M1'!B20</f>
        <v>-2.5699999999998754E-8</v>
      </c>
      <c r="C20" s="66">
        <f>'M2'!C20-'M1'!C20</f>
        <v>1.4213000000000003E-3</v>
      </c>
      <c r="D20" s="66">
        <f>'M2'!D20-'M1'!D20</f>
        <v>54.662000000000035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-4.4453999999999994E-2</v>
      </c>
    </row>
    <row r="21" spans="1:8">
      <c r="A21" s="66" t="s">
        <v>64</v>
      </c>
      <c r="B21" s="66">
        <f>'M2'!B21-'M1'!B21</f>
        <v>5.3019999999999803E-4</v>
      </c>
      <c r="C21" s="66">
        <f>'M2'!C21-'M1'!C21</f>
        <v>2.5486300000000003E-2</v>
      </c>
      <c r="D21" s="66">
        <f>'M2'!D21-'M1'!D21</f>
        <v>1.1868499999999997</v>
      </c>
      <c r="E21" s="66">
        <f>'M2'!E21-'M1'!E21</f>
        <v>0</v>
      </c>
      <c r="F21" s="66">
        <f>'M2'!F21-'M1'!F21</f>
        <v>2.8467100000000001E-5</v>
      </c>
      <c r="G21" s="66">
        <f>'M2'!G21-'M1'!G21</f>
        <v>0</v>
      </c>
      <c r="H21" s="66">
        <f>'M2'!H21-'M1'!H21</f>
        <v>0.12570799999999999</v>
      </c>
    </row>
    <row r="22" spans="1:8">
      <c r="A22" s="66" t="s">
        <v>65</v>
      </c>
      <c r="B22" s="66">
        <f>'M2'!B22-'M1'!B22</f>
        <v>6.8114999999999988</v>
      </c>
      <c r="C22" s="66">
        <f>'M2'!C22-'M1'!C22</f>
        <v>8.0388999999999982</v>
      </c>
      <c r="D22" s="66">
        <f>'M2'!D22-'M1'!D22</f>
        <v>0.1107760000000001</v>
      </c>
      <c r="E22" s="66">
        <f>'M2'!E22-'M1'!E22</f>
        <v>0</v>
      </c>
      <c r="F22" s="66">
        <f>'M2'!F22-'M1'!F22</f>
        <v>1.2862999999999989</v>
      </c>
      <c r="G22" s="66">
        <f>'M2'!G22-'M1'!G22</f>
        <v>0</v>
      </c>
      <c r="H22" s="66">
        <f>'M2'!H22-'M1'!H22</f>
        <v>22.103999999999999</v>
      </c>
    </row>
    <row r="23" spans="1:8">
      <c r="A23" s="66" t="s">
        <v>66</v>
      </c>
      <c r="B23" s="66">
        <f>'M2'!B23-'M1'!B23</f>
        <v>14.615000000000002</v>
      </c>
      <c r="C23" s="66">
        <f>'M2'!C23-'M1'!C23</f>
        <v>-1.2851300000000001</v>
      </c>
      <c r="D23" s="66">
        <f>'M2'!D23-'M1'!D23</f>
        <v>-0.23906899999999998</v>
      </c>
      <c r="E23" s="66">
        <f>'M2'!E23-'M1'!E23</f>
        <v>0</v>
      </c>
      <c r="F23" s="66">
        <f>'M2'!F23-'M1'!F23</f>
        <v>12.085389999999999</v>
      </c>
      <c r="G23" s="66">
        <f>'M2'!G23-'M1'!G23</f>
        <v>0</v>
      </c>
      <c r="H23" s="66">
        <f>'M2'!H23-'M1'!H23</f>
        <v>10.252800000000001</v>
      </c>
    </row>
    <row r="24" spans="1:8">
      <c r="A24" s="66" t="s">
        <v>67</v>
      </c>
      <c r="B24" s="66">
        <f>'M2'!B24-'M1'!B24</f>
        <v>8.2243999999999994E-5</v>
      </c>
      <c r="C24" s="66">
        <f>'M2'!C24-'M1'!C24</f>
        <v>1.1576399999999997E-3</v>
      </c>
      <c r="D24" s="66">
        <f>'M2'!D24-'M1'!D24</f>
        <v>-23.345700000000001</v>
      </c>
      <c r="E24" s="66">
        <f>'M2'!E24-'M1'!E24</f>
        <v>0</v>
      </c>
      <c r="F24" s="66">
        <f>'M2'!F24-'M1'!F24</f>
        <v>1.7199519999999998E-7</v>
      </c>
      <c r="G24" s="66">
        <f>'M2'!G24-'M1'!G24</f>
        <v>0</v>
      </c>
      <c r="H24" s="66">
        <f>'M2'!H24-'M1'!H24</f>
        <v>-4.2859000000000022E-3</v>
      </c>
    </row>
    <row r="25" spans="1:8">
      <c r="A25" s="66" t="s">
        <v>68</v>
      </c>
      <c r="B25" s="66">
        <f>'M2'!B25-'M1'!B25</f>
        <v>1.2608500000000002E-2</v>
      </c>
      <c r="C25" s="66">
        <f>'M2'!C25-'M1'!C25</f>
        <v>1.0209900000000001E-2</v>
      </c>
      <c r="D25" s="66">
        <f>'M2'!D25-'M1'!D25</f>
        <v>2.2100000000000009E-2</v>
      </c>
      <c r="E25" s="66">
        <f>'M2'!E25-'M1'!E25</f>
        <v>0</v>
      </c>
      <c r="F25" s="66">
        <f>'M2'!F25-'M1'!F25</f>
        <v>2.2982499999999999E-3</v>
      </c>
      <c r="G25" s="66">
        <f>'M2'!G25-'M1'!G25</f>
        <v>0</v>
      </c>
      <c r="H25" s="66">
        <f>'M2'!H25-'M1'!H25</f>
        <v>5.7486999999999996E-2</v>
      </c>
    </row>
    <row r="26" spans="1:8">
      <c r="A26" s="66" t="s">
        <v>69</v>
      </c>
      <c r="B26" s="66">
        <f>'M2'!B26-'M1'!B26</f>
        <v>0</v>
      </c>
      <c r="C26" s="66">
        <f>'M2'!C26-'M1'!C26</f>
        <v>1.3744400000000002E-4</v>
      </c>
      <c r="D26" s="66">
        <f>'M2'!D26-'M1'!D26</f>
        <v>13.957000000000008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-1.5165500000000002E-3</v>
      </c>
    </row>
    <row r="27" spans="1:8">
      <c r="A27" s="66" t="s">
        <v>70</v>
      </c>
      <c r="B27" s="66">
        <f>'M2'!B27-'M1'!B27</f>
        <v>0</v>
      </c>
      <c r="C27" s="66">
        <f>'M2'!C27-'M1'!C27</f>
        <v>1.0916099999999998E-4</v>
      </c>
      <c r="D27" s="66">
        <f>'M2'!D27-'M1'!D27</f>
        <v>0</v>
      </c>
      <c r="E27" s="66">
        <f>'M2'!E27-'M1'!E27</f>
        <v>0</v>
      </c>
      <c r="F27" s="66">
        <f>'M2'!F27-'M1'!F27</f>
        <v>-2.7573000000000007E-4</v>
      </c>
      <c r="G27" s="66">
        <f>'M2'!G27-'M1'!G27</f>
        <v>0</v>
      </c>
      <c r="H27" s="66">
        <f>'M2'!H27-'M1'!H27</f>
        <v>-1.6413000000000018E-4</v>
      </c>
    </row>
    <row r="28" spans="1:8">
      <c r="A28" s="66" t="s">
        <v>71</v>
      </c>
      <c r="B28" s="66">
        <f>'M2'!B28-'M1'!B28</f>
        <v>1.6765000000000009E-4</v>
      </c>
      <c r="C28" s="66">
        <f>'M2'!C28-'M1'!C28</f>
        <v>1.3110400000000003E-3</v>
      </c>
      <c r="D28" s="66">
        <f>'M2'!D28-'M1'!D28</f>
        <v>0.24879999999999991</v>
      </c>
      <c r="E28" s="66">
        <f>'M2'!E28-'M1'!E28</f>
        <v>0</v>
      </c>
      <c r="F28" s="66">
        <f>'M2'!F28-'M1'!F28</f>
        <v>3.25521E-6</v>
      </c>
      <c r="G28" s="66">
        <f>'M2'!G28-'M1'!G28</f>
        <v>0</v>
      </c>
      <c r="H28" s="66">
        <f>'M2'!H28-'M1'!H28</f>
        <v>1.5530600000000002E-2</v>
      </c>
    </row>
    <row r="29" spans="1:8">
      <c r="A29" s="66" t="s">
        <v>72</v>
      </c>
      <c r="B29" s="66">
        <f>'M2'!B29-'M1'!B29</f>
        <v>0.68430000000000746</v>
      </c>
      <c r="C29" s="66">
        <f>'M2'!C29-'M1'!C29</f>
        <v>1.7392000000000003</v>
      </c>
      <c r="D29" s="66">
        <f>'M2'!D29-'M1'!D29</f>
        <v>2.2724999999999995E-2</v>
      </c>
      <c r="E29" s="66">
        <f>'M2'!E29-'M1'!E29</f>
        <v>0</v>
      </c>
      <c r="F29" s="66">
        <f>'M2'!F29-'M1'!F29</f>
        <v>5.6106000000000051</v>
      </c>
      <c r="G29" s="66">
        <f>'M2'!G29-'M1'!G29</f>
        <v>0</v>
      </c>
      <c r="H29" s="66">
        <f>'M2'!H29-'M1'!H29</f>
        <v>2.7759999999999962</v>
      </c>
    </row>
    <row r="30" spans="1:8">
      <c r="A30" s="66" t="s">
        <v>73</v>
      </c>
      <c r="B30" s="66">
        <f>'M2'!B30-'M1'!B30</f>
        <v>17.987500000000004</v>
      </c>
      <c r="C30" s="66">
        <f>'M2'!C30-'M1'!C30</f>
        <v>-4.9199099999999998</v>
      </c>
      <c r="D30" s="66">
        <f>'M2'!D30-'M1'!D30</f>
        <v>-0.3362098</v>
      </c>
      <c r="E30" s="66">
        <f>'M2'!E30-'M1'!E30</f>
        <v>0</v>
      </c>
      <c r="F30" s="66">
        <f>'M2'!F30-'M1'!F30</f>
        <v>12.694400000000002</v>
      </c>
      <c r="G30" s="66">
        <f>'M2'!G30-'M1'!G30</f>
        <v>0</v>
      </c>
      <c r="H30" s="66">
        <f>'M2'!H30-'M1'!H30</f>
        <v>4.8002000000000038</v>
      </c>
    </row>
    <row r="31" spans="1:8">
      <c r="A31" s="66" t="s">
        <v>74</v>
      </c>
      <c r="B31" s="66">
        <f>'M2'!B31-'M1'!B31</f>
        <v>98.152999999999992</v>
      </c>
      <c r="C31" s="66">
        <f>'M2'!C31-'M1'!C31</f>
        <v>0.82699999999999818</v>
      </c>
      <c r="D31" s="66">
        <f>'M2'!D31-'M1'!D31</f>
        <v>-0.11976400000000004</v>
      </c>
      <c r="E31" s="66">
        <f>'M2'!E31-'M1'!E31</f>
        <v>0</v>
      </c>
      <c r="F31" s="66">
        <f>'M2'!F31-'M1'!F31</f>
        <v>81.566499999999991</v>
      </c>
      <c r="G31" s="66">
        <f>'M2'!G31-'M1'!G31</f>
        <v>0</v>
      </c>
      <c r="H31" s="66">
        <f>'M2'!H31-'M1'!H31</f>
        <v>97.60899999999998</v>
      </c>
    </row>
    <row r="32" spans="1:8">
      <c r="A32" s="66" t="s">
        <v>75</v>
      </c>
      <c r="B32" s="66">
        <f>'M2'!B32-'M1'!B32</f>
        <v>-1.4265000000000028E-2</v>
      </c>
      <c r="C32" s="66">
        <f>'M2'!C32-'M1'!C32</f>
        <v>-1.73735E-2</v>
      </c>
      <c r="D32" s="66">
        <f>'M2'!D32-'M1'!D32</f>
        <v>-4.7467000000000009E-2</v>
      </c>
      <c r="E32" s="66">
        <f>'M2'!E32-'M1'!E32</f>
        <v>0</v>
      </c>
      <c r="F32" s="66">
        <f>'M2'!F32-'M1'!F32</f>
        <v>-1.7586999999999992E-2</v>
      </c>
      <c r="G32" s="66">
        <f>'M2'!G32-'M1'!G32</f>
        <v>0</v>
      </c>
      <c r="H32" s="66">
        <f>'M2'!H32-'M1'!H32</f>
        <v>-9.304800000000002E-2</v>
      </c>
    </row>
    <row r="33" spans="1:8">
      <c r="A33" s="66" t="s">
        <v>76</v>
      </c>
      <c r="B33" s="66">
        <f>'M2'!B33-'M1'!B33</f>
        <v>0.13589299999999999</v>
      </c>
      <c r="C33" s="66">
        <f>'M2'!C33-'M1'!C33</f>
        <v>-6.2019099999999994E-2</v>
      </c>
      <c r="D33" s="66">
        <f>'M2'!D33-'M1'!D33</f>
        <v>-0.23469510000000002</v>
      </c>
      <c r="E33" s="66">
        <f>'M2'!E33-'M1'!E33</f>
        <v>0</v>
      </c>
      <c r="F33" s="66">
        <f>'M2'!F33-'M1'!F33</f>
        <v>0.130469</v>
      </c>
      <c r="G33" s="66">
        <f>'M2'!G33-'M1'!G33</f>
        <v>0</v>
      </c>
      <c r="H33" s="66">
        <f>'M2'!H33-'M1'!H33</f>
        <v>4.4830000000000148E-3</v>
      </c>
    </row>
    <row r="34" spans="1:8">
      <c r="A34" s="66" t="s">
        <v>77</v>
      </c>
      <c r="B34" s="66">
        <f>'M2'!B34-'M1'!B34</f>
        <v>1.2947000000000014E-2</v>
      </c>
      <c r="C34" s="66">
        <f>'M2'!C34-'M1'!C34</f>
        <v>-1.5604800000000002E-2</v>
      </c>
      <c r="D34" s="66">
        <f>'M2'!D34-'M1'!D34</f>
        <v>-9.0364E-2</v>
      </c>
      <c r="E34" s="66">
        <f>'M2'!E34-'M1'!E34</f>
        <v>0</v>
      </c>
      <c r="F34" s="66">
        <f>'M2'!F34-'M1'!F34</f>
        <v>2.3945999999999995E-2</v>
      </c>
      <c r="G34" s="66">
        <f>'M2'!G34-'M1'!G34</f>
        <v>0</v>
      </c>
      <c r="H34" s="66">
        <f>'M2'!H34-'M1'!H34</f>
        <v>-2.9774000000000023E-2</v>
      </c>
    </row>
    <row r="35" spans="1:8">
      <c r="A35" s="66" t="s">
        <v>78</v>
      </c>
      <c r="B35" s="66">
        <f>'M2'!B35-'M1'!B35</f>
        <v>1.8667999999999879E-3</v>
      </c>
      <c r="C35" s="66">
        <f>'M2'!C35-'M1'!C35</f>
        <v>-6.7650999999999996E-3</v>
      </c>
      <c r="D35" s="66">
        <f>'M2'!D35-'M1'!D35</f>
        <v>-8.0474000000000018E-2</v>
      </c>
      <c r="E35" s="66">
        <f>'M2'!E35-'M1'!E35</f>
        <v>0</v>
      </c>
      <c r="F35" s="66">
        <f>'M2'!F35-'M1'!F35</f>
        <v>-1.9156199999999998E-2</v>
      </c>
      <c r="G35" s="66">
        <f>'M2'!G35-'M1'!G35</f>
        <v>0</v>
      </c>
      <c r="H35" s="66">
        <f>'M2'!H35-'M1'!H35</f>
        <v>-2.2375000000000006E-2</v>
      </c>
    </row>
    <row r="36" spans="1:8">
      <c r="A36" s="66" t="s">
        <v>79</v>
      </c>
      <c r="B36" s="66">
        <f>'M2'!B36-'M1'!B36</f>
        <v>1.1576000000000003E-2</v>
      </c>
      <c r="C36" s="66">
        <f>'M2'!C36-'M1'!C36</f>
        <v>-6.9643000000000066E-3</v>
      </c>
      <c r="D36" s="66">
        <f>'M2'!D36-'M1'!D36</f>
        <v>-7.9590999999999967E-2</v>
      </c>
      <c r="E36" s="66">
        <f>'M2'!E36-'M1'!E36</f>
        <v>0</v>
      </c>
      <c r="F36" s="66">
        <f>'M2'!F36-'M1'!F36</f>
        <v>-1.2021999999999936E-3</v>
      </c>
      <c r="G36" s="66">
        <f>'M2'!G36-'M1'!G36</f>
        <v>0</v>
      </c>
      <c r="H36" s="66">
        <f>'M2'!H36-'M1'!H36</f>
        <v>-0.14547699999999997</v>
      </c>
    </row>
    <row r="37" spans="1:8">
      <c r="A37" s="66" t="s">
        <v>80</v>
      </c>
      <c r="B37" s="66">
        <f>'M2'!B37-'M1'!B37</f>
        <v>-0.15604799999999999</v>
      </c>
      <c r="C37" s="66">
        <f>'M2'!C37-'M1'!C37</f>
        <v>-8.1999999999998741E-5</v>
      </c>
      <c r="D37" s="66">
        <f>'M2'!D37-'M1'!D37</f>
        <v>0.25288999999999995</v>
      </c>
      <c r="E37" s="66">
        <f>'M2'!E37-'M1'!E37</f>
        <v>0</v>
      </c>
      <c r="F37" s="66">
        <f>'M2'!F37-'M1'!F37</f>
        <v>1.237183E-2</v>
      </c>
      <c r="G37" s="66">
        <f>'M2'!G37-'M1'!G37</f>
        <v>0</v>
      </c>
      <c r="H37" s="66">
        <f>'M2'!H37-'M1'!H37</f>
        <v>-2.535599999999999E-2</v>
      </c>
    </row>
    <row r="38" spans="1:8">
      <c r="A38" s="66" t="s">
        <v>81</v>
      </c>
      <c r="B38" s="66">
        <f>'M2'!B38-'M1'!B38</f>
        <v>-10.81481</v>
      </c>
      <c r="C38" s="66">
        <f>'M2'!C38-'M1'!C38</f>
        <v>6.0030999999999892</v>
      </c>
      <c r="D38" s="66">
        <f>'M2'!D38-'M1'!D38</f>
        <v>28.77281</v>
      </c>
      <c r="E38" s="66">
        <f>'M2'!E38-'M1'!E38</f>
        <v>0</v>
      </c>
      <c r="F38" s="66">
        <f>'M2'!F38-'M1'!F38</f>
        <v>-22.757499999999993</v>
      </c>
      <c r="G38" s="66">
        <f>'M2'!G38-'M1'!G38</f>
        <v>0</v>
      </c>
      <c r="H38" s="66">
        <f>'M2'!H38-'M1'!H38</f>
        <v>-35.559000000000026</v>
      </c>
    </row>
    <row r="39" spans="1:8">
      <c r="A39" s="66" t="s">
        <v>82</v>
      </c>
      <c r="B39" s="66">
        <f>'M2'!B39-'M1'!B39</f>
        <v>2.1745299999999999</v>
      </c>
      <c r="C39" s="66">
        <f>'M2'!C39-'M1'!C39</f>
        <v>9.2301000000000002</v>
      </c>
      <c r="D39" s="66">
        <f>'M2'!D39-'M1'!D39</f>
        <v>-10.324120000000001</v>
      </c>
      <c r="E39" s="66">
        <f>'M2'!E39-'M1'!E39</f>
        <v>0</v>
      </c>
      <c r="F39" s="66">
        <f>'M2'!F39-'M1'!F39</f>
        <v>-3.2258000000000013</v>
      </c>
      <c r="G39" s="66">
        <f>'M2'!G39-'M1'!G39</f>
        <v>0</v>
      </c>
      <c r="H39" s="66">
        <f>'M2'!H39-'M1'!H39</f>
        <v>36.535700000000006</v>
      </c>
    </row>
    <row r="40" spans="1:8">
      <c r="A40" s="66" t="s">
        <v>83</v>
      </c>
      <c r="B40" s="66">
        <f>'M2'!B40-'M1'!B40</f>
        <v>-0.88804999999999978</v>
      </c>
      <c r="C40" s="66">
        <f>'M2'!C40-'M1'!C40</f>
        <v>1.6567469999999997</v>
      </c>
      <c r="D40" s="66">
        <f>'M2'!D40-'M1'!D40</f>
        <v>-0.43826399999999999</v>
      </c>
      <c r="E40" s="66">
        <f>'M2'!E40-'M1'!E40</f>
        <v>0</v>
      </c>
      <c r="F40" s="66">
        <f>'M2'!F40-'M1'!F40</f>
        <v>-1.1405799999999999</v>
      </c>
      <c r="G40" s="66">
        <f>'M2'!G40-'M1'!G40</f>
        <v>0</v>
      </c>
      <c r="H40" s="66">
        <f>'M2'!H40-'M1'!H40</f>
        <v>5.4867100000000004</v>
      </c>
    </row>
    <row r="41" spans="1:8">
      <c r="A41" s="66" t="s">
        <v>84</v>
      </c>
      <c r="B41" s="66">
        <f>'M2'!B41-'M1'!B41</f>
        <v>-0.10322799999999999</v>
      </c>
      <c r="C41" s="66">
        <f>'M2'!C41-'M1'!C41</f>
        <v>-6.0460000000000014E-2</v>
      </c>
      <c r="D41" s="66">
        <f>'M2'!D41-'M1'!D41</f>
        <v>2.5750500000000001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4.7632999999999995E-2</v>
      </c>
      <c r="C42" s="66">
        <f>'M2'!C42-'M1'!C42</f>
        <v>5.5545999999999984E-2</v>
      </c>
      <c r="D42" s="66">
        <f>'M2'!D42-'M1'!D42</f>
        <v>-0.98912</v>
      </c>
      <c r="E42" s="66">
        <f>'M2'!E42-'M1'!E42</f>
        <v>0</v>
      </c>
      <c r="F42" s="66">
        <f>'M2'!F42-'M1'!F42</f>
        <v>-6.740700000000005E-2</v>
      </c>
      <c r="G42" s="66">
        <f>'M2'!G42-'M1'!G42</f>
        <v>0</v>
      </c>
      <c r="H42" s="66">
        <f>'M2'!H42-'M1'!H42</f>
        <v>-1.1269999999999891E-3</v>
      </c>
    </row>
    <row r="43" spans="1:8">
      <c r="A43" s="66" t="s">
        <v>86</v>
      </c>
      <c r="B43" s="66">
        <f>'M2'!B43-'M1'!B43</f>
        <v>1.3351999999999947E-3</v>
      </c>
      <c r="C43" s="66">
        <f>'M2'!C43-'M1'!C43</f>
        <v>-8.216099999999997E-3</v>
      </c>
      <c r="D43" s="66">
        <f>'M2'!D43-'M1'!D43</f>
        <v>0.10552500000000004</v>
      </c>
      <c r="E43" s="66">
        <f>'M2'!E43-'M1'!E43</f>
        <v>0</v>
      </c>
      <c r="F43" s="66">
        <f>'M2'!F43-'M1'!F43</f>
        <v>1.8550000000000011E-2</v>
      </c>
      <c r="G43" s="66">
        <f>'M2'!G43-'M1'!G43</f>
        <v>0</v>
      </c>
      <c r="H43" s="66">
        <f>'M2'!H43-'M1'!H43</f>
        <v>2.3744500000000002E-2</v>
      </c>
    </row>
    <row r="44" spans="1:8">
      <c r="A44" s="66" t="s">
        <v>87</v>
      </c>
      <c r="B44" s="66">
        <f>'M2'!B44-'M1'!B44</f>
        <v>-36.000799999999998</v>
      </c>
      <c r="C44" s="66">
        <f>'M2'!C44-'M1'!C44</f>
        <v>5.4365000000000006</v>
      </c>
      <c r="D44" s="66">
        <f>'M2'!D44-'M1'!D44</f>
        <v>0.20657499999999995</v>
      </c>
      <c r="E44" s="66">
        <f>'M2'!E44-'M1'!E44</f>
        <v>0</v>
      </c>
      <c r="F44" s="66">
        <f>'M2'!F44-'M1'!F44</f>
        <v>-33.569899999999997</v>
      </c>
      <c r="G44" s="66">
        <f>'M2'!G44-'M1'!G44</f>
        <v>0</v>
      </c>
      <c r="H44" s="66">
        <f>'M2'!H44-'M1'!H44</f>
        <v>77.02118999999999</v>
      </c>
    </row>
    <row r="45" spans="1:8">
      <c r="A45" s="66" t="s">
        <v>88</v>
      </c>
      <c r="B45" s="66">
        <f>'M2'!B45-'M1'!B45</f>
        <v>1.065800000000003</v>
      </c>
      <c r="C45" s="66">
        <f>'M2'!C45-'M1'!C45</f>
        <v>-2.7806400000000009</v>
      </c>
      <c r="D45" s="66">
        <f>'M2'!D45-'M1'!D45</f>
        <v>-4.9743999999999983E-2</v>
      </c>
      <c r="E45" s="66">
        <f>'M2'!E45-'M1'!E45</f>
        <v>0</v>
      </c>
      <c r="F45" s="66">
        <f>'M2'!F45-'M1'!F45</f>
        <v>2.5686999999999998</v>
      </c>
      <c r="G45" s="66">
        <f>'M2'!G45-'M1'!G45</f>
        <v>0</v>
      </c>
      <c r="H45" s="66">
        <f>'M2'!H45-'M1'!H45</f>
        <v>-20.004900000000006</v>
      </c>
    </row>
    <row r="46" spans="1:8">
      <c r="A46" s="66" t="s">
        <v>89</v>
      </c>
      <c r="B46" s="66">
        <f>'M2'!B46-'M1'!B46</f>
        <v>20.802300000000002</v>
      </c>
      <c r="C46" s="66">
        <f>'M2'!C46-'M1'!C46</f>
        <v>-8.6357999999999997</v>
      </c>
      <c r="D46" s="66">
        <f>'M2'!D46-'M1'!D46</f>
        <v>-0.31397839999999999</v>
      </c>
      <c r="E46" s="66">
        <f>'M2'!E46-'M1'!E46</f>
        <v>0</v>
      </c>
      <c r="F46" s="66">
        <f>'M2'!F46-'M1'!F46</f>
        <v>32.198999999999998</v>
      </c>
      <c r="G46" s="66">
        <f>'M2'!G46-'M1'!G46</f>
        <v>0</v>
      </c>
      <c r="H46" s="66">
        <f>'M2'!H46-'M1'!H46</f>
        <v>3.9554999999999936</v>
      </c>
    </row>
    <row r="47" spans="1:8">
      <c r="A47" s="66" t="s">
        <v>90</v>
      </c>
      <c r="B47" s="66">
        <f>'M2'!B47-'M1'!B47</f>
        <v>6.3799999999999413E-3</v>
      </c>
      <c r="C47" s="66">
        <f>'M2'!C47-'M1'!C47</f>
        <v>4.1741E-2</v>
      </c>
      <c r="D47" s="66">
        <f>'M2'!D47-'M1'!D47</f>
        <v>5.6006E-2</v>
      </c>
      <c r="E47" s="66">
        <f>'M2'!E47-'M1'!E47</f>
        <v>0</v>
      </c>
      <c r="F47" s="66">
        <f>'M2'!F47-'M1'!F47</f>
        <v>0.12092800000000004</v>
      </c>
      <c r="G47" s="66">
        <f>'M2'!G47-'M1'!G47</f>
        <v>0</v>
      </c>
      <c r="H47" s="66">
        <f>'M2'!H47-'M1'!H47</f>
        <v>0.64203999999999994</v>
      </c>
    </row>
    <row r="48" spans="1:8">
      <c r="A48" s="66" t="s">
        <v>91</v>
      </c>
      <c r="B48" s="66">
        <f>'M2'!B48-'M1'!B48</f>
        <v>0.22334399999999999</v>
      </c>
      <c r="C48" s="66">
        <f>'M2'!C48-'M1'!C48</f>
        <v>-2.8855499999999992E-2</v>
      </c>
      <c r="D48" s="66">
        <f>'M2'!D48-'M1'!D48</f>
        <v>-9.2696899999999985E-2</v>
      </c>
      <c r="E48" s="66">
        <f>'M2'!E48-'M1'!E48</f>
        <v>0</v>
      </c>
      <c r="F48" s="66">
        <f>'M2'!F48-'M1'!F48</f>
        <v>0.10738599999999998</v>
      </c>
      <c r="G48" s="66">
        <f>'M2'!G48-'M1'!G48</f>
        <v>0</v>
      </c>
      <c r="H48" s="66">
        <f>'M2'!H48-'M1'!H48</f>
        <v>0.17744599999999999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36.189399999999999</v>
      </c>
      <c r="C5" s="66">
        <v>12.6975</v>
      </c>
      <c r="D5" s="66">
        <v>35.086199999999998</v>
      </c>
      <c r="E5" s="66">
        <v>20</v>
      </c>
      <c r="F5" s="66">
        <v>17.620699999999999</v>
      </c>
      <c r="G5" s="66">
        <v>50</v>
      </c>
      <c r="H5" s="66">
        <v>65.872900000000001</v>
      </c>
    </row>
    <row r="6" spans="1:8">
      <c r="A6" s="66" t="s">
        <v>303</v>
      </c>
      <c r="B6" s="66">
        <v>55.410600000000002</v>
      </c>
      <c r="C6" s="66">
        <v>3.4535300000000002</v>
      </c>
      <c r="D6" s="66">
        <v>6.2326100000000002</v>
      </c>
      <c r="E6" s="66">
        <v>20</v>
      </c>
      <c r="F6" s="66">
        <v>45.714399999999998</v>
      </c>
      <c r="G6" s="66">
        <v>40</v>
      </c>
      <c r="H6" s="66">
        <v>60.942100000000003</v>
      </c>
    </row>
    <row r="7" spans="1:8">
      <c r="A7" s="66" t="s">
        <v>304</v>
      </c>
      <c r="B7" s="66">
        <v>31.144500000000001</v>
      </c>
      <c r="C7" s="66">
        <v>7.1330900000000002</v>
      </c>
      <c r="D7" s="66">
        <v>22.903199999999998</v>
      </c>
      <c r="E7" s="66">
        <v>15</v>
      </c>
      <c r="F7" s="66">
        <v>17.146000000000001</v>
      </c>
      <c r="G7" s="66">
        <v>40</v>
      </c>
      <c r="H7" s="66">
        <v>51.749099999999999</v>
      </c>
    </row>
    <row r="8" spans="1:8">
      <c r="A8" s="66" t="s">
        <v>305</v>
      </c>
      <c r="B8" s="66">
        <v>41.7239</v>
      </c>
      <c r="C8" s="66">
        <v>4.7561499999999999</v>
      </c>
      <c r="D8" s="66">
        <v>11.399100000000001</v>
      </c>
      <c r="E8" s="66">
        <v>20</v>
      </c>
      <c r="F8" s="66">
        <v>31.719200000000001</v>
      </c>
      <c r="G8" s="66">
        <v>50</v>
      </c>
      <c r="H8" s="66">
        <v>52.6419</v>
      </c>
    </row>
    <row r="9" spans="1:8">
      <c r="A9" s="66" t="s">
        <v>306</v>
      </c>
      <c r="B9" s="66">
        <v>52.942799999999998</v>
      </c>
      <c r="C9" s="66">
        <v>10.413500000000001</v>
      </c>
      <c r="D9" s="66">
        <v>19.6693</v>
      </c>
      <c r="E9" s="66">
        <v>50</v>
      </c>
      <c r="F9" s="66">
        <v>35.397799999999997</v>
      </c>
      <c r="G9" s="66">
        <v>100</v>
      </c>
      <c r="H9" s="66">
        <v>82.627399999999994</v>
      </c>
    </row>
    <row r="10" spans="1:8">
      <c r="A10" s="66" t="s">
        <v>347</v>
      </c>
      <c r="B10" s="66">
        <v>47.099800000000002</v>
      </c>
      <c r="C10" s="66">
        <v>8.7888000000000002</v>
      </c>
      <c r="D10" s="66">
        <v>18.66</v>
      </c>
      <c r="E10" s="66">
        <v>40</v>
      </c>
      <c r="F10" s="66">
        <v>35.2258</v>
      </c>
      <c r="G10" s="66">
        <v>100</v>
      </c>
      <c r="H10" s="66">
        <v>61.537199999999999</v>
      </c>
    </row>
    <row r="11" spans="1:8">
      <c r="A11" s="66" t="s">
        <v>308</v>
      </c>
      <c r="B11" s="66">
        <v>11.303100000000001</v>
      </c>
      <c r="C11" s="66">
        <v>4.1426999999999996</v>
      </c>
      <c r="D11" s="66">
        <v>36.6509</v>
      </c>
      <c r="E11" s="66">
        <v>10</v>
      </c>
      <c r="F11" s="66">
        <v>7.5115699999999999</v>
      </c>
      <c r="G11" s="66">
        <v>50</v>
      </c>
      <c r="H11" s="66">
        <v>22.000699999999998</v>
      </c>
    </row>
    <row r="12" spans="1:8">
      <c r="A12" s="66" t="s">
        <v>309</v>
      </c>
      <c r="B12" s="66">
        <v>50.755000000000003</v>
      </c>
      <c r="C12" s="66">
        <v>8.9023400000000006</v>
      </c>
      <c r="D12" s="66">
        <v>17.5398</v>
      </c>
      <c r="E12" s="66">
        <v>50</v>
      </c>
      <c r="F12" s="66">
        <v>40.563600000000001</v>
      </c>
      <c r="G12" s="66">
        <v>100</v>
      </c>
      <c r="H12" s="66">
        <v>71.474199999999996</v>
      </c>
    </row>
    <row r="13" spans="1:8">
      <c r="A13" s="66" t="s">
        <v>310</v>
      </c>
      <c r="B13" s="66">
        <v>18.711099999999998</v>
      </c>
      <c r="C13" s="66">
        <v>3.5742699999999998</v>
      </c>
      <c r="D13" s="66">
        <v>19.102399999999999</v>
      </c>
      <c r="E13" s="66">
        <v>10</v>
      </c>
      <c r="F13" s="66">
        <v>14.726100000000001</v>
      </c>
      <c r="G13" s="66">
        <v>25</v>
      </c>
      <c r="H13" s="66">
        <v>30.236599999999999</v>
      </c>
    </row>
    <row r="14" spans="1:8">
      <c r="A14" s="66" t="s">
        <v>348</v>
      </c>
      <c r="B14" s="66">
        <v>35.742699999999999</v>
      </c>
      <c r="C14" s="66">
        <v>11.683400000000001</v>
      </c>
      <c r="D14" s="66">
        <v>32.6875</v>
      </c>
      <c r="E14" s="66">
        <v>10</v>
      </c>
      <c r="F14" s="66">
        <v>0.18695700000000001</v>
      </c>
      <c r="G14" s="66">
        <v>50</v>
      </c>
      <c r="H14" s="66">
        <v>38.207900000000002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0.108596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0.50564900000000002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196">
        <v>2.6286199999999999E-5</v>
      </c>
      <c r="C20" s="66">
        <v>1.43982E-2</v>
      </c>
      <c r="D20" s="66">
        <v>547.745</v>
      </c>
      <c r="E20" s="66">
        <v>0</v>
      </c>
      <c r="F20" s="66">
        <v>0</v>
      </c>
      <c r="G20" s="66">
        <v>0</v>
      </c>
      <c r="H20" s="66">
        <v>0.178873</v>
      </c>
    </row>
    <row r="21" spans="1:8">
      <c r="A21" s="66" t="s">
        <v>318</v>
      </c>
      <c r="B21" s="66">
        <v>1.9647700000000001E-2</v>
      </c>
      <c r="C21" s="66">
        <v>5.7000599999999998E-2</v>
      </c>
      <c r="D21" s="66">
        <v>2.9011399999999998</v>
      </c>
      <c r="E21" s="66">
        <v>0</v>
      </c>
      <c r="F21" s="196">
        <v>2.1828999999999999E-6</v>
      </c>
      <c r="G21" s="66">
        <v>0</v>
      </c>
      <c r="H21" s="66">
        <v>0.27660299999999999</v>
      </c>
    </row>
    <row r="22" spans="1:8">
      <c r="A22" s="66" t="s">
        <v>319</v>
      </c>
      <c r="B22" s="66">
        <v>29.834399999999999</v>
      </c>
      <c r="C22" s="66">
        <v>17.4297</v>
      </c>
      <c r="D22" s="66">
        <v>0.58421599999999996</v>
      </c>
      <c r="E22" s="66">
        <v>0</v>
      </c>
      <c r="F22" s="66">
        <v>15.587300000000001</v>
      </c>
      <c r="G22" s="66">
        <v>0</v>
      </c>
      <c r="H22" s="66">
        <v>94.373000000000005</v>
      </c>
    </row>
    <row r="23" spans="1:8">
      <c r="A23" s="66" t="s">
        <v>320</v>
      </c>
      <c r="B23" s="66">
        <v>12.2303</v>
      </c>
      <c r="C23" s="66">
        <v>4.2952500000000002</v>
      </c>
      <c r="D23" s="66">
        <v>0.35119699999999998</v>
      </c>
      <c r="E23" s="66">
        <v>0</v>
      </c>
      <c r="F23" s="66">
        <v>9.7171099999999999</v>
      </c>
      <c r="G23" s="66">
        <v>0</v>
      </c>
      <c r="H23" s="66">
        <v>23.191800000000001</v>
      </c>
    </row>
    <row r="24" spans="1:8">
      <c r="A24" s="66" t="s">
        <v>321</v>
      </c>
      <c r="B24" s="66">
        <v>1.19807E-4</v>
      </c>
      <c r="C24" s="66">
        <v>8.5578800000000003E-3</v>
      </c>
      <c r="D24" s="66">
        <v>71.430300000000003</v>
      </c>
      <c r="E24" s="66">
        <v>0</v>
      </c>
      <c r="F24" s="196">
        <v>7.2582799999999998E-8</v>
      </c>
      <c r="G24" s="66">
        <v>0</v>
      </c>
      <c r="H24" s="66">
        <v>4.5671000000000003E-2</v>
      </c>
    </row>
    <row r="25" spans="1:8">
      <c r="A25" s="66" t="s">
        <v>322</v>
      </c>
      <c r="B25" s="66">
        <v>3.7384399999999998E-2</v>
      </c>
      <c r="C25" s="66">
        <v>2.6996699999999998E-2</v>
      </c>
      <c r="D25" s="66">
        <v>0.72213799999999995</v>
      </c>
      <c r="E25" s="66">
        <v>0</v>
      </c>
      <c r="F25" s="66">
        <v>4.2835E-3</v>
      </c>
      <c r="G25" s="66">
        <v>0</v>
      </c>
      <c r="H25" s="66">
        <v>0.11311400000000001</v>
      </c>
    </row>
    <row r="26" spans="1:8">
      <c r="A26" s="66" t="s">
        <v>323</v>
      </c>
      <c r="B26" s="196">
        <v>9.8476899999999999E-6</v>
      </c>
      <c r="C26" s="66">
        <v>7.7774199999999999E-4</v>
      </c>
      <c r="D26" s="66">
        <v>78.977099999999993</v>
      </c>
      <c r="E26" s="66">
        <v>0</v>
      </c>
      <c r="F26" s="66">
        <v>0</v>
      </c>
      <c r="G26" s="66">
        <v>0</v>
      </c>
      <c r="H26" s="66">
        <v>7.1789699999999998E-3</v>
      </c>
    </row>
    <row r="27" spans="1:8">
      <c r="A27" s="66" t="s">
        <v>324</v>
      </c>
      <c r="B27" s="66">
        <v>0</v>
      </c>
      <c r="C27" s="66">
        <v>5.6987200000000002E-4</v>
      </c>
      <c r="D27" s="66">
        <v>0</v>
      </c>
      <c r="E27" s="66">
        <v>0</v>
      </c>
      <c r="F27" s="66">
        <v>-4.9927799999999996E-3</v>
      </c>
      <c r="G27" s="66">
        <v>0</v>
      </c>
      <c r="H27" s="66">
        <v>5.6722700000000001E-3</v>
      </c>
    </row>
    <row r="28" spans="1:8">
      <c r="A28" s="66" t="s">
        <v>325</v>
      </c>
      <c r="B28" s="66">
        <v>4.2431600000000002E-3</v>
      </c>
      <c r="C28" s="66">
        <v>5.4076599999999999E-3</v>
      </c>
      <c r="D28" s="66">
        <v>1.27444</v>
      </c>
      <c r="E28" s="66">
        <v>0</v>
      </c>
      <c r="F28" s="196">
        <v>3.25521E-6</v>
      </c>
      <c r="G28" s="66">
        <v>0</v>
      </c>
      <c r="H28" s="66">
        <v>2.65495E-2</v>
      </c>
    </row>
    <row r="29" spans="1:8">
      <c r="A29" s="66" t="s">
        <v>326</v>
      </c>
      <c r="B29" s="66">
        <v>70.741399999999999</v>
      </c>
      <c r="C29" s="66">
        <v>11.9917</v>
      </c>
      <c r="D29" s="66">
        <v>0.169515</v>
      </c>
      <c r="E29" s="66">
        <v>0</v>
      </c>
      <c r="F29" s="66">
        <v>45.912799999999997</v>
      </c>
      <c r="G29" s="66">
        <v>0</v>
      </c>
      <c r="H29" s="66">
        <v>115.379</v>
      </c>
    </row>
    <row r="30" spans="1:8">
      <c r="A30" s="66" t="s">
        <v>327</v>
      </c>
      <c r="B30" s="66">
        <v>17.486699999999999</v>
      </c>
      <c r="C30" s="66">
        <v>6.8117599999999996</v>
      </c>
      <c r="D30" s="66">
        <v>0.38954</v>
      </c>
      <c r="E30" s="66">
        <v>0</v>
      </c>
      <c r="F30" s="66">
        <v>11.506399999999999</v>
      </c>
      <c r="G30" s="66">
        <v>0</v>
      </c>
      <c r="H30" s="66">
        <v>34.1389</v>
      </c>
    </row>
    <row r="31" spans="1:8">
      <c r="A31" s="66" t="s">
        <v>328</v>
      </c>
      <c r="B31" s="66">
        <v>131.238</v>
      </c>
      <c r="C31" s="66">
        <v>37.838999999999999</v>
      </c>
      <c r="D31" s="66">
        <v>0.28832400000000002</v>
      </c>
      <c r="E31" s="66">
        <v>0</v>
      </c>
      <c r="F31" s="66">
        <v>88.991500000000002</v>
      </c>
      <c r="G31" s="66">
        <v>0</v>
      </c>
      <c r="H31" s="66">
        <v>215.71100000000001</v>
      </c>
    </row>
    <row r="32" spans="1:8">
      <c r="A32" s="66" t="s">
        <v>329</v>
      </c>
      <c r="B32" s="66">
        <v>0.31144500000000003</v>
      </c>
      <c r="C32" s="66">
        <v>7.1330900000000003E-2</v>
      </c>
      <c r="D32" s="66">
        <v>0.22903200000000001</v>
      </c>
      <c r="E32" s="66">
        <v>0.15</v>
      </c>
      <c r="F32" s="66">
        <v>0.17146</v>
      </c>
      <c r="G32" s="66">
        <v>0.4</v>
      </c>
      <c r="H32" s="66">
        <v>0.51749100000000003</v>
      </c>
    </row>
    <row r="33" spans="1:8">
      <c r="A33" s="66" t="s">
        <v>330</v>
      </c>
      <c r="B33" s="66">
        <v>0.28440100000000001</v>
      </c>
      <c r="C33" s="66">
        <v>7.6643199999999995E-2</v>
      </c>
      <c r="D33" s="66">
        <v>0.26949000000000001</v>
      </c>
      <c r="E33" s="66">
        <v>0</v>
      </c>
      <c r="F33" s="66">
        <v>0.25814399999999998</v>
      </c>
      <c r="G33" s="66">
        <v>0</v>
      </c>
      <c r="H33" s="66">
        <v>0.45405899999999999</v>
      </c>
    </row>
    <row r="34" spans="1:8">
      <c r="A34" s="66" t="s">
        <v>331</v>
      </c>
      <c r="B34" s="66">
        <v>0.187111</v>
      </c>
      <c r="C34" s="66">
        <v>3.5742700000000002E-2</v>
      </c>
      <c r="D34" s="66">
        <v>0.191024</v>
      </c>
      <c r="E34" s="66">
        <v>0.1</v>
      </c>
      <c r="F34" s="66">
        <v>0.147261</v>
      </c>
      <c r="G34" s="66">
        <v>0.25</v>
      </c>
      <c r="H34" s="66">
        <v>0.30236600000000002</v>
      </c>
    </row>
    <row r="35" spans="1:8">
      <c r="A35" s="66" t="s">
        <v>332</v>
      </c>
      <c r="B35" s="66">
        <v>8.9831900000000006E-2</v>
      </c>
      <c r="C35" s="66">
        <v>2.95564E-2</v>
      </c>
      <c r="D35" s="66">
        <v>0.32901900000000001</v>
      </c>
      <c r="E35" s="66">
        <v>0</v>
      </c>
      <c r="F35" s="66">
        <v>5.60989E-2</v>
      </c>
      <c r="G35" s="66">
        <v>0</v>
      </c>
      <c r="H35" s="66">
        <v>0.193275</v>
      </c>
    </row>
    <row r="36" spans="1:8">
      <c r="A36" s="66" t="s">
        <v>333</v>
      </c>
      <c r="B36" s="66">
        <v>0.168131</v>
      </c>
      <c r="C36" s="66">
        <v>0.106587</v>
      </c>
      <c r="D36" s="66">
        <v>0.63395299999999999</v>
      </c>
      <c r="E36" s="66">
        <v>0</v>
      </c>
      <c r="F36" s="66">
        <v>3.5623299999999997E-2</v>
      </c>
      <c r="G36" s="66">
        <v>0</v>
      </c>
      <c r="H36" s="66">
        <v>0.63273299999999999</v>
      </c>
    </row>
    <row r="37" spans="1:8">
      <c r="A37" s="66" t="s">
        <v>334</v>
      </c>
      <c r="B37" s="66">
        <v>0.35742699999999999</v>
      </c>
      <c r="C37" s="66">
        <v>0.11683399999999999</v>
      </c>
      <c r="D37" s="66">
        <v>0.32687500000000003</v>
      </c>
      <c r="E37" s="66">
        <v>0.1</v>
      </c>
      <c r="F37" s="66">
        <v>1.8695700000000001E-3</v>
      </c>
      <c r="G37" s="66">
        <v>0.5</v>
      </c>
      <c r="H37" s="66">
        <v>0.382079</v>
      </c>
    </row>
    <row r="38" spans="1:8">
      <c r="A38" s="66" t="s">
        <v>335</v>
      </c>
      <c r="B38" s="66">
        <v>-1.9374899999999999</v>
      </c>
      <c r="C38" s="66">
        <v>66.809700000000007</v>
      </c>
      <c r="D38" s="66">
        <v>-34.482599999999998</v>
      </c>
      <c r="E38" s="66">
        <v>0</v>
      </c>
      <c r="F38" s="66">
        <v>-78.4345</v>
      </c>
      <c r="G38" s="66">
        <v>0</v>
      </c>
      <c r="H38" s="66">
        <v>427.77100000000002</v>
      </c>
    </row>
    <row r="39" spans="1:8">
      <c r="A39" s="66" t="s">
        <v>336</v>
      </c>
      <c r="B39" s="66">
        <v>-3.97336</v>
      </c>
      <c r="C39" s="66">
        <v>17.0687</v>
      </c>
      <c r="D39" s="66">
        <v>-4.2957799999999997</v>
      </c>
      <c r="E39" s="66">
        <v>0</v>
      </c>
      <c r="F39" s="66">
        <v>-12.2967</v>
      </c>
      <c r="G39" s="66">
        <v>0</v>
      </c>
      <c r="H39" s="66">
        <v>66.845299999999995</v>
      </c>
    </row>
    <row r="40" spans="1:8">
      <c r="A40" s="66" t="s">
        <v>337</v>
      </c>
      <c r="B40" s="66">
        <v>-1.9867900000000001</v>
      </c>
      <c r="C40" s="66">
        <v>0.88776299999999997</v>
      </c>
      <c r="D40" s="66">
        <v>-0.44683200000000001</v>
      </c>
      <c r="E40" s="66">
        <v>0</v>
      </c>
      <c r="F40" s="66">
        <v>-3.4567899999999998</v>
      </c>
      <c r="G40" s="66">
        <v>0</v>
      </c>
      <c r="H40" s="66">
        <v>1.0100899999999999</v>
      </c>
    </row>
    <row r="41" spans="1:8">
      <c r="A41" s="66" t="s">
        <v>338</v>
      </c>
      <c r="B41" s="66">
        <v>-0.103408</v>
      </c>
      <c r="C41" s="66">
        <v>0.472466</v>
      </c>
      <c r="D41" s="66">
        <v>-4.5689299999999999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-0.164046</v>
      </c>
      <c r="C42" s="66">
        <v>0.205262</v>
      </c>
      <c r="D42" s="66">
        <v>-1.25125</v>
      </c>
      <c r="E42" s="66">
        <v>0</v>
      </c>
      <c r="F42" s="66">
        <v>-0.47775099999999998</v>
      </c>
      <c r="G42" s="66">
        <v>0</v>
      </c>
      <c r="H42" s="66">
        <v>0.46373599999999998</v>
      </c>
    </row>
    <row r="43" spans="1:8">
      <c r="A43" s="66" t="s">
        <v>340</v>
      </c>
      <c r="B43" s="66">
        <v>-7.3614799999999994E-2</v>
      </c>
      <c r="C43" s="66">
        <v>3.2459799999999997E-2</v>
      </c>
      <c r="D43" s="66">
        <v>-0.44094100000000003</v>
      </c>
      <c r="E43" s="66">
        <v>0</v>
      </c>
      <c r="F43" s="66">
        <v>-0.13275400000000001</v>
      </c>
      <c r="G43" s="66">
        <v>0</v>
      </c>
      <c r="H43" s="66">
        <v>-1.0744099999999999E-2</v>
      </c>
    </row>
    <row r="44" spans="1:8">
      <c r="A44" s="66" t="s">
        <v>341</v>
      </c>
      <c r="B44" s="66">
        <v>-22.363199999999999</v>
      </c>
      <c r="C44" s="66">
        <v>10.866400000000001</v>
      </c>
      <c r="D44" s="66">
        <v>-0.48590499999999998</v>
      </c>
      <c r="E44" s="66">
        <v>0</v>
      </c>
      <c r="F44" s="66">
        <v>-43.2485</v>
      </c>
      <c r="G44" s="66">
        <v>0</v>
      </c>
      <c r="H44" s="66">
        <v>5.9354100000000001</v>
      </c>
    </row>
    <row r="45" spans="1:8">
      <c r="A45" s="66" t="s">
        <v>342</v>
      </c>
      <c r="B45" s="66">
        <v>58.616399999999999</v>
      </c>
      <c r="C45" s="66">
        <v>10.348800000000001</v>
      </c>
      <c r="D45" s="66">
        <v>0.17655199999999999</v>
      </c>
      <c r="E45" s="66">
        <v>0</v>
      </c>
      <c r="F45" s="66">
        <v>36.896500000000003</v>
      </c>
      <c r="G45" s="66">
        <v>0</v>
      </c>
      <c r="H45" s="66">
        <v>96.831900000000005</v>
      </c>
    </row>
    <row r="46" spans="1:8">
      <c r="A46" s="66" t="s">
        <v>343</v>
      </c>
      <c r="B46" s="66">
        <v>28.9756</v>
      </c>
      <c r="C46" s="66">
        <v>9.7410999999999994</v>
      </c>
      <c r="D46" s="66">
        <v>0.33618300000000001</v>
      </c>
      <c r="E46" s="66">
        <v>0</v>
      </c>
      <c r="F46" s="66">
        <v>15.3581</v>
      </c>
      <c r="G46" s="66">
        <v>0</v>
      </c>
      <c r="H46" s="66">
        <v>48.936100000000003</v>
      </c>
    </row>
    <row r="47" spans="1:8">
      <c r="A47" s="66" t="s">
        <v>344</v>
      </c>
      <c r="B47" s="66">
        <v>0.70615600000000001</v>
      </c>
      <c r="C47" s="66">
        <v>0.20313899999999999</v>
      </c>
      <c r="D47" s="66">
        <v>0.28766799999999998</v>
      </c>
      <c r="E47" s="66">
        <v>0</v>
      </c>
      <c r="F47" s="66">
        <v>0.25232199999999999</v>
      </c>
      <c r="G47" s="66">
        <v>0</v>
      </c>
      <c r="H47" s="66">
        <v>1.2598</v>
      </c>
    </row>
    <row r="48" spans="1:8">
      <c r="A48" s="66" t="s">
        <v>345</v>
      </c>
      <c r="B48" s="66">
        <v>0.53994500000000001</v>
      </c>
      <c r="C48" s="66">
        <v>0.101294</v>
      </c>
      <c r="D48" s="66">
        <v>0.18759999999999999</v>
      </c>
      <c r="E48" s="66">
        <v>0</v>
      </c>
      <c r="F48" s="66">
        <v>0.42390499999999998</v>
      </c>
      <c r="G48" s="66">
        <v>0</v>
      </c>
      <c r="H48" s="66">
        <v>0.76013900000000001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349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63.825600000000001</v>
      </c>
      <c r="C5" s="66">
        <v>8.8663399999999992</v>
      </c>
      <c r="D5" s="66">
        <v>13.891500000000001</v>
      </c>
      <c r="E5" s="66">
        <v>20</v>
      </c>
      <c r="F5" s="66">
        <v>45.265000000000001</v>
      </c>
      <c r="G5" s="66">
        <v>50</v>
      </c>
      <c r="H5" s="66">
        <v>71.130399999999995</v>
      </c>
    </row>
    <row r="6" spans="1:8">
      <c r="A6" s="66" t="s">
        <v>303</v>
      </c>
      <c r="B6" s="66">
        <v>57.210700000000003</v>
      </c>
      <c r="C6" s="66">
        <v>4.4593499999999997</v>
      </c>
      <c r="D6" s="66">
        <v>7.7946</v>
      </c>
      <c r="E6" s="66">
        <v>20</v>
      </c>
      <c r="F6" s="66">
        <v>48.329799999999999</v>
      </c>
      <c r="G6" s="66">
        <v>40</v>
      </c>
      <c r="H6" s="66">
        <v>64.440600000000003</v>
      </c>
    </row>
    <row r="7" spans="1:8">
      <c r="A7" s="66" t="s">
        <v>304</v>
      </c>
      <c r="B7" s="66">
        <v>29.718</v>
      </c>
      <c r="C7" s="66">
        <v>5.39574</v>
      </c>
      <c r="D7" s="66">
        <v>18.156500000000001</v>
      </c>
      <c r="E7" s="66">
        <v>15</v>
      </c>
      <c r="F7" s="66">
        <v>15.3873</v>
      </c>
      <c r="G7" s="66">
        <v>40</v>
      </c>
      <c r="H7" s="66">
        <v>42.444299999999998</v>
      </c>
    </row>
    <row r="8" spans="1:8">
      <c r="A8" s="66" t="s">
        <v>305</v>
      </c>
      <c r="B8" s="66">
        <v>49.6038</v>
      </c>
      <c r="C8" s="66">
        <v>3.6871499999999999</v>
      </c>
      <c r="D8" s="66">
        <v>7.4332099999999999</v>
      </c>
      <c r="E8" s="66">
        <v>20</v>
      </c>
      <c r="F8" s="66">
        <v>40.653599999999997</v>
      </c>
      <c r="G8" s="66">
        <v>50</v>
      </c>
      <c r="H8" s="66">
        <v>56.221499999999999</v>
      </c>
    </row>
    <row r="9" spans="1:8">
      <c r="A9" s="66" t="s">
        <v>306</v>
      </c>
      <c r="B9" s="66">
        <v>33.154000000000003</v>
      </c>
      <c r="C9" s="66">
        <v>2.65747</v>
      </c>
      <c r="D9" s="66">
        <v>8.01553</v>
      </c>
      <c r="E9" s="66">
        <v>50</v>
      </c>
      <c r="F9" s="66">
        <v>26.0855</v>
      </c>
      <c r="G9" s="66">
        <v>100</v>
      </c>
      <c r="H9" s="66">
        <v>40.838700000000003</v>
      </c>
    </row>
    <row r="10" spans="1:8">
      <c r="A10" s="66" t="s">
        <v>307</v>
      </c>
      <c r="B10" s="66">
        <v>41.815600000000003</v>
      </c>
      <c r="C10" s="66">
        <v>4.7707199999999998</v>
      </c>
      <c r="D10" s="66">
        <v>11.408899999999999</v>
      </c>
      <c r="E10" s="66">
        <v>40</v>
      </c>
      <c r="F10" s="66">
        <v>31.984999999999999</v>
      </c>
      <c r="G10" s="66">
        <v>100</v>
      </c>
      <c r="H10" s="66">
        <v>48.3217</v>
      </c>
    </row>
    <row r="11" spans="1:8">
      <c r="A11" s="66" t="s">
        <v>308</v>
      </c>
      <c r="B11" s="66">
        <v>21.292000000000002</v>
      </c>
      <c r="C11" s="66">
        <v>1.2153499999999999</v>
      </c>
      <c r="D11" s="66">
        <v>5.7080299999999999</v>
      </c>
      <c r="E11" s="66">
        <v>10</v>
      </c>
      <c r="F11" s="66">
        <v>19.0977</v>
      </c>
      <c r="G11" s="66">
        <v>50</v>
      </c>
      <c r="H11" s="66">
        <v>24.720800000000001</v>
      </c>
    </row>
    <row r="12" spans="1:8">
      <c r="A12" s="66" t="s">
        <v>309</v>
      </c>
      <c r="B12" s="66">
        <v>36.824300000000001</v>
      </c>
      <c r="C12" s="66">
        <v>2.93283</v>
      </c>
      <c r="D12" s="66">
        <v>7.96441</v>
      </c>
      <c r="E12" s="66">
        <v>50</v>
      </c>
      <c r="F12" s="66">
        <v>31.667100000000001</v>
      </c>
      <c r="G12" s="66">
        <v>100</v>
      </c>
      <c r="H12" s="66">
        <v>44.408700000000003</v>
      </c>
    </row>
    <row r="13" spans="1:8">
      <c r="A13" s="66" t="s">
        <v>310</v>
      </c>
      <c r="B13" s="66">
        <v>20.005800000000001</v>
      </c>
      <c r="C13" s="66">
        <v>2.0137900000000002</v>
      </c>
      <c r="D13" s="66">
        <v>10.066000000000001</v>
      </c>
      <c r="E13" s="66">
        <v>10</v>
      </c>
      <c r="F13" s="66">
        <v>17.120699999999999</v>
      </c>
      <c r="G13" s="66">
        <v>25</v>
      </c>
      <c r="H13" s="66">
        <v>27.2592</v>
      </c>
    </row>
    <row r="14" spans="1:8">
      <c r="A14" s="66" t="s">
        <v>311</v>
      </c>
      <c r="B14" s="66">
        <v>20.137899999999998</v>
      </c>
      <c r="C14" s="66">
        <v>11.6752</v>
      </c>
      <c r="D14" s="66">
        <v>57.976500000000001</v>
      </c>
      <c r="E14" s="66">
        <v>10</v>
      </c>
      <c r="F14" s="66">
        <v>1.42414</v>
      </c>
      <c r="G14" s="66">
        <v>50</v>
      </c>
      <c r="H14" s="66">
        <v>35.6723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0.34135599999999999</v>
      </c>
      <c r="C18" s="66">
        <v>4.7035399999999998E-2</v>
      </c>
      <c r="D18" s="66">
        <v>0.13779</v>
      </c>
      <c r="E18" s="66">
        <v>0</v>
      </c>
      <c r="F18" s="66">
        <v>0.29432000000000003</v>
      </c>
      <c r="G18" s="66">
        <v>0</v>
      </c>
      <c r="H18" s="66">
        <v>0.38839099999999999</v>
      </c>
    </row>
    <row r="19" spans="1:8">
      <c r="A19" s="66" t="s">
        <v>316</v>
      </c>
      <c r="B19" s="66">
        <v>0.72936100000000004</v>
      </c>
      <c r="C19" s="66">
        <v>8.9266499999999999E-2</v>
      </c>
      <c r="D19" s="66">
        <v>0.12239</v>
      </c>
      <c r="E19" s="66">
        <v>0</v>
      </c>
      <c r="F19" s="66">
        <v>0.64009499999999997</v>
      </c>
      <c r="G19" s="66">
        <v>0</v>
      </c>
      <c r="H19" s="66">
        <v>0.81862699999999999</v>
      </c>
    </row>
    <row r="20" spans="1:8">
      <c r="A20" s="66" t="s">
        <v>317</v>
      </c>
      <c r="B20" s="196">
        <v>2.62605E-5</v>
      </c>
      <c r="C20" s="66">
        <v>1.58195E-2</v>
      </c>
      <c r="D20" s="66">
        <v>602.40700000000004</v>
      </c>
      <c r="E20" s="66">
        <v>0</v>
      </c>
      <c r="F20" s="66">
        <v>0</v>
      </c>
      <c r="G20" s="66">
        <v>0</v>
      </c>
      <c r="H20" s="66">
        <v>0.13441900000000001</v>
      </c>
    </row>
    <row r="21" spans="1:8">
      <c r="A21" s="66" t="s">
        <v>318</v>
      </c>
      <c r="B21" s="66">
        <v>2.0177899999999999E-2</v>
      </c>
      <c r="C21" s="66">
        <v>8.2486900000000002E-2</v>
      </c>
      <c r="D21" s="66">
        <v>4.0879899999999996</v>
      </c>
      <c r="E21" s="66">
        <v>0</v>
      </c>
      <c r="F21" s="196">
        <v>3.065E-5</v>
      </c>
      <c r="G21" s="66">
        <v>0</v>
      </c>
      <c r="H21" s="66">
        <v>0.40231099999999997</v>
      </c>
    </row>
    <row r="22" spans="1:8">
      <c r="A22" s="66" t="s">
        <v>319</v>
      </c>
      <c r="B22" s="66">
        <v>36.645899999999997</v>
      </c>
      <c r="C22" s="66">
        <v>25.468599999999999</v>
      </c>
      <c r="D22" s="66">
        <v>0.69499200000000005</v>
      </c>
      <c r="E22" s="66">
        <v>0</v>
      </c>
      <c r="F22" s="66">
        <v>16.8736</v>
      </c>
      <c r="G22" s="66">
        <v>0</v>
      </c>
      <c r="H22" s="66">
        <v>116.477</v>
      </c>
    </row>
    <row r="23" spans="1:8">
      <c r="A23" s="66" t="s">
        <v>320</v>
      </c>
      <c r="B23" s="66">
        <v>26.845300000000002</v>
      </c>
      <c r="C23" s="66">
        <v>3.0101200000000001</v>
      </c>
      <c r="D23" s="66">
        <v>0.11212800000000001</v>
      </c>
      <c r="E23" s="66">
        <v>0</v>
      </c>
      <c r="F23" s="66">
        <v>21.802499999999998</v>
      </c>
      <c r="G23" s="66">
        <v>0</v>
      </c>
      <c r="H23" s="66">
        <v>33.444600000000001</v>
      </c>
    </row>
    <row r="24" spans="1:8">
      <c r="A24" s="66" t="s">
        <v>350</v>
      </c>
      <c r="B24" s="66">
        <v>2.0205099999999999E-4</v>
      </c>
      <c r="C24" s="66">
        <v>9.7155200000000001E-3</v>
      </c>
      <c r="D24" s="66">
        <v>48.084600000000002</v>
      </c>
      <c r="E24" s="66">
        <v>0</v>
      </c>
      <c r="F24" s="196">
        <v>2.4457799999999998E-7</v>
      </c>
      <c r="G24" s="66">
        <v>0</v>
      </c>
      <c r="H24" s="66">
        <v>4.1385100000000001E-2</v>
      </c>
    </row>
    <row r="25" spans="1:8">
      <c r="A25" s="66" t="s">
        <v>322</v>
      </c>
      <c r="B25" s="66">
        <v>4.99929E-2</v>
      </c>
      <c r="C25" s="66">
        <v>3.7206599999999999E-2</v>
      </c>
      <c r="D25" s="66">
        <v>0.74423799999999996</v>
      </c>
      <c r="E25" s="66">
        <v>0</v>
      </c>
      <c r="F25" s="66">
        <v>6.5817499999999999E-3</v>
      </c>
      <c r="G25" s="66">
        <v>0</v>
      </c>
      <c r="H25" s="66">
        <v>0.170601</v>
      </c>
    </row>
    <row r="26" spans="1:8">
      <c r="A26" s="66" t="s">
        <v>323</v>
      </c>
      <c r="B26" s="196">
        <v>9.8476899999999999E-6</v>
      </c>
      <c r="C26" s="66">
        <v>9.1518600000000002E-4</v>
      </c>
      <c r="D26" s="66">
        <v>92.934100000000001</v>
      </c>
      <c r="E26" s="66">
        <v>0</v>
      </c>
      <c r="F26" s="66">
        <v>0</v>
      </c>
      <c r="G26" s="66">
        <v>0</v>
      </c>
      <c r="H26" s="66">
        <v>5.6624199999999996E-3</v>
      </c>
    </row>
    <row r="27" spans="1:8">
      <c r="A27" s="66" t="s">
        <v>324</v>
      </c>
      <c r="B27" s="66">
        <v>0</v>
      </c>
      <c r="C27" s="66">
        <v>6.79033E-4</v>
      </c>
      <c r="D27" s="66">
        <v>0</v>
      </c>
      <c r="E27" s="66">
        <v>0</v>
      </c>
      <c r="F27" s="66">
        <v>-5.2685099999999997E-3</v>
      </c>
      <c r="G27" s="66">
        <v>0</v>
      </c>
      <c r="H27" s="66">
        <v>5.5081399999999999E-3</v>
      </c>
    </row>
    <row r="28" spans="1:8">
      <c r="A28" s="66" t="s">
        <v>325</v>
      </c>
      <c r="B28" s="66">
        <v>4.4108100000000003E-3</v>
      </c>
      <c r="C28" s="66">
        <v>6.7187000000000002E-3</v>
      </c>
      <c r="D28" s="66">
        <v>1.5232399999999999</v>
      </c>
      <c r="E28" s="66">
        <v>0</v>
      </c>
      <c r="F28" s="196">
        <v>6.5104200000000001E-6</v>
      </c>
      <c r="G28" s="66">
        <v>0</v>
      </c>
      <c r="H28" s="66">
        <v>4.2080100000000002E-2</v>
      </c>
    </row>
    <row r="29" spans="1:8">
      <c r="A29" s="66" t="s">
        <v>326</v>
      </c>
      <c r="B29" s="66">
        <v>71.425700000000006</v>
      </c>
      <c r="C29" s="66">
        <v>13.7309</v>
      </c>
      <c r="D29" s="66">
        <v>0.19223999999999999</v>
      </c>
      <c r="E29" s="66">
        <v>0</v>
      </c>
      <c r="F29" s="66">
        <v>51.523400000000002</v>
      </c>
      <c r="G29" s="66">
        <v>0</v>
      </c>
      <c r="H29" s="66">
        <v>118.155</v>
      </c>
    </row>
    <row r="30" spans="1:8">
      <c r="A30" s="66" t="s">
        <v>327</v>
      </c>
      <c r="B30" s="66">
        <v>35.474200000000003</v>
      </c>
      <c r="C30" s="66">
        <v>1.89185</v>
      </c>
      <c r="D30" s="66">
        <v>5.3330200000000001E-2</v>
      </c>
      <c r="E30" s="66">
        <v>0</v>
      </c>
      <c r="F30" s="66">
        <v>24.200800000000001</v>
      </c>
      <c r="G30" s="66">
        <v>0</v>
      </c>
      <c r="H30" s="66">
        <v>38.939100000000003</v>
      </c>
    </row>
    <row r="31" spans="1:8">
      <c r="A31" s="66" t="s">
        <v>328</v>
      </c>
      <c r="B31" s="66">
        <v>229.39099999999999</v>
      </c>
      <c r="C31" s="66">
        <v>38.665999999999997</v>
      </c>
      <c r="D31" s="66">
        <v>0.16855999999999999</v>
      </c>
      <c r="E31" s="66">
        <v>0</v>
      </c>
      <c r="F31" s="66">
        <v>170.55799999999999</v>
      </c>
      <c r="G31" s="66">
        <v>0</v>
      </c>
      <c r="H31" s="66">
        <v>313.32</v>
      </c>
    </row>
    <row r="32" spans="1:8">
      <c r="A32" s="66" t="s">
        <v>329</v>
      </c>
      <c r="B32" s="66">
        <v>0.29718</v>
      </c>
      <c r="C32" s="66">
        <v>5.3957400000000003E-2</v>
      </c>
      <c r="D32" s="66">
        <v>0.181565</v>
      </c>
      <c r="E32" s="66">
        <v>0.15</v>
      </c>
      <c r="F32" s="66">
        <v>0.15387300000000001</v>
      </c>
      <c r="G32" s="66">
        <v>0.4</v>
      </c>
      <c r="H32" s="66">
        <v>0.42444300000000001</v>
      </c>
    </row>
    <row r="33" spans="1:8">
      <c r="A33" s="66" t="s">
        <v>330</v>
      </c>
      <c r="B33" s="66">
        <v>0.420294</v>
      </c>
      <c r="C33" s="66">
        <v>1.4624099999999999E-2</v>
      </c>
      <c r="D33" s="66">
        <v>3.4794899999999997E-2</v>
      </c>
      <c r="E33" s="66">
        <v>0</v>
      </c>
      <c r="F33" s="66">
        <v>0.38861299999999999</v>
      </c>
      <c r="G33" s="66">
        <v>0</v>
      </c>
      <c r="H33" s="66">
        <v>0.45854200000000001</v>
      </c>
    </row>
    <row r="34" spans="1:8">
      <c r="A34" s="66" t="s">
        <v>331</v>
      </c>
      <c r="B34" s="66">
        <v>0.20005800000000001</v>
      </c>
      <c r="C34" s="66">
        <v>2.01379E-2</v>
      </c>
      <c r="D34" s="66">
        <v>0.10066</v>
      </c>
      <c r="E34" s="66">
        <v>0.1</v>
      </c>
      <c r="F34" s="66">
        <v>0.171207</v>
      </c>
      <c r="G34" s="66">
        <v>0.25</v>
      </c>
      <c r="H34" s="66">
        <v>0.272592</v>
      </c>
    </row>
    <row r="35" spans="1:8">
      <c r="A35" s="66" t="s">
        <v>332</v>
      </c>
      <c r="B35" s="66">
        <v>9.1698699999999994E-2</v>
      </c>
      <c r="C35" s="66">
        <v>2.27913E-2</v>
      </c>
      <c r="D35" s="66">
        <v>0.24854499999999999</v>
      </c>
      <c r="E35" s="66">
        <v>0</v>
      </c>
      <c r="F35" s="66">
        <v>3.6942700000000002E-2</v>
      </c>
      <c r="G35" s="66">
        <v>0</v>
      </c>
      <c r="H35" s="66">
        <v>0.1709</v>
      </c>
    </row>
    <row r="36" spans="1:8">
      <c r="A36" s="66" t="s">
        <v>333</v>
      </c>
      <c r="B36" s="66">
        <v>0.17970700000000001</v>
      </c>
      <c r="C36" s="66">
        <v>9.9622699999999995E-2</v>
      </c>
      <c r="D36" s="66">
        <v>0.55436200000000002</v>
      </c>
      <c r="E36" s="66">
        <v>0</v>
      </c>
      <c r="F36" s="66">
        <v>3.4421100000000003E-2</v>
      </c>
      <c r="G36" s="66">
        <v>0</v>
      </c>
      <c r="H36" s="66">
        <v>0.48725600000000002</v>
      </c>
    </row>
    <row r="37" spans="1:8">
      <c r="A37" s="66" t="s">
        <v>334</v>
      </c>
      <c r="B37" s="66">
        <v>0.201379</v>
      </c>
      <c r="C37" s="66">
        <v>0.11675199999999999</v>
      </c>
      <c r="D37" s="66">
        <v>0.57976499999999997</v>
      </c>
      <c r="E37" s="66">
        <v>0.1</v>
      </c>
      <c r="F37" s="66">
        <v>1.42414E-2</v>
      </c>
      <c r="G37" s="66">
        <v>0.5</v>
      </c>
      <c r="H37" s="66">
        <v>0.35672300000000001</v>
      </c>
    </row>
    <row r="38" spans="1:8">
      <c r="A38" s="66" t="s">
        <v>335</v>
      </c>
      <c r="B38" s="66">
        <v>-12.7523</v>
      </c>
      <c r="C38" s="66">
        <v>72.812799999999996</v>
      </c>
      <c r="D38" s="66">
        <v>-5.7097899999999999</v>
      </c>
      <c r="E38" s="66">
        <v>0</v>
      </c>
      <c r="F38" s="66">
        <v>-101.19199999999999</v>
      </c>
      <c r="G38" s="66">
        <v>0</v>
      </c>
      <c r="H38" s="66">
        <v>392.21199999999999</v>
      </c>
    </row>
    <row r="39" spans="1:8">
      <c r="A39" s="66" t="s">
        <v>336</v>
      </c>
      <c r="B39" s="66">
        <v>-1.7988299999999999</v>
      </c>
      <c r="C39" s="66">
        <v>26.2988</v>
      </c>
      <c r="D39" s="66">
        <v>-14.619899999999999</v>
      </c>
      <c r="E39" s="66">
        <v>0</v>
      </c>
      <c r="F39" s="66">
        <v>-15.522500000000001</v>
      </c>
      <c r="G39" s="66">
        <v>0</v>
      </c>
      <c r="H39" s="66">
        <v>103.381</v>
      </c>
    </row>
    <row r="40" spans="1:8">
      <c r="A40" s="66" t="s">
        <v>337</v>
      </c>
      <c r="B40" s="66">
        <v>-2.8748399999999998</v>
      </c>
      <c r="C40" s="66">
        <v>2.5445099999999998</v>
      </c>
      <c r="D40" s="66">
        <v>-0.88509599999999999</v>
      </c>
      <c r="E40" s="66">
        <v>0</v>
      </c>
      <c r="F40" s="66">
        <v>-4.5973699999999997</v>
      </c>
      <c r="G40" s="66">
        <v>0</v>
      </c>
      <c r="H40" s="66">
        <v>6.4968000000000004</v>
      </c>
    </row>
    <row r="41" spans="1:8">
      <c r="A41" s="66" t="s">
        <v>338</v>
      </c>
      <c r="B41" s="66">
        <v>-0.20663599999999999</v>
      </c>
      <c r="C41" s="66">
        <v>0.41200599999999998</v>
      </c>
      <c r="D41" s="66">
        <v>-1.9938800000000001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-0.116413</v>
      </c>
      <c r="C42" s="66">
        <v>0.26080799999999998</v>
      </c>
      <c r="D42" s="66">
        <v>-2.24037</v>
      </c>
      <c r="E42" s="66">
        <v>0</v>
      </c>
      <c r="F42" s="66">
        <v>-0.54515800000000003</v>
      </c>
      <c r="G42" s="66">
        <v>0</v>
      </c>
      <c r="H42" s="66">
        <v>0.46260899999999999</v>
      </c>
    </row>
    <row r="43" spans="1:8">
      <c r="A43" s="66" t="s">
        <v>340</v>
      </c>
      <c r="B43" s="66">
        <v>-7.2279599999999999E-2</v>
      </c>
      <c r="C43" s="66">
        <v>2.42437E-2</v>
      </c>
      <c r="D43" s="66">
        <v>-0.33541599999999999</v>
      </c>
      <c r="E43" s="66">
        <v>0</v>
      </c>
      <c r="F43" s="66">
        <v>-0.114204</v>
      </c>
      <c r="G43" s="66">
        <v>0</v>
      </c>
      <c r="H43" s="66">
        <v>1.30004E-2</v>
      </c>
    </row>
    <row r="44" spans="1:8">
      <c r="A44" s="66" t="s">
        <v>341</v>
      </c>
      <c r="B44" s="66">
        <v>-58.363999999999997</v>
      </c>
      <c r="C44" s="66">
        <v>16.302900000000001</v>
      </c>
      <c r="D44" s="66">
        <v>-0.27933000000000002</v>
      </c>
      <c r="E44" s="66">
        <v>0</v>
      </c>
      <c r="F44" s="66">
        <v>-76.818399999999997</v>
      </c>
      <c r="G44" s="66">
        <v>0</v>
      </c>
      <c r="H44" s="66">
        <v>82.956599999999995</v>
      </c>
    </row>
    <row r="45" spans="1:8">
      <c r="A45" s="66" t="s">
        <v>342</v>
      </c>
      <c r="B45" s="66">
        <v>59.682200000000002</v>
      </c>
      <c r="C45" s="66">
        <v>7.5681599999999998</v>
      </c>
      <c r="D45" s="66">
        <v>0.126808</v>
      </c>
      <c r="E45" s="66">
        <v>0</v>
      </c>
      <c r="F45" s="66">
        <v>39.465200000000003</v>
      </c>
      <c r="G45" s="66">
        <v>0</v>
      </c>
      <c r="H45" s="66">
        <v>76.826999999999998</v>
      </c>
    </row>
    <row r="46" spans="1:8">
      <c r="A46" s="66" t="s">
        <v>343</v>
      </c>
      <c r="B46" s="66">
        <v>49.777900000000002</v>
      </c>
      <c r="C46" s="66">
        <v>1.1052999999999999</v>
      </c>
      <c r="D46" s="66">
        <v>2.2204600000000001E-2</v>
      </c>
      <c r="E46" s="66">
        <v>0</v>
      </c>
      <c r="F46" s="66">
        <v>47.557099999999998</v>
      </c>
      <c r="G46" s="66">
        <v>0</v>
      </c>
      <c r="H46" s="66">
        <v>52.891599999999997</v>
      </c>
    </row>
    <row r="47" spans="1:8">
      <c r="A47" s="66" t="s">
        <v>344</v>
      </c>
      <c r="B47" s="66">
        <v>0.71253599999999995</v>
      </c>
      <c r="C47" s="66">
        <v>0.24487999999999999</v>
      </c>
      <c r="D47" s="66">
        <v>0.34367399999999998</v>
      </c>
      <c r="E47" s="66">
        <v>0</v>
      </c>
      <c r="F47" s="66">
        <v>0.37325000000000003</v>
      </c>
      <c r="G47" s="66">
        <v>0</v>
      </c>
      <c r="H47" s="66">
        <v>1.90184</v>
      </c>
    </row>
    <row r="48" spans="1:8">
      <c r="A48" s="66" t="s">
        <v>345</v>
      </c>
      <c r="B48" s="66">
        <v>0.763289</v>
      </c>
      <c r="C48" s="66">
        <v>7.2438500000000003E-2</v>
      </c>
      <c r="D48" s="66">
        <v>9.4903100000000004E-2</v>
      </c>
      <c r="E48" s="66">
        <v>0</v>
      </c>
      <c r="F48" s="66">
        <v>0.53129099999999996</v>
      </c>
      <c r="G48" s="66">
        <v>0</v>
      </c>
      <c r="H48" s="66">
        <v>0.937585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351</v>
      </c>
      <c r="B1" s="60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88.869065540561564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1.7149011301441259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0.90275091840646615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19178</v>
      </c>
      <c r="B8" s="66">
        <v>19178</v>
      </c>
      <c r="D8">
        <f t="shared" si="0"/>
        <v>0.13340567763656727</v>
      </c>
      <c r="E8">
        <f t="shared" si="0"/>
        <v>0.13340567763656727</v>
      </c>
      <c r="G8">
        <f t="shared" ca="1" si="1"/>
        <v>6</v>
      </c>
      <c r="H8">
        <f t="shared" ca="1" si="2"/>
        <v>0.80043406581940357</v>
      </c>
      <c r="I8">
        <f t="shared" ca="1" si="3"/>
        <v>916.13441187522426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23860</v>
      </c>
      <c r="B10" s="66">
        <v>23860</v>
      </c>
      <c r="D10">
        <f t="shared" si="0"/>
        <v>0.16597452645784205</v>
      </c>
      <c r="E10">
        <f t="shared" si="0"/>
        <v>0.16597452645784205</v>
      </c>
      <c r="G10">
        <f t="shared" ca="1" si="1"/>
        <v>8</v>
      </c>
      <c r="H10">
        <f t="shared" ca="1" si="2"/>
        <v>1.3277962116627364</v>
      </c>
      <c r="I10">
        <f t="shared" ca="1" si="3"/>
        <v>1085.4411643752367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34563</v>
      </c>
      <c r="B13" s="66">
        <v>34563</v>
      </c>
      <c r="D13">
        <f t="shared" si="0"/>
        <v>0.24042655314176006</v>
      </c>
      <c r="E13">
        <f t="shared" si="0"/>
        <v>0.24042655314176006</v>
      </c>
      <c r="G13">
        <f t="shared" ca="1" si="1"/>
        <v>11</v>
      </c>
      <c r="H13">
        <f t="shared" ca="1" si="2"/>
        <v>2.6446920845593609</v>
      </c>
      <c r="I13">
        <f t="shared" ca="1" si="3"/>
        <v>1457.8483723069032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46047</v>
      </c>
      <c r="B15" s="66">
        <v>46047</v>
      </c>
      <c r="D15">
        <f t="shared" si="0"/>
        <v>0.32031135875122602</v>
      </c>
      <c r="E15">
        <f t="shared" si="0"/>
        <v>0.32031135875122602</v>
      </c>
      <c r="G15">
        <f t="shared" ca="1" si="1"/>
        <v>13</v>
      </c>
      <c r="H15">
        <f t="shared" ca="1" si="2"/>
        <v>4.1640476637659383</v>
      </c>
      <c r="I15">
        <f t="shared" ca="1" si="3"/>
        <v>1843.7490507306852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56358</v>
      </c>
      <c r="B18" s="66">
        <v>56358</v>
      </c>
      <c r="D18">
        <f t="shared" si="0"/>
        <v>0.39203656169786516</v>
      </c>
      <c r="E18">
        <f t="shared" si="0"/>
        <v>0.39203656169786516</v>
      </c>
      <c r="G18">
        <f t="shared" ca="1" si="1"/>
        <v>16</v>
      </c>
      <c r="H18">
        <f t="shared" ca="1" si="2"/>
        <v>6.2725849871658426</v>
      </c>
      <c r="I18">
        <f t="shared" ca="1" si="3"/>
        <v>2081.6752183853791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61734</v>
      </c>
      <c r="B21" s="66">
        <v>61734</v>
      </c>
      <c r="D21">
        <f t="shared" si="0"/>
        <v>0.42943300152340408</v>
      </c>
      <c r="E21">
        <f t="shared" si="0"/>
        <v>0.42943300152340408</v>
      </c>
      <c r="G21">
        <f t="shared" ca="1" si="1"/>
        <v>19</v>
      </c>
      <c r="H21">
        <f t="shared" ca="1" si="2"/>
        <v>8.1592270289446773</v>
      </c>
      <c r="I21">
        <f t="shared" ca="1" si="3"/>
        <v>2096.3572086834715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73447</v>
      </c>
      <c r="B23" s="66">
        <v>73447</v>
      </c>
      <c r="D23">
        <f t="shared" si="0"/>
        <v>0.51091077304061716</v>
      </c>
      <c r="E23">
        <f t="shared" si="0"/>
        <v>0.51091077304061716</v>
      </c>
      <c r="G23">
        <f t="shared" ca="1" si="1"/>
        <v>21</v>
      </c>
      <c r="H23">
        <f t="shared" ca="1" si="2"/>
        <v>10.729126233852961</v>
      </c>
      <c r="I23">
        <f t="shared" ca="1" si="3"/>
        <v>2353.3623411876642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81620</v>
      </c>
      <c r="B26" s="66">
        <v>81620</v>
      </c>
      <c r="D26">
        <f t="shared" si="0"/>
        <v>0.56776365672628115</v>
      </c>
      <c r="E26">
        <f t="shared" si="0"/>
        <v>0.56776365672628115</v>
      </c>
      <c r="G26">
        <f t="shared" ca="1" si="1"/>
        <v>24</v>
      </c>
      <c r="H26">
        <f t="shared" ca="1" si="2"/>
        <v>13.626327761430748</v>
      </c>
      <c r="I26">
        <f t="shared" ca="1" si="3"/>
        <v>2389.147005740972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86528</v>
      </c>
      <c r="B28" s="66">
        <v>86528</v>
      </c>
      <c r="D28">
        <f t="shared" si="0"/>
        <v>0.60190460290629322</v>
      </c>
      <c r="E28">
        <f t="shared" si="0"/>
        <v>0.60190460290629322</v>
      </c>
      <c r="G28">
        <f t="shared" ca="1" si="1"/>
        <v>26</v>
      </c>
      <c r="H28">
        <f t="shared" ca="1" si="2"/>
        <v>15.649519675563624</v>
      </c>
      <c r="I28">
        <f t="shared" ca="1" si="3"/>
        <v>2379.039621106177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86637</v>
      </c>
      <c r="B31" s="66">
        <v>86637</v>
      </c>
      <c r="D31">
        <f t="shared" si="0"/>
        <v>0.60266282685364891</v>
      </c>
      <c r="E31">
        <f t="shared" si="0"/>
        <v>0.60266282685364891</v>
      </c>
      <c r="G31">
        <f t="shared" ca="1" si="1"/>
        <v>29</v>
      </c>
      <c r="H31">
        <f t="shared" ca="1" si="2"/>
        <v>17.477221978755818</v>
      </c>
      <c r="I31">
        <f t="shared" ca="1" si="3"/>
        <v>2160.1273888488686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111224</v>
      </c>
      <c r="B33" s="66">
        <v>111224</v>
      </c>
      <c r="D33">
        <f t="shared" si="0"/>
        <v>0.7736944983548627</v>
      </c>
      <c r="E33">
        <f t="shared" si="0"/>
        <v>0.7736944983548627</v>
      </c>
      <c r="G33">
        <f t="shared" ca="1" si="1"/>
        <v>31</v>
      </c>
      <c r="H33">
        <f t="shared" ca="1" si="2"/>
        <v>23.984529449000743</v>
      </c>
      <c r="I33">
        <f t="shared" ca="1" si="3"/>
        <v>2590.9703771289146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105927</v>
      </c>
      <c r="B36" s="66">
        <v>105927</v>
      </c>
      <c r="D36">
        <f t="shared" si="0"/>
        <v>0.73684759698658153</v>
      </c>
      <c r="E36">
        <f t="shared" si="0"/>
        <v>0.73684759698658153</v>
      </c>
      <c r="G36">
        <f t="shared" ca="1" si="1"/>
        <v>34</v>
      </c>
      <c r="H36">
        <f t="shared" ca="1" si="2"/>
        <v>25.052818297543773</v>
      </c>
      <c r="I36">
        <f t="shared" ca="1" si="3"/>
        <v>2218.3639516783196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122877</v>
      </c>
      <c r="B39" s="66">
        <v>122877</v>
      </c>
      <c r="D39">
        <f t="shared" si="0"/>
        <v>0.85475489889188005</v>
      </c>
      <c r="E39">
        <f t="shared" si="0"/>
        <v>0.85475489889188005</v>
      </c>
      <c r="G39">
        <f t="shared" ca="1" si="1"/>
        <v>37</v>
      </c>
      <c r="H39">
        <f t="shared" ca="1" si="2"/>
        <v>31.625931258999561</v>
      </c>
      <c r="I39">
        <f t="shared" ca="1" si="3"/>
        <v>2299.6325458321712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115423</v>
      </c>
      <c r="B41" s="66">
        <v>115423</v>
      </c>
      <c r="D41">
        <f t="shared" si="0"/>
        <v>0.80290351078556177</v>
      </c>
      <c r="E41">
        <f t="shared" si="0"/>
        <v>0.80290351078556177</v>
      </c>
      <c r="G41">
        <f t="shared" ca="1" si="1"/>
        <v>39</v>
      </c>
      <c r="H41">
        <f t="shared" ca="1" si="2"/>
        <v>31.313236920636911</v>
      </c>
      <c r="I41">
        <f t="shared" ca="1" si="3"/>
        <v>1996.7597680907493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117586</v>
      </c>
      <c r="B44" s="66">
        <v>117586</v>
      </c>
      <c r="D44">
        <f t="shared" si="0"/>
        <v>0.81794973462161846</v>
      </c>
      <c r="E44">
        <f t="shared" si="0"/>
        <v>0.81794973462161846</v>
      </c>
      <c r="G44">
        <f t="shared" ca="1" si="1"/>
        <v>42</v>
      </c>
      <c r="H44">
        <f t="shared" ca="1" si="2"/>
        <v>34.353888854107979</v>
      </c>
      <c r="I44">
        <f t="shared" ca="1" si="3"/>
        <v>1796.7977927755906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136086</v>
      </c>
      <c r="B46" s="66">
        <v>136086</v>
      </c>
      <c r="D46">
        <f t="shared" si="0"/>
        <v>0.94663912018197371</v>
      </c>
      <c r="E46">
        <f t="shared" si="0"/>
        <v>0.94663912018197371</v>
      </c>
      <c r="G46">
        <f t="shared" ca="1" si="1"/>
        <v>44</v>
      </c>
      <c r="H46">
        <f t="shared" ca="1" si="2"/>
        <v>41.652121288006846</v>
      </c>
      <c r="I46">
        <f t="shared" ca="1" si="3"/>
        <v>1905.8051560575832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137377</v>
      </c>
      <c r="B49" s="66">
        <v>137377</v>
      </c>
      <c r="D49">
        <f t="shared" si="0"/>
        <v>0.95561955243918562</v>
      </c>
      <c r="E49">
        <f t="shared" si="0"/>
        <v>0.95561955243918562</v>
      </c>
      <c r="G49">
        <f t="shared" ca="1" si="1"/>
        <v>47</v>
      </c>
      <c r="H49">
        <f t="shared" ca="1" si="2"/>
        <v>44.914118964641723</v>
      </c>
      <c r="I49">
        <f t="shared" ca="1" si="3"/>
        <v>1675.2188970041213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137514</v>
      </c>
      <c r="B51" s="66">
        <v>137514</v>
      </c>
      <c r="D51">
        <f t="shared" si="0"/>
        <v>0.95657254951063253</v>
      </c>
      <c r="E51">
        <f t="shared" si="0"/>
        <v>0.95657254951063253</v>
      </c>
      <c r="G51">
        <f t="shared" ca="1" si="1"/>
        <v>49</v>
      </c>
      <c r="H51">
        <f t="shared" ca="1" si="2"/>
        <v>46.872054926020994</v>
      </c>
      <c r="I51">
        <f t="shared" ca="1" si="3"/>
        <v>1520.5126137620302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140274</v>
      </c>
      <c r="B54" s="66">
        <v>140274</v>
      </c>
      <c r="D54">
        <f t="shared" si="0"/>
        <v>0.97577161459963691</v>
      </c>
      <c r="E54">
        <f t="shared" si="0"/>
        <v>0.97577161459963691</v>
      </c>
      <c r="G54">
        <f t="shared" ca="1" si="1"/>
        <v>52</v>
      </c>
      <c r="H54">
        <f t="shared" ca="1" si="2"/>
        <v>50.740123959181119</v>
      </c>
      <c r="I54">
        <f t="shared" ca="1" si="3"/>
        <v>1326.3936713141061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139907</v>
      </c>
      <c r="B57" s="66">
        <v>139907</v>
      </c>
      <c r="D57">
        <f t="shared" si="0"/>
        <v>0.97321869543743955</v>
      </c>
      <c r="E57">
        <f t="shared" si="0"/>
        <v>0.97321869543743955</v>
      </c>
      <c r="G57">
        <f t="shared" ca="1" si="1"/>
        <v>55</v>
      </c>
      <c r="H57">
        <f t="shared" ca="1" si="2"/>
        <v>53.527028249059178</v>
      </c>
      <c r="I57">
        <f t="shared" ca="1" si="3"/>
        <v>1116.3924018855757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143757</v>
      </c>
      <c r="B59" s="66">
        <v>143757</v>
      </c>
      <c r="D59">
        <f t="shared" si="0"/>
        <v>1</v>
      </c>
      <c r="E59">
        <f t="shared" si="0"/>
        <v>1</v>
      </c>
      <c r="G59">
        <f t="shared" ca="1" si="1"/>
        <v>57</v>
      </c>
      <c r="H59">
        <f t="shared" ca="1" si="2"/>
        <v>57</v>
      </c>
      <c r="I59">
        <f t="shared" ca="1" si="3"/>
        <v>1015.6373384286086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136224</v>
      </c>
      <c r="B62" s="66">
        <v>136224</v>
      </c>
      <c r="D62">
        <f t="shared" si="0"/>
        <v>0.94759907343642391</v>
      </c>
      <c r="E62">
        <f t="shared" si="0"/>
        <v>0.94759907343642391</v>
      </c>
      <c r="G62">
        <f t="shared" ca="1" si="1"/>
        <v>60</v>
      </c>
      <c r="H62">
        <f t="shared" ca="1" si="2"/>
        <v>56.855944406185436</v>
      </c>
      <c r="I62">
        <f t="shared" ca="1" si="3"/>
        <v>789.75081063818823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127185</v>
      </c>
      <c r="B64" s="66">
        <v>127185</v>
      </c>
      <c r="D64">
        <f t="shared" si="0"/>
        <v>0.88472213526993471</v>
      </c>
      <c r="E64">
        <f t="shared" si="0"/>
        <v>0.88472213526993471</v>
      </c>
      <c r="G64">
        <f t="shared" ca="1" si="1"/>
        <v>62</v>
      </c>
      <c r="H64">
        <f t="shared" ca="1" si="2"/>
        <v>54.85277238673595</v>
      </c>
      <c r="I64">
        <f t="shared" ca="1" si="3"/>
        <v>638.72221095514908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111591</v>
      </c>
      <c r="B67" s="66">
        <v>111591</v>
      </c>
      <c r="D67">
        <f t="shared" ref="D67:E130" si="4">IFERROR( A67/MAX(A$2:A$257), 0 )</f>
        <v>0.77624741751706006</v>
      </c>
      <c r="E67">
        <f t="shared" si="4"/>
        <v>0.77624741751706006</v>
      </c>
      <c r="G67">
        <f t="shared" ref="G67:G130" ca="1" si="5">CELL("row",D67)-2</f>
        <v>65</v>
      </c>
      <c r="H67">
        <f t="shared" ref="H67:H130" ca="1" si="6">D67*G67</f>
        <v>50.456082138608906</v>
      </c>
      <c r="I67">
        <f t="shared" ref="I67:I130" ca="1" si="7">D67*((G67-$L$1)^2)</f>
        <v>442.25321861751411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96379</v>
      </c>
      <c r="B69" s="66">
        <v>96379</v>
      </c>
      <c r="D69">
        <f t="shared" si="4"/>
        <v>0.67042996167143165</v>
      </c>
      <c r="E69">
        <f t="shared" si="4"/>
        <v>0.67042996167143165</v>
      </c>
      <c r="G69">
        <f t="shared" ca="1" si="5"/>
        <v>67</v>
      </c>
      <c r="H69">
        <f t="shared" ca="1" si="6"/>
        <v>44.918807431985918</v>
      </c>
      <c r="I69">
        <f t="shared" ca="1" si="7"/>
        <v>320.6371702646494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86466</v>
      </c>
      <c r="B72" s="66">
        <v>86466</v>
      </c>
      <c r="D72">
        <f t="shared" si="4"/>
        <v>0.60147331956009098</v>
      </c>
      <c r="E72">
        <f t="shared" si="4"/>
        <v>0.60147331956009098</v>
      </c>
      <c r="G72">
        <f t="shared" ca="1" si="5"/>
        <v>70</v>
      </c>
      <c r="H72">
        <f t="shared" ca="1" si="6"/>
        <v>42.103132369206371</v>
      </c>
      <c r="I72">
        <f t="shared" ca="1" si="7"/>
        <v>214.1495437285347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81746</v>
      </c>
      <c r="B75" s="66">
        <v>81746</v>
      </c>
      <c r="D75">
        <f t="shared" si="4"/>
        <v>0.56864013578469219</v>
      </c>
      <c r="E75">
        <f t="shared" si="4"/>
        <v>0.56864013578469219</v>
      </c>
      <c r="G75">
        <f t="shared" ca="1" si="5"/>
        <v>73</v>
      </c>
      <c r="H75">
        <f t="shared" ca="1" si="6"/>
        <v>41.510729912282528</v>
      </c>
      <c r="I75">
        <f t="shared" ca="1" si="7"/>
        <v>143.19907659081071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75624</v>
      </c>
      <c r="B77" s="66">
        <v>75624</v>
      </c>
      <c r="D77">
        <f t="shared" si="4"/>
        <v>0.52605438343871946</v>
      </c>
      <c r="E77">
        <f t="shared" si="4"/>
        <v>0.52605438343871946</v>
      </c>
      <c r="G77">
        <f t="shared" ca="1" si="5"/>
        <v>75</v>
      </c>
      <c r="H77">
        <f t="shared" ca="1" si="6"/>
        <v>39.454078757903957</v>
      </c>
      <c r="I77">
        <f t="shared" ca="1" si="7"/>
        <v>101.18707564505168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69592</v>
      </c>
      <c r="B80" s="66">
        <v>69592</v>
      </c>
      <c r="D80">
        <f t="shared" si="4"/>
        <v>0.48409468756304042</v>
      </c>
      <c r="E80">
        <f t="shared" si="4"/>
        <v>0.48409468756304042</v>
      </c>
      <c r="G80">
        <f t="shared" ca="1" si="5"/>
        <v>78</v>
      </c>
      <c r="H80">
        <f t="shared" ca="1" si="6"/>
        <v>37.759385629917155</v>
      </c>
      <c r="I80">
        <f t="shared" ca="1" si="7"/>
        <v>57.189293556319278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67767</v>
      </c>
      <c r="B82" s="66">
        <v>67767</v>
      </c>
      <c r="D82">
        <f t="shared" si="4"/>
        <v>0.47139965358208646</v>
      </c>
      <c r="E82">
        <f t="shared" si="4"/>
        <v>0.47139965358208646</v>
      </c>
      <c r="G82">
        <f t="shared" ca="1" si="5"/>
        <v>80</v>
      </c>
      <c r="H82">
        <f t="shared" ca="1" si="6"/>
        <v>37.711972286566919</v>
      </c>
      <c r="I82">
        <f t="shared" ca="1" si="7"/>
        <v>37.080449278147718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61022</v>
      </c>
      <c r="B85" s="66">
        <v>61022</v>
      </c>
      <c r="D85">
        <f t="shared" si="4"/>
        <v>0.42448019922508123</v>
      </c>
      <c r="E85">
        <f t="shared" si="4"/>
        <v>0.42448019922508123</v>
      </c>
      <c r="G85">
        <f t="shared" ca="1" si="5"/>
        <v>83</v>
      </c>
      <c r="H85">
        <f t="shared" ca="1" si="6"/>
        <v>35.231856535681743</v>
      </c>
      <c r="I85">
        <f t="shared" ca="1" si="7"/>
        <v>14.62161536447524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56231</v>
      </c>
      <c r="B88" s="66">
        <v>56231</v>
      </c>
      <c r="D88">
        <f t="shared" si="4"/>
        <v>0.39115312645645084</v>
      </c>
      <c r="E88">
        <f t="shared" si="4"/>
        <v>0.39115312645645084</v>
      </c>
      <c r="G88">
        <f t="shared" ca="1" si="5"/>
        <v>86</v>
      </c>
      <c r="H88">
        <f t="shared" ca="1" si="6"/>
        <v>33.639168875254775</v>
      </c>
      <c r="I88">
        <f t="shared" ca="1" si="7"/>
        <v>3.2197914628343853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56390</v>
      </c>
      <c r="B90" s="66">
        <v>56390</v>
      </c>
      <c r="D90">
        <f t="shared" si="4"/>
        <v>0.39225915955396956</v>
      </c>
      <c r="E90">
        <f t="shared" si="4"/>
        <v>0.39225915955396956</v>
      </c>
      <c r="G90">
        <f t="shared" ca="1" si="5"/>
        <v>88</v>
      </c>
      <c r="H90">
        <f t="shared" ca="1" si="6"/>
        <v>34.518806040749318</v>
      </c>
      <c r="I90">
        <f t="shared" ca="1" si="7"/>
        <v>0.29626350291607573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55237</v>
      </c>
      <c r="B93" s="66">
        <v>55237</v>
      </c>
      <c r="D93">
        <f t="shared" si="4"/>
        <v>0.38423868055120797</v>
      </c>
      <c r="E93">
        <f t="shared" si="4"/>
        <v>0.38423868055120797</v>
      </c>
      <c r="G93">
        <f t="shared" ca="1" si="5"/>
        <v>91</v>
      </c>
      <c r="H93">
        <f t="shared" ca="1" si="6"/>
        <v>34.965719930159928</v>
      </c>
      <c r="I93">
        <f t="shared" ca="1" si="7"/>
        <v>1.7447823815821828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56176</v>
      </c>
      <c r="B95" s="66">
        <v>56176</v>
      </c>
      <c r="D95">
        <f t="shared" si="4"/>
        <v>0.39077053639127141</v>
      </c>
      <c r="E95">
        <f t="shared" si="4"/>
        <v>0.39077053639127141</v>
      </c>
      <c r="G95">
        <f t="shared" ca="1" si="5"/>
        <v>93</v>
      </c>
      <c r="H95">
        <f t="shared" ca="1" si="6"/>
        <v>36.341659884388243</v>
      </c>
      <c r="I95">
        <f t="shared" ca="1" si="7"/>
        <v>6.6683505185228578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53912</v>
      </c>
      <c r="B98" s="66">
        <v>53912</v>
      </c>
      <c r="D98">
        <f t="shared" si="4"/>
        <v>0.37502173807188521</v>
      </c>
      <c r="E98">
        <f t="shared" si="4"/>
        <v>0.37502173807188521</v>
      </c>
      <c r="G98">
        <f t="shared" ca="1" si="5"/>
        <v>96</v>
      </c>
      <c r="H98">
        <f t="shared" ca="1" si="6"/>
        <v>36.00208685490098</v>
      </c>
      <c r="I98">
        <f t="shared" ca="1" si="7"/>
        <v>19.069940235176375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62500</v>
      </c>
      <c r="B100" s="66">
        <v>62500</v>
      </c>
      <c r="D100">
        <f t="shared" si="4"/>
        <v>0.43476143770390313</v>
      </c>
      <c r="E100">
        <f t="shared" si="4"/>
        <v>0.43476143770390313</v>
      </c>
      <c r="G100">
        <f t="shared" ca="1" si="5"/>
        <v>98</v>
      </c>
      <c r="H100">
        <f t="shared" ca="1" si="6"/>
        <v>42.606620894982505</v>
      </c>
      <c r="I100">
        <f t="shared" ca="1" si="7"/>
        <v>36.247784500302714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63873</v>
      </c>
      <c r="B103" s="66">
        <v>63873</v>
      </c>
      <c r="D103">
        <f t="shared" si="4"/>
        <v>0.44431227696738246</v>
      </c>
      <c r="E103">
        <f t="shared" si="4"/>
        <v>0.44431227696738246</v>
      </c>
      <c r="G103">
        <f t="shared" ca="1" si="5"/>
        <v>101</v>
      </c>
      <c r="H103">
        <f t="shared" ca="1" si="6"/>
        <v>44.875539973705628</v>
      </c>
      <c r="I103">
        <f t="shared" ca="1" si="7"/>
        <v>65.384804005989963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70361</v>
      </c>
      <c r="B106" s="66">
        <v>70361</v>
      </c>
      <c r="D106">
        <f t="shared" si="4"/>
        <v>0.48944399229254926</v>
      </c>
      <c r="E106">
        <f t="shared" si="4"/>
        <v>0.48944399229254926</v>
      </c>
      <c r="G106">
        <f t="shared" ca="1" si="5"/>
        <v>104</v>
      </c>
      <c r="H106">
        <f t="shared" ca="1" si="6"/>
        <v>50.90217519842512</v>
      </c>
      <c r="I106">
        <f t="shared" ca="1" si="7"/>
        <v>112.05584174841447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69497</v>
      </c>
      <c r="B108" s="66">
        <v>69497</v>
      </c>
      <c r="D108">
        <f t="shared" si="4"/>
        <v>0.4834338501777305</v>
      </c>
      <c r="E108">
        <f t="shared" si="4"/>
        <v>0.4834338501777305</v>
      </c>
      <c r="G108">
        <f t="shared" ca="1" si="5"/>
        <v>106</v>
      </c>
      <c r="H108">
        <f t="shared" ca="1" si="6"/>
        <v>51.243988118839432</v>
      </c>
      <c r="I108">
        <f t="shared" ca="1" si="7"/>
        <v>141.87280770520474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72104</v>
      </c>
      <c r="B111" s="66">
        <v>72104</v>
      </c>
      <c r="D111">
        <f t="shared" si="4"/>
        <v>0.50156861926723573</v>
      </c>
      <c r="E111">
        <f t="shared" si="4"/>
        <v>0.50156861926723573</v>
      </c>
      <c r="G111">
        <f t="shared" ca="1" si="5"/>
        <v>109</v>
      </c>
      <c r="H111">
        <f t="shared" ca="1" si="6"/>
        <v>54.670979500128695</v>
      </c>
      <c r="I111">
        <f t="shared" ca="1" si="7"/>
        <v>203.26295115677627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82208</v>
      </c>
      <c r="B113" s="66">
        <v>82208</v>
      </c>
      <c r="D113">
        <f t="shared" si="4"/>
        <v>0.57185389233219952</v>
      </c>
      <c r="E113">
        <f t="shared" si="4"/>
        <v>0.57185389233219952</v>
      </c>
      <c r="G113">
        <f t="shared" ca="1" si="5"/>
        <v>111</v>
      </c>
      <c r="H113">
        <f t="shared" ca="1" si="6"/>
        <v>63.475782048874144</v>
      </c>
      <c r="I113">
        <f t="shared" ca="1" si="7"/>
        <v>280.08160438811791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84524</v>
      </c>
      <c r="B116" s="66">
        <v>84524</v>
      </c>
      <c r="D116">
        <f t="shared" si="4"/>
        <v>0.5879644121677553</v>
      </c>
      <c r="E116">
        <f t="shared" si="4"/>
        <v>0.5879644121677553</v>
      </c>
      <c r="G116">
        <f t="shared" ca="1" si="5"/>
        <v>114</v>
      </c>
      <c r="H116">
        <f t="shared" ca="1" si="6"/>
        <v>67.027942987124106</v>
      </c>
      <c r="I116">
        <f t="shared" ca="1" si="7"/>
        <v>371.33707769215539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87200</v>
      </c>
      <c r="B118" s="66">
        <v>87200</v>
      </c>
      <c r="D118">
        <f t="shared" si="4"/>
        <v>0.60657915788448558</v>
      </c>
      <c r="E118">
        <f t="shared" si="4"/>
        <v>0.60657915788448558</v>
      </c>
      <c r="G118">
        <f t="shared" ca="1" si="5"/>
        <v>116</v>
      </c>
      <c r="H118">
        <f t="shared" ca="1" si="6"/>
        <v>70.363182314600323</v>
      </c>
      <c r="I118">
        <f t="shared" ca="1" si="7"/>
        <v>446.49539935316119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93593</v>
      </c>
      <c r="B121" s="66">
        <v>93593</v>
      </c>
      <c r="D121">
        <f t="shared" si="4"/>
        <v>0.65105003582434251</v>
      </c>
      <c r="E121">
        <f t="shared" si="4"/>
        <v>0.65105003582434251</v>
      </c>
      <c r="G121">
        <f t="shared" ca="1" si="5"/>
        <v>119</v>
      </c>
      <c r="H121">
        <f t="shared" ca="1" si="6"/>
        <v>77.474954263096762</v>
      </c>
      <c r="I121">
        <f t="shared" ca="1" si="7"/>
        <v>591.07088680526329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99027</v>
      </c>
      <c r="B124" s="66">
        <v>99027</v>
      </c>
      <c r="D124">
        <f t="shared" si="4"/>
        <v>0.6888499342640706</v>
      </c>
      <c r="E124">
        <f t="shared" si="4"/>
        <v>0.6888499342640706</v>
      </c>
      <c r="G124">
        <f t="shared" ca="1" si="5"/>
        <v>122</v>
      </c>
      <c r="H124">
        <f t="shared" ca="1" si="6"/>
        <v>84.039691980216617</v>
      </c>
      <c r="I124">
        <f t="shared" ca="1" si="7"/>
        <v>756.12220473086597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98267</v>
      </c>
      <c r="B126" s="66">
        <v>98267</v>
      </c>
      <c r="D126">
        <f t="shared" si="4"/>
        <v>0.68356323518159112</v>
      </c>
      <c r="E126">
        <f t="shared" si="4"/>
        <v>0.68356323518159112</v>
      </c>
      <c r="G126">
        <f t="shared" ca="1" si="5"/>
        <v>124</v>
      </c>
      <c r="H126">
        <f t="shared" ca="1" si="6"/>
        <v>84.7618411625173</v>
      </c>
      <c r="I126">
        <f t="shared" ca="1" si="7"/>
        <v>843.64182077950557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103176</v>
      </c>
      <c r="B129" s="66">
        <v>103176</v>
      </c>
      <c r="D129">
        <f t="shared" si="4"/>
        <v>0.71771113754460647</v>
      </c>
      <c r="E129">
        <f t="shared" si="4"/>
        <v>0.71771113754460647</v>
      </c>
      <c r="G129">
        <f t="shared" ca="1" si="5"/>
        <v>127</v>
      </c>
      <c r="H129">
        <f t="shared" ca="1" si="6"/>
        <v>91.149314468165016</v>
      </c>
      <c r="I129">
        <f t="shared" ca="1" si="7"/>
        <v>1043.5291440409364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102209</v>
      </c>
      <c r="B131" s="66">
        <v>102209</v>
      </c>
      <c r="D131">
        <f t="shared" ref="D131:E194" si="8">IFERROR( A131/MAX(A$2:A$257), 0 )</f>
        <v>0.7109845085804517</v>
      </c>
      <c r="E131">
        <f t="shared" si="8"/>
        <v>0.7109845085804517</v>
      </c>
      <c r="G131">
        <f t="shared" ref="G131:G194" ca="1" si="9">CELL("row",D131)-2</f>
        <v>129</v>
      </c>
      <c r="H131">
        <f t="shared" ref="H131:H194" ca="1" si="10">D131*G131</f>
        <v>91.71700160687827</v>
      </c>
      <c r="I131">
        <f t="shared" ref="I131:I194" ca="1" si="11">D131*((G131-$L$1)^2)</f>
        <v>1145.0347925121744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94799</v>
      </c>
      <c r="B134" s="66">
        <v>94799</v>
      </c>
      <c r="D134">
        <f t="shared" si="8"/>
        <v>0.65943919252627703</v>
      </c>
      <c r="E134">
        <f t="shared" si="8"/>
        <v>0.65943919252627703</v>
      </c>
      <c r="G134">
        <f t="shared" ca="1" si="9"/>
        <v>132</v>
      </c>
      <c r="H134">
        <f t="shared" ca="1" si="10"/>
        <v>87.045973413468573</v>
      </c>
      <c r="I134">
        <f t="shared" ca="1" si="11"/>
        <v>1226.7398973179693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87022</v>
      </c>
      <c r="B136" s="66">
        <v>87022</v>
      </c>
      <c r="D136">
        <f t="shared" si="8"/>
        <v>0.60534095730990489</v>
      </c>
      <c r="E136">
        <f t="shared" si="8"/>
        <v>0.60534095730990489</v>
      </c>
      <c r="G136">
        <f t="shared" ca="1" si="9"/>
        <v>134</v>
      </c>
      <c r="H136">
        <f t="shared" ca="1" si="10"/>
        <v>81.115688279527262</v>
      </c>
      <c r="I136">
        <f t="shared" ca="1" si="11"/>
        <v>1232.9592156085555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93110</v>
      </c>
      <c r="B139" s="66">
        <v>93110</v>
      </c>
      <c r="D139">
        <f t="shared" si="8"/>
        <v>0.64769019943376671</v>
      </c>
      <c r="E139">
        <f t="shared" si="8"/>
        <v>0.64769019943376671</v>
      </c>
      <c r="G139">
        <f t="shared" ca="1" si="9"/>
        <v>137</v>
      </c>
      <c r="H139">
        <f t="shared" ca="1" si="10"/>
        <v>88.733557322426037</v>
      </c>
      <c r="I139">
        <f t="shared" ca="1" si="11"/>
        <v>1500.4306001378561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96450</v>
      </c>
      <c r="B142" s="66">
        <v>96450</v>
      </c>
      <c r="D142">
        <f t="shared" si="8"/>
        <v>0.67092385066466331</v>
      </c>
      <c r="E142">
        <f t="shared" si="8"/>
        <v>0.67092385066466331</v>
      </c>
      <c r="G142">
        <f t="shared" ca="1" si="9"/>
        <v>140</v>
      </c>
      <c r="H142">
        <f t="shared" ca="1" si="10"/>
        <v>93.92933909305286</v>
      </c>
      <c r="I142">
        <f t="shared" ca="1" si="11"/>
        <v>1754.0448370595539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90301</v>
      </c>
      <c r="B144" s="66">
        <v>90301</v>
      </c>
      <c r="D144">
        <f t="shared" si="8"/>
        <v>0.62815028137760254</v>
      </c>
      <c r="E144">
        <f t="shared" si="8"/>
        <v>0.62815028137760254</v>
      </c>
      <c r="G144">
        <f t="shared" ca="1" si="9"/>
        <v>142</v>
      </c>
      <c r="H144">
        <f t="shared" ca="1" si="10"/>
        <v>89.197339955619555</v>
      </c>
      <c r="I144">
        <f t="shared" ca="1" si="11"/>
        <v>1773.2030401520576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96821</v>
      </c>
      <c r="B147" s="66">
        <v>96821</v>
      </c>
      <c r="D147">
        <f t="shared" si="8"/>
        <v>0.67350459455887368</v>
      </c>
      <c r="E147">
        <f t="shared" si="8"/>
        <v>0.67350459455887368</v>
      </c>
      <c r="G147">
        <f t="shared" ca="1" si="9"/>
        <v>145</v>
      </c>
      <c r="H147">
        <f t="shared" ca="1" si="10"/>
        <v>97.658166211036686</v>
      </c>
      <c r="I147">
        <f t="shared" ca="1" si="11"/>
        <v>2121.9986705086999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95552</v>
      </c>
      <c r="B149" s="66">
        <v>95552</v>
      </c>
      <c r="D149">
        <f t="shared" si="8"/>
        <v>0.66467719832773364</v>
      </c>
      <c r="E149">
        <f t="shared" si="8"/>
        <v>0.66467719832773364</v>
      </c>
      <c r="G149">
        <f t="shared" ca="1" si="9"/>
        <v>147</v>
      </c>
      <c r="H149">
        <f t="shared" ca="1" si="10"/>
        <v>97.707548154176848</v>
      </c>
      <c r="I149">
        <f t="shared" ca="1" si="11"/>
        <v>2246.0808716501979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95323</v>
      </c>
      <c r="B152" s="66">
        <v>95323</v>
      </c>
      <c r="D152">
        <f t="shared" si="8"/>
        <v>0.66308423241998649</v>
      </c>
      <c r="E152">
        <f t="shared" si="8"/>
        <v>0.66308423241998649</v>
      </c>
      <c r="G152">
        <f t="shared" ca="1" si="9"/>
        <v>150</v>
      </c>
      <c r="H152">
        <f t="shared" ca="1" si="10"/>
        <v>99.462634862997973</v>
      </c>
      <c r="I152">
        <f t="shared" ca="1" si="11"/>
        <v>2477.939906855051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107209</v>
      </c>
      <c r="B154" s="66">
        <v>107209</v>
      </c>
      <c r="D154">
        <f t="shared" si="8"/>
        <v>0.74576542359676401</v>
      </c>
      <c r="E154">
        <f t="shared" si="8"/>
        <v>0.74576542359676401</v>
      </c>
      <c r="G154">
        <f t="shared" ca="1" si="9"/>
        <v>152</v>
      </c>
      <c r="H154">
        <f t="shared" ca="1" si="10"/>
        <v>113.35634438670813</v>
      </c>
      <c r="I154">
        <f t="shared" ca="1" si="11"/>
        <v>2972.2591970016097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102442</v>
      </c>
      <c r="B157" s="66">
        <v>102442</v>
      </c>
      <c r="D157">
        <f t="shared" si="8"/>
        <v>0.71260529922021187</v>
      </c>
      <c r="E157">
        <f t="shared" si="8"/>
        <v>0.71260529922021187</v>
      </c>
      <c r="G157">
        <f t="shared" ca="1" si="9"/>
        <v>155</v>
      </c>
      <c r="H157">
        <f t="shared" ca="1" si="10"/>
        <v>110.45382137913285</v>
      </c>
      <c r="I157">
        <f t="shared" ca="1" si="11"/>
        <v>3116.4371060225712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94051</v>
      </c>
      <c r="B160" s="66">
        <v>94051</v>
      </c>
      <c r="D160">
        <f t="shared" si="8"/>
        <v>0.65423596763983671</v>
      </c>
      <c r="E160">
        <f t="shared" si="8"/>
        <v>0.65423596763983671</v>
      </c>
      <c r="G160">
        <f t="shared" ca="1" si="9"/>
        <v>158</v>
      </c>
      <c r="H160">
        <f t="shared" ca="1" si="10"/>
        <v>103.3692828870942</v>
      </c>
      <c r="I160">
        <f t="shared" ca="1" si="11"/>
        <v>3126.6500185672157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89536</v>
      </c>
      <c r="B162" s="66">
        <v>89536</v>
      </c>
      <c r="D162">
        <f t="shared" si="8"/>
        <v>0.62282880138010666</v>
      </c>
      <c r="E162">
        <f t="shared" si="8"/>
        <v>0.62282880138010666</v>
      </c>
      <c r="G162">
        <f t="shared" ca="1" si="9"/>
        <v>160</v>
      </c>
      <c r="H162">
        <f t="shared" ca="1" si="10"/>
        <v>99.652608220817058</v>
      </c>
      <c r="I162">
        <f t="shared" ca="1" si="11"/>
        <v>3151.2707302751273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86672</v>
      </c>
      <c r="B165" s="66">
        <v>86672</v>
      </c>
      <c r="D165">
        <f t="shared" si="8"/>
        <v>0.6029062932587631</v>
      </c>
      <c r="E165">
        <f t="shared" si="8"/>
        <v>0.6029062932587631</v>
      </c>
      <c r="G165">
        <f t="shared" ca="1" si="9"/>
        <v>163</v>
      </c>
      <c r="H165">
        <f t="shared" ca="1" si="10"/>
        <v>98.273725801178387</v>
      </c>
      <c r="I165">
        <f t="shared" ca="1" si="11"/>
        <v>3313.2084970303736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70203</v>
      </c>
      <c r="B167" s="66">
        <v>70203</v>
      </c>
      <c r="D167">
        <f t="shared" si="8"/>
        <v>0.48834491537803376</v>
      </c>
      <c r="E167">
        <f t="shared" si="8"/>
        <v>0.48834491537803376</v>
      </c>
      <c r="G167">
        <f t="shared" ca="1" si="9"/>
        <v>165</v>
      </c>
      <c r="H167">
        <f t="shared" ca="1" si="10"/>
        <v>80.576911037375567</v>
      </c>
      <c r="I167">
        <f t="shared" ca="1" si="11"/>
        <v>2830.4076623092456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48608</v>
      </c>
      <c r="B170" s="66">
        <v>48608</v>
      </c>
      <c r="D170">
        <f t="shared" si="8"/>
        <v>0.33812614342258118</v>
      </c>
      <c r="E170">
        <f t="shared" si="8"/>
        <v>0.33812614342258118</v>
      </c>
      <c r="G170">
        <f t="shared" ca="1" si="9"/>
        <v>168</v>
      </c>
      <c r="H170">
        <f t="shared" ca="1" si="10"/>
        <v>56.805192094993636</v>
      </c>
      <c r="I170">
        <f t="shared" ca="1" si="11"/>
        <v>2117.2460913604968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35146</v>
      </c>
      <c r="B173" s="66">
        <v>35146</v>
      </c>
      <c r="D173">
        <f t="shared" si="8"/>
        <v>0.24448200783266205</v>
      </c>
      <c r="E173">
        <f t="shared" si="8"/>
        <v>0.24448200783266205</v>
      </c>
      <c r="G173">
        <f t="shared" ca="1" si="9"/>
        <v>171</v>
      </c>
      <c r="H173">
        <f t="shared" ca="1" si="10"/>
        <v>41.806423339385212</v>
      </c>
      <c r="I173">
        <f t="shared" ca="1" si="11"/>
        <v>1649.1510356296833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26695</v>
      </c>
      <c r="B175" s="66">
        <v>26695</v>
      </c>
      <c r="D175">
        <f t="shared" si="8"/>
        <v>0.1856953052720911</v>
      </c>
      <c r="E175">
        <f t="shared" si="8"/>
        <v>0.1856953052720911</v>
      </c>
      <c r="G175">
        <f t="shared" ca="1" si="9"/>
        <v>173</v>
      </c>
      <c r="H175">
        <f t="shared" ca="1" si="10"/>
        <v>32.125287812071761</v>
      </c>
      <c r="I175">
        <f t="shared" ca="1" si="11"/>
        <v>1314.3539951510134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14077</v>
      </c>
      <c r="B178" s="66">
        <v>14077</v>
      </c>
      <c r="D178">
        <f t="shared" si="8"/>
        <v>9.7922188136925506E-2</v>
      </c>
      <c r="E178">
        <f t="shared" si="8"/>
        <v>9.7922188136925506E-2</v>
      </c>
      <c r="G178">
        <f t="shared" ca="1" si="9"/>
        <v>176</v>
      </c>
      <c r="H178">
        <f t="shared" ca="1" si="10"/>
        <v>17.234305112098887</v>
      </c>
      <c r="I178">
        <f t="shared" ca="1" si="11"/>
        <v>743.40564241610537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8816</v>
      </c>
      <c r="B180" s="66">
        <v>8816</v>
      </c>
      <c r="D180">
        <f t="shared" si="8"/>
        <v>6.1325709356761758E-2</v>
      </c>
      <c r="E180">
        <f t="shared" si="8"/>
        <v>6.1325709356761758E-2</v>
      </c>
      <c r="G180">
        <f t="shared" ca="1" si="9"/>
        <v>178</v>
      </c>
      <c r="H180">
        <f t="shared" ca="1" si="10"/>
        <v>10.915976265503593</v>
      </c>
      <c r="I180">
        <f t="shared" ca="1" si="11"/>
        <v>487.19127262417589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4135</v>
      </c>
      <c r="B183" s="66">
        <v>4135</v>
      </c>
      <c r="D183">
        <f t="shared" si="8"/>
        <v>2.876381671849023E-2</v>
      </c>
      <c r="E183">
        <f t="shared" si="8"/>
        <v>2.876381671849023E-2</v>
      </c>
      <c r="G183">
        <f t="shared" ca="1" si="9"/>
        <v>181</v>
      </c>
      <c r="H183">
        <f t="shared" ca="1" si="10"/>
        <v>5.2062508260467313</v>
      </c>
      <c r="I183">
        <f t="shared" ca="1" si="11"/>
        <v>244.15041398935162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2867</v>
      </c>
      <c r="B185" s="66">
        <v>2867</v>
      </c>
      <c r="D185">
        <f t="shared" si="8"/>
        <v>1.9943376670353445E-2</v>
      </c>
      <c r="E185">
        <f t="shared" si="8"/>
        <v>1.9943376670353445E-2</v>
      </c>
      <c r="G185">
        <f t="shared" ca="1" si="9"/>
        <v>183</v>
      </c>
      <c r="H185">
        <f t="shared" ca="1" si="10"/>
        <v>3.6496379306746807</v>
      </c>
      <c r="I185">
        <f t="shared" ca="1" si="11"/>
        <v>176.71093791097297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1758</v>
      </c>
      <c r="B188" s="66">
        <v>1758</v>
      </c>
      <c r="D188">
        <f t="shared" si="8"/>
        <v>1.2228969719735387E-2</v>
      </c>
      <c r="E188">
        <f t="shared" si="8"/>
        <v>1.2228969719735387E-2</v>
      </c>
      <c r="G188">
        <f t="shared" ca="1" si="9"/>
        <v>186</v>
      </c>
      <c r="H188">
        <f t="shared" ca="1" si="10"/>
        <v>2.2745883678707819</v>
      </c>
      <c r="I188">
        <f t="shared" ca="1" si="11"/>
        <v>115.37321729111089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521</v>
      </c>
      <c r="B191" s="66">
        <v>521</v>
      </c>
      <c r="D191">
        <f t="shared" si="8"/>
        <v>3.6241713446997365E-3</v>
      </c>
      <c r="E191">
        <f t="shared" si="8"/>
        <v>3.6241713446997365E-3</v>
      </c>
      <c r="G191">
        <f t="shared" ca="1" si="9"/>
        <v>189</v>
      </c>
      <c r="H191">
        <f t="shared" ca="1" si="10"/>
        <v>0.68496838414825023</v>
      </c>
      <c r="I191">
        <f t="shared" ca="1" si="11"/>
        <v>36.336681362370562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68.493608942934969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1.3217171427359962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0.75034637760296441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13759</v>
      </c>
      <c r="B8" s="66">
        <v>13759</v>
      </c>
      <c r="D8">
        <f t="shared" si="0"/>
        <v>19.91143398793071</v>
      </c>
      <c r="E8">
        <f t="shared" si="1"/>
        <v>19.91143398793071</v>
      </c>
      <c r="G8">
        <f t="shared" ca="1" si="2"/>
        <v>6</v>
      </c>
      <c r="H8">
        <f t="shared" ca="1" si="3"/>
        <v>119.46860392758427</v>
      </c>
      <c r="I8">
        <f t="shared" ca="1" si="4"/>
        <v>77763.132939791089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16537</v>
      </c>
      <c r="B10" s="66">
        <v>16537</v>
      </c>
      <c r="D10">
        <f t="shared" si="0"/>
        <v>23.931636300487693</v>
      </c>
      <c r="E10">
        <f t="shared" si="1"/>
        <v>23.931636300487693</v>
      </c>
      <c r="G10">
        <f t="shared" ca="1" si="2"/>
        <v>8</v>
      </c>
      <c r="H10">
        <f t="shared" ca="1" si="3"/>
        <v>191.45309040390154</v>
      </c>
      <c r="I10">
        <f t="shared" ca="1" si="4"/>
        <v>87577.265983518402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24477</v>
      </c>
      <c r="B13" s="66">
        <v>24477</v>
      </c>
      <c r="D13">
        <f t="shared" si="0"/>
        <v>35.422063356536086</v>
      </c>
      <c r="E13">
        <f t="shared" si="1"/>
        <v>35.422063356536086</v>
      </c>
      <c r="G13">
        <f t="shared" ca="1" si="2"/>
        <v>11</v>
      </c>
      <c r="H13">
        <f t="shared" ca="1" si="3"/>
        <v>389.64269692189691</v>
      </c>
      <c r="I13">
        <f t="shared" ca="1" si="4"/>
        <v>117088.16421013186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31251</v>
      </c>
      <c r="B15" s="66">
        <v>31251</v>
      </c>
      <c r="D15">
        <f t="shared" si="0"/>
        <v>45.225105280676111</v>
      </c>
      <c r="E15">
        <f t="shared" si="1"/>
        <v>45.225105280676111</v>
      </c>
      <c r="G15">
        <f t="shared" ca="1" si="2"/>
        <v>13</v>
      </c>
      <c r="H15">
        <f t="shared" ca="1" si="3"/>
        <v>587.92636864878943</v>
      </c>
      <c r="I15">
        <f t="shared" ca="1" si="4"/>
        <v>139272.54936667273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41246</v>
      </c>
      <c r="B18" s="66">
        <v>41246</v>
      </c>
      <c r="D18">
        <f t="shared" si="0"/>
        <v>59.689440094933502</v>
      </c>
      <c r="E18">
        <f t="shared" si="1"/>
        <v>59.689440094933502</v>
      </c>
      <c r="G18">
        <f t="shared" ca="1" si="2"/>
        <v>16</v>
      </c>
      <c r="H18">
        <f t="shared" ca="1" si="3"/>
        <v>955.03104151893604</v>
      </c>
      <c r="I18">
        <f t="shared" ca="1" si="4"/>
        <v>164478.96644484031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44099</v>
      </c>
      <c r="B21" s="66">
        <v>44099</v>
      </c>
      <c r="D21">
        <f t="shared" si="0"/>
        <v>63.818179186987166</v>
      </c>
      <c r="E21">
        <f t="shared" si="1"/>
        <v>63.818179186987166</v>
      </c>
      <c r="G21">
        <f t="shared" ca="1" si="2"/>
        <v>19</v>
      </c>
      <c r="H21">
        <f t="shared" ca="1" si="3"/>
        <v>1212.5454045527561</v>
      </c>
      <c r="I21">
        <f t="shared" ca="1" si="4"/>
        <v>156330.11746273571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51631</v>
      </c>
      <c r="B23" s="66">
        <v>51631</v>
      </c>
      <c r="D23">
        <f t="shared" si="0"/>
        <v>74.718166162573624</v>
      </c>
      <c r="E23">
        <f t="shared" si="1"/>
        <v>74.718166162573624</v>
      </c>
      <c r="G23">
        <f t="shared" ca="1" si="2"/>
        <v>21</v>
      </c>
      <c r="H23">
        <f t="shared" ca="1" si="3"/>
        <v>1569.081489414046</v>
      </c>
      <c r="I23">
        <f t="shared" ca="1" si="4"/>
        <v>168537.50029016059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53285</v>
      </c>
      <c r="B26" s="66">
        <v>53285</v>
      </c>
      <c r="D26">
        <f t="shared" si="0"/>
        <v>77.111763939740385</v>
      </c>
      <c r="E26">
        <f t="shared" si="1"/>
        <v>77.111763939740385</v>
      </c>
      <c r="G26">
        <f t="shared" ca="1" si="2"/>
        <v>24</v>
      </c>
      <c r="H26">
        <f t="shared" ca="1" si="3"/>
        <v>1850.6823345537691</v>
      </c>
      <c r="I26">
        <f t="shared" ca="1" si="4"/>
        <v>152656.71220549653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52167</v>
      </c>
      <c r="B28" s="66">
        <v>52167</v>
      </c>
      <c r="D28">
        <f t="shared" si="0"/>
        <v>75.493842346709883</v>
      </c>
      <c r="E28">
        <f t="shared" si="1"/>
        <v>75.493842346709883</v>
      </c>
      <c r="G28">
        <f t="shared" ca="1" si="2"/>
        <v>26</v>
      </c>
      <c r="H28">
        <f t="shared" ca="1" si="3"/>
        <v>1962.8399010144569</v>
      </c>
      <c r="I28">
        <f t="shared" ca="1" si="4"/>
        <v>136319.74455870461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44379</v>
      </c>
      <c r="B31" s="66">
        <v>44379</v>
      </c>
      <c r="D31">
        <f t="shared" si="0"/>
        <v>64.22338316377477</v>
      </c>
      <c r="E31">
        <f t="shared" si="1"/>
        <v>64.22338316377477</v>
      </c>
      <c r="G31">
        <f t="shared" ca="1" si="2"/>
        <v>29</v>
      </c>
      <c r="H31">
        <f t="shared" ca="1" si="3"/>
        <v>1862.4781117494683</v>
      </c>
      <c r="I31">
        <f t="shared" ca="1" si="4"/>
        <v>100172.11023529286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63784</v>
      </c>
      <c r="B33" s="66">
        <v>63784</v>
      </c>
      <c r="D33">
        <f t="shared" si="0"/>
        <v>92.305465912215453</v>
      </c>
      <c r="E33">
        <f t="shared" si="1"/>
        <v>92.305465912215453</v>
      </c>
      <c r="G33">
        <f t="shared" ca="1" si="2"/>
        <v>31</v>
      </c>
      <c r="H33">
        <f t="shared" ca="1" si="3"/>
        <v>2861.4694432786791</v>
      </c>
      <c r="I33">
        <f t="shared" ca="1" si="4"/>
        <v>129760.32049682165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59072</v>
      </c>
      <c r="B36" s="66">
        <v>59072</v>
      </c>
      <c r="D36">
        <f t="shared" si="0"/>
        <v>85.486461845704113</v>
      </c>
      <c r="E36">
        <f t="shared" si="1"/>
        <v>85.486461845704113</v>
      </c>
      <c r="G36">
        <f t="shared" ca="1" si="2"/>
        <v>34</v>
      </c>
      <c r="H36">
        <f t="shared" ca="1" si="3"/>
        <v>2906.5397027539398</v>
      </c>
      <c r="I36">
        <f t="shared" ca="1" si="4"/>
        <v>101712.56663253595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69101</v>
      </c>
      <c r="B39" s="66">
        <v>69101</v>
      </c>
      <c r="D39">
        <f t="shared" si="0"/>
        <v>100</v>
      </c>
      <c r="E39">
        <f t="shared" si="1"/>
        <v>100</v>
      </c>
      <c r="G39">
        <f t="shared" ca="1" si="2"/>
        <v>37</v>
      </c>
      <c r="H39">
        <f t="shared" ca="1" si="3"/>
        <v>3700</v>
      </c>
      <c r="I39">
        <f t="shared" ca="1" si="4"/>
        <v>99184.74042505135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56213</v>
      </c>
      <c r="B41" s="66">
        <v>56213</v>
      </c>
      <c r="D41">
        <f t="shared" si="0"/>
        <v>81.349039811290723</v>
      </c>
      <c r="E41">
        <f t="shared" si="1"/>
        <v>81.349039811290723</v>
      </c>
      <c r="G41">
        <f t="shared" ca="1" si="2"/>
        <v>39</v>
      </c>
      <c r="H41">
        <f t="shared" ca="1" si="3"/>
        <v>3172.612552640338</v>
      </c>
      <c r="I41">
        <f t="shared" ca="1" si="4"/>
        <v>70763.33074354539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52802</v>
      </c>
      <c r="B44" s="66">
        <v>52802</v>
      </c>
      <c r="D44">
        <f t="shared" si="0"/>
        <v>76.412787079781765</v>
      </c>
      <c r="E44">
        <f t="shared" si="1"/>
        <v>76.412787079781765</v>
      </c>
      <c r="G44">
        <f t="shared" ca="1" si="2"/>
        <v>42</v>
      </c>
      <c r="H44">
        <f t="shared" ca="1" si="3"/>
        <v>3209.3370573508341</v>
      </c>
      <c r="I44">
        <f t="shared" ca="1" si="4"/>
        <v>53634.999848319254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57576</v>
      </c>
      <c r="B46" s="66">
        <v>57576</v>
      </c>
      <c r="D46">
        <f t="shared" si="0"/>
        <v>83.321514884010355</v>
      </c>
      <c r="E46">
        <f t="shared" si="1"/>
        <v>83.321514884010355</v>
      </c>
      <c r="G46">
        <f t="shared" ca="1" si="2"/>
        <v>44</v>
      </c>
      <c r="H46">
        <f t="shared" ca="1" si="3"/>
        <v>3666.1466548964554</v>
      </c>
      <c r="I46">
        <f t="shared" ca="1" si="4"/>
        <v>49987.649597183292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53893</v>
      </c>
      <c r="B49" s="66">
        <v>53893</v>
      </c>
      <c r="D49">
        <f t="shared" si="0"/>
        <v>77.991635432193462</v>
      </c>
      <c r="E49">
        <f t="shared" si="1"/>
        <v>77.991635432193462</v>
      </c>
      <c r="G49">
        <f t="shared" ca="1" si="2"/>
        <v>47</v>
      </c>
      <c r="H49">
        <f t="shared" ca="1" si="3"/>
        <v>3665.6068653130928</v>
      </c>
      <c r="I49">
        <f t="shared" ca="1" si="4"/>
        <v>36030.203357463768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54694</v>
      </c>
      <c r="B51" s="66">
        <v>54694</v>
      </c>
      <c r="D51">
        <f t="shared" si="0"/>
        <v>79.150808237217987</v>
      </c>
      <c r="E51">
        <f t="shared" si="1"/>
        <v>79.150808237217987</v>
      </c>
      <c r="G51">
        <f t="shared" ca="1" si="2"/>
        <v>49</v>
      </c>
      <c r="H51">
        <f t="shared" ca="1" si="3"/>
        <v>3878.3896036236815</v>
      </c>
      <c r="I51">
        <f t="shared" ca="1" si="4"/>
        <v>30077.369629209908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57240</v>
      </c>
      <c r="B54" s="66">
        <v>57240</v>
      </c>
      <c r="D54">
        <f t="shared" si="0"/>
        <v>82.835270111865242</v>
      </c>
      <c r="E54">
        <f t="shared" si="1"/>
        <v>82.835270111865242</v>
      </c>
      <c r="G54">
        <f t="shared" ca="1" si="2"/>
        <v>52</v>
      </c>
      <c r="H54">
        <f t="shared" ca="1" si="3"/>
        <v>4307.4340458169927</v>
      </c>
      <c r="I54">
        <f t="shared" ca="1" si="4"/>
        <v>22534.43530844917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58160</v>
      </c>
      <c r="B57" s="66">
        <v>58160</v>
      </c>
      <c r="D57">
        <f t="shared" si="0"/>
        <v>84.166654607024498</v>
      </c>
      <c r="E57">
        <f t="shared" si="1"/>
        <v>84.166654607024498</v>
      </c>
      <c r="G57">
        <f t="shared" ca="1" si="2"/>
        <v>55</v>
      </c>
      <c r="H57">
        <f t="shared" ca="1" si="3"/>
        <v>4629.1660033863473</v>
      </c>
      <c r="I57">
        <f t="shared" ca="1" si="4"/>
        <v>15324.85256486931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61844</v>
      </c>
      <c r="B59" s="66">
        <v>61844</v>
      </c>
      <c r="D59">
        <f t="shared" si="0"/>
        <v>89.497981215901362</v>
      </c>
      <c r="E59">
        <f t="shared" si="1"/>
        <v>89.497981215901362</v>
      </c>
      <c r="G59">
        <f t="shared" ca="1" si="2"/>
        <v>57</v>
      </c>
      <c r="H59">
        <f t="shared" ca="1" si="3"/>
        <v>5101.3849293063777</v>
      </c>
      <c r="I59">
        <f t="shared" ca="1" si="4"/>
        <v>11822.955977184043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60517</v>
      </c>
      <c r="B62" s="66">
        <v>60517</v>
      </c>
      <c r="D62">
        <f t="shared" si="0"/>
        <v>87.577603797340132</v>
      </c>
      <c r="E62">
        <f t="shared" si="1"/>
        <v>87.577603797340132</v>
      </c>
      <c r="G62">
        <f t="shared" ca="1" si="2"/>
        <v>60</v>
      </c>
      <c r="H62">
        <f t="shared" ca="1" si="3"/>
        <v>5254.6562278404081</v>
      </c>
      <c r="I62">
        <f t="shared" ca="1" si="4"/>
        <v>6317.9703226392239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60128</v>
      </c>
      <c r="B64" s="66">
        <v>60128</v>
      </c>
      <c r="D64">
        <f t="shared" si="0"/>
        <v>87.014659701017351</v>
      </c>
      <c r="E64">
        <f t="shared" si="1"/>
        <v>87.014659701017351</v>
      </c>
      <c r="G64">
        <f t="shared" ca="1" si="2"/>
        <v>62</v>
      </c>
      <c r="H64">
        <f t="shared" ca="1" si="3"/>
        <v>5394.9089014630754</v>
      </c>
      <c r="I64">
        <f t="shared" ca="1" si="4"/>
        <v>3669.1434230115083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58958</v>
      </c>
      <c r="B67" s="66">
        <v>58958</v>
      </c>
      <c r="D67">
        <f t="shared" ref="D67:D130" si="5">IFERROR( 100*A67/MAX(A$2:A$257), 0 )</f>
        <v>85.321485940869167</v>
      </c>
      <c r="E67">
        <f t="shared" ref="E67:E130" si="6">IFERROR( 100*B67/MAX(B$2:B$257), 0 )</f>
        <v>85.321485940869167</v>
      </c>
      <c r="G67">
        <f t="shared" ref="G67:G130" ca="1" si="7">CELL("row",D67)-2</f>
        <v>65</v>
      </c>
      <c r="H67">
        <f t="shared" ref="H67:H130" ca="1" si="8">D67*G67</f>
        <v>5545.8965861564957</v>
      </c>
      <c r="I67">
        <f t="shared" ref="I67:I130" ca="1" si="9">D67*((G67-$L$1)^2)</f>
        <v>1041.3746263851724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56046</v>
      </c>
      <c r="B69" s="66">
        <v>56046</v>
      </c>
      <c r="D69">
        <f t="shared" si="5"/>
        <v>81.107364582278109</v>
      </c>
      <c r="E69">
        <f t="shared" si="6"/>
        <v>81.107364582278109</v>
      </c>
      <c r="G69">
        <f t="shared" ca="1" si="7"/>
        <v>67</v>
      </c>
      <c r="H69">
        <f t="shared" ca="1" si="8"/>
        <v>5434.193427012633</v>
      </c>
      <c r="I69">
        <f t="shared" ca="1" si="9"/>
        <v>180.93979780362196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50624</v>
      </c>
      <c r="B72" s="66">
        <v>50624</v>
      </c>
      <c r="D72">
        <f t="shared" si="5"/>
        <v>73.260879003198212</v>
      </c>
      <c r="E72">
        <f t="shared" si="6"/>
        <v>73.260879003198212</v>
      </c>
      <c r="G72">
        <f t="shared" ca="1" si="7"/>
        <v>70</v>
      </c>
      <c r="H72">
        <f t="shared" ca="1" si="8"/>
        <v>5128.2615302238746</v>
      </c>
      <c r="I72">
        <f t="shared" ca="1" si="9"/>
        <v>166.2446135175492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47157</v>
      </c>
      <c r="B75" s="66">
        <v>47157</v>
      </c>
      <c r="D75">
        <f t="shared" si="5"/>
        <v>68.243585476331745</v>
      </c>
      <c r="E75">
        <f t="shared" si="6"/>
        <v>68.243585476331745</v>
      </c>
      <c r="G75">
        <f t="shared" ca="1" si="7"/>
        <v>73</v>
      </c>
      <c r="H75">
        <f t="shared" ca="1" si="8"/>
        <v>4981.7817397722174</v>
      </c>
      <c r="I75">
        <f t="shared" ca="1" si="9"/>
        <v>1385.8607311885369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48323</v>
      </c>
      <c r="B77" s="66">
        <v>48323</v>
      </c>
      <c r="D77">
        <f t="shared" si="5"/>
        <v>69.930970608240116</v>
      </c>
      <c r="E77">
        <f t="shared" si="6"/>
        <v>69.930970608240116</v>
      </c>
      <c r="G77">
        <f t="shared" ca="1" si="7"/>
        <v>75</v>
      </c>
      <c r="H77">
        <f t="shared" ca="1" si="8"/>
        <v>5244.822795618009</v>
      </c>
      <c r="I77">
        <f t="shared" ca="1" si="9"/>
        <v>2960.396491280339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45941</v>
      </c>
      <c r="B80" s="66">
        <v>45941</v>
      </c>
      <c r="D80">
        <f t="shared" si="5"/>
        <v>66.483842491425591</v>
      </c>
      <c r="E80">
        <f t="shared" si="6"/>
        <v>66.483842491425591</v>
      </c>
      <c r="G80">
        <f t="shared" ca="1" si="7"/>
        <v>78</v>
      </c>
      <c r="H80">
        <f t="shared" ca="1" si="8"/>
        <v>5185.7397143311964</v>
      </c>
      <c r="I80">
        <f t="shared" ca="1" si="9"/>
        <v>6008.2426390183282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47743</v>
      </c>
      <c r="B82" s="66">
        <v>47743</v>
      </c>
      <c r="D82">
        <f t="shared" si="5"/>
        <v>69.091619513465801</v>
      </c>
      <c r="E82">
        <f t="shared" si="6"/>
        <v>69.091619513465801</v>
      </c>
      <c r="G82">
        <f t="shared" ca="1" si="7"/>
        <v>80</v>
      </c>
      <c r="H82">
        <f t="shared" ca="1" si="8"/>
        <v>5527.3295610772639</v>
      </c>
      <c r="I82">
        <f t="shared" ca="1" si="9"/>
        <v>9147.5255778548235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39975</v>
      </c>
      <c r="B85" s="66">
        <v>39975</v>
      </c>
      <c r="D85">
        <f t="shared" si="5"/>
        <v>57.850103471729788</v>
      </c>
      <c r="E85">
        <f t="shared" si="6"/>
        <v>57.850103471729788</v>
      </c>
      <c r="G85">
        <f t="shared" ca="1" si="7"/>
        <v>83</v>
      </c>
      <c r="H85">
        <f t="shared" ca="1" si="8"/>
        <v>4801.5585881535726</v>
      </c>
      <c r="I85">
        <f t="shared" ca="1" si="9"/>
        <v>12173.708593916645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35912</v>
      </c>
      <c r="B88" s="66">
        <v>35912</v>
      </c>
      <c r="D88">
        <f t="shared" si="5"/>
        <v>51.970304337129711</v>
      </c>
      <c r="E88">
        <f t="shared" si="6"/>
        <v>51.970304337129711</v>
      </c>
      <c r="G88">
        <f t="shared" ca="1" si="7"/>
        <v>86</v>
      </c>
      <c r="H88">
        <f t="shared" ca="1" si="8"/>
        <v>4469.4461729931554</v>
      </c>
      <c r="I88">
        <f t="shared" ca="1" si="9"/>
        <v>15927.532907329474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35502</v>
      </c>
      <c r="B90" s="66">
        <v>35502</v>
      </c>
      <c r="D90">
        <f t="shared" si="5"/>
        <v>51.376969942547866</v>
      </c>
      <c r="E90">
        <f t="shared" si="6"/>
        <v>51.376969942547866</v>
      </c>
      <c r="G90">
        <f t="shared" ca="1" si="7"/>
        <v>88</v>
      </c>
      <c r="H90">
        <f t="shared" ca="1" si="8"/>
        <v>4521.1733549442124</v>
      </c>
      <c r="I90">
        <f t="shared" ca="1" si="9"/>
        <v>19548.900691900042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32604</v>
      </c>
      <c r="B93" s="66">
        <v>32604</v>
      </c>
      <c r="D93">
        <f t="shared" si="5"/>
        <v>47.183108782796197</v>
      </c>
      <c r="E93">
        <f t="shared" si="6"/>
        <v>47.183108782796197</v>
      </c>
      <c r="G93">
        <f t="shared" ca="1" si="7"/>
        <v>91</v>
      </c>
      <c r="H93">
        <f t="shared" ca="1" si="8"/>
        <v>4293.662899234454</v>
      </c>
      <c r="I93">
        <f t="shared" ca="1" si="9"/>
        <v>23900.020495846591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30332</v>
      </c>
      <c r="B95" s="66">
        <v>30332</v>
      </c>
      <c r="D95">
        <f t="shared" si="5"/>
        <v>43.895167942576805</v>
      </c>
      <c r="E95">
        <f t="shared" si="6"/>
        <v>43.895167942576805</v>
      </c>
      <c r="G95">
        <f t="shared" ca="1" si="7"/>
        <v>93</v>
      </c>
      <c r="H95">
        <f t="shared" ca="1" si="8"/>
        <v>4082.2506186596429</v>
      </c>
      <c r="I95">
        <f t="shared" ca="1" si="9"/>
        <v>26361.822640093462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25941</v>
      </c>
      <c r="B98" s="66">
        <v>25941</v>
      </c>
      <c r="D98">
        <f t="shared" si="5"/>
        <v>37.540701292311255</v>
      </c>
      <c r="E98">
        <f t="shared" si="6"/>
        <v>37.540701292311255</v>
      </c>
      <c r="G98">
        <f t="shared" ca="1" si="7"/>
        <v>96</v>
      </c>
      <c r="H98">
        <f t="shared" ca="1" si="8"/>
        <v>3603.9073240618804</v>
      </c>
      <c r="I98">
        <f t="shared" ca="1" si="9"/>
        <v>28403.352747715369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27936</v>
      </c>
      <c r="B100" s="66">
        <v>27936</v>
      </c>
      <c r="D100">
        <f t="shared" si="5"/>
        <v>40.427779626922913</v>
      </c>
      <c r="E100">
        <f t="shared" si="6"/>
        <v>40.427779626922913</v>
      </c>
      <c r="G100">
        <f t="shared" ca="1" si="7"/>
        <v>98</v>
      </c>
      <c r="H100">
        <f t="shared" ca="1" si="8"/>
        <v>3961.9224034384456</v>
      </c>
      <c r="I100">
        <f t="shared" ca="1" si="9"/>
        <v>35197.521070176881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24968</v>
      </c>
      <c r="B103" s="66">
        <v>24968</v>
      </c>
      <c r="D103">
        <f t="shared" si="5"/>
        <v>36.132617472974339</v>
      </c>
      <c r="E103">
        <f t="shared" si="6"/>
        <v>36.132617472974339</v>
      </c>
      <c r="G103">
        <f t="shared" ca="1" si="7"/>
        <v>101</v>
      </c>
      <c r="H103">
        <f t="shared" ca="1" si="8"/>
        <v>3649.3943647704082</v>
      </c>
      <c r="I103">
        <f t="shared" ca="1" si="9"/>
        <v>38180.08884699957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27063</v>
      </c>
      <c r="B106" s="66">
        <v>27063</v>
      </c>
      <c r="D106">
        <f t="shared" si="5"/>
        <v>39.16441151358157</v>
      </c>
      <c r="E106">
        <f t="shared" si="6"/>
        <v>39.16441151358157</v>
      </c>
      <c r="G106">
        <f t="shared" ca="1" si="7"/>
        <v>104</v>
      </c>
      <c r="H106">
        <f t="shared" ca="1" si="8"/>
        <v>4073.0987974124832</v>
      </c>
      <c r="I106">
        <f t="shared" ca="1" si="9"/>
        <v>49374.722650897485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23787</v>
      </c>
      <c r="B108" s="66">
        <v>23787</v>
      </c>
      <c r="D108">
        <f t="shared" si="5"/>
        <v>34.423524985166637</v>
      </c>
      <c r="E108">
        <f t="shared" si="6"/>
        <v>34.423524985166637</v>
      </c>
      <c r="G108">
        <f t="shared" ca="1" si="7"/>
        <v>106</v>
      </c>
      <c r="H108">
        <f t="shared" ca="1" si="8"/>
        <v>3648.8936484276637</v>
      </c>
      <c r="I108">
        <f t="shared" ca="1" si="9"/>
        <v>48424.583619882455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23215</v>
      </c>
      <c r="B111" s="66">
        <v>23215</v>
      </c>
      <c r="D111">
        <f t="shared" si="5"/>
        <v>33.595751146871969</v>
      </c>
      <c r="E111">
        <f t="shared" si="6"/>
        <v>33.595751146871969</v>
      </c>
      <c r="G111">
        <f t="shared" ca="1" si="7"/>
        <v>109</v>
      </c>
      <c r="H111">
        <f t="shared" ca="1" si="8"/>
        <v>3661.9368750090448</v>
      </c>
      <c r="I111">
        <f t="shared" ca="1" si="9"/>
        <v>55122.823892276203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25149</v>
      </c>
      <c r="B113" s="66">
        <v>25149</v>
      </c>
      <c r="D113">
        <f t="shared" si="5"/>
        <v>36.394552900826326</v>
      </c>
      <c r="E113">
        <f t="shared" si="6"/>
        <v>36.394552900826326</v>
      </c>
      <c r="G113">
        <f t="shared" ca="1" si="7"/>
        <v>111</v>
      </c>
      <c r="H113">
        <f t="shared" ca="1" si="8"/>
        <v>4039.7953719917223</v>
      </c>
      <c r="I113">
        <f t="shared" ca="1" si="9"/>
        <v>65757.433635153138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22040</v>
      </c>
      <c r="B116" s="66">
        <v>22040</v>
      </c>
      <c r="D116">
        <f t="shared" si="5"/>
        <v>31.895341601424004</v>
      </c>
      <c r="E116">
        <f t="shared" si="6"/>
        <v>31.895341601424004</v>
      </c>
      <c r="G116">
        <f t="shared" ca="1" si="7"/>
        <v>114</v>
      </c>
      <c r="H116">
        <f t="shared" ca="1" si="8"/>
        <v>3636.0689425623364</v>
      </c>
      <c r="I116">
        <f t="shared" ca="1" si="9"/>
        <v>66049.882143426526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24246</v>
      </c>
      <c r="B118" s="66">
        <v>24246</v>
      </c>
      <c r="D118">
        <f t="shared" si="5"/>
        <v>35.087770075686315</v>
      </c>
      <c r="E118">
        <f t="shared" si="6"/>
        <v>35.087770075686315</v>
      </c>
      <c r="G118">
        <f t="shared" ca="1" si="7"/>
        <v>116</v>
      </c>
      <c r="H118">
        <f t="shared" ca="1" si="8"/>
        <v>4070.1813287796126</v>
      </c>
      <c r="I118">
        <f t="shared" ca="1" si="9"/>
        <v>79188.086220828292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23264</v>
      </c>
      <c r="B121" s="66">
        <v>23264</v>
      </c>
      <c r="D121">
        <f t="shared" si="5"/>
        <v>33.666661842809802</v>
      </c>
      <c r="E121">
        <f t="shared" si="6"/>
        <v>33.666661842809802</v>
      </c>
      <c r="G121">
        <f t="shared" ca="1" si="7"/>
        <v>119</v>
      </c>
      <c r="H121">
        <f t="shared" ca="1" si="8"/>
        <v>4006.3327592943665</v>
      </c>
      <c r="I121">
        <f t="shared" ca="1" si="9"/>
        <v>85880.137461020728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24022</v>
      </c>
      <c r="B124" s="66">
        <v>24022</v>
      </c>
      <c r="D124">
        <f t="shared" si="5"/>
        <v>34.763606894256235</v>
      </c>
      <c r="E124">
        <f t="shared" si="6"/>
        <v>34.763606894256235</v>
      </c>
      <c r="G124">
        <f t="shared" ca="1" si="7"/>
        <v>122</v>
      </c>
      <c r="H124">
        <f t="shared" ca="1" si="8"/>
        <v>4241.1600410992605</v>
      </c>
      <c r="I124">
        <f t="shared" ca="1" si="9"/>
        <v>99525.908105938521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21236</v>
      </c>
      <c r="B126" s="66">
        <v>21236</v>
      </c>
      <c r="D126">
        <f t="shared" si="5"/>
        <v>30.731827325219605</v>
      </c>
      <c r="E126">
        <f t="shared" si="6"/>
        <v>30.731827325219605</v>
      </c>
      <c r="G126">
        <f t="shared" ca="1" si="7"/>
        <v>124</v>
      </c>
      <c r="H126">
        <f t="shared" ca="1" si="8"/>
        <v>3810.7465883272312</v>
      </c>
      <c r="I126">
        <f t="shared" ca="1" si="9"/>
        <v>94683.513757466382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18799</v>
      </c>
      <c r="B129" s="66">
        <v>18799</v>
      </c>
      <c r="D129">
        <f t="shared" si="5"/>
        <v>27.205105570107524</v>
      </c>
      <c r="E129">
        <f t="shared" si="6"/>
        <v>27.205105570107524</v>
      </c>
      <c r="G129">
        <f t="shared" ca="1" si="7"/>
        <v>127</v>
      </c>
      <c r="H129">
        <f t="shared" ca="1" si="8"/>
        <v>3455.0484074036553</v>
      </c>
      <c r="I129">
        <f t="shared" ca="1" si="9"/>
        <v>93123.016366222189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18090</v>
      </c>
      <c r="B131" s="66">
        <v>18090</v>
      </c>
      <c r="D131">
        <f t="shared" ref="D131:D194" si="10">IFERROR( 100*A131/MAX(A$2:A$257), 0 )</f>
        <v>26.17907121459892</v>
      </c>
      <c r="E131">
        <f t="shared" ref="E131:E194" si="11">IFERROR( 100*B131/MAX(B$2:B$257), 0 )</f>
        <v>26.17907121459892</v>
      </c>
      <c r="G131">
        <f t="shared" ref="G131:G194" ca="1" si="12">CELL("row",D131)-2</f>
        <v>129</v>
      </c>
      <c r="H131">
        <f t="shared" ref="H131:H194" ca="1" si="13">D131*G131</f>
        <v>3377.1001866832607</v>
      </c>
      <c r="I131">
        <f t="shared" ref="I131:I194" ca="1" si="14">D131*((G131-$L$1)^2)</f>
        <v>95842.191227038915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17979</v>
      </c>
      <c r="B134" s="66">
        <v>17979</v>
      </c>
      <c r="D134">
        <f t="shared" si="10"/>
        <v>26.018436780943837</v>
      </c>
      <c r="E134">
        <f t="shared" si="11"/>
        <v>26.018436780943837</v>
      </c>
      <c r="G134">
        <f t="shared" ca="1" si="12"/>
        <v>132</v>
      </c>
      <c r="H134">
        <f t="shared" ca="1" si="13"/>
        <v>3434.4336550845865</v>
      </c>
      <c r="I134">
        <f t="shared" ca="1" si="14"/>
        <v>104933.96100760438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16514</v>
      </c>
      <c r="B136" s="66">
        <v>16514</v>
      </c>
      <c r="D136">
        <f t="shared" si="10"/>
        <v>23.898351688108711</v>
      </c>
      <c r="E136">
        <f t="shared" si="11"/>
        <v>23.898351688108711</v>
      </c>
      <c r="G136">
        <f t="shared" ca="1" si="12"/>
        <v>134</v>
      </c>
      <c r="H136">
        <f t="shared" ca="1" si="13"/>
        <v>3202.3791262065674</v>
      </c>
      <c r="I136">
        <f t="shared" ca="1" si="14"/>
        <v>102549.91268660242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17349</v>
      </c>
      <c r="B139" s="66">
        <v>17349</v>
      </c>
      <c r="D139">
        <f t="shared" si="10"/>
        <v>25.106727833171735</v>
      </c>
      <c r="E139">
        <f t="shared" si="11"/>
        <v>25.106727833171735</v>
      </c>
      <c r="G139">
        <f t="shared" ca="1" si="12"/>
        <v>137</v>
      </c>
      <c r="H139">
        <f t="shared" ca="1" si="13"/>
        <v>3439.6217131445278</v>
      </c>
      <c r="I139">
        <f t="shared" ca="1" si="14"/>
        <v>117829.02751935054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18629</v>
      </c>
      <c r="B142" s="66">
        <v>18629</v>
      </c>
      <c r="D142">
        <f t="shared" si="10"/>
        <v>26.959088869915053</v>
      </c>
      <c r="E142">
        <f t="shared" si="11"/>
        <v>26.959088869915053</v>
      </c>
      <c r="G142">
        <f t="shared" ca="1" si="12"/>
        <v>140</v>
      </c>
      <c r="H142">
        <f t="shared" ca="1" si="13"/>
        <v>3774.2724417881072</v>
      </c>
      <c r="I142">
        <f t="shared" ca="1" si="14"/>
        <v>137846.24165816428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17363</v>
      </c>
      <c r="B144" s="66">
        <v>17363</v>
      </c>
      <c r="D144">
        <f t="shared" si="10"/>
        <v>25.126988032011113</v>
      </c>
      <c r="E144">
        <f t="shared" si="11"/>
        <v>25.126988032011113</v>
      </c>
      <c r="G144">
        <f t="shared" ca="1" si="12"/>
        <v>142</v>
      </c>
      <c r="H144">
        <f t="shared" ca="1" si="13"/>
        <v>3568.032300545578</v>
      </c>
      <c r="I144">
        <f t="shared" ca="1" si="14"/>
        <v>135765.87856037376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18328</v>
      </c>
      <c r="B147" s="66">
        <v>18328</v>
      </c>
      <c r="D147">
        <f t="shared" si="10"/>
        <v>26.523494594868382</v>
      </c>
      <c r="E147">
        <f t="shared" si="11"/>
        <v>26.523494594868382</v>
      </c>
      <c r="G147">
        <f t="shared" ca="1" si="12"/>
        <v>145</v>
      </c>
      <c r="H147">
        <f t="shared" ca="1" si="13"/>
        <v>3845.9067162559154</v>
      </c>
      <c r="I147">
        <f t="shared" ca="1" si="14"/>
        <v>155248.05784081735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14720</v>
      </c>
      <c r="B149" s="66">
        <v>14720</v>
      </c>
      <c r="D149">
        <f t="shared" si="10"/>
        <v>21.302151922548155</v>
      </c>
      <c r="E149">
        <f t="shared" si="11"/>
        <v>21.302151922548155</v>
      </c>
      <c r="G149">
        <f t="shared" ca="1" si="12"/>
        <v>147</v>
      </c>
      <c r="H149">
        <f t="shared" ca="1" si="13"/>
        <v>3131.416332614579</v>
      </c>
      <c r="I149">
        <f t="shared" ca="1" si="14"/>
        <v>131290.56104798333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12862</v>
      </c>
      <c r="B152" s="66">
        <v>12862</v>
      </c>
      <c r="D152">
        <f t="shared" si="10"/>
        <v>18.613334105150432</v>
      </c>
      <c r="E152">
        <f t="shared" si="11"/>
        <v>18.613334105150432</v>
      </c>
      <c r="G152">
        <f t="shared" ca="1" si="12"/>
        <v>150</v>
      </c>
      <c r="H152">
        <f t="shared" ca="1" si="13"/>
        <v>2792.0001157725646</v>
      </c>
      <c r="I152">
        <f t="shared" ca="1" si="14"/>
        <v>123653.80951771961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15401</v>
      </c>
      <c r="B154" s="66">
        <v>15401</v>
      </c>
      <c r="D154">
        <f t="shared" si="10"/>
        <v>22.287665880377997</v>
      </c>
      <c r="E154">
        <f t="shared" si="11"/>
        <v>22.287665880377997</v>
      </c>
      <c r="G154">
        <f t="shared" ca="1" si="12"/>
        <v>152</v>
      </c>
      <c r="H154">
        <f t="shared" ca="1" si="13"/>
        <v>3387.7252138174554</v>
      </c>
      <c r="I154">
        <f t="shared" ca="1" si="14"/>
        <v>155418.96711614827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14818</v>
      </c>
      <c r="B157" s="66">
        <v>14818</v>
      </c>
      <c r="D157">
        <f t="shared" si="10"/>
        <v>21.443973314423815</v>
      </c>
      <c r="E157">
        <f t="shared" si="11"/>
        <v>21.443973314423815</v>
      </c>
      <c r="G157">
        <f t="shared" ca="1" si="12"/>
        <v>155</v>
      </c>
      <c r="H157">
        <f t="shared" ca="1" si="13"/>
        <v>3323.8158637356914</v>
      </c>
      <c r="I157">
        <f t="shared" ca="1" si="14"/>
        <v>160472.87979842731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11756</v>
      </c>
      <c r="B160" s="66">
        <v>11756</v>
      </c>
      <c r="D160">
        <f t="shared" si="10"/>
        <v>17.012778396839408</v>
      </c>
      <c r="E160">
        <f t="shared" si="11"/>
        <v>17.012778396839408</v>
      </c>
      <c r="G160">
        <f t="shared" ca="1" si="12"/>
        <v>158</v>
      </c>
      <c r="H160">
        <f t="shared" ca="1" si="13"/>
        <v>2688.0189867006266</v>
      </c>
      <c r="I160">
        <f t="shared" ca="1" si="14"/>
        <v>136296.07145330502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10095</v>
      </c>
      <c r="B162" s="66">
        <v>10095</v>
      </c>
      <c r="D162">
        <f t="shared" si="10"/>
        <v>14.609050520252962</v>
      </c>
      <c r="E162">
        <f t="shared" si="11"/>
        <v>14.609050520252962</v>
      </c>
      <c r="G162">
        <f t="shared" ca="1" si="12"/>
        <v>160</v>
      </c>
      <c r="H162">
        <f t="shared" ca="1" si="13"/>
        <v>2337.4480832404738</v>
      </c>
      <c r="I162">
        <f t="shared" ca="1" si="14"/>
        <v>122327.71002632742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7124</v>
      </c>
      <c r="B165" s="66">
        <v>7124</v>
      </c>
      <c r="D165">
        <f t="shared" si="10"/>
        <v>10.309546895124528</v>
      </c>
      <c r="E165">
        <f t="shared" si="11"/>
        <v>10.309546895124528</v>
      </c>
      <c r="G165">
        <f t="shared" ca="1" si="12"/>
        <v>163</v>
      </c>
      <c r="H165">
        <f t="shared" ca="1" si="13"/>
        <v>1680.4561439052982</v>
      </c>
      <c r="I165">
        <f t="shared" ca="1" si="14"/>
        <v>92079.2845838621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3822</v>
      </c>
      <c r="B167" s="66">
        <v>3822</v>
      </c>
      <c r="D167">
        <f t="shared" si="10"/>
        <v>5.53103428315075</v>
      </c>
      <c r="E167">
        <f t="shared" si="11"/>
        <v>5.53103428315075</v>
      </c>
      <c r="G167">
        <f t="shared" ca="1" si="12"/>
        <v>165</v>
      </c>
      <c r="H167">
        <f t="shared" ca="1" si="13"/>
        <v>912.62065671987375</v>
      </c>
      <c r="I167">
        <f t="shared" ca="1" si="14"/>
        <v>51513.196616245368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3086</v>
      </c>
      <c r="B170" s="66">
        <v>3086</v>
      </c>
      <c r="D170">
        <f t="shared" si="10"/>
        <v>4.4659266870233427</v>
      </c>
      <c r="E170">
        <f t="shared" si="11"/>
        <v>4.4659266870233427</v>
      </c>
      <c r="G170">
        <f t="shared" ca="1" si="12"/>
        <v>168</v>
      </c>
      <c r="H170">
        <f t="shared" ca="1" si="13"/>
        <v>750.27568341992162</v>
      </c>
      <c r="I170">
        <f t="shared" ca="1" si="14"/>
        <v>44219.470722085054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1917</v>
      </c>
      <c r="B173" s="66">
        <v>1917</v>
      </c>
      <c r="D173">
        <f t="shared" si="10"/>
        <v>2.7742000839351095</v>
      </c>
      <c r="E173">
        <f t="shared" si="11"/>
        <v>2.7742000839351095</v>
      </c>
      <c r="G173">
        <f t="shared" ca="1" si="12"/>
        <v>171</v>
      </c>
      <c r="H173">
        <f t="shared" ca="1" si="13"/>
        <v>474.38821435290373</v>
      </c>
      <c r="I173">
        <f t="shared" ca="1" si="14"/>
        <v>29150.074409721619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976</v>
      </c>
      <c r="B175" s="66">
        <v>976</v>
      </c>
      <c r="D175">
        <f t="shared" si="10"/>
        <v>1.4124252905167798</v>
      </c>
      <c r="E175">
        <f t="shared" si="11"/>
        <v>1.4124252905167798</v>
      </c>
      <c r="G175">
        <f t="shared" ca="1" si="12"/>
        <v>173</v>
      </c>
      <c r="H175">
        <f t="shared" ca="1" si="13"/>
        <v>244.34957525940291</v>
      </c>
      <c r="I175">
        <f t="shared" ca="1" si="14"/>
        <v>15425.923956599279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422</v>
      </c>
      <c r="B178" s="66">
        <v>422</v>
      </c>
      <c r="D178">
        <f t="shared" si="10"/>
        <v>0.61070027930131254</v>
      </c>
      <c r="E178">
        <f t="shared" si="11"/>
        <v>0.61070027930131254</v>
      </c>
      <c r="G178">
        <f t="shared" ca="1" si="12"/>
        <v>176</v>
      </c>
      <c r="H178">
        <f t="shared" ca="1" si="13"/>
        <v>107.48324915703101</v>
      </c>
      <c r="I178">
        <f t="shared" ca="1" si="14"/>
        <v>7058.2442769921672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220</v>
      </c>
      <c r="B180" s="66">
        <v>220</v>
      </c>
      <c r="D180">
        <f t="shared" si="10"/>
        <v>0.31837455319025776</v>
      </c>
      <c r="E180">
        <f t="shared" si="11"/>
        <v>0.31837455319025776</v>
      </c>
      <c r="G180">
        <f t="shared" ca="1" si="12"/>
        <v>178</v>
      </c>
      <c r="H180">
        <f t="shared" ca="1" si="13"/>
        <v>56.670670467865882</v>
      </c>
      <c r="I180">
        <f t="shared" ca="1" si="14"/>
        <v>3817.8361096300018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51</v>
      </c>
      <c r="B183" s="66">
        <v>51</v>
      </c>
      <c r="D183">
        <f t="shared" si="10"/>
        <v>7.3805010057741566E-2</v>
      </c>
      <c r="E183">
        <f t="shared" si="11"/>
        <v>7.3805010057741566E-2</v>
      </c>
      <c r="G183">
        <f t="shared" ca="1" si="12"/>
        <v>181</v>
      </c>
      <c r="H183">
        <f t="shared" ca="1" si="13"/>
        <v>13.358706820451223</v>
      </c>
      <c r="I183">
        <f t="shared" ca="1" si="14"/>
        <v>934.20079226486939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102</v>
      </c>
      <c r="B185" s="66">
        <v>102</v>
      </c>
      <c r="D185">
        <f t="shared" si="10"/>
        <v>0.14761002011548313</v>
      </c>
      <c r="E185">
        <f t="shared" si="11"/>
        <v>0.14761002011548313</v>
      </c>
      <c r="G185">
        <f t="shared" ca="1" si="12"/>
        <v>183</v>
      </c>
      <c r="H185">
        <f t="shared" ca="1" si="13"/>
        <v>27.012633681133412</v>
      </c>
      <c r="I185">
        <f t="shared" ca="1" si="14"/>
        <v>1935.4203071984157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101.68758321410684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1.9622593116600777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0.90256138177175704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5427</v>
      </c>
      <c r="B8" s="66">
        <v>5427</v>
      </c>
      <c r="D8">
        <f t="shared" si="0"/>
        <v>5.8290280656906868</v>
      </c>
      <c r="E8">
        <f t="shared" si="1"/>
        <v>5.8290280656906868</v>
      </c>
      <c r="G8">
        <f t="shared" ca="1" si="2"/>
        <v>6</v>
      </c>
      <c r="H8">
        <f t="shared" ca="1" si="3"/>
        <v>34.974168394144122</v>
      </c>
      <c r="I8">
        <f t="shared" ca="1" si="4"/>
        <v>53371.243038379405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7361</v>
      </c>
      <c r="B10" s="66">
        <v>7361</v>
      </c>
      <c r="D10">
        <f t="shared" si="0"/>
        <v>7.906297326616758</v>
      </c>
      <c r="E10">
        <f t="shared" si="1"/>
        <v>7.906297326616758</v>
      </c>
      <c r="G10">
        <f t="shared" ca="1" si="2"/>
        <v>8</v>
      </c>
      <c r="H10">
        <f t="shared" ca="1" si="3"/>
        <v>63.250378612934064</v>
      </c>
      <c r="I10">
        <f t="shared" ca="1" si="4"/>
        <v>69396.44358636126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10160</v>
      </c>
      <c r="B13" s="66">
        <v>10160</v>
      </c>
      <c r="D13">
        <f t="shared" si="0"/>
        <v>10.912645134958057</v>
      </c>
      <c r="E13">
        <f t="shared" si="1"/>
        <v>10.912645134958057</v>
      </c>
      <c r="G13">
        <f t="shared" ca="1" si="2"/>
        <v>11</v>
      </c>
      <c r="H13">
        <f t="shared" ca="1" si="3"/>
        <v>120.03909648453862</v>
      </c>
      <c r="I13">
        <f t="shared" ca="1" si="4"/>
        <v>89748.18806271549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14956</v>
      </c>
      <c r="B15" s="66">
        <v>14956</v>
      </c>
      <c r="D15">
        <f t="shared" si="0"/>
        <v>16.063929196696133</v>
      </c>
      <c r="E15">
        <f t="shared" si="1"/>
        <v>16.063929196696133</v>
      </c>
      <c r="G15">
        <f t="shared" ca="1" si="2"/>
        <v>13</v>
      </c>
      <c r="H15">
        <f t="shared" ca="1" si="3"/>
        <v>208.83107955704972</v>
      </c>
      <c r="I15">
        <f t="shared" ca="1" si="4"/>
        <v>126350.63295389738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15218</v>
      </c>
      <c r="B18" s="66">
        <v>15218</v>
      </c>
      <c r="D18">
        <f t="shared" si="0"/>
        <v>16.345337959034616</v>
      </c>
      <c r="E18">
        <f t="shared" si="1"/>
        <v>16.345337959034616</v>
      </c>
      <c r="G18">
        <f t="shared" ca="1" si="2"/>
        <v>16</v>
      </c>
      <c r="H18">
        <f t="shared" ca="1" si="3"/>
        <v>261.52540734455386</v>
      </c>
      <c r="I18">
        <f t="shared" ca="1" si="4"/>
        <v>120013.38695212774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17829</v>
      </c>
      <c r="B21" s="66">
        <v>17829</v>
      </c>
      <c r="D21">
        <f t="shared" si="0"/>
        <v>19.149758869209371</v>
      </c>
      <c r="E21">
        <f t="shared" si="1"/>
        <v>19.149758869209371</v>
      </c>
      <c r="G21">
        <f t="shared" ca="1" si="2"/>
        <v>19</v>
      </c>
      <c r="H21">
        <f t="shared" ca="1" si="3"/>
        <v>363.84541851497806</v>
      </c>
      <c r="I21">
        <f t="shared" ca="1" si="4"/>
        <v>130931.42873245235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22038</v>
      </c>
      <c r="B23" s="66">
        <v>22038</v>
      </c>
      <c r="D23">
        <f t="shared" si="0"/>
        <v>23.670558413799771</v>
      </c>
      <c r="E23">
        <f t="shared" si="1"/>
        <v>23.670558413799771</v>
      </c>
      <c r="G23">
        <f t="shared" ca="1" si="2"/>
        <v>21</v>
      </c>
      <c r="H23">
        <f t="shared" ca="1" si="3"/>
        <v>497.08172668979518</v>
      </c>
      <c r="I23">
        <f t="shared" ca="1" si="4"/>
        <v>154106.84117564699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28637</v>
      </c>
      <c r="B26" s="66">
        <v>28637</v>
      </c>
      <c r="D26">
        <f t="shared" si="0"/>
        <v>30.758407355294672</v>
      </c>
      <c r="E26">
        <f t="shared" si="1"/>
        <v>30.758407355294672</v>
      </c>
      <c r="G26">
        <f t="shared" ca="1" si="2"/>
        <v>24</v>
      </c>
      <c r="H26">
        <f t="shared" ca="1" si="3"/>
        <v>738.20177652707207</v>
      </c>
      <c r="I26">
        <f t="shared" ca="1" si="4"/>
        <v>185638.07942947483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34715</v>
      </c>
      <c r="B28" s="66">
        <v>34715</v>
      </c>
      <c r="D28">
        <f t="shared" si="0"/>
        <v>37.286661009849304</v>
      </c>
      <c r="E28">
        <f t="shared" si="1"/>
        <v>37.286661009849304</v>
      </c>
      <c r="G28">
        <f t="shared" ca="1" si="2"/>
        <v>26</v>
      </c>
      <c r="H28">
        <f t="shared" ca="1" si="3"/>
        <v>969.45318625608195</v>
      </c>
      <c r="I28">
        <f t="shared" ca="1" si="4"/>
        <v>213600.74855341535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42368</v>
      </c>
      <c r="B31" s="66">
        <v>42368</v>
      </c>
      <c r="D31">
        <f t="shared" si="0"/>
        <v>45.506589476171555</v>
      </c>
      <c r="E31">
        <f t="shared" si="1"/>
        <v>45.506589476171555</v>
      </c>
      <c r="G31">
        <f t="shared" ca="1" si="2"/>
        <v>29</v>
      </c>
      <c r="H31">
        <f t="shared" ca="1" si="3"/>
        <v>1319.6910948089751</v>
      </c>
      <c r="I31">
        <f t="shared" ca="1" si="4"/>
        <v>240433.37168148663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48172</v>
      </c>
      <c r="B33" s="66">
        <v>48172</v>
      </c>
      <c r="D33">
        <f t="shared" si="0"/>
        <v>51.740545417440899</v>
      </c>
      <c r="E33">
        <f t="shared" si="1"/>
        <v>51.740545417440899</v>
      </c>
      <c r="G33">
        <f t="shared" ca="1" si="2"/>
        <v>31</v>
      </c>
      <c r="H33">
        <f t="shared" ca="1" si="3"/>
        <v>1603.9569079406679</v>
      </c>
      <c r="I33">
        <f t="shared" ca="1" si="4"/>
        <v>258533.76423059774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47314</v>
      </c>
      <c r="B36" s="66">
        <v>47314</v>
      </c>
      <c r="D36">
        <f t="shared" si="0"/>
        <v>50.818985424744639</v>
      </c>
      <c r="E36">
        <f t="shared" si="1"/>
        <v>50.818985424744639</v>
      </c>
      <c r="G36">
        <f t="shared" ca="1" si="2"/>
        <v>34</v>
      </c>
      <c r="H36">
        <f t="shared" ca="1" si="3"/>
        <v>1727.8455044413176</v>
      </c>
      <c r="I36">
        <f t="shared" ca="1" si="4"/>
        <v>232832.71699681116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54641</v>
      </c>
      <c r="B39" s="66">
        <v>54641</v>
      </c>
      <c r="D39">
        <f t="shared" si="0"/>
        <v>58.688764057012129</v>
      </c>
      <c r="E39">
        <f t="shared" si="1"/>
        <v>58.688764057012129</v>
      </c>
      <c r="G39">
        <f t="shared" ca="1" si="2"/>
        <v>37</v>
      </c>
      <c r="H39">
        <f t="shared" ca="1" si="3"/>
        <v>2171.484270109449</v>
      </c>
      <c r="I39">
        <f t="shared" ca="1" si="4"/>
        <v>245582.16025904901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59869</v>
      </c>
      <c r="B41" s="66">
        <v>59869</v>
      </c>
      <c r="D41">
        <f t="shared" si="0"/>
        <v>64.304050352835034</v>
      </c>
      <c r="E41">
        <f t="shared" si="1"/>
        <v>64.304050352835034</v>
      </c>
      <c r="G41">
        <f t="shared" ca="1" si="2"/>
        <v>39</v>
      </c>
      <c r="H41">
        <f t="shared" ca="1" si="3"/>
        <v>2507.8579637605662</v>
      </c>
      <c r="I41">
        <f t="shared" ca="1" si="4"/>
        <v>252697.75444276299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65525</v>
      </c>
      <c r="B44" s="66">
        <v>65525</v>
      </c>
      <c r="D44">
        <f t="shared" si="0"/>
        <v>70.3790425657605</v>
      </c>
      <c r="E44">
        <f t="shared" si="1"/>
        <v>70.3790425657605</v>
      </c>
      <c r="G44">
        <f t="shared" ca="1" si="2"/>
        <v>42</v>
      </c>
      <c r="H44">
        <f t="shared" ca="1" si="3"/>
        <v>2955.9197877619408</v>
      </c>
      <c r="I44">
        <f t="shared" ca="1" si="4"/>
        <v>250732.91121755404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79479</v>
      </c>
      <c r="B46" s="66">
        <v>79479</v>
      </c>
      <c r="D46">
        <f t="shared" si="0"/>
        <v>85.366744358398762</v>
      </c>
      <c r="E46">
        <f t="shared" si="1"/>
        <v>85.366744358398762</v>
      </c>
      <c r="G46">
        <f t="shared" ca="1" si="2"/>
        <v>44</v>
      </c>
      <c r="H46">
        <f t="shared" ca="1" si="3"/>
        <v>3756.1367517695453</v>
      </c>
      <c r="I46">
        <f t="shared" ca="1" si="4"/>
        <v>284088.33972677466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84737</v>
      </c>
      <c r="B49" s="66">
        <v>84737</v>
      </c>
      <c r="D49">
        <f t="shared" si="0"/>
        <v>91.014253031588666</v>
      </c>
      <c r="E49">
        <f t="shared" si="1"/>
        <v>91.014253031588666</v>
      </c>
      <c r="G49">
        <f t="shared" ca="1" si="2"/>
        <v>47</v>
      </c>
      <c r="H49">
        <f t="shared" ca="1" si="3"/>
        <v>4277.6698924846669</v>
      </c>
      <c r="I49">
        <f t="shared" ca="1" si="4"/>
        <v>272199.21695400443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83890</v>
      </c>
      <c r="B51" s="66">
        <v>83890</v>
      </c>
      <c r="D51">
        <f t="shared" si="0"/>
        <v>90.10450791059364</v>
      </c>
      <c r="E51">
        <f t="shared" si="1"/>
        <v>90.10450791059364</v>
      </c>
      <c r="G51">
        <f t="shared" ca="1" si="2"/>
        <v>49</v>
      </c>
      <c r="H51">
        <f t="shared" ca="1" si="3"/>
        <v>4415.1208876190885</v>
      </c>
      <c r="I51">
        <f t="shared" ca="1" si="4"/>
        <v>250128.44026347651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84166</v>
      </c>
      <c r="B54" s="66">
        <v>84166</v>
      </c>
      <c r="D54">
        <f t="shared" si="0"/>
        <v>90.400953782370067</v>
      </c>
      <c r="E54">
        <f t="shared" si="1"/>
        <v>90.400953782370067</v>
      </c>
      <c r="G54">
        <f t="shared" ca="1" si="2"/>
        <v>52</v>
      </c>
      <c r="H54">
        <f t="shared" ca="1" si="3"/>
        <v>4700.8495966832434</v>
      </c>
      <c r="I54">
        <f t="shared" ca="1" si="4"/>
        <v>223186.93043081087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82796</v>
      </c>
      <c r="B57" s="66">
        <v>82796</v>
      </c>
      <c r="D57">
        <f t="shared" si="0"/>
        <v>88.929465215943637</v>
      </c>
      <c r="E57">
        <f t="shared" si="1"/>
        <v>88.929465215943637</v>
      </c>
      <c r="G57">
        <f t="shared" ca="1" si="2"/>
        <v>55</v>
      </c>
      <c r="H57">
        <f t="shared" ca="1" si="3"/>
        <v>4891.1205868769002</v>
      </c>
      <c r="I57">
        <f t="shared" ca="1" si="4"/>
        <v>193842.26113237403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82971</v>
      </c>
      <c r="B59" s="66">
        <v>82971</v>
      </c>
      <c r="D59">
        <f t="shared" si="0"/>
        <v>89.117429083917813</v>
      </c>
      <c r="E59">
        <f t="shared" si="1"/>
        <v>89.117429083917813</v>
      </c>
      <c r="G59">
        <f t="shared" ca="1" si="2"/>
        <v>57</v>
      </c>
      <c r="H59">
        <f t="shared" ca="1" si="3"/>
        <v>5079.6934577833154</v>
      </c>
      <c r="I59">
        <f t="shared" ca="1" si="4"/>
        <v>177965.73186606125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76744</v>
      </c>
      <c r="B62" s="66">
        <v>76744</v>
      </c>
      <c r="D62">
        <f t="shared" si="0"/>
        <v>82.429137621773734</v>
      </c>
      <c r="E62">
        <f t="shared" si="1"/>
        <v>82.429137621773734</v>
      </c>
      <c r="G62">
        <f t="shared" ca="1" si="2"/>
        <v>60</v>
      </c>
      <c r="H62">
        <f t="shared" ca="1" si="3"/>
        <v>4945.7482573064244</v>
      </c>
      <c r="I62">
        <f t="shared" ca="1" si="4"/>
        <v>143249.85551467049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68230</v>
      </c>
      <c r="B64" s="66">
        <v>68230</v>
      </c>
      <c r="D64">
        <f t="shared" si="0"/>
        <v>73.284426925018522</v>
      </c>
      <c r="E64">
        <f t="shared" si="1"/>
        <v>73.284426925018522</v>
      </c>
      <c r="G64">
        <f t="shared" ca="1" si="2"/>
        <v>62</v>
      </c>
      <c r="H64">
        <f t="shared" ca="1" si="3"/>
        <v>4543.6344693511483</v>
      </c>
      <c r="I64">
        <f t="shared" ca="1" si="4"/>
        <v>115430.61314214274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53900</v>
      </c>
      <c r="B67" s="66">
        <v>53900</v>
      </c>
      <c r="D67">
        <f t="shared" ref="D67:D130" si="5">IFERROR(100*A67/MAX(A$2:A$257), 0 )</f>
        <v>57.892871336047172</v>
      </c>
      <c r="E67">
        <f t="shared" ref="E67:E130" si="6">IFERROR(100*B67/MAX(B$2:B$257), 0 )</f>
        <v>57.892871336047172</v>
      </c>
      <c r="G67">
        <f t="shared" ref="G67:G130" ca="1" si="7">CELL("row",D67)-2</f>
        <v>65</v>
      </c>
      <c r="H67">
        <f t="shared" ref="H67:H130" ca="1" si="8">D67*G67</f>
        <v>3763.0366368430664</v>
      </c>
      <c r="I67">
        <f t="shared" ref="I67:I130" ca="1" si="9">D67*((G67-$L$1)^2)</f>
        <v>77922.575294844995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40561</v>
      </c>
      <c r="B69" s="66">
        <v>40561</v>
      </c>
      <c r="D69">
        <f t="shared" si="5"/>
        <v>43.565728279432456</v>
      </c>
      <c r="E69">
        <f t="shared" si="6"/>
        <v>43.565728279432456</v>
      </c>
      <c r="G69">
        <f t="shared" ca="1" si="7"/>
        <v>67</v>
      </c>
      <c r="H69">
        <f t="shared" ca="1" si="8"/>
        <v>2918.9037947219745</v>
      </c>
      <c r="I69">
        <f t="shared" ca="1" si="9"/>
        <v>52419.522806165878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36197</v>
      </c>
      <c r="B72" s="66">
        <v>36197</v>
      </c>
      <c r="D72">
        <f t="shared" si="5"/>
        <v>38.878446451779212</v>
      </c>
      <c r="E72">
        <f t="shared" si="6"/>
        <v>38.878446451779212</v>
      </c>
      <c r="G72">
        <f t="shared" ca="1" si="7"/>
        <v>70</v>
      </c>
      <c r="H72">
        <f t="shared" ca="1" si="8"/>
        <v>2721.4912516245449</v>
      </c>
      <c r="I72">
        <f t="shared" ca="1" si="9"/>
        <v>39037.961994172445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35126</v>
      </c>
      <c r="B75" s="66">
        <v>35126</v>
      </c>
      <c r="D75">
        <f t="shared" si="5"/>
        <v>37.728107579777237</v>
      </c>
      <c r="E75">
        <f t="shared" si="6"/>
        <v>37.728107579777237</v>
      </c>
      <c r="G75">
        <f t="shared" ca="1" si="7"/>
        <v>73</v>
      </c>
      <c r="H75">
        <f t="shared" ca="1" si="8"/>
        <v>2754.1518533237381</v>
      </c>
      <c r="I75">
        <f t="shared" ca="1" si="9"/>
        <v>31049.381039906995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27745</v>
      </c>
      <c r="B77" s="66">
        <v>27745</v>
      </c>
      <c r="D77">
        <f t="shared" si="5"/>
        <v>29.800328668249144</v>
      </c>
      <c r="E77">
        <f t="shared" si="6"/>
        <v>29.800328668249144</v>
      </c>
      <c r="G77">
        <f t="shared" ca="1" si="7"/>
        <v>75</v>
      </c>
      <c r="H77">
        <f t="shared" ca="1" si="8"/>
        <v>2235.0246501186857</v>
      </c>
      <c r="I77">
        <f t="shared" ca="1" si="9"/>
        <v>21224.601601167564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23958</v>
      </c>
      <c r="B80" s="66">
        <v>23958</v>
      </c>
      <c r="D80">
        <f t="shared" si="5"/>
        <v>25.732790565287907</v>
      </c>
      <c r="E80">
        <f t="shared" si="6"/>
        <v>25.732790565287907</v>
      </c>
      <c r="G80">
        <f t="shared" ca="1" si="7"/>
        <v>78</v>
      </c>
      <c r="H80">
        <f t="shared" ca="1" si="8"/>
        <v>2007.1576640924568</v>
      </c>
      <c r="I80">
        <f t="shared" ca="1" si="9"/>
        <v>14438.709920698157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20274</v>
      </c>
      <c r="B82" s="66">
        <v>20274</v>
      </c>
      <c r="D82">
        <f t="shared" si="5"/>
        <v>21.775882624620046</v>
      </c>
      <c r="E82">
        <f t="shared" si="6"/>
        <v>21.775882624620046</v>
      </c>
      <c r="G82">
        <f t="shared" ca="1" si="7"/>
        <v>80</v>
      </c>
      <c r="H82">
        <f t="shared" ca="1" si="8"/>
        <v>1742.0706099696035</v>
      </c>
      <c r="I82">
        <f t="shared" ca="1" si="9"/>
        <v>10242.313953545457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21304</v>
      </c>
      <c r="B85" s="66">
        <v>21304</v>
      </c>
      <c r="D85">
        <f t="shared" si="5"/>
        <v>22.882184247553784</v>
      </c>
      <c r="E85">
        <f t="shared" si="6"/>
        <v>22.882184247553784</v>
      </c>
      <c r="G85">
        <f t="shared" ca="1" si="7"/>
        <v>83</v>
      </c>
      <c r="H85">
        <f t="shared" ca="1" si="8"/>
        <v>1899.2212925469642</v>
      </c>
      <c r="I85">
        <f t="shared" ca="1" si="9"/>
        <v>7991.048330395698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20646</v>
      </c>
      <c r="B88" s="66">
        <v>20646</v>
      </c>
      <c r="D88">
        <f t="shared" si="5"/>
        <v>22.175440103970871</v>
      </c>
      <c r="E88">
        <f t="shared" si="6"/>
        <v>22.175440103970871</v>
      </c>
      <c r="G88">
        <f t="shared" ca="1" si="7"/>
        <v>86</v>
      </c>
      <c r="H88">
        <f t="shared" ca="1" si="8"/>
        <v>1907.0878489414949</v>
      </c>
      <c r="I88">
        <f t="shared" ca="1" si="9"/>
        <v>5457.3817326367853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21493</v>
      </c>
      <c r="B90" s="66">
        <v>21493</v>
      </c>
      <c r="D90">
        <f t="shared" si="5"/>
        <v>23.085185224965898</v>
      </c>
      <c r="E90">
        <f t="shared" si="6"/>
        <v>23.085185224965898</v>
      </c>
      <c r="G90">
        <f t="shared" ca="1" si="7"/>
        <v>88</v>
      </c>
      <c r="H90">
        <f t="shared" ca="1" si="8"/>
        <v>2031.496299796999</v>
      </c>
      <c r="I90">
        <f t="shared" ca="1" si="9"/>
        <v>4325.0079338871274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23031</v>
      </c>
      <c r="B93" s="66">
        <v>23031</v>
      </c>
      <c r="D93">
        <f t="shared" si="5"/>
        <v>24.73711910464754</v>
      </c>
      <c r="E93">
        <f t="shared" si="6"/>
        <v>24.73711910464754</v>
      </c>
      <c r="G93">
        <f t="shared" ca="1" si="7"/>
        <v>91</v>
      </c>
      <c r="H93">
        <f t="shared" ca="1" si="8"/>
        <v>2251.077838522926</v>
      </c>
      <c r="I93">
        <f t="shared" ca="1" si="9"/>
        <v>2825.5834522284476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26150</v>
      </c>
      <c r="B95" s="66">
        <v>26150</v>
      </c>
      <c r="D95">
        <f t="shared" si="5"/>
        <v>28.087172271570196</v>
      </c>
      <c r="E95">
        <f t="shared" si="6"/>
        <v>28.087172271570196</v>
      </c>
      <c r="G95">
        <f t="shared" ca="1" si="7"/>
        <v>93</v>
      </c>
      <c r="H95">
        <f t="shared" ca="1" si="8"/>
        <v>2612.1070212560285</v>
      </c>
      <c r="I95">
        <f t="shared" ca="1" si="9"/>
        <v>2119.8541077818195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28302</v>
      </c>
      <c r="B98" s="66">
        <v>28302</v>
      </c>
      <c r="D98">
        <f t="shared" si="5"/>
        <v>30.398590808029816</v>
      </c>
      <c r="E98">
        <f t="shared" si="6"/>
        <v>30.398590808029816</v>
      </c>
      <c r="G98">
        <f t="shared" ca="1" si="7"/>
        <v>96</v>
      </c>
      <c r="H98">
        <f t="shared" ca="1" si="8"/>
        <v>2918.2647175708626</v>
      </c>
      <c r="I98">
        <f t="shared" ca="1" si="9"/>
        <v>983.35194025731482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34932</v>
      </c>
      <c r="B100" s="66">
        <v>34932</v>
      </c>
      <c r="D100">
        <f t="shared" si="5"/>
        <v>37.519736206137289</v>
      </c>
      <c r="E100">
        <f t="shared" si="6"/>
        <v>37.519736206137289</v>
      </c>
      <c r="G100">
        <f t="shared" ca="1" si="7"/>
        <v>98</v>
      </c>
      <c r="H100">
        <f t="shared" ca="1" si="8"/>
        <v>3676.9341482014543</v>
      </c>
      <c r="I100">
        <f t="shared" ca="1" si="9"/>
        <v>510.20350179515424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39483</v>
      </c>
      <c r="B103" s="66">
        <v>39483</v>
      </c>
      <c r="D103">
        <f t="shared" si="5"/>
        <v>42.407870852711511</v>
      </c>
      <c r="E103">
        <f t="shared" si="6"/>
        <v>42.407870852711511</v>
      </c>
      <c r="G103">
        <f t="shared" ca="1" si="7"/>
        <v>101</v>
      </c>
      <c r="H103">
        <f t="shared" ca="1" si="8"/>
        <v>4283.1949561238625</v>
      </c>
      <c r="I103">
        <f t="shared" ca="1" si="9"/>
        <v>20.04919778439077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44358</v>
      </c>
      <c r="B106" s="66">
        <v>44358</v>
      </c>
      <c r="D106">
        <f t="shared" si="5"/>
        <v>47.644007174849364</v>
      </c>
      <c r="E106">
        <f t="shared" si="6"/>
        <v>47.644007174849364</v>
      </c>
      <c r="G106">
        <f t="shared" ca="1" si="7"/>
        <v>104</v>
      </c>
      <c r="H106">
        <f t="shared" ca="1" si="8"/>
        <v>4954.9767461843339</v>
      </c>
      <c r="I106">
        <f t="shared" ca="1" si="9"/>
        <v>254.76543655109086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46180</v>
      </c>
      <c r="B108" s="66">
        <v>46180</v>
      </c>
      <c r="D108">
        <f t="shared" si="5"/>
        <v>49.600979560271959</v>
      </c>
      <c r="E108">
        <f t="shared" si="6"/>
        <v>49.600979560271959</v>
      </c>
      <c r="G108">
        <f t="shared" ca="1" si="7"/>
        <v>106</v>
      </c>
      <c r="H108">
        <f t="shared" ca="1" si="8"/>
        <v>5257.7038333888277</v>
      </c>
      <c r="I108">
        <f t="shared" ca="1" si="9"/>
        <v>922.42636817072378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49300</v>
      </c>
      <c r="B111" s="66">
        <v>49300</v>
      </c>
      <c r="D111">
        <f t="shared" si="5"/>
        <v>52.952106806440177</v>
      </c>
      <c r="E111">
        <f t="shared" si="6"/>
        <v>52.952106806440177</v>
      </c>
      <c r="G111">
        <f t="shared" ca="1" si="7"/>
        <v>109</v>
      </c>
      <c r="H111">
        <f t="shared" ca="1" si="8"/>
        <v>5771.7796419019796</v>
      </c>
      <c r="I111">
        <f t="shared" ca="1" si="9"/>
        <v>2831.4253622924889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57945</v>
      </c>
      <c r="B113" s="66">
        <v>57945</v>
      </c>
      <c r="D113">
        <f t="shared" si="5"/>
        <v>62.237521884364625</v>
      </c>
      <c r="E113">
        <f t="shared" si="6"/>
        <v>62.237521884364625</v>
      </c>
      <c r="G113">
        <f t="shared" ca="1" si="7"/>
        <v>111</v>
      </c>
      <c r="H113">
        <f t="shared" ca="1" si="8"/>
        <v>6908.3649291644733</v>
      </c>
      <c r="I113">
        <f t="shared" ca="1" si="9"/>
        <v>5397.3067570443864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63171</v>
      </c>
      <c r="B116" s="66">
        <v>63171</v>
      </c>
      <c r="D116">
        <f t="shared" si="5"/>
        <v>67.850660021696399</v>
      </c>
      <c r="E116">
        <f t="shared" si="6"/>
        <v>67.850660021696399</v>
      </c>
      <c r="G116">
        <f t="shared" ca="1" si="7"/>
        <v>114</v>
      </c>
      <c r="H116">
        <f t="shared" ca="1" si="8"/>
        <v>7734.9752424733897</v>
      </c>
      <c r="I116">
        <f t="shared" ca="1" si="9"/>
        <v>10285.861998772312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64221</v>
      </c>
      <c r="B118" s="66">
        <v>64221</v>
      </c>
      <c r="D118">
        <f t="shared" si="5"/>
        <v>68.978443229541469</v>
      </c>
      <c r="E118">
        <f t="shared" si="6"/>
        <v>68.978443229541469</v>
      </c>
      <c r="G118">
        <f t="shared" ca="1" si="7"/>
        <v>116</v>
      </c>
      <c r="H118">
        <f t="shared" ca="1" si="8"/>
        <v>8001.49941462681</v>
      </c>
      <c r="I118">
        <f t="shared" ca="1" si="9"/>
        <v>14129.90812090844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71204</v>
      </c>
      <c r="B121" s="66">
        <v>71204</v>
      </c>
      <c r="D121">
        <f t="shared" si="5"/>
        <v>76.478738601334001</v>
      </c>
      <c r="E121">
        <f t="shared" si="6"/>
        <v>76.478738601334001</v>
      </c>
      <c r="G121">
        <f t="shared" ca="1" si="7"/>
        <v>119</v>
      </c>
      <c r="H121">
        <f t="shared" ca="1" si="8"/>
        <v>9100.9698935587458</v>
      </c>
      <c r="I121">
        <f t="shared" ca="1" si="9"/>
        <v>22922.190323464674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75785</v>
      </c>
      <c r="B124" s="66">
        <v>75785</v>
      </c>
      <c r="D124">
        <f t="shared" si="5"/>
        <v>81.399095625275237</v>
      </c>
      <c r="E124">
        <f t="shared" si="6"/>
        <v>81.399095625275237</v>
      </c>
      <c r="G124">
        <f t="shared" ca="1" si="7"/>
        <v>122</v>
      </c>
      <c r="H124">
        <f t="shared" ca="1" si="8"/>
        <v>9930.6896662835788</v>
      </c>
      <c r="I124">
        <f t="shared" ca="1" si="9"/>
        <v>33584.800900829607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78035</v>
      </c>
      <c r="B126" s="66">
        <v>78035</v>
      </c>
      <c r="D126">
        <f t="shared" si="5"/>
        <v>83.815773927800393</v>
      </c>
      <c r="E126">
        <f t="shared" si="6"/>
        <v>83.815773927800393</v>
      </c>
      <c r="G126">
        <f t="shared" ca="1" si="7"/>
        <v>124</v>
      </c>
      <c r="H126">
        <f t="shared" ca="1" si="8"/>
        <v>10393.155967047249</v>
      </c>
      <c r="I126">
        <f t="shared" ca="1" si="9"/>
        <v>41727.175363346731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85505</v>
      </c>
      <c r="B129" s="66">
        <v>85505</v>
      </c>
      <c r="D129">
        <f t="shared" si="5"/>
        <v>91.839145892183922</v>
      </c>
      <c r="E129">
        <f t="shared" si="6"/>
        <v>91.839145892183922</v>
      </c>
      <c r="G129">
        <f t="shared" ca="1" si="7"/>
        <v>127</v>
      </c>
      <c r="H129">
        <f t="shared" ca="1" si="8"/>
        <v>11663.571528307359</v>
      </c>
      <c r="I129">
        <f t="shared" ca="1" si="9"/>
        <v>58843.034612337091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84808</v>
      </c>
      <c r="B131" s="66">
        <v>84808</v>
      </c>
      <c r="D131">
        <f t="shared" ref="D131:D194" si="10">IFERROR(100*A131/MAX(A$2:A$257), 0 )</f>
        <v>91.090512658023911</v>
      </c>
      <c r="E131">
        <f t="shared" ref="E131:E194" si="11">IFERROR(100*B131/MAX(B$2:B$257), 0 )</f>
        <v>91.090512658023911</v>
      </c>
      <c r="G131">
        <f t="shared" ref="G131:G194" ca="1" si="12">CELL("row",D131)-2</f>
        <v>129</v>
      </c>
      <c r="H131">
        <f t="shared" ref="H131:H194" ca="1" si="13">D131*G131</f>
        <v>11750.676132885084</v>
      </c>
      <c r="I131">
        <f t="shared" ref="I131:I194" ca="1" si="14">D131*((G131-$L$1)^2)</f>
        <v>67950.617628956112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77248</v>
      </c>
      <c r="B134" s="66">
        <v>77248</v>
      </c>
      <c r="D134">
        <f t="shared" si="10"/>
        <v>82.970473561539364</v>
      </c>
      <c r="E134">
        <f t="shared" si="11"/>
        <v>82.970473561539364</v>
      </c>
      <c r="G134">
        <f t="shared" ca="1" si="12"/>
        <v>132</v>
      </c>
      <c r="H134">
        <f t="shared" ca="1" si="13"/>
        <v>10952.102510123195</v>
      </c>
      <c r="I134">
        <f t="shared" ca="1" si="14"/>
        <v>76236.806596520342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71175</v>
      </c>
      <c r="B136" s="66">
        <v>71175</v>
      </c>
      <c r="D136">
        <f t="shared" si="10"/>
        <v>76.447590303212564</v>
      </c>
      <c r="E136">
        <f t="shared" si="11"/>
        <v>76.447590303212564</v>
      </c>
      <c r="G136">
        <f t="shared" ca="1" si="12"/>
        <v>134</v>
      </c>
      <c r="H136">
        <f t="shared" ca="1" si="13"/>
        <v>10243.977100630484</v>
      </c>
      <c r="I136">
        <f t="shared" ca="1" si="14"/>
        <v>79818.338748976515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76573</v>
      </c>
      <c r="B139" s="66">
        <v>76573</v>
      </c>
      <c r="D139">
        <f t="shared" si="10"/>
        <v>82.24547007078182</v>
      </c>
      <c r="E139">
        <f t="shared" si="11"/>
        <v>82.24547007078182</v>
      </c>
      <c r="G139">
        <f t="shared" ca="1" si="12"/>
        <v>137</v>
      </c>
      <c r="H139">
        <f t="shared" ca="1" si="13"/>
        <v>11267.629399697109</v>
      </c>
      <c r="I139">
        <f t="shared" ca="1" si="14"/>
        <v>102557.36892293928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78729</v>
      </c>
      <c r="B142" s="66">
        <v>78729</v>
      </c>
      <c r="D142">
        <f t="shared" si="10"/>
        <v>84.56118492422371</v>
      </c>
      <c r="E142">
        <f t="shared" si="11"/>
        <v>84.56118492422371</v>
      </c>
      <c r="G142">
        <f t="shared" ca="1" si="12"/>
        <v>140</v>
      </c>
      <c r="H142">
        <f t="shared" ca="1" si="13"/>
        <v>11838.565889391319</v>
      </c>
      <c r="I142">
        <f t="shared" ca="1" si="14"/>
        <v>124122.39791545877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73740</v>
      </c>
      <c r="B144" s="66">
        <v>73740</v>
      </c>
      <c r="D144">
        <f t="shared" si="10"/>
        <v>79.202603568091249</v>
      </c>
      <c r="E144">
        <f t="shared" si="11"/>
        <v>79.202603568091249</v>
      </c>
      <c r="G144">
        <f t="shared" ca="1" si="12"/>
        <v>142</v>
      </c>
      <c r="H144">
        <f t="shared" ca="1" si="13"/>
        <v>11246.769706668958</v>
      </c>
      <c r="I144">
        <f t="shared" ca="1" si="14"/>
        <v>128711.43404680453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79648</v>
      </c>
      <c r="B147" s="66">
        <v>79648</v>
      </c>
      <c r="D147">
        <f t="shared" si="10"/>
        <v>85.548263750899537</v>
      </c>
      <c r="E147">
        <f t="shared" si="11"/>
        <v>85.548263750899537</v>
      </c>
      <c r="G147">
        <f t="shared" ca="1" si="12"/>
        <v>145</v>
      </c>
      <c r="H147">
        <f t="shared" ca="1" si="13"/>
        <v>12404.498243880433</v>
      </c>
      <c r="I147">
        <f t="shared" ca="1" si="14"/>
        <v>160485.58691895608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81758</v>
      </c>
      <c r="B149" s="66">
        <v>81758</v>
      </c>
      <c r="D149">
        <f t="shared" si="10"/>
        <v>87.814570959045355</v>
      </c>
      <c r="E149">
        <f t="shared" si="11"/>
        <v>87.814570959045355</v>
      </c>
      <c r="G149">
        <f t="shared" ca="1" si="12"/>
        <v>147</v>
      </c>
      <c r="H149">
        <f t="shared" ca="1" si="13"/>
        <v>12908.741930979668</v>
      </c>
      <c r="I149">
        <f t="shared" ca="1" si="14"/>
        <v>180302.20440846332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83517</v>
      </c>
      <c r="B152" s="66">
        <v>83517</v>
      </c>
      <c r="D152">
        <f t="shared" si="10"/>
        <v>89.703876351997252</v>
      </c>
      <c r="E152">
        <f t="shared" si="11"/>
        <v>89.703876351997252</v>
      </c>
      <c r="G152">
        <f t="shared" ca="1" si="12"/>
        <v>150</v>
      </c>
      <c r="H152">
        <f t="shared" ca="1" si="13"/>
        <v>13455.581452799588</v>
      </c>
      <c r="I152">
        <f t="shared" ca="1" si="14"/>
        <v>209376.88628068205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93103</v>
      </c>
      <c r="B154" s="66">
        <v>93103</v>
      </c>
      <c r="D154">
        <f t="shared" si="10"/>
        <v>100</v>
      </c>
      <c r="E154">
        <f t="shared" si="11"/>
        <v>100</v>
      </c>
      <c r="G154">
        <f t="shared" ca="1" si="12"/>
        <v>152</v>
      </c>
      <c r="H154">
        <f t="shared" ca="1" si="13"/>
        <v>15200</v>
      </c>
      <c r="I154">
        <f t="shared" ca="1" si="14"/>
        <v>253133.9282837424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89287</v>
      </c>
      <c r="B157" s="66">
        <v>89287</v>
      </c>
      <c r="D157">
        <f t="shared" si="10"/>
        <v>95.901313598917326</v>
      </c>
      <c r="E157">
        <f t="shared" si="11"/>
        <v>95.901313598917326</v>
      </c>
      <c r="G157">
        <f t="shared" ca="1" si="12"/>
        <v>155</v>
      </c>
      <c r="H157">
        <f t="shared" ca="1" si="13"/>
        <v>14864.703607832185</v>
      </c>
      <c r="I157">
        <f t="shared" ca="1" si="14"/>
        <v>272572.03537166078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83750</v>
      </c>
      <c r="B160" s="66">
        <v>83750</v>
      </c>
      <c r="D160">
        <f t="shared" si="10"/>
        <v>89.954136816214302</v>
      </c>
      <c r="E160">
        <f t="shared" si="11"/>
        <v>89.954136816214302</v>
      </c>
      <c r="G160">
        <f t="shared" ca="1" si="12"/>
        <v>158</v>
      </c>
      <c r="H160">
        <f t="shared" ca="1" si="13"/>
        <v>14212.75361696186</v>
      </c>
      <c r="I160">
        <f t="shared" ca="1" si="14"/>
        <v>285252.50937935075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80714</v>
      </c>
      <c r="B162" s="66">
        <v>80714</v>
      </c>
      <c r="D162">
        <f t="shared" si="10"/>
        <v>86.693232226673686</v>
      </c>
      <c r="E162">
        <f t="shared" si="11"/>
        <v>86.693232226673686</v>
      </c>
      <c r="G162">
        <f t="shared" ca="1" si="12"/>
        <v>160</v>
      </c>
      <c r="H162">
        <f t="shared" ca="1" si="13"/>
        <v>13870.917156267789</v>
      </c>
      <c r="I162">
        <f t="shared" ca="1" si="14"/>
        <v>294786.28767090762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80372</v>
      </c>
      <c r="B165" s="66">
        <v>80372</v>
      </c>
      <c r="D165">
        <f t="shared" si="10"/>
        <v>86.32589712468986</v>
      </c>
      <c r="E165">
        <f t="shared" si="11"/>
        <v>86.32589712468986</v>
      </c>
      <c r="G165">
        <f t="shared" ca="1" si="12"/>
        <v>163</v>
      </c>
      <c r="H165">
        <f t="shared" ca="1" si="13"/>
        <v>14071.121231324447</v>
      </c>
      <c r="I165">
        <f t="shared" ca="1" si="14"/>
        <v>324517.3874121749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66954</v>
      </c>
      <c r="B167" s="66">
        <v>66954</v>
      </c>
      <c r="D167">
        <f t="shared" si="10"/>
        <v>71.913901807675373</v>
      </c>
      <c r="E167">
        <f t="shared" si="11"/>
        <v>71.913901807675373</v>
      </c>
      <c r="G167">
        <f t="shared" ca="1" si="12"/>
        <v>165</v>
      </c>
      <c r="H167">
        <f t="shared" ca="1" si="13"/>
        <v>11865.793798266437</v>
      </c>
      <c r="I167">
        <f t="shared" ca="1" si="14"/>
        <v>288264.15124501562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45983</v>
      </c>
      <c r="B170" s="66">
        <v>45983</v>
      </c>
      <c r="D170">
        <f t="shared" si="10"/>
        <v>49.38938594889531</v>
      </c>
      <c r="E170">
        <f t="shared" si="11"/>
        <v>49.38938594889531</v>
      </c>
      <c r="G170">
        <f t="shared" ca="1" si="12"/>
        <v>168</v>
      </c>
      <c r="H170">
        <f t="shared" ca="1" si="13"/>
        <v>8297.4168394144126</v>
      </c>
      <c r="I170">
        <f t="shared" ca="1" si="14"/>
        <v>217181.75547169961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33797</v>
      </c>
      <c r="B173" s="66">
        <v>33797</v>
      </c>
      <c r="D173">
        <f t="shared" si="10"/>
        <v>36.300656262419039</v>
      </c>
      <c r="E173">
        <f t="shared" si="11"/>
        <v>36.300656262419039</v>
      </c>
      <c r="G173">
        <f t="shared" ca="1" si="12"/>
        <v>171</v>
      </c>
      <c r="H173">
        <f t="shared" ca="1" si="13"/>
        <v>6207.4122208736553</v>
      </c>
      <c r="I173">
        <f t="shared" ca="1" si="14"/>
        <v>174396.01650467116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26164</v>
      </c>
      <c r="B175" s="66">
        <v>26164</v>
      </c>
      <c r="D175">
        <f t="shared" si="10"/>
        <v>28.10220938100813</v>
      </c>
      <c r="E175">
        <f t="shared" si="11"/>
        <v>28.10220938100813</v>
      </c>
      <c r="G175">
        <f t="shared" ca="1" si="12"/>
        <v>173</v>
      </c>
      <c r="H175">
        <f t="shared" ca="1" si="13"/>
        <v>4861.6822229144063</v>
      </c>
      <c r="I175">
        <f t="shared" ca="1" si="14"/>
        <v>142912.68385892498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13759</v>
      </c>
      <c r="B178" s="66">
        <v>13759</v>
      </c>
      <c r="D178">
        <f t="shared" si="10"/>
        <v>14.778256339752748</v>
      </c>
      <c r="E178">
        <f t="shared" si="11"/>
        <v>14.778256339752748</v>
      </c>
      <c r="G178">
        <f t="shared" ca="1" si="12"/>
        <v>176</v>
      </c>
      <c r="H178">
        <f t="shared" ca="1" si="13"/>
        <v>2600.9731157964834</v>
      </c>
      <c r="I178">
        <f t="shared" ca="1" si="14"/>
        <v>81610.486488406517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8714</v>
      </c>
      <c r="B180" s="66">
        <v>8714</v>
      </c>
      <c r="D180">
        <f t="shared" si="10"/>
        <v>9.3595265458685546</v>
      </c>
      <c r="E180">
        <f t="shared" si="11"/>
        <v>9.3595265458685546</v>
      </c>
      <c r="G180">
        <f t="shared" ca="1" si="12"/>
        <v>178</v>
      </c>
      <c r="H180">
        <f t="shared" ca="1" si="13"/>
        <v>1665.9957251646026</v>
      </c>
      <c r="I180">
        <f t="shared" ca="1" si="14"/>
        <v>54505.997985031107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4084</v>
      </c>
      <c r="B183" s="66">
        <v>4084</v>
      </c>
      <c r="D183">
        <f t="shared" si="10"/>
        <v>4.3865396388945577</v>
      </c>
      <c r="E183">
        <f t="shared" si="11"/>
        <v>4.3865396388945577</v>
      </c>
      <c r="G183">
        <f t="shared" ca="1" si="12"/>
        <v>181</v>
      </c>
      <c r="H183">
        <f t="shared" ca="1" si="13"/>
        <v>793.96367463991498</v>
      </c>
      <c r="I183">
        <f t="shared" ca="1" si="14"/>
        <v>27593.349752442053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2867</v>
      </c>
      <c r="B185" s="66">
        <v>2867</v>
      </c>
      <c r="D185">
        <f t="shared" si="10"/>
        <v>3.0793851970398376</v>
      </c>
      <c r="E185">
        <f t="shared" si="11"/>
        <v>3.0793851970398376</v>
      </c>
      <c r="G185">
        <f t="shared" ca="1" si="12"/>
        <v>183</v>
      </c>
      <c r="H185">
        <f t="shared" ca="1" si="13"/>
        <v>563.52749105829025</v>
      </c>
      <c r="I185">
        <f t="shared" ca="1" si="14"/>
        <v>20359.999202232528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1758</v>
      </c>
      <c r="B188" s="66">
        <v>1758</v>
      </c>
      <c r="D188">
        <f t="shared" si="10"/>
        <v>1.8882313137063254</v>
      </c>
      <c r="E188">
        <f t="shared" si="11"/>
        <v>1.8882313137063254</v>
      </c>
      <c r="G188">
        <f t="shared" ca="1" si="12"/>
        <v>186</v>
      </c>
      <c r="H188">
        <f t="shared" ca="1" si="13"/>
        <v>351.21102434937654</v>
      </c>
      <c r="I188">
        <f t="shared" ca="1" si="14"/>
        <v>13422.65019546202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521</v>
      </c>
      <c r="B191" s="66">
        <v>521</v>
      </c>
      <c r="D191">
        <f t="shared" si="10"/>
        <v>0.5595952869402705</v>
      </c>
      <c r="E191">
        <f t="shared" si="11"/>
        <v>0.5595952869402705</v>
      </c>
      <c r="G191">
        <f t="shared" ca="1" si="12"/>
        <v>189</v>
      </c>
      <c r="H191">
        <f t="shared" ca="1" si="13"/>
        <v>105.76350923171113</v>
      </c>
      <c r="I191">
        <f t="shared" ca="1" si="14"/>
        <v>4266.0512369328844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353</v>
      </c>
      <c r="B1" s="68" t="s">
        <v>354</v>
      </c>
      <c r="C1" s="32" t="s">
        <v>355</v>
      </c>
      <c r="D1" s="32" t="s">
        <v>356</v>
      </c>
      <c r="E1" s="32" t="s">
        <v>357</v>
      </c>
    </row>
    <row r="2" spans="1:5">
      <c r="A2" s="68">
        <v>0.17648</v>
      </c>
      <c r="B2" s="68">
        <v>0.56534399999999996</v>
      </c>
      <c r="C2" s="68">
        <v>0</v>
      </c>
      <c r="D2" s="68">
        <v>1</v>
      </c>
      <c r="E2" s="68" t="s">
        <v>358</v>
      </c>
    </row>
    <row r="3" spans="1:5">
      <c r="A3" s="68">
        <v>0.17986199999999999</v>
      </c>
      <c r="B3" s="68">
        <v>0.55584599999999995</v>
      </c>
      <c r="C3" s="68">
        <v>0.399727</v>
      </c>
      <c r="D3" s="89">
        <v>1</v>
      </c>
      <c r="E3" s="68" t="s">
        <v>359</v>
      </c>
    </row>
    <row r="4" spans="1:5">
      <c r="A4" s="68">
        <v>0.183255</v>
      </c>
      <c r="B4" s="68">
        <v>0.54634700000000003</v>
      </c>
      <c r="C4" s="68">
        <v>0.80646899999999999</v>
      </c>
      <c r="D4" s="89">
        <v>1</v>
      </c>
      <c r="E4" s="68" t="s">
        <v>360</v>
      </c>
    </row>
    <row r="5" spans="1:5">
      <c r="A5" s="89">
        <v>0.18653700000000001</v>
      </c>
      <c r="B5" s="89">
        <v>0.53745200000000004</v>
      </c>
      <c r="C5" s="89">
        <v>1.21305</v>
      </c>
      <c r="D5" s="89">
        <v>1</v>
      </c>
      <c r="E5" s="68" t="s">
        <v>361</v>
      </c>
    </row>
    <row r="6" spans="1:5">
      <c r="A6" s="68">
        <v>0.189771</v>
      </c>
      <c r="B6" s="68">
        <v>0.52867500000000001</v>
      </c>
      <c r="C6" s="68">
        <v>1.6171199999999999</v>
      </c>
      <c r="D6" s="68">
        <v>1</v>
      </c>
      <c r="E6" s="68" t="s">
        <v>362</v>
      </c>
    </row>
    <row r="7" spans="1:5">
      <c r="A7" s="68">
        <v>0.193106</v>
      </c>
      <c r="B7" s="68">
        <v>0.51984300000000006</v>
      </c>
      <c r="C7" s="68">
        <v>2.02868</v>
      </c>
      <c r="D7" s="68">
        <v>1</v>
      </c>
      <c r="E7" s="68" t="s">
        <v>363</v>
      </c>
    </row>
    <row r="8" spans="1:5">
      <c r="A8" s="68">
        <v>0.196328</v>
      </c>
      <c r="B8" s="68">
        <v>0.51235600000000003</v>
      </c>
      <c r="C8" s="68">
        <v>2.43248</v>
      </c>
      <c r="D8" s="68">
        <v>1</v>
      </c>
      <c r="E8" s="68" t="s">
        <v>364</v>
      </c>
    </row>
    <row r="9" spans="1:5">
      <c r="A9" s="68">
        <v>0.19903499999999999</v>
      </c>
      <c r="B9" s="68">
        <v>0.50681399999999999</v>
      </c>
      <c r="C9" s="68">
        <v>2.8383699999999998</v>
      </c>
      <c r="D9" s="68">
        <v>1</v>
      </c>
      <c r="E9" s="68" t="s">
        <v>365</v>
      </c>
    </row>
    <row r="10" spans="1:5">
      <c r="A10" s="68">
        <v>0.201458</v>
      </c>
      <c r="B10" s="68">
        <v>0.50219599999999998</v>
      </c>
      <c r="C10" s="68">
        <v>3.2436600000000002</v>
      </c>
      <c r="D10" s="68">
        <v>1</v>
      </c>
      <c r="E10" s="68" t="s">
        <v>366</v>
      </c>
    </row>
    <row r="11" spans="1:5">
      <c r="A11" s="68">
        <v>0.203539</v>
      </c>
      <c r="B11" s="68">
        <v>0.49848100000000001</v>
      </c>
      <c r="C11" s="68">
        <v>3.6587700000000001</v>
      </c>
      <c r="D11" s="68">
        <v>1</v>
      </c>
      <c r="E11" s="68" t="s">
        <v>367</v>
      </c>
    </row>
    <row r="12" spans="1:5">
      <c r="A12" s="68">
        <v>0.205041</v>
      </c>
      <c r="B12" s="68">
        <v>0.49587500000000001</v>
      </c>
      <c r="C12" s="68">
        <v>4.05748</v>
      </c>
      <c r="D12" s="68">
        <v>1</v>
      </c>
      <c r="E12" s="68" t="s">
        <v>368</v>
      </c>
    </row>
    <row r="13" spans="1:5">
      <c r="A13" s="68">
        <v>0.206372</v>
      </c>
      <c r="B13" s="68">
        <v>0.49340699999999998</v>
      </c>
      <c r="C13" s="68">
        <v>4.4671599999999998</v>
      </c>
      <c r="D13" s="68">
        <v>1</v>
      </c>
      <c r="E13" s="68" t="s">
        <v>369</v>
      </c>
    </row>
    <row r="14" spans="1:5">
      <c r="A14" s="68">
        <v>0.20760500000000001</v>
      </c>
      <c r="B14" s="68">
        <v>0.49085499999999999</v>
      </c>
      <c r="C14" s="68">
        <v>4.8689600000000004</v>
      </c>
      <c r="D14" s="68">
        <v>1</v>
      </c>
      <c r="E14" s="68" t="s">
        <v>370</v>
      </c>
    </row>
    <row r="15" spans="1:5">
      <c r="A15" s="68">
        <v>0.20872299999999999</v>
      </c>
      <c r="B15" s="68">
        <v>0.48817700000000003</v>
      </c>
      <c r="C15" s="68">
        <v>5.2794800000000004</v>
      </c>
      <c r="D15" s="68">
        <v>1</v>
      </c>
      <c r="E15" s="68" t="s">
        <v>371</v>
      </c>
    </row>
    <row r="16" spans="1:5">
      <c r="A16" s="68">
        <v>0.20979100000000001</v>
      </c>
      <c r="B16" s="68">
        <v>0.48549399999999998</v>
      </c>
      <c r="C16" s="68">
        <v>5.6838899999999999</v>
      </c>
      <c r="D16" s="68">
        <v>1</v>
      </c>
      <c r="E16" s="68" t="s">
        <v>372</v>
      </c>
    </row>
    <row r="17" spans="1:5">
      <c r="A17" s="68">
        <v>0.210948</v>
      </c>
      <c r="B17" s="68">
        <v>0.48258000000000001</v>
      </c>
      <c r="C17" s="68">
        <v>6.0906700000000003</v>
      </c>
      <c r="D17" s="68">
        <v>1</v>
      </c>
      <c r="E17" s="68" t="s">
        <v>373</v>
      </c>
    </row>
    <row r="18" spans="1:5">
      <c r="A18" s="68">
        <v>0.212283</v>
      </c>
      <c r="B18" s="68">
        <v>0.479184</v>
      </c>
      <c r="C18" s="68">
        <v>6.4957799999999999</v>
      </c>
      <c r="D18" s="68">
        <v>1</v>
      </c>
      <c r="E18" s="68" t="s">
        <v>374</v>
      </c>
    </row>
    <row r="19" spans="1:5">
      <c r="A19" s="68">
        <v>0.21357899999999999</v>
      </c>
      <c r="B19" s="68">
        <v>0.47591299999999997</v>
      </c>
      <c r="C19" s="68">
        <v>6.8995199999999999</v>
      </c>
      <c r="D19" s="68">
        <v>1</v>
      </c>
      <c r="E19" s="68" t="s">
        <v>375</v>
      </c>
    </row>
    <row r="20" spans="1:5">
      <c r="A20" s="68">
        <v>0.21485799999999999</v>
      </c>
      <c r="B20" s="68">
        <v>0.47254299999999999</v>
      </c>
      <c r="C20" s="68">
        <v>7.3079299999999998</v>
      </c>
      <c r="D20" s="68">
        <v>1</v>
      </c>
      <c r="E20" s="68" t="s">
        <v>376</v>
      </c>
    </row>
    <row r="21" spans="1:5">
      <c r="A21" s="68">
        <v>0.21638299999999999</v>
      </c>
      <c r="B21" s="68">
        <v>0.468667</v>
      </c>
      <c r="C21" s="68">
        <v>7.7144899999999996</v>
      </c>
      <c r="D21" s="68">
        <v>1</v>
      </c>
      <c r="E21" s="68" t="s">
        <v>377</v>
      </c>
    </row>
    <row r="22" spans="1:5">
      <c r="A22" s="68">
        <v>0.21787200000000001</v>
      </c>
      <c r="B22" s="68">
        <v>0.464447</v>
      </c>
      <c r="C22" s="68">
        <v>8.1187400000000007</v>
      </c>
      <c r="D22" s="68">
        <v>1</v>
      </c>
      <c r="E22" s="68" t="s">
        <v>378</v>
      </c>
    </row>
    <row r="23" spans="1:5">
      <c r="A23" s="68">
        <v>0.21954799999999999</v>
      </c>
      <c r="B23" s="68">
        <v>0.46010200000000001</v>
      </c>
      <c r="C23" s="68">
        <v>8.5265699999999995</v>
      </c>
      <c r="D23" s="68">
        <v>1</v>
      </c>
      <c r="E23" s="68" t="s">
        <v>379</v>
      </c>
    </row>
    <row r="24" spans="1:5">
      <c r="A24" s="68">
        <v>0.22123899999999999</v>
      </c>
      <c r="B24" s="68">
        <v>0.45579399999999998</v>
      </c>
      <c r="C24" s="68">
        <v>8.9326799999999995</v>
      </c>
      <c r="D24" s="68">
        <v>1</v>
      </c>
      <c r="E24" s="68" t="s">
        <v>380</v>
      </c>
    </row>
    <row r="25" spans="1:5">
      <c r="A25" s="68">
        <v>0.223078</v>
      </c>
      <c r="B25" s="68">
        <v>0.450818</v>
      </c>
      <c r="C25" s="68">
        <v>9.3392999999999997</v>
      </c>
      <c r="D25" s="68">
        <v>1</v>
      </c>
      <c r="E25" s="68" t="s">
        <v>381</v>
      </c>
    </row>
    <row r="26" spans="1:5">
      <c r="A26" s="68">
        <v>0.22536999999999999</v>
      </c>
      <c r="B26" s="68">
        <v>0.44454500000000002</v>
      </c>
      <c r="C26" s="68">
        <v>9.7462400000000002</v>
      </c>
      <c r="D26" s="68">
        <v>1</v>
      </c>
      <c r="E26" s="68" t="s">
        <v>382</v>
      </c>
    </row>
    <row r="27" spans="1:5">
      <c r="A27" s="68">
        <v>0.22811100000000001</v>
      </c>
      <c r="B27" s="68">
        <v>0.43678299999999998</v>
      </c>
      <c r="C27" s="68">
        <v>10.1533</v>
      </c>
      <c r="D27" s="68">
        <v>1</v>
      </c>
      <c r="E27" s="68" t="s">
        <v>383</v>
      </c>
    </row>
    <row r="28" spans="1:5">
      <c r="A28" s="68">
        <v>0.231018</v>
      </c>
      <c r="B28" s="68">
        <v>0.427894</v>
      </c>
      <c r="C28" s="68">
        <v>10.5602</v>
      </c>
      <c r="D28" s="68">
        <v>1</v>
      </c>
      <c r="E28" s="68" t="s">
        <v>384</v>
      </c>
    </row>
    <row r="29" spans="1:5">
      <c r="A29" s="68">
        <v>0.234125</v>
      </c>
      <c r="B29" s="68">
        <v>0.418383</v>
      </c>
      <c r="C29" s="68">
        <v>10.9643</v>
      </c>
      <c r="D29" s="68">
        <v>1</v>
      </c>
      <c r="E29" s="68" t="s">
        <v>385</v>
      </c>
    </row>
    <row r="30" spans="1:5">
      <c r="A30" s="68">
        <v>0.23767199999999999</v>
      </c>
      <c r="B30" s="68">
        <v>0.40757900000000002</v>
      </c>
      <c r="C30" s="68">
        <v>11.3688</v>
      </c>
      <c r="D30" s="68">
        <v>1</v>
      </c>
      <c r="E30" s="68" t="s">
        <v>386</v>
      </c>
    </row>
    <row r="31" spans="1:5">
      <c r="A31" s="68">
        <v>0.24124799999999999</v>
      </c>
      <c r="B31" s="68">
        <v>0.39655400000000002</v>
      </c>
      <c r="C31" s="68">
        <v>11.7781</v>
      </c>
      <c r="D31" s="68">
        <v>1</v>
      </c>
      <c r="E31" s="68" t="s">
        <v>387</v>
      </c>
    </row>
    <row r="32" spans="1:5">
      <c r="A32" s="68">
        <v>0.245004</v>
      </c>
      <c r="B32" s="68">
        <v>0.384131</v>
      </c>
      <c r="C32" s="68">
        <v>12.184799999999999</v>
      </c>
      <c r="D32" s="68">
        <v>1</v>
      </c>
      <c r="E32" s="68" t="s">
        <v>388</v>
      </c>
    </row>
    <row r="33" spans="1:5">
      <c r="A33" s="68">
        <v>0.24882099999999999</v>
      </c>
      <c r="B33" s="68">
        <v>0.372172</v>
      </c>
      <c r="C33" s="68">
        <v>12.593400000000001</v>
      </c>
      <c r="D33" s="68">
        <v>1</v>
      </c>
      <c r="E33" s="68" t="s">
        <v>389</v>
      </c>
    </row>
    <row r="34" spans="1:5">
      <c r="A34" s="68">
        <v>0.25298900000000002</v>
      </c>
      <c r="B34" s="68">
        <v>0.36024099999999998</v>
      </c>
      <c r="C34" s="68">
        <v>12.997299999999999</v>
      </c>
      <c r="D34" s="68">
        <v>1</v>
      </c>
      <c r="E34" s="68" t="s">
        <v>390</v>
      </c>
    </row>
    <row r="35" spans="1:5">
      <c r="A35" s="68">
        <v>0.257523</v>
      </c>
      <c r="B35" s="68">
        <v>0.34752499999999997</v>
      </c>
      <c r="C35" s="68">
        <v>13.4001</v>
      </c>
      <c r="D35" s="68">
        <v>1</v>
      </c>
      <c r="E35" s="68" t="s">
        <v>391</v>
      </c>
    </row>
    <row r="36" spans="1:5">
      <c r="A36" s="68">
        <v>0.26276500000000003</v>
      </c>
      <c r="B36" s="68">
        <v>0.33373999999999998</v>
      </c>
      <c r="C36" s="68">
        <v>13.808400000000001</v>
      </c>
      <c r="D36" s="68">
        <v>1</v>
      </c>
      <c r="E36" s="68" t="s">
        <v>392</v>
      </c>
    </row>
    <row r="37" spans="1:5">
      <c r="A37" s="68">
        <v>0.26857799999999998</v>
      </c>
      <c r="B37" s="68">
        <v>0.31892700000000002</v>
      </c>
      <c r="C37" s="68">
        <v>14.215999999999999</v>
      </c>
      <c r="D37" s="68">
        <v>1</v>
      </c>
      <c r="E37" s="68" t="s">
        <v>393</v>
      </c>
    </row>
    <row r="38" spans="1:5">
      <c r="A38" s="68">
        <v>0.27497100000000002</v>
      </c>
      <c r="B38" s="68">
        <v>0.30305199999999999</v>
      </c>
      <c r="C38" s="68">
        <v>14.623200000000001</v>
      </c>
      <c r="D38" s="68">
        <v>1</v>
      </c>
      <c r="E38" s="68" t="s">
        <v>394</v>
      </c>
    </row>
    <row r="39" spans="1:5">
      <c r="A39" s="68">
        <v>0.28118300000000002</v>
      </c>
      <c r="B39" s="68">
        <v>0.28922399999999998</v>
      </c>
      <c r="C39" s="68">
        <v>15.029199999999999</v>
      </c>
      <c r="D39" s="68">
        <v>1</v>
      </c>
      <c r="E39" s="68" t="s">
        <v>395</v>
      </c>
    </row>
    <row r="40" spans="1:5">
      <c r="A40" s="68">
        <v>0.28748299999999999</v>
      </c>
      <c r="B40" s="68">
        <v>0.27481100000000003</v>
      </c>
      <c r="C40" s="68">
        <v>15.4314</v>
      </c>
      <c r="D40" s="68">
        <v>1</v>
      </c>
      <c r="E40" s="68" t="s">
        <v>396</v>
      </c>
    </row>
    <row r="41" spans="1:5">
      <c r="A41" s="68">
        <v>0.29356500000000002</v>
      </c>
      <c r="B41" s="68">
        <v>0.26231300000000002</v>
      </c>
      <c r="C41" s="68">
        <v>15.8383</v>
      </c>
      <c r="D41" s="68">
        <v>1</v>
      </c>
      <c r="E41" s="68" t="s">
        <v>397</v>
      </c>
    </row>
    <row r="42" spans="1:5">
      <c r="A42" s="68">
        <v>0.29933799999999999</v>
      </c>
      <c r="B42" s="68">
        <v>0.25109300000000001</v>
      </c>
      <c r="C42" s="68">
        <v>16.2471</v>
      </c>
      <c r="D42" s="68">
        <v>1</v>
      </c>
      <c r="E42" s="68" t="s">
        <v>398</v>
      </c>
    </row>
    <row r="43" spans="1:5">
      <c r="A43" s="68">
        <v>0.30480499999999999</v>
      </c>
      <c r="B43" s="68">
        <v>0.24044599999999999</v>
      </c>
      <c r="C43" s="68">
        <v>16.651199999999999</v>
      </c>
      <c r="D43" s="68">
        <v>1</v>
      </c>
      <c r="E43" s="68" t="s">
        <v>399</v>
      </c>
    </row>
    <row r="44" spans="1:5">
      <c r="A44" s="68">
        <v>0.30978099999999997</v>
      </c>
      <c r="B44" s="68">
        <v>0.23246900000000001</v>
      </c>
      <c r="C44" s="68">
        <v>17.057600000000001</v>
      </c>
      <c r="D44" s="68">
        <v>1</v>
      </c>
      <c r="E44" s="68" t="s">
        <v>400</v>
      </c>
    </row>
    <row r="45" spans="1:5">
      <c r="A45" s="68">
        <v>0.314392</v>
      </c>
      <c r="B45" s="68">
        <v>0.22609299999999999</v>
      </c>
      <c r="C45" s="68">
        <v>17.464400000000001</v>
      </c>
      <c r="D45" s="68">
        <v>1</v>
      </c>
      <c r="E45" s="68" t="s">
        <v>401</v>
      </c>
    </row>
    <row r="46" spans="1:5">
      <c r="A46" s="68">
        <v>0.31919500000000001</v>
      </c>
      <c r="B46" s="68">
        <v>0.21946099999999999</v>
      </c>
      <c r="C46" s="68">
        <v>17.869299999999999</v>
      </c>
      <c r="D46" s="68">
        <v>1</v>
      </c>
      <c r="E46" s="68" t="s">
        <v>402</v>
      </c>
    </row>
    <row r="47" spans="1:5">
      <c r="A47" s="68">
        <v>0.32457799999999998</v>
      </c>
      <c r="B47" s="68">
        <v>0.212094</v>
      </c>
      <c r="C47" s="68">
        <v>18.276599999999998</v>
      </c>
      <c r="D47" s="68">
        <v>1</v>
      </c>
      <c r="E47" s="68" t="s">
        <v>403</v>
      </c>
    </row>
    <row r="48" spans="1:5">
      <c r="A48" s="68">
        <v>0.330125</v>
      </c>
      <c r="B48" s="68">
        <v>0.20280899999999999</v>
      </c>
      <c r="C48" s="68">
        <v>18.684699999999999</v>
      </c>
      <c r="D48" s="68">
        <v>1</v>
      </c>
      <c r="E48" s="68" t="s">
        <v>404</v>
      </c>
    </row>
    <row r="49" spans="1:5">
      <c r="A49" s="68">
        <v>0.33555600000000002</v>
      </c>
      <c r="B49" s="68">
        <v>0.19411300000000001</v>
      </c>
      <c r="C49" s="68">
        <v>19.0899</v>
      </c>
      <c r="D49" s="68">
        <v>1</v>
      </c>
      <c r="E49" s="68" t="s">
        <v>405</v>
      </c>
    </row>
    <row r="50" spans="1:5">
      <c r="A50" s="68">
        <v>0.34102199999999999</v>
      </c>
      <c r="B50" s="68">
        <v>0.18524199999999999</v>
      </c>
      <c r="C50" s="68">
        <v>19.493600000000001</v>
      </c>
      <c r="D50" s="68">
        <v>1</v>
      </c>
      <c r="E50" s="68" t="s">
        <v>406</v>
      </c>
    </row>
    <row r="51" spans="1:5">
      <c r="A51" s="68">
        <v>0.34603800000000001</v>
      </c>
      <c r="B51" s="68">
        <v>0.177429</v>
      </c>
      <c r="C51" s="68">
        <v>19.901599999999998</v>
      </c>
      <c r="D51" s="68">
        <v>1</v>
      </c>
      <c r="E51" s="68" t="s">
        <v>407</v>
      </c>
    </row>
    <row r="52" spans="1:5">
      <c r="A52" s="68">
        <v>0.349823</v>
      </c>
      <c r="B52" s="68">
        <v>0.17150899999999999</v>
      </c>
      <c r="C52" s="68">
        <v>20.308199999999999</v>
      </c>
      <c r="D52" s="68">
        <v>1</v>
      </c>
      <c r="E52" s="68" t="s">
        <v>408</v>
      </c>
    </row>
    <row r="53" spans="1:5">
      <c r="A53" s="68">
        <v>0.35448600000000002</v>
      </c>
      <c r="B53" s="68">
        <v>0.163795</v>
      </c>
      <c r="C53" s="68">
        <v>20.715699999999998</v>
      </c>
      <c r="D53" s="68">
        <v>1</v>
      </c>
      <c r="E53" s="68" t="s">
        <v>409</v>
      </c>
    </row>
    <row r="54" spans="1:5">
      <c r="A54" s="68">
        <v>0.35860300000000001</v>
      </c>
      <c r="B54" s="68">
        <v>0.15707499999999999</v>
      </c>
      <c r="C54" s="68">
        <v>21.119199999999999</v>
      </c>
      <c r="D54" s="68">
        <v>1</v>
      </c>
      <c r="E54" s="68" t="s">
        <v>410</v>
      </c>
    </row>
    <row r="55" spans="1:5">
      <c r="A55" s="68">
        <v>0.36236299999999999</v>
      </c>
      <c r="B55" s="68">
        <v>0.15054600000000001</v>
      </c>
      <c r="C55" s="68">
        <v>21.524899999999999</v>
      </c>
      <c r="D55" s="68">
        <v>1</v>
      </c>
      <c r="E55" s="68" t="s">
        <v>411</v>
      </c>
    </row>
    <row r="56" spans="1:5">
      <c r="A56" s="68">
        <v>0.36627999999999999</v>
      </c>
      <c r="B56" s="68">
        <v>0.144091</v>
      </c>
      <c r="C56" s="68">
        <v>21.9315</v>
      </c>
      <c r="D56" s="68">
        <v>1</v>
      </c>
      <c r="E56" s="68" t="s">
        <v>412</v>
      </c>
    </row>
    <row r="57" spans="1:5">
      <c r="A57" s="68">
        <v>0.37015999999999999</v>
      </c>
      <c r="B57" s="68">
        <v>0.13782</v>
      </c>
      <c r="C57" s="68">
        <v>22.339700000000001</v>
      </c>
      <c r="D57" s="68">
        <v>1</v>
      </c>
      <c r="E57" s="68" t="s">
        <v>413</v>
      </c>
    </row>
    <row r="58" spans="1:5">
      <c r="A58" s="68">
        <v>0.37399500000000002</v>
      </c>
      <c r="B58" s="68">
        <v>0.131967</v>
      </c>
      <c r="C58" s="68">
        <v>22.7454</v>
      </c>
      <c r="D58" s="68">
        <v>1</v>
      </c>
      <c r="E58" s="68" t="s">
        <v>414</v>
      </c>
    </row>
    <row r="59" spans="1:5">
      <c r="A59" s="68">
        <v>0.37804300000000002</v>
      </c>
      <c r="B59" s="68">
        <v>0.12584799999999999</v>
      </c>
      <c r="C59" s="68">
        <v>23.151199999999999</v>
      </c>
      <c r="D59" s="68">
        <v>1</v>
      </c>
      <c r="E59" s="68" t="s">
        <v>415</v>
      </c>
    </row>
    <row r="60" spans="1:5">
      <c r="A60" s="68">
        <v>0.38245200000000001</v>
      </c>
      <c r="B60" s="68">
        <v>0.119237</v>
      </c>
      <c r="C60" s="68">
        <v>23.555499999999999</v>
      </c>
      <c r="D60" s="68">
        <v>1</v>
      </c>
      <c r="E60" s="68" t="s">
        <v>416</v>
      </c>
    </row>
    <row r="61" spans="1:5">
      <c r="A61" s="68">
        <v>0.38661299999999998</v>
      </c>
      <c r="B61" s="68">
        <v>0.113175</v>
      </c>
      <c r="C61" s="68">
        <v>23.9648</v>
      </c>
      <c r="D61" s="68">
        <v>1</v>
      </c>
      <c r="E61" s="68" t="s">
        <v>417</v>
      </c>
    </row>
    <row r="62" spans="1:5">
      <c r="A62" s="68">
        <v>0.39069999999999999</v>
      </c>
      <c r="B62" s="68">
        <v>0.107556</v>
      </c>
      <c r="C62" s="68">
        <v>24.370799999999999</v>
      </c>
      <c r="D62" s="68">
        <v>1</v>
      </c>
      <c r="E62" s="68" t="s">
        <v>418</v>
      </c>
    </row>
    <row r="63" spans="1:5">
      <c r="A63" s="68">
        <v>0.39403899999999997</v>
      </c>
      <c r="B63" s="68">
        <v>0.103144</v>
      </c>
      <c r="C63" s="68">
        <v>24.779699999999998</v>
      </c>
      <c r="D63" s="68">
        <v>1</v>
      </c>
      <c r="E63" s="68" t="s">
        <v>419</v>
      </c>
    </row>
    <row r="64" spans="1:5">
      <c r="A64" s="68">
        <v>0.39671099999999998</v>
      </c>
      <c r="B64" s="68">
        <v>0.10062</v>
      </c>
      <c r="C64" s="68">
        <v>25.1858</v>
      </c>
      <c r="D64" s="68">
        <v>1</v>
      </c>
      <c r="E64" s="68" t="s">
        <v>420</v>
      </c>
    </row>
    <row r="65" spans="1:5">
      <c r="A65" s="68">
        <v>0.39923700000000001</v>
      </c>
      <c r="B65" s="68">
        <v>9.8532700000000001E-2</v>
      </c>
      <c r="C65" s="68">
        <v>25.587599999999998</v>
      </c>
      <c r="D65" s="68">
        <v>1</v>
      </c>
      <c r="E65" s="68" t="s">
        <v>421</v>
      </c>
    </row>
    <row r="66" spans="1:5">
      <c r="A66" s="68">
        <v>0.40173799999999998</v>
      </c>
      <c r="B66" s="68">
        <v>9.5564700000000002E-2</v>
      </c>
      <c r="C66" s="68">
        <v>25.997800000000002</v>
      </c>
      <c r="D66" s="68">
        <v>1</v>
      </c>
      <c r="E66" s="68" t="s">
        <v>422</v>
      </c>
    </row>
    <row r="67" spans="1:5">
      <c r="A67" s="68">
        <v>0.40367199999999998</v>
      </c>
      <c r="B67" s="68">
        <v>9.4004500000000005E-2</v>
      </c>
      <c r="C67" s="68">
        <v>26.402100000000001</v>
      </c>
      <c r="D67" s="68">
        <v>1</v>
      </c>
      <c r="E67" s="68" t="s">
        <v>423</v>
      </c>
    </row>
    <row r="68" spans="1:5">
      <c r="A68" s="68">
        <v>0.40510400000000002</v>
      </c>
      <c r="B68" s="68">
        <v>9.3879500000000005E-2</v>
      </c>
      <c r="C68" s="68">
        <v>26.808399999999999</v>
      </c>
      <c r="D68" s="68">
        <v>1</v>
      </c>
      <c r="E68" s="68" t="s">
        <v>424</v>
      </c>
    </row>
    <row r="69" spans="1:5">
      <c r="A69" s="68">
        <v>0.40661199999999997</v>
      </c>
      <c r="B69" s="68">
        <v>9.3324400000000002E-2</v>
      </c>
      <c r="C69" s="68">
        <v>27.214700000000001</v>
      </c>
      <c r="D69" s="68">
        <v>1</v>
      </c>
      <c r="E69" s="68" t="s">
        <v>425</v>
      </c>
    </row>
    <row r="70" spans="1:5">
      <c r="A70" s="68">
        <v>0.408335</v>
      </c>
      <c r="B70" s="68">
        <v>9.1734099999999999E-2</v>
      </c>
      <c r="C70" s="68">
        <v>27.622299999999999</v>
      </c>
      <c r="D70" s="68">
        <v>1</v>
      </c>
      <c r="E70" s="68" t="s">
        <v>426</v>
      </c>
    </row>
    <row r="71" spans="1:5">
      <c r="A71" s="68">
        <v>0.409528</v>
      </c>
      <c r="B71" s="68">
        <v>9.0087799999999996E-2</v>
      </c>
      <c r="C71" s="68">
        <v>28.0291</v>
      </c>
      <c r="D71" s="68">
        <v>1</v>
      </c>
      <c r="E71" s="68" t="s">
        <v>427</v>
      </c>
    </row>
    <row r="72" spans="1:5">
      <c r="A72" s="68">
        <v>0.41019</v>
      </c>
      <c r="B72" s="68">
        <v>8.7520799999999996E-2</v>
      </c>
      <c r="C72" s="68">
        <v>28.4329</v>
      </c>
      <c r="D72" s="68">
        <v>1</v>
      </c>
      <c r="E72" s="68" t="s">
        <v>428</v>
      </c>
    </row>
    <row r="73" spans="1:5">
      <c r="A73" s="68">
        <v>0.41016900000000001</v>
      </c>
      <c r="B73" s="68">
        <v>8.5939699999999994E-2</v>
      </c>
      <c r="C73" s="68">
        <v>28.837700000000002</v>
      </c>
      <c r="D73" s="68">
        <v>1</v>
      </c>
      <c r="E73" s="68" t="s">
        <v>429</v>
      </c>
    </row>
    <row r="74" spans="1:5">
      <c r="A74" s="68">
        <v>0.409943</v>
      </c>
      <c r="B74" s="68">
        <v>8.4770399999999996E-2</v>
      </c>
      <c r="C74" s="68">
        <v>29.2438</v>
      </c>
      <c r="D74" s="68">
        <v>1</v>
      </c>
      <c r="E74" s="68" t="s">
        <v>430</v>
      </c>
    </row>
    <row r="75" spans="1:5">
      <c r="A75" s="68">
        <v>0.40959200000000001</v>
      </c>
      <c r="B75" s="68">
        <v>8.4027500000000005E-2</v>
      </c>
      <c r="C75" s="68">
        <v>29.650700000000001</v>
      </c>
      <c r="D75" s="68">
        <v>1</v>
      </c>
      <c r="E75" s="68" t="s">
        <v>431</v>
      </c>
    </row>
    <row r="76" spans="1:5">
      <c r="A76" s="68">
        <v>0.409273</v>
      </c>
      <c r="B76" s="68">
        <v>8.2937200000000003E-2</v>
      </c>
      <c r="C76" s="68">
        <v>30.057600000000001</v>
      </c>
      <c r="D76" s="68">
        <v>1</v>
      </c>
      <c r="E76" s="68" t="s">
        <v>432</v>
      </c>
    </row>
    <row r="77" spans="1:5">
      <c r="A77" s="68">
        <v>0.40828300000000001</v>
      </c>
      <c r="B77" s="68">
        <v>8.3147399999999996E-2</v>
      </c>
      <c r="C77" s="68">
        <v>30.6495</v>
      </c>
      <c r="D77" s="68">
        <v>2</v>
      </c>
      <c r="E77" s="68" t="s">
        <v>433</v>
      </c>
    </row>
    <row r="78" spans="1:5">
      <c r="A78" s="68">
        <v>0.40773100000000001</v>
      </c>
      <c r="B78" s="68">
        <v>8.3136299999999996E-2</v>
      </c>
      <c r="C78" s="68">
        <v>31.027000000000001</v>
      </c>
      <c r="D78" s="68">
        <v>2</v>
      </c>
      <c r="E78" s="68" t="s">
        <v>434</v>
      </c>
    </row>
    <row r="79" spans="1:5">
      <c r="A79" s="68">
        <v>0.407308</v>
      </c>
      <c r="B79" s="68">
        <v>8.2735000000000003E-2</v>
      </c>
      <c r="C79" s="68">
        <v>31.399899999999999</v>
      </c>
      <c r="D79" s="68">
        <v>2</v>
      </c>
      <c r="E79" s="68" t="s">
        <v>435</v>
      </c>
    </row>
    <row r="80" spans="1:5">
      <c r="A80" s="68">
        <v>0.40678700000000001</v>
      </c>
      <c r="B80" s="68">
        <v>8.2365900000000006E-2</v>
      </c>
      <c r="C80" s="68">
        <v>31.7774</v>
      </c>
      <c r="D80" s="68">
        <v>2</v>
      </c>
      <c r="E80" s="68" t="s">
        <v>436</v>
      </c>
    </row>
    <row r="81" spans="1:5">
      <c r="A81" s="68">
        <v>0.40592400000000001</v>
      </c>
      <c r="B81" s="68">
        <v>8.1974199999999997E-2</v>
      </c>
      <c r="C81" s="68">
        <v>32.1539</v>
      </c>
      <c r="D81" s="68">
        <v>2</v>
      </c>
      <c r="E81" s="68" t="s">
        <v>437</v>
      </c>
    </row>
    <row r="82" spans="1:5">
      <c r="A82" s="68">
        <v>0.40492899999999998</v>
      </c>
      <c r="B82" s="68">
        <v>8.1843600000000002E-2</v>
      </c>
      <c r="C82" s="68">
        <v>32.559800000000003</v>
      </c>
      <c r="D82" s="68">
        <v>2</v>
      </c>
      <c r="E82" s="68" t="s">
        <v>438</v>
      </c>
    </row>
    <row r="83" spans="1:5">
      <c r="A83" s="68">
        <v>0.40412700000000001</v>
      </c>
      <c r="B83" s="68">
        <v>8.1579100000000002E-2</v>
      </c>
      <c r="C83" s="68">
        <v>32.963700000000003</v>
      </c>
      <c r="D83" s="68">
        <v>2</v>
      </c>
      <c r="E83" s="68" t="s">
        <v>439</v>
      </c>
    </row>
    <row r="84" spans="1:5">
      <c r="A84" s="68">
        <v>0.402864</v>
      </c>
      <c r="B84" s="68">
        <v>8.2025299999999995E-2</v>
      </c>
      <c r="C84" s="68">
        <v>33.369199999999999</v>
      </c>
      <c r="D84" s="68">
        <v>2</v>
      </c>
      <c r="E84" s="68" t="s">
        <v>440</v>
      </c>
    </row>
    <row r="85" spans="1:5">
      <c r="A85" s="68">
        <v>0.40101700000000001</v>
      </c>
      <c r="B85" s="68">
        <v>8.2988400000000004E-2</v>
      </c>
      <c r="C85" s="68">
        <v>33.773699999999998</v>
      </c>
      <c r="D85" s="68">
        <v>2</v>
      </c>
      <c r="E85" s="68" t="s">
        <v>441</v>
      </c>
    </row>
    <row r="86" spans="1:5">
      <c r="A86" s="68">
        <v>0.398839</v>
      </c>
      <c r="B86" s="68">
        <v>8.4650000000000003E-2</v>
      </c>
      <c r="C86" s="68">
        <v>34.185899999999997</v>
      </c>
      <c r="D86" s="68">
        <v>2</v>
      </c>
      <c r="E86" s="68" t="s">
        <v>442</v>
      </c>
    </row>
    <row r="87" spans="1:5">
      <c r="A87" s="68">
        <v>0.396565</v>
      </c>
      <c r="B87" s="68">
        <v>8.6369299999999996E-2</v>
      </c>
      <c r="C87" s="68">
        <v>34.5931</v>
      </c>
      <c r="D87" s="68">
        <v>2</v>
      </c>
      <c r="E87" s="68" t="s">
        <v>443</v>
      </c>
    </row>
    <row r="88" spans="1:5">
      <c r="A88" s="68">
        <v>0.39465299999999998</v>
      </c>
      <c r="B88" s="68">
        <v>8.6610699999999999E-2</v>
      </c>
      <c r="C88" s="68">
        <v>34.9938</v>
      </c>
      <c r="D88" s="68">
        <v>2</v>
      </c>
      <c r="E88" s="68" t="s">
        <v>444</v>
      </c>
    </row>
    <row r="89" spans="1:5">
      <c r="A89" s="68">
        <v>0.39296599999999998</v>
      </c>
      <c r="B89" s="68">
        <v>8.6064799999999997E-2</v>
      </c>
      <c r="C89" s="68">
        <v>35.401499999999999</v>
      </c>
      <c r="D89" s="68">
        <v>2</v>
      </c>
      <c r="E89" s="68" t="s">
        <v>445</v>
      </c>
    </row>
    <row r="90" spans="1:5">
      <c r="A90" s="68">
        <v>0.39099200000000001</v>
      </c>
      <c r="B90" s="68">
        <v>8.6836099999999999E-2</v>
      </c>
      <c r="C90" s="68">
        <v>35.808100000000003</v>
      </c>
      <c r="D90" s="68">
        <v>2</v>
      </c>
      <c r="E90" s="68" t="s">
        <v>446</v>
      </c>
    </row>
    <row r="91" spans="1:5">
      <c r="A91" s="68">
        <v>0.38956000000000002</v>
      </c>
      <c r="B91" s="68">
        <v>8.6968100000000007E-2</v>
      </c>
      <c r="C91" s="68">
        <v>36.217300000000002</v>
      </c>
      <c r="D91" s="68">
        <v>2</v>
      </c>
      <c r="E91" s="68" t="s">
        <v>447</v>
      </c>
    </row>
    <row r="92" spans="1:5">
      <c r="A92" s="68">
        <v>0.38871600000000001</v>
      </c>
      <c r="B92" s="68">
        <v>8.6007899999999998E-2</v>
      </c>
      <c r="C92" s="68">
        <v>36.620699999999999</v>
      </c>
      <c r="D92" s="68">
        <v>2</v>
      </c>
      <c r="E92" s="68" t="s">
        <v>448</v>
      </c>
    </row>
    <row r="93" spans="1:5">
      <c r="A93" s="68">
        <v>0.3886</v>
      </c>
      <c r="B93" s="68">
        <v>8.3816399999999999E-2</v>
      </c>
      <c r="C93" s="68">
        <v>37.027500000000003</v>
      </c>
      <c r="D93" s="68">
        <v>2</v>
      </c>
      <c r="E93" s="68" t="s">
        <v>449</v>
      </c>
    </row>
    <row r="94" spans="1:5">
      <c r="A94" s="68">
        <v>0.38881199999999999</v>
      </c>
      <c r="B94" s="68">
        <v>8.0971799999999997E-2</v>
      </c>
      <c r="C94" s="68">
        <v>37.431199999999997</v>
      </c>
      <c r="D94" s="68">
        <v>2</v>
      </c>
      <c r="E94" s="68" t="s">
        <v>450</v>
      </c>
    </row>
    <row r="95" spans="1:5">
      <c r="A95" s="68">
        <v>0.38915499999999997</v>
      </c>
      <c r="B95" s="68">
        <v>7.8486500000000001E-2</v>
      </c>
      <c r="C95" s="68">
        <v>37.838900000000002</v>
      </c>
      <c r="D95" s="68">
        <v>2</v>
      </c>
      <c r="E95" s="68" t="s">
        <v>451</v>
      </c>
    </row>
    <row r="96" spans="1:5">
      <c r="A96" s="68">
        <v>0.389212</v>
      </c>
      <c r="B96" s="68">
        <v>7.6909400000000003E-2</v>
      </c>
      <c r="C96" s="68">
        <v>38.247399999999999</v>
      </c>
      <c r="D96" s="68">
        <v>2</v>
      </c>
      <c r="E96" s="68" t="s">
        <v>452</v>
      </c>
    </row>
    <row r="97" spans="1:5">
      <c r="A97" s="68">
        <v>0.38916299999999998</v>
      </c>
      <c r="B97" s="68">
        <v>7.6610300000000006E-2</v>
      </c>
      <c r="C97" s="68">
        <v>38.6509</v>
      </c>
      <c r="D97" s="68">
        <v>2</v>
      </c>
      <c r="E97" s="68" t="s">
        <v>453</v>
      </c>
    </row>
    <row r="98" spans="1:5">
      <c r="A98" s="68">
        <v>0.38927600000000001</v>
      </c>
      <c r="B98" s="68">
        <v>7.6308799999999996E-2</v>
      </c>
      <c r="C98" s="68">
        <v>39.060699999999997</v>
      </c>
      <c r="D98" s="68">
        <v>2</v>
      </c>
      <c r="E98" s="68" t="s">
        <v>454</v>
      </c>
    </row>
    <row r="99" spans="1:5">
      <c r="A99" s="68">
        <v>0.38955699999999999</v>
      </c>
      <c r="B99" s="68">
        <v>7.5167499999999998E-2</v>
      </c>
      <c r="C99" s="68">
        <v>39.462600000000002</v>
      </c>
      <c r="D99" s="68">
        <v>2</v>
      </c>
      <c r="E99" s="68" t="s">
        <v>455</v>
      </c>
    </row>
    <row r="100" spans="1:5">
      <c r="A100" s="68">
        <v>0.39024500000000001</v>
      </c>
      <c r="B100" s="68">
        <v>7.3169100000000001E-2</v>
      </c>
      <c r="C100" s="68">
        <v>39.872100000000003</v>
      </c>
      <c r="D100" s="68">
        <v>2</v>
      </c>
      <c r="E100" s="68" t="s">
        <v>456</v>
      </c>
    </row>
    <row r="101" spans="1:5">
      <c r="A101" s="68">
        <v>0.39098699999999997</v>
      </c>
      <c r="B101" s="68">
        <v>7.1548399999999998E-2</v>
      </c>
      <c r="C101" s="68">
        <v>40.2776</v>
      </c>
      <c r="D101" s="68">
        <v>2</v>
      </c>
      <c r="E101" s="68" t="s">
        <v>457</v>
      </c>
    </row>
    <row r="102" spans="1:5">
      <c r="A102" s="68">
        <v>0.39144699999999999</v>
      </c>
      <c r="B102" s="68">
        <v>7.0564500000000002E-2</v>
      </c>
      <c r="C102" s="68">
        <v>40.683700000000002</v>
      </c>
      <c r="D102" s="68">
        <v>2</v>
      </c>
      <c r="E102" s="68" t="s">
        <v>458</v>
      </c>
    </row>
    <row r="103" spans="1:5">
      <c r="A103" s="68">
        <v>0.39238600000000001</v>
      </c>
      <c r="B103" s="68">
        <v>6.8888400000000002E-2</v>
      </c>
      <c r="C103" s="68">
        <v>41.087899999999998</v>
      </c>
      <c r="D103" s="68">
        <v>2</v>
      </c>
      <c r="E103" s="68" t="s">
        <v>459</v>
      </c>
    </row>
    <row r="104" spans="1:5">
      <c r="A104" s="68">
        <v>0.39304299999999998</v>
      </c>
      <c r="B104" s="68">
        <v>6.7907800000000004E-2</v>
      </c>
      <c r="C104" s="68">
        <v>41.4938</v>
      </c>
      <c r="D104" s="68">
        <v>2</v>
      </c>
      <c r="E104" s="68" t="s">
        <v>460</v>
      </c>
    </row>
    <row r="105" spans="1:5">
      <c r="A105" s="68">
        <v>0.393455</v>
      </c>
      <c r="B105" s="68">
        <v>6.7591899999999996E-2</v>
      </c>
      <c r="C105" s="68">
        <v>41.9009</v>
      </c>
      <c r="D105" s="68">
        <v>2</v>
      </c>
      <c r="E105" s="68" t="s">
        <v>461</v>
      </c>
    </row>
    <row r="106" spans="1:5">
      <c r="A106" s="68">
        <v>0.39391799999999999</v>
      </c>
      <c r="B106" s="68">
        <v>6.7709000000000005E-2</v>
      </c>
      <c r="C106" s="68">
        <v>42.311599999999999</v>
      </c>
      <c r="D106" s="68">
        <v>2</v>
      </c>
      <c r="E106" s="68" t="s">
        <v>462</v>
      </c>
    </row>
    <row r="107" spans="1:5">
      <c r="A107" s="68">
        <v>0.39425500000000002</v>
      </c>
      <c r="B107" s="68">
        <v>6.8103800000000006E-2</v>
      </c>
      <c r="C107" s="68">
        <v>42.714799999999997</v>
      </c>
      <c r="D107" s="68">
        <v>2</v>
      </c>
      <c r="E107" s="68" t="s">
        <v>463</v>
      </c>
    </row>
    <row r="108" spans="1:5">
      <c r="A108" s="68">
        <v>0.39430500000000002</v>
      </c>
      <c r="B108" s="68">
        <v>6.8829199999999993E-2</v>
      </c>
      <c r="C108" s="68">
        <v>43.121499999999997</v>
      </c>
      <c r="D108" s="68">
        <v>2</v>
      </c>
      <c r="E108" s="68" t="s">
        <v>464</v>
      </c>
    </row>
    <row r="109" spans="1:5">
      <c r="A109" s="68">
        <v>0.39429199999999998</v>
      </c>
      <c r="B109" s="68">
        <v>6.9155800000000003E-2</v>
      </c>
      <c r="C109" s="68">
        <v>43.524799999999999</v>
      </c>
      <c r="D109" s="68">
        <v>2</v>
      </c>
      <c r="E109" s="68" t="s">
        <v>465</v>
      </c>
    </row>
    <row r="110" spans="1:5">
      <c r="A110" s="68">
        <v>0.39452100000000001</v>
      </c>
      <c r="B110" s="68">
        <v>6.9039199999999995E-2</v>
      </c>
      <c r="C110" s="68">
        <v>43.929499999999997</v>
      </c>
      <c r="D110" s="68">
        <v>2</v>
      </c>
      <c r="E110" s="68" t="s">
        <v>466</v>
      </c>
    </row>
    <row r="111" spans="1:5">
      <c r="A111" s="68">
        <v>0.39473799999999998</v>
      </c>
      <c r="B111" s="68">
        <v>6.9359799999999999E-2</v>
      </c>
      <c r="C111" s="68">
        <v>44.3386</v>
      </c>
      <c r="D111" s="68">
        <v>2</v>
      </c>
      <c r="E111" s="68" t="s">
        <v>467</v>
      </c>
    </row>
    <row r="112" spans="1:5">
      <c r="A112" s="68">
        <v>0.39521800000000001</v>
      </c>
      <c r="B112" s="68">
        <v>7.0167400000000005E-2</v>
      </c>
      <c r="C112" s="68">
        <v>44.747100000000003</v>
      </c>
      <c r="D112" s="68">
        <v>2</v>
      </c>
      <c r="E112" s="68" t="s">
        <v>468</v>
      </c>
    </row>
    <row r="113" spans="1:5">
      <c r="A113" s="68">
        <v>0.395926</v>
      </c>
      <c r="B113" s="68">
        <v>7.1145399999999998E-2</v>
      </c>
      <c r="C113" s="68">
        <v>45.153300000000002</v>
      </c>
      <c r="D113" s="68">
        <v>2</v>
      </c>
      <c r="E113" s="68" t="s">
        <v>469</v>
      </c>
    </row>
    <row r="114" spans="1:5">
      <c r="A114" s="68">
        <v>0.396592</v>
      </c>
      <c r="B114" s="68">
        <v>7.2126700000000002E-2</v>
      </c>
      <c r="C114" s="68">
        <v>45.558900000000001</v>
      </c>
      <c r="D114" s="68">
        <v>2</v>
      </c>
      <c r="E114" s="68" t="s">
        <v>470</v>
      </c>
    </row>
    <row r="115" spans="1:5">
      <c r="A115" s="68">
        <v>0.397254</v>
      </c>
      <c r="B115" s="68">
        <v>7.3195800000000005E-2</v>
      </c>
      <c r="C115" s="68">
        <v>45.967599999999997</v>
      </c>
      <c r="D115" s="68">
        <v>2</v>
      </c>
      <c r="E115" s="68" t="s">
        <v>471</v>
      </c>
    </row>
    <row r="116" spans="1:5">
      <c r="A116" s="68">
        <v>0.39750099999999999</v>
      </c>
      <c r="B116" s="68">
        <v>7.4614700000000006E-2</v>
      </c>
      <c r="C116" s="68">
        <v>46.371699999999997</v>
      </c>
      <c r="D116" s="68">
        <v>2</v>
      </c>
      <c r="E116" s="68" t="s">
        <v>472</v>
      </c>
    </row>
    <row r="117" spans="1:5">
      <c r="A117" s="68">
        <v>0.39801700000000001</v>
      </c>
      <c r="B117" s="68">
        <v>7.4928900000000007E-2</v>
      </c>
      <c r="C117" s="68">
        <v>46.777900000000002</v>
      </c>
      <c r="D117" s="68">
        <v>2</v>
      </c>
      <c r="E117" s="68" t="s">
        <v>473</v>
      </c>
    </row>
    <row r="118" spans="1:5">
      <c r="A118" s="68">
        <v>0.39822999999999997</v>
      </c>
      <c r="B118" s="68">
        <v>7.5422000000000003E-2</v>
      </c>
      <c r="C118" s="68">
        <v>47.183399999999999</v>
      </c>
      <c r="D118" s="68">
        <v>2</v>
      </c>
      <c r="E118" s="68" t="s">
        <v>474</v>
      </c>
    </row>
    <row r="119" spans="1:5">
      <c r="A119" s="68">
        <v>0.39766499999999999</v>
      </c>
      <c r="B119" s="68">
        <v>7.7714699999999998E-2</v>
      </c>
      <c r="C119" s="68">
        <v>47.585900000000002</v>
      </c>
      <c r="D119" s="68">
        <v>2</v>
      </c>
      <c r="E119" s="68" t="s">
        <v>475</v>
      </c>
    </row>
    <row r="120" spans="1:5">
      <c r="A120" s="68">
        <v>0.39692699999999997</v>
      </c>
      <c r="B120" s="68">
        <v>8.0961599999999995E-2</v>
      </c>
      <c r="C120" s="68">
        <v>47.998699999999999</v>
      </c>
      <c r="D120" s="68">
        <v>2</v>
      </c>
      <c r="E120" s="68" t="s">
        <v>476</v>
      </c>
    </row>
    <row r="121" spans="1:5">
      <c r="A121" s="68">
        <v>0.39641399999999999</v>
      </c>
      <c r="B121" s="68">
        <v>8.3730899999999997E-2</v>
      </c>
      <c r="C121" s="68">
        <v>48.404000000000003</v>
      </c>
      <c r="D121" s="68">
        <v>2</v>
      </c>
      <c r="E121" s="68" t="s">
        <v>477</v>
      </c>
    </row>
    <row r="122" spans="1:5">
      <c r="A122" s="68">
        <v>0.39640700000000001</v>
      </c>
      <c r="B122" s="68">
        <v>8.4901199999999996E-2</v>
      </c>
      <c r="C122" s="68">
        <v>48.810299999999998</v>
      </c>
      <c r="D122" s="68">
        <v>2</v>
      </c>
      <c r="E122" s="68" t="s">
        <v>478</v>
      </c>
    </row>
    <row r="123" spans="1:5">
      <c r="A123" s="68">
        <v>0.39675899999999997</v>
      </c>
      <c r="B123" s="68">
        <v>8.6052000000000003E-2</v>
      </c>
      <c r="C123" s="68">
        <v>49.215899999999998</v>
      </c>
      <c r="D123" s="68">
        <v>2</v>
      </c>
      <c r="E123" s="68" t="s">
        <v>479</v>
      </c>
    </row>
    <row r="124" spans="1:5">
      <c r="A124" s="68">
        <v>0.39653100000000002</v>
      </c>
      <c r="B124" s="68">
        <v>8.8581699999999999E-2</v>
      </c>
      <c r="C124" s="68">
        <v>49.620699999999999</v>
      </c>
      <c r="D124" s="68">
        <v>2</v>
      </c>
      <c r="E124" s="68" t="s">
        <v>480</v>
      </c>
    </row>
    <row r="125" spans="1:5">
      <c r="A125" s="68">
        <v>0.39567000000000002</v>
      </c>
      <c r="B125" s="68">
        <v>9.2106099999999996E-2</v>
      </c>
      <c r="C125" s="68">
        <v>50.025700000000001</v>
      </c>
      <c r="D125" s="68">
        <v>2</v>
      </c>
      <c r="E125" s="68" t="s">
        <v>481</v>
      </c>
    </row>
    <row r="126" spans="1:5">
      <c r="A126" s="68">
        <v>0.39527000000000001</v>
      </c>
      <c r="B126" s="68">
        <v>9.3497399999999994E-2</v>
      </c>
      <c r="C126" s="68">
        <v>50.4313</v>
      </c>
      <c r="D126" s="68">
        <v>2</v>
      </c>
      <c r="E126" s="68" t="s">
        <v>482</v>
      </c>
    </row>
    <row r="127" spans="1:5">
      <c r="A127" s="68">
        <v>0.39500600000000002</v>
      </c>
      <c r="B127" s="68">
        <v>9.44324E-2</v>
      </c>
      <c r="C127" s="68">
        <v>50.838000000000001</v>
      </c>
      <c r="D127" s="68">
        <v>2</v>
      </c>
      <c r="E127" s="68" t="s">
        <v>483</v>
      </c>
    </row>
    <row r="128" spans="1:5">
      <c r="A128" s="68">
        <v>0.39447700000000002</v>
      </c>
      <c r="B128" s="68">
        <v>9.5808599999999994E-2</v>
      </c>
      <c r="C128" s="68">
        <v>51.246699999999997</v>
      </c>
      <c r="D128" s="68">
        <v>2</v>
      </c>
      <c r="E128" s="68" t="s">
        <v>484</v>
      </c>
    </row>
    <row r="129" spans="1:5">
      <c r="A129" s="68">
        <v>0.39398499999999997</v>
      </c>
      <c r="B129" s="68">
        <v>9.7454799999999994E-2</v>
      </c>
      <c r="C129" s="68">
        <v>51.655299999999997</v>
      </c>
      <c r="D129" s="68">
        <v>2</v>
      </c>
      <c r="E129" s="68" t="s">
        <v>485</v>
      </c>
    </row>
    <row r="130" spans="1:5">
      <c r="A130" s="68">
        <v>0.39387</v>
      </c>
      <c r="B130" s="68">
        <v>9.84294E-2</v>
      </c>
      <c r="C130" s="68">
        <v>52.060600000000001</v>
      </c>
      <c r="D130" s="68">
        <v>2</v>
      </c>
      <c r="E130" s="68" t="s">
        <v>486</v>
      </c>
    </row>
    <row r="131" spans="1:5">
      <c r="A131" s="68">
        <v>0.39371</v>
      </c>
      <c r="B131" s="68">
        <v>9.9080399999999999E-2</v>
      </c>
      <c r="C131" s="68">
        <v>52.464300000000001</v>
      </c>
      <c r="D131" s="68">
        <v>2</v>
      </c>
      <c r="E131" s="68" t="s">
        <v>487</v>
      </c>
    </row>
    <row r="132" spans="1:5">
      <c r="A132" s="68">
        <v>0.39381899999999997</v>
      </c>
      <c r="B132" s="68">
        <v>9.9100900000000006E-2</v>
      </c>
      <c r="C132" s="68">
        <v>52.871400000000001</v>
      </c>
      <c r="D132" s="68">
        <v>2</v>
      </c>
      <c r="E132" s="68" t="s">
        <v>488</v>
      </c>
    </row>
    <row r="133" spans="1:5">
      <c r="A133" s="68">
        <v>0.39388699999999999</v>
      </c>
      <c r="B133" s="68">
        <v>9.9310899999999994E-2</v>
      </c>
      <c r="C133" s="68">
        <v>53.276800000000001</v>
      </c>
      <c r="D133" s="68">
        <v>2</v>
      </c>
      <c r="E133" s="68" t="s">
        <v>489</v>
      </c>
    </row>
    <row r="134" spans="1:5">
      <c r="A134" s="68">
        <v>0.39413300000000001</v>
      </c>
      <c r="B134" s="68">
        <v>9.9760199999999993E-2</v>
      </c>
      <c r="C134" s="68">
        <v>53.685000000000002</v>
      </c>
      <c r="D134" s="68">
        <v>2</v>
      </c>
      <c r="E134" s="68" t="s">
        <v>490</v>
      </c>
    </row>
    <row r="135" spans="1:5">
      <c r="A135" s="68">
        <v>0.39430999999999999</v>
      </c>
      <c r="B135" s="68">
        <v>0.100886</v>
      </c>
      <c r="C135" s="68">
        <v>54.090699999999998</v>
      </c>
      <c r="D135" s="68">
        <v>2</v>
      </c>
      <c r="E135" s="68" t="s">
        <v>491</v>
      </c>
    </row>
    <row r="136" spans="1:5">
      <c r="A136" s="68">
        <v>0.394847</v>
      </c>
      <c r="B136" s="68">
        <v>0.101031</v>
      </c>
      <c r="C136" s="68">
        <v>54.495899999999999</v>
      </c>
      <c r="D136" s="68">
        <v>2</v>
      </c>
      <c r="E136" s="68" t="s">
        <v>492</v>
      </c>
    </row>
    <row r="137" spans="1:5">
      <c r="A137" s="68">
        <v>0.39513700000000002</v>
      </c>
      <c r="B137" s="68">
        <v>0.100582</v>
      </c>
      <c r="C137" s="68">
        <v>54.900599999999997</v>
      </c>
      <c r="D137" s="68">
        <v>2</v>
      </c>
      <c r="E137" s="68" t="s">
        <v>493</v>
      </c>
    </row>
    <row r="138" spans="1:5">
      <c r="A138" s="68">
        <v>0.39505800000000002</v>
      </c>
      <c r="B138" s="68">
        <v>0.100628</v>
      </c>
      <c r="C138" s="68">
        <v>55.306199999999997</v>
      </c>
      <c r="D138" s="68">
        <v>2</v>
      </c>
      <c r="E138" s="68" t="s">
        <v>494</v>
      </c>
    </row>
    <row r="139" spans="1:5">
      <c r="A139" s="68">
        <v>0.39516400000000002</v>
      </c>
      <c r="B139" s="68">
        <v>0.10077</v>
      </c>
      <c r="C139" s="68">
        <v>55.714300000000001</v>
      </c>
      <c r="D139" s="68">
        <v>2</v>
      </c>
      <c r="E139" s="68" t="s">
        <v>495</v>
      </c>
    </row>
    <row r="140" spans="1:5">
      <c r="A140" s="68">
        <v>0.39535900000000002</v>
      </c>
      <c r="B140" s="68">
        <v>0.100636</v>
      </c>
      <c r="C140" s="68">
        <v>56.12</v>
      </c>
      <c r="D140" s="68">
        <v>2</v>
      </c>
      <c r="E140" s="68" t="s">
        <v>496</v>
      </c>
    </row>
    <row r="141" spans="1:5">
      <c r="A141" s="68">
        <v>0.39560499999999998</v>
      </c>
      <c r="B141" s="68">
        <v>0.100898</v>
      </c>
      <c r="C141" s="68">
        <v>56.527799999999999</v>
      </c>
      <c r="D141" s="68">
        <v>2</v>
      </c>
      <c r="E141" s="68" t="s">
        <v>497</v>
      </c>
    </row>
    <row r="142" spans="1:5">
      <c r="A142" s="68">
        <v>0.39500600000000002</v>
      </c>
      <c r="B142" s="68">
        <v>0.103529</v>
      </c>
      <c r="C142" s="68">
        <v>56.935499999999998</v>
      </c>
      <c r="D142" s="68">
        <v>2</v>
      </c>
      <c r="E142" s="68" t="s">
        <v>498</v>
      </c>
    </row>
    <row r="143" spans="1:5">
      <c r="A143" s="68">
        <v>0.393565</v>
      </c>
      <c r="B143" s="68">
        <v>0.109168</v>
      </c>
      <c r="C143" s="68">
        <v>57.3399</v>
      </c>
      <c r="D143" s="68">
        <v>2</v>
      </c>
      <c r="E143" s="68" t="s">
        <v>499</v>
      </c>
    </row>
    <row r="144" spans="1:5">
      <c r="A144" s="68">
        <v>0.392901</v>
      </c>
      <c r="B144" s="68">
        <v>0.113679</v>
      </c>
      <c r="C144" s="68">
        <v>57.745399999999997</v>
      </c>
      <c r="D144" s="68">
        <v>2</v>
      </c>
      <c r="E144" s="68" t="s">
        <v>500</v>
      </c>
    </row>
    <row r="145" spans="1:5">
      <c r="A145" s="68">
        <v>0.39258300000000002</v>
      </c>
      <c r="B145" s="68">
        <v>0.116503</v>
      </c>
      <c r="C145" s="68">
        <v>58.158700000000003</v>
      </c>
      <c r="D145" s="68">
        <v>2</v>
      </c>
      <c r="E145" s="68" t="s">
        <v>501</v>
      </c>
    </row>
    <row r="146" spans="1:5">
      <c r="A146" s="68">
        <v>0.39306000000000002</v>
      </c>
      <c r="B146" s="68">
        <v>0.117148</v>
      </c>
      <c r="C146" s="68">
        <v>58.566400000000002</v>
      </c>
      <c r="D146" s="68">
        <v>2</v>
      </c>
      <c r="E146" s="68" t="s">
        <v>502</v>
      </c>
    </row>
    <row r="147" spans="1:5">
      <c r="A147" s="68">
        <v>0.39250499999999999</v>
      </c>
      <c r="B147" s="68">
        <v>0.122158</v>
      </c>
      <c r="C147" s="68">
        <v>58.970300000000002</v>
      </c>
      <c r="D147" s="68">
        <v>2</v>
      </c>
      <c r="E147" s="68" t="s">
        <v>503</v>
      </c>
    </row>
    <row r="148" spans="1:5">
      <c r="A148" s="68">
        <v>0.39018000000000003</v>
      </c>
      <c r="B148" s="68">
        <v>0.124931</v>
      </c>
      <c r="C148" s="68">
        <v>59.3748</v>
      </c>
      <c r="D148" s="68">
        <v>2</v>
      </c>
      <c r="E148" s="68" t="s">
        <v>504</v>
      </c>
    </row>
    <row r="149" spans="1:5">
      <c r="A149" s="68">
        <v>0.38913399999999998</v>
      </c>
      <c r="B149" s="68">
        <v>0.118823</v>
      </c>
      <c r="C149" s="68">
        <v>59.777000000000001</v>
      </c>
      <c r="D149" s="68">
        <v>2</v>
      </c>
      <c r="E149" s="68" t="s">
        <v>505</v>
      </c>
    </row>
    <row r="150" spans="1:5">
      <c r="A150" s="68">
        <v>0.39384599999999997</v>
      </c>
      <c r="B150" s="68">
        <v>8.6436600000000002E-2</v>
      </c>
      <c r="C150" s="32">
        <v>60.1875</v>
      </c>
      <c r="D150" s="32">
        <v>2</v>
      </c>
      <c r="E150" s="32" t="s">
        <v>506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355</v>
      </c>
      <c r="B1" s="66" t="s">
        <v>507</v>
      </c>
      <c r="C1" s="66" t="s">
        <v>509</v>
      </c>
      <c r="D1" s="66" t="s">
        <v>510</v>
      </c>
      <c r="E1" s="66" t="s">
        <v>511</v>
      </c>
      <c r="F1" s="66" t="s">
        <v>293</v>
      </c>
      <c r="G1" s="66" t="s">
        <v>294</v>
      </c>
      <c r="H1" s="66" t="s">
        <v>512</v>
      </c>
      <c r="I1" s="66" t="s">
        <v>513</v>
      </c>
      <c r="J1" s="66" t="s">
        <v>514</v>
      </c>
      <c r="K1" s="66" t="s">
        <v>515</v>
      </c>
      <c r="L1" s="66" t="s">
        <v>516</v>
      </c>
      <c r="M1" s="66" t="s">
        <v>517</v>
      </c>
      <c r="N1" s="66"/>
    </row>
    <row r="2" spans="1:14">
      <c r="A2" s="75">
        <v>43620.373541666668</v>
      </c>
      <c r="B2" s="66" t="s">
        <v>508</v>
      </c>
      <c r="C2" s="66"/>
      <c r="D2" s="66"/>
      <c r="E2" s="66">
        <v>4.9207200000000002</v>
      </c>
      <c r="F2" s="66">
        <v>1.9610000000000001</v>
      </c>
      <c r="G2" s="66">
        <v>0.90358899999999998</v>
      </c>
      <c r="H2" s="66">
        <v>0</v>
      </c>
      <c r="I2" s="66">
        <v>93103</v>
      </c>
      <c r="J2" s="66">
        <v>152</v>
      </c>
      <c r="K2" s="66">
        <v>152</v>
      </c>
      <c r="L2" s="66">
        <v>0</v>
      </c>
      <c r="M2" s="66" t="s">
        <v>518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2019-06-04T00:58:45Z</cp:lastPrinted>
  <dcterms:created xsi:type="dcterms:W3CDTF">2010-10-29T12:53:05Z</dcterms:created>
  <dcterms:modified xsi:type="dcterms:W3CDTF">2019-06-04T00:59:06Z</dcterms:modified>
</cp:coreProperties>
</file>